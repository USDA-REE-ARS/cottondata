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E:\mnt\Data1\USDA-ALARC\GIS\PDI project\cottondata\Data\1999_F105_CO_AGIIS\"/>
    </mc:Choice>
  </mc:AlternateContent>
  <xr:revisionPtr revIDLastSave="0" documentId="13_ncr:1_{0339B7CF-B174-4F7A-862A-8F105695F065}" xr6:coauthVersionLast="47" xr6:coauthVersionMax="47" xr10:uidLastSave="{00000000-0000-0000-0000-000000000000}"/>
  <bookViews>
    <workbookView xWindow="16440" yWindow="-27405" windowWidth="17850" windowHeight="26055" firstSheet="10" activeTab="18" xr2:uid="{78602DD1-01F4-4811-BF50-C380D75C62C7}"/>
  </bookViews>
  <sheets>
    <sheet name="Irrigation" sheetId="4" r:id="rId1"/>
    <sheet name="Timeline" sheetId="2" r:id="rId2"/>
    <sheet name="p01" sheetId="5" r:id="rId3"/>
    <sheet name="p02" sheetId="6" r:id="rId4"/>
    <sheet name="p03" sheetId="7" r:id="rId5"/>
    <sheet name="p04" sheetId="8" r:id="rId6"/>
    <sheet name="p05" sheetId="9" r:id="rId7"/>
    <sheet name="p06" sheetId="10" r:id="rId8"/>
    <sheet name="p07" sheetId="11" r:id="rId9"/>
    <sheet name="p08" sheetId="12" r:id="rId10"/>
    <sheet name="p09" sheetId="13" r:id="rId11"/>
    <sheet name="p10" sheetId="14" r:id="rId12"/>
    <sheet name="p11" sheetId="15" r:id="rId13"/>
    <sheet name="p12" sheetId="16" r:id="rId14"/>
    <sheet name="p13" sheetId="17" r:id="rId15"/>
    <sheet name="p14" sheetId="18" r:id="rId16"/>
    <sheet name="p15" sheetId="19" r:id="rId17"/>
    <sheet name="p16" sheetId="20" r:id="rId18"/>
    <sheet name="IrrigationDF" sheetId="3" r:id="rId1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20" l="1" a="1"/>
  <c r="F3" i="20" s="1"/>
  <c r="J3" i="8"/>
  <c r="J4" i="8"/>
  <c r="J5" i="8"/>
  <c r="J6" i="8"/>
  <c r="J7" i="8"/>
  <c r="J8" i="8"/>
  <c r="J9" i="8"/>
  <c r="J10" i="8"/>
  <c r="J11" i="8"/>
  <c r="J12" i="8"/>
  <c r="C3" i="20"/>
  <c r="C4" i="20"/>
  <c r="J3" i="20"/>
  <c r="C5" i="20"/>
  <c r="J4" i="20"/>
  <c r="C6" i="20"/>
  <c r="J5" i="20"/>
  <c r="C7" i="20"/>
  <c r="J6" i="20"/>
  <c r="C8" i="20"/>
  <c r="J7" i="20"/>
  <c r="C9" i="20"/>
  <c r="J8" i="20"/>
  <c r="C10" i="20"/>
  <c r="J9" i="20"/>
  <c r="C11" i="20"/>
  <c r="J10" i="20"/>
  <c r="C12" i="20"/>
  <c r="J11" i="20"/>
  <c r="C13" i="20"/>
  <c r="J12" i="20"/>
  <c r="C14" i="20"/>
  <c r="C15" i="20"/>
  <c r="C16" i="20"/>
  <c r="C17" i="20"/>
  <c r="C18" i="20"/>
  <c r="C19" i="20"/>
  <c r="C20" i="20"/>
  <c r="C21" i="20"/>
  <c r="C22" i="20"/>
  <c r="C23" i="20"/>
  <c r="C24" i="20"/>
  <c r="C25" i="20"/>
  <c r="C26" i="20"/>
  <c r="C27" i="20"/>
  <c r="C28" i="20"/>
  <c r="C29" i="20"/>
  <c r="C30" i="20"/>
  <c r="C31" i="20"/>
  <c r="C32" i="20"/>
  <c r="C33" i="20"/>
  <c r="C34" i="20"/>
  <c r="C35" i="20"/>
  <c r="C36" i="20"/>
  <c r="C37" i="20"/>
  <c r="C38" i="20"/>
  <c r="C39" i="20"/>
  <c r="C40" i="20"/>
  <c r="C41" i="20"/>
  <c r="C42" i="20"/>
  <c r="C43" i="20"/>
  <c r="C44" i="20"/>
  <c r="C45" i="20"/>
  <c r="C46" i="20"/>
  <c r="C47" i="20"/>
  <c r="C48" i="20"/>
  <c r="C49" i="20"/>
  <c r="C50" i="20"/>
  <c r="C51" i="20"/>
  <c r="C52" i="20"/>
  <c r="C53" i="20"/>
  <c r="C54" i="20"/>
  <c r="C55" i="20"/>
  <c r="C56" i="20"/>
  <c r="C57" i="20"/>
  <c r="C58" i="20"/>
  <c r="C59" i="20"/>
  <c r="C60" i="20"/>
  <c r="C61" i="20"/>
  <c r="C62" i="20"/>
  <c r="C63" i="20"/>
  <c r="C64" i="20"/>
  <c r="C65" i="20"/>
  <c r="C66" i="20"/>
  <c r="B67" i="20"/>
  <c r="C3" i="19"/>
  <c r="C4" i="19"/>
  <c r="J3" i="19"/>
  <c r="C5" i="19"/>
  <c r="J4" i="19"/>
  <c r="C6" i="19"/>
  <c r="J5" i="19"/>
  <c r="C7" i="19"/>
  <c r="J6" i="19"/>
  <c r="C8" i="19"/>
  <c r="J7" i="19"/>
  <c r="C9" i="19"/>
  <c r="J8" i="19"/>
  <c r="C10" i="19"/>
  <c r="J9" i="19"/>
  <c r="C11" i="19"/>
  <c r="J10" i="19"/>
  <c r="C12" i="19"/>
  <c r="J11" i="19"/>
  <c r="C13" i="19"/>
  <c r="J12" i="19"/>
  <c r="C14" i="19"/>
  <c r="C15" i="19"/>
  <c r="C16" i="19"/>
  <c r="C17" i="19"/>
  <c r="C18" i="19"/>
  <c r="C19" i="19"/>
  <c r="C20" i="19"/>
  <c r="C21" i="19"/>
  <c r="C22" i="19"/>
  <c r="C23" i="19"/>
  <c r="C24" i="19"/>
  <c r="C25" i="19"/>
  <c r="C26" i="19"/>
  <c r="C27" i="19"/>
  <c r="C28" i="19"/>
  <c r="C29" i="19"/>
  <c r="C30" i="19"/>
  <c r="C31" i="19"/>
  <c r="C32" i="19"/>
  <c r="C33" i="19"/>
  <c r="C34" i="19"/>
  <c r="C35" i="19"/>
  <c r="F3" i="19" s="1" a="1"/>
  <c r="F3" i="19" s="1"/>
  <c r="C36" i="19"/>
  <c r="C37" i="19"/>
  <c r="C38" i="19"/>
  <c r="C39" i="19"/>
  <c r="C40" i="19"/>
  <c r="C41" i="19"/>
  <c r="C42" i="19"/>
  <c r="C43" i="19"/>
  <c r="C44" i="19"/>
  <c r="C45" i="19"/>
  <c r="C46" i="19"/>
  <c r="C47" i="19"/>
  <c r="C48" i="19"/>
  <c r="C49" i="19"/>
  <c r="C50" i="19"/>
  <c r="C51" i="19"/>
  <c r="C52" i="19"/>
  <c r="C53" i="19"/>
  <c r="C54" i="19"/>
  <c r="C55" i="19"/>
  <c r="C56" i="19"/>
  <c r="C57" i="19"/>
  <c r="C58" i="19"/>
  <c r="C59" i="19"/>
  <c r="C60" i="19"/>
  <c r="C61" i="19"/>
  <c r="C62" i="19"/>
  <c r="C63" i="19"/>
  <c r="C64" i="19"/>
  <c r="C65" i="19"/>
  <c r="C66" i="19"/>
  <c r="B67" i="19"/>
  <c r="C3" i="18"/>
  <c r="C4" i="18"/>
  <c r="J3" i="18"/>
  <c r="C5" i="18"/>
  <c r="J4" i="18"/>
  <c r="C6" i="18"/>
  <c r="J5" i="18"/>
  <c r="C7" i="18"/>
  <c r="F3" i="18" s="1" a="1"/>
  <c r="F3" i="18" s="1"/>
  <c r="J6" i="18"/>
  <c r="C8" i="18"/>
  <c r="J7" i="18"/>
  <c r="C9" i="18"/>
  <c r="J8" i="18"/>
  <c r="C10" i="18"/>
  <c r="J9" i="18"/>
  <c r="C11" i="18"/>
  <c r="J10" i="18"/>
  <c r="C12" i="18"/>
  <c r="J11" i="18"/>
  <c r="C13" i="18"/>
  <c r="J12" i="18"/>
  <c r="C14" i="18"/>
  <c r="C15" i="18"/>
  <c r="C16" i="18"/>
  <c r="C17" i="18"/>
  <c r="C18" i="18"/>
  <c r="C19" i="18"/>
  <c r="C20" i="18"/>
  <c r="C21" i="18"/>
  <c r="C22" i="18"/>
  <c r="C23" i="18"/>
  <c r="C24" i="18"/>
  <c r="C25" i="18"/>
  <c r="C26" i="18"/>
  <c r="C27" i="18"/>
  <c r="C28" i="18"/>
  <c r="C29" i="18"/>
  <c r="C30" i="18"/>
  <c r="C31" i="18"/>
  <c r="C32" i="18"/>
  <c r="C33" i="18"/>
  <c r="C34" i="18"/>
  <c r="C35" i="18"/>
  <c r="C36" i="18"/>
  <c r="C37" i="18"/>
  <c r="C38" i="18"/>
  <c r="C39" i="18"/>
  <c r="C40" i="18"/>
  <c r="C41" i="18"/>
  <c r="C42" i="18"/>
  <c r="C43" i="18"/>
  <c r="C44" i="18"/>
  <c r="C45" i="18"/>
  <c r="C46" i="18"/>
  <c r="C47" i="18"/>
  <c r="C48" i="18"/>
  <c r="C49" i="18"/>
  <c r="C50" i="18"/>
  <c r="C51" i="18"/>
  <c r="C52" i="18"/>
  <c r="C53" i="18"/>
  <c r="C54" i="18"/>
  <c r="C55" i="18"/>
  <c r="C56" i="18"/>
  <c r="C57" i="18"/>
  <c r="C58" i="18"/>
  <c r="C59" i="18"/>
  <c r="C60" i="18"/>
  <c r="C61" i="18"/>
  <c r="C62" i="18"/>
  <c r="C63" i="18"/>
  <c r="C64" i="18"/>
  <c r="C65" i="18"/>
  <c r="B67" i="18"/>
  <c r="C3" i="17"/>
  <c r="F3" i="17" s="1" a="1"/>
  <c r="F3" i="17" s="1"/>
  <c r="C4" i="17"/>
  <c r="J3" i="17"/>
  <c r="C5" i="17"/>
  <c r="J4" i="17"/>
  <c r="C6" i="17"/>
  <c r="J5" i="17"/>
  <c r="C7" i="17"/>
  <c r="J6" i="17"/>
  <c r="C8" i="17"/>
  <c r="J7" i="17"/>
  <c r="C9" i="17"/>
  <c r="J8" i="17"/>
  <c r="C10" i="17"/>
  <c r="J9" i="17"/>
  <c r="C11" i="17"/>
  <c r="J10" i="17"/>
  <c r="C12" i="17"/>
  <c r="J11" i="17"/>
  <c r="C13" i="17"/>
  <c r="J12" i="17"/>
  <c r="C14" i="17"/>
  <c r="C15" i="17"/>
  <c r="C16" i="17"/>
  <c r="C17" i="17"/>
  <c r="C18" i="17"/>
  <c r="C19" i="17"/>
  <c r="C20" i="17"/>
  <c r="C21" i="17"/>
  <c r="C22" i="17"/>
  <c r="C23" i="17"/>
  <c r="C24" i="17"/>
  <c r="C25" i="17"/>
  <c r="C26" i="17"/>
  <c r="C27" i="17"/>
  <c r="C28" i="17"/>
  <c r="C29" i="17"/>
  <c r="C30" i="17"/>
  <c r="C31" i="17"/>
  <c r="C32" i="17"/>
  <c r="C33" i="17"/>
  <c r="C34" i="17"/>
  <c r="C35" i="17"/>
  <c r="C36" i="17"/>
  <c r="C37" i="17"/>
  <c r="C38" i="17"/>
  <c r="C39" i="17"/>
  <c r="C40" i="17"/>
  <c r="C41" i="17"/>
  <c r="C42" i="17"/>
  <c r="C43" i="17"/>
  <c r="C44" i="17"/>
  <c r="C45" i="17"/>
  <c r="C46" i="17"/>
  <c r="C47" i="17"/>
  <c r="C48" i="17"/>
  <c r="C49" i="17"/>
  <c r="C50" i="17"/>
  <c r="C51" i="17"/>
  <c r="C52" i="17"/>
  <c r="C53" i="17"/>
  <c r="C54" i="17"/>
  <c r="C55" i="17"/>
  <c r="C56" i="17"/>
  <c r="C57" i="17"/>
  <c r="C58" i="17"/>
  <c r="C59" i="17"/>
  <c r="C60" i="17"/>
  <c r="C61" i="17"/>
  <c r="C62" i="17"/>
  <c r="C63" i="17"/>
  <c r="C64" i="17"/>
  <c r="C65" i="17"/>
  <c r="C66" i="17"/>
  <c r="B67" i="17"/>
  <c r="C3" i="16"/>
  <c r="F3" i="16" s="1" a="1"/>
  <c r="F3" i="16" s="1"/>
  <c r="C4" i="16"/>
  <c r="J3" i="16"/>
  <c r="C5" i="16"/>
  <c r="J4" i="16"/>
  <c r="C6" i="16"/>
  <c r="J5" i="16"/>
  <c r="C7" i="16"/>
  <c r="J6" i="16"/>
  <c r="C8" i="16"/>
  <c r="J7" i="16"/>
  <c r="C9" i="16"/>
  <c r="J8" i="16"/>
  <c r="C10" i="16"/>
  <c r="J9" i="16"/>
  <c r="C11" i="16"/>
  <c r="J10" i="16"/>
  <c r="C12" i="16"/>
  <c r="J11" i="16"/>
  <c r="C13" i="16"/>
  <c r="J12" i="16"/>
  <c r="C14" i="16"/>
  <c r="C15" i="16"/>
  <c r="C16" i="16"/>
  <c r="C17" i="16"/>
  <c r="C18" i="16"/>
  <c r="C19" i="16"/>
  <c r="C20" i="16"/>
  <c r="C21" i="16"/>
  <c r="C22" i="16"/>
  <c r="C23" i="16"/>
  <c r="C24" i="16"/>
  <c r="C25" i="16"/>
  <c r="C26" i="16"/>
  <c r="C27" i="16"/>
  <c r="C28" i="16"/>
  <c r="C29" i="16"/>
  <c r="C30" i="16"/>
  <c r="C31" i="16"/>
  <c r="C32" i="16"/>
  <c r="C33" i="16"/>
  <c r="C34" i="16"/>
  <c r="C35" i="16"/>
  <c r="C36" i="16"/>
  <c r="C37" i="16"/>
  <c r="C38" i="16"/>
  <c r="C39" i="16"/>
  <c r="C40" i="16"/>
  <c r="C41" i="16"/>
  <c r="C42" i="16"/>
  <c r="C43" i="16"/>
  <c r="C44" i="16"/>
  <c r="C45" i="16"/>
  <c r="C46" i="16"/>
  <c r="C47" i="16"/>
  <c r="C48" i="16"/>
  <c r="C49" i="16"/>
  <c r="C50" i="16"/>
  <c r="C51" i="16"/>
  <c r="C52" i="16"/>
  <c r="C53" i="16"/>
  <c r="C54" i="16"/>
  <c r="C55" i="16"/>
  <c r="C56" i="16"/>
  <c r="C57" i="16"/>
  <c r="C58" i="16"/>
  <c r="C59" i="16"/>
  <c r="C60" i="16"/>
  <c r="C61" i="16"/>
  <c r="C62" i="16"/>
  <c r="C63" i="16"/>
  <c r="C64" i="16"/>
  <c r="C65" i="16"/>
  <c r="C66" i="16"/>
  <c r="B67" i="16"/>
  <c r="C3" i="15"/>
  <c r="F3" i="15" s="1" a="1"/>
  <c r="F3" i="15" s="1"/>
  <c r="C4" i="15"/>
  <c r="J3" i="15"/>
  <c r="C5" i="15"/>
  <c r="J4" i="15"/>
  <c r="C6" i="15"/>
  <c r="J5" i="15"/>
  <c r="C7" i="15"/>
  <c r="J6" i="15"/>
  <c r="C8" i="15"/>
  <c r="J7" i="15"/>
  <c r="C9" i="15"/>
  <c r="J8" i="15"/>
  <c r="C10" i="15"/>
  <c r="J9" i="15"/>
  <c r="C11" i="15"/>
  <c r="J10" i="15"/>
  <c r="C12" i="15"/>
  <c r="J11" i="15"/>
  <c r="C13" i="15"/>
  <c r="J12" i="15"/>
  <c r="C14" i="15"/>
  <c r="C15" i="15"/>
  <c r="C16" i="15"/>
  <c r="C17" i="15"/>
  <c r="C18" i="15"/>
  <c r="C19" i="15"/>
  <c r="C20" i="15"/>
  <c r="C21" i="15"/>
  <c r="C22" i="15"/>
  <c r="C23" i="15"/>
  <c r="C24" i="15"/>
  <c r="C25" i="15"/>
  <c r="C26" i="15"/>
  <c r="C27" i="15"/>
  <c r="C28" i="15"/>
  <c r="C29" i="15"/>
  <c r="C30" i="15"/>
  <c r="C31" i="15"/>
  <c r="C32" i="15"/>
  <c r="C33" i="15"/>
  <c r="C34" i="15"/>
  <c r="C35" i="15"/>
  <c r="C36" i="15"/>
  <c r="C37" i="15"/>
  <c r="C38" i="15"/>
  <c r="C39" i="15"/>
  <c r="C40" i="15"/>
  <c r="C41" i="15"/>
  <c r="C42" i="15"/>
  <c r="C43" i="15"/>
  <c r="C44" i="15"/>
  <c r="C45" i="15"/>
  <c r="C46" i="15"/>
  <c r="C47" i="15"/>
  <c r="C48" i="15"/>
  <c r="C49" i="15"/>
  <c r="C50" i="15"/>
  <c r="C51" i="15"/>
  <c r="C52" i="15"/>
  <c r="C53" i="15"/>
  <c r="C54" i="15"/>
  <c r="C55" i="15"/>
  <c r="C56" i="15"/>
  <c r="C57" i="15"/>
  <c r="C58" i="15"/>
  <c r="C59" i="15"/>
  <c r="C60" i="15"/>
  <c r="C61" i="15"/>
  <c r="C62" i="15"/>
  <c r="C63" i="15"/>
  <c r="C64" i="15"/>
  <c r="C65" i="15"/>
  <c r="C66" i="15"/>
  <c r="B67" i="15"/>
  <c r="C3" i="14"/>
  <c r="F3" i="14" s="1" a="1"/>
  <c r="F3" i="14" s="1"/>
  <c r="C4" i="14"/>
  <c r="J3" i="14"/>
  <c r="C5" i="14"/>
  <c r="J4" i="14"/>
  <c r="C6" i="14"/>
  <c r="J5" i="14"/>
  <c r="C7" i="14"/>
  <c r="J6" i="14"/>
  <c r="C8" i="14"/>
  <c r="J7" i="14"/>
  <c r="C9" i="14"/>
  <c r="J8" i="14"/>
  <c r="C10" i="14"/>
  <c r="J9" i="14"/>
  <c r="C11" i="14"/>
  <c r="J10" i="14"/>
  <c r="C12" i="14"/>
  <c r="J11" i="14"/>
  <c r="C13" i="14"/>
  <c r="J12" i="14"/>
  <c r="C14" i="14"/>
  <c r="C15" i="14"/>
  <c r="C16" i="14"/>
  <c r="C17" i="14"/>
  <c r="C18" i="14"/>
  <c r="C19" i="14"/>
  <c r="C20" i="14"/>
  <c r="C21" i="14"/>
  <c r="C22" i="14"/>
  <c r="C23" i="14"/>
  <c r="C24" i="14"/>
  <c r="C25" i="14"/>
  <c r="C26" i="14"/>
  <c r="C27" i="14"/>
  <c r="C28" i="14"/>
  <c r="C29" i="14"/>
  <c r="C30" i="14"/>
  <c r="C31" i="14"/>
  <c r="C32" i="14"/>
  <c r="C33" i="14"/>
  <c r="C34" i="14"/>
  <c r="C35" i="14"/>
  <c r="C36" i="14"/>
  <c r="C37" i="14"/>
  <c r="C38" i="14"/>
  <c r="C39" i="14"/>
  <c r="C40" i="14"/>
  <c r="C41" i="14"/>
  <c r="C42" i="14"/>
  <c r="C43" i="14"/>
  <c r="C44" i="14"/>
  <c r="C45" i="14"/>
  <c r="C46" i="14"/>
  <c r="C47" i="14"/>
  <c r="C48" i="14"/>
  <c r="C49" i="14"/>
  <c r="C50" i="14"/>
  <c r="C51" i="14"/>
  <c r="C52" i="14"/>
  <c r="C53" i="14"/>
  <c r="C54" i="14"/>
  <c r="C55" i="14"/>
  <c r="C56" i="14"/>
  <c r="C57" i="14"/>
  <c r="C58" i="14"/>
  <c r="C59" i="14"/>
  <c r="C60" i="14"/>
  <c r="C61" i="14"/>
  <c r="C62" i="14"/>
  <c r="C63" i="14"/>
  <c r="C64" i="14"/>
  <c r="C65" i="14"/>
  <c r="C66" i="14"/>
  <c r="B67" i="14"/>
  <c r="C3" i="13"/>
  <c r="F3" i="13" s="1" a="1"/>
  <c r="F3" i="13" s="1"/>
  <c r="C4" i="13"/>
  <c r="J3" i="13"/>
  <c r="C5" i="13"/>
  <c r="J4" i="13"/>
  <c r="C6" i="13"/>
  <c r="J5" i="13"/>
  <c r="C7" i="13"/>
  <c r="J6" i="13"/>
  <c r="C8" i="13"/>
  <c r="J7" i="13"/>
  <c r="C9" i="13"/>
  <c r="J8" i="13"/>
  <c r="C10" i="13"/>
  <c r="J9" i="13"/>
  <c r="C11" i="13"/>
  <c r="J10" i="13"/>
  <c r="C12" i="13"/>
  <c r="J11" i="13"/>
  <c r="C13" i="13"/>
  <c r="J12" i="13"/>
  <c r="C14" i="13"/>
  <c r="C15" i="13"/>
  <c r="C16" i="13"/>
  <c r="C17" i="13"/>
  <c r="C18" i="13"/>
  <c r="C19" i="13"/>
  <c r="C20" i="13"/>
  <c r="C21" i="13"/>
  <c r="C22" i="13"/>
  <c r="C23" i="13"/>
  <c r="C24" i="13"/>
  <c r="C25" i="13"/>
  <c r="C26" i="13"/>
  <c r="C27" i="13"/>
  <c r="C28" i="13"/>
  <c r="C29" i="13"/>
  <c r="C30" i="13"/>
  <c r="C31" i="13"/>
  <c r="C32" i="13"/>
  <c r="C33" i="13"/>
  <c r="C34" i="13"/>
  <c r="C35" i="13"/>
  <c r="C36" i="13"/>
  <c r="C37" i="13"/>
  <c r="C38" i="13"/>
  <c r="C39" i="13"/>
  <c r="C40" i="13"/>
  <c r="C41" i="13"/>
  <c r="C42" i="13"/>
  <c r="C43" i="13"/>
  <c r="C44" i="13"/>
  <c r="C45" i="13"/>
  <c r="C46" i="13"/>
  <c r="C47" i="13"/>
  <c r="C48" i="13"/>
  <c r="C49" i="13"/>
  <c r="C50" i="13"/>
  <c r="C51" i="13"/>
  <c r="C52" i="13"/>
  <c r="C53" i="13"/>
  <c r="C54" i="13"/>
  <c r="C55" i="13"/>
  <c r="C56" i="13"/>
  <c r="C57" i="13"/>
  <c r="C58" i="13"/>
  <c r="C59" i="13"/>
  <c r="C60" i="13"/>
  <c r="C61" i="13"/>
  <c r="C62" i="13"/>
  <c r="C63" i="13"/>
  <c r="C64" i="13"/>
  <c r="C65" i="13"/>
  <c r="C66" i="13"/>
  <c r="B67" i="13"/>
  <c r="C3" i="12"/>
  <c r="F3" i="12" s="1" a="1"/>
  <c r="F3" i="12" s="1"/>
  <c r="C4" i="12"/>
  <c r="J3" i="12"/>
  <c r="C5" i="12"/>
  <c r="J4" i="12"/>
  <c r="C6" i="12"/>
  <c r="J5" i="12"/>
  <c r="C7" i="12"/>
  <c r="J6" i="12"/>
  <c r="C8" i="12"/>
  <c r="J7" i="12"/>
  <c r="C9" i="12"/>
  <c r="J8" i="12"/>
  <c r="C10" i="12"/>
  <c r="J9" i="12"/>
  <c r="C11" i="12"/>
  <c r="J10" i="12"/>
  <c r="C12" i="12"/>
  <c r="J11" i="12"/>
  <c r="C13" i="12"/>
  <c r="J12" i="12"/>
  <c r="C14" i="12"/>
  <c r="C15" i="12"/>
  <c r="C16" i="12"/>
  <c r="C17" i="12"/>
  <c r="C18" i="12"/>
  <c r="C19" i="12"/>
  <c r="C20" i="12"/>
  <c r="C21" i="12"/>
  <c r="C22" i="12"/>
  <c r="C23" i="12"/>
  <c r="C24" i="12"/>
  <c r="C25" i="12"/>
  <c r="C26" i="12"/>
  <c r="C27" i="12"/>
  <c r="C28" i="12"/>
  <c r="C29" i="12"/>
  <c r="C30" i="12"/>
  <c r="C31" i="12"/>
  <c r="C32" i="12"/>
  <c r="C33" i="12"/>
  <c r="C34" i="12"/>
  <c r="C35" i="12"/>
  <c r="C36" i="12"/>
  <c r="C37" i="12"/>
  <c r="C38" i="12"/>
  <c r="C39" i="12"/>
  <c r="C40" i="12"/>
  <c r="C41" i="12"/>
  <c r="C42" i="12"/>
  <c r="C43" i="12"/>
  <c r="C44" i="12"/>
  <c r="C45" i="12"/>
  <c r="C46" i="12"/>
  <c r="C47" i="12"/>
  <c r="C48" i="12"/>
  <c r="C49" i="12"/>
  <c r="C50" i="12"/>
  <c r="C51" i="12"/>
  <c r="C52" i="12"/>
  <c r="C53" i="12"/>
  <c r="C54" i="12"/>
  <c r="C55" i="12"/>
  <c r="C56" i="12"/>
  <c r="C57" i="12"/>
  <c r="C58" i="12"/>
  <c r="C59" i="12"/>
  <c r="C60" i="12"/>
  <c r="C61" i="12"/>
  <c r="C62" i="12"/>
  <c r="C63" i="12"/>
  <c r="C64" i="12"/>
  <c r="C65" i="12"/>
  <c r="C66" i="12"/>
  <c r="B67" i="12"/>
  <c r="C3" i="11"/>
  <c r="F3" i="11" s="1" a="1"/>
  <c r="F3" i="11" s="1"/>
  <c r="C4" i="11"/>
  <c r="J3" i="11"/>
  <c r="C5" i="11"/>
  <c r="J4" i="11"/>
  <c r="C6" i="11"/>
  <c r="J5" i="11"/>
  <c r="C7" i="11"/>
  <c r="J6" i="11"/>
  <c r="C8" i="11"/>
  <c r="J7" i="11"/>
  <c r="C9" i="11"/>
  <c r="J8" i="11"/>
  <c r="C10" i="11"/>
  <c r="J9" i="11"/>
  <c r="C11" i="11"/>
  <c r="J10" i="11"/>
  <c r="C12" i="11"/>
  <c r="J11" i="11"/>
  <c r="C13" i="11"/>
  <c r="J12" i="11"/>
  <c r="C14" i="11"/>
  <c r="C15" i="11"/>
  <c r="C16" i="11"/>
  <c r="C17" i="11"/>
  <c r="C18" i="11"/>
  <c r="C19" i="11"/>
  <c r="C20" i="11"/>
  <c r="C21" i="11"/>
  <c r="C22" i="11"/>
  <c r="C23" i="11"/>
  <c r="C24" i="11"/>
  <c r="C25" i="11"/>
  <c r="C26" i="11"/>
  <c r="C27" i="11"/>
  <c r="C28" i="11"/>
  <c r="C29" i="11"/>
  <c r="C30" i="11"/>
  <c r="C31" i="11"/>
  <c r="C32" i="11"/>
  <c r="C33" i="11"/>
  <c r="C34" i="11"/>
  <c r="C35" i="11"/>
  <c r="C36" i="11"/>
  <c r="C37" i="11"/>
  <c r="C38" i="11"/>
  <c r="C39" i="11"/>
  <c r="C40" i="11"/>
  <c r="C41" i="11"/>
  <c r="C42" i="11"/>
  <c r="C43" i="11"/>
  <c r="C44" i="11"/>
  <c r="C45" i="11"/>
  <c r="C46" i="11"/>
  <c r="C47" i="11"/>
  <c r="C48" i="11"/>
  <c r="C49" i="11"/>
  <c r="C50" i="11"/>
  <c r="C51" i="11"/>
  <c r="C52" i="11"/>
  <c r="C53" i="11"/>
  <c r="C54" i="11"/>
  <c r="C55" i="11"/>
  <c r="C56" i="11"/>
  <c r="C57" i="11"/>
  <c r="C58" i="11"/>
  <c r="C59" i="11"/>
  <c r="C60" i="11"/>
  <c r="C61" i="11"/>
  <c r="C62" i="11"/>
  <c r="C63" i="11"/>
  <c r="C64" i="11"/>
  <c r="C65" i="11"/>
  <c r="C66" i="11"/>
  <c r="B67" i="11"/>
  <c r="C3" i="10"/>
  <c r="C4" i="10"/>
  <c r="J3" i="10"/>
  <c r="C5" i="10"/>
  <c r="J4" i="10"/>
  <c r="C6" i="10"/>
  <c r="J5" i="10"/>
  <c r="C7" i="10"/>
  <c r="J6" i="10"/>
  <c r="C8" i="10"/>
  <c r="F3" i="10" s="1" a="1"/>
  <c r="F3" i="10" s="1"/>
  <c r="J7" i="10"/>
  <c r="C9" i="10"/>
  <c r="J8" i="10"/>
  <c r="C10" i="10"/>
  <c r="J9" i="10"/>
  <c r="C11" i="10"/>
  <c r="J10" i="10"/>
  <c r="C12" i="10"/>
  <c r="J11" i="10"/>
  <c r="C13" i="10"/>
  <c r="J12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B67" i="10"/>
  <c r="C3" i="9"/>
  <c r="F3" i="9" s="1" a="1"/>
  <c r="F3" i="9" s="1"/>
  <c r="C4" i="9"/>
  <c r="J3" i="9"/>
  <c r="C5" i="9"/>
  <c r="J4" i="9"/>
  <c r="C6" i="9"/>
  <c r="J5" i="9"/>
  <c r="C7" i="9"/>
  <c r="J6" i="9"/>
  <c r="C8" i="9"/>
  <c r="J7" i="9"/>
  <c r="C9" i="9"/>
  <c r="J8" i="9"/>
  <c r="C10" i="9"/>
  <c r="J9" i="9"/>
  <c r="C11" i="9"/>
  <c r="J10" i="9"/>
  <c r="C12" i="9"/>
  <c r="J11" i="9"/>
  <c r="C13" i="9"/>
  <c r="J12" i="9"/>
  <c r="C14" i="9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61" i="9"/>
  <c r="C62" i="9"/>
  <c r="C63" i="9"/>
  <c r="C64" i="9"/>
  <c r="C65" i="9"/>
  <c r="C66" i="9"/>
  <c r="B67" i="9"/>
  <c r="C3" i="8"/>
  <c r="F3" i="8" s="1" a="1"/>
  <c r="F3" i="8" s="1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B67" i="8"/>
  <c r="C3" i="7"/>
  <c r="F3" i="7" s="1" a="1"/>
  <c r="F3" i="7" s="1"/>
  <c r="C4" i="7"/>
  <c r="J3" i="7"/>
  <c r="C5" i="7"/>
  <c r="J4" i="7"/>
  <c r="C6" i="7"/>
  <c r="J5" i="7"/>
  <c r="C7" i="7"/>
  <c r="J6" i="7"/>
  <c r="C8" i="7"/>
  <c r="J7" i="7"/>
  <c r="C9" i="7"/>
  <c r="J8" i="7"/>
  <c r="C10" i="7"/>
  <c r="J9" i="7"/>
  <c r="C11" i="7"/>
  <c r="J10" i="7"/>
  <c r="C12" i="7"/>
  <c r="J11" i="7"/>
  <c r="C13" i="7"/>
  <c r="J12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B67" i="7"/>
  <c r="C3" i="6"/>
  <c r="C4" i="6"/>
  <c r="J3" i="6"/>
  <c r="C5" i="6"/>
  <c r="J4" i="6"/>
  <c r="C6" i="6"/>
  <c r="J5" i="6"/>
  <c r="C7" i="6"/>
  <c r="F3" i="6" s="1" a="1"/>
  <c r="F3" i="6" s="1"/>
  <c r="J6" i="6"/>
  <c r="C8" i="6"/>
  <c r="J7" i="6"/>
  <c r="C9" i="6"/>
  <c r="J8" i="6"/>
  <c r="C10" i="6"/>
  <c r="J9" i="6"/>
  <c r="C11" i="6"/>
  <c r="J10" i="6"/>
  <c r="C12" i="6"/>
  <c r="J11" i="6"/>
  <c r="C13" i="6"/>
  <c r="J12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B67" i="6"/>
  <c r="C3" i="5"/>
  <c r="F3" i="5" s="1" a="1"/>
  <c r="F3" i="5" s="1"/>
  <c r="J3" i="5"/>
  <c r="C4" i="5"/>
  <c r="J4" i="5"/>
  <c r="C5" i="5"/>
  <c r="J5" i="5"/>
  <c r="C6" i="5"/>
  <c r="J6" i="5"/>
  <c r="C7" i="5"/>
  <c r="J7" i="5"/>
  <c r="C8" i="5"/>
  <c r="J8" i="5"/>
  <c r="C9" i="5"/>
  <c r="J9" i="5"/>
  <c r="C10" i="5"/>
  <c r="J10" i="5"/>
  <c r="C11" i="5"/>
  <c r="J11" i="5"/>
  <c r="C12" i="5"/>
  <c r="J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B67" i="5"/>
  <c r="AE6" i="4"/>
  <c r="G10" i="4"/>
  <c r="K10" i="4"/>
  <c r="M10" i="4"/>
  <c r="N10" i="4"/>
  <c r="O10" i="4"/>
  <c r="G11" i="4"/>
  <c r="K11" i="4"/>
  <c r="M11" i="4"/>
  <c r="G12" i="4"/>
  <c r="K12" i="4"/>
  <c r="M12" i="4"/>
  <c r="AB12" i="4"/>
  <c r="AC12" i="4"/>
  <c r="AD12" i="4"/>
  <c r="AE12" i="4"/>
  <c r="G13" i="4"/>
  <c r="K13" i="4"/>
  <c r="M13" i="4"/>
  <c r="AB13" i="4"/>
  <c r="AC13" i="4"/>
  <c r="AD13" i="4"/>
  <c r="AE13" i="4"/>
  <c r="AF13" i="4"/>
  <c r="AG13" i="4"/>
  <c r="G14" i="4"/>
  <c r="K14" i="4"/>
  <c r="M14" i="4"/>
  <c r="N14" i="4"/>
  <c r="O14" i="4"/>
  <c r="AB14" i="4"/>
  <c r="AF14" i="4" s="1"/>
  <c r="AC14" i="4"/>
  <c r="AD14" i="4"/>
  <c r="AE14" i="4"/>
  <c r="N15" i="4"/>
  <c r="AB15" i="4"/>
  <c r="AC15" i="4"/>
  <c r="AD15" i="4"/>
  <c r="AE15" i="4"/>
  <c r="AF15" i="4"/>
  <c r="AG15" i="4"/>
  <c r="N18" i="4"/>
  <c r="O18" i="4"/>
  <c r="G19" i="4"/>
  <c r="K19" i="4"/>
  <c r="M19" i="4"/>
  <c r="G20" i="4"/>
  <c r="K20" i="4"/>
  <c r="N20" i="4" s="1"/>
  <c r="M20" i="4"/>
  <c r="P20" i="4"/>
  <c r="Q20" i="4"/>
  <c r="G21" i="4"/>
  <c r="K21" i="4"/>
  <c r="M21" i="4"/>
  <c r="N21" i="4" s="1"/>
  <c r="G22" i="4"/>
  <c r="K22" i="4"/>
  <c r="M22" i="4"/>
  <c r="N22" i="4"/>
  <c r="O22" i="4"/>
  <c r="P22" i="4"/>
  <c r="Q22" i="4"/>
  <c r="R22" i="4"/>
  <c r="S22" i="4"/>
  <c r="G23" i="4"/>
  <c r="K23" i="4"/>
  <c r="M23" i="4"/>
  <c r="O32" i="4"/>
  <c r="R32" i="4"/>
  <c r="N34" i="4"/>
  <c r="O34" i="4"/>
  <c r="G35" i="4"/>
  <c r="K35" i="4"/>
  <c r="M35" i="4"/>
  <c r="N35" i="4"/>
  <c r="G36" i="4"/>
  <c r="N36" i="4"/>
  <c r="O36" i="4"/>
  <c r="S36" i="4"/>
  <c r="G37" i="4"/>
  <c r="K37" i="4"/>
  <c r="M37" i="4"/>
  <c r="N37" i="4"/>
  <c r="G38" i="4"/>
  <c r="K38" i="4"/>
  <c r="M38" i="4"/>
  <c r="N38" i="4"/>
  <c r="O38" i="4"/>
  <c r="Q38" i="4"/>
  <c r="G39" i="4"/>
  <c r="K39" i="4"/>
  <c r="M39" i="4"/>
  <c r="N39" i="4"/>
  <c r="N42" i="4"/>
  <c r="G43" i="4"/>
  <c r="K43" i="4"/>
  <c r="N43" i="4" s="1"/>
  <c r="M43" i="4"/>
  <c r="AE43" i="4"/>
  <c r="G44" i="4"/>
  <c r="K44" i="4"/>
  <c r="M44" i="4"/>
  <c r="N44" i="4"/>
  <c r="O44" i="4" s="1"/>
  <c r="G45" i="4"/>
  <c r="K45" i="4"/>
  <c r="N45" i="4" s="1"/>
  <c r="M45" i="4"/>
  <c r="S45" i="4"/>
  <c r="G46" i="4"/>
  <c r="K46" i="4"/>
  <c r="M46" i="4"/>
  <c r="N46" i="4"/>
  <c r="O46" i="4"/>
  <c r="G47" i="4"/>
  <c r="K47" i="4"/>
  <c r="N47" i="4" s="1"/>
  <c r="M47" i="4"/>
  <c r="AB48" i="4"/>
  <c r="AC48" i="4"/>
  <c r="AD48" i="4"/>
  <c r="AE48" i="4"/>
  <c r="AB49" i="4"/>
  <c r="AC49" i="4"/>
  <c r="AD49" i="4"/>
  <c r="AE49" i="4"/>
  <c r="G50" i="4"/>
  <c r="K50" i="4"/>
  <c r="M50" i="4"/>
  <c r="N50" i="4"/>
  <c r="O50" i="4"/>
  <c r="AB50" i="4"/>
  <c r="AC50" i="4"/>
  <c r="AD50" i="4"/>
  <c r="AE50" i="4"/>
  <c r="G51" i="4"/>
  <c r="K51" i="4"/>
  <c r="N51" i="4" s="1"/>
  <c r="M51" i="4"/>
  <c r="AB51" i="4"/>
  <c r="AC51" i="4"/>
  <c r="AD51" i="4"/>
  <c r="AE51" i="4"/>
  <c r="AF51" i="4"/>
  <c r="AG51" i="4"/>
  <c r="G52" i="4"/>
  <c r="K52" i="4"/>
  <c r="M52" i="4"/>
  <c r="AB52" i="4"/>
  <c r="AC52" i="4"/>
  <c r="AD52" i="4"/>
  <c r="AE52" i="4"/>
  <c r="AF52" i="4"/>
  <c r="P78" i="4" s="1"/>
  <c r="AG52" i="4"/>
  <c r="G53" i="4"/>
  <c r="K53" i="4"/>
  <c r="N53" i="4" s="1"/>
  <c r="M53" i="4"/>
  <c r="AB53" i="4"/>
  <c r="AC53" i="4"/>
  <c r="AD53" i="4"/>
  <c r="AE53" i="4"/>
  <c r="AF53" i="4"/>
  <c r="AG53" i="4" s="1"/>
  <c r="G54" i="4"/>
  <c r="K54" i="4"/>
  <c r="M54" i="4"/>
  <c r="N54" i="4"/>
  <c r="O54" i="4"/>
  <c r="P54" i="4"/>
  <c r="R54" i="4"/>
  <c r="S54" i="4"/>
  <c r="N55" i="4"/>
  <c r="G58" i="4"/>
  <c r="K58" i="4"/>
  <c r="M58" i="4"/>
  <c r="N58" i="4"/>
  <c r="G59" i="4"/>
  <c r="K59" i="4"/>
  <c r="M59" i="4"/>
  <c r="N59" i="4"/>
  <c r="O59" i="4"/>
  <c r="G60" i="4"/>
  <c r="K60" i="4"/>
  <c r="M60" i="4"/>
  <c r="G61" i="4"/>
  <c r="K61" i="4"/>
  <c r="N61" i="4" s="1"/>
  <c r="M61" i="4"/>
  <c r="O61" i="4"/>
  <c r="S61" i="4"/>
  <c r="G62" i="4"/>
  <c r="K62" i="4"/>
  <c r="M62" i="4"/>
  <c r="N62" i="4" s="1"/>
  <c r="P62" i="4"/>
  <c r="Q62" i="4"/>
  <c r="R62" i="4"/>
  <c r="N63" i="4"/>
  <c r="N66" i="4"/>
  <c r="O66" i="4"/>
  <c r="G67" i="4"/>
  <c r="K67" i="4"/>
  <c r="M67" i="4"/>
  <c r="N67" i="4"/>
  <c r="G68" i="4"/>
  <c r="K68" i="4"/>
  <c r="M68" i="4"/>
  <c r="N68" i="4"/>
  <c r="O68" i="4"/>
  <c r="G69" i="4"/>
  <c r="K69" i="4"/>
  <c r="M69" i="4"/>
  <c r="N69" i="4"/>
  <c r="O69" i="4"/>
  <c r="P69" i="4"/>
  <c r="Q69" i="4"/>
  <c r="R69" i="4"/>
  <c r="S69" i="4"/>
  <c r="G70" i="4"/>
  <c r="K70" i="4"/>
  <c r="M70" i="4"/>
  <c r="N70" i="4"/>
  <c r="P70" i="4"/>
  <c r="R70" i="4"/>
  <c r="G71" i="4"/>
  <c r="K71" i="4"/>
  <c r="M71" i="4"/>
  <c r="N71" i="4"/>
  <c r="G74" i="4"/>
  <c r="O74" i="4" s="1"/>
  <c r="K74" i="4"/>
  <c r="N74" i="4" s="1"/>
  <c r="M74" i="4"/>
  <c r="G75" i="4"/>
  <c r="K75" i="4"/>
  <c r="M75" i="4"/>
  <c r="N75" i="4"/>
  <c r="O75" i="4"/>
  <c r="G76" i="4"/>
  <c r="K76" i="4"/>
  <c r="M76" i="4"/>
  <c r="N76" i="4" s="1"/>
  <c r="O80" i="4" s="1"/>
  <c r="G77" i="4"/>
  <c r="K77" i="4"/>
  <c r="N77" i="4" s="1"/>
  <c r="M77" i="4"/>
  <c r="G78" i="4"/>
  <c r="K78" i="4"/>
  <c r="M78" i="4"/>
  <c r="N78" i="4"/>
  <c r="O78" i="4" s="1"/>
  <c r="S78" i="4"/>
  <c r="N79" i="4"/>
  <c r="N82" i="4"/>
  <c r="O82" i="4"/>
  <c r="G83" i="4"/>
  <c r="K83" i="4"/>
  <c r="M83" i="4"/>
  <c r="N83" i="4"/>
  <c r="O83" i="4"/>
  <c r="G84" i="4"/>
  <c r="K84" i="4"/>
  <c r="M84" i="4"/>
  <c r="N84" i="4"/>
  <c r="G85" i="4"/>
  <c r="K85" i="4"/>
  <c r="M85" i="4"/>
  <c r="N85" i="4" s="1"/>
  <c r="R85" i="4"/>
  <c r="G86" i="4"/>
  <c r="K86" i="4"/>
  <c r="M86" i="4"/>
  <c r="N86" i="4"/>
  <c r="O86" i="4"/>
  <c r="G87" i="4"/>
  <c r="K87" i="4"/>
  <c r="M87" i="4"/>
  <c r="N87" i="4"/>
  <c r="G90" i="4"/>
  <c r="K90" i="4"/>
  <c r="N90" i="4" s="1"/>
  <c r="M90" i="4"/>
  <c r="O90" i="4"/>
  <c r="G91" i="4"/>
  <c r="K91" i="4"/>
  <c r="N91" i="4" s="1"/>
  <c r="M91" i="4"/>
  <c r="G92" i="4"/>
  <c r="K92" i="4"/>
  <c r="M92" i="4"/>
  <c r="N92" i="4"/>
  <c r="O92" i="4"/>
  <c r="G93" i="4"/>
  <c r="K93" i="4"/>
  <c r="M93" i="4"/>
  <c r="N93" i="4"/>
  <c r="O93" i="4"/>
  <c r="Q93" i="4"/>
  <c r="R93" i="4"/>
  <c r="G94" i="4"/>
  <c r="K94" i="4"/>
  <c r="M94" i="4"/>
  <c r="N94" i="4"/>
  <c r="O94" i="4"/>
  <c r="R94" i="4"/>
  <c r="S94" i="4"/>
  <c r="N95" i="4"/>
  <c r="G98" i="4"/>
  <c r="O98" i="4" s="1"/>
  <c r="K98" i="4"/>
  <c r="M98" i="4"/>
  <c r="N98" i="4"/>
  <c r="G99" i="4"/>
  <c r="K99" i="4"/>
  <c r="M99" i="4"/>
  <c r="N99" i="4"/>
  <c r="O99" i="4"/>
  <c r="G100" i="4"/>
  <c r="K100" i="4"/>
  <c r="N100" i="4" s="1"/>
  <c r="M100" i="4"/>
  <c r="O100" i="4"/>
  <c r="G101" i="4"/>
  <c r="K101" i="4"/>
  <c r="N101" i="4" s="1"/>
  <c r="M101" i="4"/>
  <c r="G102" i="4"/>
  <c r="K102" i="4"/>
  <c r="M102" i="4"/>
  <c r="N102" i="4"/>
  <c r="O102" i="4"/>
  <c r="P102" i="4"/>
  <c r="N103" i="4"/>
  <c r="N106" i="4"/>
  <c r="G107" i="4"/>
  <c r="K107" i="4"/>
  <c r="M107" i="4"/>
  <c r="N107" i="4"/>
  <c r="O107" i="4"/>
  <c r="G108" i="4"/>
  <c r="K108" i="4"/>
  <c r="N108" i="4" s="1"/>
  <c r="M108" i="4"/>
  <c r="O108" i="4"/>
  <c r="G109" i="4"/>
  <c r="K109" i="4"/>
  <c r="M109" i="4"/>
  <c r="N109" i="4"/>
  <c r="Q109" i="4"/>
  <c r="R109" i="4"/>
  <c r="G110" i="4"/>
  <c r="K110" i="4"/>
  <c r="M110" i="4"/>
  <c r="N110" i="4"/>
  <c r="G111" i="4"/>
  <c r="K111" i="4"/>
  <c r="M111" i="4"/>
  <c r="N111" i="4"/>
  <c r="G114" i="4"/>
  <c r="K114" i="4"/>
  <c r="M114" i="4"/>
  <c r="G115" i="4"/>
  <c r="K115" i="4"/>
  <c r="M115" i="4"/>
  <c r="N115" i="4" s="1"/>
  <c r="O115" i="4" s="1"/>
  <c r="G116" i="4"/>
  <c r="K116" i="4"/>
  <c r="M116" i="4"/>
  <c r="N116" i="4"/>
  <c r="O116" i="4"/>
  <c r="G117" i="4"/>
  <c r="K117" i="4"/>
  <c r="M117" i="4"/>
  <c r="N117" i="4"/>
  <c r="O117" i="4"/>
  <c r="S117" i="4"/>
  <c r="G118" i="4"/>
  <c r="K118" i="4"/>
  <c r="M118" i="4"/>
  <c r="N118" i="4"/>
  <c r="O118" i="4"/>
  <c r="P118" i="4"/>
  <c r="Q118" i="4"/>
  <c r="R118" i="4"/>
  <c r="S118" i="4"/>
  <c r="N119" i="4"/>
  <c r="N122" i="4"/>
  <c r="O122" i="4"/>
  <c r="G123" i="4"/>
  <c r="K123" i="4"/>
  <c r="M123" i="4"/>
  <c r="N123" i="4"/>
  <c r="O123" i="4"/>
  <c r="G124" i="4"/>
  <c r="K124" i="4"/>
  <c r="M124" i="4"/>
  <c r="N124" i="4"/>
  <c r="O124" i="4" s="1"/>
  <c r="G125" i="4"/>
  <c r="R125" i="4" s="1"/>
  <c r="K125" i="4"/>
  <c r="M125" i="4"/>
  <c r="P125" i="4"/>
  <c r="Q125" i="4"/>
  <c r="S125" i="4"/>
  <c r="G126" i="4"/>
  <c r="K126" i="4"/>
  <c r="N126" i="4" s="1"/>
  <c r="M126" i="4"/>
  <c r="R126" i="4"/>
  <c r="S126" i="4"/>
  <c r="G127" i="4"/>
  <c r="K127" i="4"/>
  <c r="N127" i="4" s="1"/>
  <c r="M127" i="4"/>
  <c r="G130" i="4"/>
  <c r="K130" i="4"/>
  <c r="M130" i="4"/>
  <c r="G131" i="4"/>
  <c r="K131" i="4"/>
  <c r="M131" i="4"/>
  <c r="N131" i="4"/>
  <c r="G132" i="4"/>
  <c r="K132" i="4"/>
  <c r="M132" i="4"/>
  <c r="N132" i="4"/>
  <c r="O132" i="4"/>
  <c r="G133" i="4"/>
  <c r="K133" i="4"/>
  <c r="M133" i="4"/>
  <c r="N133" i="4"/>
  <c r="G134" i="4"/>
  <c r="K134" i="4"/>
  <c r="M134" i="4"/>
  <c r="P134" i="4"/>
  <c r="N135" i="4"/>
  <c r="N138" i="4"/>
  <c r="O138" i="4"/>
  <c r="G139" i="4"/>
  <c r="O139" i="4" s="1"/>
  <c r="K139" i="4"/>
  <c r="M139" i="4"/>
  <c r="N139" i="4"/>
  <c r="G140" i="4"/>
  <c r="K140" i="4"/>
  <c r="M140" i="4"/>
  <c r="N140" i="4"/>
  <c r="G141" i="4"/>
  <c r="K141" i="4"/>
  <c r="M141" i="4"/>
  <c r="N141" i="4"/>
  <c r="O141" i="4" s="1"/>
  <c r="G142" i="4"/>
  <c r="K142" i="4"/>
  <c r="N142" i="4" s="1"/>
  <c r="M142" i="4"/>
  <c r="G143" i="4"/>
  <c r="K143" i="4"/>
  <c r="N143" i="4" s="1"/>
  <c r="M143" i="4"/>
  <c r="G146" i="4"/>
  <c r="K146" i="4"/>
  <c r="N146" i="4" s="1"/>
  <c r="M146" i="4"/>
  <c r="G147" i="4"/>
  <c r="K147" i="4"/>
  <c r="M147" i="4"/>
  <c r="N147" i="4" s="1"/>
  <c r="O147" i="4" s="1"/>
  <c r="G148" i="4"/>
  <c r="K148" i="4"/>
  <c r="M148" i="4"/>
  <c r="N148" i="4"/>
  <c r="O148" i="4"/>
  <c r="G149" i="4"/>
  <c r="K149" i="4"/>
  <c r="M149" i="4"/>
  <c r="G150" i="4"/>
  <c r="K150" i="4"/>
  <c r="M150" i="4"/>
  <c r="N150" i="4"/>
  <c r="N151" i="4"/>
  <c r="N154" i="4"/>
  <c r="O154" i="4"/>
  <c r="G155" i="4"/>
  <c r="K155" i="4"/>
  <c r="M155" i="4"/>
  <c r="G156" i="4"/>
  <c r="O156" i="4" s="1"/>
  <c r="K156" i="4"/>
  <c r="M156" i="4"/>
  <c r="N156" i="4"/>
  <c r="G157" i="4"/>
  <c r="K157" i="4"/>
  <c r="M157" i="4"/>
  <c r="S157" i="4"/>
  <c r="G158" i="4"/>
  <c r="K158" i="4"/>
  <c r="M158" i="4"/>
  <c r="N158" i="4"/>
  <c r="G159" i="4"/>
  <c r="K159" i="4"/>
  <c r="N159" i="4" s="1"/>
  <c r="M159" i="4"/>
  <c r="G162" i="4"/>
  <c r="K162" i="4"/>
  <c r="M162" i="4"/>
  <c r="N162" i="4"/>
  <c r="O162" i="4"/>
  <c r="G163" i="4"/>
  <c r="K163" i="4"/>
  <c r="M163" i="4"/>
  <c r="G164" i="4"/>
  <c r="K164" i="4"/>
  <c r="M164" i="4"/>
  <c r="N164" i="4"/>
  <c r="G165" i="4"/>
  <c r="K165" i="4"/>
  <c r="M165" i="4"/>
  <c r="N165" i="4"/>
  <c r="G166" i="4"/>
  <c r="O166" i="4" s="1"/>
  <c r="K166" i="4"/>
  <c r="M166" i="4"/>
  <c r="N166" i="4"/>
  <c r="P166" i="4"/>
  <c r="Q166" i="4"/>
  <c r="N167" i="4"/>
  <c r="N170" i="4"/>
  <c r="G171" i="4"/>
  <c r="K171" i="4"/>
  <c r="M171" i="4"/>
  <c r="N171" i="4"/>
  <c r="O171" i="4"/>
  <c r="G172" i="4"/>
  <c r="K172" i="4"/>
  <c r="M172" i="4"/>
  <c r="N172" i="4" s="1"/>
  <c r="G173" i="4"/>
  <c r="K173" i="4"/>
  <c r="N173" i="4" s="1"/>
  <c r="O173" i="4" s="1"/>
  <c r="M173" i="4"/>
  <c r="P173" i="4"/>
  <c r="Q173" i="4"/>
  <c r="G174" i="4"/>
  <c r="K174" i="4"/>
  <c r="N174" i="4" s="1"/>
  <c r="O174" i="4" s="1"/>
  <c r="M174" i="4"/>
  <c r="S174" i="4"/>
  <c r="G175" i="4"/>
  <c r="K175" i="4"/>
  <c r="M175" i="4"/>
  <c r="N175" i="4"/>
  <c r="G178" i="4"/>
  <c r="K178" i="4"/>
  <c r="M178" i="4"/>
  <c r="N178" i="4"/>
  <c r="O178" i="4"/>
  <c r="G179" i="4"/>
  <c r="K179" i="4"/>
  <c r="M179" i="4"/>
  <c r="N179" i="4"/>
  <c r="O179" i="4"/>
  <c r="G180" i="4"/>
  <c r="K180" i="4"/>
  <c r="N180" i="4" s="1"/>
  <c r="O180" i="4" s="1"/>
  <c r="M180" i="4"/>
  <c r="G181" i="4"/>
  <c r="K181" i="4"/>
  <c r="M181" i="4"/>
  <c r="R181" i="4"/>
  <c r="S181" i="4"/>
  <c r="G182" i="4"/>
  <c r="M182" i="4"/>
  <c r="N182" i="4"/>
  <c r="O182" i="4"/>
  <c r="P182" i="4"/>
  <c r="N183" i="4"/>
  <c r="N186" i="4"/>
  <c r="O186" i="4"/>
  <c r="G187" i="4"/>
  <c r="K187" i="4"/>
  <c r="N187" i="4" s="1"/>
  <c r="O187" i="4" s="1"/>
  <c r="M187" i="4"/>
  <c r="G188" i="4"/>
  <c r="K188" i="4"/>
  <c r="M188" i="4"/>
  <c r="N188" i="4"/>
  <c r="O188" i="4" s="1"/>
  <c r="G189" i="4"/>
  <c r="K189" i="4"/>
  <c r="M189" i="4"/>
  <c r="N189" i="4"/>
  <c r="R189" i="4"/>
  <c r="S189" i="4"/>
  <c r="G190" i="4"/>
  <c r="K190" i="4"/>
  <c r="N190" i="4" s="1"/>
  <c r="M190" i="4"/>
  <c r="G191" i="4"/>
  <c r="K191" i="4"/>
  <c r="M191" i="4"/>
  <c r="N194" i="4"/>
  <c r="O194" i="4"/>
  <c r="G195" i="4"/>
  <c r="K195" i="4"/>
  <c r="M195" i="4"/>
  <c r="G196" i="4"/>
  <c r="K196" i="4"/>
  <c r="M196" i="4"/>
  <c r="N196" i="4"/>
  <c r="O196" i="4"/>
  <c r="G197" i="4"/>
  <c r="K197" i="4"/>
  <c r="N197" i="4" s="1"/>
  <c r="O197" i="4" s="1"/>
  <c r="M197" i="4"/>
  <c r="S197" i="4"/>
  <c r="N198" i="4"/>
  <c r="Q198" i="4"/>
  <c r="R198" i="4"/>
  <c r="S198" i="4"/>
  <c r="G199" i="4"/>
  <c r="K199" i="4"/>
  <c r="N199" i="4" s="1"/>
  <c r="M199" i="4"/>
  <c r="N202" i="4"/>
  <c r="O202" i="4"/>
  <c r="G203" i="4"/>
  <c r="K203" i="4"/>
  <c r="M203" i="4"/>
  <c r="N203" i="4"/>
  <c r="O203" i="4"/>
  <c r="G204" i="4"/>
  <c r="K204" i="4"/>
  <c r="M204" i="4"/>
  <c r="N204" i="4"/>
  <c r="G205" i="4"/>
  <c r="S205" i="4" s="1"/>
  <c r="N205" i="4"/>
  <c r="Q205" i="4"/>
  <c r="R205" i="4"/>
  <c r="G206" i="4"/>
  <c r="N206" i="4"/>
  <c r="G207" i="4"/>
  <c r="N207" i="4"/>
  <c r="N210" i="4"/>
  <c r="O210" i="4"/>
  <c r="G211" i="4"/>
  <c r="K211" i="4"/>
  <c r="M211" i="4"/>
  <c r="N211" i="4"/>
  <c r="O211" i="4"/>
  <c r="G212" i="4"/>
  <c r="K212" i="4"/>
  <c r="M212" i="4"/>
  <c r="N212" i="4"/>
  <c r="G213" i="4"/>
  <c r="K213" i="4"/>
  <c r="N213" i="4" s="1"/>
  <c r="M213" i="4"/>
  <c r="G214" i="4"/>
  <c r="K214" i="4"/>
  <c r="M214" i="4"/>
  <c r="N214" i="4"/>
  <c r="O214" i="4"/>
  <c r="P214" i="4"/>
  <c r="Q214" i="4"/>
  <c r="R214" i="4"/>
  <c r="S214" i="4"/>
  <c r="G215" i="4"/>
  <c r="K215" i="4"/>
  <c r="M215" i="4"/>
  <c r="N215" i="4" s="1"/>
  <c r="O216" i="4"/>
  <c r="N218" i="4"/>
  <c r="O218" i="4"/>
  <c r="G219" i="4"/>
  <c r="K219" i="4"/>
  <c r="M219" i="4"/>
  <c r="N219" i="4"/>
  <c r="G220" i="4"/>
  <c r="K220" i="4"/>
  <c r="N220" i="4" s="1"/>
  <c r="M220" i="4"/>
  <c r="G221" i="4"/>
  <c r="P221" i="4" s="1"/>
  <c r="K221" i="4"/>
  <c r="M221" i="4"/>
  <c r="N221" i="4"/>
  <c r="O221" i="4"/>
  <c r="Q221" i="4"/>
  <c r="R221" i="4"/>
  <c r="S221" i="4"/>
  <c r="G222" i="4"/>
  <c r="K222" i="4"/>
  <c r="N222" i="4" s="1"/>
  <c r="M222" i="4"/>
  <c r="G223" i="4"/>
  <c r="K223" i="4"/>
  <c r="M223" i="4"/>
  <c r="N223" i="4"/>
  <c r="O224" i="4"/>
  <c r="N226" i="4"/>
  <c r="O226" i="4" s="1"/>
  <c r="G227" i="4"/>
  <c r="K227" i="4"/>
  <c r="M227" i="4"/>
  <c r="N227" i="4"/>
  <c r="G228" i="4"/>
  <c r="K228" i="4"/>
  <c r="M228" i="4"/>
  <c r="N228" i="4"/>
  <c r="G229" i="4"/>
  <c r="S229" i="4" s="1"/>
  <c r="K229" i="4"/>
  <c r="N229" i="4" s="1"/>
  <c r="M229" i="4"/>
  <c r="G230" i="4"/>
  <c r="K230" i="4"/>
  <c r="N230" i="4" s="1"/>
  <c r="M230" i="4"/>
  <c r="G231" i="4"/>
  <c r="K231" i="4"/>
  <c r="M231" i="4"/>
  <c r="N231" i="4"/>
  <c r="G234" i="4"/>
  <c r="O234" i="4" s="1"/>
  <c r="K234" i="4"/>
  <c r="M234" i="4"/>
  <c r="N234" i="4"/>
  <c r="G235" i="4"/>
  <c r="K235" i="4"/>
  <c r="M235" i="4"/>
  <c r="N235" i="4"/>
  <c r="O235" i="4"/>
  <c r="G236" i="4"/>
  <c r="K236" i="4"/>
  <c r="M236" i="4"/>
  <c r="G237" i="4"/>
  <c r="K237" i="4"/>
  <c r="N237" i="4" s="1"/>
  <c r="M237" i="4"/>
  <c r="O237" i="4"/>
  <c r="R237" i="4"/>
  <c r="S237" i="4"/>
  <c r="G238" i="4"/>
  <c r="K238" i="4"/>
  <c r="N238" i="4" s="1"/>
  <c r="O238" i="4" s="1"/>
  <c r="M238" i="4"/>
  <c r="P238" i="4"/>
  <c r="Q238" i="4"/>
  <c r="N239" i="4"/>
  <c r="N242" i="4"/>
  <c r="O242" i="4"/>
  <c r="G243" i="4"/>
  <c r="K243" i="4"/>
  <c r="M243" i="4"/>
  <c r="G244" i="4"/>
  <c r="K244" i="4"/>
  <c r="M244" i="4"/>
  <c r="N244" i="4"/>
  <c r="O244" i="4"/>
  <c r="G245" i="4"/>
  <c r="K245" i="4"/>
  <c r="M245" i="4"/>
  <c r="N245" i="4"/>
  <c r="P245" i="4"/>
  <c r="Q245" i="4"/>
  <c r="G246" i="4"/>
  <c r="K246" i="4"/>
  <c r="N246" i="4" s="1"/>
  <c r="M246" i="4"/>
  <c r="G247" i="4"/>
  <c r="K247" i="4"/>
  <c r="M247" i="4"/>
  <c r="N247" i="4"/>
  <c r="N250" i="4"/>
  <c r="O250" i="4"/>
  <c r="G251" i="4"/>
  <c r="K251" i="4"/>
  <c r="M251" i="4"/>
  <c r="N251" i="4"/>
  <c r="G252" i="4"/>
  <c r="K252" i="4"/>
  <c r="M252" i="4"/>
  <c r="N252" i="4"/>
  <c r="G253" i="4"/>
  <c r="K253" i="4"/>
  <c r="M253" i="4"/>
  <c r="N253" i="4"/>
  <c r="G254" i="4"/>
  <c r="K254" i="4"/>
  <c r="M254" i="4"/>
  <c r="N254" i="4" s="1"/>
  <c r="O254" i="4"/>
  <c r="P254" i="4"/>
  <c r="Q254" i="4"/>
  <c r="R254" i="4"/>
  <c r="G255" i="4"/>
  <c r="K255" i="4"/>
  <c r="M255" i="4"/>
  <c r="N255" i="4"/>
  <c r="O256" i="4"/>
  <c r="G258" i="4"/>
  <c r="K258" i="4"/>
  <c r="M258" i="4"/>
  <c r="G259" i="4"/>
  <c r="K259" i="4"/>
  <c r="M259" i="4"/>
  <c r="N259" i="4"/>
  <c r="G260" i="4"/>
  <c r="K260" i="4"/>
  <c r="M260" i="4"/>
  <c r="N260" i="4"/>
  <c r="G261" i="4"/>
  <c r="K261" i="4"/>
  <c r="M261" i="4"/>
  <c r="G262" i="4"/>
  <c r="K262" i="4"/>
  <c r="M262" i="4"/>
  <c r="N262" i="4"/>
  <c r="N263" i="4"/>
  <c r="G266" i="4"/>
  <c r="K266" i="4"/>
  <c r="M266" i="4"/>
  <c r="N266" i="4"/>
  <c r="G267" i="4"/>
  <c r="K267" i="4"/>
  <c r="M267" i="4"/>
  <c r="N267" i="4"/>
  <c r="O267" i="4"/>
  <c r="G268" i="4"/>
  <c r="K268" i="4"/>
  <c r="M268" i="4"/>
  <c r="G269" i="4"/>
  <c r="K269" i="4"/>
  <c r="M269" i="4"/>
  <c r="N269" i="4"/>
  <c r="O269" i="4"/>
  <c r="G270" i="4"/>
  <c r="K270" i="4"/>
  <c r="M270" i="4"/>
  <c r="N270" i="4"/>
  <c r="N271" i="4"/>
  <c r="N274" i="4"/>
  <c r="O274" i="4"/>
  <c r="G275" i="4"/>
  <c r="K275" i="4"/>
  <c r="M275" i="4"/>
  <c r="N275" i="4"/>
  <c r="G276" i="4"/>
  <c r="K276" i="4"/>
  <c r="M276" i="4"/>
  <c r="N276" i="4" s="1"/>
  <c r="O276" i="4" s="1"/>
  <c r="G277" i="4"/>
  <c r="K277" i="4"/>
  <c r="M277" i="4"/>
  <c r="N277" i="4"/>
  <c r="O277" i="4"/>
  <c r="P277" i="4"/>
  <c r="G278" i="4"/>
  <c r="K278" i="4"/>
  <c r="M278" i="4"/>
  <c r="N278" i="4"/>
  <c r="O278" i="4"/>
  <c r="Q278" i="4"/>
  <c r="R278" i="4"/>
  <c r="G279" i="4"/>
  <c r="K279" i="4"/>
  <c r="M279" i="4"/>
  <c r="N279" i="4"/>
  <c r="O280" i="4"/>
  <c r="N282" i="4"/>
  <c r="O282" i="4" s="1"/>
  <c r="G283" i="4"/>
  <c r="K283" i="4"/>
  <c r="M283" i="4"/>
  <c r="N283" i="4"/>
  <c r="O283" i="4"/>
  <c r="G284" i="4"/>
  <c r="K284" i="4"/>
  <c r="N284" i="4" s="1"/>
  <c r="M284" i="4"/>
  <c r="G285" i="4"/>
  <c r="K285" i="4"/>
  <c r="M285" i="4"/>
  <c r="G286" i="4"/>
  <c r="K286" i="4"/>
  <c r="M286" i="4"/>
  <c r="N286" i="4"/>
  <c r="O286" i="4"/>
  <c r="G287" i="4"/>
  <c r="K287" i="4"/>
  <c r="M287" i="4"/>
  <c r="N287" i="4"/>
  <c r="N290" i="4"/>
  <c r="O290" i="4" s="1"/>
  <c r="G291" i="4"/>
  <c r="K291" i="4"/>
  <c r="N291" i="4" s="1"/>
  <c r="O291" i="4" s="1"/>
  <c r="M291" i="4"/>
  <c r="G292" i="4"/>
  <c r="K292" i="4"/>
  <c r="M292" i="4"/>
  <c r="N292" i="4"/>
  <c r="O292" i="4" s="1"/>
  <c r="G293" i="4"/>
  <c r="K293" i="4"/>
  <c r="M293" i="4"/>
  <c r="N293" i="4"/>
  <c r="O293" i="4"/>
  <c r="P293" i="4"/>
  <c r="Q293" i="4"/>
  <c r="S293" i="4"/>
  <c r="G294" i="4"/>
  <c r="K294" i="4"/>
  <c r="M294" i="4"/>
  <c r="N294" i="4" s="1"/>
  <c r="O294" i="4" s="1"/>
  <c r="P294" i="4"/>
  <c r="R294" i="4"/>
  <c r="G295" i="4"/>
  <c r="K295" i="4"/>
  <c r="N295" i="4" s="1"/>
  <c r="M295" i="4"/>
  <c r="G298" i="4"/>
  <c r="K298" i="4"/>
  <c r="M298" i="4"/>
  <c r="N298" i="4"/>
  <c r="O298" i="4"/>
  <c r="G299" i="4"/>
  <c r="K299" i="4"/>
  <c r="N299" i="4" s="1"/>
  <c r="M299" i="4"/>
  <c r="G300" i="4"/>
  <c r="K300" i="4"/>
  <c r="M300" i="4"/>
  <c r="G301" i="4"/>
  <c r="K301" i="4"/>
  <c r="M301" i="4"/>
  <c r="N301" i="4"/>
  <c r="O301" i="4"/>
  <c r="G302" i="4"/>
  <c r="K302" i="4"/>
  <c r="M302" i="4"/>
  <c r="N303" i="4"/>
  <c r="N306" i="4"/>
  <c r="O306" i="4"/>
  <c r="G307" i="4"/>
  <c r="O307" i="4" s="1"/>
  <c r="K307" i="4"/>
  <c r="N307" i="4" s="1"/>
  <c r="M307" i="4"/>
  <c r="G308" i="4"/>
  <c r="K308" i="4"/>
  <c r="M308" i="4"/>
  <c r="N308" i="4"/>
  <c r="O308" i="4"/>
  <c r="G309" i="4"/>
  <c r="K309" i="4"/>
  <c r="M309" i="4"/>
  <c r="Q309" i="4"/>
  <c r="R309" i="4"/>
  <c r="S309" i="4"/>
  <c r="G310" i="4"/>
  <c r="K310" i="4"/>
  <c r="M310" i="4"/>
  <c r="N310" i="4"/>
  <c r="O310" i="4"/>
  <c r="P310" i="4"/>
  <c r="Q310" i="4"/>
  <c r="G311" i="4"/>
  <c r="K311" i="4"/>
  <c r="M311" i="4"/>
  <c r="N311" i="4" s="1"/>
  <c r="R320" i="4"/>
  <c r="N322" i="4"/>
  <c r="O322" i="4"/>
  <c r="G323" i="4"/>
  <c r="K323" i="4"/>
  <c r="N323" i="4" s="1"/>
  <c r="M323" i="4"/>
  <c r="O323" i="4"/>
  <c r="G324" i="4"/>
  <c r="K324" i="4"/>
  <c r="M324" i="4"/>
  <c r="N324" i="4" s="1"/>
  <c r="G325" i="4"/>
  <c r="K325" i="4"/>
  <c r="N325" i="4" s="1"/>
  <c r="M325" i="4"/>
  <c r="G326" i="4"/>
  <c r="K326" i="4"/>
  <c r="N326" i="4" s="1"/>
  <c r="M326" i="4"/>
  <c r="O326" i="4"/>
  <c r="G327" i="4"/>
  <c r="K327" i="4"/>
  <c r="M327" i="4"/>
  <c r="N327" i="4"/>
  <c r="R336" i="4"/>
  <c r="G338" i="4"/>
  <c r="K338" i="4"/>
  <c r="M338" i="4"/>
  <c r="G339" i="4"/>
  <c r="K339" i="4"/>
  <c r="M339" i="4"/>
  <c r="G340" i="4"/>
  <c r="K340" i="4"/>
  <c r="M340" i="4"/>
  <c r="N340" i="4"/>
  <c r="O340" i="4"/>
  <c r="G341" i="4"/>
  <c r="K341" i="4"/>
  <c r="N341" i="4" s="1"/>
  <c r="M341" i="4"/>
  <c r="G342" i="4"/>
  <c r="K342" i="4"/>
  <c r="M342" i="4"/>
  <c r="N343" i="4"/>
  <c r="R352" i="4"/>
  <c r="N354" i="4"/>
  <c r="O354" i="4"/>
  <c r="G355" i="4"/>
  <c r="K355" i="4"/>
  <c r="M355" i="4"/>
  <c r="N355" i="4"/>
  <c r="O355" i="4" s="1"/>
  <c r="G356" i="4"/>
  <c r="K356" i="4"/>
  <c r="M356" i="4"/>
  <c r="N356" i="4"/>
  <c r="G357" i="4"/>
  <c r="K357" i="4"/>
  <c r="N357" i="4" s="1"/>
  <c r="M357" i="4"/>
  <c r="O357" i="4"/>
  <c r="G358" i="4"/>
  <c r="K358" i="4"/>
  <c r="M358" i="4"/>
  <c r="N358" i="4"/>
  <c r="G359" i="4"/>
  <c r="K359" i="4"/>
  <c r="M359" i="4"/>
  <c r="N359" i="4"/>
  <c r="O360" i="4"/>
  <c r="G362" i="4"/>
  <c r="K362" i="4"/>
  <c r="M362" i="4"/>
  <c r="N362" i="4"/>
  <c r="O362" i="4"/>
  <c r="G363" i="4"/>
  <c r="K363" i="4"/>
  <c r="M363" i="4"/>
  <c r="N363" i="4"/>
  <c r="O368" i="4" s="1"/>
  <c r="G364" i="4"/>
  <c r="K364" i="4"/>
  <c r="M364" i="4"/>
  <c r="N364" i="4"/>
  <c r="O364" i="4"/>
  <c r="G365" i="4"/>
  <c r="K365" i="4"/>
  <c r="M365" i="4"/>
  <c r="N365" i="4"/>
  <c r="O365" i="4"/>
  <c r="G366" i="4"/>
  <c r="K366" i="4"/>
  <c r="M366" i="4"/>
  <c r="N367" i="4"/>
  <c r="G370" i="4"/>
  <c r="K370" i="4"/>
  <c r="M370" i="4"/>
  <c r="N370" i="4"/>
  <c r="O370" i="4"/>
  <c r="G371" i="4"/>
  <c r="K371" i="4"/>
  <c r="M371" i="4"/>
  <c r="N371" i="4"/>
  <c r="O376" i="4" s="1"/>
  <c r="O371" i="4"/>
  <c r="G372" i="4"/>
  <c r="K372" i="4"/>
  <c r="N372" i="4" s="1"/>
  <c r="M372" i="4"/>
  <c r="G373" i="4"/>
  <c r="K373" i="4"/>
  <c r="N373" i="4" s="1"/>
  <c r="M373" i="4"/>
  <c r="O373" i="4"/>
  <c r="G374" i="4"/>
  <c r="K374" i="4"/>
  <c r="M374" i="4"/>
  <c r="N374" i="4"/>
  <c r="O374" i="4"/>
  <c r="N375" i="4"/>
  <c r="N378" i="4"/>
  <c r="O378" i="4"/>
  <c r="G379" i="4"/>
  <c r="K379" i="4"/>
  <c r="N379" i="4" s="1"/>
  <c r="M379" i="4"/>
  <c r="O379" i="4"/>
  <c r="G380" i="4"/>
  <c r="K380" i="4"/>
  <c r="M380" i="4"/>
  <c r="N380" i="4"/>
  <c r="O380" i="4"/>
  <c r="G381" i="4"/>
  <c r="K381" i="4"/>
  <c r="M381" i="4"/>
  <c r="N381" i="4"/>
  <c r="O381" i="4"/>
  <c r="G382" i="4"/>
  <c r="K382" i="4"/>
  <c r="M382" i="4"/>
  <c r="N382" i="4"/>
  <c r="G383" i="4"/>
  <c r="K383" i="4"/>
  <c r="N383" i="4" s="1"/>
  <c r="M383" i="4"/>
  <c r="G386" i="4"/>
  <c r="K386" i="4"/>
  <c r="N386" i="4" s="1"/>
  <c r="M386" i="4"/>
  <c r="O386" i="4"/>
  <c r="G387" i="4"/>
  <c r="K387" i="4"/>
  <c r="M387" i="4"/>
  <c r="N387" i="4"/>
  <c r="O387" i="4"/>
  <c r="G388" i="4"/>
  <c r="K388" i="4"/>
  <c r="N388" i="4" s="1"/>
  <c r="M388" i="4"/>
  <c r="G389" i="4"/>
  <c r="K389" i="4"/>
  <c r="M389" i="4"/>
  <c r="N389" i="4"/>
  <c r="O389" i="4" s="1"/>
  <c r="G390" i="4"/>
  <c r="K390" i="4"/>
  <c r="M390" i="4"/>
  <c r="N390" i="4" s="1"/>
  <c r="N391" i="4"/>
  <c r="O392" i="4"/>
  <c r="N394" i="4"/>
  <c r="O394" i="4"/>
  <c r="G395" i="4"/>
  <c r="K395" i="4"/>
  <c r="M395" i="4"/>
  <c r="N395" i="4" s="1"/>
  <c r="O395" i="4" s="1"/>
  <c r="G396" i="4"/>
  <c r="O396" i="4" s="1"/>
  <c r="K396" i="4"/>
  <c r="M396" i="4"/>
  <c r="N396" i="4"/>
  <c r="G397" i="4"/>
  <c r="K397" i="4"/>
  <c r="M397" i="4"/>
  <c r="N397" i="4"/>
  <c r="G398" i="4"/>
  <c r="K398" i="4"/>
  <c r="N398" i="4" s="1"/>
  <c r="O398" i="4" s="1"/>
  <c r="M398" i="4"/>
  <c r="G399" i="4"/>
  <c r="K399" i="4"/>
  <c r="M399" i="4"/>
  <c r="N399" i="4"/>
  <c r="G402" i="4"/>
  <c r="K402" i="4"/>
  <c r="M402" i="4"/>
  <c r="AE402" i="4"/>
  <c r="G403" i="4"/>
  <c r="K403" i="4"/>
  <c r="M403" i="4"/>
  <c r="N403" i="4"/>
  <c r="G404" i="4"/>
  <c r="K404" i="4"/>
  <c r="N404" i="4" s="1"/>
  <c r="M404" i="4"/>
  <c r="G405" i="4"/>
  <c r="K405" i="4"/>
  <c r="M405" i="4"/>
  <c r="N405" i="4"/>
  <c r="O405" i="4"/>
  <c r="Q405" i="4"/>
  <c r="S405" i="4"/>
  <c r="G406" i="4"/>
  <c r="K406" i="4"/>
  <c r="M406" i="4"/>
  <c r="N407" i="4"/>
  <c r="AB407" i="4"/>
  <c r="AC407" i="4"/>
  <c r="AD407" i="4"/>
  <c r="AE407" i="4"/>
  <c r="AF407" i="4"/>
  <c r="AG407" i="4"/>
  <c r="AB408" i="4"/>
  <c r="AC408" i="4"/>
  <c r="AD408" i="4"/>
  <c r="AF408" i="4" s="1"/>
  <c r="AE408" i="4"/>
  <c r="AB409" i="4"/>
  <c r="AC409" i="4"/>
  <c r="AD409" i="4"/>
  <c r="AE409" i="4"/>
  <c r="AF409" i="4"/>
  <c r="AG409" i="4"/>
  <c r="N410" i="4"/>
  <c r="O410" i="4"/>
  <c r="AB410" i="4"/>
  <c r="AC410" i="4"/>
  <c r="AD410" i="4"/>
  <c r="AE410" i="4"/>
  <c r="AF410" i="4"/>
  <c r="Q421" i="4" s="1"/>
  <c r="G411" i="4"/>
  <c r="K411" i="4"/>
  <c r="N411" i="4" s="1"/>
  <c r="M411" i="4"/>
  <c r="O411" i="4"/>
  <c r="P411" i="4"/>
  <c r="Q411" i="4"/>
  <c r="R411" i="4"/>
  <c r="S411" i="4"/>
  <c r="AB411" i="4"/>
  <c r="AC411" i="4"/>
  <c r="AD411" i="4"/>
  <c r="AE411" i="4"/>
  <c r="AF411" i="4"/>
  <c r="G412" i="4"/>
  <c r="K412" i="4"/>
  <c r="N412" i="4" s="1"/>
  <c r="M412" i="4"/>
  <c r="AB412" i="4"/>
  <c r="AC412" i="4"/>
  <c r="AD412" i="4"/>
  <c r="AE412" i="4"/>
  <c r="AF412" i="4"/>
  <c r="AG412" i="4"/>
  <c r="G413" i="4"/>
  <c r="K413" i="4"/>
  <c r="M413" i="4"/>
  <c r="N413" i="4" s="1"/>
  <c r="G414" i="4"/>
  <c r="K414" i="4"/>
  <c r="N414" i="4" s="1"/>
  <c r="M414" i="4"/>
  <c r="O414" i="4"/>
  <c r="S414" i="4"/>
  <c r="G415" i="4"/>
  <c r="K415" i="4"/>
  <c r="M415" i="4"/>
  <c r="N415" i="4"/>
  <c r="G418" i="4"/>
  <c r="K418" i="4"/>
  <c r="M418" i="4"/>
  <c r="N418" i="4" s="1"/>
  <c r="G419" i="4"/>
  <c r="K419" i="4"/>
  <c r="N419" i="4" s="1"/>
  <c r="M419" i="4"/>
  <c r="G420" i="4"/>
  <c r="K420" i="4"/>
  <c r="M420" i="4"/>
  <c r="N420" i="4" s="1"/>
  <c r="O420" i="4" s="1"/>
  <c r="R420" i="4"/>
  <c r="G421" i="4"/>
  <c r="K421" i="4"/>
  <c r="M421" i="4"/>
  <c r="N421" i="4"/>
  <c r="O421" i="4"/>
  <c r="S421" i="4"/>
  <c r="G422" i="4"/>
  <c r="K422" i="4"/>
  <c r="M422" i="4"/>
  <c r="N422" i="4"/>
  <c r="N423" i="4"/>
  <c r="R432" i="4"/>
  <c r="N434" i="4"/>
  <c r="O434" i="4" s="1"/>
  <c r="G435" i="4"/>
  <c r="K435" i="4"/>
  <c r="M435" i="4"/>
  <c r="P435" i="4"/>
  <c r="Q435" i="4"/>
  <c r="R435" i="4"/>
  <c r="S435" i="4"/>
  <c r="G436" i="4"/>
  <c r="K436" i="4"/>
  <c r="M436" i="4"/>
  <c r="G437" i="4"/>
  <c r="K437" i="4"/>
  <c r="M437" i="4"/>
  <c r="N437" i="4"/>
  <c r="O437" i="4"/>
  <c r="R437" i="4"/>
  <c r="S437" i="4"/>
  <c r="G438" i="4"/>
  <c r="K438" i="4"/>
  <c r="N438" i="4" s="1"/>
  <c r="M438" i="4"/>
  <c r="P438" i="4"/>
  <c r="Q438" i="4"/>
  <c r="R438" i="4"/>
  <c r="S438" i="4"/>
  <c r="G439" i="4"/>
  <c r="K439" i="4"/>
  <c r="M439" i="4"/>
  <c r="N439" i="4"/>
  <c r="G442" i="4"/>
  <c r="K442" i="4"/>
  <c r="M442" i="4"/>
  <c r="N442" i="4" s="1"/>
  <c r="O442" i="4" s="1"/>
  <c r="G443" i="4"/>
  <c r="K443" i="4"/>
  <c r="M443" i="4"/>
  <c r="N443" i="4"/>
  <c r="G444" i="4"/>
  <c r="K444" i="4"/>
  <c r="M444" i="4"/>
  <c r="N444" i="4"/>
  <c r="O448" i="4" s="1"/>
  <c r="O444" i="4"/>
  <c r="P444" i="4"/>
  <c r="Q444" i="4"/>
  <c r="R444" i="4"/>
  <c r="S444" i="4"/>
  <c r="G445" i="4"/>
  <c r="K445" i="4"/>
  <c r="M445" i="4"/>
  <c r="N445" i="4"/>
  <c r="O445" i="4"/>
  <c r="P445" i="4"/>
  <c r="G446" i="4"/>
  <c r="K446" i="4"/>
  <c r="N446" i="4" s="1"/>
  <c r="M446" i="4"/>
  <c r="N447" i="4"/>
  <c r="N450" i="4"/>
  <c r="O450" i="4" s="1"/>
  <c r="G451" i="4"/>
  <c r="K451" i="4"/>
  <c r="M451" i="4"/>
  <c r="N451" i="4"/>
  <c r="O451" i="4"/>
  <c r="S451" i="4"/>
  <c r="G452" i="4"/>
  <c r="K452" i="4"/>
  <c r="M452" i="4"/>
  <c r="N452" i="4"/>
  <c r="G453" i="4"/>
  <c r="K453" i="4"/>
  <c r="M453" i="4"/>
  <c r="N453" i="4"/>
  <c r="P453" i="4"/>
  <c r="G454" i="4"/>
  <c r="K454" i="4"/>
  <c r="M454" i="4"/>
  <c r="N454" i="4"/>
  <c r="G455" i="4"/>
  <c r="K455" i="4"/>
  <c r="M455" i="4"/>
  <c r="N455" i="4"/>
  <c r="G458" i="4"/>
  <c r="K458" i="4"/>
  <c r="M458" i="4"/>
  <c r="N458" i="4"/>
  <c r="O458" i="4"/>
  <c r="G459" i="4"/>
  <c r="K459" i="4"/>
  <c r="M459" i="4"/>
  <c r="N459" i="4"/>
  <c r="S459" i="4"/>
  <c r="G460" i="4"/>
  <c r="K460" i="4"/>
  <c r="M460" i="4"/>
  <c r="N460" i="4"/>
  <c r="O460" i="4"/>
  <c r="G461" i="4"/>
  <c r="K461" i="4"/>
  <c r="M461" i="4"/>
  <c r="G462" i="4"/>
  <c r="K462" i="4"/>
  <c r="M462" i="4"/>
  <c r="N462" i="4"/>
  <c r="O462" i="4"/>
  <c r="N463" i="4"/>
  <c r="N466" i="4"/>
  <c r="O466" i="4"/>
  <c r="N467" i="4"/>
  <c r="N468" i="4"/>
  <c r="O468" i="4"/>
  <c r="N469" i="4"/>
  <c r="O469" i="4"/>
  <c r="G470" i="4"/>
  <c r="K470" i="4"/>
  <c r="M470" i="4"/>
  <c r="N471" i="4"/>
  <c r="G474" i="4"/>
  <c r="K474" i="4"/>
  <c r="M474" i="4"/>
  <c r="N474" i="4"/>
  <c r="O474" i="4"/>
  <c r="G475" i="4"/>
  <c r="K475" i="4"/>
  <c r="N475" i="4" s="1"/>
  <c r="M475" i="4"/>
  <c r="G476" i="4"/>
  <c r="K476" i="4"/>
  <c r="M476" i="4"/>
  <c r="P476" i="4"/>
  <c r="Q476" i="4"/>
  <c r="R476" i="4"/>
  <c r="S476" i="4"/>
  <c r="G477" i="4"/>
  <c r="K477" i="4"/>
  <c r="M477" i="4"/>
  <c r="N477" i="4"/>
  <c r="G478" i="4"/>
  <c r="K478" i="4"/>
  <c r="M478" i="4"/>
  <c r="N478" i="4"/>
  <c r="O478" i="4" s="1"/>
  <c r="P478" i="4"/>
  <c r="Q478" i="4"/>
  <c r="R478" i="4"/>
  <c r="S478" i="4"/>
  <c r="N479" i="4"/>
  <c r="N482" i="4"/>
  <c r="O482" i="4"/>
  <c r="G483" i="4"/>
  <c r="K483" i="4"/>
  <c r="N483" i="4" s="1"/>
  <c r="O483" i="4" s="1"/>
  <c r="M483" i="4"/>
  <c r="G484" i="4"/>
  <c r="K484" i="4"/>
  <c r="M484" i="4"/>
  <c r="N484" i="4"/>
  <c r="O484" i="4" s="1"/>
  <c r="G485" i="4"/>
  <c r="K485" i="4"/>
  <c r="M485" i="4"/>
  <c r="N485" i="4"/>
  <c r="O485" i="4"/>
  <c r="P485" i="4"/>
  <c r="R485" i="4"/>
  <c r="G486" i="4"/>
  <c r="K486" i="4"/>
  <c r="M486" i="4"/>
  <c r="Q486" i="4"/>
  <c r="G487" i="4"/>
  <c r="K487" i="4"/>
  <c r="M487" i="4"/>
  <c r="N487" i="4"/>
  <c r="G490" i="4"/>
  <c r="K490" i="4"/>
  <c r="N490" i="4" s="1"/>
  <c r="M490" i="4"/>
  <c r="G491" i="4"/>
  <c r="K491" i="4"/>
  <c r="M491" i="4"/>
  <c r="N491" i="4"/>
  <c r="O491" i="4"/>
  <c r="G492" i="4"/>
  <c r="K492" i="4"/>
  <c r="N492" i="4" s="1"/>
  <c r="O496" i="4" s="1"/>
  <c r="M492" i="4"/>
  <c r="G493" i="4"/>
  <c r="K493" i="4"/>
  <c r="M493" i="4"/>
  <c r="N493" i="4"/>
  <c r="O493" i="4"/>
  <c r="Q493" i="4"/>
  <c r="R493" i="4"/>
  <c r="S493" i="4"/>
  <c r="G494" i="4"/>
  <c r="K494" i="4"/>
  <c r="M494" i="4"/>
  <c r="N494" i="4"/>
  <c r="N495" i="4"/>
  <c r="N498" i="4"/>
  <c r="O498" i="4"/>
  <c r="G499" i="4"/>
  <c r="K499" i="4"/>
  <c r="M499" i="4"/>
  <c r="N499" i="4"/>
  <c r="G500" i="4"/>
  <c r="K500" i="4"/>
  <c r="M500" i="4"/>
  <c r="N500" i="4"/>
  <c r="O500" i="4"/>
  <c r="Q500" i="4"/>
  <c r="G501" i="4"/>
  <c r="K501" i="4"/>
  <c r="M501" i="4"/>
  <c r="N501" i="4"/>
  <c r="P501" i="4"/>
  <c r="R501" i="4"/>
  <c r="G502" i="4"/>
  <c r="K502" i="4"/>
  <c r="M502" i="4"/>
  <c r="N502" i="4"/>
  <c r="O502" i="4"/>
  <c r="G503" i="4"/>
  <c r="K503" i="4"/>
  <c r="M503" i="4"/>
  <c r="N503" i="4" s="1"/>
  <c r="G506" i="4"/>
  <c r="K506" i="4"/>
  <c r="M506" i="4"/>
  <c r="N506" i="4"/>
  <c r="O506" i="4"/>
  <c r="G507" i="4"/>
  <c r="K507" i="4"/>
  <c r="M507" i="4"/>
  <c r="N507" i="4"/>
  <c r="P507" i="4"/>
  <c r="Q507" i="4"/>
  <c r="S507" i="4"/>
  <c r="G508" i="4"/>
  <c r="K508" i="4"/>
  <c r="N508" i="4" s="1"/>
  <c r="M508" i="4"/>
  <c r="G509" i="4"/>
  <c r="K509" i="4"/>
  <c r="M509" i="4"/>
  <c r="N509" i="4"/>
  <c r="O509" i="4"/>
  <c r="G510" i="4"/>
  <c r="K510" i="4"/>
  <c r="N510" i="4" s="1"/>
  <c r="O510" i="4" s="1"/>
  <c r="M510" i="4"/>
  <c r="P510" i="4"/>
  <c r="Q510" i="4"/>
  <c r="R510" i="4"/>
  <c r="S510" i="4"/>
  <c r="N511" i="4"/>
  <c r="G514" i="4"/>
  <c r="K514" i="4"/>
  <c r="M514" i="4"/>
  <c r="N514" i="4"/>
  <c r="O514" i="4"/>
  <c r="G515" i="4"/>
  <c r="K515" i="4"/>
  <c r="M515" i="4"/>
  <c r="G516" i="4"/>
  <c r="O516" i="4" s="1"/>
  <c r="K516" i="4"/>
  <c r="M516" i="4"/>
  <c r="N516" i="4"/>
  <c r="P516" i="4"/>
  <c r="S516" i="4"/>
  <c r="G517" i="4"/>
  <c r="K517" i="4"/>
  <c r="M517" i="4"/>
  <c r="N517" i="4"/>
  <c r="O517" i="4"/>
  <c r="P517" i="4"/>
  <c r="G518" i="4"/>
  <c r="K518" i="4"/>
  <c r="M518" i="4"/>
  <c r="N518" i="4"/>
  <c r="O518" i="4"/>
  <c r="N519" i="4"/>
  <c r="N522" i="4"/>
  <c r="O522" i="4"/>
  <c r="G523" i="4"/>
  <c r="K523" i="4"/>
  <c r="M523" i="4"/>
  <c r="S523" i="4"/>
  <c r="G524" i="4"/>
  <c r="K524" i="4"/>
  <c r="M524" i="4"/>
  <c r="N524" i="4"/>
  <c r="O524" i="4" s="1"/>
  <c r="K525" i="4"/>
  <c r="M525" i="4"/>
  <c r="N525" i="4"/>
  <c r="O525" i="4"/>
  <c r="P525" i="4"/>
  <c r="S525" i="4"/>
  <c r="G526" i="4"/>
  <c r="K526" i="4"/>
  <c r="M526" i="4"/>
  <c r="G527" i="4"/>
  <c r="K527" i="4"/>
  <c r="M527" i="4"/>
  <c r="N527" i="4"/>
  <c r="G530" i="4"/>
  <c r="K530" i="4"/>
  <c r="M530" i="4"/>
  <c r="N530" i="4"/>
  <c r="G531" i="4"/>
  <c r="R531" i="4" s="1"/>
  <c r="K531" i="4"/>
  <c r="M531" i="4"/>
  <c r="P531" i="4"/>
  <c r="G532" i="4"/>
  <c r="K532" i="4"/>
  <c r="M532" i="4"/>
  <c r="N532" i="4" s="1"/>
  <c r="Q532" i="4"/>
  <c r="R532" i="4"/>
  <c r="G533" i="4"/>
  <c r="K533" i="4"/>
  <c r="M533" i="4"/>
  <c r="N533" i="4"/>
  <c r="O533" i="4"/>
  <c r="G534" i="4"/>
  <c r="K534" i="4"/>
  <c r="N534" i="4" s="1"/>
  <c r="M534" i="4"/>
  <c r="N535" i="4"/>
  <c r="C69" i="20" l="1"/>
  <c r="C67" i="20"/>
  <c r="C67" i="19"/>
  <c r="C69" i="19"/>
  <c r="C69" i="18"/>
  <c r="C67" i="18"/>
  <c r="C67" i="17"/>
  <c r="C69" i="17"/>
  <c r="C69" i="16"/>
  <c r="C67" i="16"/>
  <c r="C67" i="15"/>
  <c r="C69" i="15"/>
  <c r="C67" i="14"/>
  <c r="C69" i="14"/>
  <c r="C67" i="13"/>
  <c r="C70" i="13"/>
  <c r="C69" i="12"/>
  <c r="C67" i="12"/>
  <c r="C67" i="11"/>
  <c r="C69" i="11"/>
  <c r="C69" i="10"/>
  <c r="C67" i="10"/>
  <c r="C69" i="9"/>
  <c r="C67" i="9"/>
  <c r="C67" i="8"/>
  <c r="C69" i="8"/>
  <c r="C67" i="7"/>
  <c r="C69" i="7"/>
  <c r="C69" i="6"/>
  <c r="C67" i="6"/>
  <c r="C69" i="5"/>
  <c r="C67" i="5"/>
  <c r="O190" i="4"/>
  <c r="R446" i="4"/>
  <c r="O446" i="4"/>
  <c r="P446" i="4"/>
  <c r="Q446" i="4"/>
  <c r="S446" i="4"/>
  <c r="R461" i="4"/>
  <c r="O461" i="4"/>
  <c r="P461" i="4"/>
  <c r="AG411" i="4"/>
  <c r="R486" i="4"/>
  <c r="R414" i="4"/>
  <c r="P502" i="4"/>
  <c r="Q502" i="4"/>
  <c r="Q462" i="4"/>
  <c r="S526" i="4"/>
  <c r="Q518" i="4"/>
  <c r="R518" i="4"/>
  <c r="AF413" i="4"/>
  <c r="O165" i="4"/>
  <c r="R165" i="4"/>
  <c r="S165" i="4"/>
  <c r="O325" i="4"/>
  <c r="O328" i="4"/>
  <c r="O260" i="4"/>
  <c r="N268" i="4"/>
  <c r="O268" i="4" s="1"/>
  <c r="N406" i="4"/>
  <c r="R182" i="4"/>
  <c r="Q182" i="4"/>
  <c r="S182" i="4"/>
  <c r="S406" i="4"/>
  <c r="O406" i="4"/>
  <c r="P406" i="4"/>
  <c r="S230" i="4"/>
  <c r="O232" i="4"/>
  <c r="Q230" i="4"/>
  <c r="R230" i="4"/>
  <c r="O230" i="4"/>
  <c r="P230" i="4"/>
  <c r="P190" i="4"/>
  <c r="O142" i="4"/>
  <c r="R142" i="4"/>
  <c r="S142" i="4"/>
  <c r="O128" i="4"/>
  <c r="O272" i="4"/>
  <c r="O490" i="4"/>
  <c r="O220" i="4"/>
  <c r="N302" i="4"/>
  <c r="O229" i="4"/>
  <c r="P229" i="4"/>
  <c r="Q229" i="4"/>
  <c r="R229" i="4"/>
  <c r="Q190" i="4"/>
  <c r="R190" i="4"/>
  <c r="S190" i="4"/>
  <c r="R240" i="4"/>
  <c r="R131" i="4"/>
  <c r="O131" i="4"/>
  <c r="S131" i="4"/>
  <c r="O76" i="4"/>
  <c r="R246" i="4"/>
  <c r="R248" i="4" s="1"/>
  <c r="O246" i="4"/>
  <c r="S246" i="4"/>
  <c r="N149" i="4"/>
  <c r="O149" i="4" s="1"/>
  <c r="P86" i="4"/>
  <c r="Q86" i="4"/>
  <c r="R86" i="4"/>
  <c r="S86" i="4"/>
  <c r="S149" i="4"/>
  <c r="Q149" i="4"/>
  <c r="R149" i="4"/>
  <c r="P149" i="4"/>
  <c r="O532" i="4"/>
  <c r="O422" i="4"/>
  <c r="P422" i="4"/>
  <c r="S422" i="4"/>
  <c r="O382" i="4"/>
  <c r="O198" i="4"/>
  <c r="O200" i="4"/>
  <c r="Q494" i="4"/>
  <c r="R494" i="4"/>
  <c r="S494" i="4"/>
  <c r="O494" i="4"/>
  <c r="P494" i="4"/>
  <c r="R445" i="4"/>
  <c r="Q445" i="4"/>
  <c r="S445" i="4"/>
  <c r="O454" i="4"/>
  <c r="Q454" i="4"/>
  <c r="S454" i="4"/>
  <c r="Q206" i="4"/>
  <c r="O206" i="4"/>
  <c r="P206" i="4"/>
  <c r="R206" i="4"/>
  <c r="S206" i="4"/>
  <c r="Q253" i="4"/>
  <c r="O253" i="4"/>
  <c r="P253" i="4"/>
  <c r="R253" i="4"/>
  <c r="S253" i="4"/>
  <c r="Q101" i="4"/>
  <c r="R101" i="4"/>
  <c r="S101" i="4"/>
  <c r="O101" i="4"/>
  <c r="P101" i="4"/>
  <c r="O390" i="4"/>
  <c r="P93" i="4"/>
  <c r="S93" i="4"/>
  <c r="O40" i="4"/>
  <c r="N461" i="4"/>
  <c r="R453" i="4"/>
  <c r="O453" i="4"/>
  <c r="O456" i="4"/>
  <c r="S412" i="4"/>
  <c r="O412" i="4"/>
  <c r="P412" i="4"/>
  <c r="R416" i="4" s="1"/>
  <c r="Q412" i="4"/>
  <c r="R412" i="4"/>
  <c r="AG413" i="4"/>
  <c r="O363" i="4"/>
  <c r="S363" i="4"/>
  <c r="R363" i="4"/>
  <c r="P109" i="4"/>
  <c r="O109" i="4"/>
  <c r="S109" i="4"/>
  <c r="O88" i="4"/>
  <c r="O192" i="4"/>
  <c r="R475" i="4"/>
  <c r="Q475" i="4"/>
  <c r="O475" i="4"/>
  <c r="P475" i="4"/>
  <c r="S475" i="4"/>
  <c r="O252" i="4"/>
  <c r="S213" i="4"/>
  <c r="P213" i="4"/>
  <c r="Q213" i="4"/>
  <c r="O213" i="4"/>
  <c r="R213" i="4"/>
  <c r="O259" i="4"/>
  <c r="P259" i="4"/>
  <c r="Q259" i="4"/>
  <c r="Q61" i="4"/>
  <c r="P61" i="4"/>
  <c r="R61" i="4"/>
  <c r="O464" i="4"/>
  <c r="N258" i="4"/>
  <c r="Q123" i="4"/>
  <c r="S123" i="4"/>
  <c r="N60" i="4"/>
  <c r="O64" i="4" s="1"/>
  <c r="AG14" i="4"/>
  <c r="S37" i="4"/>
  <c r="O501" i="4"/>
  <c r="Q501" i="4"/>
  <c r="S501" i="4"/>
  <c r="O504" i="4"/>
  <c r="S452" i="4"/>
  <c r="O452" i="4"/>
  <c r="P452" i="4"/>
  <c r="O172" i="4"/>
  <c r="S51" i="4"/>
  <c r="O51" i="4"/>
  <c r="Q51" i="4"/>
  <c r="R51" i="4"/>
  <c r="O12" i="4"/>
  <c r="O144" i="4"/>
  <c r="O21" i="4"/>
  <c r="P21" i="4"/>
  <c r="Q21" i="4"/>
  <c r="R21" i="4"/>
  <c r="S21" i="4"/>
  <c r="N436" i="4"/>
  <c r="O459" i="4"/>
  <c r="Q459" i="4"/>
  <c r="P436" i="4"/>
  <c r="R440" i="4" s="1"/>
  <c r="Q436" i="4"/>
  <c r="R436" i="4"/>
  <c r="S436" i="4"/>
  <c r="O436" i="4"/>
  <c r="O275" i="4"/>
  <c r="O467" i="4"/>
  <c r="O472" i="4"/>
  <c r="N114" i="4"/>
  <c r="R507" i="4"/>
  <c r="O507" i="4"/>
  <c r="O403" i="4"/>
  <c r="R403" i="4"/>
  <c r="P403" i="4"/>
  <c r="O372" i="4"/>
  <c r="S43" i="4"/>
  <c r="O43" i="4"/>
  <c r="P43" i="4"/>
  <c r="Q43" i="4"/>
  <c r="O42" i="4"/>
  <c r="O48" i="4"/>
  <c r="P526" i="4"/>
  <c r="Q526" i="4"/>
  <c r="R526" i="4"/>
  <c r="P222" i="4"/>
  <c r="O222" i="4"/>
  <c r="Q222" i="4"/>
  <c r="S222" i="4"/>
  <c r="R222" i="4"/>
  <c r="O152" i="4"/>
  <c r="S150" i="4"/>
  <c r="O150" i="4"/>
  <c r="P150" i="4"/>
  <c r="Q150" i="4"/>
  <c r="R150" i="4"/>
  <c r="R102" i="4"/>
  <c r="S102" i="4"/>
  <c r="Q102" i="4"/>
  <c r="O104" i="4"/>
  <c r="AF49" i="4"/>
  <c r="P499" i="4"/>
  <c r="O499" i="4"/>
  <c r="Q499" i="4"/>
  <c r="R499" i="4"/>
  <c r="S499" i="4"/>
  <c r="O435" i="4"/>
  <c r="S483" i="4"/>
  <c r="Q483" i="4"/>
  <c r="S491" i="4"/>
  <c r="AG408" i="4"/>
  <c r="Q443" i="4"/>
  <c r="P491" i="4"/>
  <c r="S443" i="4"/>
  <c r="Q491" i="4"/>
  <c r="P523" i="4"/>
  <c r="R491" i="4"/>
  <c r="Q523" i="4"/>
  <c r="R523" i="4"/>
  <c r="N261" i="4"/>
  <c r="O261" i="4" s="1"/>
  <c r="O258" i="4"/>
  <c r="Q508" i="4"/>
  <c r="P508" i="4"/>
  <c r="R512" i="4" s="1"/>
  <c r="S508" i="4"/>
  <c r="O508" i="4"/>
  <c r="R508" i="4"/>
  <c r="O324" i="4"/>
  <c r="O164" i="4"/>
  <c r="N130" i="4"/>
  <c r="N12" i="4"/>
  <c r="N531" i="4"/>
  <c r="O531" i="4" s="1"/>
  <c r="R525" i="4"/>
  <c r="R517" i="4"/>
  <c r="P493" i="4"/>
  <c r="Q525" i="4"/>
  <c r="AG410" i="4"/>
  <c r="S533" i="4"/>
  <c r="R536" i="4" s="1"/>
  <c r="P477" i="4"/>
  <c r="Q477" i="4"/>
  <c r="R477" i="4"/>
  <c r="S477" i="4"/>
  <c r="P509" i="4"/>
  <c r="P437" i="4"/>
  <c r="Q437" i="4"/>
  <c r="N515" i="4"/>
  <c r="O520" i="4" s="1"/>
  <c r="O388" i="4"/>
  <c r="P388" i="4"/>
  <c r="S388" i="4"/>
  <c r="O299" i="4"/>
  <c r="O163" i="4"/>
  <c r="S515" i="4"/>
  <c r="Q515" i="4"/>
  <c r="O384" i="4"/>
  <c r="R219" i="4"/>
  <c r="S219" i="4"/>
  <c r="O219" i="4"/>
  <c r="Q219" i="4"/>
  <c r="Q323" i="4"/>
  <c r="R323" i="4"/>
  <c r="S323" i="4"/>
  <c r="S500" i="4"/>
  <c r="P500" i="4"/>
  <c r="R500" i="4"/>
  <c r="O413" i="4"/>
  <c r="P413" i="4"/>
  <c r="Q413" i="4"/>
  <c r="R413" i="4"/>
  <c r="S413" i="4"/>
  <c r="O416" i="4"/>
  <c r="O126" i="4"/>
  <c r="P126" i="4"/>
  <c r="Q126" i="4"/>
  <c r="O512" i="4"/>
  <c r="O20" i="4"/>
  <c r="R20" i="4"/>
  <c r="S20" i="4"/>
  <c r="O110" i="4"/>
  <c r="P110" i="4"/>
  <c r="Q110" i="4"/>
  <c r="R110" i="4"/>
  <c r="S110" i="4"/>
  <c r="Q94" i="4"/>
  <c r="P94" i="4"/>
  <c r="O96" i="4"/>
  <c r="O341" i="4"/>
  <c r="N300" i="4"/>
  <c r="O140" i="4"/>
  <c r="O488" i="4"/>
  <c r="O424" i="4"/>
  <c r="O155" i="4"/>
  <c r="O67" i="4"/>
  <c r="R67" i="4"/>
  <c r="Q67" i="4"/>
  <c r="N366" i="4"/>
  <c r="R53" i="4"/>
  <c r="P53" i="4"/>
  <c r="O53" i="4"/>
  <c r="Q53" i="4"/>
  <c r="S53" i="4"/>
  <c r="Q492" i="4"/>
  <c r="R492" i="4"/>
  <c r="P524" i="4"/>
  <c r="Q420" i="4"/>
  <c r="S524" i="4"/>
  <c r="Q524" i="4"/>
  <c r="R524" i="4"/>
  <c r="P460" i="4"/>
  <c r="S460" i="4"/>
  <c r="P492" i="4"/>
  <c r="S492" i="4"/>
  <c r="O366" i="4"/>
  <c r="O77" i="4"/>
  <c r="R77" i="4"/>
  <c r="S77" i="4"/>
  <c r="P77" i="4"/>
  <c r="Q77" i="4"/>
  <c r="O72" i="4"/>
  <c r="N11" i="4"/>
  <c r="O16" i="4" s="1"/>
  <c r="S484" i="4"/>
  <c r="N243" i="4"/>
  <c r="O243" i="4" s="1"/>
  <c r="Q189" i="4"/>
  <c r="O189" i="4"/>
  <c r="P189" i="4"/>
  <c r="N23" i="4"/>
  <c r="N19" i="4"/>
  <c r="O24" i="4" s="1"/>
  <c r="P484" i="4"/>
  <c r="O418" i="4"/>
  <c r="O228" i="4"/>
  <c r="O208" i="4"/>
  <c r="N181" i="4"/>
  <c r="O184" i="4" s="1"/>
  <c r="O19" i="4"/>
  <c r="S534" i="4"/>
  <c r="O534" i="4"/>
  <c r="P534" i="4"/>
  <c r="O397" i="4"/>
  <c r="O400" i="4"/>
  <c r="O344" i="4"/>
  <c r="O296" i="4"/>
  <c r="R293" i="4"/>
  <c r="R296" i="4" s="1"/>
  <c r="O181" i="4"/>
  <c r="P181" i="4"/>
  <c r="R184" i="4" s="1"/>
  <c r="Q181" i="4"/>
  <c r="O37" i="4"/>
  <c r="P37" i="4"/>
  <c r="Q37" i="4"/>
  <c r="R37" i="4"/>
  <c r="O408" i="4"/>
  <c r="R404" i="4"/>
  <c r="O404" i="4"/>
  <c r="Q404" i="4"/>
  <c r="N285" i="4"/>
  <c r="P158" i="4"/>
  <c r="Q158" i="4"/>
  <c r="R158" i="4"/>
  <c r="O158" i="4"/>
  <c r="S158" i="4"/>
  <c r="Q509" i="4"/>
  <c r="R509" i="4"/>
  <c r="S509" i="4"/>
  <c r="N470" i="4"/>
  <c r="O470" i="4" s="1"/>
  <c r="O443" i="4"/>
  <c r="R443" i="4"/>
  <c r="P443" i="4"/>
  <c r="O358" i="4"/>
  <c r="S107" i="4"/>
  <c r="R84" i="4"/>
  <c r="O84" i="4"/>
  <c r="R502" i="4"/>
  <c r="S502" i="4"/>
  <c r="R470" i="4"/>
  <c r="R472" i="4" s="1"/>
  <c r="O106" i="4"/>
  <c r="O112" i="4"/>
  <c r="Q70" i="4"/>
  <c r="O70" i="4"/>
  <c r="S70" i="4"/>
  <c r="O419" i="4"/>
  <c r="P419" i="4"/>
  <c r="R419" i="4"/>
  <c r="P91" i="4"/>
  <c r="Q91" i="4"/>
  <c r="O91" i="4"/>
  <c r="R91" i="4"/>
  <c r="S91" i="4"/>
  <c r="N195" i="4"/>
  <c r="O195" i="4" s="1"/>
  <c r="S85" i="4"/>
  <c r="P85" i="4"/>
  <c r="Q85" i="4"/>
  <c r="O85" i="4"/>
  <c r="AF48" i="4"/>
  <c r="N476" i="4"/>
  <c r="O476" i="4" s="1"/>
  <c r="O440" i="4"/>
  <c r="N236" i="4"/>
  <c r="O236" i="4" s="1"/>
  <c r="P205" i="4"/>
  <c r="P195" i="4"/>
  <c r="Q195" i="4"/>
  <c r="R148" i="4"/>
  <c r="P148" i="4"/>
  <c r="Q197" i="4"/>
  <c r="Q277" i="4"/>
  <c r="R277" i="4"/>
  <c r="S277" i="4"/>
  <c r="Q45" i="4"/>
  <c r="Q141" i="4"/>
  <c r="Q157" i="4"/>
  <c r="P197" i="4"/>
  <c r="P309" i="4"/>
  <c r="R45" i="4"/>
  <c r="R117" i="4"/>
  <c r="R157" i="4"/>
  <c r="R197" i="4"/>
  <c r="P45" i="4"/>
  <c r="P141" i="4"/>
  <c r="P157" i="4"/>
  <c r="P36" i="4"/>
  <c r="Q36" i="4"/>
  <c r="R36" i="4"/>
  <c r="O262" i="4"/>
  <c r="O205" i="4"/>
  <c r="R133" i="4"/>
  <c r="S133" i="4"/>
  <c r="O133" i="4"/>
  <c r="P99" i="4"/>
  <c r="R310" i="4"/>
  <c r="S310" i="4"/>
  <c r="P212" i="4"/>
  <c r="O212" i="4"/>
  <c r="N155" i="4"/>
  <c r="Q533" i="4"/>
  <c r="O251" i="4"/>
  <c r="N339" i="4"/>
  <c r="P278" i="4"/>
  <c r="S278" i="4"/>
  <c r="R174" i="4"/>
  <c r="N134" i="4"/>
  <c r="S62" i="4"/>
  <c r="O62" i="4"/>
  <c r="O35" i="4"/>
  <c r="O530" i="4"/>
  <c r="O339" i="4"/>
  <c r="N309" i="4"/>
  <c r="O312" i="4" s="1"/>
  <c r="O266" i="4"/>
  <c r="O204" i="4"/>
  <c r="O170" i="4"/>
  <c r="O176" i="4"/>
  <c r="Q134" i="4"/>
  <c r="O134" i="4"/>
  <c r="N191" i="4"/>
  <c r="AF50" i="4"/>
  <c r="O302" i="4"/>
  <c r="Q46" i="4"/>
  <c r="R46" i="4"/>
  <c r="S294" i="4"/>
  <c r="P198" i="4"/>
  <c r="R200" i="4" s="1"/>
  <c r="P46" i="4"/>
  <c r="Q294" i="4"/>
  <c r="S46" i="4"/>
  <c r="P38" i="4"/>
  <c r="S38" i="4"/>
  <c r="O477" i="4"/>
  <c r="O270" i="4"/>
  <c r="O227" i="4"/>
  <c r="O58" i="4"/>
  <c r="R462" i="4"/>
  <c r="Q414" i="4"/>
  <c r="P414" i="4"/>
  <c r="O356" i="4"/>
  <c r="N338" i="4"/>
  <c r="O338" i="4" s="1"/>
  <c r="N157" i="4"/>
  <c r="O157" i="4" s="1"/>
  <c r="Q117" i="4"/>
  <c r="P117" i="4"/>
  <c r="O45" i="4"/>
  <c r="R38" i="4"/>
  <c r="N523" i="4"/>
  <c r="O523" i="4" s="1"/>
  <c r="O245" i="4"/>
  <c r="N526" i="4"/>
  <c r="O526" i="4" s="1"/>
  <c r="P75" i="4"/>
  <c r="R78" i="4"/>
  <c r="Q78" i="4"/>
  <c r="Q59" i="4"/>
  <c r="O438" i="4"/>
  <c r="S373" i="4"/>
  <c r="O284" i="4"/>
  <c r="S254" i="4"/>
  <c r="O146" i="4"/>
  <c r="N435" i="4"/>
  <c r="N163" i="4"/>
  <c r="O168" i="4" s="1"/>
  <c r="O492" i="4"/>
  <c r="N486" i="4"/>
  <c r="O486" i="4" s="1"/>
  <c r="Q451" i="4"/>
  <c r="N342" i="4"/>
  <c r="O342" i="4" s="1"/>
  <c r="Q147" i="4"/>
  <c r="Q54" i="4"/>
  <c r="N52" i="4"/>
  <c r="O52" i="4" s="1"/>
  <c r="N125" i="4"/>
  <c r="O125" i="4" s="1"/>
  <c r="N402" i="4"/>
  <c r="O402" i="4" s="1"/>
  <c r="R371" i="4"/>
  <c r="N13" i="4"/>
  <c r="O13" i="4" s="1"/>
  <c r="AF12" i="4"/>
  <c r="R19" i="4" s="1"/>
  <c r="R44" i="4" l="1"/>
  <c r="R92" i="4"/>
  <c r="S92" i="4"/>
  <c r="P124" i="4"/>
  <c r="Q124" i="4"/>
  <c r="R124" i="4"/>
  <c r="R68" i="4"/>
  <c r="P180" i="4"/>
  <c r="R342" i="4"/>
  <c r="S68" i="4"/>
  <c r="Q180" i="4"/>
  <c r="P108" i="4"/>
  <c r="S284" i="4"/>
  <c r="R356" i="4"/>
  <c r="R398" i="4"/>
  <c r="Q108" i="4"/>
  <c r="R180" i="4"/>
  <c r="P284" i="4"/>
  <c r="P398" i="4"/>
  <c r="S180" i="4"/>
  <c r="Q284" i="4"/>
  <c r="Q398" i="4"/>
  <c r="P389" i="4"/>
  <c r="R389" i="4"/>
  <c r="P44" i="4"/>
  <c r="Q44" i="4"/>
  <c r="P188" i="4"/>
  <c r="S44" i="4"/>
  <c r="Q188" i="4"/>
  <c r="S124" i="4"/>
  <c r="R188" i="4"/>
  <c r="S188" i="4"/>
  <c r="S365" i="4"/>
  <c r="P373" i="4"/>
  <c r="P92" i="4"/>
  <c r="Q373" i="4"/>
  <c r="P380" i="4"/>
  <c r="P397" i="4"/>
  <c r="Q92" i="4"/>
  <c r="Q228" i="4"/>
  <c r="R373" i="4"/>
  <c r="Q380" i="4"/>
  <c r="S228" i="4"/>
  <c r="R380" i="4"/>
  <c r="P52" i="4"/>
  <c r="P357" i="4"/>
  <c r="Q396" i="4"/>
  <c r="AG50" i="4"/>
  <c r="Q196" i="4"/>
  <c r="Q204" i="4"/>
  <c r="Q68" i="4"/>
  <c r="S196" i="4"/>
  <c r="S204" i="4"/>
  <c r="P374" i="4"/>
  <c r="P381" i="4"/>
  <c r="Q374" i="4"/>
  <c r="Q52" i="4"/>
  <c r="S356" i="4"/>
  <c r="R52" i="4"/>
  <c r="S52" i="4"/>
  <c r="P364" i="4"/>
  <c r="S380" i="4"/>
  <c r="Q357" i="4"/>
  <c r="P396" i="4"/>
  <c r="R396" i="4"/>
  <c r="P196" i="4"/>
  <c r="S396" i="4"/>
  <c r="P68" i="4"/>
  <c r="R196" i="4"/>
  <c r="R204" i="4"/>
  <c r="R212" i="4"/>
  <c r="R381" i="4"/>
  <c r="P132" i="4"/>
  <c r="Q132" i="4"/>
  <c r="P324" i="4"/>
  <c r="Q324" i="4"/>
  <c r="R341" i="4"/>
  <c r="S398" i="4"/>
  <c r="R324" i="4"/>
  <c r="R108" i="4"/>
  <c r="P116" i="4"/>
  <c r="P164" i="4"/>
  <c r="S108" i="4"/>
  <c r="Q116" i="4"/>
  <c r="P156" i="4"/>
  <c r="Q100" i="4"/>
  <c r="R252" i="4"/>
  <c r="R100" i="4"/>
  <c r="S252" i="4"/>
  <c r="S100" i="4"/>
  <c r="R244" i="4"/>
  <c r="Q148" i="4"/>
  <c r="P300" i="4"/>
  <c r="S381" i="4"/>
  <c r="S148" i="4"/>
  <c r="Q300" i="4"/>
  <c r="R374" i="4"/>
  <c r="S374" i="4"/>
  <c r="R172" i="4"/>
  <c r="S212" i="4"/>
  <c r="S116" i="4"/>
  <c r="Q156" i="4"/>
  <c r="R156" i="4"/>
  <c r="P252" i="4"/>
  <c r="S156" i="4"/>
  <c r="Q252" i="4"/>
  <c r="Q84" i="4"/>
  <c r="R116" i="4"/>
  <c r="S340" i="4"/>
  <c r="P340" i="4"/>
  <c r="O528" i="4"/>
  <c r="R528" i="4"/>
  <c r="Q236" i="4"/>
  <c r="R76" i="4"/>
  <c r="R264" i="4"/>
  <c r="P76" i="4"/>
  <c r="R136" i="4"/>
  <c r="Q342" i="4"/>
  <c r="R96" i="4"/>
  <c r="S372" i="4"/>
  <c r="Q390" i="4"/>
  <c r="Q382" i="4"/>
  <c r="P372" i="4"/>
  <c r="O480" i="4"/>
  <c r="R228" i="4"/>
  <c r="R60" i="4"/>
  <c r="R372" i="4"/>
  <c r="R456" i="4"/>
  <c r="P228" i="4"/>
  <c r="R504" i="4"/>
  <c r="R480" i="4"/>
  <c r="O309" i="4"/>
  <c r="O285" i="4"/>
  <c r="O288" i="4"/>
  <c r="P60" i="4"/>
  <c r="P203" i="4"/>
  <c r="S203" i="4"/>
  <c r="R379" i="4"/>
  <c r="Q203" i="4"/>
  <c r="P379" i="4"/>
  <c r="Q379" i="4"/>
  <c r="R203" i="4"/>
  <c r="P147" i="4"/>
  <c r="P187" i="4"/>
  <c r="S187" i="4"/>
  <c r="S379" i="4"/>
  <c r="P395" i="4"/>
  <c r="Q75" i="4"/>
  <c r="R80" i="4" s="1"/>
  <c r="P227" i="4"/>
  <c r="R147" i="4"/>
  <c r="Q187" i="4"/>
  <c r="S147" i="4"/>
  <c r="R187" i="4"/>
  <c r="R179" i="4"/>
  <c r="S179" i="4"/>
  <c r="P355" i="4"/>
  <c r="P155" i="4"/>
  <c r="Q251" i="4"/>
  <c r="R195" i="4"/>
  <c r="S227" i="4"/>
  <c r="P107" i="4"/>
  <c r="Q107" i="4"/>
  <c r="S99" i="4"/>
  <c r="AG49" i="4"/>
  <c r="S195" i="4"/>
  <c r="P139" i="4"/>
  <c r="Q139" i="4"/>
  <c r="Q99" i="4"/>
  <c r="R104" i="4" s="1"/>
  <c r="R99" i="4"/>
  <c r="R235" i="4"/>
  <c r="R107" i="4"/>
  <c r="S235" i="4"/>
  <c r="R43" i="4"/>
  <c r="P67" i="4"/>
  <c r="R211" i="4"/>
  <c r="P59" i="4"/>
  <c r="Q155" i="4"/>
  <c r="Q171" i="4"/>
  <c r="S83" i="4"/>
  <c r="P115" i="4"/>
  <c r="S75" i="4"/>
  <c r="R115" i="4"/>
  <c r="Q179" i="4"/>
  <c r="R227" i="4"/>
  <c r="S115" i="4"/>
  <c r="P283" i="4"/>
  <c r="Q395" i="4"/>
  <c r="R395" i="4"/>
  <c r="S395" i="4"/>
  <c r="P211" i="4"/>
  <c r="Q387" i="4"/>
  <c r="Q211" i="4"/>
  <c r="S387" i="4"/>
  <c r="P171" i="4"/>
  <c r="S211" i="4"/>
  <c r="R59" i="4"/>
  <c r="P83" i="4"/>
  <c r="R155" i="4"/>
  <c r="S59" i="4"/>
  <c r="Q83" i="4"/>
  <c r="S155" i="4"/>
  <c r="P323" i="4"/>
  <c r="R75" i="4"/>
  <c r="Q115" i="4"/>
  <c r="P179" i="4"/>
  <c r="P219" i="4"/>
  <c r="Q227" i="4"/>
  <c r="R123" i="4"/>
  <c r="P371" i="4"/>
  <c r="Q355" i="4"/>
  <c r="Q283" i="4"/>
  <c r="S283" i="4"/>
  <c r="Q339" i="4"/>
  <c r="S339" i="4"/>
  <c r="R267" i="4"/>
  <c r="R272" i="4" s="1"/>
  <c r="P123" i="4"/>
  <c r="S267" i="4"/>
  <c r="Q371" i="4"/>
  <c r="S371" i="4"/>
  <c r="P51" i="4"/>
  <c r="R232" i="4"/>
  <c r="R312" i="4"/>
  <c r="O240" i="4"/>
  <c r="O536" i="4"/>
  <c r="S260" i="4"/>
  <c r="R251" i="4"/>
  <c r="R283" i="4"/>
  <c r="Q268" i="4"/>
  <c r="R220" i="4"/>
  <c r="S251" i="4"/>
  <c r="R365" i="4"/>
  <c r="S299" i="4"/>
  <c r="P268" i="4"/>
  <c r="Q220" i="4"/>
  <c r="O11" i="4"/>
  <c r="Q299" i="4"/>
  <c r="S324" i="4"/>
  <c r="R83" i="4"/>
  <c r="P220" i="4"/>
  <c r="R368" i="4"/>
  <c r="S84" i="4"/>
  <c r="R358" i="4"/>
  <c r="R300" i="4"/>
  <c r="R464" i="4"/>
  <c r="S397" i="4"/>
  <c r="P204" i="4"/>
  <c r="R448" i="4"/>
  <c r="Q397" i="4"/>
  <c r="R496" i="4"/>
  <c r="AG12" i="4"/>
  <c r="AG16" i="4" s="1"/>
  <c r="P13" i="4"/>
  <c r="U13" i="4" s="1"/>
  <c r="U21" i="4" s="1"/>
  <c r="U29" i="4" s="1"/>
  <c r="U37" i="4" s="1"/>
  <c r="U45" i="4" s="1"/>
  <c r="U53" i="4" s="1"/>
  <c r="U61" i="4" s="1"/>
  <c r="U69" i="4" s="1"/>
  <c r="U77" i="4" s="1"/>
  <c r="U85" i="4" s="1"/>
  <c r="U93" i="4" s="1"/>
  <c r="U101" i="4" s="1"/>
  <c r="U109" i="4" s="1"/>
  <c r="U117" i="4" s="1"/>
  <c r="U125" i="4" s="1"/>
  <c r="U133" i="4" s="1"/>
  <c r="U141" i="4" s="1"/>
  <c r="U149" i="4" s="1"/>
  <c r="U157" i="4" s="1"/>
  <c r="U165" i="4" s="1"/>
  <c r="U173" i="4" s="1"/>
  <c r="U181" i="4" s="1"/>
  <c r="U189" i="4" s="1"/>
  <c r="U197" i="4" s="1"/>
  <c r="U205" i="4" s="1"/>
  <c r="U213" i="4" s="1"/>
  <c r="U221" i="4" s="1"/>
  <c r="U229" i="4" s="1"/>
  <c r="U237" i="4" s="1"/>
  <c r="U245" i="4" s="1"/>
  <c r="U253" i="4" s="1"/>
  <c r="U261" i="4" s="1"/>
  <c r="U269" i="4" s="1"/>
  <c r="U277" i="4" s="1"/>
  <c r="U285" i="4" s="1"/>
  <c r="U293" i="4" s="1"/>
  <c r="U301" i="4" s="1"/>
  <c r="U309" i="4" s="1"/>
  <c r="U317" i="4" s="1"/>
  <c r="U325" i="4" s="1"/>
  <c r="U333" i="4" s="1"/>
  <c r="R13" i="4"/>
  <c r="W13" i="4" s="1"/>
  <c r="W21" i="4" s="1"/>
  <c r="W29" i="4" s="1"/>
  <c r="W37" i="4" s="1"/>
  <c r="W45" i="4" s="1"/>
  <c r="W53" i="4" s="1"/>
  <c r="W61" i="4" s="1"/>
  <c r="W69" i="4" s="1"/>
  <c r="W77" i="4" s="1"/>
  <c r="W85" i="4" s="1"/>
  <c r="W93" i="4" s="1"/>
  <c r="W101" i="4" s="1"/>
  <c r="W109" i="4" s="1"/>
  <c r="W117" i="4" s="1"/>
  <c r="W125" i="4" s="1"/>
  <c r="W133" i="4" s="1"/>
  <c r="W141" i="4" s="1"/>
  <c r="W149" i="4" s="1"/>
  <c r="W157" i="4" s="1"/>
  <c r="W165" i="4" s="1"/>
  <c r="W173" i="4" s="1"/>
  <c r="W181" i="4" s="1"/>
  <c r="W189" i="4" s="1"/>
  <c r="W197" i="4" s="1"/>
  <c r="W205" i="4" s="1"/>
  <c r="W213" i="4" s="1"/>
  <c r="W221" i="4" s="1"/>
  <c r="W229" i="4" s="1"/>
  <c r="W237" i="4" s="1"/>
  <c r="W245" i="4" s="1"/>
  <c r="W253" i="4" s="1"/>
  <c r="W261" i="4" s="1"/>
  <c r="W269" i="4" s="1"/>
  <c r="W277" i="4" s="1"/>
  <c r="W285" i="4" s="1"/>
  <c r="W293" i="4" s="1"/>
  <c r="W301" i="4" s="1"/>
  <c r="W309" i="4" s="1"/>
  <c r="W317" i="4" s="1"/>
  <c r="W325" i="4" s="1"/>
  <c r="W333" i="4" s="1"/>
  <c r="S13" i="4"/>
  <c r="X13" i="4" s="1"/>
  <c r="X21" i="4" s="1"/>
  <c r="X29" i="4" s="1"/>
  <c r="X37" i="4" s="1"/>
  <c r="X45" i="4" s="1"/>
  <c r="X53" i="4" s="1"/>
  <c r="X61" i="4" s="1"/>
  <c r="X69" i="4" s="1"/>
  <c r="X77" i="4" s="1"/>
  <c r="X85" i="4" s="1"/>
  <c r="X93" i="4" s="1"/>
  <c r="X101" i="4" s="1"/>
  <c r="X109" i="4" s="1"/>
  <c r="X117" i="4" s="1"/>
  <c r="X125" i="4" s="1"/>
  <c r="X133" i="4" s="1"/>
  <c r="X141" i="4" s="1"/>
  <c r="X149" i="4" s="1"/>
  <c r="X157" i="4" s="1"/>
  <c r="X165" i="4" s="1"/>
  <c r="X173" i="4" s="1"/>
  <c r="X181" i="4" s="1"/>
  <c r="X189" i="4" s="1"/>
  <c r="X197" i="4" s="1"/>
  <c r="X205" i="4" s="1"/>
  <c r="X213" i="4" s="1"/>
  <c r="X221" i="4" s="1"/>
  <c r="X229" i="4" s="1"/>
  <c r="X237" i="4" s="1"/>
  <c r="X245" i="4" s="1"/>
  <c r="X253" i="4" s="1"/>
  <c r="X261" i="4" s="1"/>
  <c r="X269" i="4" s="1"/>
  <c r="X277" i="4" s="1"/>
  <c r="X285" i="4" s="1"/>
  <c r="X293" i="4" s="1"/>
  <c r="X301" i="4" s="1"/>
  <c r="X309" i="4" s="1"/>
  <c r="X317" i="4" s="1"/>
  <c r="X325" i="4" s="1"/>
  <c r="X333" i="4" s="1"/>
  <c r="X341" i="4" s="1"/>
  <c r="X349" i="4" s="1"/>
  <c r="X357" i="4" s="1"/>
  <c r="X365" i="4" s="1"/>
  <c r="X373" i="4" s="1"/>
  <c r="Q13" i="4"/>
  <c r="V13" i="4" s="1"/>
  <c r="V21" i="4" s="1"/>
  <c r="V29" i="4" s="1"/>
  <c r="V37" i="4" s="1"/>
  <c r="V45" i="4" s="1"/>
  <c r="V53" i="4" s="1"/>
  <c r="V61" i="4" s="1"/>
  <c r="V69" i="4" s="1"/>
  <c r="V77" i="4" s="1"/>
  <c r="V85" i="4" s="1"/>
  <c r="V93" i="4" s="1"/>
  <c r="V101" i="4" s="1"/>
  <c r="V109" i="4" s="1"/>
  <c r="V117" i="4" s="1"/>
  <c r="V125" i="4" s="1"/>
  <c r="V133" i="4" s="1"/>
  <c r="V141" i="4" s="1"/>
  <c r="V149" i="4" s="1"/>
  <c r="V157" i="4" s="1"/>
  <c r="V165" i="4" s="1"/>
  <c r="V173" i="4" s="1"/>
  <c r="V181" i="4" s="1"/>
  <c r="V189" i="4" s="1"/>
  <c r="V197" i="4" s="1"/>
  <c r="V205" i="4" s="1"/>
  <c r="V213" i="4" s="1"/>
  <c r="V221" i="4" s="1"/>
  <c r="V229" i="4" s="1"/>
  <c r="V237" i="4" s="1"/>
  <c r="V245" i="4" s="1"/>
  <c r="V253" i="4" s="1"/>
  <c r="V261" i="4" s="1"/>
  <c r="V269" i="4" s="1"/>
  <c r="V277" i="4" s="1"/>
  <c r="V285" i="4" s="1"/>
  <c r="V293" i="4" s="1"/>
  <c r="V301" i="4" s="1"/>
  <c r="V309" i="4" s="1"/>
  <c r="V317" i="4" s="1"/>
  <c r="V325" i="4" s="1"/>
  <c r="V333" i="4" s="1"/>
  <c r="V341" i="4" s="1"/>
  <c r="V349" i="4" s="1"/>
  <c r="S35" i="4"/>
  <c r="AF16" i="4"/>
  <c r="P19" i="4"/>
  <c r="P11" i="4"/>
  <c r="Q19" i="4"/>
  <c r="Q11" i="4"/>
  <c r="V11" i="4" s="1"/>
  <c r="S19" i="4"/>
  <c r="P14" i="4"/>
  <c r="U14" i="4" s="1"/>
  <c r="U22" i="4" s="1"/>
  <c r="U30" i="4" s="1"/>
  <c r="U38" i="4" s="1"/>
  <c r="U46" i="4" s="1"/>
  <c r="U54" i="4" s="1"/>
  <c r="U62" i="4" s="1"/>
  <c r="U70" i="4" s="1"/>
  <c r="U78" i="4" s="1"/>
  <c r="U86" i="4" s="1"/>
  <c r="U94" i="4" s="1"/>
  <c r="U102" i="4" s="1"/>
  <c r="U110" i="4" s="1"/>
  <c r="U118" i="4" s="1"/>
  <c r="U126" i="4" s="1"/>
  <c r="U134" i="4" s="1"/>
  <c r="U142" i="4" s="1"/>
  <c r="U150" i="4" s="1"/>
  <c r="U158" i="4" s="1"/>
  <c r="U166" i="4" s="1"/>
  <c r="U174" i="4" s="1"/>
  <c r="U182" i="4" s="1"/>
  <c r="U190" i="4" s="1"/>
  <c r="U198" i="4" s="1"/>
  <c r="U206" i="4" s="1"/>
  <c r="U214" i="4" s="1"/>
  <c r="U222" i="4" s="1"/>
  <c r="U230" i="4" s="1"/>
  <c r="U238" i="4" s="1"/>
  <c r="U246" i="4" s="1"/>
  <c r="U254" i="4" s="1"/>
  <c r="U262" i="4" s="1"/>
  <c r="U270" i="4" s="1"/>
  <c r="U278" i="4" s="1"/>
  <c r="U286" i="4" s="1"/>
  <c r="U294" i="4" s="1"/>
  <c r="U302" i="4" s="1"/>
  <c r="U310" i="4" s="1"/>
  <c r="U318" i="4" s="1"/>
  <c r="U326" i="4" s="1"/>
  <c r="U334" i="4" s="1"/>
  <c r="U342" i="4" s="1"/>
  <c r="U350" i="4" s="1"/>
  <c r="U358" i="4" s="1"/>
  <c r="U366" i="4" s="1"/>
  <c r="Q35" i="4"/>
  <c r="P12" i="4"/>
  <c r="U12" i="4" s="1"/>
  <c r="U20" i="4" s="1"/>
  <c r="U28" i="4" s="1"/>
  <c r="U36" i="4" s="1"/>
  <c r="U44" i="4" s="1"/>
  <c r="R11" i="4"/>
  <c r="W11" i="4" s="1"/>
  <c r="W19" i="4" s="1"/>
  <c r="W27" i="4" s="1"/>
  <c r="S11" i="4"/>
  <c r="X11" i="4" s="1"/>
  <c r="X19" i="4" s="1"/>
  <c r="X27" i="4" s="1"/>
  <c r="X35" i="4" s="1"/>
  <c r="X43" i="4" s="1"/>
  <c r="X51" i="4" s="1"/>
  <c r="X59" i="4" s="1"/>
  <c r="Q14" i="4"/>
  <c r="V14" i="4" s="1"/>
  <c r="V22" i="4" s="1"/>
  <c r="V30" i="4" s="1"/>
  <c r="V38" i="4" s="1"/>
  <c r="V46" i="4" s="1"/>
  <c r="V54" i="4" s="1"/>
  <c r="V62" i="4" s="1"/>
  <c r="V70" i="4" s="1"/>
  <c r="V78" i="4" s="1"/>
  <c r="V86" i="4" s="1"/>
  <c r="V94" i="4" s="1"/>
  <c r="V102" i="4" s="1"/>
  <c r="V110" i="4" s="1"/>
  <c r="V118" i="4" s="1"/>
  <c r="V126" i="4" s="1"/>
  <c r="V134" i="4" s="1"/>
  <c r="V142" i="4" s="1"/>
  <c r="V150" i="4" s="1"/>
  <c r="V158" i="4" s="1"/>
  <c r="V166" i="4" s="1"/>
  <c r="V174" i="4" s="1"/>
  <c r="V182" i="4" s="1"/>
  <c r="V190" i="4" s="1"/>
  <c r="V198" i="4" s="1"/>
  <c r="V206" i="4" s="1"/>
  <c r="V214" i="4" s="1"/>
  <c r="V222" i="4" s="1"/>
  <c r="V230" i="4" s="1"/>
  <c r="V238" i="4" s="1"/>
  <c r="V246" i="4" s="1"/>
  <c r="V254" i="4" s="1"/>
  <c r="V262" i="4" s="1"/>
  <c r="V270" i="4" s="1"/>
  <c r="V278" i="4" s="1"/>
  <c r="V286" i="4" s="1"/>
  <c r="V294" i="4" s="1"/>
  <c r="V302" i="4" s="1"/>
  <c r="V310" i="4" s="1"/>
  <c r="V318" i="4" s="1"/>
  <c r="V326" i="4" s="1"/>
  <c r="V334" i="4" s="1"/>
  <c r="R35" i="4"/>
  <c r="Q12" i="4"/>
  <c r="V12" i="4" s="1"/>
  <c r="V20" i="4" s="1"/>
  <c r="V28" i="4" s="1"/>
  <c r="V36" i="4" s="1"/>
  <c r="V44" i="4" s="1"/>
  <c r="V52" i="4" s="1"/>
  <c r="V60" i="4" s="1"/>
  <c r="R12" i="4"/>
  <c r="W12" i="4" s="1"/>
  <c r="W20" i="4" s="1"/>
  <c r="W28" i="4" s="1"/>
  <c r="W36" i="4" s="1"/>
  <c r="W44" i="4" s="1"/>
  <c r="W52" i="4" s="1"/>
  <c r="W60" i="4" s="1"/>
  <c r="W68" i="4" s="1"/>
  <c r="S12" i="4"/>
  <c r="X12" i="4" s="1"/>
  <c r="X20" i="4" s="1"/>
  <c r="X28" i="4" s="1"/>
  <c r="X36" i="4" s="1"/>
  <c r="X44" i="4" s="1"/>
  <c r="X52" i="4" s="1"/>
  <c r="S140" i="4"/>
  <c r="Q76" i="4"/>
  <c r="O304" i="4"/>
  <c r="O300" i="4"/>
  <c r="P341" i="4"/>
  <c r="R488" i="4"/>
  <c r="Q381" i="4"/>
  <c r="S60" i="4"/>
  <c r="P382" i="4"/>
  <c r="R424" i="4"/>
  <c r="R520" i="4"/>
  <c r="O248" i="4"/>
  <c r="O515" i="4"/>
  <c r="Q60" i="4"/>
  <c r="Q372" i="4"/>
  <c r="S382" i="4"/>
  <c r="R408" i="4"/>
  <c r="P243" i="4"/>
  <c r="S163" i="4"/>
  <c r="O60" i="4"/>
  <c r="R260" i="4"/>
  <c r="S14" i="4"/>
  <c r="X14" i="4" s="1"/>
  <c r="X22" i="4" s="1"/>
  <c r="X30" i="4" s="1"/>
  <c r="X38" i="4" s="1"/>
  <c r="X46" i="4" s="1"/>
  <c r="X54" i="4" s="1"/>
  <c r="X62" i="4" s="1"/>
  <c r="X70" i="4" s="1"/>
  <c r="X78" i="4" s="1"/>
  <c r="X86" i="4" s="1"/>
  <c r="X94" i="4" s="1"/>
  <c r="X102" i="4" s="1"/>
  <c r="X110" i="4" s="1"/>
  <c r="X118" i="4" s="1"/>
  <c r="X126" i="4" s="1"/>
  <c r="X134" i="4" s="1"/>
  <c r="X142" i="4" s="1"/>
  <c r="X150" i="4" s="1"/>
  <c r="X158" i="4" s="1"/>
  <c r="X166" i="4" s="1"/>
  <c r="X174" i="4" s="1"/>
  <c r="X182" i="4" s="1"/>
  <c r="X190" i="4" s="1"/>
  <c r="X198" i="4" s="1"/>
  <c r="X206" i="4" s="1"/>
  <c r="X214" i="4" s="1"/>
  <c r="X222" i="4" s="1"/>
  <c r="X230" i="4" s="1"/>
  <c r="X238" i="4" s="1"/>
  <c r="X246" i="4" s="1"/>
  <c r="X254" i="4" s="1"/>
  <c r="X262" i="4" s="1"/>
  <c r="X270" i="4" s="1"/>
  <c r="X278" i="4" s="1"/>
  <c r="X286" i="4" s="1"/>
  <c r="X294" i="4" s="1"/>
  <c r="X302" i="4" s="1"/>
  <c r="X310" i="4" s="1"/>
  <c r="X318" i="4" s="1"/>
  <c r="X326" i="4" s="1"/>
  <c r="X334" i="4" s="1"/>
  <c r="X342" i="4" s="1"/>
  <c r="X350" i="4" s="1"/>
  <c r="P251" i="4"/>
  <c r="R163" i="4"/>
  <c r="O136" i="4"/>
  <c r="O130" i="4"/>
  <c r="S172" i="4"/>
  <c r="R14" i="4"/>
  <c r="W14" i="4" s="1"/>
  <c r="W22" i="4" s="1"/>
  <c r="W30" i="4" s="1"/>
  <c r="W38" i="4" s="1"/>
  <c r="W46" i="4" s="1"/>
  <c r="W54" i="4" s="1"/>
  <c r="W62" i="4" s="1"/>
  <c r="W70" i="4" s="1"/>
  <c r="W78" i="4" s="1"/>
  <c r="W86" i="4" s="1"/>
  <c r="W94" i="4" s="1"/>
  <c r="W102" i="4" s="1"/>
  <c r="W110" i="4" s="1"/>
  <c r="W118" i="4" s="1"/>
  <c r="W126" i="4" s="1"/>
  <c r="W134" i="4" s="1"/>
  <c r="W142" i="4" s="1"/>
  <c r="W150" i="4" s="1"/>
  <c r="W158" i="4" s="1"/>
  <c r="W166" i="4" s="1"/>
  <c r="W174" i="4" s="1"/>
  <c r="W182" i="4" s="1"/>
  <c r="W190" i="4" s="1"/>
  <c r="W198" i="4" s="1"/>
  <c r="W206" i="4" s="1"/>
  <c r="W214" i="4" s="1"/>
  <c r="W222" i="4" s="1"/>
  <c r="W230" i="4" s="1"/>
  <c r="W238" i="4" s="1"/>
  <c r="W246" i="4" s="1"/>
  <c r="W254" i="4" s="1"/>
  <c r="W262" i="4" s="1"/>
  <c r="W270" i="4" s="1"/>
  <c r="W278" i="4" s="1"/>
  <c r="W286" i="4" s="1"/>
  <c r="W294" i="4" s="1"/>
  <c r="W302" i="4" s="1"/>
  <c r="W310" i="4" s="1"/>
  <c r="W318" i="4" s="1"/>
  <c r="W326" i="4" s="1"/>
  <c r="W334" i="4" s="1"/>
  <c r="W342" i="4" s="1"/>
  <c r="W350" i="4" s="1"/>
  <c r="Q243" i="4"/>
  <c r="Q164" i="4"/>
  <c r="O160" i="4"/>
  <c r="P299" i="4"/>
  <c r="O120" i="4"/>
  <c r="O114" i="4"/>
  <c r="S220" i="4"/>
  <c r="R280" i="4"/>
  <c r="R284" i="4"/>
  <c r="Q212" i="4"/>
  <c r="S67" i="4"/>
  <c r="R299" i="4"/>
  <c r="P84" i="4"/>
  <c r="S244" i="4"/>
  <c r="S300" i="4"/>
  <c r="O264" i="4"/>
  <c r="AG48" i="4"/>
  <c r="AF54" i="4"/>
  <c r="S76" i="4"/>
  <c r="R397" i="4"/>
  <c r="R140" i="4"/>
  <c r="Q364" i="4"/>
  <c r="P366" i="4"/>
  <c r="P35" i="4"/>
  <c r="O56" i="4"/>
  <c r="R216" i="4"/>
  <c r="R390" i="4"/>
  <c r="R382" i="4"/>
  <c r="S358" i="4"/>
  <c r="P100" i="4"/>
  <c r="P236" i="4"/>
  <c r="Q366" i="4"/>
  <c r="R48" i="4"/>
  <c r="R120" i="4" l="1"/>
  <c r="R192" i="4"/>
  <c r="X60" i="4"/>
  <c r="X68" i="4" s="1"/>
  <c r="X76" i="4" s="1"/>
  <c r="X84" i="4" s="1"/>
  <c r="X92" i="4" s="1"/>
  <c r="X100" i="4" s="1"/>
  <c r="X108" i="4" s="1"/>
  <c r="X116" i="4" s="1"/>
  <c r="X124" i="4" s="1"/>
  <c r="X132" i="4" s="1"/>
  <c r="X140" i="4" s="1"/>
  <c r="X148" i="4" s="1"/>
  <c r="X156" i="4" s="1"/>
  <c r="X164" i="4" s="1"/>
  <c r="X172" i="4" s="1"/>
  <c r="X180" i="4" s="1"/>
  <c r="X188" i="4" s="1"/>
  <c r="X196" i="4" s="1"/>
  <c r="X204" i="4" s="1"/>
  <c r="X212" i="4" s="1"/>
  <c r="X220" i="4" s="1"/>
  <c r="X228" i="4" s="1"/>
  <c r="X236" i="4" s="1"/>
  <c r="X244" i="4" s="1"/>
  <c r="X252" i="4" s="1"/>
  <c r="X260" i="4" s="1"/>
  <c r="X268" i="4" s="1"/>
  <c r="X276" i="4" s="1"/>
  <c r="X284" i="4" s="1"/>
  <c r="X292" i="4" s="1"/>
  <c r="X300" i="4" s="1"/>
  <c r="X308" i="4" s="1"/>
  <c r="X316" i="4" s="1"/>
  <c r="X324" i="4" s="1"/>
  <c r="X332" i="4" s="1"/>
  <c r="X340" i="4" s="1"/>
  <c r="X348" i="4" s="1"/>
  <c r="X356" i="4" s="1"/>
  <c r="X364" i="4" s="1"/>
  <c r="X372" i="4" s="1"/>
  <c r="X380" i="4" s="1"/>
  <c r="X388" i="4" s="1"/>
  <c r="X396" i="4" s="1"/>
  <c r="X404" i="4" s="1"/>
  <c r="X412" i="4" s="1"/>
  <c r="X420" i="4" s="1"/>
  <c r="X428" i="4" s="1"/>
  <c r="X436" i="4" s="1"/>
  <c r="X444" i="4" s="1"/>
  <c r="X452" i="4" s="1"/>
  <c r="X460" i="4" s="1"/>
  <c r="X468" i="4" s="1"/>
  <c r="X476" i="4" s="1"/>
  <c r="X484" i="4" s="1"/>
  <c r="X492" i="4" s="1"/>
  <c r="X500" i="4" s="1"/>
  <c r="X508" i="4" s="1"/>
  <c r="X516" i="4" s="1"/>
  <c r="X524" i="4" s="1"/>
  <c r="X532" i="4" s="1"/>
  <c r="R224" i="4"/>
  <c r="R384" i="4"/>
  <c r="R392" i="4"/>
  <c r="V357" i="4"/>
  <c r="V365" i="4" s="1"/>
  <c r="V373" i="4" s="1"/>
  <c r="V381" i="4" s="1"/>
  <c r="V389" i="4" s="1"/>
  <c r="V397" i="4" s="1"/>
  <c r="V405" i="4" s="1"/>
  <c r="V413" i="4" s="1"/>
  <c r="V421" i="4" s="1"/>
  <c r="V429" i="4" s="1"/>
  <c r="V437" i="4" s="1"/>
  <c r="V445" i="4" s="1"/>
  <c r="V453" i="4" s="1"/>
  <c r="V461" i="4" s="1"/>
  <c r="V469" i="4" s="1"/>
  <c r="V477" i="4" s="1"/>
  <c r="V485" i="4" s="1"/>
  <c r="V493" i="4" s="1"/>
  <c r="V501" i="4" s="1"/>
  <c r="V509" i="4" s="1"/>
  <c r="V517" i="4" s="1"/>
  <c r="V525" i="4" s="1"/>
  <c r="V533" i="4" s="1"/>
  <c r="AG54" i="4"/>
  <c r="X381" i="4"/>
  <c r="X389" i="4" s="1"/>
  <c r="X397" i="4" s="1"/>
  <c r="X405" i="4" s="1"/>
  <c r="X413" i="4" s="1"/>
  <c r="X421" i="4" s="1"/>
  <c r="X429" i="4" s="1"/>
  <c r="X437" i="4" s="1"/>
  <c r="X445" i="4" s="1"/>
  <c r="X453" i="4" s="1"/>
  <c r="X461" i="4" s="1"/>
  <c r="X469" i="4" s="1"/>
  <c r="X477" i="4" s="1"/>
  <c r="X485" i="4" s="1"/>
  <c r="X493" i="4" s="1"/>
  <c r="X501" i="4" s="1"/>
  <c r="X509" i="4" s="1"/>
  <c r="X517" i="4" s="1"/>
  <c r="X525" i="4" s="1"/>
  <c r="X533" i="4" s="1"/>
  <c r="R160" i="4"/>
  <c r="W341" i="4"/>
  <c r="W349" i="4" s="1"/>
  <c r="W357" i="4" s="1"/>
  <c r="W365" i="4" s="1"/>
  <c r="W373" i="4" s="1"/>
  <c r="W381" i="4" s="1"/>
  <c r="W389" i="4" s="1"/>
  <c r="W397" i="4" s="1"/>
  <c r="W405" i="4" s="1"/>
  <c r="W413" i="4" s="1"/>
  <c r="W421" i="4" s="1"/>
  <c r="W429" i="4" s="1"/>
  <c r="W437" i="4" s="1"/>
  <c r="W445" i="4" s="1"/>
  <c r="W453" i="4" s="1"/>
  <c r="W461" i="4" s="1"/>
  <c r="W469" i="4" s="1"/>
  <c r="W477" i="4" s="1"/>
  <c r="W485" i="4" s="1"/>
  <c r="W493" i="4" s="1"/>
  <c r="W501" i="4" s="1"/>
  <c r="W509" i="4" s="1"/>
  <c r="W517" i="4" s="1"/>
  <c r="W525" i="4" s="1"/>
  <c r="W533" i="4" s="1"/>
  <c r="R56" i="4"/>
  <c r="R360" i="4"/>
  <c r="U341" i="4"/>
  <c r="U349" i="4" s="1"/>
  <c r="U357" i="4" s="1"/>
  <c r="U365" i="4" s="1"/>
  <c r="U373" i="4" s="1"/>
  <c r="U381" i="4" s="1"/>
  <c r="U389" i="4" s="1"/>
  <c r="U397" i="4" s="1"/>
  <c r="U405" i="4" s="1"/>
  <c r="U413" i="4" s="1"/>
  <c r="U421" i="4" s="1"/>
  <c r="U429" i="4" s="1"/>
  <c r="U437" i="4" s="1"/>
  <c r="U445" i="4" s="1"/>
  <c r="U453" i="4" s="1"/>
  <c r="U461" i="4" s="1"/>
  <c r="U469" i="4" s="1"/>
  <c r="U477" i="4" s="1"/>
  <c r="U485" i="4" s="1"/>
  <c r="U493" i="4" s="1"/>
  <c r="U501" i="4" s="1"/>
  <c r="U509" i="4" s="1"/>
  <c r="U517" i="4" s="1"/>
  <c r="U525" i="4" s="1"/>
  <c r="U533" i="4" s="1"/>
  <c r="R288" i="4"/>
  <c r="R128" i="4"/>
  <c r="R400" i="4"/>
  <c r="R152" i="4"/>
  <c r="W76" i="4"/>
  <c r="W84" i="4" s="1"/>
  <c r="W92" i="4" s="1"/>
  <c r="W100" i="4" s="1"/>
  <c r="W108" i="4" s="1"/>
  <c r="W116" i="4" s="1"/>
  <c r="W124" i="4" s="1"/>
  <c r="W132" i="4" s="1"/>
  <c r="W140" i="4" s="1"/>
  <c r="W148" i="4" s="1"/>
  <c r="W156" i="4" s="1"/>
  <c r="W164" i="4" s="1"/>
  <c r="W172" i="4" s="1"/>
  <c r="W180" i="4" s="1"/>
  <c r="W188" i="4" s="1"/>
  <c r="W196" i="4" s="1"/>
  <c r="W204" i="4" s="1"/>
  <c r="W212" i="4" s="1"/>
  <c r="W220" i="4" s="1"/>
  <c r="W228" i="4" s="1"/>
  <c r="W236" i="4" s="1"/>
  <c r="W244" i="4" s="1"/>
  <c r="W252" i="4" s="1"/>
  <c r="W260" i="4" s="1"/>
  <c r="W268" i="4" s="1"/>
  <c r="W276" i="4" s="1"/>
  <c r="W284" i="4" s="1"/>
  <c r="W292" i="4" s="1"/>
  <c r="W300" i="4" s="1"/>
  <c r="W308" i="4" s="1"/>
  <c r="W316" i="4" s="1"/>
  <c r="W324" i="4" s="1"/>
  <c r="W332" i="4" s="1"/>
  <c r="W340" i="4" s="1"/>
  <c r="W348" i="4" s="1"/>
  <c r="W356" i="4" s="1"/>
  <c r="W364" i="4" s="1"/>
  <c r="W372" i="4" s="1"/>
  <c r="W380" i="4" s="1"/>
  <c r="W388" i="4" s="1"/>
  <c r="W396" i="4" s="1"/>
  <c r="W404" i="4" s="1"/>
  <c r="W412" i="4" s="1"/>
  <c r="W420" i="4" s="1"/>
  <c r="W428" i="4" s="1"/>
  <c r="W436" i="4" s="1"/>
  <c r="W444" i="4" s="1"/>
  <c r="W452" i="4" s="1"/>
  <c r="W460" i="4" s="1"/>
  <c r="W468" i="4" s="1"/>
  <c r="W476" i="4" s="1"/>
  <c r="W484" i="4" s="1"/>
  <c r="W492" i="4" s="1"/>
  <c r="W500" i="4" s="1"/>
  <c r="W508" i="4" s="1"/>
  <c r="W516" i="4" s="1"/>
  <c r="W524" i="4" s="1"/>
  <c r="W532" i="4" s="1"/>
  <c r="W358" i="4"/>
  <c r="W366" i="4" s="1"/>
  <c r="W374" i="4" s="1"/>
  <c r="W382" i="4" s="1"/>
  <c r="W390" i="4" s="1"/>
  <c r="W398" i="4" s="1"/>
  <c r="W406" i="4" s="1"/>
  <c r="W414" i="4" s="1"/>
  <c r="W422" i="4" s="1"/>
  <c r="W430" i="4" s="1"/>
  <c r="W438" i="4" s="1"/>
  <c r="W446" i="4" s="1"/>
  <c r="W454" i="4" s="1"/>
  <c r="W462" i="4" s="1"/>
  <c r="W470" i="4" s="1"/>
  <c r="W478" i="4" s="1"/>
  <c r="W486" i="4" s="1"/>
  <c r="W494" i="4" s="1"/>
  <c r="W502" i="4" s="1"/>
  <c r="W510" i="4" s="1"/>
  <c r="W518" i="4" s="1"/>
  <c r="W526" i="4" s="1"/>
  <c r="W534" i="4" s="1"/>
  <c r="R328" i="4"/>
  <c r="R208" i="4"/>
  <c r="X358" i="4"/>
  <c r="X366" i="4" s="1"/>
  <c r="X374" i="4" s="1"/>
  <c r="X382" i="4" s="1"/>
  <c r="X390" i="4" s="1"/>
  <c r="X398" i="4" s="1"/>
  <c r="X406" i="4" s="1"/>
  <c r="X414" i="4" s="1"/>
  <c r="X422" i="4" s="1"/>
  <c r="X430" i="4" s="1"/>
  <c r="X438" i="4" s="1"/>
  <c r="X446" i="4" s="1"/>
  <c r="X454" i="4" s="1"/>
  <c r="X462" i="4" s="1"/>
  <c r="X470" i="4" s="1"/>
  <c r="X478" i="4" s="1"/>
  <c r="X486" i="4" s="1"/>
  <c r="X494" i="4" s="1"/>
  <c r="X502" i="4" s="1"/>
  <c r="X510" i="4" s="1"/>
  <c r="X518" i="4" s="1"/>
  <c r="X526" i="4" s="1"/>
  <c r="X534" i="4" s="1"/>
  <c r="R88" i="4"/>
  <c r="R40" i="4"/>
  <c r="V19" i="4"/>
  <c r="V27" i="4" s="1"/>
  <c r="V35" i="4" s="1"/>
  <c r="V43" i="4" s="1"/>
  <c r="V51" i="4" s="1"/>
  <c r="V59" i="4" s="1"/>
  <c r="V67" i="4" s="1"/>
  <c r="V75" i="4" s="1"/>
  <c r="V83" i="4" s="1"/>
  <c r="V91" i="4" s="1"/>
  <c r="V99" i="4" s="1"/>
  <c r="V107" i="4" s="1"/>
  <c r="V115" i="4" s="1"/>
  <c r="V123" i="4" s="1"/>
  <c r="V131" i="4" s="1"/>
  <c r="V139" i="4" s="1"/>
  <c r="V147" i="4" s="1"/>
  <c r="V155" i="4" s="1"/>
  <c r="V163" i="4" s="1"/>
  <c r="V171" i="4" s="1"/>
  <c r="V179" i="4" s="1"/>
  <c r="V187" i="4" s="1"/>
  <c r="V195" i="4" s="1"/>
  <c r="V203" i="4" s="1"/>
  <c r="V211" i="4" s="1"/>
  <c r="V219" i="4" s="1"/>
  <c r="V227" i="4" s="1"/>
  <c r="V235" i="4" s="1"/>
  <c r="V243" i="4" s="1"/>
  <c r="V251" i="4" s="1"/>
  <c r="V259" i="4" s="1"/>
  <c r="V267" i="4" s="1"/>
  <c r="V275" i="4" s="1"/>
  <c r="V283" i="4" s="1"/>
  <c r="V291" i="4" s="1"/>
  <c r="V299" i="4" s="1"/>
  <c r="V307" i="4" s="1"/>
  <c r="V315" i="4" s="1"/>
  <c r="V323" i="4" s="1"/>
  <c r="V331" i="4" s="1"/>
  <c r="V339" i="4" s="1"/>
  <c r="V347" i="4" s="1"/>
  <c r="V355" i="4" s="1"/>
  <c r="V363" i="4" s="1"/>
  <c r="V371" i="4" s="1"/>
  <c r="R72" i="4"/>
  <c r="R304" i="4"/>
  <c r="V68" i="4"/>
  <c r="V76" i="4" s="1"/>
  <c r="V84" i="4" s="1"/>
  <c r="V92" i="4" s="1"/>
  <c r="V100" i="4" s="1"/>
  <c r="V108" i="4" s="1"/>
  <c r="V116" i="4" s="1"/>
  <c r="V124" i="4" s="1"/>
  <c r="V132" i="4" s="1"/>
  <c r="V140" i="4" s="1"/>
  <c r="V148" i="4" s="1"/>
  <c r="V156" i="4" s="1"/>
  <c r="V164" i="4" s="1"/>
  <c r="V172" i="4" s="1"/>
  <c r="V180" i="4" s="1"/>
  <c r="V188" i="4" s="1"/>
  <c r="V196" i="4" s="1"/>
  <c r="V204" i="4" s="1"/>
  <c r="V212" i="4" s="1"/>
  <c r="V220" i="4" s="1"/>
  <c r="V228" i="4" s="1"/>
  <c r="V236" i="4" s="1"/>
  <c r="V244" i="4" s="1"/>
  <c r="V252" i="4" s="1"/>
  <c r="V260" i="4" s="1"/>
  <c r="V268" i="4" s="1"/>
  <c r="V276" i="4" s="1"/>
  <c r="V284" i="4" s="1"/>
  <c r="V292" i="4" s="1"/>
  <c r="V300" i="4" s="1"/>
  <c r="V308" i="4" s="1"/>
  <c r="V316" i="4" s="1"/>
  <c r="V324" i="4" s="1"/>
  <c r="V332" i="4" s="1"/>
  <c r="V340" i="4" s="1"/>
  <c r="V348" i="4" s="1"/>
  <c r="V356" i="4" s="1"/>
  <c r="V364" i="4" s="1"/>
  <c r="V372" i="4" s="1"/>
  <c r="V380" i="4" s="1"/>
  <c r="V388" i="4" s="1"/>
  <c r="V396" i="4" s="1"/>
  <c r="V404" i="4" s="1"/>
  <c r="V412" i="4" s="1"/>
  <c r="V420" i="4" s="1"/>
  <c r="V428" i="4" s="1"/>
  <c r="V436" i="4" s="1"/>
  <c r="V444" i="4" s="1"/>
  <c r="V452" i="4" s="1"/>
  <c r="V460" i="4" s="1"/>
  <c r="V468" i="4" s="1"/>
  <c r="V476" i="4" s="1"/>
  <c r="V484" i="4" s="1"/>
  <c r="V492" i="4" s="1"/>
  <c r="V500" i="4" s="1"/>
  <c r="V508" i="4" s="1"/>
  <c r="V516" i="4" s="1"/>
  <c r="V524" i="4" s="1"/>
  <c r="V532" i="4" s="1"/>
  <c r="W35" i="4"/>
  <c r="W43" i="4" s="1"/>
  <c r="W51" i="4" s="1"/>
  <c r="W59" i="4" s="1"/>
  <c r="W67" i="4" s="1"/>
  <c r="W75" i="4" s="1"/>
  <c r="W83" i="4" s="1"/>
  <c r="W91" i="4" s="1"/>
  <c r="W99" i="4" s="1"/>
  <c r="W107" i="4" s="1"/>
  <c r="W115" i="4" s="1"/>
  <c r="W123" i="4" s="1"/>
  <c r="W131" i="4" s="1"/>
  <c r="W139" i="4" s="1"/>
  <c r="W147" i="4" s="1"/>
  <c r="W155" i="4" s="1"/>
  <c r="W163" i="4" s="1"/>
  <c r="W171" i="4" s="1"/>
  <c r="W179" i="4" s="1"/>
  <c r="W187" i="4" s="1"/>
  <c r="W195" i="4" s="1"/>
  <c r="W203" i="4" s="1"/>
  <c r="W211" i="4" s="1"/>
  <c r="W219" i="4" s="1"/>
  <c r="W227" i="4" s="1"/>
  <c r="W235" i="4" s="1"/>
  <c r="W243" i="4" s="1"/>
  <c r="W251" i="4" s="1"/>
  <c r="W259" i="4" s="1"/>
  <c r="W267" i="4" s="1"/>
  <c r="W275" i="4" s="1"/>
  <c r="W283" i="4" s="1"/>
  <c r="W291" i="4" s="1"/>
  <c r="W299" i="4" s="1"/>
  <c r="W307" i="4" s="1"/>
  <c r="W315" i="4" s="1"/>
  <c r="W323" i="4" s="1"/>
  <c r="W331" i="4" s="1"/>
  <c r="W339" i="4" s="1"/>
  <c r="W347" i="4" s="1"/>
  <c r="W355" i="4" s="1"/>
  <c r="W363" i="4" s="1"/>
  <c r="W371" i="4" s="1"/>
  <c r="R344" i="4"/>
  <c r="R376" i="4"/>
  <c r="R64" i="4"/>
  <c r="V342" i="4"/>
  <c r="V350" i="4" s="1"/>
  <c r="V358" i="4" s="1"/>
  <c r="V366" i="4" s="1"/>
  <c r="V374" i="4" s="1"/>
  <c r="V382" i="4" s="1"/>
  <c r="V390" i="4" s="1"/>
  <c r="V398" i="4" s="1"/>
  <c r="V406" i="4" s="1"/>
  <c r="V414" i="4" s="1"/>
  <c r="V422" i="4" s="1"/>
  <c r="V430" i="4" s="1"/>
  <c r="V438" i="4" s="1"/>
  <c r="V446" i="4" s="1"/>
  <c r="V454" i="4" s="1"/>
  <c r="V462" i="4" s="1"/>
  <c r="V470" i="4" s="1"/>
  <c r="V478" i="4" s="1"/>
  <c r="V486" i="4" s="1"/>
  <c r="V494" i="4" s="1"/>
  <c r="V502" i="4" s="1"/>
  <c r="V510" i="4" s="1"/>
  <c r="V518" i="4" s="1"/>
  <c r="V526" i="4" s="1"/>
  <c r="V534" i="4" s="1"/>
  <c r="X67" i="4"/>
  <c r="X75" i="4" s="1"/>
  <c r="X83" i="4" s="1"/>
  <c r="X91" i="4" s="1"/>
  <c r="X99" i="4" s="1"/>
  <c r="X107" i="4" s="1"/>
  <c r="X115" i="4" s="1"/>
  <c r="X123" i="4" s="1"/>
  <c r="X131" i="4" s="1"/>
  <c r="X139" i="4" s="1"/>
  <c r="X147" i="4" s="1"/>
  <c r="X155" i="4" s="1"/>
  <c r="X163" i="4" s="1"/>
  <c r="X171" i="4" s="1"/>
  <c r="X179" i="4" s="1"/>
  <c r="X187" i="4" s="1"/>
  <c r="X195" i="4" s="1"/>
  <c r="X203" i="4" s="1"/>
  <c r="X211" i="4" s="1"/>
  <c r="X219" i="4" s="1"/>
  <c r="X227" i="4" s="1"/>
  <c r="X235" i="4" s="1"/>
  <c r="X243" i="4" s="1"/>
  <c r="X251" i="4" s="1"/>
  <c r="X259" i="4" s="1"/>
  <c r="X267" i="4" s="1"/>
  <c r="X275" i="4" s="1"/>
  <c r="X283" i="4" s="1"/>
  <c r="X291" i="4" s="1"/>
  <c r="X299" i="4" s="1"/>
  <c r="X307" i="4" s="1"/>
  <c r="X315" i="4" s="1"/>
  <c r="X323" i="4" s="1"/>
  <c r="X331" i="4" s="1"/>
  <c r="X339" i="4" s="1"/>
  <c r="X347" i="4" s="1"/>
  <c r="X355" i="4" s="1"/>
  <c r="X363" i="4" s="1"/>
  <c r="X371" i="4" s="1"/>
  <c r="X379" i="4" s="1"/>
  <c r="X387" i="4" s="1"/>
  <c r="X395" i="4" s="1"/>
  <c r="X403" i="4" s="1"/>
  <c r="X411" i="4" s="1"/>
  <c r="X419" i="4" s="1"/>
  <c r="X427" i="4" s="1"/>
  <c r="X435" i="4" s="1"/>
  <c r="X443" i="4" s="1"/>
  <c r="X451" i="4" s="1"/>
  <c r="X459" i="4" s="1"/>
  <c r="X467" i="4" s="1"/>
  <c r="X475" i="4" s="1"/>
  <c r="X483" i="4" s="1"/>
  <c r="X491" i="4" s="1"/>
  <c r="X499" i="4" s="1"/>
  <c r="X507" i="4" s="1"/>
  <c r="X515" i="4" s="1"/>
  <c r="X523" i="4" s="1"/>
  <c r="X531" i="4" s="1"/>
  <c r="U52" i="4"/>
  <c r="U60" i="4" s="1"/>
  <c r="U68" i="4" s="1"/>
  <c r="U76" i="4" s="1"/>
  <c r="U84" i="4" s="1"/>
  <c r="U92" i="4" s="1"/>
  <c r="U100" i="4" s="1"/>
  <c r="U108" i="4" s="1"/>
  <c r="U116" i="4" s="1"/>
  <c r="U124" i="4" s="1"/>
  <c r="U132" i="4" s="1"/>
  <c r="U140" i="4" s="1"/>
  <c r="U148" i="4" s="1"/>
  <c r="U156" i="4" s="1"/>
  <c r="U164" i="4" s="1"/>
  <c r="U172" i="4" s="1"/>
  <c r="U180" i="4" s="1"/>
  <c r="U188" i="4" s="1"/>
  <c r="U196" i="4" s="1"/>
  <c r="U204" i="4" s="1"/>
  <c r="U212" i="4" s="1"/>
  <c r="U220" i="4" s="1"/>
  <c r="U228" i="4" s="1"/>
  <c r="U236" i="4" s="1"/>
  <c r="U244" i="4" s="1"/>
  <c r="U252" i="4" s="1"/>
  <c r="U260" i="4" s="1"/>
  <c r="U268" i="4" s="1"/>
  <c r="U276" i="4" s="1"/>
  <c r="U284" i="4" s="1"/>
  <c r="U292" i="4" s="1"/>
  <c r="U300" i="4" s="1"/>
  <c r="U308" i="4" s="1"/>
  <c r="U316" i="4" s="1"/>
  <c r="U324" i="4" s="1"/>
  <c r="U332" i="4" s="1"/>
  <c r="U340" i="4" s="1"/>
  <c r="U348" i="4" s="1"/>
  <c r="U356" i="4" s="1"/>
  <c r="U364" i="4" s="1"/>
  <c r="U372" i="4" s="1"/>
  <c r="U380" i="4" s="1"/>
  <c r="U388" i="4" s="1"/>
  <c r="U396" i="4" s="1"/>
  <c r="U404" i="4" s="1"/>
  <c r="U412" i="4" s="1"/>
  <c r="U420" i="4" s="1"/>
  <c r="U428" i="4" s="1"/>
  <c r="U436" i="4" s="1"/>
  <c r="U444" i="4" s="1"/>
  <c r="U452" i="4" s="1"/>
  <c r="U460" i="4" s="1"/>
  <c r="U468" i="4" s="1"/>
  <c r="U476" i="4" s="1"/>
  <c r="U484" i="4" s="1"/>
  <c r="U492" i="4" s="1"/>
  <c r="U500" i="4" s="1"/>
  <c r="U508" i="4" s="1"/>
  <c r="U516" i="4" s="1"/>
  <c r="U524" i="4" s="1"/>
  <c r="U532" i="4" s="1"/>
  <c r="R168" i="4"/>
  <c r="R256" i="4"/>
  <c r="U374" i="4"/>
  <c r="U382" i="4" s="1"/>
  <c r="U390" i="4" s="1"/>
  <c r="U398" i="4" s="1"/>
  <c r="U406" i="4" s="1"/>
  <c r="U414" i="4" s="1"/>
  <c r="U422" i="4" s="1"/>
  <c r="U430" i="4" s="1"/>
  <c r="U438" i="4" s="1"/>
  <c r="U446" i="4" s="1"/>
  <c r="U454" i="4" s="1"/>
  <c r="U462" i="4" s="1"/>
  <c r="U470" i="4" s="1"/>
  <c r="U478" i="4" s="1"/>
  <c r="U486" i="4" s="1"/>
  <c r="U494" i="4" s="1"/>
  <c r="U502" i="4" s="1"/>
  <c r="U510" i="4" s="1"/>
  <c r="U518" i="4" s="1"/>
  <c r="U526" i="4" s="1"/>
  <c r="U534" i="4" s="1"/>
  <c r="R144" i="4"/>
  <c r="R16" i="4"/>
  <c r="U11" i="4"/>
  <c r="U19" i="4" s="1"/>
  <c r="U27" i="4" s="1"/>
  <c r="U35" i="4" s="1"/>
  <c r="U43" i="4" s="1"/>
  <c r="U51" i="4" s="1"/>
  <c r="U59" i="4" s="1"/>
  <c r="U67" i="4" s="1"/>
  <c r="U75" i="4" s="1"/>
  <c r="U83" i="4" s="1"/>
  <c r="U91" i="4" s="1"/>
  <c r="R176" i="4"/>
  <c r="R24" i="4"/>
  <c r="R112" i="4"/>
  <c r="V379" i="4" l="1"/>
  <c r="X375" i="4"/>
  <c r="X550" i="4"/>
  <c r="X545" i="4"/>
  <c r="X540" i="4"/>
  <c r="W379" i="4"/>
  <c r="V540" i="4"/>
  <c r="V545" i="4"/>
  <c r="V550" i="4"/>
  <c r="X552" i="4"/>
  <c r="X547" i="4"/>
  <c r="X542" i="4"/>
  <c r="W547" i="4"/>
  <c r="W552" i="4"/>
  <c r="W542" i="4"/>
  <c r="W540" i="4"/>
  <c r="W545" i="4"/>
  <c r="W550" i="4"/>
  <c r="U546" i="4"/>
  <c r="U551" i="4"/>
  <c r="U541" i="4"/>
  <c r="W546" i="4"/>
  <c r="W551" i="4"/>
  <c r="W541" i="4"/>
  <c r="U99" i="4"/>
  <c r="W96" i="4"/>
  <c r="X551" i="4"/>
  <c r="X541" i="4"/>
  <c r="X546" i="4"/>
  <c r="U542" i="4"/>
  <c r="U552" i="4"/>
  <c r="U547" i="4"/>
  <c r="V551" i="4"/>
  <c r="V541" i="4"/>
  <c r="V546" i="4"/>
  <c r="U540" i="4"/>
  <c r="U545" i="4"/>
  <c r="U550" i="4"/>
  <c r="X539" i="4"/>
  <c r="X549" i="4"/>
  <c r="X544" i="4"/>
  <c r="V542" i="4"/>
  <c r="V552" i="4"/>
  <c r="V547" i="4"/>
  <c r="X383" i="4" l="1"/>
  <c r="V387" i="4"/>
  <c r="U107" i="4"/>
  <c r="U115" i="4" s="1"/>
  <c r="W104" i="4"/>
  <c r="W387" i="4"/>
  <c r="W395" i="4" l="1"/>
  <c r="W120" i="4"/>
  <c r="U123" i="4"/>
  <c r="U131" i="4" s="1"/>
  <c r="V395" i="4"/>
  <c r="X391" i="4"/>
  <c r="V403" i="4" l="1"/>
  <c r="X399" i="4"/>
  <c r="X136" i="4"/>
  <c r="U139" i="4"/>
  <c r="W403" i="4"/>
  <c r="W411" i="4" l="1"/>
  <c r="U147" i="4"/>
  <c r="X144" i="4"/>
  <c r="X407" i="4"/>
  <c r="V411" i="4"/>
  <c r="X415" i="4" l="1"/>
  <c r="V419" i="4"/>
  <c r="X152" i="4"/>
  <c r="U155" i="4"/>
  <c r="W419" i="4"/>
  <c r="W427" i="4" l="1"/>
  <c r="X160" i="4"/>
  <c r="U163" i="4"/>
  <c r="X423" i="4"/>
  <c r="V427" i="4"/>
  <c r="X168" i="4" l="1"/>
  <c r="U171" i="4"/>
  <c r="V435" i="4"/>
  <c r="X431" i="4"/>
  <c r="W435" i="4"/>
  <c r="X439" i="4" l="1"/>
  <c r="V443" i="4"/>
  <c r="X176" i="4"/>
  <c r="U179" i="4"/>
  <c r="W443" i="4"/>
  <c r="U187" i="4" l="1"/>
  <c r="X184" i="4"/>
  <c r="X447" i="4"/>
  <c r="V451" i="4"/>
  <c r="W451" i="4"/>
  <c r="W459" i="4" l="1"/>
  <c r="X455" i="4"/>
  <c r="V459" i="4"/>
  <c r="X192" i="4"/>
  <c r="U195" i="4"/>
  <c r="U203" i="4" l="1"/>
  <c r="X200" i="4"/>
  <c r="X463" i="4"/>
  <c r="V467" i="4"/>
  <c r="W467" i="4"/>
  <c r="W475" i="4" l="1"/>
  <c r="X471" i="4"/>
  <c r="V475" i="4"/>
  <c r="U211" i="4"/>
  <c r="X208" i="4"/>
  <c r="W483" i="4" l="1"/>
  <c r="U219" i="4"/>
  <c r="X216" i="4"/>
  <c r="X479" i="4"/>
  <c r="V483" i="4"/>
  <c r="W491" i="4" l="1"/>
  <c r="V491" i="4"/>
  <c r="X487" i="4"/>
  <c r="X224" i="4"/>
  <c r="U227" i="4"/>
  <c r="X232" i="4" l="1"/>
  <c r="U235" i="4"/>
  <c r="X495" i="4"/>
  <c r="V499" i="4"/>
  <c r="W499" i="4"/>
  <c r="X240" i="4" l="1"/>
  <c r="U243" i="4"/>
  <c r="W507" i="4"/>
  <c r="X503" i="4"/>
  <c r="V507" i="4"/>
  <c r="V515" i="4" l="1"/>
  <c r="X511" i="4"/>
  <c r="X248" i="4"/>
  <c r="U251" i="4"/>
  <c r="W515" i="4"/>
  <c r="W523" i="4" l="1"/>
  <c r="U259" i="4"/>
  <c r="X256" i="4"/>
  <c r="X519" i="4"/>
  <c r="V523" i="4"/>
  <c r="V531" i="4" l="1"/>
  <c r="X527" i="4"/>
  <c r="X264" i="4"/>
  <c r="U267" i="4"/>
  <c r="W531" i="4"/>
  <c r="W539" i="4" l="1"/>
  <c r="W549" i="4"/>
  <c r="W544" i="4"/>
  <c r="U275" i="4"/>
  <c r="X272" i="4"/>
  <c r="V539" i="4"/>
  <c r="V549" i="4"/>
  <c r="X535" i="4"/>
  <c r="V544" i="4"/>
  <c r="X280" i="4" l="1"/>
  <c r="U283" i="4"/>
  <c r="U291" i="4" l="1"/>
  <c r="X288" i="4"/>
  <c r="X296" i="4" l="1"/>
  <c r="U299" i="4"/>
  <c r="U307" i="4" l="1"/>
  <c r="X304" i="4"/>
  <c r="X312" i="4" l="1"/>
  <c r="U315" i="4"/>
  <c r="U323" i="4" l="1"/>
  <c r="X320" i="4"/>
  <c r="U331" i="4" l="1"/>
  <c r="X328" i="4"/>
  <c r="U339" i="4" l="1"/>
  <c r="X336" i="4"/>
  <c r="X344" i="4" l="1"/>
  <c r="U347" i="4"/>
  <c r="X352" i="4" l="1"/>
  <c r="U355" i="4"/>
  <c r="U363" i="4" l="1"/>
  <c r="X360" i="4"/>
  <c r="X368" i="4" l="1"/>
  <c r="U371" i="4"/>
  <c r="U379" i="4" l="1"/>
  <c r="X376" i="4"/>
  <c r="V375" i="4"/>
  <c r="X384" i="4" l="1"/>
  <c r="U387" i="4"/>
  <c r="V383" i="4"/>
  <c r="X392" i="4" l="1"/>
  <c r="U395" i="4"/>
  <c r="V391" i="4"/>
  <c r="U403" i="4" l="1"/>
  <c r="X400" i="4"/>
  <c r="V399" i="4"/>
  <c r="X408" i="4" l="1"/>
  <c r="U411" i="4"/>
  <c r="V407" i="4"/>
  <c r="U419" i="4" l="1"/>
  <c r="X416" i="4"/>
  <c r="V415" i="4"/>
  <c r="X424" i="4" l="1"/>
  <c r="U427" i="4"/>
  <c r="V423" i="4"/>
  <c r="U435" i="4" l="1"/>
  <c r="X432" i="4"/>
  <c r="V431" i="4"/>
  <c r="U443" i="4" l="1"/>
  <c r="X440" i="4"/>
  <c r="V439" i="4"/>
  <c r="X448" i="4" l="1"/>
  <c r="U451" i="4"/>
  <c r="V447" i="4"/>
  <c r="X456" i="4" l="1"/>
  <c r="U459" i="4"/>
  <c r="V455" i="4"/>
  <c r="X464" i="4" l="1"/>
  <c r="U467" i="4"/>
  <c r="V463" i="4"/>
  <c r="U475" i="4" l="1"/>
  <c r="X472" i="4"/>
  <c r="V471" i="4"/>
  <c r="U483" i="4" l="1"/>
  <c r="X480" i="4"/>
  <c r="V479" i="4"/>
  <c r="X488" i="4" l="1"/>
  <c r="U491" i="4"/>
  <c r="V487" i="4"/>
  <c r="X496" i="4" l="1"/>
  <c r="U499" i="4"/>
  <c r="V495" i="4"/>
  <c r="X504" i="4" l="1"/>
  <c r="U507" i="4"/>
  <c r="V503" i="4"/>
  <c r="X512" i="4" l="1"/>
  <c r="U515" i="4"/>
  <c r="V511" i="4"/>
  <c r="U523" i="4" l="1"/>
  <c r="X520" i="4"/>
  <c r="V519" i="4"/>
  <c r="X528" i="4" l="1"/>
  <c r="U531" i="4"/>
  <c r="V527" i="4"/>
  <c r="U549" i="4" l="1"/>
  <c r="U539" i="4"/>
  <c r="X536" i="4"/>
  <c r="U544" i="4"/>
  <c r="V535" i="4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<sst xmlns="http://schemas.openxmlformats.org/spreadsheetml/2006/main" count="2225" uniqueCount="243">
  <si>
    <t>Met masts removed (TRC)</t>
  </si>
  <si>
    <t>Fri</t>
  </si>
  <si>
    <t>Cart West Side (TRC)</t>
  </si>
  <si>
    <t>GPS Base station data at A monument (Mike)</t>
  </si>
  <si>
    <t>Thu</t>
  </si>
  <si>
    <t>Cart entire field (TRC)</t>
  </si>
  <si>
    <t>Wed</t>
  </si>
  <si>
    <t>Cart entire field (PDC)</t>
  </si>
  <si>
    <t>Neutrons</t>
  </si>
  <si>
    <t>Cart entire field (Tom)</t>
  </si>
  <si>
    <t>Tues</t>
  </si>
  <si>
    <t>Cart entire field (Ed)</t>
  </si>
  <si>
    <t>Helicopter flight by Tom 12:00 for true color photos</t>
  </si>
  <si>
    <t>Changed sock to sprinkler heads on linear (Stacy)</t>
  </si>
  <si>
    <t>Mon</t>
  </si>
  <si>
    <t>Cart west end 1m res (PDC)</t>
  </si>
  <si>
    <t>Sat</t>
  </si>
  <si>
    <t>Rain</t>
  </si>
  <si>
    <t>0.5"</t>
  </si>
  <si>
    <t>Cart east end (TRC)</t>
  </si>
  <si>
    <t>1.9"</t>
  </si>
  <si>
    <t>Sun</t>
  </si>
  <si>
    <t>Cart entire field (Stacy and Mike; mostly cloudy)</t>
  </si>
  <si>
    <t>Cart entire field (Tom; mostly cloudy)</t>
  </si>
  <si>
    <t>0.2"</t>
  </si>
  <si>
    <t>Cart entire field (Mike K.)</t>
  </si>
  <si>
    <t>Cart west (1 m res) ED</t>
  </si>
  <si>
    <t>Irrigate LWT (ED)</t>
  </si>
  <si>
    <t>1.13"</t>
  </si>
  <si>
    <t>Cart entire Field (1 m res)</t>
  </si>
  <si>
    <t>Irrigate all plots (ED)</t>
  </si>
  <si>
    <t>1.51"</t>
  </si>
  <si>
    <t>Cart</t>
  </si>
  <si>
    <t>?</t>
  </si>
  <si>
    <t>Mike K and Mike B did crop scan</t>
  </si>
  <si>
    <t>Tue</t>
  </si>
  <si>
    <t>Irrigate HWT</t>
  </si>
  <si>
    <t>1.09"</t>
  </si>
  <si>
    <t>0.1"</t>
  </si>
  <si>
    <t>0.04"</t>
  </si>
  <si>
    <t>Neutrons (PDC)</t>
  </si>
  <si>
    <t>Irrigate entire field</t>
  </si>
  <si>
    <t>1.02"</t>
  </si>
  <si>
    <t>Cart entire field (1 m res) (MK)</t>
  </si>
  <si>
    <t>Cart entire field (1 m res) (MB)</t>
  </si>
  <si>
    <t>1.40"</t>
  </si>
  <si>
    <t>SPRAY FIELD FOR WHITEFLY</t>
  </si>
  <si>
    <t>Neutrons (TRC)</t>
  </si>
  <si>
    <t>Cart entire field (1 m res); leaves dirst from last night's dust storm.</t>
  </si>
  <si>
    <t>Trace rain, major dust storm</t>
  </si>
  <si>
    <t>1.05"</t>
  </si>
  <si>
    <t>Cart entire field (1 m res)</t>
  </si>
  <si>
    <t>Irrigate HWT 12%</t>
  </si>
  <si>
    <t>Trace rain</t>
  </si>
  <si>
    <t>1.50"</t>
  </si>
  <si>
    <t>Irrigate PLOT 8</t>
  </si>
  <si>
    <t>1.36"</t>
  </si>
  <si>
    <t>Cart entire field E to W 17%</t>
  </si>
  <si>
    <t>Irrigate HWT 26%</t>
  </si>
  <si>
    <t>0.56"</t>
  </si>
  <si>
    <t>Irrigate HWT 13% (plot 4 got irrigated by mistake)</t>
  </si>
  <si>
    <t>1.10"</t>
  </si>
  <si>
    <t>Cart west (1 m res)</t>
  </si>
  <si>
    <t>Cart entire field ( 1 m res.)</t>
  </si>
  <si>
    <t>1.07"</t>
  </si>
  <si>
    <t>Rebuild borders between blocks except for between plots 11-12 and 15-16.</t>
  </si>
  <si>
    <t>Spray field with KNACK for white flies.</t>
  </si>
  <si>
    <t>Irrigate entire field (linear = 10%)</t>
  </si>
  <si>
    <t>1.21"</t>
  </si>
  <si>
    <t>RAIN</t>
  </si>
  <si>
    <t>0.35"</t>
  </si>
  <si>
    <t>Irrigate LWT (12%)</t>
  </si>
  <si>
    <t>1.19"</t>
  </si>
  <si>
    <t>Ran cart West end</t>
  </si>
  <si>
    <t>Irrigate entire field (linear = 12%)</t>
  </si>
  <si>
    <t>1.00"</t>
  </si>
  <si>
    <t>1.11"</t>
  </si>
  <si>
    <t>3.9 ac</t>
  </si>
  <si>
    <t>2 pts/ac</t>
  </si>
  <si>
    <t>Monitor</t>
  </si>
  <si>
    <t>Lorsban</t>
  </si>
  <si>
    <t>9.6 oz/ac</t>
  </si>
  <si>
    <t>Asana</t>
  </si>
  <si>
    <t>Spray for lygus, nymphs, whitefly, and beet army worm</t>
  </si>
  <si>
    <t>Irrigate entire field (linear = 8%)</t>
  </si>
  <si>
    <t>1.49"</t>
  </si>
  <si>
    <t>Cart entire field (2 m res, 34%, E to W)</t>
  </si>
  <si>
    <t>Irrigate entire field (26%)</t>
  </si>
  <si>
    <t>0.46"</t>
  </si>
  <si>
    <t>Ran cart East End</t>
  </si>
  <si>
    <t>Irrigate entire field (10%)</t>
  </si>
  <si>
    <t>SPRAY FIELD (Vydate C-LV; 2 pts/ac; 21.8 GPA vol; 3.8 ac)</t>
  </si>
  <si>
    <t>Installed 24 stem flow guages</t>
  </si>
  <si>
    <t>Cart entire field</t>
  </si>
  <si>
    <t>Stacy took neutrons</t>
  </si>
  <si>
    <t>Cart entire field (1 m res, 17%, W to E)</t>
  </si>
  <si>
    <t>Fertigate (17 lb/ac Low N; 41 lb/ac Hi N)</t>
  </si>
  <si>
    <t>Irrigate whole field</t>
  </si>
  <si>
    <t>0.28"</t>
  </si>
  <si>
    <t>1"</t>
  </si>
  <si>
    <t>Irrigate High Water TMTS</t>
  </si>
  <si>
    <t>1.14"</t>
  </si>
  <si>
    <t>Neutrons (Stacy)</t>
  </si>
  <si>
    <t>1.0"</t>
  </si>
  <si>
    <t>Irrigate West End</t>
  </si>
  <si>
    <t>0.57"</t>
  </si>
  <si>
    <t>Neutrons (before rain / irrigation)</t>
  </si>
  <si>
    <t>Irrigate East End</t>
  </si>
  <si>
    <t>0.92"</t>
  </si>
  <si>
    <t>Rebuild borders between blocks except for locations not cultivated.</t>
  </si>
  <si>
    <t>Cultivate field except for south 12 rows of plts 11 &amp; 12; north 15 rows of plot 16 (furrow immediately north and south, respectively, cultivated.</t>
  </si>
  <si>
    <t>Trace rain evening</t>
  </si>
  <si>
    <t>0.97"</t>
  </si>
  <si>
    <t>Ran cart East End (BAD RUN: CLOUDY, GPS dead, uplook not level, north dir switch break)</t>
  </si>
  <si>
    <t>0.95"</t>
  </si>
  <si>
    <t>Spray Phaser 3 EC (Vydate?) (2 pts/ac; 22.2 GPM vol; 3.1 ac) (accidently drove down south harvest rows of plots 13-16.</t>
  </si>
  <si>
    <t>32 oz/ac</t>
  </si>
  <si>
    <t>0.91"</t>
  </si>
  <si>
    <t>Petioles</t>
  </si>
  <si>
    <t>Fertigate West end (62 lbs/ac hi N; 20 lbs/ac lo N)</t>
  </si>
  <si>
    <t>Fertigate East end (63 lbs/ac hi N; 23 lbs/ac lo N)</t>
  </si>
  <si>
    <t>1.03"</t>
  </si>
  <si>
    <t>0.82"</t>
  </si>
  <si>
    <t>Neutrons (finish 20:30)</t>
  </si>
  <si>
    <t>1.1"</t>
  </si>
  <si>
    <t>Ran Cart West End</t>
  </si>
  <si>
    <t>4-.7"; 3-.93"</t>
  </si>
  <si>
    <t>Irrigate block 4 but linear north tower broke down</t>
  </si>
  <si>
    <t>0.19"</t>
  </si>
  <si>
    <t>Thurs</t>
  </si>
  <si>
    <t>Fertigation (38.5 #/ac hi; 23 #/ac lo)</t>
  </si>
  <si>
    <t>Irrigation</t>
  </si>
  <si>
    <t>Ran Cart</t>
  </si>
  <si>
    <t>0.84"</t>
  </si>
  <si>
    <t>Fertigation (25 #/ac hi; 6-10 #/ac lo)</t>
  </si>
  <si>
    <t>Rebuilt plot borders</t>
  </si>
  <si>
    <t>Installed neutron tubes 21-28.</t>
  </si>
  <si>
    <t>CULTIVATED</t>
  </si>
  <si>
    <t>Installed neutron tubes 1-20</t>
  </si>
  <si>
    <t>Intalled neutron tubes 29-32</t>
  </si>
  <si>
    <t>Build borders</t>
  </si>
  <si>
    <t>0.87"</t>
  </si>
  <si>
    <t>Ran Cart; probed soil</t>
  </si>
  <si>
    <t>0.96"</t>
  </si>
  <si>
    <t>Installed socks</t>
  </si>
  <si>
    <t>0.88"</t>
  </si>
  <si>
    <t>0.31"</t>
  </si>
  <si>
    <t>Charlie and Julio installed drag hose swivel</t>
  </si>
  <si>
    <t>Re-leveled track; tested cart</t>
  </si>
  <si>
    <t>0.45"</t>
  </si>
  <si>
    <t>0.53"</t>
  </si>
  <si>
    <t>Added Nozzles</t>
  </si>
  <si>
    <t>0.25"</t>
  </si>
  <si>
    <t>0.50"</t>
  </si>
  <si>
    <t>Ran LST, took bare soil data.</t>
  </si>
  <si>
    <t>0.65"</t>
  </si>
  <si>
    <t>Plant DP90b</t>
  </si>
  <si>
    <t>Shape beds</t>
  </si>
  <si>
    <t>List/cultivate beds</t>
  </si>
  <si>
    <t>Incorporate N, P, Prowl</t>
  </si>
  <si>
    <t>Apply preplant hercicides (Prowl: 2 pts/ac)</t>
  </si>
  <si>
    <t>Apply preplant N (30 lbs/ac) and P (62 lbs/ac)</t>
  </si>
  <si>
    <t>0.4"</t>
  </si>
  <si>
    <t>Flagged east end to guide listing: red=furrow; blue=first ROW (BED) from center tower wheel; orange = center track wheel; yellow=plot borders (east)</t>
  </si>
  <si>
    <t>Laser Level</t>
  </si>
  <si>
    <t>Soil samples for N and P (Julio &amp; Emily)</t>
  </si>
  <si>
    <t>Disk</t>
  </si>
  <si>
    <t>Deep tillage</t>
  </si>
  <si>
    <t>Description</t>
  </si>
  <si>
    <t>QTY</t>
  </si>
  <si>
    <t>Date</t>
  </si>
  <si>
    <t>Day</t>
  </si>
  <si>
    <t>DOY</t>
  </si>
  <si>
    <t>Avg cuml appl depth (in) =</t>
  </si>
  <si>
    <t>Avg appl depth (in) =</t>
  </si>
  <si>
    <t>Avg gpm =</t>
  </si>
  <si>
    <t>avg HWT =</t>
  </si>
  <si>
    <t>avg LWT =</t>
  </si>
  <si>
    <t>:</t>
  </si>
  <si>
    <t>End</t>
  </si>
  <si>
    <t>Start</t>
  </si>
  <si>
    <t>Totals</t>
  </si>
  <si>
    <t>East End</t>
  </si>
  <si>
    <t>Pre 1</t>
  </si>
  <si>
    <t>Area (ac)</t>
  </si>
  <si>
    <t>Area (ft^2)</t>
  </si>
  <si>
    <t>E-W (m)</t>
  </si>
  <si>
    <t>Block</t>
  </si>
  <si>
    <t>Total Block</t>
  </si>
  <si>
    <t>N-S (m)</t>
  </si>
  <si>
    <t>I</t>
  </si>
  <si>
    <t>II</t>
  </si>
  <si>
    <t>III</t>
  </si>
  <si>
    <t>IV</t>
  </si>
  <si>
    <t xml:space="preserve">North --&gt; </t>
  </si>
  <si>
    <t>Series</t>
  </si>
  <si>
    <t>Total Nozzles =</t>
  </si>
  <si>
    <t>Plot Dimensions (m)</t>
  </si>
  <si>
    <t>Use this area if run at 100% over plot borders.</t>
  </si>
  <si>
    <t>* Linear north tower broke down right after entering BLOCK 4.</t>
  </si>
  <si>
    <t>STALLED WEST END OF BLOCK 2 DUE TO MIS-ALIGNMENT.</t>
  </si>
  <si>
    <t>STALLED ABOUT 1M BEFORE WEST END OF BLOCK 1 DUE TO MIS-ALIGNMENT.</t>
  </si>
  <si>
    <t>*STALLED EAST END OF BLOCK 1 DUE TO MIS-ALIGNMENT.</t>
  </si>
  <si>
    <t>New nozzle arrangement starting Wed, 4/21/99, DOY 111</t>
  </si>
  <si>
    <t>Block 2 excessive because linear stalled for a few minutes because it got out of alignment from being across the road in the alfalfa field while we planted, etc.</t>
  </si>
  <si>
    <t>gpm</t>
  </si>
  <si>
    <t>Min</t>
  </si>
  <si>
    <t>MIN</t>
  </si>
  <si>
    <t>HR</t>
  </si>
  <si>
    <t>ON</t>
  </si>
  <si>
    <t>Nominal</t>
  </si>
  <si>
    <t>Total</t>
  </si>
  <si>
    <t>Nozzles</t>
  </si>
  <si>
    <t>Cumulative Application Depths (INCHES)</t>
  </si>
  <si>
    <t>Application Depths (INCHES)</t>
  </si>
  <si>
    <t>Time</t>
  </si>
  <si>
    <t>Meter</t>
  </si>
  <si>
    <t>Red Headings = Calculated Columns</t>
  </si>
  <si>
    <t>Depth (mm)</t>
  </si>
  <si>
    <t>p01</t>
  </si>
  <si>
    <t>Year</t>
  </si>
  <si>
    <t>p16</t>
  </si>
  <si>
    <t>Depth (in)</t>
  </si>
  <si>
    <t>Amount (kg/ha)</t>
  </si>
  <si>
    <t>Amount (lb/ac)</t>
  </si>
  <si>
    <t xml:space="preserve">Depth ( in) </t>
  </si>
  <si>
    <t>Water Applications</t>
  </si>
  <si>
    <t>Nitrogen Applications</t>
  </si>
  <si>
    <t>Water Reduced - Daily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</si>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</sst>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Aptos Narrow"/>
      <family val="2"/>
      <scheme val="minor"/>
    </font>
    <font>
      <sz val="10"/>
      <name val="Arial"/>
    </font>
    <font>
      <b/>
      <sz val="10"/>
      <name val="Arial"/>
      <family val="2"/>
    </font>
    <font>
      <sz val="10"/>
      <name val="Courier"/>
      <family val="3"/>
    </font>
    <font>
      <b/>
      <sz val="10"/>
      <color indexed="10"/>
      <name val="Arial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dashed">
        <color indexed="64"/>
      </right>
      <top/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 style="dashed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dashed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 style="dashed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dashed">
        <color indexed="64"/>
      </left>
      <right/>
      <top style="medium">
        <color indexed="64"/>
      </top>
      <bottom/>
      <diagonal/>
    </border>
    <border>
      <left/>
      <right style="dashed">
        <color indexed="64"/>
      </right>
      <top style="medium">
        <color indexed="64"/>
      </top>
      <bottom/>
      <diagonal/>
    </border>
    <border>
      <left style="dashed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dashed">
        <color indexed="64"/>
      </right>
      <top style="medium">
        <color indexed="64"/>
      </top>
      <bottom/>
      <diagonal/>
    </border>
    <border>
      <left style="dashed">
        <color indexed="64"/>
      </left>
      <right style="double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0" fontId="3" fillId="0" borderId="0"/>
  </cellStyleXfs>
  <cellXfs count="89">
    <xf numFmtId="0" fontId="0" fillId="0" borderId="0" xfId="0"/>
    <xf numFmtId="0" fontId="1" fillId="0" borderId="0" xfId="1"/>
    <xf numFmtId="14" fontId="1" fillId="0" borderId="0" xfId="1" applyNumberFormat="1"/>
    <xf numFmtId="0" fontId="1" fillId="0" borderId="0" xfId="1" quotePrefix="1" applyAlignment="1">
      <alignment horizontal="left"/>
    </xf>
    <xf numFmtId="0" fontId="1" fillId="0" borderId="0" xfId="1" quotePrefix="1"/>
    <xf numFmtId="14" fontId="1" fillId="0" borderId="0" xfId="1" applyNumberFormat="1" applyAlignment="1">
      <alignment horizontal="center"/>
    </xf>
    <xf numFmtId="0" fontId="1" fillId="0" borderId="0" xfId="1" applyAlignment="1">
      <alignment horizontal="center"/>
    </xf>
    <xf numFmtId="0" fontId="2" fillId="0" borderId="1" xfId="1" applyFont="1" applyBorder="1"/>
    <xf numFmtId="0" fontId="1" fillId="0" borderId="0" xfId="1" applyAlignment="1">
      <alignment horizontal="left"/>
    </xf>
    <xf numFmtId="0" fontId="1" fillId="0" borderId="0" xfId="1" applyAlignment="1">
      <alignment horizontal="right"/>
    </xf>
    <xf numFmtId="2" fontId="1" fillId="0" borderId="0" xfId="1" applyNumberFormat="1"/>
    <xf numFmtId="2" fontId="1" fillId="0" borderId="2" xfId="1" applyNumberFormat="1" applyBorder="1"/>
    <xf numFmtId="0" fontId="1" fillId="0" borderId="2" xfId="1" applyBorder="1"/>
    <xf numFmtId="1" fontId="1" fillId="0" borderId="3" xfId="1" applyNumberFormat="1" applyBorder="1" applyAlignment="1">
      <alignment horizontal="center"/>
    </xf>
    <xf numFmtId="0" fontId="1" fillId="0" borderId="3" xfId="1" applyBorder="1" applyAlignment="1">
      <alignment horizontal="left"/>
    </xf>
    <xf numFmtId="0" fontId="1" fillId="0" borderId="2" xfId="1" applyBorder="1" applyAlignment="1">
      <alignment horizontal="right"/>
    </xf>
    <xf numFmtId="0" fontId="1" fillId="0" borderId="4" xfId="1" applyBorder="1" applyAlignment="1">
      <alignment horizontal="left"/>
    </xf>
    <xf numFmtId="0" fontId="1" fillId="0" borderId="5" xfId="1" applyBorder="1" applyAlignment="1">
      <alignment horizontal="right"/>
    </xf>
    <xf numFmtId="0" fontId="1" fillId="0" borderId="3" xfId="1" applyBorder="1"/>
    <xf numFmtId="0" fontId="1" fillId="0" borderId="6" xfId="1" applyBorder="1"/>
    <xf numFmtId="0" fontId="1" fillId="0" borderId="2" xfId="1" applyBorder="1" applyAlignment="1">
      <alignment horizontal="center"/>
    </xf>
    <xf numFmtId="0" fontId="1" fillId="0" borderId="7" xfId="1" applyBorder="1"/>
    <xf numFmtId="0" fontId="3" fillId="0" borderId="8" xfId="2" applyBorder="1" applyAlignment="1">
      <alignment horizontal="center"/>
    </xf>
    <xf numFmtId="0" fontId="1" fillId="0" borderId="7" xfId="1" applyBorder="1" applyAlignment="1">
      <alignment horizontal="left"/>
    </xf>
    <xf numFmtId="0" fontId="1" fillId="0" borderId="9" xfId="1" applyBorder="1" applyAlignment="1">
      <alignment horizontal="left"/>
    </xf>
    <xf numFmtId="0" fontId="1" fillId="0" borderId="10" xfId="1" applyBorder="1" applyAlignment="1">
      <alignment horizontal="right"/>
    </xf>
    <xf numFmtId="0" fontId="1" fillId="0" borderId="7" xfId="1" applyBorder="1" applyAlignment="1">
      <alignment horizontal="center"/>
    </xf>
    <xf numFmtId="0" fontId="1" fillId="0" borderId="11" xfId="1" applyBorder="1" applyAlignment="1">
      <alignment horizontal="center"/>
    </xf>
    <xf numFmtId="2" fontId="1" fillId="0" borderId="12" xfId="1" applyNumberFormat="1" applyBorder="1" applyAlignment="1">
      <alignment horizontal="center"/>
    </xf>
    <xf numFmtId="2" fontId="1" fillId="0" borderId="13" xfId="1" applyNumberFormat="1" applyBorder="1" applyAlignment="1">
      <alignment horizontal="center"/>
    </xf>
    <xf numFmtId="1" fontId="1" fillId="0" borderId="7" xfId="1" applyNumberFormat="1" applyBorder="1" applyAlignment="1">
      <alignment horizontal="center"/>
    </xf>
    <xf numFmtId="0" fontId="2" fillId="0" borderId="0" xfId="1" applyFont="1"/>
    <xf numFmtId="1" fontId="1" fillId="0" borderId="14" xfId="1" applyNumberFormat="1" applyBorder="1" applyAlignment="1">
      <alignment horizontal="center"/>
    </xf>
    <xf numFmtId="0" fontId="1" fillId="0" borderId="14" xfId="1" applyBorder="1"/>
    <xf numFmtId="0" fontId="1" fillId="0" borderId="15" xfId="1" applyBorder="1" applyAlignment="1">
      <alignment horizontal="left"/>
    </xf>
    <xf numFmtId="0" fontId="1" fillId="0" borderId="16" xfId="1" applyBorder="1" applyAlignment="1">
      <alignment horizontal="right"/>
    </xf>
    <xf numFmtId="0" fontId="1" fillId="0" borderId="17" xfId="1" applyBorder="1" applyAlignment="1">
      <alignment horizontal="left"/>
    </xf>
    <xf numFmtId="0" fontId="1" fillId="0" borderId="18" xfId="1" applyBorder="1"/>
    <xf numFmtId="0" fontId="1" fillId="0" borderId="19" xfId="1" applyBorder="1"/>
    <xf numFmtId="0" fontId="1" fillId="0" borderId="20" xfId="1" applyBorder="1" applyAlignment="1">
      <alignment horizontal="center"/>
    </xf>
    <xf numFmtId="0" fontId="1" fillId="0" borderId="2" xfId="1" applyBorder="1" applyAlignment="1">
      <alignment horizontal="left"/>
    </xf>
    <xf numFmtId="0" fontId="1" fillId="0" borderId="15" xfId="1" applyBorder="1"/>
    <xf numFmtId="2" fontId="1" fillId="0" borderId="21" xfId="1" applyNumberFormat="1" applyBorder="1" applyAlignment="1">
      <alignment horizontal="center"/>
    </xf>
    <xf numFmtId="1" fontId="1" fillId="0" borderId="2" xfId="1" applyNumberFormat="1" applyBorder="1" applyAlignment="1">
      <alignment horizontal="center"/>
    </xf>
    <xf numFmtId="0" fontId="1" fillId="0" borderId="22" xfId="1" applyBorder="1"/>
    <xf numFmtId="2" fontId="1" fillId="0" borderId="23" xfId="1" applyNumberFormat="1" applyBorder="1" applyAlignment="1">
      <alignment horizontal="center"/>
    </xf>
    <xf numFmtId="1" fontId="1" fillId="0" borderId="0" xfId="1" applyNumberFormat="1" applyAlignment="1">
      <alignment horizontal="center"/>
    </xf>
    <xf numFmtId="0" fontId="1" fillId="0" borderId="24" xfId="1" applyBorder="1"/>
    <xf numFmtId="0" fontId="1" fillId="0" borderId="24" xfId="1" applyBorder="1" applyAlignment="1">
      <alignment horizontal="center"/>
    </xf>
    <xf numFmtId="0" fontId="1" fillId="0" borderId="23" xfId="1" applyBorder="1" applyAlignment="1">
      <alignment horizontal="center"/>
    </xf>
    <xf numFmtId="0" fontId="1" fillId="0" borderId="23" xfId="1" applyBorder="1" applyAlignment="1">
      <alignment horizontal="center"/>
    </xf>
    <xf numFmtId="0" fontId="1" fillId="0" borderId="0" xfId="1" applyAlignment="1">
      <alignment horizontal="center"/>
    </xf>
    <xf numFmtId="0" fontId="1" fillId="0" borderId="23" xfId="1" applyBorder="1"/>
    <xf numFmtId="0" fontId="1" fillId="0" borderId="25" xfId="1" applyBorder="1"/>
    <xf numFmtId="0" fontId="1" fillId="0" borderId="26" xfId="1" applyBorder="1"/>
    <xf numFmtId="0" fontId="2" fillId="0" borderId="27" xfId="1" applyFont="1" applyBorder="1" applyAlignment="1">
      <alignment horizontal="left"/>
    </xf>
    <xf numFmtId="0" fontId="2" fillId="0" borderId="27" xfId="1" applyFont="1" applyBorder="1"/>
    <xf numFmtId="0" fontId="1" fillId="0" borderId="27" xfId="1" applyBorder="1"/>
    <xf numFmtId="0" fontId="2" fillId="0" borderId="28" xfId="1" applyFont="1" applyBorder="1"/>
    <xf numFmtId="0" fontId="1" fillId="0" borderId="11" xfId="1" applyBorder="1"/>
    <xf numFmtId="0" fontId="1" fillId="0" borderId="12" xfId="1" applyBorder="1" applyAlignment="1">
      <alignment horizontal="center"/>
    </xf>
    <xf numFmtId="0" fontId="1" fillId="0" borderId="29" xfId="1" applyBorder="1" applyAlignment="1">
      <alignment horizontal="center"/>
    </xf>
    <xf numFmtId="0" fontId="1" fillId="0" borderId="12" xfId="1" applyBorder="1"/>
    <xf numFmtId="0" fontId="1" fillId="0" borderId="1" xfId="1" applyBorder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/>
    <xf numFmtId="0" fontId="4" fillId="0" borderId="7" xfId="1" applyFont="1" applyBorder="1" applyAlignment="1">
      <alignment horizontal="center"/>
    </xf>
    <xf numFmtId="0" fontId="4" fillId="0" borderId="8" xfId="1" applyFont="1" applyBorder="1" applyAlignment="1">
      <alignment horizontal="center"/>
    </xf>
    <xf numFmtId="0" fontId="2" fillId="0" borderId="7" xfId="1" applyFont="1" applyBorder="1" applyAlignment="1">
      <alignment horizontal="left"/>
    </xf>
    <xf numFmtId="0" fontId="2" fillId="0" borderId="0" xfId="1" applyFont="1" applyAlignment="1">
      <alignment horizontal="center"/>
    </xf>
    <xf numFmtId="0" fontId="2" fillId="0" borderId="0" xfId="1" applyFont="1" applyAlignment="1">
      <alignment horizontal="right"/>
    </xf>
    <xf numFmtId="0" fontId="2" fillId="0" borderId="9" xfId="1" applyFont="1" applyBorder="1" applyAlignment="1">
      <alignment horizontal="left"/>
    </xf>
    <xf numFmtId="0" fontId="2" fillId="0" borderId="10" xfId="1" applyFont="1" applyBorder="1" applyAlignment="1">
      <alignment horizontal="right"/>
    </xf>
    <xf numFmtId="0" fontId="2" fillId="0" borderId="7" xfId="1" applyFont="1" applyBorder="1" applyAlignment="1">
      <alignment horizontal="center"/>
    </xf>
    <xf numFmtId="0" fontId="2" fillId="0" borderId="11" xfId="1" applyFont="1" applyBorder="1" applyAlignment="1">
      <alignment horizontal="center"/>
    </xf>
    <xf numFmtId="0" fontId="1" fillId="0" borderId="30" xfId="1" applyBorder="1"/>
    <xf numFmtId="0" fontId="4" fillId="0" borderId="0" xfId="1" applyFont="1" applyAlignment="1">
      <alignment horizontal="left"/>
    </xf>
    <xf numFmtId="0" fontId="2" fillId="0" borderId="7" xfId="1" applyFont="1" applyBorder="1" applyAlignment="1">
      <alignment horizontal="center"/>
    </xf>
    <xf numFmtId="0" fontId="2" fillId="0" borderId="0" xfId="1" applyFont="1" applyAlignment="1">
      <alignment horizontal="center"/>
    </xf>
    <xf numFmtId="0" fontId="2" fillId="0" borderId="9" xfId="1" applyFont="1" applyBorder="1" applyAlignment="1">
      <alignment horizontal="center"/>
    </xf>
    <xf numFmtId="0" fontId="2" fillId="0" borderId="10" xfId="1" applyFont="1" applyBorder="1" applyAlignment="1">
      <alignment horizontal="center"/>
    </xf>
    <xf numFmtId="0" fontId="2" fillId="0" borderId="26" xfId="1" applyFont="1" applyBorder="1" applyAlignment="1">
      <alignment horizontal="left"/>
    </xf>
    <xf numFmtId="0" fontId="2" fillId="0" borderId="26" xfId="1" applyFont="1" applyBorder="1"/>
    <xf numFmtId="0" fontId="4" fillId="0" borderId="0" xfId="1" applyFont="1" applyAlignment="1">
      <alignment horizontal="center"/>
    </xf>
    <xf numFmtId="0" fontId="2" fillId="0" borderId="7" xfId="1" applyFont="1" applyBorder="1"/>
    <xf numFmtId="0" fontId="2" fillId="0" borderId="8" xfId="1" applyFont="1" applyBorder="1"/>
    <xf numFmtId="0" fontId="0" fillId="0" borderId="0" xfId="0" applyAlignment="1">
      <alignment horizontal="left"/>
    </xf>
    <xf numFmtId="2" fontId="0" fillId="0" borderId="0" xfId="0" applyNumberFormat="1"/>
    <xf numFmtId="164" fontId="0" fillId="0" borderId="0" xfId="0" applyNumberFormat="1"/>
  </cellXfs>
  <cellStyles count="3">
    <cellStyle name="Normal" xfId="0" builtinId="0"/>
    <cellStyle name="Normal 2" xfId="1" xr:uid="{F663EC54-4083-4D25-B662-BCA624E157C0}"/>
    <cellStyle name="Normal_IRR20J99" xfId="2" xr:uid="{2B3012CE-8BA0-4ABA-BF6E-96F6335BE58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07586-39C9-4A62-80E2-35094E16E446}">
  <dimension ref="A1:AG552"/>
  <sheetViews>
    <sheetView zoomScale="75" workbookViewId="0">
      <pane xSplit="3" ySplit="8" topLeftCell="N9" activePane="bottomRight" state="frozen"/>
      <selection pane="topRight" activeCell="D1" sqref="D1"/>
      <selection pane="bottomLeft" activeCell="A9" sqref="A9"/>
      <selection pane="bottomRight" activeCell="C70" sqref="C70"/>
    </sheetView>
  </sheetViews>
  <sheetFormatPr defaultRowHeight="12.75" x14ac:dyDescent="0.2"/>
  <cols>
    <col min="1" max="2" width="9.140625" style="6"/>
    <col min="3" max="3" width="11.140625" style="6" bestFit="1" customWidth="1"/>
    <col min="4" max="7" width="9.140625" style="1"/>
    <col min="8" max="8" width="3.7109375" style="9" customWidth="1"/>
    <col min="9" max="9" width="1.7109375" style="1" customWidth="1"/>
    <col min="10" max="10" width="4.7109375" style="8" customWidth="1"/>
    <col min="11" max="11" width="3.7109375" style="9" customWidth="1"/>
    <col min="12" max="12" width="1.7109375" style="1" customWidth="1"/>
    <col min="13" max="13" width="4.7109375" style="8" customWidth="1"/>
    <col min="14" max="26" width="9.140625" style="1"/>
    <col min="27" max="28" width="9.85546875" style="1" customWidth="1"/>
    <col min="29" max="16384" width="9.140625" style="1"/>
  </cols>
  <sheetData>
    <row r="1" spans="1:33" x14ac:dyDescent="0.2">
      <c r="G1" s="65" t="s">
        <v>217</v>
      </c>
      <c r="H1" s="1"/>
      <c r="J1" s="1"/>
      <c r="K1" s="1"/>
      <c r="L1" s="31"/>
      <c r="M1" s="1"/>
    </row>
    <row r="5" spans="1:33" ht="13.5" thickBot="1" x14ac:dyDescent="0.25"/>
    <row r="6" spans="1:33" x14ac:dyDescent="0.2">
      <c r="A6" s="69" t="s">
        <v>172</v>
      </c>
      <c r="B6" s="69" t="s">
        <v>171</v>
      </c>
      <c r="C6" s="69" t="s">
        <v>170</v>
      </c>
      <c r="D6" s="73" t="s">
        <v>187</v>
      </c>
      <c r="E6" s="73" t="s">
        <v>211</v>
      </c>
      <c r="F6" s="78" t="s">
        <v>216</v>
      </c>
      <c r="G6" s="77"/>
      <c r="H6" s="80" t="s">
        <v>215</v>
      </c>
      <c r="I6" s="78"/>
      <c r="J6" s="78"/>
      <c r="K6" s="78"/>
      <c r="L6" s="78"/>
      <c r="M6" s="77"/>
      <c r="N6" s="85"/>
      <c r="O6" s="84"/>
      <c r="P6" s="83" t="s">
        <v>214</v>
      </c>
      <c r="Q6" s="83"/>
      <c r="R6" s="83"/>
      <c r="S6" s="83"/>
      <c r="T6" s="65"/>
      <c r="U6" s="65" t="s">
        <v>213</v>
      </c>
      <c r="V6" s="65"/>
      <c r="W6" s="65"/>
      <c r="X6" s="65"/>
      <c r="Z6" s="58" t="s">
        <v>197</v>
      </c>
      <c r="AA6" s="54"/>
      <c r="AB6" s="54"/>
      <c r="AC6" s="82" t="s">
        <v>196</v>
      </c>
      <c r="AD6" s="82"/>
      <c r="AE6" s="81">
        <f>SUM(AB10:AE10)</f>
        <v>103</v>
      </c>
      <c r="AF6" s="54"/>
      <c r="AG6" s="53"/>
    </row>
    <row r="7" spans="1:33" x14ac:dyDescent="0.2">
      <c r="A7" s="69"/>
      <c r="B7" s="69"/>
      <c r="C7" s="69"/>
      <c r="D7" s="73"/>
      <c r="E7" s="73" t="s">
        <v>212</v>
      </c>
      <c r="F7" s="74" t="s">
        <v>180</v>
      </c>
      <c r="G7" s="73" t="s">
        <v>179</v>
      </c>
      <c r="H7" s="80" t="s">
        <v>180</v>
      </c>
      <c r="I7" s="78"/>
      <c r="J7" s="79"/>
      <c r="K7" s="78" t="s">
        <v>179</v>
      </c>
      <c r="L7" s="78"/>
      <c r="M7" s="77"/>
      <c r="N7" s="67" t="s">
        <v>211</v>
      </c>
      <c r="O7" s="66" t="s">
        <v>210</v>
      </c>
      <c r="P7" s="65"/>
      <c r="Q7" s="65" t="s">
        <v>195</v>
      </c>
      <c r="R7" s="65" t="s">
        <v>194</v>
      </c>
      <c r="S7" s="65"/>
      <c r="T7" s="65"/>
      <c r="U7" s="64"/>
      <c r="V7" s="64" t="s">
        <v>195</v>
      </c>
      <c r="W7" s="76" t="s">
        <v>194</v>
      </c>
      <c r="X7" s="64"/>
      <c r="Z7" s="47"/>
      <c r="AB7" s="75"/>
      <c r="AC7" s="75" t="s">
        <v>195</v>
      </c>
      <c r="AD7" s="75" t="s">
        <v>194</v>
      </c>
      <c r="AE7" s="75"/>
      <c r="AG7" s="52"/>
    </row>
    <row r="8" spans="1:33" ht="13.5" thickBot="1" x14ac:dyDescent="0.25">
      <c r="A8" s="69"/>
      <c r="B8" s="69"/>
      <c r="C8" s="69"/>
      <c r="D8" s="73"/>
      <c r="E8" s="73" t="s">
        <v>209</v>
      </c>
      <c r="F8" s="74"/>
      <c r="G8" s="73"/>
      <c r="H8" s="72" t="s">
        <v>208</v>
      </c>
      <c r="I8" s="69" t="s">
        <v>178</v>
      </c>
      <c r="J8" s="71" t="s">
        <v>207</v>
      </c>
      <c r="K8" s="70" t="s">
        <v>208</v>
      </c>
      <c r="L8" s="69" t="s">
        <v>178</v>
      </c>
      <c r="M8" s="68" t="s">
        <v>207</v>
      </c>
      <c r="N8" s="67" t="s">
        <v>206</v>
      </c>
      <c r="O8" s="66" t="s">
        <v>205</v>
      </c>
      <c r="P8" s="64" t="s">
        <v>193</v>
      </c>
      <c r="Q8" s="64" t="s">
        <v>192</v>
      </c>
      <c r="R8" s="64" t="s">
        <v>191</v>
      </c>
      <c r="S8" s="64" t="s">
        <v>190</v>
      </c>
      <c r="T8" s="65"/>
      <c r="U8" s="64" t="s">
        <v>193</v>
      </c>
      <c r="V8" s="64" t="s">
        <v>192</v>
      </c>
      <c r="W8" s="64" t="s">
        <v>191</v>
      </c>
      <c r="X8" s="64" t="s">
        <v>190</v>
      </c>
      <c r="Z8" s="47"/>
      <c r="AB8" s="63" t="s">
        <v>193</v>
      </c>
      <c r="AC8" s="63" t="s">
        <v>192</v>
      </c>
      <c r="AD8" s="63" t="s">
        <v>191</v>
      </c>
      <c r="AE8" s="63" t="s">
        <v>190</v>
      </c>
      <c r="AG8" s="52"/>
    </row>
    <row r="9" spans="1:33" x14ac:dyDescent="0.2">
      <c r="C9" s="5"/>
      <c r="D9" s="26"/>
      <c r="E9" s="26"/>
      <c r="F9" s="59"/>
      <c r="G9" s="21"/>
      <c r="H9" s="25"/>
      <c r="I9" s="6"/>
      <c r="J9" s="36"/>
      <c r="K9" s="35"/>
      <c r="M9" s="34"/>
      <c r="N9" s="33"/>
      <c r="O9" s="32"/>
      <c r="P9" s="31"/>
      <c r="Q9" s="31"/>
      <c r="R9" s="31"/>
      <c r="S9" s="31"/>
      <c r="T9" s="31"/>
      <c r="Z9" s="47"/>
      <c r="AB9" s="51" t="s">
        <v>189</v>
      </c>
      <c r="AC9" s="51"/>
      <c r="AD9" s="51"/>
      <c r="AE9" s="51"/>
      <c r="AF9" s="51" t="s">
        <v>188</v>
      </c>
      <c r="AG9" s="50"/>
    </row>
    <row r="10" spans="1:33" x14ac:dyDescent="0.2">
      <c r="A10" s="6">
        <v>106</v>
      </c>
      <c r="B10" s="6" t="s">
        <v>1</v>
      </c>
      <c r="C10" s="5">
        <v>36266</v>
      </c>
      <c r="D10" s="26" t="s">
        <v>180</v>
      </c>
      <c r="E10" s="26">
        <v>103</v>
      </c>
      <c r="F10" s="27">
        <v>788300</v>
      </c>
      <c r="G10" s="26">
        <f>F11</f>
        <v>789350</v>
      </c>
      <c r="H10" s="25">
        <v>11</v>
      </c>
      <c r="I10" s="6" t="s">
        <v>178</v>
      </c>
      <c r="J10" s="24">
        <v>42</v>
      </c>
      <c r="K10" s="9">
        <f>H11</f>
        <v>11</v>
      </c>
      <c r="L10" s="6" t="s">
        <v>178</v>
      </c>
      <c r="M10" s="24">
        <f>J11</f>
        <v>46</v>
      </c>
      <c r="N10" s="22">
        <f>IF(H10=K10,M10-J10,60-(J10-M10))</f>
        <v>4</v>
      </c>
      <c r="O10" s="30">
        <f>(G10-F10)/N10</f>
        <v>262.5</v>
      </c>
      <c r="P10" s="6"/>
      <c r="Q10" s="6"/>
      <c r="R10" s="6"/>
      <c r="S10" s="6"/>
      <c r="U10" s="6"/>
      <c r="V10" s="6"/>
      <c r="W10" s="6"/>
      <c r="X10" s="6"/>
      <c r="Z10" s="61" t="s">
        <v>187</v>
      </c>
      <c r="AA10" s="6" t="s">
        <v>186</v>
      </c>
      <c r="AB10" s="6">
        <v>26</v>
      </c>
      <c r="AC10" s="6">
        <v>20</v>
      </c>
      <c r="AD10" s="6">
        <v>26</v>
      </c>
      <c r="AE10" s="6">
        <v>31</v>
      </c>
      <c r="AF10" s="6" t="s">
        <v>185</v>
      </c>
      <c r="AG10" s="49" t="s">
        <v>184</v>
      </c>
    </row>
    <row r="11" spans="1:33" x14ac:dyDescent="0.2">
      <c r="A11" s="6">
        <v>106</v>
      </c>
      <c r="B11" s="6" t="s">
        <v>1</v>
      </c>
      <c r="C11" s="5">
        <v>36266</v>
      </c>
      <c r="D11" s="26">
        <v>1</v>
      </c>
      <c r="E11" s="26">
        <v>103</v>
      </c>
      <c r="F11" s="27">
        <v>789350</v>
      </c>
      <c r="G11" s="26">
        <f>F12</f>
        <v>791750</v>
      </c>
      <c r="H11" s="25">
        <v>11</v>
      </c>
      <c r="I11" s="6" t="s">
        <v>178</v>
      </c>
      <c r="J11" s="24">
        <v>46</v>
      </c>
      <c r="K11" s="9">
        <f>H12</f>
        <v>11</v>
      </c>
      <c r="L11" s="6" t="s">
        <v>178</v>
      </c>
      <c r="M11" s="24">
        <f>J12</f>
        <v>52</v>
      </c>
      <c r="N11" s="22">
        <f>IF(H11=K11,M11-J11,60-(J11-M11))</f>
        <v>6</v>
      </c>
      <c r="O11" s="30">
        <f>(G11-F11)/N11</f>
        <v>400</v>
      </c>
      <c r="P11" s="29">
        <f>($G11-$F11)/7.48/($AF$12*$E11/$AE$6)*12</f>
        <v>0.1389165995515588</v>
      </c>
      <c r="Q11" s="29">
        <f>($G11-$F11)/7.48/($AF$12*$E11/$AE$6)*12</f>
        <v>0.1389165995515588</v>
      </c>
      <c r="R11" s="29">
        <f>($G11-$F11)/7.48/($AF$12*$E11/$AE$6)*12</f>
        <v>0.1389165995515588</v>
      </c>
      <c r="S11" s="29">
        <f>($G11-$F11)/7.48/($AF$12*$E11/$AE$6)*12</f>
        <v>0.1389165995515588</v>
      </c>
      <c r="U11" s="28">
        <f>P11</f>
        <v>0.1389165995515588</v>
      </c>
      <c r="V11" s="28">
        <f>Q11</f>
        <v>0.1389165995515588</v>
      </c>
      <c r="W11" s="28">
        <f>R11</f>
        <v>0.1389165995515588</v>
      </c>
      <c r="X11" s="28">
        <f>S11</f>
        <v>0.1389165995515588</v>
      </c>
      <c r="Z11" s="61" t="s">
        <v>183</v>
      </c>
      <c r="AA11" s="6" t="s">
        <v>33</v>
      </c>
      <c r="AB11" s="62"/>
      <c r="AC11" s="62"/>
      <c r="AD11" s="62"/>
      <c r="AE11" s="62"/>
      <c r="AF11" s="6"/>
      <c r="AG11" s="49"/>
    </row>
    <row r="12" spans="1:33" x14ac:dyDescent="0.2">
      <c r="A12" s="6">
        <v>106</v>
      </c>
      <c r="B12" s="6" t="s">
        <v>1</v>
      </c>
      <c r="C12" s="5">
        <v>36266</v>
      </c>
      <c r="D12" s="26">
        <v>2</v>
      </c>
      <c r="E12" s="26">
        <v>103</v>
      </c>
      <c r="F12" s="27">
        <v>791750</v>
      </c>
      <c r="G12" s="26">
        <f>F13</f>
        <v>794200</v>
      </c>
      <c r="H12" s="25">
        <v>11</v>
      </c>
      <c r="I12" s="6" t="s">
        <v>178</v>
      </c>
      <c r="J12" s="24">
        <v>52</v>
      </c>
      <c r="K12" s="9">
        <f>H13</f>
        <v>11</v>
      </c>
      <c r="L12" s="6" t="s">
        <v>178</v>
      </c>
      <c r="M12" s="24">
        <f>J13</f>
        <v>58</v>
      </c>
      <c r="N12" s="22">
        <f>IF(H12=K12,M12-J12,60-(J12-M12))</f>
        <v>6</v>
      </c>
      <c r="O12" s="30">
        <f>(G12-F12)/N12</f>
        <v>408.33333333333331</v>
      </c>
      <c r="P12" s="29">
        <f>($G12-$F12)/7.48/($AF$12*$E12/$AE$6)*12</f>
        <v>0.14181069537554963</v>
      </c>
      <c r="Q12" s="29">
        <f>($G12-$F12)/7.48/($AF$12*$E12/$AE$6)*12</f>
        <v>0.14181069537554963</v>
      </c>
      <c r="R12" s="29">
        <f>($G12-$F12)/7.48/($AF$12*$E12/$AE$6)*12</f>
        <v>0.14181069537554963</v>
      </c>
      <c r="S12" s="29">
        <f>($G12-$F12)/7.48/($AF$12*$E12/$AE$6)*12</f>
        <v>0.14181069537554963</v>
      </c>
      <c r="U12" s="28">
        <f>P12</f>
        <v>0.14181069537554963</v>
      </c>
      <c r="V12" s="28">
        <f>Q12</f>
        <v>0.14181069537554963</v>
      </c>
      <c r="W12" s="28">
        <f>R12</f>
        <v>0.14181069537554963</v>
      </c>
      <c r="X12" s="28">
        <f>S12</f>
        <v>0.14181069537554963</v>
      </c>
      <c r="Z12" s="61">
        <v>1</v>
      </c>
      <c r="AA12" s="6">
        <v>25</v>
      </c>
      <c r="AB12" s="60">
        <f>AB$10*$AA12</f>
        <v>650</v>
      </c>
      <c r="AC12" s="60">
        <f>AC$10*$AA12</f>
        <v>500</v>
      </c>
      <c r="AD12" s="60">
        <f>AD$10*$AA12</f>
        <v>650</v>
      </c>
      <c r="AE12" s="60">
        <f>AE$10*$AA12</f>
        <v>775</v>
      </c>
      <c r="AF12" s="46">
        <f>(SUM(AB12:AE12))*((3.2808)^2)</f>
        <v>27716.395248000004</v>
      </c>
      <c r="AG12" s="45">
        <f>AF12/43560</f>
        <v>0.63628088264462823</v>
      </c>
    </row>
    <row r="13" spans="1:33" x14ac:dyDescent="0.2">
      <c r="A13" s="6">
        <v>106</v>
      </c>
      <c r="B13" s="6" t="s">
        <v>1</v>
      </c>
      <c r="C13" s="5">
        <v>36266</v>
      </c>
      <c r="D13" s="26">
        <v>3</v>
      </c>
      <c r="E13" s="26">
        <v>103</v>
      </c>
      <c r="F13" s="27">
        <v>794200</v>
      </c>
      <c r="G13" s="26">
        <f>F14</f>
        <v>796600</v>
      </c>
      <c r="H13" s="25">
        <v>11</v>
      </c>
      <c r="I13" s="6" t="s">
        <v>178</v>
      </c>
      <c r="J13" s="24">
        <v>58</v>
      </c>
      <c r="K13" s="9">
        <f>H14</f>
        <v>12</v>
      </c>
      <c r="L13" s="6" t="s">
        <v>178</v>
      </c>
      <c r="M13" s="24">
        <f>J14</f>
        <v>4</v>
      </c>
      <c r="N13" s="22">
        <f>IF(H13=K13,M13-J13,60-(J13-M13))</f>
        <v>6</v>
      </c>
      <c r="O13" s="30">
        <f>(G13-F13)/N13</f>
        <v>400</v>
      </c>
      <c r="P13" s="29">
        <f>($G13-$F13)/7.48/($AF$12*$E13/$AE$6)*12</f>
        <v>0.1389165995515588</v>
      </c>
      <c r="Q13" s="29">
        <f>($G13-$F13)/7.48/($AF$12*$E13/$AE$6)*12</f>
        <v>0.1389165995515588</v>
      </c>
      <c r="R13" s="29">
        <f>($G13-$F13)/7.48/($AF$12*$E13/$AE$6)*12</f>
        <v>0.1389165995515588</v>
      </c>
      <c r="S13" s="29">
        <f>($G13-$F13)/7.48/($AF$12*$E13/$AE$6)*12</f>
        <v>0.1389165995515588</v>
      </c>
      <c r="U13" s="28">
        <f>P13</f>
        <v>0.1389165995515588</v>
      </c>
      <c r="V13" s="28">
        <f>Q13</f>
        <v>0.1389165995515588</v>
      </c>
      <c r="W13" s="28">
        <f>R13</f>
        <v>0.1389165995515588</v>
      </c>
      <c r="X13" s="28">
        <f>S13</f>
        <v>0.1389165995515588</v>
      </c>
      <c r="Z13" s="61">
        <v>2</v>
      </c>
      <c r="AA13" s="6">
        <v>26</v>
      </c>
      <c r="AB13" s="60">
        <f>AB$10*$AA13</f>
        <v>676</v>
      </c>
      <c r="AC13" s="60">
        <f>AC$10*$AA13</f>
        <v>520</v>
      </c>
      <c r="AD13" s="60">
        <f>AD$10*$AA13</f>
        <v>676</v>
      </c>
      <c r="AE13" s="60">
        <f>AE$10*$AA13</f>
        <v>806</v>
      </c>
      <c r="AF13" s="46">
        <f>(SUM(AB13:AE13))*((3.2808)^2)</f>
        <v>28825.051057920002</v>
      </c>
      <c r="AG13" s="45">
        <f>AF13/43560</f>
        <v>0.66173211795041331</v>
      </c>
    </row>
    <row r="14" spans="1:33" x14ac:dyDescent="0.2">
      <c r="A14" s="6">
        <v>106</v>
      </c>
      <c r="B14" s="6" t="s">
        <v>1</v>
      </c>
      <c r="C14" s="5">
        <v>36266</v>
      </c>
      <c r="D14" s="26">
        <v>4</v>
      </c>
      <c r="E14" s="26">
        <v>103</v>
      </c>
      <c r="F14" s="27">
        <v>796600</v>
      </c>
      <c r="G14" s="26">
        <f>F15</f>
        <v>798800</v>
      </c>
      <c r="H14" s="25">
        <v>12</v>
      </c>
      <c r="I14" s="6" t="s">
        <v>178</v>
      </c>
      <c r="J14" s="24">
        <v>4</v>
      </c>
      <c r="K14" s="9">
        <f>H15</f>
        <v>12</v>
      </c>
      <c r="L14" s="6" t="s">
        <v>178</v>
      </c>
      <c r="M14" s="24">
        <f>J15</f>
        <v>10</v>
      </c>
      <c r="N14" s="22">
        <f>IF(H14=K14,M14-J14,60-(J14-M14))</f>
        <v>6</v>
      </c>
      <c r="O14" s="30">
        <f>(G14-F14)/N14</f>
        <v>366.66666666666669</v>
      </c>
      <c r="P14" s="29">
        <f>($G14-$F14)/7.48/($AF$12*$E14/$AE$6)*12</f>
        <v>0.12734021625559558</v>
      </c>
      <c r="Q14" s="29">
        <f>($G14-$F14)/7.48/($AF$12*$E14/$AE$6)*12</f>
        <v>0.12734021625559558</v>
      </c>
      <c r="R14" s="29">
        <f>($G14-$F14)/7.48/($AF$12*$E14/$AE$6)*12</f>
        <v>0.12734021625559558</v>
      </c>
      <c r="S14" s="29">
        <f>($G14-$F14)/7.48/($AF$12*$E14/$AE$6)*12</f>
        <v>0.12734021625559558</v>
      </c>
      <c r="U14" s="28">
        <f>P14</f>
        <v>0.12734021625559558</v>
      </c>
      <c r="V14" s="28">
        <f>Q14</f>
        <v>0.12734021625559558</v>
      </c>
      <c r="W14" s="28">
        <f>R14</f>
        <v>0.12734021625559558</v>
      </c>
      <c r="X14" s="28">
        <f>S14</f>
        <v>0.12734021625559558</v>
      </c>
      <c r="Z14" s="61">
        <v>3</v>
      </c>
      <c r="AA14" s="6">
        <v>26</v>
      </c>
      <c r="AB14" s="60">
        <f>AB$10*$AA14</f>
        <v>676</v>
      </c>
      <c r="AC14" s="60">
        <f>AC$10*$AA14</f>
        <v>520</v>
      </c>
      <c r="AD14" s="60">
        <f>AD$10*$AA14</f>
        <v>676</v>
      </c>
      <c r="AE14" s="60">
        <f>AE$10*$AA14</f>
        <v>806</v>
      </c>
      <c r="AF14" s="46">
        <f>(SUM(AB14:AE14))*((3.2808)^2)</f>
        <v>28825.051057920002</v>
      </c>
      <c r="AG14" s="45">
        <f>AF14/43560</f>
        <v>0.66173211795041331</v>
      </c>
    </row>
    <row r="15" spans="1:33" x14ac:dyDescent="0.2">
      <c r="A15" s="6">
        <v>106</v>
      </c>
      <c r="B15" s="6" t="s">
        <v>1</v>
      </c>
      <c r="C15" s="5">
        <v>36266</v>
      </c>
      <c r="D15" s="26" t="s">
        <v>179</v>
      </c>
      <c r="E15" s="26">
        <v>103</v>
      </c>
      <c r="F15" s="27">
        <v>798800</v>
      </c>
      <c r="G15" s="26">
        <v>799200</v>
      </c>
      <c r="H15" s="25">
        <v>12</v>
      </c>
      <c r="I15" s="6" t="s">
        <v>178</v>
      </c>
      <c r="J15" s="24">
        <v>10</v>
      </c>
      <c r="K15" s="9">
        <v>12</v>
      </c>
      <c r="L15" s="6" t="s">
        <v>178</v>
      </c>
      <c r="M15" s="23">
        <v>11</v>
      </c>
      <c r="N15" s="22">
        <f>IF(H15=K15,M15-J15,60-(J15-M15))</f>
        <v>1</v>
      </c>
      <c r="O15" s="21"/>
      <c r="U15" s="6"/>
      <c r="V15" s="6"/>
      <c r="W15" s="6"/>
      <c r="X15" s="6"/>
      <c r="Z15" s="61">
        <v>4</v>
      </c>
      <c r="AA15" s="6">
        <v>26</v>
      </c>
      <c r="AB15" s="60">
        <f>AB$10*$AA15</f>
        <v>676</v>
      </c>
      <c r="AC15" s="60">
        <f>AC$10*$AA15</f>
        <v>520</v>
      </c>
      <c r="AD15" s="60">
        <f>AD$10*$AA15</f>
        <v>676</v>
      </c>
      <c r="AE15" s="60">
        <f>AE$10*$AA15</f>
        <v>806</v>
      </c>
      <c r="AF15" s="46">
        <f>(SUM(AB15:AE15))*((3.2808)^2)</f>
        <v>28825.051057920002</v>
      </c>
      <c r="AG15" s="45">
        <f>AF15/43560</f>
        <v>0.66173211795041331</v>
      </c>
    </row>
    <row r="16" spans="1:33" ht="13.5" thickBot="1" x14ac:dyDescent="0.25">
      <c r="A16" s="20"/>
      <c r="B16" s="20"/>
      <c r="C16" s="20"/>
      <c r="D16" s="18"/>
      <c r="E16" s="18"/>
      <c r="F16" s="19"/>
      <c r="G16" s="18"/>
      <c r="H16" s="17"/>
      <c r="I16" s="12"/>
      <c r="J16" s="16"/>
      <c r="K16" s="15"/>
      <c r="L16" s="12"/>
      <c r="M16" s="14"/>
      <c r="N16" s="12" t="s">
        <v>175</v>
      </c>
      <c r="O16" s="13">
        <f>(G14-F10)/(SUM(N10:N14))</f>
        <v>375</v>
      </c>
      <c r="P16" s="12" t="s">
        <v>174</v>
      </c>
      <c r="Q16" s="12"/>
      <c r="R16" s="11">
        <f>AVERAGE(P11:S14)</f>
        <v>0.13674602768356572</v>
      </c>
      <c r="S16" s="12"/>
      <c r="T16" s="12"/>
      <c r="U16" s="12"/>
      <c r="V16" s="12"/>
      <c r="W16" s="12"/>
      <c r="X16" s="12"/>
      <c r="Z16" s="44"/>
      <c r="AA16" s="12"/>
      <c r="AB16" s="12"/>
      <c r="AC16" s="12"/>
      <c r="AD16" s="12"/>
      <c r="AE16" s="12" t="s">
        <v>181</v>
      </c>
      <c r="AF16" s="43">
        <f>SUM(AF12:AF15)</f>
        <v>114191.54842176002</v>
      </c>
      <c r="AG16" s="42">
        <f>SUM(AG12:AG15)</f>
        <v>2.6214772364958678</v>
      </c>
    </row>
    <row r="17" spans="1:26" x14ac:dyDescent="0.2">
      <c r="C17" s="5"/>
      <c r="D17" s="26"/>
      <c r="E17" s="26"/>
      <c r="F17" s="59"/>
      <c r="G17" s="21"/>
      <c r="H17" s="25"/>
      <c r="I17" s="6"/>
      <c r="J17" s="36"/>
      <c r="K17" s="35"/>
      <c r="M17" s="34"/>
      <c r="N17" s="33"/>
      <c r="O17" s="32"/>
      <c r="P17" s="31"/>
      <c r="Q17" s="31"/>
      <c r="R17" s="31"/>
      <c r="S17" s="31"/>
      <c r="T17" s="31"/>
    </row>
    <row r="18" spans="1:26" x14ac:dyDescent="0.2">
      <c r="A18" s="6">
        <v>106</v>
      </c>
      <c r="B18" s="6" t="s">
        <v>1</v>
      </c>
      <c r="C18" s="5">
        <v>36266</v>
      </c>
      <c r="D18" s="26" t="s">
        <v>179</v>
      </c>
      <c r="E18" s="26">
        <v>103</v>
      </c>
      <c r="F18" s="27">
        <v>837200</v>
      </c>
      <c r="G18" s="26">
        <v>839400</v>
      </c>
      <c r="H18" s="25">
        <v>14</v>
      </c>
      <c r="I18" s="6" t="s">
        <v>178</v>
      </c>
      <c r="J18" s="24">
        <v>31</v>
      </c>
      <c r="K18" s="9">
        <v>14</v>
      </c>
      <c r="L18" s="6" t="s">
        <v>178</v>
      </c>
      <c r="M18" s="24">
        <v>38</v>
      </c>
      <c r="N18" s="22">
        <f>IF(H18=K18,M18-J18,60-(J18-M18))</f>
        <v>7</v>
      </c>
      <c r="O18" s="30">
        <f>(G18-F18)/N18</f>
        <v>314.28571428571428</v>
      </c>
      <c r="P18" s="6"/>
      <c r="Q18" s="6"/>
      <c r="R18" s="6"/>
      <c r="S18" s="6"/>
      <c r="U18" s="6"/>
      <c r="V18" s="6"/>
      <c r="W18" s="6"/>
      <c r="X18" s="6"/>
    </row>
    <row r="19" spans="1:26" x14ac:dyDescent="0.2">
      <c r="A19" s="6">
        <v>106</v>
      </c>
      <c r="B19" s="6" t="s">
        <v>1</v>
      </c>
      <c r="C19" s="5">
        <v>36266</v>
      </c>
      <c r="D19" s="26">
        <v>1</v>
      </c>
      <c r="E19" s="26">
        <v>103</v>
      </c>
      <c r="F19" s="27">
        <v>828000</v>
      </c>
      <c r="G19" s="26">
        <f>F18</f>
        <v>837200</v>
      </c>
      <c r="H19" s="25">
        <v>14</v>
      </c>
      <c r="I19" s="6" t="s">
        <v>178</v>
      </c>
      <c r="J19" s="24">
        <v>7</v>
      </c>
      <c r="K19" s="9">
        <f>H18</f>
        <v>14</v>
      </c>
      <c r="L19" s="6" t="s">
        <v>178</v>
      </c>
      <c r="M19" s="23">
        <f>J18</f>
        <v>31</v>
      </c>
      <c r="N19" s="22">
        <f>IF(H19=K19,M19-J19,60-(J19-M19))</f>
        <v>24</v>
      </c>
      <c r="O19" s="30">
        <f>(G19-F19)/N19</f>
        <v>383.33333333333331</v>
      </c>
      <c r="P19" s="29">
        <f>($G19-$F19)/7.48/($AF$12*$E19/$AE$6)*12</f>
        <v>0.53251363161430876</v>
      </c>
      <c r="Q19" s="29">
        <f>($G19-$F19)/7.48/($AF$12*$E19/$AE$6)*12</f>
        <v>0.53251363161430876</v>
      </c>
      <c r="R19" s="29">
        <f>($G19-$F19)/7.48/($AF$12*$E19/$AE$6)*12</f>
        <v>0.53251363161430876</v>
      </c>
      <c r="S19" s="29">
        <f>($G19-$F19)/7.48/($AF$12*$E19/$AE$6)*12</f>
        <v>0.53251363161430876</v>
      </c>
      <c r="U19" s="28">
        <f>U11+P19</f>
        <v>0.67143023116586753</v>
      </c>
      <c r="V19" s="28">
        <f>V11+Q19</f>
        <v>0.67143023116586753</v>
      </c>
      <c r="W19" s="28">
        <f>W11+R19</f>
        <v>0.67143023116586753</v>
      </c>
      <c r="X19" s="28">
        <f>X11+S19</f>
        <v>0.67143023116586753</v>
      </c>
    </row>
    <row r="20" spans="1:26" x14ac:dyDescent="0.2">
      <c r="A20" s="6">
        <v>106</v>
      </c>
      <c r="B20" s="6" t="s">
        <v>1</v>
      </c>
      <c r="C20" s="5">
        <v>36266</v>
      </c>
      <c r="D20" s="26">
        <v>2</v>
      </c>
      <c r="E20" s="26">
        <v>103</v>
      </c>
      <c r="F20" s="27">
        <v>817500</v>
      </c>
      <c r="G20" s="26">
        <f>F19</f>
        <v>828000</v>
      </c>
      <c r="H20" s="25">
        <v>13</v>
      </c>
      <c r="I20" s="6" t="s">
        <v>178</v>
      </c>
      <c r="J20" s="24">
        <v>39</v>
      </c>
      <c r="K20" s="9">
        <f>H19</f>
        <v>14</v>
      </c>
      <c r="L20" s="6" t="s">
        <v>178</v>
      </c>
      <c r="M20" s="23">
        <f>J19</f>
        <v>7</v>
      </c>
      <c r="N20" s="22">
        <f>IF(H20=K20,M20-J20,60-(J20-M20))</f>
        <v>28</v>
      </c>
      <c r="O20" s="30">
        <f>(G20-F20)/N20</f>
        <v>375</v>
      </c>
      <c r="P20" s="29">
        <f>($G20-$F20)/7.48/($AF$13*$E20/$AE$6)*12</f>
        <v>0.58438473369045185</v>
      </c>
      <c r="Q20" s="29">
        <f>($G20-$F20)/7.48/($AF$13*$E20/$AE$6)*12</f>
        <v>0.58438473369045185</v>
      </c>
      <c r="R20" s="29">
        <f>($G20-$F20)/7.48/($AF$13*$E20/$AE$6)*12</f>
        <v>0.58438473369045185</v>
      </c>
      <c r="S20" s="29">
        <f>($G20-$F20)/7.48/($AF$13*$E20/$AE$6)*12</f>
        <v>0.58438473369045185</v>
      </c>
      <c r="U20" s="28">
        <f>U12+P20</f>
        <v>0.72619542906600154</v>
      </c>
      <c r="V20" s="28">
        <f>V12+Q20</f>
        <v>0.72619542906600154</v>
      </c>
      <c r="W20" s="28">
        <f>W12+R20</f>
        <v>0.72619542906600154</v>
      </c>
      <c r="X20" s="28">
        <f>X12+S20</f>
        <v>0.72619542906600154</v>
      </c>
      <c r="Z20" s="1" t="s">
        <v>204</v>
      </c>
    </row>
    <row r="21" spans="1:26" x14ac:dyDescent="0.2">
      <c r="A21" s="6">
        <v>106</v>
      </c>
      <c r="B21" s="6" t="s">
        <v>1</v>
      </c>
      <c r="C21" s="5">
        <v>36266</v>
      </c>
      <c r="D21" s="26">
        <v>3</v>
      </c>
      <c r="E21" s="26">
        <v>103</v>
      </c>
      <c r="F21" s="27">
        <v>809000</v>
      </c>
      <c r="G21" s="26">
        <f>F20</f>
        <v>817500</v>
      </c>
      <c r="H21" s="25">
        <v>13</v>
      </c>
      <c r="I21" s="6" t="s">
        <v>178</v>
      </c>
      <c r="J21" s="24">
        <v>16</v>
      </c>
      <c r="K21" s="9">
        <f>H20</f>
        <v>13</v>
      </c>
      <c r="L21" s="6" t="s">
        <v>178</v>
      </c>
      <c r="M21" s="23">
        <f>J20</f>
        <v>39</v>
      </c>
      <c r="N21" s="22">
        <f>IF(H21=K21,M21-J21,60-(J21-M21))</f>
        <v>23</v>
      </c>
      <c r="O21" s="30">
        <f>(G21-F21)/N21</f>
        <v>369.56521739130437</v>
      </c>
      <c r="P21" s="29">
        <f>($G21-$F21)/7.48/($AF$14*$E21/$AE$6)*12</f>
        <v>0.47307335584465138</v>
      </c>
      <c r="Q21" s="29">
        <f>($G21-$F21)/7.48/($AF$14*$E21/$AE$6)*12</f>
        <v>0.47307335584465138</v>
      </c>
      <c r="R21" s="29">
        <f>($G21-$F21)/7.48/($AF$14*$E21/$AE$6)*12</f>
        <v>0.47307335584465138</v>
      </c>
      <c r="S21" s="29">
        <f>($G21-$F21)/7.48/($AF$14*$E21/$AE$6)*12</f>
        <v>0.47307335584465138</v>
      </c>
      <c r="U21" s="28">
        <f>U13+P21</f>
        <v>0.61198995539621015</v>
      </c>
      <c r="V21" s="28">
        <f>V13+Q21</f>
        <v>0.61198995539621015</v>
      </c>
      <c r="W21" s="28">
        <f>W13+R21</f>
        <v>0.61198995539621015</v>
      </c>
      <c r="X21" s="28">
        <f>X13+S21</f>
        <v>0.61198995539621015</v>
      </c>
    </row>
    <row r="22" spans="1:26" x14ac:dyDescent="0.2">
      <c r="A22" s="6">
        <v>106</v>
      </c>
      <c r="B22" s="6" t="s">
        <v>1</v>
      </c>
      <c r="C22" s="5">
        <v>36266</v>
      </c>
      <c r="D22" s="26">
        <v>4</v>
      </c>
      <c r="E22" s="26">
        <v>103</v>
      </c>
      <c r="F22" s="27">
        <v>801200</v>
      </c>
      <c r="G22" s="26">
        <f>F21</f>
        <v>809000</v>
      </c>
      <c r="H22" s="25">
        <v>12</v>
      </c>
      <c r="I22" s="6" t="s">
        <v>178</v>
      </c>
      <c r="J22" s="24">
        <v>55</v>
      </c>
      <c r="K22" s="9">
        <f>H21</f>
        <v>13</v>
      </c>
      <c r="L22" s="6" t="s">
        <v>178</v>
      </c>
      <c r="M22" s="23">
        <f>J21</f>
        <v>16</v>
      </c>
      <c r="N22" s="22">
        <f>IF(H22=K22,M22-J22,60-(J22-M22))</f>
        <v>21</v>
      </c>
      <c r="O22" s="30">
        <f>(G22-F22)/N22</f>
        <v>371.42857142857144</v>
      </c>
      <c r="P22" s="29">
        <f>($G22-$F22)/7.48/($AF$15*$E22/$AE$6)*12</f>
        <v>0.43411437359862132</v>
      </c>
      <c r="Q22" s="29">
        <f>($G22-$F22)/7.48/($AF$15*$E22/$AE$6)*12</f>
        <v>0.43411437359862132</v>
      </c>
      <c r="R22" s="29">
        <f>($G22-$F22)/7.48/($AF$15*$E22/$AE$6)*12</f>
        <v>0.43411437359862132</v>
      </c>
      <c r="S22" s="29">
        <f>($G22-$F22)/7.48/($AF$15*$E22/$AE$6)*12</f>
        <v>0.43411437359862132</v>
      </c>
      <c r="U22" s="28">
        <f>U14+P22</f>
        <v>0.56145458985421692</v>
      </c>
      <c r="V22" s="28">
        <f>V14+Q22</f>
        <v>0.56145458985421692</v>
      </c>
      <c r="W22" s="28">
        <f>W14+R22</f>
        <v>0.56145458985421692</v>
      </c>
      <c r="X22" s="28">
        <f>X14+S22</f>
        <v>0.56145458985421692</v>
      </c>
    </row>
    <row r="23" spans="1:26" x14ac:dyDescent="0.2">
      <c r="A23" s="6">
        <v>106</v>
      </c>
      <c r="B23" s="6" t="s">
        <v>1</v>
      </c>
      <c r="C23" s="5">
        <v>36266</v>
      </c>
      <c r="D23" s="26" t="s">
        <v>180</v>
      </c>
      <c r="E23" s="26">
        <v>103</v>
      </c>
      <c r="F23" s="27">
        <v>800100</v>
      </c>
      <c r="G23" s="26">
        <f>F22</f>
        <v>801200</v>
      </c>
      <c r="H23" s="25">
        <v>12</v>
      </c>
      <c r="I23" s="6" t="s">
        <v>178</v>
      </c>
      <c r="J23" s="24">
        <v>52</v>
      </c>
      <c r="K23" s="9">
        <f>H22</f>
        <v>12</v>
      </c>
      <c r="L23" s="6" t="s">
        <v>178</v>
      </c>
      <c r="M23" s="23">
        <f>J22</f>
        <v>55</v>
      </c>
      <c r="N23" s="22">
        <f>IF(H23=K23,M23-J23,60-(J23-M23))</f>
        <v>3</v>
      </c>
      <c r="O23" s="21"/>
      <c r="U23" s="6"/>
      <c r="V23" s="6"/>
      <c r="W23" s="6"/>
      <c r="X23" s="6"/>
    </row>
    <row r="24" spans="1:26" ht="13.5" thickBot="1" x14ac:dyDescent="0.25">
      <c r="A24" s="20"/>
      <c r="B24" s="20"/>
      <c r="C24" s="20"/>
      <c r="D24" s="18"/>
      <c r="E24" s="18"/>
      <c r="F24" s="19"/>
      <c r="G24" s="18"/>
      <c r="H24" s="17"/>
      <c r="I24" s="12"/>
      <c r="J24" s="16"/>
      <c r="K24" s="15"/>
      <c r="L24" s="12"/>
      <c r="M24" s="14"/>
      <c r="N24" s="12" t="s">
        <v>175</v>
      </c>
      <c r="O24" s="13">
        <f>(G18-F22)/(SUM(N18:N22))</f>
        <v>370.873786407767</v>
      </c>
      <c r="P24" s="12" t="s">
        <v>174</v>
      </c>
      <c r="Q24" s="12"/>
      <c r="R24" s="11">
        <f>AVERAGE(P19:S22)</f>
        <v>0.50602152368700826</v>
      </c>
      <c r="S24" s="12"/>
      <c r="T24" s="12"/>
      <c r="U24" s="12"/>
      <c r="V24" s="12"/>
      <c r="W24" s="12"/>
      <c r="X24" s="12"/>
    </row>
    <row r="25" spans="1:26" x14ac:dyDescent="0.2">
      <c r="C25" s="5"/>
      <c r="D25" s="26"/>
      <c r="E25" s="26"/>
      <c r="F25" s="59"/>
      <c r="G25" s="21"/>
      <c r="H25" s="25"/>
      <c r="I25" s="6"/>
      <c r="J25" s="36"/>
      <c r="K25" s="35"/>
      <c r="M25" s="34"/>
      <c r="N25" s="33"/>
      <c r="O25" s="32"/>
      <c r="P25" s="31"/>
      <c r="Q25" s="31"/>
      <c r="R25" s="31"/>
      <c r="S25" s="31"/>
      <c r="T25" s="31"/>
    </row>
    <row r="26" spans="1:26" x14ac:dyDescent="0.2">
      <c r="A26" s="6">
        <v>109</v>
      </c>
      <c r="B26" s="6" t="s">
        <v>14</v>
      </c>
      <c r="C26" s="5">
        <v>36269</v>
      </c>
      <c r="D26" s="26" t="s">
        <v>180</v>
      </c>
      <c r="E26" s="26">
        <v>103</v>
      </c>
      <c r="F26" s="27"/>
      <c r="G26" s="26"/>
      <c r="H26" s="25"/>
      <c r="I26" s="6"/>
      <c r="J26" s="24"/>
      <c r="L26" s="6"/>
      <c r="M26" s="24"/>
      <c r="N26" s="22"/>
      <c r="O26" s="30"/>
      <c r="P26" s="6"/>
      <c r="Q26" s="6"/>
      <c r="R26" s="6"/>
      <c r="S26" s="6"/>
      <c r="U26" s="6"/>
      <c r="V26" s="6"/>
      <c r="W26" s="6"/>
      <c r="X26" s="6"/>
    </row>
    <row r="27" spans="1:26" x14ac:dyDescent="0.2">
      <c r="A27" s="6">
        <v>109</v>
      </c>
      <c r="B27" s="6" t="s">
        <v>14</v>
      </c>
      <c r="C27" s="5">
        <v>36269</v>
      </c>
      <c r="D27" s="26">
        <v>1</v>
      </c>
      <c r="E27" s="26">
        <v>103</v>
      </c>
      <c r="F27" s="27"/>
      <c r="G27" s="26"/>
      <c r="H27" s="25"/>
      <c r="I27" s="6"/>
      <c r="J27" s="24"/>
      <c r="L27" s="6"/>
      <c r="M27" s="24"/>
      <c r="N27" s="22"/>
      <c r="O27" s="30"/>
      <c r="P27" s="29">
        <v>0.5</v>
      </c>
      <c r="Q27" s="29">
        <v>0.5</v>
      </c>
      <c r="R27" s="29">
        <v>0.5</v>
      </c>
      <c r="S27" s="29">
        <v>0.5</v>
      </c>
      <c r="U27" s="28">
        <f>U19+P27</f>
        <v>1.1714302311658675</v>
      </c>
      <c r="V27" s="28">
        <f>V19+Q27</f>
        <v>1.1714302311658675</v>
      </c>
      <c r="W27" s="28">
        <f>W19+R27</f>
        <v>1.1714302311658675</v>
      </c>
      <c r="X27" s="28">
        <f>X19+S27</f>
        <v>1.1714302311658675</v>
      </c>
    </row>
    <row r="28" spans="1:26" x14ac:dyDescent="0.2">
      <c r="A28" s="6">
        <v>109</v>
      </c>
      <c r="B28" s="6" t="s">
        <v>14</v>
      </c>
      <c r="C28" s="5">
        <v>36269</v>
      </c>
      <c r="D28" s="26">
        <v>2</v>
      </c>
      <c r="E28" s="26">
        <v>103</v>
      </c>
      <c r="F28" s="27"/>
      <c r="G28" s="26"/>
      <c r="H28" s="25"/>
      <c r="I28" s="6"/>
      <c r="J28" s="24"/>
      <c r="L28" s="6"/>
      <c r="M28" s="24"/>
      <c r="N28" s="22"/>
      <c r="O28" s="30"/>
      <c r="P28" s="29">
        <v>0.5</v>
      </c>
      <c r="Q28" s="29">
        <v>0.5</v>
      </c>
      <c r="R28" s="29">
        <v>0.5</v>
      </c>
      <c r="S28" s="29">
        <v>0.5</v>
      </c>
      <c r="U28" s="28">
        <f>U20+P28</f>
        <v>1.2261954290660015</v>
      </c>
      <c r="V28" s="28">
        <f>V20+Q28</f>
        <v>1.2261954290660015</v>
      </c>
      <c r="W28" s="28">
        <f>W20+R28</f>
        <v>1.2261954290660015</v>
      </c>
      <c r="X28" s="28">
        <f>X20+S28</f>
        <v>1.2261954290660015</v>
      </c>
    </row>
    <row r="29" spans="1:26" x14ac:dyDescent="0.2">
      <c r="A29" s="6">
        <v>109</v>
      </c>
      <c r="B29" s="6" t="s">
        <v>14</v>
      </c>
      <c r="C29" s="5">
        <v>36269</v>
      </c>
      <c r="D29" s="26">
        <v>3</v>
      </c>
      <c r="E29" s="26">
        <v>103</v>
      </c>
      <c r="F29" s="27"/>
      <c r="G29" s="26"/>
      <c r="H29" s="25"/>
      <c r="I29" s="6"/>
      <c r="J29" s="24"/>
      <c r="L29" s="6"/>
      <c r="M29" s="24"/>
      <c r="N29" s="22"/>
      <c r="O29" s="30"/>
      <c r="P29" s="29">
        <v>0.5</v>
      </c>
      <c r="Q29" s="29">
        <v>0.5</v>
      </c>
      <c r="R29" s="29">
        <v>0.5</v>
      </c>
      <c r="S29" s="29">
        <v>0.5</v>
      </c>
      <c r="U29" s="28">
        <f>U21+P29</f>
        <v>1.11198995539621</v>
      </c>
      <c r="V29" s="28">
        <f>V21+Q29</f>
        <v>1.11198995539621</v>
      </c>
      <c r="W29" s="28">
        <f>W21+R29</f>
        <v>1.11198995539621</v>
      </c>
      <c r="X29" s="28">
        <f>X21+S29</f>
        <v>1.11198995539621</v>
      </c>
    </row>
    <row r="30" spans="1:26" x14ac:dyDescent="0.2">
      <c r="A30" s="6">
        <v>109</v>
      </c>
      <c r="B30" s="6" t="s">
        <v>14</v>
      </c>
      <c r="C30" s="5">
        <v>36269</v>
      </c>
      <c r="D30" s="26">
        <v>4</v>
      </c>
      <c r="E30" s="26">
        <v>103</v>
      </c>
      <c r="F30" s="27"/>
      <c r="G30" s="26"/>
      <c r="H30" s="25"/>
      <c r="I30" s="6"/>
      <c r="J30" s="24"/>
      <c r="L30" s="6"/>
      <c r="M30" s="24"/>
      <c r="N30" s="22"/>
      <c r="O30" s="30"/>
      <c r="P30" s="29">
        <v>0.5</v>
      </c>
      <c r="Q30" s="29">
        <v>0.5</v>
      </c>
      <c r="R30" s="29">
        <v>0.5</v>
      </c>
      <c r="S30" s="29">
        <v>0.5</v>
      </c>
      <c r="U30" s="28">
        <f>U22+P30</f>
        <v>1.0614545898542169</v>
      </c>
      <c r="V30" s="28">
        <f>V22+Q30</f>
        <v>1.0614545898542169</v>
      </c>
      <c r="W30" s="28">
        <f>W22+R30</f>
        <v>1.0614545898542169</v>
      </c>
      <c r="X30" s="28">
        <f>X22+S30</f>
        <v>1.0614545898542169</v>
      </c>
    </row>
    <row r="31" spans="1:26" x14ac:dyDescent="0.2">
      <c r="A31" s="6">
        <v>109</v>
      </c>
      <c r="B31" s="6" t="s">
        <v>14</v>
      </c>
      <c r="C31" s="5">
        <v>36269</v>
      </c>
      <c r="D31" s="26" t="s">
        <v>179</v>
      </c>
      <c r="E31" s="26">
        <v>103</v>
      </c>
      <c r="F31" s="27"/>
      <c r="G31" s="26"/>
      <c r="H31" s="25"/>
      <c r="I31" s="6"/>
      <c r="J31" s="24"/>
      <c r="L31" s="6"/>
      <c r="M31" s="23"/>
      <c r="N31" s="22"/>
      <c r="O31" s="21"/>
      <c r="U31" s="6"/>
      <c r="V31" s="6"/>
      <c r="W31" s="6"/>
      <c r="X31" s="6"/>
    </row>
    <row r="32" spans="1:26" ht="13.5" thickBot="1" x14ac:dyDescent="0.25">
      <c r="A32" s="20"/>
      <c r="B32" s="20"/>
      <c r="C32" s="20"/>
      <c r="D32" s="18"/>
      <c r="E32" s="18"/>
      <c r="F32" s="19"/>
      <c r="G32" s="18"/>
      <c r="H32" s="17"/>
      <c r="I32" s="12"/>
      <c r="J32" s="16"/>
      <c r="K32" s="15"/>
      <c r="L32" s="12"/>
      <c r="M32" s="14"/>
      <c r="N32" s="12" t="s">
        <v>175</v>
      </c>
      <c r="O32" s="13" t="e">
        <f>(G30-F26)/(SUM(N26:N30))</f>
        <v>#DIV/0!</v>
      </c>
      <c r="P32" s="12" t="s">
        <v>174</v>
      </c>
      <c r="Q32" s="12"/>
      <c r="R32" s="11">
        <f>AVERAGE(P27:S30)</f>
        <v>0.5</v>
      </c>
      <c r="S32" s="12"/>
      <c r="T32" s="12"/>
      <c r="U32" s="12"/>
      <c r="V32" s="12"/>
      <c r="W32" s="12"/>
      <c r="X32" s="12"/>
    </row>
    <row r="33" spans="1:33" x14ac:dyDescent="0.2">
      <c r="C33" s="5"/>
      <c r="D33" s="26"/>
      <c r="E33" s="26"/>
      <c r="F33" s="59"/>
      <c r="G33" s="21"/>
      <c r="H33" s="25"/>
      <c r="I33" s="6"/>
      <c r="J33" s="36"/>
      <c r="K33" s="35"/>
      <c r="M33" s="34"/>
      <c r="N33" s="33"/>
      <c r="O33" s="32"/>
      <c r="P33" s="31"/>
      <c r="Q33" s="31"/>
      <c r="R33" s="31"/>
      <c r="S33" s="31"/>
      <c r="T33" s="31"/>
    </row>
    <row r="34" spans="1:33" x14ac:dyDescent="0.2">
      <c r="A34" s="6">
        <v>110</v>
      </c>
      <c r="B34" s="6" t="s">
        <v>10</v>
      </c>
      <c r="C34" s="5">
        <v>36270</v>
      </c>
      <c r="D34" s="26" t="s">
        <v>179</v>
      </c>
      <c r="E34" s="26">
        <v>103</v>
      </c>
      <c r="F34" s="27">
        <v>897800</v>
      </c>
      <c r="G34" s="26">
        <v>899300</v>
      </c>
      <c r="H34" s="25">
        <v>13</v>
      </c>
      <c r="I34" s="6" t="s">
        <v>178</v>
      </c>
      <c r="J34" s="24">
        <v>48</v>
      </c>
      <c r="K34" s="9">
        <v>13</v>
      </c>
      <c r="L34" s="6" t="s">
        <v>178</v>
      </c>
      <c r="M34" s="24">
        <v>53</v>
      </c>
      <c r="N34" s="22">
        <f>IF(H34=K34,M34-J34,60-(J34-M34))</f>
        <v>5</v>
      </c>
      <c r="O34" s="30">
        <f>(G34-F34)/N34</f>
        <v>300</v>
      </c>
      <c r="P34" s="6"/>
      <c r="Q34" s="6"/>
      <c r="R34" s="6"/>
      <c r="S34" s="6"/>
      <c r="U34" s="6"/>
      <c r="V34" s="6"/>
      <c r="W34" s="6"/>
      <c r="X34" s="6"/>
    </row>
    <row r="35" spans="1:33" x14ac:dyDescent="0.2">
      <c r="A35" s="6">
        <v>110</v>
      </c>
      <c r="B35" s="6" t="s">
        <v>10</v>
      </c>
      <c r="C35" s="5">
        <v>36270</v>
      </c>
      <c r="D35" s="26">
        <v>1</v>
      </c>
      <c r="E35" s="26">
        <v>103</v>
      </c>
      <c r="F35" s="27">
        <v>893900</v>
      </c>
      <c r="G35" s="26">
        <f>F34</f>
        <v>897800</v>
      </c>
      <c r="H35" s="25">
        <v>13</v>
      </c>
      <c r="I35" s="6" t="s">
        <v>178</v>
      </c>
      <c r="J35" s="24">
        <v>37</v>
      </c>
      <c r="K35" s="9">
        <f>H34</f>
        <v>13</v>
      </c>
      <c r="L35" s="6" t="s">
        <v>178</v>
      </c>
      <c r="M35" s="23">
        <f>J34</f>
        <v>48</v>
      </c>
      <c r="N35" s="22">
        <f>IF(H35=K35,M35-J35,60-(J35-M35))</f>
        <v>11</v>
      </c>
      <c r="O35" s="30">
        <f>(G35-F35)/N35</f>
        <v>354.54545454545456</v>
      </c>
      <c r="P35" s="29">
        <f>($G35-$F35)/7.48/($AF$12*$E35/$AE$6)*12</f>
        <v>0.22573947427128307</v>
      </c>
      <c r="Q35" s="29">
        <f>($G35-$F35)/7.48/($AF$12*$E35/$AE$6)*12</f>
        <v>0.22573947427128307</v>
      </c>
      <c r="R35" s="29">
        <f>($G35-$F35)/7.48/($AF$12*$E35/$AE$6)*12</f>
        <v>0.22573947427128307</v>
      </c>
      <c r="S35" s="29">
        <f>($G35-$F35)/7.48/($AF$12*$E35/$AE$6)*12</f>
        <v>0.22573947427128307</v>
      </c>
      <c r="U35" s="28">
        <f>U27+P35</f>
        <v>1.3971697054371506</v>
      </c>
      <c r="V35" s="28">
        <f>V27+Q35</f>
        <v>1.3971697054371506</v>
      </c>
      <c r="W35" s="28">
        <f>W27+R35</f>
        <v>1.3971697054371506</v>
      </c>
      <c r="X35" s="28">
        <f>X27+S35</f>
        <v>1.3971697054371506</v>
      </c>
    </row>
    <row r="36" spans="1:33" x14ac:dyDescent="0.2">
      <c r="A36" s="6">
        <v>110</v>
      </c>
      <c r="B36" s="6" t="s">
        <v>10</v>
      </c>
      <c r="C36" s="5">
        <v>36270</v>
      </c>
      <c r="D36" s="26">
        <v>2</v>
      </c>
      <c r="E36" s="26">
        <v>103</v>
      </c>
      <c r="F36" s="27">
        <v>887600</v>
      </c>
      <c r="G36" s="26">
        <f>F35</f>
        <v>893900</v>
      </c>
      <c r="H36" s="25">
        <v>13</v>
      </c>
      <c r="I36" s="6" t="s">
        <v>178</v>
      </c>
      <c r="J36" s="24">
        <v>20</v>
      </c>
      <c r="K36" s="9">
        <v>13</v>
      </c>
      <c r="L36" s="6" t="s">
        <v>178</v>
      </c>
      <c r="M36" s="23">
        <v>37</v>
      </c>
      <c r="N36" s="22">
        <f>IF(H36=K36,M36-J36,60-(J36-M36))</f>
        <v>17</v>
      </c>
      <c r="O36" s="30">
        <f>(G36-F36)/N36</f>
        <v>370.58823529411762</v>
      </c>
      <c r="P36" s="29">
        <f>($G36-$F36)/7.48/($AF$13*$E36/$AE$6)*12</f>
        <v>0.3506308402142711</v>
      </c>
      <c r="Q36" s="29">
        <f>($G36-$F36)/7.48/($AF$13*$E36/$AE$6)*12</f>
        <v>0.3506308402142711</v>
      </c>
      <c r="R36" s="29">
        <f>($G36-$F36)/7.48/($AF$13*$E36/$AE$6)*12</f>
        <v>0.3506308402142711</v>
      </c>
      <c r="S36" s="29">
        <f>($G36-$F36)/7.48/($AF$13*$E36/$AE$6)*12</f>
        <v>0.3506308402142711</v>
      </c>
      <c r="U36" s="28">
        <f>U28+P36</f>
        <v>1.5768262692802726</v>
      </c>
      <c r="V36" s="28">
        <f>V28+Q36</f>
        <v>1.5768262692802726</v>
      </c>
      <c r="W36" s="28">
        <f>W28+R36</f>
        <v>1.5768262692802726</v>
      </c>
      <c r="X36" s="28">
        <f>X28+S36</f>
        <v>1.5768262692802726</v>
      </c>
      <c r="Z36" s="1" t="s">
        <v>204</v>
      </c>
    </row>
    <row r="37" spans="1:33" x14ac:dyDescent="0.2">
      <c r="A37" s="6">
        <v>110</v>
      </c>
      <c r="B37" s="6" t="s">
        <v>10</v>
      </c>
      <c r="C37" s="5">
        <v>36270</v>
      </c>
      <c r="D37" s="26">
        <v>3</v>
      </c>
      <c r="E37" s="26">
        <v>103</v>
      </c>
      <c r="F37" s="27">
        <v>883700</v>
      </c>
      <c r="G37" s="26">
        <f>F36</f>
        <v>887600</v>
      </c>
      <c r="H37" s="25">
        <v>13</v>
      </c>
      <c r="I37" s="6" t="s">
        <v>178</v>
      </c>
      <c r="J37" s="24">
        <v>10</v>
      </c>
      <c r="K37" s="9">
        <f>H36</f>
        <v>13</v>
      </c>
      <c r="L37" s="6" t="s">
        <v>178</v>
      </c>
      <c r="M37" s="23">
        <f>J36</f>
        <v>20</v>
      </c>
      <c r="N37" s="22">
        <f>IF(H37=K37,M37-J37,60-(J37-M37))</f>
        <v>10</v>
      </c>
      <c r="O37" s="30">
        <f>(G37-F37)/N37</f>
        <v>390</v>
      </c>
      <c r="P37" s="29">
        <f>($G37-$F37)/7.48/($AF$14*$E37/$AE$6)*12</f>
        <v>0.21705718679931066</v>
      </c>
      <c r="Q37" s="29">
        <f>($G37-$F37)/7.48/($AF$14*$E37/$AE$6)*12</f>
        <v>0.21705718679931066</v>
      </c>
      <c r="R37" s="29">
        <f>($G37-$F37)/7.48/($AF$14*$E37/$AE$6)*12</f>
        <v>0.21705718679931066</v>
      </c>
      <c r="S37" s="29">
        <f>($G37-$F37)/7.48/($AF$14*$E37/$AE$6)*12</f>
        <v>0.21705718679931066</v>
      </c>
      <c r="U37" s="28">
        <f>U29+P37</f>
        <v>1.3290471421955208</v>
      </c>
      <c r="V37" s="28">
        <f>V29+Q37</f>
        <v>1.3290471421955208</v>
      </c>
      <c r="W37" s="28">
        <f>W29+R37</f>
        <v>1.3290471421955208</v>
      </c>
      <c r="X37" s="28">
        <f>X29+S37</f>
        <v>1.3290471421955208</v>
      </c>
    </row>
    <row r="38" spans="1:33" x14ac:dyDescent="0.2">
      <c r="A38" s="6">
        <v>110</v>
      </c>
      <c r="B38" s="6" t="s">
        <v>10</v>
      </c>
      <c r="C38" s="5">
        <v>36270</v>
      </c>
      <c r="D38" s="26">
        <v>4</v>
      </c>
      <c r="E38" s="26">
        <v>103</v>
      </c>
      <c r="F38" s="27">
        <v>879800</v>
      </c>
      <c r="G38" s="26">
        <f>F37</f>
        <v>883700</v>
      </c>
      <c r="H38" s="25">
        <v>12</v>
      </c>
      <c r="I38" s="6" t="s">
        <v>178</v>
      </c>
      <c r="J38" s="24">
        <v>59</v>
      </c>
      <c r="K38" s="9">
        <f>H37</f>
        <v>13</v>
      </c>
      <c r="L38" s="6" t="s">
        <v>178</v>
      </c>
      <c r="M38" s="23">
        <f>J37</f>
        <v>10</v>
      </c>
      <c r="N38" s="22">
        <f>IF(H38=K38,M38-J38,60-(J38-M38))</f>
        <v>11</v>
      </c>
      <c r="O38" s="30">
        <f>(G38-F38)/N38</f>
        <v>354.54545454545456</v>
      </c>
      <c r="P38" s="29">
        <f>($G38-$F38)/7.48/($AF$15*$E38/$AE$6)*12</f>
        <v>0.21705718679931066</v>
      </c>
      <c r="Q38" s="29">
        <f>($G38-$F38)/7.48/($AF$15*$E38/$AE$6)*12</f>
        <v>0.21705718679931066</v>
      </c>
      <c r="R38" s="29">
        <f>($G38-$F38)/7.48/($AF$15*$E38/$AE$6)*12</f>
        <v>0.21705718679931066</v>
      </c>
      <c r="S38" s="29">
        <f>($G38-$F38)/7.48/($AF$15*$E38/$AE$6)*12</f>
        <v>0.21705718679931066</v>
      </c>
      <c r="U38" s="28">
        <f>U30+P38</f>
        <v>1.2785117766535277</v>
      </c>
      <c r="V38" s="28">
        <f>V30+Q38</f>
        <v>1.2785117766535277</v>
      </c>
      <c r="W38" s="28">
        <f>W30+R38</f>
        <v>1.2785117766535277</v>
      </c>
      <c r="X38" s="28">
        <f>X30+S38</f>
        <v>1.2785117766535277</v>
      </c>
    </row>
    <row r="39" spans="1:33" x14ac:dyDescent="0.2">
      <c r="A39" s="6">
        <v>110</v>
      </c>
      <c r="B39" s="6" t="s">
        <v>10</v>
      </c>
      <c r="C39" s="5">
        <v>36270</v>
      </c>
      <c r="D39" s="26" t="s">
        <v>180</v>
      </c>
      <c r="E39" s="26">
        <v>103</v>
      </c>
      <c r="F39" s="27">
        <v>877600</v>
      </c>
      <c r="G39" s="26">
        <f>F38</f>
        <v>879800</v>
      </c>
      <c r="H39" s="25">
        <v>12</v>
      </c>
      <c r="I39" s="6" t="s">
        <v>178</v>
      </c>
      <c r="J39" s="24">
        <v>53</v>
      </c>
      <c r="K39" s="9">
        <f>H38</f>
        <v>12</v>
      </c>
      <c r="L39" s="6" t="s">
        <v>178</v>
      </c>
      <c r="M39" s="23">
        <f>J38</f>
        <v>59</v>
      </c>
      <c r="N39" s="22">
        <f>IF(H39=K39,M39-J39,60-(J39-M39))</f>
        <v>6</v>
      </c>
      <c r="O39" s="21"/>
      <c r="U39" s="6"/>
      <c r="V39" s="6"/>
      <c r="W39" s="6"/>
      <c r="X39" s="6"/>
    </row>
    <row r="40" spans="1:33" ht="13.5" thickBot="1" x14ac:dyDescent="0.25">
      <c r="A40" s="20"/>
      <c r="B40" s="20"/>
      <c r="C40" s="20"/>
      <c r="D40" s="18"/>
      <c r="E40" s="18"/>
      <c r="F40" s="19"/>
      <c r="G40" s="18"/>
      <c r="H40" s="17"/>
      <c r="I40" s="12"/>
      <c r="J40" s="16"/>
      <c r="K40" s="15"/>
      <c r="L40" s="12"/>
      <c r="M40" s="14"/>
      <c r="N40" s="12" t="s">
        <v>175</v>
      </c>
      <c r="O40" s="13">
        <f>(G34-F38)/(SUM(N34:N38))</f>
        <v>361.11111111111109</v>
      </c>
      <c r="P40" s="12" t="s">
        <v>174</v>
      </c>
      <c r="Q40" s="12"/>
      <c r="R40" s="11">
        <f>AVERAGE(P35:S38)</f>
        <v>0.25262117202104389</v>
      </c>
      <c r="S40" s="12"/>
      <c r="T40" s="12"/>
      <c r="U40" s="12"/>
      <c r="V40" s="12"/>
      <c r="W40" s="12"/>
      <c r="X40" s="12"/>
    </row>
    <row r="41" spans="1:33" x14ac:dyDescent="0.2">
      <c r="C41" s="5"/>
      <c r="D41" s="26"/>
      <c r="E41" s="26"/>
      <c r="F41" s="59"/>
      <c r="G41" s="21"/>
      <c r="H41" s="25"/>
      <c r="I41" s="6"/>
      <c r="J41" s="36"/>
      <c r="K41" s="35"/>
      <c r="M41" s="34"/>
      <c r="N41" s="33"/>
      <c r="O41" s="32"/>
      <c r="P41" s="31"/>
      <c r="Q41" s="31"/>
      <c r="R41" s="31"/>
      <c r="S41" s="31"/>
      <c r="T41" s="31"/>
    </row>
    <row r="42" spans="1:33" ht="13.5" thickBot="1" x14ac:dyDescent="0.25">
      <c r="A42" s="6">
        <v>111</v>
      </c>
      <c r="B42" s="6" t="s">
        <v>6</v>
      </c>
      <c r="C42" s="5">
        <v>36271</v>
      </c>
      <c r="D42" s="26" t="s">
        <v>179</v>
      </c>
      <c r="E42" s="26">
        <v>105</v>
      </c>
      <c r="F42" s="27">
        <v>937300</v>
      </c>
      <c r="G42" s="26">
        <v>940700</v>
      </c>
      <c r="H42" s="25">
        <v>16</v>
      </c>
      <c r="I42" s="6" t="s">
        <v>178</v>
      </c>
      <c r="J42" s="24">
        <v>33</v>
      </c>
      <c r="K42" s="9">
        <v>16</v>
      </c>
      <c r="L42" s="6" t="s">
        <v>178</v>
      </c>
      <c r="M42" s="24">
        <v>42</v>
      </c>
      <c r="N42" s="22">
        <f>IF(H42=K42,M42-J42,60-(J42-M42))</f>
        <v>9</v>
      </c>
      <c r="O42" s="30">
        <f>(G42-F42)/N42</f>
        <v>377.77777777777777</v>
      </c>
      <c r="P42" s="6"/>
      <c r="Q42" s="6"/>
      <c r="R42" s="6"/>
      <c r="S42" s="6"/>
      <c r="U42" s="6"/>
      <c r="V42" s="6"/>
      <c r="W42" s="6"/>
      <c r="X42" s="6"/>
      <c r="Z42" s="31" t="s">
        <v>203</v>
      </c>
    </row>
    <row r="43" spans="1:33" x14ac:dyDescent="0.2">
      <c r="A43" s="6">
        <v>111</v>
      </c>
      <c r="B43" s="6" t="s">
        <v>6</v>
      </c>
      <c r="C43" s="5">
        <v>36271</v>
      </c>
      <c r="D43" s="26">
        <v>1</v>
      </c>
      <c r="E43" s="26">
        <v>105</v>
      </c>
      <c r="F43" s="27">
        <v>928300</v>
      </c>
      <c r="G43" s="26">
        <f>F42</f>
        <v>937300</v>
      </c>
      <c r="H43" s="25">
        <v>16</v>
      </c>
      <c r="I43" s="6" t="s">
        <v>178</v>
      </c>
      <c r="J43" s="24">
        <v>9</v>
      </c>
      <c r="K43" s="9">
        <f>H42</f>
        <v>16</v>
      </c>
      <c r="L43" s="6" t="s">
        <v>178</v>
      </c>
      <c r="M43" s="23">
        <f>J42</f>
        <v>33</v>
      </c>
      <c r="N43" s="22">
        <f>IF(H43=K43,M43-J43,60-(J43-M43))</f>
        <v>24</v>
      </c>
      <c r="O43" s="30">
        <f>(G43-F43)/N43</f>
        <v>375</v>
      </c>
      <c r="P43" s="29">
        <f>($G43-$F43)/7.48/($AF$49*$E43/$AE$43)*12</f>
        <v>0.55545068920072049</v>
      </c>
      <c r="Q43" s="29">
        <f>($G43-$F43)/7.48/($AF$49*$E43/$AE$43)*12</f>
        <v>0.55545068920072049</v>
      </c>
      <c r="R43" s="29">
        <f>($G43-$F43)/7.48/($AF$49*$E43/$AE$43)*12</f>
        <v>0.55545068920072049</v>
      </c>
      <c r="S43" s="29">
        <f>($G43-$F43)/7.48/($AF$49*$E43/$AE$43)*12</f>
        <v>0.55545068920072049</v>
      </c>
      <c r="U43" s="28">
        <f>U35+P43</f>
        <v>1.9526203946378711</v>
      </c>
      <c r="V43" s="28">
        <f>V35+Q43</f>
        <v>1.9526203946378711</v>
      </c>
      <c r="W43" s="28">
        <f>W35+R43</f>
        <v>1.9526203946378711</v>
      </c>
      <c r="X43" s="28">
        <f>X35+S43</f>
        <v>1.9526203946378711</v>
      </c>
      <c r="Z43" s="58" t="s">
        <v>197</v>
      </c>
      <c r="AA43" s="54"/>
      <c r="AB43" s="57"/>
      <c r="AC43" s="56" t="s">
        <v>196</v>
      </c>
      <c r="AD43" s="56"/>
      <c r="AE43" s="55">
        <f>SUM(AB47:AE47)</f>
        <v>105</v>
      </c>
      <c r="AF43" s="54"/>
      <c r="AG43" s="53"/>
    </row>
    <row r="44" spans="1:33" x14ac:dyDescent="0.2">
      <c r="A44" s="6">
        <v>111</v>
      </c>
      <c r="B44" s="6" t="s">
        <v>6</v>
      </c>
      <c r="C44" s="5">
        <v>36271</v>
      </c>
      <c r="D44" s="26">
        <v>2</v>
      </c>
      <c r="E44" s="26">
        <v>105</v>
      </c>
      <c r="F44" s="27">
        <v>917100</v>
      </c>
      <c r="G44" s="26">
        <f>F43</f>
        <v>928300</v>
      </c>
      <c r="H44" s="25">
        <v>15</v>
      </c>
      <c r="I44" s="6" t="s">
        <v>178</v>
      </c>
      <c r="J44" s="24">
        <v>39</v>
      </c>
      <c r="K44" s="9">
        <f>H43</f>
        <v>16</v>
      </c>
      <c r="L44" s="6" t="s">
        <v>178</v>
      </c>
      <c r="M44" s="23">
        <f>J43</f>
        <v>9</v>
      </c>
      <c r="N44" s="22">
        <f>IF(H44=K44,M44-J44,60-(J44-M44))</f>
        <v>30</v>
      </c>
      <c r="O44" s="30">
        <f>(G44-F44)/N44</f>
        <v>373.33333333333331</v>
      </c>
      <c r="P44" s="29">
        <f>($G44-$F44)/7.48/($AF$50*$E44/$AE$43)*12</f>
        <v>0.66242637749122957</v>
      </c>
      <c r="Q44" s="29">
        <f>($G44-$F44)/7.48/($AF$50*$E44/$AE$43)*12</f>
        <v>0.66242637749122957</v>
      </c>
      <c r="R44" s="29">
        <f>($G44-$F44)/7.48/($AF$50*$E44/$AE$43)*12</f>
        <v>0.66242637749122957</v>
      </c>
      <c r="S44" s="29">
        <f>($G44-$F44)/7.48/($AF$50*$E44/$AE$43)*12</f>
        <v>0.66242637749122957</v>
      </c>
      <c r="U44" s="28">
        <f>U36+P44</f>
        <v>2.2392526467715022</v>
      </c>
      <c r="V44" s="28">
        <f>V36+Q44</f>
        <v>2.2392526467715022</v>
      </c>
      <c r="W44" s="28">
        <f>W36+R44</f>
        <v>2.2392526467715022</v>
      </c>
      <c r="X44" s="28">
        <f>X36+S44</f>
        <v>2.2392526467715022</v>
      </c>
      <c r="Z44" s="47"/>
      <c r="AC44" s="1" t="s">
        <v>195</v>
      </c>
      <c r="AD44" s="1" t="s">
        <v>194</v>
      </c>
      <c r="AG44" s="52"/>
    </row>
    <row r="45" spans="1:33" x14ac:dyDescent="0.2">
      <c r="A45" s="6">
        <v>111</v>
      </c>
      <c r="B45" s="6" t="s">
        <v>6</v>
      </c>
      <c r="C45" s="5">
        <v>36271</v>
      </c>
      <c r="D45" s="26">
        <v>3</v>
      </c>
      <c r="E45" s="26">
        <v>105</v>
      </c>
      <c r="F45" s="27">
        <v>909400</v>
      </c>
      <c r="G45" s="26">
        <f>F44</f>
        <v>917100</v>
      </c>
      <c r="H45" s="25">
        <v>15</v>
      </c>
      <c r="I45" s="6" t="s">
        <v>178</v>
      </c>
      <c r="J45" s="24">
        <v>16</v>
      </c>
      <c r="K45" s="9">
        <f>H44</f>
        <v>15</v>
      </c>
      <c r="L45" s="6" t="s">
        <v>178</v>
      </c>
      <c r="M45" s="23">
        <f>J44</f>
        <v>39</v>
      </c>
      <c r="N45" s="22">
        <f>IF(H45=K45,M45-J45,60-(J45-M45))</f>
        <v>23</v>
      </c>
      <c r="O45" s="30">
        <f>(G45-F45)/N45</f>
        <v>334.78260869565219</v>
      </c>
      <c r="P45" s="29">
        <f>($G45-$F45)/7.48/($AF$51*$E45/$AE$43)*12</f>
        <v>0.45541813452522029</v>
      </c>
      <c r="Q45" s="29">
        <f>($G45-$F45)/7.48/($AF$51*$E45/$AE$43)*12</f>
        <v>0.45541813452522029</v>
      </c>
      <c r="R45" s="29">
        <f>($G45-$F45)/7.48/($AF$51*$E45/$AE$43)*12</f>
        <v>0.45541813452522029</v>
      </c>
      <c r="S45" s="29">
        <f>($G45-$F45)/7.48/($AF$51*$E45/$AE$43)*12</f>
        <v>0.45541813452522029</v>
      </c>
      <c r="U45" s="28">
        <f>U37+P45</f>
        <v>1.784465276720741</v>
      </c>
      <c r="V45" s="28">
        <f>V37+Q45</f>
        <v>1.784465276720741</v>
      </c>
      <c r="W45" s="28">
        <f>W37+R45</f>
        <v>1.784465276720741</v>
      </c>
      <c r="X45" s="28">
        <f>X37+S45</f>
        <v>1.784465276720741</v>
      </c>
      <c r="Z45" s="47"/>
      <c r="AB45" s="6" t="s">
        <v>193</v>
      </c>
      <c r="AC45" s="6" t="s">
        <v>192</v>
      </c>
      <c r="AD45" s="6" t="s">
        <v>191</v>
      </c>
      <c r="AE45" s="6" t="s">
        <v>190</v>
      </c>
      <c r="AG45" s="52"/>
    </row>
    <row r="46" spans="1:33" x14ac:dyDescent="0.2">
      <c r="A46" s="6">
        <v>111</v>
      </c>
      <c r="B46" s="6" t="s">
        <v>6</v>
      </c>
      <c r="C46" s="5">
        <v>36271</v>
      </c>
      <c r="D46" s="26">
        <v>4</v>
      </c>
      <c r="E46" s="26">
        <v>105</v>
      </c>
      <c r="F46" s="27">
        <v>901900</v>
      </c>
      <c r="G46" s="26">
        <f>F45</f>
        <v>909400</v>
      </c>
      <c r="H46" s="25">
        <v>14</v>
      </c>
      <c r="I46" s="6" t="s">
        <v>178</v>
      </c>
      <c r="J46" s="24">
        <v>56</v>
      </c>
      <c r="K46" s="9">
        <f>H45</f>
        <v>15</v>
      </c>
      <c r="L46" s="6" t="s">
        <v>178</v>
      </c>
      <c r="M46" s="23">
        <f>J45</f>
        <v>16</v>
      </c>
      <c r="N46" s="22">
        <f>IF(H46=K46,M46-J46,60-(J46-M46))</f>
        <v>20</v>
      </c>
      <c r="O46" s="30">
        <f>(G46-F46)/N46</f>
        <v>375</v>
      </c>
      <c r="P46" s="29">
        <f>($G46-$F46)/7.48/($AF$52*$E46/$AE$43)*12</f>
        <v>0.46287557433393367</v>
      </c>
      <c r="Q46" s="29">
        <f>($G46-$F46)/7.48/($AF$52*$E46/$AE$43)*12</f>
        <v>0.46287557433393367</v>
      </c>
      <c r="R46" s="29">
        <f>($G46-$F46)/7.48/($AF$52*$E46/$AE$43)*12</f>
        <v>0.46287557433393367</v>
      </c>
      <c r="S46" s="29">
        <f>($G46-$F46)/7.48/($AF$52*$E46/$AE$43)*12</f>
        <v>0.46287557433393367</v>
      </c>
      <c r="U46" s="28">
        <f>U38+P46</f>
        <v>1.7413873509874613</v>
      </c>
      <c r="V46" s="28">
        <f>V38+Q46</f>
        <v>1.7413873509874613</v>
      </c>
      <c r="W46" s="28">
        <f>W38+R46</f>
        <v>1.7413873509874613</v>
      </c>
      <c r="X46" s="28">
        <f>X38+S46</f>
        <v>1.7413873509874613</v>
      </c>
      <c r="Z46" s="47"/>
      <c r="AB46" s="51" t="s">
        <v>189</v>
      </c>
      <c r="AC46" s="51"/>
      <c r="AD46" s="51"/>
      <c r="AE46" s="51"/>
      <c r="AF46" s="51" t="s">
        <v>188</v>
      </c>
      <c r="AG46" s="50"/>
    </row>
    <row r="47" spans="1:33" x14ac:dyDescent="0.2">
      <c r="A47" s="6">
        <v>111</v>
      </c>
      <c r="B47" s="6" t="s">
        <v>6</v>
      </c>
      <c r="C47" s="5">
        <v>36271</v>
      </c>
      <c r="D47" s="26" t="s">
        <v>180</v>
      </c>
      <c r="E47" s="26">
        <v>105</v>
      </c>
      <c r="F47" s="27">
        <v>899800</v>
      </c>
      <c r="G47" s="26">
        <f>F46</f>
        <v>901900</v>
      </c>
      <c r="H47" s="25">
        <v>14</v>
      </c>
      <c r="I47" s="6" t="s">
        <v>178</v>
      </c>
      <c r="J47" s="24">
        <v>53</v>
      </c>
      <c r="K47" s="9">
        <f>H46</f>
        <v>14</v>
      </c>
      <c r="L47" s="6" t="s">
        <v>178</v>
      </c>
      <c r="M47" s="23">
        <f>J46</f>
        <v>56</v>
      </c>
      <c r="N47" s="22">
        <f>IF(H47=K47,M47-J47,60-(J47-M47))</f>
        <v>3</v>
      </c>
      <c r="O47" s="21"/>
      <c r="U47" s="6"/>
      <c r="V47" s="6"/>
      <c r="W47" s="6"/>
      <c r="X47" s="6"/>
      <c r="Z47" s="48" t="s">
        <v>187</v>
      </c>
      <c r="AA47" s="6" t="s">
        <v>186</v>
      </c>
      <c r="AB47" s="6">
        <v>26</v>
      </c>
      <c r="AC47" s="6">
        <v>22</v>
      </c>
      <c r="AD47" s="6">
        <v>26</v>
      </c>
      <c r="AE47" s="6">
        <v>31</v>
      </c>
      <c r="AF47" s="6" t="s">
        <v>185</v>
      </c>
      <c r="AG47" s="49" t="s">
        <v>184</v>
      </c>
    </row>
    <row r="48" spans="1:33" ht="13.5" thickBot="1" x14ac:dyDescent="0.25">
      <c r="A48" s="20"/>
      <c r="B48" s="20"/>
      <c r="C48" s="20"/>
      <c r="D48" s="18"/>
      <c r="E48" s="18"/>
      <c r="F48" s="19"/>
      <c r="G48" s="18"/>
      <c r="H48" s="17"/>
      <c r="I48" s="12"/>
      <c r="J48" s="16"/>
      <c r="K48" s="15"/>
      <c r="L48" s="12"/>
      <c r="M48" s="14"/>
      <c r="N48" s="12" t="s">
        <v>175</v>
      </c>
      <c r="O48" s="13">
        <f>(G42-F46)/(SUM(N42:N46))</f>
        <v>366.03773584905662</v>
      </c>
      <c r="P48" s="12" t="s">
        <v>174</v>
      </c>
      <c r="Q48" s="12"/>
      <c r="R48" s="11">
        <f>AVERAGE(P43:S46)</f>
        <v>0.53404269388777592</v>
      </c>
      <c r="S48" s="12"/>
      <c r="T48" s="12"/>
      <c r="U48" s="12"/>
      <c r="V48" s="12"/>
      <c r="W48" s="12"/>
      <c r="X48" s="12"/>
      <c r="Z48" s="48" t="s">
        <v>183</v>
      </c>
      <c r="AA48" s="6">
        <v>9</v>
      </c>
      <c r="AB48" s="6">
        <f>AB$47*$AA48</f>
        <v>234</v>
      </c>
      <c r="AC48" s="6">
        <f>AC$47*$AA48</f>
        <v>198</v>
      </c>
      <c r="AD48" s="6">
        <f>AD$47*$AA48</f>
        <v>234</v>
      </c>
      <c r="AE48" s="6">
        <f>AE$47*$AA48</f>
        <v>279</v>
      </c>
      <c r="AF48" s="46">
        <f>(SUM(AB48:AE48))*((3.2808)^2)</f>
        <v>10171.6479648</v>
      </c>
      <c r="AG48" s="45">
        <f>AF48/43560</f>
        <v>0.233508906446281</v>
      </c>
    </row>
    <row r="49" spans="1:33" x14ac:dyDescent="0.2">
      <c r="C49" s="5"/>
      <c r="D49" s="26"/>
      <c r="E49" s="26"/>
      <c r="F49" s="59"/>
      <c r="G49" s="21"/>
      <c r="H49" s="25"/>
      <c r="I49" s="6"/>
      <c r="J49" s="36"/>
      <c r="K49" s="35"/>
      <c r="M49" s="34"/>
      <c r="N49" s="33"/>
      <c r="O49" s="32"/>
      <c r="P49" s="31"/>
      <c r="Q49" s="31"/>
      <c r="R49" s="31"/>
      <c r="S49" s="31"/>
      <c r="T49" s="31"/>
      <c r="Z49" s="48">
        <v>1</v>
      </c>
      <c r="AA49" s="6">
        <v>23</v>
      </c>
      <c r="AB49" s="6">
        <f>AB$47*$AA49</f>
        <v>598</v>
      </c>
      <c r="AC49" s="6">
        <f>AC$47*$AA49</f>
        <v>506</v>
      </c>
      <c r="AD49" s="6">
        <f>AD$47*$AA49</f>
        <v>598</v>
      </c>
      <c r="AE49" s="6">
        <f>AE$47*$AA49</f>
        <v>713</v>
      </c>
      <c r="AF49" s="46">
        <f>(SUM(AB49:AE49))*((3.2808)^2)</f>
        <v>25994.211465600005</v>
      </c>
      <c r="AG49" s="45">
        <f>AF49/43560</f>
        <v>0.59674498314049595</v>
      </c>
    </row>
    <row r="50" spans="1:33" x14ac:dyDescent="0.2">
      <c r="A50" s="6">
        <v>113</v>
      </c>
      <c r="B50" s="6" t="s">
        <v>1</v>
      </c>
      <c r="C50" s="5">
        <v>36273</v>
      </c>
      <c r="D50" s="26" t="s">
        <v>180</v>
      </c>
      <c r="E50" s="26">
        <v>105</v>
      </c>
      <c r="F50" s="27">
        <v>942300</v>
      </c>
      <c r="G50" s="26">
        <f>F51</f>
        <v>945400</v>
      </c>
      <c r="H50" s="25">
        <v>7</v>
      </c>
      <c r="I50" s="6" t="s">
        <v>178</v>
      </c>
      <c r="J50" s="24">
        <v>15</v>
      </c>
      <c r="K50" s="9">
        <f>H51</f>
        <v>7</v>
      </c>
      <c r="L50" s="6" t="s">
        <v>178</v>
      </c>
      <c r="M50" s="24">
        <f>J51</f>
        <v>23</v>
      </c>
      <c r="N50" s="22">
        <f>IF(H50=K50,M50-J50,60-(J50-M50))</f>
        <v>8</v>
      </c>
      <c r="O50" s="30">
        <f>(G50-F50)/N50</f>
        <v>387.5</v>
      </c>
      <c r="P50" s="6"/>
      <c r="Q50" s="6"/>
      <c r="R50" s="6"/>
      <c r="S50" s="6"/>
      <c r="U50" s="6"/>
      <c r="V50" s="6"/>
      <c r="W50" s="6"/>
      <c r="X50" s="6"/>
      <c r="Z50" s="48">
        <v>2</v>
      </c>
      <c r="AA50" s="6">
        <v>24</v>
      </c>
      <c r="AB50" s="6">
        <f>AB$47*$AA50</f>
        <v>624</v>
      </c>
      <c r="AC50" s="6">
        <f>AC$47*$AA50</f>
        <v>528</v>
      </c>
      <c r="AD50" s="6">
        <f>AD$47*$AA50</f>
        <v>624</v>
      </c>
      <c r="AE50" s="6">
        <f>AE$47*$AA50</f>
        <v>744</v>
      </c>
      <c r="AF50" s="46">
        <f>(SUM(AB50:AE50))*((3.2808)^2)</f>
        <v>27124.394572800004</v>
      </c>
      <c r="AG50" s="45">
        <f>AF50/43560</f>
        <v>0.62269041719008278</v>
      </c>
    </row>
    <row r="51" spans="1:33" x14ac:dyDescent="0.2">
      <c r="A51" s="6">
        <v>113</v>
      </c>
      <c r="B51" s="6" t="s">
        <v>1</v>
      </c>
      <c r="C51" s="5">
        <v>36273</v>
      </c>
      <c r="D51" s="26">
        <v>1</v>
      </c>
      <c r="E51" s="26">
        <v>105</v>
      </c>
      <c r="F51" s="27">
        <v>945400</v>
      </c>
      <c r="G51" s="26">
        <f>F52</f>
        <v>952400</v>
      </c>
      <c r="H51" s="25">
        <v>7</v>
      </c>
      <c r="I51" s="6" t="s">
        <v>178</v>
      </c>
      <c r="J51" s="24">
        <v>23</v>
      </c>
      <c r="K51" s="9">
        <f>H52</f>
        <v>7</v>
      </c>
      <c r="L51" s="6" t="s">
        <v>178</v>
      </c>
      <c r="M51" s="24">
        <f>J52</f>
        <v>42</v>
      </c>
      <c r="N51" s="22">
        <f>IF(H51=K51,M51-J51,60-(J51-M51))</f>
        <v>19</v>
      </c>
      <c r="O51" s="30">
        <f>(G51-F51)/N51</f>
        <v>368.42105263157896</v>
      </c>
      <c r="P51" s="29">
        <f>($G51-$F51)/7.48/($AF$49*$E51/$AE$43)*12</f>
        <v>0.43201720271167138</v>
      </c>
      <c r="Q51" s="29">
        <f>($G51-$F51)/7.48/($AF$49*$E51/$AE$43)*12</f>
        <v>0.43201720271167138</v>
      </c>
      <c r="R51" s="29">
        <f>($G51-$F51)/7.48/($AF$49*$E51/$AE$43)*12</f>
        <v>0.43201720271167138</v>
      </c>
      <c r="S51" s="29">
        <f>($G51-$F51)/7.48/($AF$49*$E51/$AE$43)*12</f>
        <v>0.43201720271167138</v>
      </c>
      <c r="U51" s="28">
        <f>U43+P51</f>
        <v>2.3846375973495424</v>
      </c>
      <c r="V51" s="28">
        <f>V43+Q51</f>
        <v>2.3846375973495424</v>
      </c>
      <c r="W51" s="28">
        <f>W43+R51</f>
        <v>2.3846375973495424</v>
      </c>
      <c r="X51" s="28">
        <f>X43+S51</f>
        <v>2.3846375973495424</v>
      </c>
      <c r="Z51" s="48">
        <v>3</v>
      </c>
      <c r="AA51" s="6">
        <v>24</v>
      </c>
      <c r="AB51" s="6">
        <f>AB$47*$AA51</f>
        <v>624</v>
      </c>
      <c r="AC51" s="6">
        <f>AC$47*$AA51</f>
        <v>528</v>
      </c>
      <c r="AD51" s="6">
        <f>AD$47*$AA51</f>
        <v>624</v>
      </c>
      <c r="AE51" s="6">
        <f>AE$47*$AA51</f>
        <v>744</v>
      </c>
      <c r="AF51" s="46">
        <f>(SUM(AB51:AE51))*((3.2808)^2)</f>
        <v>27124.394572800004</v>
      </c>
      <c r="AG51" s="45">
        <f>AF51/43560</f>
        <v>0.62269041719008278</v>
      </c>
    </row>
    <row r="52" spans="1:33" x14ac:dyDescent="0.2">
      <c r="A52" s="6">
        <v>113</v>
      </c>
      <c r="B52" s="6" t="s">
        <v>1</v>
      </c>
      <c r="C52" s="5">
        <v>36273</v>
      </c>
      <c r="D52" s="26">
        <v>2</v>
      </c>
      <c r="E52" s="26">
        <v>105</v>
      </c>
      <c r="F52" s="27">
        <v>952400</v>
      </c>
      <c r="G52" s="26">
        <f>F53</f>
        <v>960100</v>
      </c>
      <c r="H52" s="25">
        <v>7</v>
      </c>
      <c r="I52" s="6" t="s">
        <v>178</v>
      </c>
      <c r="J52" s="24">
        <v>42</v>
      </c>
      <c r="K52" s="9">
        <f>H53</f>
        <v>8</v>
      </c>
      <c r="L52" s="6" t="s">
        <v>178</v>
      </c>
      <c r="M52" s="24">
        <f>J53</f>
        <v>3</v>
      </c>
      <c r="N52" s="22">
        <f>IF(H52=K52,M52-J52,60-(J52-M52))</f>
        <v>21</v>
      </c>
      <c r="O52" s="30">
        <f>(G52-F52)/N52</f>
        <v>366.66666666666669</v>
      </c>
      <c r="P52" s="29">
        <f>($G52-$F52)/7.48/($AF$50*$E52/$AE$43)*12</f>
        <v>0.45541813452522029</v>
      </c>
      <c r="Q52" s="29">
        <f>($G52-$F52)/7.48/($AF$50*$E52/$AE$43)*12</f>
        <v>0.45541813452522029</v>
      </c>
      <c r="R52" s="29">
        <f>($G52-$F52)/7.48/($AF$50*$E52/$AE$43)*12</f>
        <v>0.45541813452522029</v>
      </c>
      <c r="S52" s="29">
        <f>($G52-$F52)/7.48/($AF$50*$E52/$AE$43)*12</f>
        <v>0.45541813452522029</v>
      </c>
      <c r="U52" s="28">
        <f>U44+P52</f>
        <v>2.6946707812967223</v>
      </c>
      <c r="V52" s="28">
        <f>V44+Q52</f>
        <v>2.6946707812967223</v>
      </c>
      <c r="W52" s="28">
        <f>W44+R52</f>
        <v>2.6946707812967223</v>
      </c>
      <c r="X52" s="28">
        <f>X44+S52</f>
        <v>2.6946707812967223</v>
      </c>
      <c r="Z52" s="48">
        <v>4</v>
      </c>
      <c r="AA52" s="6">
        <v>23</v>
      </c>
      <c r="AB52" s="6">
        <f>AB$47*$AA52</f>
        <v>598</v>
      </c>
      <c r="AC52" s="6">
        <f>AC$47*$AA52</f>
        <v>506</v>
      </c>
      <c r="AD52" s="6">
        <f>AD$47*$AA52</f>
        <v>598</v>
      </c>
      <c r="AE52" s="6">
        <f>AE$47*$AA52</f>
        <v>713</v>
      </c>
      <c r="AF52" s="46">
        <f>(SUM(AB52:AE52))*((3.2808)^2)</f>
        <v>25994.211465600005</v>
      </c>
      <c r="AG52" s="45">
        <f>AF52/43560</f>
        <v>0.59674498314049595</v>
      </c>
    </row>
    <row r="53" spans="1:33" x14ac:dyDescent="0.2">
      <c r="A53" s="6">
        <v>113</v>
      </c>
      <c r="B53" s="6" t="s">
        <v>1</v>
      </c>
      <c r="C53" s="5">
        <v>36273</v>
      </c>
      <c r="D53" s="26">
        <v>3</v>
      </c>
      <c r="E53" s="26">
        <v>105</v>
      </c>
      <c r="F53" s="27">
        <v>960100</v>
      </c>
      <c r="G53" s="26">
        <f>F54</f>
        <v>968000</v>
      </c>
      <c r="H53" s="25">
        <v>8</v>
      </c>
      <c r="I53" s="6" t="s">
        <v>178</v>
      </c>
      <c r="J53" s="24">
        <v>3</v>
      </c>
      <c r="K53" s="9">
        <f>H54</f>
        <v>8</v>
      </c>
      <c r="L53" s="6" t="s">
        <v>178</v>
      </c>
      <c r="M53" s="24">
        <f>J54</f>
        <v>25</v>
      </c>
      <c r="N53" s="22">
        <f>IF(H53=K53,M53-J53,60-(J53-M53))</f>
        <v>22</v>
      </c>
      <c r="O53" s="30">
        <f>(G53-F53)/N53</f>
        <v>359.09090909090907</v>
      </c>
      <c r="P53" s="29">
        <f>($G53-$F53)/7.48/($AF$51*$E53/$AE$43)*12</f>
        <v>0.46724717698042084</v>
      </c>
      <c r="Q53" s="29">
        <f>($G53-$F53)/7.48/($AF$51*$E53/$AE$43)*12</f>
        <v>0.46724717698042084</v>
      </c>
      <c r="R53" s="29">
        <f>($G53-$F53)/7.48/($AF$51*$E53/$AE$43)*12</f>
        <v>0.46724717698042084</v>
      </c>
      <c r="S53" s="29">
        <f>($G53-$F53)/7.48/($AF$51*$E53/$AE$43)*12</f>
        <v>0.46724717698042084</v>
      </c>
      <c r="U53" s="28">
        <f>U45+P53</f>
        <v>2.2517124537011619</v>
      </c>
      <c r="V53" s="28">
        <f>V45+Q53</f>
        <v>2.2517124537011619</v>
      </c>
      <c r="W53" s="28">
        <f>W45+R53</f>
        <v>2.2517124537011619</v>
      </c>
      <c r="X53" s="28">
        <f>X45+S53</f>
        <v>2.2517124537011619</v>
      </c>
      <c r="Z53" s="47" t="s">
        <v>182</v>
      </c>
      <c r="AA53" s="6">
        <v>5</v>
      </c>
      <c r="AB53" s="6">
        <f>AB$47*$AA53</f>
        <v>130</v>
      </c>
      <c r="AC53" s="6">
        <f>AC$47*$AA53</f>
        <v>110</v>
      </c>
      <c r="AD53" s="6">
        <f>AD$47*$AA53</f>
        <v>130</v>
      </c>
      <c r="AE53" s="6">
        <f>AE$47*$AA53</f>
        <v>155</v>
      </c>
      <c r="AF53" s="46">
        <f>(SUM(AB53:AE53))*((3.2808)^2)</f>
        <v>5650.9155360000004</v>
      </c>
      <c r="AG53" s="45">
        <f>AF53/43560</f>
        <v>0.1297271702479339</v>
      </c>
    </row>
    <row r="54" spans="1:33" ht="13.5" thickBot="1" x14ac:dyDescent="0.25">
      <c r="A54" s="6">
        <v>113</v>
      </c>
      <c r="B54" s="6" t="s">
        <v>1</v>
      </c>
      <c r="C54" s="5">
        <v>36273</v>
      </c>
      <c r="D54" s="26">
        <v>4</v>
      </c>
      <c r="E54" s="26">
        <v>105</v>
      </c>
      <c r="F54" s="27">
        <v>968000</v>
      </c>
      <c r="G54" s="26">
        <f>F55</f>
        <v>975300</v>
      </c>
      <c r="H54" s="25">
        <v>8</v>
      </c>
      <c r="I54" s="6" t="s">
        <v>178</v>
      </c>
      <c r="J54" s="24">
        <v>25</v>
      </c>
      <c r="K54" s="9">
        <f>H55</f>
        <v>8</v>
      </c>
      <c r="L54" s="6" t="s">
        <v>178</v>
      </c>
      <c r="M54" s="24">
        <f>J55</f>
        <v>45</v>
      </c>
      <c r="N54" s="22">
        <f>IF(H54=K54,M54-J54,60-(J54-M54))</f>
        <v>20</v>
      </c>
      <c r="O54" s="30">
        <f>(G54-F54)/N54</f>
        <v>365</v>
      </c>
      <c r="P54" s="29">
        <f>($G54-$F54)/7.48/($AF$52*$E54/$AE$43)*12</f>
        <v>0.45053222568502871</v>
      </c>
      <c r="Q54" s="29">
        <f>($G54-$F54)/7.48/($AF$52*$E54/$AE$43)*12</f>
        <v>0.45053222568502871</v>
      </c>
      <c r="R54" s="29">
        <f>($G54-$F54)/7.48/($AF$52*$E54/$AE$43)*12</f>
        <v>0.45053222568502871</v>
      </c>
      <c r="S54" s="29">
        <f>($G54-$F54)/7.48/($AF$52*$E54/$AE$43)*12</f>
        <v>0.45053222568502871</v>
      </c>
      <c r="U54" s="28">
        <f>U46+P54</f>
        <v>2.1919195766724902</v>
      </c>
      <c r="V54" s="28">
        <f>V46+Q54</f>
        <v>2.1919195766724902</v>
      </c>
      <c r="W54" s="28">
        <f>W46+R54</f>
        <v>2.1919195766724902</v>
      </c>
      <c r="X54" s="28">
        <f>X46+S54</f>
        <v>2.1919195766724902</v>
      </c>
      <c r="Z54" s="44"/>
      <c r="AA54" s="12"/>
      <c r="AB54" s="12"/>
      <c r="AC54" s="12"/>
      <c r="AD54" s="12"/>
      <c r="AE54" s="12" t="s">
        <v>181</v>
      </c>
      <c r="AF54" s="43">
        <f>SUM(AF48:AF53)</f>
        <v>122059.77557760001</v>
      </c>
      <c r="AG54" s="42">
        <f>SUM(AG48:AG53)</f>
        <v>2.8021068773553721</v>
      </c>
    </row>
    <row r="55" spans="1:33" x14ac:dyDescent="0.2">
      <c r="A55" s="6">
        <v>113</v>
      </c>
      <c r="B55" s="6" t="s">
        <v>1</v>
      </c>
      <c r="C55" s="5">
        <v>36273</v>
      </c>
      <c r="D55" s="26" t="s">
        <v>179</v>
      </c>
      <c r="E55" s="26">
        <v>105</v>
      </c>
      <c r="F55" s="27">
        <v>975300</v>
      </c>
      <c r="G55" s="26">
        <v>977100</v>
      </c>
      <c r="H55" s="25">
        <v>8</v>
      </c>
      <c r="I55" s="6" t="s">
        <v>178</v>
      </c>
      <c r="J55" s="24">
        <v>45</v>
      </c>
      <c r="K55" s="9">
        <v>8</v>
      </c>
      <c r="L55" s="6" t="s">
        <v>178</v>
      </c>
      <c r="M55" s="23">
        <v>50</v>
      </c>
      <c r="N55" s="22">
        <f>IF(H55=K55,M55-J55,60-(J55-M55))</f>
        <v>5</v>
      </c>
      <c r="O55" s="21"/>
      <c r="U55" s="6"/>
      <c r="V55" s="6"/>
      <c r="W55" s="6"/>
      <c r="X55" s="6"/>
    </row>
    <row r="56" spans="1:33" ht="13.5" thickBot="1" x14ac:dyDescent="0.25">
      <c r="A56" s="20"/>
      <c r="B56" s="20"/>
      <c r="C56" s="20"/>
      <c r="D56" s="18"/>
      <c r="E56" s="18"/>
      <c r="F56" s="19"/>
      <c r="G56" s="18"/>
      <c r="H56" s="17"/>
      <c r="I56" s="12"/>
      <c r="J56" s="16"/>
      <c r="K56" s="15"/>
      <c r="L56" s="12"/>
      <c r="M56" s="14"/>
      <c r="N56" s="12" t="s">
        <v>175</v>
      </c>
      <c r="O56" s="13">
        <f>(G54-F50)/(SUM(N50:N54))</f>
        <v>366.66666666666669</v>
      </c>
      <c r="P56" s="12" t="s">
        <v>174</v>
      </c>
      <c r="Q56" s="12"/>
      <c r="R56" s="11">
        <f>AVERAGE(P51:S54)</f>
        <v>0.45130368497558532</v>
      </c>
      <c r="S56" s="12"/>
      <c r="T56" s="12"/>
      <c r="U56" s="12"/>
      <c r="V56" s="12"/>
      <c r="W56" s="12"/>
      <c r="X56" s="12"/>
    </row>
    <row r="57" spans="1:33" x14ac:dyDescent="0.2">
      <c r="C57" s="5"/>
      <c r="D57" s="26"/>
      <c r="E57" s="26"/>
      <c r="F57" s="59"/>
      <c r="G57" s="21"/>
      <c r="H57" s="25"/>
      <c r="I57" s="6"/>
      <c r="J57" s="36"/>
      <c r="K57" s="35"/>
      <c r="M57" s="34"/>
      <c r="N57" s="33"/>
      <c r="O57" s="32"/>
      <c r="P57" s="31"/>
      <c r="Q57" s="31"/>
      <c r="R57" s="31"/>
      <c r="S57" s="31"/>
      <c r="T57" s="31"/>
    </row>
    <row r="58" spans="1:33" x14ac:dyDescent="0.2">
      <c r="A58" s="6">
        <v>116</v>
      </c>
      <c r="B58" s="6" t="s">
        <v>14</v>
      </c>
      <c r="C58" s="5">
        <v>36276</v>
      </c>
      <c r="D58" s="26" t="s">
        <v>180</v>
      </c>
      <c r="E58" s="26">
        <v>105</v>
      </c>
      <c r="F58" s="27">
        <v>977400</v>
      </c>
      <c r="G58" s="26">
        <f>F59</f>
        <v>984900</v>
      </c>
      <c r="H58" s="25">
        <v>10</v>
      </c>
      <c r="I58" s="6" t="s">
        <v>178</v>
      </c>
      <c r="J58" s="24">
        <v>39</v>
      </c>
      <c r="K58" s="9">
        <f>H59</f>
        <v>10</v>
      </c>
      <c r="L58" s="6" t="s">
        <v>178</v>
      </c>
      <c r="M58" s="24">
        <f>J59</f>
        <v>58</v>
      </c>
      <c r="N58" s="22">
        <f>IF(H58=K58,M58-J58,60-(J58-M58))</f>
        <v>19</v>
      </c>
      <c r="O58" s="30">
        <f>(G58-F58)/N58</f>
        <v>394.73684210526318</v>
      </c>
      <c r="P58" s="6"/>
      <c r="Q58" s="6"/>
      <c r="R58" s="6"/>
      <c r="S58" s="6"/>
      <c r="U58" s="6"/>
      <c r="V58" s="6"/>
      <c r="W58" s="6"/>
      <c r="X58" s="6"/>
    </row>
    <row r="59" spans="1:33" x14ac:dyDescent="0.2">
      <c r="A59" s="6">
        <v>116</v>
      </c>
      <c r="B59" s="6" t="s">
        <v>14</v>
      </c>
      <c r="C59" s="5">
        <v>36276</v>
      </c>
      <c r="D59" s="26">
        <v>1</v>
      </c>
      <c r="E59" s="26">
        <v>105</v>
      </c>
      <c r="F59" s="27">
        <v>984900</v>
      </c>
      <c r="G59" s="26">
        <f>F60</f>
        <v>1003000</v>
      </c>
      <c r="H59" s="25">
        <v>10</v>
      </c>
      <c r="I59" s="6" t="s">
        <v>178</v>
      </c>
      <c r="J59" s="24">
        <v>58</v>
      </c>
      <c r="K59" s="9">
        <f>H60</f>
        <v>11</v>
      </c>
      <c r="L59" s="6" t="s">
        <v>178</v>
      </c>
      <c r="M59" s="24">
        <f>J60</f>
        <v>47</v>
      </c>
      <c r="N59" s="22">
        <f>IF(H59=K59,M59-J59,60-(J59-M59))</f>
        <v>49</v>
      </c>
      <c r="O59" s="30">
        <f>(G59-F59)/N59</f>
        <v>369.38775510204084</v>
      </c>
      <c r="P59" s="29">
        <f>($G59-$F59)/7.48/($AF$49*$E59/$AE$43)*12</f>
        <v>1.117073052725893</v>
      </c>
      <c r="Q59" s="29">
        <f>($G59-$F59)/7.48/($AF$49*$E59/$AE$43)*12</f>
        <v>1.117073052725893</v>
      </c>
      <c r="R59" s="29">
        <f>($G59-$F59)/7.48/($AF$49*$E59/$AE$43)*12</f>
        <v>1.117073052725893</v>
      </c>
      <c r="S59" s="29">
        <f>($G59-$F59)/7.48/($AF$49*$E59/$AE$43)*12</f>
        <v>1.117073052725893</v>
      </c>
      <c r="U59" s="28">
        <f>U51+P59</f>
        <v>3.5017106500754354</v>
      </c>
      <c r="V59" s="28">
        <f>V51+Q59</f>
        <v>3.5017106500754354</v>
      </c>
      <c r="W59" s="28">
        <f>W51+R59</f>
        <v>3.5017106500754354</v>
      </c>
      <c r="X59" s="28">
        <f>X51+S59</f>
        <v>3.5017106500754354</v>
      </c>
      <c r="Z59" s="1" t="s">
        <v>202</v>
      </c>
    </row>
    <row r="60" spans="1:33" x14ac:dyDescent="0.2">
      <c r="A60" s="6">
        <v>116</v>
      </c>
      <c r="B60" s="6" t="s">
        <v>14</v>
      </c>
      <c r="C60" s="5">
        <v>36276</v>
      </c>
      <c r="D60" s="26">
        <v>2</v>
      </c>
      <c r="E60" s="26">
        <v>105</v>
      </c>
      <c r="F60" s="27">
        <v>1003000</v>
      </c>
      <c r="G60" s="26">
        <f>F61</f>
        <v>1018400</v>
      </c>
      <c r="H60" s="25">
        <v>11</v>
      </c>
      <c r="I60" s="6" t="s">
        <v>178</v>
      </c>
      <c r="J60" s="24">
        <v>47</v>
      </c>
      <c r="K60" s="9">
        <f>H61</f>
        <v>12</v>
      </c>
      <c r="L60" s="6" t="s">
        <v>178</v>
      </c>
      <c r="M60" s="24">
        <f>J61</f>
        <v>28</v>
      </c>
      <c r="N60" s="22">
        <f>IF(H60=K60,M60-J60,60-(J60-M60))</f>
        <v>41</v>
      </c>
      <c r="O60" s="30">
        <f>(G60-F60)/N60</f>
        <v>375.60975609756099</v>
      </c>
      <c r="P60" s="29">
        <f>($G60-$F60)/7.48/($AF$50*$E60/$AE$43)*12</f>
        <v>0.91083626905044057</v>
      </c>
      <c r="Q60" s="29">
        <f>($G60-$F60)/7.48/($AF$50*$E60/$AE$43)*12</f>
        <v>0.91083626905044057</v>
      </c>
      <c r="R60" s="29">
        <f>($G60-$F60)/7.48/($AF$50*$E60/$AE$43)*12</f>
        <v>0.91083626905044057</v>
      </c>
      <c r="S60" s="29">
        <f>($G60-$F60)/7.48/($AF$50*$E60/$AE$43)*12</f>
        <v>0.91083626905044057</v>
      </c>
      <c r="U60" s="28">
        <f>U52+P60</f>
        <v>3.6055070503471631</v>
      </c>
      <c r="V60" s="28">
        <f>V52+Q60</f>
        <v>3.6055070503471631</v>
      </c>
      <c r="W60" s="28">
        <f>W52+R60</f>
        <v>3.6055070503471631</v>
      </c>
      <c r="X60" s="28">
        <f>X52+S60</f>
        <v>3.6055070503471631</v>
      </c>
    </row>
    <row r="61" spans="1:33" x14ac:dyDescent="0.2">
      <c r="A61" s="6">
        <v>116</v>
      </c>
      <c r="B61" s="6" t="s">
        <v>14</v>
      </c>
      <c r="C61" s="5">
        <v>36276</v>
      </c>
      <c r="D61" s="26">
        <v>3</v>
      </c>
      <c r="E61" s="26">
        <v>105</v>
      </c>
      <c r="F61" s="27">
        <v>1018400</v>
      </c>
      <c r="G61" s="26">
        <f>F62</f>
        <v>1033300</v>
      </c>
      <c r="H61" s="25">
        <v>12</v>
      </c>
      <c r="I61" s="6" t="s">
        <v>178</v>
      </c>
      <c r="J61" s="24">
        <v>28</v>
      </c>
      <c r="K61" s="9">
        <f>H62</f>
        <v>13</v>
      </c>
      <c r="L61" s="6" t="s">
        <v>178</v>
      </c>
      <c r="M61" s="24">
        <f>J62</f>
        <v>9</v>
      </c>
      <c r="N61" s="22">
        <f>IF(H61=K61,M61-J61,60-(J61-M61))</f>
        <v>41</v>
      </c>
      <c r="O61" s="30">
        <f>(G61-F61)/N61</f>
        <v>363.41463414634148</v>
      </c>
      <c r="P61" s="29">
        <f>($G61-$F61)/7.48/($AF$51*$E61/$AE$43)*12</f>
        <v>0.88126366291243929</v>
      </c>
      <c r="Q61" s="29">
        <f>($G61-$F61)/7.48/($AF$51*$E61/$AE$43)*12</f>
        <v>0.88126366291243929</v>
      </c>
      <c r="R61" s="29">
        <f>($G61-$F61)/7.48/($AF$51*$E61/$AE$43)*12</f>
        <v>0.88126366291243929</v>
      </c>
      <c r="S61" s="29">
        <f>($G61-$F61)/7.48/($AF$51*$E61/$AE$43)*12</f>
        <v>0.88126366291243929</v>
      </c>
      <c r="U61" s="28">
        <f>U53+P61</f>
        <v>3.1329761166136012</v>
      </c>
      <c r="V61" s="28">
        <f>V53+Q61</f>
        <v>3.1329761166136012</v>
      </c>
      <c r="W61" s="28">
        <f>W53+R61</f>
        <v>3.1329761166136012</v>
      </c>
      <c r="X61" s="28">
        <f>X53+S61</f>
        <v>3.1329761166136012</v>
      </c>
    </row>
    <row r="62" spans="1:33" x14ac:dyDescent="0.2">
      <c r="A62" s="6">
        <v>116</v>
      </c>
      <c r="B62" s="6" t="s">
        <v>14</v>
      </c>
      <c r="C62" s="5">
        <v>36276</v>
      </c>
      <c r="D62" s="26">
        <v>4</v>
      </c>
      <c r="E62" s="26">
        <v>105</v>
      </c>
      <c r="F62" s="27">
        <v>1033300</v>
      </c>
      <c r="G62" s="26">
        <f>F63</f>
        <v>1047600</v>
      </c>
      <c r="H62" s="25">
        <v>13</v>
      </c>
      <c r="I62" s="6" t="s">
        <v>178</v>
      </c>
      <c r="J62" s="24">
        <v>9</v>
      </c>
      <c r="K62" s="9">
        <f>H63</f>
        <v>13</v>
      </c>
      <c r="L62" s="6" t="s">
        <v>178</v>
      </c>
      <c r="M62" s="24">
        <f>J63</f>
        <v>47</v>
      </c>
      <c r="N62" s="22">
        <f>IF(H62=K62,M62-J62,60-(J62-M62))</f>
        <v>38</v>
      </c>
      <c r="O62" s="30">
        <f>(G62-F62)/N62</f>
        <v>376.31578947368422</v>
      </c>
      <c r="P62" s="29">
        <f>($G62-$F62)/7.48/($AF$52*$E62/$AE$43)*12</f>
        <v>0.88254942839670014</v>
      </c>
      <c r="Q62" s="29">
        <f>($G62-$F62)/7.48/($AF$52*$E62/$AE$43)*12</f>
        <v>0.88254942839670014</v>
      </c>
      <c r="R62" s="29">
        <f>($G62-$F62)/7.48/($AF$52*$E62/$AE$43)*12</f>
        <v>0.88254942839670014</v>
      </c>
      <c r="S62" s="29">
        <f>($G62-$F62)/7.48/($AF$52*$E62/$AE$43)*12</f>
        <v>0.88254942839670014</v>
      </c>
      <c r="U62" s="28">
        <f>U54+P62</f>
        <v>3.0744690050691901</v>
      </c>
      <c r="V62" s="28">
        <f>V54+Q62</f>
        <v>3.0744690050691901</v>
      </c>
      <c r="W62" s="28">
        <f>W54+R62</f>
        <v>3.0744690050691901</v>
      </c>
      <c r="X62" s="28">
        <f>X54+S62</f>
        <v>3.0744690050691901</v>
      </c>
    </row>
    <row r="63" spans="1:33" x14ac:dyDescent="0.2">
      <c r="A63" s="6">
        <v>116</v>
      </c>
      <c r="B63" s="6" t="s">
        <v>14</v>
      </c>
      <c r="C63" s="5">
        <v>36276</v>
      </c>
      <c r="D63" s="26" t="s">
        <v>179</v>
      </c>
      <c r="E63" s="26">
        <v>105</v>
      </c>
      <c r="F63" s="27">
        <v>1047600</v>
      </c>
      <c r="G63" s="26">
        <v>1050700</v>
      </c>
      <c r="H63" s="25">
        <v>13</v>
      </c>
      <c r="I63" s="6" t="s">
        <v>178</v>
      </c>
      <c r="J63" s="24">
        <v>47</v>
      </c>
      <c r="K63" s="9">
        <v>13</v>
      </c>
      <c r="L63" s="6" t="s">
        <v>178</v>
      </c>
      <c r="M63" s="23">
        <v>56</v>
      </c>
      <c r="N63" s="22">
        <f>IF(H63=K63,M63-J63,60-(J63-M63))</f>
        <v>9</v>
      </c>
      <c r="O63" s="21"/>
      <c r="U63" s="6"/>
      <c r="V63" s="6"/>
      <c r="W63" s="6"/>
      <c r="X63" s="6"/>
    </row>
    <row r="64" spans="1:33" ht="13.5" thickBot="1" x14ac:dyDescent="0.25">
      <c r="A64" s="20"/>
      <c r="B64" s="20"/>
      <c r="C64" s="20"/>
      <c r="D64" s="18"/>
      <c r="E64" s="18"/>
      <c r="F64" s="19"/>
      <c r="G64" s="18"/>
      <c r="H64" s="17"/>
      <c r="I64" s="12"/>
      <c r="J64" s="16"/>
      <c r="K64" s="15"/>
      <c r="L64" s="12"/>
      <c r="M64" s="14"/>
      <c r="N64" s="12" t="s">
        <v>175</v>
      </c>
      <c r="O64" s="13">
        <f>(G62-F58)/(SUM(N58:N62))</f>
        <v>373.40425531914894</v>
      </c>
      <c r="P64" s="12" t="s">
        <v>174</v>
      </c>
      <c r="Q64" s="12"/>
      <c r="R64" s="11">
        <f>AVERAGE(P59:S62)</f>
        <v>0.94793060327136813</v>
      </c>
      <c r="S64" s="12"/>
      <c r="T64" s="12"/>
      <c r="U64" s="12"/>
      <c r="V64" s="12"/>
      <c r="W64" s="12"/>
      <c r="X64" s="12"/>
    </row>
    <row r="65" spans="1:26" x14ac:dyDescent="0.2">
      <c r="C65" s="5"/>
      <c r="D65" s="26"/>
      <c r="E65" s="26"/>
      <c r="F65" s="59"/>
      <c r="G65" s="21"/>
      <c r="H65" s="25"/>
      <c r="I65" s="6"/>
      <c r="J65" s="36"/>
      <c r="K65" s="35"/>
      <c r="M65" s="34"/>
      <c r="N65" s="33"/>
      <c r="O65" s="32"/>
      <c r="P65" s="31"/>
      <c r="Q65" s="31"/>
      <c r="R65" s="31"/>
      <c r="S65" s="31"/>
    </row>
    <row r="66" spans="1:26" x14ac:dyDescent="0.2">
      <c r="A66" s="6">
        <v>118</v>
      </c>
      <c r="B66" s="6" t="s">
        <v>6</v>
      </c>
      <c r="C66" s="5">
        <v>36278</v>
      </c>
      <c r="D66" s="26" t="s">
        <v>179</v>
      </c>
      <c r="E66" s="26">
        <v>105</v>
      </c>
      <c r="F66" s="27">
        <v>1072800</v>
      </c>
      <c r="G66" s="26">
        <v>1074600</v>
      </c>
      <c r="H66" s="25">
        <v>10</v>
      </c>
      <c r="I66" s="6" t="s">
        <v>178</v>
      </c>
      <c r="J66" s="24">
        <v>27</v>
      </c>
      <c r="K66" s="9">
        <v>10</v>
      </c>
      <c r="L66" s="6" t="s">
        <v>178</v>
      </c>
      <c r="M66" s="24">
        <v>32</v>
      </c>
      <c r="N66" s="22">
        <f>IF(H66=K66,M66-J66,60-(J66-M66))</f>
        <v>5</v>
      </c>
      <c r="O66" s="30">
        <f>(G66-F66)/N66</f>
        <v>360</v>
      </c>
      <c r="P66" s="6"/>
      <c r="Q66" s="6"/>
      <c r="R66" s="6"/>
      <c r="S66" s="6"/>
      <c r="U66" s="6"/>
      <c r="V66" s="6"/>
      <c r="W66" s="6"/>
      <c r="X66" s="6"/>
    </row>
    <row r="67" spans="1:26" x14ac:dyDescent="0.2">
      <c r="A67" s="6">
        <v>118</v>
      </c>
      <c r="B67" s="6" t="s">
        <v>6</v>
      </c>
      <c r="C67" s="5">
        <v>36278</v>
      </c>
      <c r="D67" s="26">
        <v>1</v>
      </c>
      <c r="E67" s="26">
        <v>105</v>
      </c>
      <c r="F67" s="27">
        <v>1066800</v>
      </c>
      <c r="G67" s="26">
        <f>F66</f>
        <v>1072800</v>
      </c>
      <c r="H67" s="25">
        <v>10</v>
      </c>
      <c r="I67" s="6" t="s">
        <v>178</v>
      </c>
      <c r="J67" s="24">
        <v>11</v>
      </c>
      <c r="K67" s="9">
        <f>H66</f>
        <v>10</v>
      </c>
      <c r="L67" s="6" t="s">
        <v>178</v>
      </c>
      <c r="M67" s="23">
        <f>J66</f>
        <v>27</v>
      </c>
      <c r="N67" s="22">
        <f>IF(H67=K67,M67-J67,60-(J67-M67))</f>
        <v>16</v>
      </c>
      <c r="O67" s="30">
        <f>(G67-F67)/N67</f>
        <v>375</v>
      </c>
      <c r="P67" s="29">
        <f>($G67-$F67)/7.48/($AF$49*$E67/$AE$43)*12</f>
        <v>0.37030045946714696</v>
      </c>
      <c r="Q67" s="29">
        <f>($G67-$F67)/7.48/($AF$49*$E67/$AE$43)*12</f>
        <v>0.37030045946714696</v>
      </c>
      <c r="R67" s="29">
        <f>($G67-$F67)/7.48/($AF$49*$E67/$AE$43)*12</f>
        <v>0.37030045946714696</v>
      </c>
      <c r="S67" s="29">
        <f>($G67-$F67)/7.48/($AF$49*$E67/$AE$43)*12</f>
        <v>0.37030045946714696</v>
      </c>
      <c r="U67" s="28">
        <f>U59+P67</f>
        <v>3.8720111095425822</v>
      </c>
      <c r="V67" s="28">
        <f>V59+Q67</f>
        <v>3.8720111095425822</v>
      </c>
      <c r="W67" s="28">
        <f>W59+R67</f>
        <v>3.8720111095425822</v>
      </c>
      <c r="X67" s="28">
        <f>X59+S67</f>
        <v>3.8720111095425822</v>
      </c>
    </row>
    <row r="68" spans="1:26" x14ac:dyDescent="0.2">
      <c r="A68" s="6">
        <v>118</v>
      </c>
      <c r="B68" s="6" t="s">
        <v>6</v>
      </c>
      <c r="C68" s="5">
        <v>36278</v>
      </c>
      <c r="D68" s="26">
        <v>2</v>
      </c>
      <c r="E68" s="26">
        <v>105</v>
      </c>
      <c r="F68" s="27">
        <v>1061900</v>
      </c>
      <c r="G68" s="26">
        <f>F67</f>
        <v>1066800</v>
      </c>
      <c r="H68" s="25">
        <v>9</v>
      </c>
      <c r="I68" s="6" t="s">
        <v>178</v>
      </c>
      <c r="J68" s="24">
        <v>58</v>
      </c>
      <c r="K68" s="9">
        <f>H67</f>
        <v>10</v>
      </c>
      <c r="L68" s="6" t="s">
        <v>178</v>
      </c>
      <c r="M68" s="23">
        <f>J67</f>
        <v>11</v>
      </c>
      <c r="N68" s="22">
        <f>IF(H68=K68,M68-J68,60-(J68-M68))</f>
        <v>13</v>
      </c>
      <c r="O68" s="30">
        <f>(G68-F68)/N68</f>
        <v>376.92307692307691</v>
      </c>
      <c r="P68" s="29">
        <f>($G68-$F68)/7.48/($AF$50*$E68/$AE$43)*12</f>
        <v>0.28981154015241289</v>
      </c>
      <c r="Q68" s="29">
        <f>($G68-$F68)/7.48/($AF$50*$E68/$AE$43)*12</f>
        <v>0.28981154015241289</v>
      </c>
      <c r="R68" s="29">
        <f>($G68-$F68)/7.48/($AF$50*$E68/$AE$43)*12</f>
        <v>0.28981154015241289</v>
      </c>
      <c r="S68" s="29">
        <f>($G68-$F68)/7.48/($AF$50*$E68/$AE$43)*12</f>
        <v>0.28981154015241289</v>
      </c>
      <c r="U68" s="28">
        <f>U60+P68</f>
        <v>3.895318590499576</v>
      </c>
      <c r="V68" s="28">
        <f>V60+Q68</f>
        <v>3.895318590499576</v>
      </c>
      <c r="W68" s="28">
        <f>W60+R68</f>
        <v>3.895318590499576</v>
      </c>
      <c r="X68" s="28">
        <f>X60+S68</f>
        <v>3.895318590499576</v>
      </c>
    </row>
    <row r="69" spans="1:26" x14ac:dyDescent="0.2">
      <c r="A69" s="6">
        <v>118</v>
      </c>
      <c r="B69" s="6" t="s">
        <v>6</v>
      </c>
      <c r="C69" s="5">
        <v>36278</v>
      </c>
      <c r="D69" s="26">
        <v>3</v>
      </c>
      <c r="E69" s="26">
        <v>105</v>
      </c>
      <c r="F69" s="27">
        <v>1057400</v>
      </c>
      <c r="G69" s="26">
        <f>F68</f>
        <v>1061900</v>
      </c>
      <c r="H69" s="25">
        <v>9</v>
      </c>
      <c r="I69" s="6" t="s">
        <v>178</v>
      </c>
      <c r="J69" s="24">
        <v>46</v>
      </c>
      <c r="K69" s="9">
        <f>H68</f>
        <v>9</v>
      </c>
      <c r="L69" s="6" t="s">
        <v>178</v>
      </c>
      <c r="M69" s="23">
        <f>J68</f>
        <v>58</v>
      </c>
      <c r="N69" s="22">
        <f>IF(H69=K69,M69-J69,60-(J69-M69))</f>
        <v>12</v>
      </c>
      <c r="O69" s="30">
        <f>(G69-F69)/N69</f>
        <v>375</v>
      </c>
      <c r="P69" s="29">
        <f>($G69-$F69)/7.48/($AF$51*$E69/$AE$43)*12</f>
        <v>0.26615345524201189</v>
      </c>
      <c r="Q69" s="29">
        <f>($G69-$F69)/7.48/($AF$51*$E69/$AE$43)*12</f>
        <v>0.26615345524201189</v>
      </c>
      <c r="R69" s="29">
        <f>($G69-$F69)/7.48/($AF$51*$E69/$AE$43)*12</f>
        <v>0.26615345524201189</v>
      </c>
      <c r="S69" s="29">
        <f>($G69-$F69)/7.48/($AF$51*$E69/$AE$43)*12</f>
        <v>0.26615345524201189</v>
      </c>
      <c r="U69" s="28">
        <f>U61+P69</f>
        <v>3.3991295718556129</v>
      </c>
      <c r="V69" s="28">
        <f>V61+Q69</f>
        <v>3.3991295718556129</v>
      </c>
      <c r="W69" s="28">
        <f>W61+R69</f>
        <v>3.3991295718556129</v>
      </c>
      <c r="X69" s="28">
        <f>X61+S69</f>
        <v>3.3991295718556129</v>
      </c>
    </row>
    <row r="70" spans="1:26" x14ac:dyDescent="0.2">
      <c r="A70" s="6">
        <v>118</v>
      </c>
      <c r="B70" s="6" t="s">
        <v>6</v>
      </c>
      <c r="C70" s="5">
        <v>36278</v>
      </c>
      <c r="D70" s="26">
        <v>4</v>
      </c>
      <c r="E70" s="26">
        <v>105</v>
      </c>
      <c r="F70" s="27">
        <v>1052600</v>
      </c>
      <c r="G70" s="26">
        <f>F69</f>
        <v>1057400</v>
      </c>
      <c r="H70" s="25">
        <v>9</v>
      </c>
      <c r="I70" s="6" t="s">
        <v>178</v>
      </c>
      <c r="J70" s="24">
        <v>33</v>
      </c>
      <c r="K70" s="9">
        <f>H69</f>
        <v>9</v>
      </c>
      <c r="L70" s="6" t="s">
        <v>178</v>
      </c>
      <c r="M70" s="23">
        <f>J69</f>
        <v>46</v>
      </c>
      <c r="N70" s="22">
        <f>IF(H70=K70,M70-J70,60-(J70-M70))</f>
        <v>13</v>
      </c>
      <c r="O70" s="30">
        <f>(G70-F70)/N70</f>
        <v>369.23076923076923</v>
      </c>
      <c r="P70" s="29">
        <f>($G70-$F70)/7.48/($AF$52*$E70/$AE$43)*12</f>
        <v>0.29624036757371752</v>
      </c>
      <c r="Q70" s="29">
        <f>($G70-$F70)/7.48/($AF$52*$E70/$AE$43)*12</f>
        <v>0.29624036757371752</v>
      </c>
      <c r="R70" s="29">
        <f>($G70-$F70)/7.48/($AF$52*$E70/$AE$43)*12</f>
        <v>0.29624036757371752</v>
      </c>
      <c r="S70" s="29">
        <f>($G70-$F70)/7.48/($AF$52*$E70/$AE$43)*12</f>
        <v>0.29624036757371752</v>
      </c>
      <c r="U70" s="28">
        <f>U62+P70</f>
        <v>3.3707093726429074</v>
      </c>
      <c r="V70" s="28">
        <f>V62+Q70</f>
        <v>3.3707093726429074</v>
      </c>
      <c r="W70" s="28">
        <f>W62+R70</f>
        <v>3.3707093726429074</v>
      </c>
      <c r="X70" s="28">
        <f>X62+S70</f>
        <v>3.3707093726429074</v>
      </c>
    </row>
    <row r="71" spans="1:26" x14ac:dyDescent="0.2">
      <c r="A71" s="6">
        <v>118</v>
      </c>
      <c r="B71" s="6" t="s">
        <v>6</v>
      </c>
      <c r="C71" s="5">
        <v>36278</v>
      </c>
      <c r="D71" s="26" t="s">
        <v>180</v>
      </c>
      <c r="E71" s="26">
        <v>105</v>
      </c>
      <c r="F71" s="27">
        <v>1050900</v>
      </c>
      <c r="G71" s="26">
        <f>F70</f>
        <v>1052600</v>
      </c>
      <c r="H71" s="25">
        <v>9</v>
      </c>
      <c r="I71" s="6" t="s">
        <v>178</v>
      </c>
      <c r="J71" s="24">
        <v>29</v>
      </c>
      <c r="K71" s="9">
        <f>H70</f>
        <v>9</v>
      </c>
      <c r="L71" s="6" t="s">
        <v>178</v>
      </c>
      <c r="M71" s="23">
        <f>J70</f>
        <v>33</v>
      </c>
      <c r="N71" s="22">
        <f>IF(H71=K71,M71-J71,60-(J71-M71))</f>
        <v>4</v>
      </c>
      <c r="O71" s="21"/>
      <c r="U71" s="6"/>
      <c r="V71" s="6"/>
      <c r="W71" s="6"/>
      <c r="X71" s="6"/>
    </row>
    <row r="72" spans="1:26" ht="13.5" thickBot="1" x14ac:dyDescent="0.25">
      <c r="A72" s="20"/>
      <c r="B72" s="20"/>
      <c r="C72" s="20"/>
      <c r="D72" s="18"/>
      <c r="E72" s="18"/>
      <c r="F72" s="19"/>
      <c r="G72" s="18"/>
      <c r="H72" s="17"/>
      <c r="I72" s="12"/>
      <c r="J72" s="16"/>
      <c r="K72" s="15"/>
      <c r="L72" s="12"/>
      <c r="M72" s="14"/>
      <c r="N72" s="12" t="s">
        <v>175</v>
      </c>
      <c r="O72" s="13">
        <f>(G66-F70)/(SUM(N66:N70))</f>
        <v>372.88135593220341</v>
      </c>
      <c r="P72" s="12" t="s">
        <v>174</v>
      </c>
      <c r="Q72" s="12"/>
      <c r="R72" s="11">
        <f>AVERAGE(P67:S70)</f>
        <v>0.30562645560882223</v>
      </c>
      <c r="S72" s="12"/>
      <c r="T72" s="12"/>
      <c r="U72" s="12"/>
      <c r="V72" s="12"/>
      <c r="W72" s="12"/>
      <c r="X72" s="12"/>
    </row>
    <row r="73" spans="1:26" x14ac:dyDescent="0.2">
      <c r="C73" s="5"/>
      <c r="D73" s="26"/>
      <c r="E73" s="26"/>
      <c r="F73" s="59"/>
      <c r="G73" s="21"/>
      <c r="H73" s="25"/>
      <c r="I73" s="6"/>
      <c r="J73" s="36"/>
      <c r="K73" s="35"/>
      <c r="M73" s="34"/>
      <c r="N73" s="33"/>
      <c r="O73" s="32"/>
      <c r="P73" s="31"/>
      <c r="Q73" s="31"/>
      <c r="R73" s="31"/>
      <c r="S73" s="31"/>
      <c r="T73" s="31"/>
    </row>
    <row r="74" spans="1:26" x14ac:dyDescent="0.2">
      <c r="A74" s="6">
        <v>118</v>
      </c>
      <c r="B74" s="6" t="s">
        <v>6</v>
      </c>
      <c r="C74" s="5">
        <v>36278</v>
      </c>
      <c r="D74" s="26" t="s">
        <v>180</v>
      </c>
      <c r="E74" s="26">
        <v>105</v>
      </c>
      <c r="F74" s="27">
        <v>1076000</v>
      </c>
      <c r="G74" s="26">
        <f>F75</f>
        <v>1088400</v>
      </c>
      <c r="H74" s="25">
        <v>13</v>
      </c>
      <c r="I74" s="6" t="s">
        <v>178</v>
      </c>
      <c r="J74" s="24">
        <v>49</v>
      </c>
      <c r="K74" s="9">
        <f>H75</f>
        <v>14</v>
      </c>
      <c r="L74" s="6" t="s">
        <v>178</v>
      </c>
      <c r="M74" s="24">
        <f>J75</f>
        <v>22</v>
      </c>
      <c r="N74" s="22">
        <f>IF(H74=K74,M74-J74,60-(J74-M74))</f>
        <v>33</v>
      </c>
      <c r="O74" s="30">
        <f>(G74-F74)/N74</f>
        <v>375.75757575757575</v>
      </c>
      <c r="P74" s="6"/>
      <c r="Q74" s="6"/>
      <c r="R74" s="6"/>
      <c r="S74" s="6"/>
      <c r="U74" s="6"/>
      <c r="V74" s="6"/>
      <c r="W74" s="6"/>
      <c r="X74" s="6"/>
      <c r="Z74" s="1" t="s">
        <v>201</v>
      </c>
    </row>
    <row r="75" spans="1:26" x14ac:dyDescent="0.2">
      <c r="A75" s="6">
        <v>118</v>
      </c>
      <c r="B75" s="6" t="s">
        <v>6</v>
      </c>
      <c r="C75" s="5">
        <v>36278</v>
      </c>
      <c r="D75" s="26">
        <v>1</v>
      </c>
      <c r="E75" s="26">
        <v>105</v>
      </c>
      <c r="F75" s="27">
        <v>1088400</v>
      </c>
      <c r="G75" s="26">
        <f>F76</f>
        <v>1101700</v>
      </c>
      <c r="H75" s="25">
        <v>14</v>
      </c>
      <c r="I75" s="6" t="s">
        <v>178</v>
      </c>
      <c r="J75" s="24">
        <v>22</v>
      </c>
      <c r="K75" s="9">
        <f>H76</f>
        <v>14</v>
      </c>
      <c r="L75" s="6" t="s">
        <v>178</v>
      </c>
      <c r="M75" s="24">
        <f>J76</f>
        <v>58</v>
      </c>
      <c r="N75" s="22">
        <f>IF(H75=K75,M75-J75,60-(J75-M75))</f>
        <v>36</v>
      </c>
      <c r="O75" s="30">
        <f>(G75-F75)/N75</f>
        <v>369.44444444444446</v>
      </c>
      <c r="P75" s="29">
        <f>($G75-$F75)/7.48/($AF$49*$E75/$AE$43)*12</f>
        <v>0.82083268515217567</v>
      </c>
      <c r="Q75" s="29">
        <f>($G75-$F75)/7.48/($AF$49*$E75/$AE$43)*12</f>
        <v>0.82083268515217567</v>
      </c>
      <c r="R75" s="29">
        <f>($G75-$F75)/7.48/($AF$49*$E75/$AE$43)*12</f>
        <v>0.82083268515217567</v>
      </c>
      <c r="S75" s="29">
        <f>($G75-$F75)/7.48/($AF$49*$E75/$AE$43)*12</f>
        <v>0.82083268515217567</v>
      </c>
      <c r="U75" s="28">
        <f>U67+P75</f>
        <v>4.6928437946947579</v>
      </c>
      <c r="V75" s="28">
        <f>V67+Q75</f>
        <v>4.6928437946947579</v>
      </c>
      <c r="W75" s="28">
        <f>W67+R75</f>
        <v>4.6928437946947579</v>
      </c>
      <c r="X75" s="28">
        <f>X67+S75</f>
        <v>4.6928437946947579</v>
      </c>
    </row>
    <row r="76" spans="1:26" x14ac:dyDescent="0.2">
      <c r="A76" s="6">
        <v>118</v>
      </c>
      <c r="B76" s="6" t="s">
        <v>6</v>
      </c>
      <c r="C76" s="5">
        <v>36278</v>
      </c>
      <c r="D76" s="26">
        <v>2</v>
      </c>
      <c r="E76" s="26">
        <v>105</v>
      </c>
      <c r="F76" s="27">
        <v>1101700</v>
      </c>
      <c r="G76" s="26">
        <f>F77</f>
        <v>1117100</v>
      </c>
      <c r="H76" s="25">
        <v>14</v>
      </c>
      <c r="I76" s="6" t="s">
        <v>178</v>
      </c>
      <c r="J76" s="24">
        <v>58</v>
      </c>
      <c r="K76" s="9">
        <f>H77</f>
        <v>15</v>
      </c>
      <c r="L76" s="6" t="s">
        <v>178</v>
      </c>
      <c r="M76" s="24">
        <f>J77</f>
        <v>39</v>
      </c>
      <c r="N76" s="22">
        <f>IF(H76=K76,M76-J76,60-(J76-M76))</f>
        <v>41</v>
      </c>
      <c r="O76" s="30">
        <f>(G76-F76)/N76</f>
        <v>375.60975609756099</v>
      </c>
      <c r="P76" s="29">
        <f>($G76-$F76)/7.48/($AF$50*$E76/$AE$43)*12</f>
        <v>0.91083626905044057</v>
      </c>
      <c r="Q76" s="29">
        <f>($G76-$F76)/7.48/($AF$50*$E76/$AE$43)*12</f>
        <v>0.91083626905044057</v>
      </c>
      <c r="R76" s="29">
        <f>($G76-$F76)/7.48/($AF$50*$E76/$AE$43)*12</f>
        <v>0.91083626905044057</v>
      </c>
      <c r="S76" s="29">
        <f>($G76-$F76)/7.48/($AF$50*$E76/$AE$43)*12</f>
        <v>0.91083626905044057</v>
      </c>
      <c r="U76" s="28">
        <f>U68+P76</f>
        <v>4.8061548595500163</v>
      </c>
      <c r="V76" s="28">
        <f>V68+Q76</f>
        <v>4.8061548595500163</v>
      </c>
      <c r="W76" s="28">
        <f>W68+R76</f>
        <v>4.8061548595500163</v>
      </c>
      <c r="X76" s="28">
        <f>X68+S76</f>
        <v>4.8061548595500163</v>
      </c>
    </row>
    <row r="77" spans="1:26" x14ac:dyDescent="0.2">
      <c r="A77" s="6">
        <v>118</v>
      </c>
      <c r="B77" s="6" t="s">
        <v>6</v>
      </c>
      <c r="C77" s="5">
        <v>36278</v>
      </c>
      <c r="D77" s="26">
        <v>3</v>
      </c>
      <c r="E77" s="26">
        <v>105</v>
      </c>
      <c r="F77" s="27">
        <v>1117100</v>
      </c>
      <c r="G77" s="26">
        <f>F78</f>
        <v>1131500</v>
      </c>
      <c r="H77" s="25">
        <v>15</v>
      </c>
      <c r="I77" s="6" t="s">
        <v>178</v>
      </c>
      <c r="J77" s="24">
        <v>39</v>
      </c>
      <c r="K77" s="9">
        <f>H78</f>
        <v>16</v>
      </c>
      <c r="L77" s="6" t="s">
        <v>178</v>
      </c>
      <c r="M77" s="24">
        <f>J78</f>
        <v>18</v>
      </c>
      <c r="N77" s="22">
        <f>IF(H77=K77,M77-J77,60-(J77-M77))</f>
        <v>39</v>
      </c>
      <c r="O77" s="30">
        <f>(G77-F77)/N77</f>
        <v>369.23076923076923</v>
      </c>
      <c r="P77" s="29">
        <f>($G77-$F77)/7.48/($AF$51*$E77/$AE$43)*12</f>
        <v>0.85169105677443802</v>
      </c>
      <c r="Q77" s="29">
        <f>($G77-$F77)/7.48/($AF$51*$E77/$AE$43)*12</f>
        <v>0.85169105677443802</v>
      </c>
      <c r="R77" s="29">
        <f>($G77-$F77)/7.48/($AF$51*$E77/$AE$43)*12</f>
        <v>0.85169105677443802</v>
      </c>
      <c r="S77" s="29">
        <f>($G77-$F77)/7.48/($AF$51*$E77/$AE$43)*12</f>
        <v>0.85169105677443802</v>
      </c>
      <c r="U77" s="28">
        <f>U69+P77</f>
        <v>4.2508206286300512</v>
      </c>
      <c r="V77" s="28">
        <f>V69+Q77</f>
        <v>4.2508206286300512</v>
      </c>
      <c r="W77" s="28">
        <f>W69+R77</f>
        <v>4.2508206286300512</v>
      </c>
      <c r="X77" s="28">
        <f>X69+S77</f>
        <v>4.2508206286300512</v>
      </c>
    </row>
    <row r="78" spans="1:26" x14ac:dyDescent="0.2">
      <c r="A78" s="6">
        <v>118</v>
      </c>
      <c r="B78" s="6" t="s">
        <v>6</v>
      </c>
      <c r="C78" s="5">
        <v>36278</v>
      </c>
      <c r="D78" s="26">
        <v>4</v>
      </c>
      <c r="E78" s="26">
        <v>105</v>
      </c>
      <c r="F78" s="27">
        <v>1131500</v>
      </c>
      <c r="G78" s="26">
        <f>F79</f>
        <v>1146500</v>
      </c>
      <c r="H78" s="25">
        <v>16</v>
      </c>
      <c r="I78" s="6" t="s">
        <v>178</v>
      </c>
      <c r="J78" s="24">
        <v>18</v>
      </c>
      <c r="K78" s="9">
        <f>H79</f>
        <v>16</v>
      </c>
      <c r="L78" s="6" t="s">
        <v>178</v>
      </c>
      <c r="M78" s="24">
        <f>J79</f>
        <v>58</v>
      </c>
      <c r="N78" s="22">
        <f>IF(H78=K78,M78-J78,60-(J78-M78))</f>
        <v>40</v>
      </c>
      <c r="O78" s="30">
        <f>(G78-F78)/N78</f>
        <v>375</v>
      </c>
      <c r="P78" s="29">
        <f>($G78-$F78)/7.48/($AF$52*$E78/$AE$43)*12</f>
        <v>0.92575114866786734</v>
      </c>
      <c r="Q78" s="29">
        <f>($G78-$F78)/7.48/($AF$52*$E78/$AE$43)*12</f>
        <v>0.92575114866786734</v>
      </c>
      <c r="R78" s="29">
        <f>($G78-$F78)/7.48/($AF$52*$E78/$AE$43)*12</f>
        <v>0.92575114866786734</v>
      </c>
      <c r="S78" s="29">
        <f>($G78-$F78)/7.48/($AF$52*$E78/$AE$43)*12</f>
        <v>0.92575114866786734</v>
      </c>
      <c r="U78" s="28">
        <f>U70+P78</f>
        <v>4.2964605213107747</v>
      </c>
      <c r="V78" s="28">
        <f>V70+Q78</f>
        <v>4.2964605213107747</v>
      </c>
      <c r="W78" s="28">
        <f>W70+R78</f>
        <v>4.2964605213107747</v>
      </c>
      <c r="X78" s="28">
        <f>X70+S78</f>
        <v>4.2964605213107747</v>
      </c>
    </row>
    <row r="79" spans="1:26" x14ac:dyDescent="0.2">
      <c r="A79" s="6">
        <v>118</v>
      </c>
      <c r="B79" s="6" t="s">
        <v>6</v>
      </c>
      <c r="C79" s="5">
        <v>36278</v>
      </c>
      <c r="D79" s="26" t="s">
        <v>179</v>
      </c>
      <c r="E79" s="26">
        <v>105</v>
      </c>
      <c r="F79" s="27">
        <v>1146500</v>
      </c>
      <c r="G79" s="26">
        <v>1149000</v>
      </c>
      <c r="H79" s="25">
        <v>16</v>
      </c>
      <c r="I79" s="6" t="s">
        <v>178</v>
      </c>
      <c r="J79" s="24">
        <v>58</v>
      </c>
      <c r="K79" s="9">
        <v>17</v>
      </c>
      <c r="L79" s="6" t="s">
        <v>178</v>
      </c>
      <c r="M79" s="23">
        <v>5</v>
      </c>
      <c r="N79" s="22">
        <f>IF(H79=K79,M79-J79,60-(J79-M79))</f>
        <v>7</v>
      </c>
      <c r="O79" s="21"/>
      <c r="U79" s="6"/>
      <c r="V79" s="6"/>
      <c r="W79" s="6"/>
      <c r="X79" s="6"/>
    </row>
    <row r="80" spans="1:26" ht="13.5" thickBot="1" x14ac:dyDescent="0.25">
      <c r="A80" s="20"/>
      <c r="B80" s="20"/>
      <c r="C80" s="20"/>
      <c r="D80" s="18"/>
      <c r="E80" s="18"/>
      <c r="F80" s="19"/>
      <c r="G80" s="18"/>
      <c r="H80" s="17"/>
      <c r="I80" s="12"/>
      <c r="J80" s="16"/>
      <c r="K80" s="15"/>
      <c r="L80" s="12"/>
      <c r="M80" s="14"/>
      <c r="N80" s="12" t="s">
        <v>175</v>
      </c>
      <c r="O80" s="13">
        <f>(G78-F74)/(SUM(N74:N78))</f>
        <v>373.01587301587301</v>
      </c>
      <c r="P80" s="12" t="s">
        <v>174</v>
      </c>
      <c r="Q80" s="12"/>
      <c r="R80" s="11">
        <f>AVERAGE(P75:S78)</f>
        <v>0.8772777899112304</v>
      </c>
      <c r="S80" s="12"/>
      <c r="T80" s="12"/>
      <c r="U80" s="12"/>
      <c r="V80" s="12"/>
      <c r="W80" s="12"/>
      <c r="X80" s="12"/>
    </row>
    <row r="81" spans="1:26" x14ac:dyDescent="0.2">
      <c r="C81" s="5"/>
      <c r="D81" s="26"/>
      <c r="E81" s="26"/>
      <c r="F81" s="59"/>
      <c r="G81" s="21"/>
      <c r="H81" s="25"/>
      <c r="I81" s="6"/>
      <c r="J81" s="36"/>
      <c r="K81" s="35"/>
      <c r="M81" s="34"/>
      <c r="N81" s="33"/>
      <c r="O81" s="32"/>
      <c r="P81" s="31"/>
      <c r="Q81" s="31"/>
      <c r="R81" s="31"/>
      <c r="S81" s="31"/>
    </row>
    <row r="82" spans="1:26" x14ac:dyDescent="0.2">
      <c r="A82" s="6">
        <v>119</v>
      </c>
      <c r="B82" s="6" t="s">
        <v>129</v>
      </c>
      <c r="C82" s="5">
        <v>36279</v>
      </c>
      <c r="D82" s="26" t="s">
        <v>179</v>
      </c>
      <c r="E82" s="26">
        <v>105</v>
      </c>
      <c r="F82" s="27">
        <v>1216900</v>
      </c>
      <c r="G82" s="26">
        <v>1223100</v>
      </c>
      <c r="H82" s="25">
        <v>15</v>
      </c>
      <c r="I82" s="6" t="s">
        <v>178</v>
      </c>
      <c r="J82" s="24">
        <v>3</v>
      </c>
      <c r="K82" s="9">
        <v>15</v>
      </c>
      <c r="L82" s="6" t="s">
        <v>178</v>
      </c>
      <c r="M82" s="24">
        <v>20</v>
      </c>
      <c r="N82" s="22">
        <f>IF(H82=K82,M82-J82,60-(J82-M82))</f>
        <v>17</v>
      </c>
      <c r="O82" s="30">
        <f>(G82-F82)/N82</f>
        <v>364.70588235294116</v>
      </c>
      <c r="P82" s="6"/>
      <c r="Q82" s="6"/>
      <c r="R82" s="6"/>
      <c r="S82" s="6"/>
      <c r="U82" s="6"/>
      <c r="V82" s="6"/>
      <c r="W82" s="6"/>
      <c r="X82" s="6"/>
    </row>
    <row r="83" spans="1:26" x14ac:dyDescent="0.2">
      <c r="A83" s="6">
        <v>119</v>
      </c>
      <c r="B83" s="6" t="s">
        <v>129</v>
      </c>
      <c r="C83" s="5">
        <v>36279</v>
      </c>
      <c r="D83" s="26">
        <v>1</v>
      </c>
      <c r="E83" s="26">
        <v>105</v>
      </c>
      <c r="F83" s="27">
        <v>1202600</v>
      </c>
      <c r="G83" s="26">
        <f>F82</f>
        <v>1216900</v>
      </c>
      <c r="H83" s="25">
        <v>14</v>
      </c>
      <c r="I83" s="6" t="s">
        <v>178</v>
      </c>
      <c r="J83" s="24">
        <v>25</v>
      </c>
      <c r="K83" s="9">
        <f>H82</f>
        <v>15</v>
      </c>
      <c r="L83" s="6" t="s">
        <v>178</v>
      </c>
      <c r="M83" s="23">
        <f>J82</f>
        <v>3</v>
      </c>
      <c r="N83" s="22">
        <f>IF(H83=K83,M83-J83,60-(J83-M83))</f>
        <v>38</v>
      </c>
      <c r="O83" s="30">
        <f>(G83-F83)/N83</f>
        <v>376.31578947368422</v>
      </c>
      <c r="P83" s="29">
        <f>($G83-$F83)/7.48/($AF$49*$E83/$AE$43)*12</f>
        <v>0.88254942839670014</v>
      </c>
      <c r="Q83" s="29">
        <f>($G83-$F83)/7.48/($AF$49*$E83/$AE$43)*12</f>
        <v>0.88254942839670014</v>
      </c>
      <c r="R83" s="29">
        <f>($G83-$F83)/7.48/($AF$49*$E83/$AE$43)*12</f>
        <v>0.88254942839670014</v>
      </c>
      <c r="S83" s="29">
        <f>($G83-$F83)/7.48/($AF$49*$E83/$AE$43)*12</f>
        <v>0.88254942839670014</v>
      </c>
      <c r="U83" s="28">
        <f>U75+P83</f>
        <v>5.5753932230914582</v>
      </c>
      <c r="V83" s="28">
        <f>V75+Q83</f>
        <v>5.5753932230914582</v>
      </c>
      <c r="W83" s="28">
        <f>W75+R83</f>
        <v>5.5753932230914582</v>
      </c>
      <c r="X83" s="28">
        <f>X75+S83</f>
        <v>5.5753932230914582</v>
      </c>
    </row>
    <row r="84" spans="1:26" x14ac:dyDescent="0.2">
      <c r="A84" s="6">
        <v>119</v>
      </c>
      <c r="B84" s="6" t="s">
        <v>129</v>
      </c>
      <c r="C84" s="5">
        <v>36279</v>
      </c>
      <c r="D84" s="26">
        <v>2</v>
      </c>
      <c r="E84" s="26">
        <v>105</v>
      </c>
      <c r="F84" s="27">
        <v>1182700</v>
      </c>
      <c r="G84" s="26">
        <f>F83</f>
        <v>1202600</v>
      </c>
      <c r="H84" s="25">
        <v>13</v>
      </c>
      <c r="I84" s="6" t="s">
        <v>178</v>
      </c>
      <c r="J84" s="24">
        <v>31</v>
      </c>
      <c r="K84" s="9">
        <f>H83</f>
        <v>14</v>
      </c>
      <c r="L84" s="6" t="s">
        <v>178</v>
      </c>
      <c r="M84" s="23">
        <f>J83</f>
        <v>25</v>
      </c>
      <c r="N84" s="22">
        <f>IF(H84=K84,M84-J84,60-(J84-M84))</f>
        <v>54</v>
      </c>
      <c r="O84" s="30">
        <f>(G84-F84)/N84</f>
        <v>368.51851851851853</v>
      </c>
      <c r="P84" s="29">
        <f>($G84-$F84)/7.48/($AF$50*$E84/$AE$43)*12</f>
        <v>1.1769897242924525</v>
      </c>
      <c r="Q84" s="29">
        <f>($G84-$F84)/7.48/($AF$50*$E84/$AE$43)*12</f>
        <v>1.1769897242924525</v>
      </c>
      <c r="R84" s="29">
        <f>($G84-$F84)/7.48/($AF$50*$E84/$AE$43)*12</f>
        <v>1.1769897242924525</v>
      </c>
      <c r="S84" s="29">
        <f>($G84-$F84)/7.48/($AF$50*$E84/$AE$43)*12</f>
        <v>1.1769897242924525</v>
      </c>
      <c r="U84" s="28">
        <f>U76+P84</f>
        <v>5.9831445838424688</v>
      </c>
      <c r="V84" s="28">
        <f>V76+Q84</f>
        <v>5.9831445838424688</v>
      </c>
      <c r="W84" s="28">
        <f>W76+R84</f>
        <v>5.9831445838424688</v>
      </c>
      <c r="X84" s="28">
        <f>X76+S84</f>
        <v>5.9831445838424688</v>
      </c>
      <c r="Z84" s="1" t="s">
        <v>200</v>
      </c>
    </row>
    <row r="85" spans="1:26" x14ac:dyDescent="0.2">
      <c r="A85" s="6">
        <v>119</v>
      </c>
      <c r="B85" s="6" t="s">
        <v>129</v>
      </c>
      <c r="C85" s="5">
        <v>36279</v>
      </c>
      <c r="D85" s="26">
        <v>3</v>
      </c>
      <c r="E85" s="26">
        <v>105</v>
      </c>
      <c r="F85" s="27">
        <v>1168600</v>
      </c>
      <c r="G85" s="26">
        <f>F84</f>
        <v>1182700</v>
      </c>
      <c r="H85" s="25">
        <v>12</v>
      </c>
      <c r="I85" s="6" t="s">
        <v>178</v>
      </c>
      <c r="J85" s="24">
        <v>53</v>
      </c>
      <c r="K85" s="9">
        <f>H84</f>
        <v>13</v>
      </c>
      <c r="L85" s="6" t="s">
        <v>178</v>
      </c>
      <c r="M85" s="23">
        <f>J84</f>
        <v>31</v>
      </c>
      <c r="N85" s="22">
        <f>IF(H85=K85,M85-J85,60-(J85-M85))</f>
        <v>38</v>
      </c>
      <c r="O85" s="30">
        <f>(G85-F85)/N85</f>
        <v>371.05263157894734</v>
      </c>
      <c r="P85" s="29">
        <f>($G85-$F85)/7.48/($AF$51*$E85/$AE$43)*12</f>
        <v>0.83394749309163718</v>
      </c>
      <c r="Q85" s="29">
        <f>($G85-$F85)/7.48/($AF$51*$E85/$AE$43)*12</f>
        <v>0.83394749309163718</v>
      </c>
      <c r="R85" s="29">
        <f>($G85-$F85)/7.48/($AF$51*$E85/$AE$43)*12</f>
        <v>0.83394749309163718</v>
      </c>
      <c r="S85" s="29">
        <f>($G85-$F85)/7.48/($AF$51*$E85/$AE$43)*12</f>
        <v>0.83394749309163718</v>
      </c>
      <c r="U85" s="28">
        <f>U77+P85</f>
        <v>5.0847681217216882</v>
      </c>
      <c r="V85" s="28">
        <f>V77+Q85</f>
        <v>5.0847681217216882</v>
      </c>
      <c r="W85" s="28">
        <f>W77+R85</f>
        <v>5.0847681217216882</v>
      </c>
      <c r="X85" s="28">
        <f>X77+S85</f>
        <v>5.0847681217216882</v>
      </c>
    </row>
    <row r="86" spans="1:26" x14ac:dyDescent="0.2">
      <c r="A86" s="6">
        <v>119</v>
      </c>
      <c r="B86" s="6" t="s">
        <v>129</v>
      </c>
      <c r="C86" s="5">
        <v>36279</v>
      </c>
      <c r="D86" s="26">
        <v>4</v>
      </c>
      <c r="E86" s="26">
        <v>105</v>
      </c>
      <c r="F86" s="27">
        <v>1153200</v>
      </c>
      <c r="G86" s="26">
        <f>F85</f>
        <v>1168600</v>
      </c>
      <c r="H86" s="25">
        <v>12</v>
      </c>
      <c r="I86" s="6" t="s">
        <v>178</v>
      </c>
      <c r="J86" s="24">
        <v>12</v>
      </c>
      <c r="K86" s="9">
        <f>H85</f>
        <v>12</v>
      </c>
      <c r="L86" s="6" t="s">
        <v>178</v>
      </c>
      <c r="M86" s="23">
        <f>J85</f>
        <v>53</v>
      </c>
      <c r="N86" s="22">
        <f>IF(H86=K86,M86-J86,60-(J86-M86))</f>
        <v>41</v>
      </c>
      <c r="O86" s="30">
        <f>(G86-F86)/N86</f>
        <v>375.60975609756099</v>
      </c>
      <c r="P86" s="29">
        <f>($G86-$F86)/7.48/($AF$52*$E86/$AE$43)*12</f>
        <v>0.95043784596567704</v>
      </c>
      <c r="Q86" s="29">
        <f>($G86-$F86)/7.48/($AF$52*$E86/$AE$43)*12</f>
        <v>0.95043784596567704</v>
      </c>
      <c r="R86" s="29">
        <f>($G86-$F86)/7.48/($AF$52*$E86/$AE$43)*12</f>
        <v>0.95043784596567704</v>
      </c>
      <c r="S86" s="29">
        <f>($G86-$F86)/7.48/($AF$52*$E86/$AE$43)*12</f>
        <v>0.95043784596567704</v>
      </c>
      <c r="U86" s="28">
        <f>U78+P86</f>
        <v>5.2468983672764518</v>
      </c>
      <c r="V86" s="28">
        <f>V78+Q86</f>
        <v>5.2468983672764518</v>
      </c>
      <c r="W86" s="28">
        <f>W78+R86</f>
        <v>5.2468983672764518</v>
      </c>
      <c r="X86" s="28">
        <f>X78+S86</f>
        <v>5.2468983672764518</v>
      </c>
    </row>
    <row r="87" spans="1:26" x14ac:dyDescent="0.2">
      <c r="A87" s="6">
        <v>119</v>
      </c>
      <c r="B87" s="6" t="s">
        <v>129</v>
      </c>
      <c r="C87" s="5">
        <v>36279</v>
      </c>
      <c r="D87" s="26" t="s">
        <v>180</v>
      </c>
      <c r="E87" s="26">
        <v>105</v>
      </c>
      <c r="F87" s="27">
        <v>1149200</v>
      </c>
      <c r="G87" s="26">
        <f>F86</f>
        <v>1153200</v>
      </c>
      <c r="H87" s="25">
        <v>12</v>
      </c>
      <c r="I87" s="6" t="s">
        <v>178</v>
      </c>
      <c r="J87" s="24">
        <v>3</v>
      </c>
      <c r="K87" s="9">
        <f>H86</f>
        <v>12</v>
      </c>
      <c r="L87" s="6" t="s">
        <v>178</v>
      </c>
      <c r="M87" s="23">
        <f>J86</f>
        <v>12</v>
      </c>
      <c r="N87" s="22">
        <f>IF(H87=K87,M87-J87,60-(J87-M87))</f>
        <v>9</v>
      </c>
      <c r="O87" s="21"/>
      <c r="U87" s="6"/>
      <c r="V87" s="6"/>
      <c r="W87" s="6"/>
      <c r="X87" s="6"/>
    </row>
    <row r="88" spans="1:26" ht="13.5" thickBot="1" x14ac:dyDescent="0.25">
      <c r="A88" s="20"/>
      <c r="B88" s="20"/>
      <c r="C88" s="20"/>
      <c r="D88" s="18"/>
      <c r="E88" s="18"/>
      <c r="F88" s="19"/>
      <c r="G88" s="18"/>
      <c r="H88" s="17"/>
      <c r="I88" s="12"/>
      <c r="J88" s="16"/>
      <c r="K88" s="15"/>
      <c r="L88" s="12"/>
      <c r="M88" s="14"/>
      <c r="N88" s="12" t="s">
        <v>175</v>
      </c>
      <c r="O88" s="13">
        <f>(G82-F86)/(SUM(N82:N86))</f>
        <v>371.80851063829789</v>
      </c>
      <c r="P88" s="12" t="s">
        <v>174</v>
      </c>
      <c r="Q88" s="12"/>
      <c r="R88" s="11">
        <f>AVERAGE(P83:S86)</f>
        <v>0.96098112293661675</v>
      </c>
      <c r="S88" s="12"/>
      <c r="T88" s="12"/>
      <c r="U88" s="12"/>
      <c r="V88" s="12"/>
      <c r="W88" s="12"/>
      <c r="X88" s="12"/>
    </row>
    <row r="89" spans="1:26" x14ac:dyDescent="0.2">
      <c r="C89" s="5"/>
      <c r="D89" s="26"/>
      <c r="E89" s="26"/>
      <c r="F89" s="59"/>
      <c r="G89" s="21"/>
      <c r="H89" s="25"/>
      <c r="I89" s="6"/>
      <c r="J89" s="36"/>
      <c r="K89" s="35"/>
      <c r="M89" s="34"/>
      <c r="N89" s="33"/>
      <c r="O89" s="32"/>
      <c r="P89" s="31"/>
      <c r="Q89" s="31"/>
      <c r="R89" s="31"/>
      <c r="S89" s="31"/>
      <c r="T89" s="31"/>
    </row>
    <row r="90" spans="1:26" x14ac:dyDescent="0.2">
      <c r="A90" s="6">
        <v>120</v>
      </c>
      <c r="B90" s="6" t="s">
        <v>1</v>
      </c>
      <c r="C90" s="5">
        <v>36280</v>
      </c>
      <c r="D90" s="26" t="s">
        <v>180</v>
      </c>
      <c r="E90" s="26">
        <v>105</v>
      </c>
      <c r="F90" s="27">
        <v>1222200</v>
      </c>
      <c r="G90" s="26">
        <f>F91</f>
        <v>1230300</v>
      </c>
      <c r="H90" s="25">
        <v>9</v>
      </c>
      <c r="I90" s="6" t="s">
        <v>178</v>
      </c>
      <c r="J90" s="24">
        <v>30</v>
      </c>
      <c r="K90" s="9">
        <f>H91</f>
        <v>9</v>
      </c>
      <c r="L90" s="6" t="s">
        <v>178</v>
      </c>
      <c r="M90" s="24">
        <f>J91</f>
        <v>47</v>
      </c>
      <c r="N90" s="22">
        <f>IF(H90=K90,M90-J90,60-(J90-M90))</f>
        <v>17</v>
      </c>
      <c r="O90" s="30">
        <f>(G90-F90)/N90</f>
        <v>476.47058823529414</v>
      </c>
      <c r="P90" s="6"/>
      <c r="Q90" s="6"/>
      <c r="R90" s="6"/>
      <c r="S90" s="6"/>
      <c r="U90" s="6"/>
      <c r="V90" s="6"/>
      <c r="W90" s="6"/>
      <c r="X90" s="6"/>
    </row>
    <row r="91" spans="1:26" x14ac:dyDescent="0.2">
      <c r="A91" s="6">
        <v>120</v>
      </c>
      <c r="B91" s="6" t="s">
        <v>1</v>
      </c>
      <c r="C91" s="5">
        <v>36280</v>
      </c>
      <c r="D91" s="26">
        <v>1</v>
      </c>
      <c r="E91" s="26">
        <v>105</v>
      </c>
      <c r="F91" s="27">
        <v>1230300</v>
      </c>
      <c r="G91" s="26">
        <f>F92</f>
        <v>1244100</v>
      </c>
      <c r="H91" s="25">
        <v>9</v>
      </c>
      <c r="I91" s="6" t="s">
        <v>178</v>
      </c>
      <c r="J91" s="24">
        <v>47</v>
      </c>
      <c r="K91" s="9">
        <f>H92</f>
        <v>10</v>
      </c>
      <c r="L91" s="6" t="s">
        <v>178</v>
      </c>
      <c r="M91" s="24">
        <f>J92</f>
        <v>26</v>
      </c>
      <c r="N91" s="22">
        <f>IF(H91=K91,M91-J91,60-(J91-M91))</f>
        <v>39</v>
      </c>
      <c r="O91" s="30">
        <f>(G91-F91)/N91</f>
        <v>353.84615384615387</v>
      </c>
      <c r="P91" s="29">
        <f>($G91-$F91)/7.48/($AF$49*$E91/$AE$43)*12</f>
        <v>0.85169105677443779</v>
      </c>
      <c r="Q91" s="29">
        <f>($G91-$F91)/7.48/($AF$49*$E91/$AE$43)*12</f>
        <v>0.85169105677443779</v>
      </c>
      <c r="R91" s="29">
        <f>($G91-$F91)/7.48/($AF$49*$E91/$AE$43)*12</f>
        <v>0.85169105677443779</v>
      </c>
      <c r="S91" s="29">
        <f>($G91-$F91)/7.48/($AF$49*$E91/$AE$43)*12</f>
        <v>0.85169105677443779</v>
      </c>
      <c r="U91" s="28">
        <f>U83+P91</f>
        <v>6.4270842798658965</v>
      </c>
      <c r="V91" s="28">
        <f>V83+Q91</f>
        <v>6.4270842798658965</v>
      </c>
      <c r="W91" s="28">
        <f>W83+R91</f>
        <v>6.4270842798658965</v>
      </c>
      <c r="X91" s="28">
        <f>X83+S91</f>
        <v>6.4270842798658965</v>
      </c>
    </row>
    <row r="92" spans="1:26" x14ac:dyDescent="0.2">
      <c r="A92" s="6">
        <v>120</v>
      </c>
      <c r="B92" s="6" t="s">
        <v>1</v>
      </c>
      <c r="C92" s="5">
        <v>36280</v>
      </c>
      <c r="D92" s="26">
        <v>2</v>
      </c>
      <c r="E92" s="26">
        <v>105</v>
      </c>
      <c r="F92" s="27">
        <v>1244100</v>
      </c>
      <c r="G92" s="26">
        <f>F93</f>
        <v>1258800</v>
      </c>
      <c r="H92" s="25">
        <v>10</v>
      </c>
      <c r="I92" s="6" t="s">
        <v>178</v>
      </c>
      <c r="J92" s="24">
        <v>26</v>
      </c>
      <c r="K92" s="9">
        <f>H93</f>
        <v>11</v>
      </c>
      <c r="L92" s="6" t="s">
        <v>178</v>
      </c>
      <c r="M92" s="24">
        <f>J93</f>
        <v>3</v>
      </c>
      <c r="N92" s="22">
        <f>IF(H92=K92,M92-J92,60-(J92-M92))</f>
        <v>37</v>
      </c>
      <c r="O92" s="30">
        <f>(G92-F92)/N92</f>
        <v>397.29729729729729</v>
      </c>
      <c r="P92" s="29">
        <f>($G92-$F92)/7.48/($AF$50*$E92/$AE$43)*12</f>
        <v>0.86943462045723874</v>
      </c>
      <c r="Q92" s="29">
        <f>($G92-$F92)/7.48/($AF$50*$E92/$AE$43)*12</f>
        <v>0.86943462045723874</v>
      </c>
      <c r="R92" s="29">
        <f>($G92-$F92)/7.48/($AF$50*$E92/$AE$43)*12</f>
        <v>0.86943462045723874</v>
      </c>
      <c r="S92" s="29">
        <f>($G92-$F92)/7.48/($AF$50*$E92/$AE$43)*12</f>
        <v>0.86943462045723874</v>
      </c>
      <c r="U92" s="28">
        <f>U84+P92</f>
        <v>6.8525792042997073</v>
      </c>
      <c r="V92" s="28">
        <f>V84+Q92</f>
        <v>6.8525792042997073</v>
      </c>
      <c r="W92" s="28">
        <f>W84+R92</f>
        <v>6.8525792042997073</v>
      </c>
      <c r="X92" s="28">
        <f>X84+S92</f>
        <v>6.8525792042997073</v>
      </c>
    </row>
    <row r="93" spans="1:26" x14ac:dyDescent="0.2">
      <c r="A93" s="6">
        <v>120</v>
      </c>
      <c r="B93" s="6" t="s">
        <v>1</v>
      </c>
      <c r="C93" s="5">
        <v>36280</v>
      </c>
      <c r="D93" s="26">
        <v>3</v>
      </c>
      <c r="E93" s="26">
        <v>105</v>
      </c>
      <c r="F93" s="27">
        <v>1258800</v>
      </c>
      <c r="G93" s="26">
        <f>F94</f>
        <v>1273400</v>
      </c>
      <c r="H93" s="25">
        <v>11</v>
      </c>
      <c r="I93" s="6" t="s">
        <v>178</v>
      </c>
      <c r="J93" s="24">
        <v>3</v>
      </c>
      <c r="K93" s="9">
        <f>H94</f>
        <v>11</v>
      </c>
      <c r="L93" s="6" t="s">
        <v>178</v>
      </c>
      <c r="M93" s="24">
        <f>J94</f>
        <v>42</v>
      </c>
      <c r="N93" s="22">
        <f>IF(H93=K93,M93-J93,60-(J93-M93))</f>
        <v>39</v>
      </c>
      <c r="O93" s="30">
        <f>(G93-F93)/N93</f>
        <v>374.35897435897436</v>
      </c>
      <c r="P93" s="29">
        <f>($G93-$F93)/7.48/($AF$51*$E93/$AE$43)*12</f>
        <v>0.86352009922963846</v>
      </c>
      <c r="Q93" s="29">
        <f>($G93-$F93)/7.48/($AF$51*$E93/$AE$43)*12</f>
        <v>0.86352009922963846</v>
      </c>
      <c r="R93" s="29">
        <f>($G93-$F93)/7.48/($AF$51*$E93/$AE$43)*12</f>
        <v>0.86352009922963846</v>
      </c>
      <c r="S93" s="29">
        <f>($G93-$F93)/7.48/($AF$51*$E93/$AE$43)*12</f>
        <v>0.86352009922963846</v>
      </c>
      <c r="U93" s="28">
        <f>U85+P93</f>
        <v>5.9482882209513264</v>
      </c>
      <c r="V93" s="28">
        <f>V85+Q93</f>
        <v>5.9482882209513264</v>
      </c>
      <c r="W93" s="28">
        <f>W85+R93</f>
        <v>5.9482882209513264</v>
      </c>
      <c r="X93" s="28">
        <f>X85+S93</f>
        <v>5.9482882209513264</v>
      </c>
    </row>
    <row r="94" spans="1:26" x14ac:dyDescent="0.2">
      <c r="A94" s="6">
        <v>120</v>
      </c>
      <c r="B94" s="6" t="s">
        <v>1</v>
      </c>
      <c r="C94" s="5">
        <v>36280</v>
      </c>
      <c r="D94" s="26">
        <v>4</v>
      </c>
      <c r="E94" s="26">
        <v>105</v>
      </c>
      <c r="F94" s="27">
        <v>1273400</v>
      </c>
      <c r="G94" s="26">
        <f>F95</f>
        <v>1288000</v>
      </c>
      <c r="H94" s="25">
        <v>11</v>
      </c>
      <c r="I94" s="6" t="s">
        <v>178</v>
      </c>
      <c r="J94" s="24">
        <v>42</v>
      </c>
      <c r="K94" s="9">
        <f>H95</f>
        <v>12</v>
      </c>
      <c r="L94" s="6" t="s">
        <v>178</v>
      </c>
      <c r="M94" s="24">
        <f>J95</f>
        <v>20</v>
      </c>
      <c r="N94" s="22">
        <f>IF(H94=K94,M94-J94,60-(J94-M94))</f>
        <v>38</v>
      </c>
      <c r="O94" s="30">
        <f>(G94-F94)/N94</f>
        <v>384.21052631578948</v>
      </c>
      <c r="P94" s="29">
        <f>($G94-$F94)/7.48/($AF$52*$E94/$AE$43)*12</f>
        <v>0.90106445137005742</v>
      </c>
      <c r="Q94" s="29">
        <f>($G94-$F94)/7.48/($AF$52*$E94/$AE$43)*12</f>
        <v>0.90106445137005742</v>
      </c>
      <c r="R94" s="29">
        <f>($G94-$F94)/7.48/($AF$52*$E94/$AE$43)*12</f>
        <v>0.90106445137005742</v>
      </c>
      <c r="S94" s="29">
        <f>($G94-$F94)/7.48/($AF$52*$E94/$AE$43)*12</f>
        <v>0.90106445137005742</v>
      </c>
      <c r="U94" s="28">
        <f>U86+P94</f>
        <v>6.1479628186465094</v>
      </c>
      <c r="V94" s="28">
        <f>V86+Q94</f>
        <v>6.1479628186465094</v>
      </c>
      <c r="W94" s="28">
        <f>W86+R94</f>
        <v>6.1479628186465094</v>
      </c>
      <c r="X94" s="28">
        <f>X86+S94</f>
        <v>6.1479628186465094</v>
      </c>
    </row>
    <row r="95" spans="1:26" x14ac:dyDescent="0.2">
      <c r="A95" s="6">
        <v>120</v>
      </c>
      <c r="B95" s="6" t="s">
        <v>1</v>
      </c>
      <c r="C95" s="5">
        <v>36280</v>
      </c>
      <c r="D95" s="26" t="s">
        <v>179</v>
      </c>
      <c r="E95" s="26">
        <v>105</v>
      </c>
      <c r="F95" s="27">
        <v>1288000</v>
      </c>
      <c r="G95" s="26">
        <v>1290300</v>
      </c>
      <c r="H95" s="25">
        <v>12</v>
      </c>
      <c r="I95" s="6" t="s">
        <v>178</v>
      </c>
      <c r="J95" s="24">
        <v>20</v>
      </c>
      <c r="K95" s="9">
        <v>12</v>
      </c>
      <c r="L95" s="6" t="s">
        <v>178</v>
      </c>
      <c r="M95" s="23">
        <v>26</v>
      </c>
      <c r="N95" s="22">
        <f>IF(H95=K95,M95-J95,60-(J95-M95))</f>
        <v>6</v>
      </c>
      <c r="O95" s="21"/>
      <c r="U95" s="6"/>
      <c r="V95" s="6"/>
      <c r="W95" s="6"/>
      <c r="X95" s="6"/>
    </row>
    <row r="96" spans="1:26" ht="13.5" thickBot="1" x14ac:dyDescent="0.25">
      <c r="A96" s="20"/>
      <c r="B96" s="20"/>
      <c r="C96" s="20"/>
      <c r="D96" s="18"/>
      <c r="E96" s="18"/>
      <c r="F96" s="19"/>
      <c r="G96" s="18"/>
      <c r="H96" s="17"/>
      <c r="I96" s="12"/>
      <c r="J96" s="16"/>
      <c r="K96" s="15"/>
      <c r="L96" s="12"/>
      <c r="M96" s="14"/>
      <c r="N96" s="12" t="s">
        <v>175</v>
      </c>
      <c r="O96" s="13">
        <f>(G94-F90)/(SUM(N90:N94))</f>
        <v>387.05882352941177</v>
      </c>
      <c r="P96" s="12" t="s">
        <v>174</v>
      </c>
      <c r="Q96" s="12"/>
      <c r="R96" s="11">
        <f>AVERAGE(P91:S94)</f>
        <v>0.87142755695784313</v>
      </c>
      <c r="S96" s="12"/>
      <c r="T96" s="12"/>
      <c r="U96" s="12" t="s">
        <v>173</v>
      </c>
      <c r="V96" s="12"/>
      <c r="W96" s="11">
        <f>AVERAGE(U91:X94)</f>
        <v>6.3439786309408586</v>
      </c>
      <c r="X96" s="12"/>
    </row>
    <row r="97" spans="1:24" x14ac:dyDescent="0.2">
      <c r="C97" s="5"/>
      <c r="D97" s="26"/>
      <c r="E97" s="26"/>
      <c r="F97" s="59"/>
      <c r="G97" s="21"/>
      <c r="H97" s="25"/>
      <c r="I97" s="6"/>
      <c r="J97" s="36"/>
      <c r="K97" s="35"/>
      <c r="M97" s="34"/>
      <c r="N97" s="33"/>
      <c r="O97" s="32"/>
      <c r="P97" s="31"/>
      <c r="Q97" s="31"/>
      <c r="R97" s="31"/>
      <c r="S97" s="31"/>
      <c r="T97" s="31"/>
    </row>
    <row r="98" spans="1:24" x14ac:dyDescent="0.2">
      <c r="A98" s="6">
        <v>124</v>
      </c>
      <c r="B98" s="6" t="s">
        <v>10</v>
      </c>
      <c r="C98" s="5">
        <v>36284</v>
      </c>
      <c r="D98" s="26" t="s">
        <v>180</v>
      </c>
      <c r="E98" s="26">
        <v>105</v>
      </c>
      <c r="F98" s="27">
        <v>1290400</v>
      </c>
      <c r="G98" s="26">
        <f>F99</f>
        <v>1297900</v>
      </c>
      <c r="H98" s="25">
        <v>11</v>
      </c>
      <c r="I98" s="6" t="s">
        <v>178</v>
      </c>
      <c r="J98" s="24">
        <v>42</v>
      </c>
      <c r="K98" s="9">
        <f>H99</f>
        <v>12</v>
      </c>
      <c r="L98" s="6" t="s">
        <v>178</v>
      </c>
      <c r="M98" s="24">
        <f>J99</f>
        <v>2</v>
      </c>
      <c r="N98" s="22">
        <f>IF(H98=K98,M98-J98,60-(J98-M98))</f>
        <v>20</v>
      </c>
      <c r="O98" s="30">
        <f>(G98-F98)/N98</f>
        <v>375</v>
      </c>
      <c r="P98" s="6"/>
      <c r="Q98" s="6"/>
      <c r="R98" s="6"/>
      <c r="S98" s="6"/>
      <c r="U98" s="6"/>
      <c r="V98" s="6"/>
      <c r="W98" s="6"/>
      <c r="X98" s="6"/>
    </row>
    <row r="99" spans="1:24" x14ac:dyDescent="0.2">
      <c r="A99" s="6">
        <v>124</v>
      </c>
      <c r="B99" s="6" t="s">
        <v>10</v>
      </c>
      <c r="C99" s="5">
        <v>36284</v>
      </c>
      <c r="D99" s="26">
        <v>1</v>
      </c>
      <c r="E99" s="26">
        <v>105</v>
      </c>
      <c r="F99" s="27">
        <v>1297900</v>
      </c>
      <c r="G99" s="26">
        <f>F100</f>
        <v>1312100</v>
      </c>
      <c r="H99" s="25">
        <v>12</v>
      </c>
      <c r="I99" s="6" t="s">
        <v>178</v>
      </c>
      <c r="J99" s="24">
        <v>2</v>
      </c>
      <c r="K99" s="9">
        <f>H100</f>
        <v>12</v>
      </c>
      <c r="L99" s="6" t="s">
        <v>178</v>
      </c>
      <c r="M99" s="24">
        <f>J100</f>
        <v>41</v>
      </c>
      <c r="N99" s="22">
        <f>IF(H99=K99,M99-J99,60-(J99-M99))</f>
        <v>39</v>
      </c>
      <c r="O99" s="30">
        <f>(G99-F99)/N99</f>
        <v>364.10256410256409</v>
      </c>
      <c r="P99" s="29">
        <f>($G99-$F99)/7.48/($AF$49*$E99/$AE$43)*12</f>
        <v>0.87637775407224772</v>
      </c>
      <c r="Q99" s="29">
        <f>($G99-$F99)/7.48/($AF$49*$E99/$AE$43)*12</f>
        <v>0.87637775407224772</v>
      </c>
      <c r="R99" s="29">
        <f>($G99-$F99)/7.48/($AF$49*$E99/$AE$43)*12</f>
        <v>0.87637775407224772</v>
      </c>
      <c r="S99" s="29">
        <f>($G99-$F99)/7.48/($AF$49*$E99/$AE$43)*12</f>
        <v>0.87637775407224772</v>
      </c>
      <c r="U99" s="28">
        <f>U91+P99</f>
        <v>7.3034620339381444</v>
      </c>
      <c r="V99" s="28">
        <f>V91+Q99</f>
        <v>7.3034620339381444</v>
      </c>
      <c r="W99" s="28">
        <f>W91+R99</f>
        <v>7.3034620339381444</v>
      </c>
      <c r="X99" s="28">
        <f>X91+S99</f>
        <v>7.3034620339381444</v>
      </c>
    </row>
    <row r="100" spans="1:24" x14ac:dyDescent="0.2">
      <c r="A100" s="6">
        <v>124</v>
      </c>
      <c r="B100" s="6" t="s">
        <v>10</v>
      </c>
      <c r="C100" s="5">
        <v>36284</v>
      </c>
      <c r="D100" s="26">
        <v>2</v>
      </c>
      <c r="E100" s="26">
        <v>105</v>
      </c>
      <c r="F100" s="27">
        <v>1312100</v>
      </c>
      <c r="G100" s="26">
        <f>F101</f>
        <v>1326700</v>
      </c>
      <c r="H100" s="25">
        <v>12</v>
      </c>
      <c r="I100" s="6" t="s">
        <v>178</v>
      </c>
      <c r="J100" s="24">
        <v>41</v>
      </c>
      <c r="K100" s="9">
        <f>H101</f>
        <v>13</v>
      </c>
      <c r="L100" s="6" t="s">
        <v>178</v>
      </c>
      <c r="M100" s="24">
        <f>J101</f>
        <v>21</v>
      </c>
      <c r="N100" s="22">
        <f>IF(H100=K100,M100-J100,60-(J100-M100))</f>
        <v>40</v>
      </c>
      <c r="O100" s="30">
        <f>(G100-F100)/N100</f>
        <v>365</v>
      </c>
      <c r="P100" s="29">
        <f>($G100-$F100)/7.48/($AF$50*$E100/$AE$43)*12</f>
        <v>0.86352009922963846</v>
      </c>
      <c r="Q100" s="29">
        <f>($G100-$F100)/7.48/($AF$50*$E100/$AE$43)*12</f>
        <v>0.86352009922963846</v>
      </c>
      <c r="R100" s="29">
        <f>($G100-$F100)/7.48/($AF$50*$E100/$AE$43)*12</f>
        <v>0.86352009922963846</v>
      </c>
      <c r="S100" s="29">
        <f>($G100-$F100)/7.48/($AF$50*$E100/$AE$43)*12</f>
        <v>0.86352009922963846</v>
      </c>
      <c r="U100" s="28">
        <f>U92+P100</f>
        <v>7.7160993035293455</v>
      </c>
      <c r="V100" s="28">
        <f>V92+Q100</f>
        <v>7.7160993035293455</v>
      </c>
      <c r="W100" s="28">
        <f>W92+R100</f>
        <v>7.7160993035293455</v>
      </c>
      <c r="X100" s="28">
        <f>X92+S100</f>
        <v>7.7160993035293455</v>
      </c>
    </row>
    <row r="101" spans="1:24" x14ac:dyDescent="0.2">
      <c r="A101" s="6">
        <v>124</v>
      </c>
      <c r="B101" s="6" t="s">
        <v>10</v>
      </c>
      <c r="C101" s="5">
        <v>36284</v>
      </c>
      <c r="D101" s="26">
        <v>3</v>
      </c>
      <c r="E101" s="26">
        <v>105</v>
      </c>
      <c r="F101" s="27">
        <v>1326700</v>
      </c>
      <c r="G101" s="26">
        <f>F102</f>
        <v>1342100</v>
      </c>
      <c r="H101" s="25">
        <v>13</v>
      </c>
      <c r="I101" s="6" t="s">
        <v>178</v>
      </c>
      <c r="J101" s="24">
        <v>21</v>
      </c>
      <c r="K101" s="9">
        <f>H102</f>
        <v>14</v>
      </c>
      <c r="L101" s="6" t="s">
        <v>178</v>
      </c>
      <c r="M101" s="24">
        <f>J102</f>
        <v>3</v>
      </c>
      <c r="N101" s="22">
        <f>IF(H101=K101,M101-J101,60-(J101-M101))</f>
        <v>42</v>
      </c>
      <c r="O101" s="30">
        <f>(G101-F101)/N101</f>
        <v>366.66666666666669</v>
      </c>
      <c r="P101" s="29">
        <f>($G101-$F101)/7.48/($AF$51*$E101/$AE$43)*12</f>
        <v>0.91083626905044057</v>
      </c>
      <c r="Q101" s="29">
        <f>($G101-$F101)/7.48/($AF$51*$E101/$AE$43)*12</f>
        <v>0.91083626905044057</v>
      </c>
      <c r="R101" s="29">
        <f>($G101-$F101)/7.48/($AF$51*$E101/$AE$43)*12</f>
        <v>0.91083626905044057</v>
      </c>
      <c r="S101" s="29">
        <f>($G101-$F101)/7.48/($AF$51*$E101/$AE$43)*12</f>
        <v>0.91083626905044057</v>
      </c>
      <c r="U101" s="28">
        <f>U93+P101</f>
        <v>6.8591244900017667</v>
      </c>
      <c r="V101" s="28">
        <f>V93+Q101</f>
        <v>6.8591244900017667</v>
      </c>
      <c r="W101" s="28">
        <f>W93+R101</f>
        <v>6.8591244900017667</v>
      </c>
      <c r="X101" s="28">
        <f>X93+S101</f>
        <v>6.8591244900017667</v>
      </c>
    </row>
    <row r="102" spans="1:24" x14ac:dyDescent="0.2">
      <c r="A102" s="6">
        <v>124</v>
      </c>
      <c r="B102" s="6" t="s">
        <v>10</v>
      </c>
      <c r="C102" s="5">
        <v>36284</v>
      </c>
      <c r="D102" s="26">
        <v>4</v>
      </c>
      <c r="E102" s="26">
        <v>105</v>
      </c>
      <c r="F102" s="27">
        <v>1342100</v>
      </c>
      <c r="G102" s="26">
        <f>F103</f>
        <v>1355300</v>
      </c>
      <c r="H102" s="25">
        <v>14</v>
      </c>
      <c r="I102" s="6" t="s">
        <v>178</v>
      </c>
      <c r="J102" s="24">
        <v>3</v>
      </c>
      <c r="K102" s="9">
        <f>H103</f>
        <v>14</v>
      </c>
      <c r="L102" s="6" t="s">
        <v>178</v>
      </c>
      <c r="M102" s="24">
        <f>J103</f>
        <v>39</v>
      </c>
      <c r="N102" s="22">
        <f>IF(H102=K102,M102-J102,60-(J102-M102))</f>
        <v>36</v>
      </c>
      <c r="O102" s="30">
        <f>(G102-F102)/N102</f>
        <v>366.66666666666669</v>
      </c>
      <c r="P102" s="29">
        <f>($G102-$F102)/7.48/($AF$52*$E102/$AE$43)*12</f>
        <v>0.81466101082772313</v>
      </c>
      <c r="Q102" s="29">
        <f>($G102-$F102)/7.48/($AF$52*$E102/$AE$43)*12</f>
        <v>0.81466101082772313</v>
      </c>
      <c r="R102" s="29">
        <f>($G102-$F102)/7.48/($AF$52*$E102/$AE$43)*12</f>
        <v>0.81466101082772313</v>
      </c>
      <c r="S102" s="29">
        <f>($G102-$F102)/7.48/($AF$52*$E102/$AE$43)*12</f>
        <v>0.81466101082772313</v>
      </c>
      <c r="U102" s="28">
        <f>U94+P102</f>
        <v>6.9626238294742322</v>
      </c>
      <c r="V102" s="28">
        <f>V94+Q102</f>
        <v>6.9626238294742322</v>
      </c>
      <c r="W102" s="28">
        <f>W94+R102</f>
        <v>6.9626238294742322</v>
      </c>
      <c r="X102" s="28">
        <f>X94+S102</f>
        <v>6.9626238294742322</v>
      </c>
    </row>
    <row r="103" spans="1:24" x14ac:dyDescent="0.2">
      <c r="A103" s="6">
        <v>124</v>
      </c>
      <c r="B103" s="6" t="s">
        <v>10</v>
      </c>
      <c r="C103" s="5">
        <v>36284</v>
      </c>
      <c r="D103" s="26" t="s">
        <v>179</v>
      </c>
      <c r="E103" s="26">
        <v>105</v>
      </c>
      <c r="F103" s="27">
        <v>1355300</v>
      </c>
      <c r="G103" s="26">
        <v>1358000</v>
      </c>
      <c r="H103" s="25">
        <v>14</v>
      </c>
      <c r="I103" s="6" t="s">
        <v>178</v>
      </c>
      <c r="J103" s="24">
        <v>39</v>
      </c>
      <c r="K103" s="9">
        <v>14</v>
      </c>
      <c r="L103" s="6" t="s">
        <v>178</v>
      </c>
      <c r="M103" s="23">
        <v>47</v>
      </c>
      <c r="N103" s="22">
        <f>IF(H103=K103,M103-J103,60-(J103-M103))</f>
        <v>8</v>
      </c>
      <c r="O103" s="21"/>
      <c r="U103" s="6"/>
      <c r="V103" s="6"/>
      <c r="W103" s="6"/>
      <c r="X103" s="6"/>
    </row>
    <row r="104" spans="1:24" ht="13.5" thickBot="1" x14ac:dyDescent="0.25">
      <c r="A104" s="20"/>
      <c r="B104" s="20"/>
      <c r="C104" s="20"/>
      <c r="D104" s="18"/>
      <c r="E104" s="18"/>
      <c r="F104" s="19"/>
      <c r="G104" s="18"/>
      <c r="H104" s="17"/>
      <c r="I104" s="12"/>
      <c r="J104" s="16"/>
      <c r="K104" s="15"/>
      <c r="L104" s="12"/>
      <c r="M104" s="14"/>
      <c r="N104" s="12" t="s">
        <v>175</v>
      </c>
      <c r="O104" s="13">
        <f>(G102-F98)/(SUM(N98:N102))</f>
        <v>366.66666666666669</v>
      </c>
      <c r="P104" s="12" t="s">
        <v>174</v>
      </c>
      <c r="Q104" s="12"/>
      <c r="R104" s="11">
        <f>AVERAGE(P99:S102)</f>
        <v>0.86634878329501253</v>
      </c>
      <c r="S104" s="12"/>
      <c r="T104" s="12"/>
      <c r="U104" s="12" t="s">
        <v>173</v>
      </c>
      <c r="V104" s="12"/>
      <c r="W104" s="11">
        <f>AVERAGE(U99:X102)</f>
        <v>7.2103274142358735</v>
      </c>
      <c r="X104" s="12"/>
    </row>
    <row r="105" spans="1:24" x14ac:dyDescent="0.2">
      <c r="C105" s="5"/>
      <c r="D105" s="26"/>
      <c r="E105" s="26"/>
      <c r="F105" s="59"/>
      <c r="G105" s="21"/>
      <c r="H105" s="25"/>
      <c r="I105" s="6"/>
      <c r="J105" s="36"/>
      <c r="K105" s="35"/>
      <c r="M105" s="34"/>
      <c r="N105" s="33"/>
      <c r="O105" s="32"/>
      <c r="P105" s="31"/>
      <c r="Q105" s="31"/>
      <c r="R105" s="31"/>
      <c r="S105" s="31"/>
    </row>
    <row r="106" spans="1:24" x14ac:dyDescent="0.2">
      <c r="A106" s="6">
        <v>148</v>
      </c>
      <c r="B106" s="6" t="s">
        <v>1</v>
      </c>
      <c r="C106" s="5">
        <v>36308</v>
      </c>
      <c r="D106" s="26" t="s">
        <v>179</v>
      </c>
      <c r="E106" s="26">
        <v>105</v>
      </c>
      <c r="F106" s="27">
        <v>1411300</v>
      </c>
      <c r="G106" s="26">
        <v>1415300</v>
      </c>
      <c r="H106" s="25">
        <v>9</v>
      </c>
      <c r="I106" s="6" t="s">
        <v>178</v>
      </c>
      <c r="J106" s="24">
        <v>30</v>
      </c>
      <c r="K106" s="9">
        <v>9</v>
      </c>
      <c r="L106" s="6" t="s">
        <v>178</v>
      </c>
      <c r="M106" s="24">
        <v>41</v>
      </c>
      <c r="N106" s="22">
        <f>IF(H106=K106,M106-J106,60-(J106-M106))</f>
        <v>11</v>
      </c>
      <c r="O106" s="30">
        <f>(G106-F106)/N106</f>
        <v>363.63636363636363</v>
      </c>
      <c r="P106" s="6"/>
      <c r="Q106" s="6"/>
      <c r="R106" s="6"/>
      <c r="S106" s="6"/>
      <c r="U106" s="6"/>
      <c r="V106" s="6"/>
      <c r="W106" s="6"/>
      <c r="X106" s="6"/>
    </row>
    <row r="107" spans="1:24" x14ac:dyDescent="0.2">
      <c r="A107" s="6">
        <v>148</v>
      </c>
      <c r="B107" s="6" t="s">
        <v>1</v>
      </c>
      <c r="C107" s="5">
        <v>36308</v>
      </c>
      <c r="D107" s="26">
        <v>1</v>
      </c>
      <c r="E107" s="26">
        <v>105</v>
      </c>
      <c r="F107" s="27">
        <v>1399200</v>
      </c>
      <c r="G107" s="26">
        <f>F106</f>
        <v>1411300</v>
      </c>
      <c r="H107" s="25">
        <v>8</v>
      </c>
      <c r="I107" s="6" t="s">
        <v>178</v>
      </c>
      <c r="J107" s="24">
        <v>57</v>
      </c>
      <c r="K107" s="9">
        <f>H106</f>
        <v>9</v>
      </c>
      <c r="L107" s="6" t="s">
        <v>178</v>
      </c>
      <c r="M107" s="23">
        <f>J106</f>
        <v>30</v>
      </c>
      <c r="N107" s="22">
        <f>IF(H107=K107,M107-J107,60-(J107-M107))</f>
        <v>33</v>
      </c>
      <c r="O107" s="30">
        <f>(G107-F107)/N107</f>
        <v>366.66666666666669</v>
      </c>
      <c r="P107" s="29">
        <f>($G107-$F107)/7.48/($AF$49*$E107/$AE$43)*12</f>
        <v>0.74677259325874634</v>
      </c>
      <c r="Q107" s="29">
        <f>($G107-$F107)/7.48/($AF$49*$E107/$AE$43)*12</f>
        <v>0.74677259325874634</v>
      </c>
      <c r="R107" s="29">
        <f>($G107-$F107)/7.48/($AF$49*$E107/$AE$43)*12</f>
        <v>0.74677259325874634</v>
      </c>
      <c r="S107" s="29">
        <f>($G107-$F107)/7.48/($AF$49*$E107/$AE$43)*12</f>
        <v>0.74677259325874634</v>
      </c>
      <c r="U107" s="28">
        <f>U99+P107</f>
        <v>8.0502346271968914</v>
      </c>
      <c r="V107" s="28">
        <f>V99+Q107</f>
        <v>8.0502346271968914</v>
      </c>
      <c r="W107" s="28">
        <f>W99+R107</f>
        <v>8.0502346271968914</v>
      </c>
      <c r="X107" s="28">
        <f>X99+S107</f>
        <v>8.0502346271968914</v>
      </c>
    </row>
    <row r="108" spans="1:24" x14ac:dyDescent="0.2">
      <c r="A108" s="6">
        <v>148</v>
      </c>
      <c r="B108" s="6" t="s">
        <v>1</v>
      </c>
      <c r="C108" s="5">
        <v>36308</v>
      </c>
      <c r="D108" s="26">
        <v>2</v>
      </c>
      <c r="E108" s="26">
        <v>105</v>
      </c>
      <c r="F108" s="27">
        <v>1387400</v>
      </c>
      <c r="G108" s="26">
        <f>F107</f>
        <v>1399200</v>
      </c>
      <c r="H108" s="25">
        <v>8</v>
      </c>
      <c r="I108" s="6" t="s">
        <v>178</v>
      </c>
      <c r="J108" s="24">
        <v>26</v>
      </c>
      <c r="K108" s="9">
        <f>H107</f>
        <v>8</v>
      </c>
      <c r="L108" s="6" t="s">
        <v>178</v>
      </c>
      <c r="M108" s="23">
        <f>J107</f>
        <v>57</v>
      </c>
      <c r="N108" s="22">
        <f>IF(H108=K108,M108-J108,60-(J108-M108))</f>
        <v>31</v>
      </c>
      <c r="O108" s="30">
        <f>(G108-F108)/N108</f>
        <v>380.64516129032256</v>
      </c>
      <c r="P108" s="29">
        <f>($G108-$F108)/7.48/($AF$50*$E108/$AE$43)*12</f>
        <v>0.69791350485683112</v>
      </c>
      <c r="Q108" s="29">
        <f>($G108-$F108)/7.48/($AF$50*$E108/$AE$43)*12</f>
        <v>0.69791350485683112</v>
      </c>
      <c r="R108" s="29">
        <f>($G108-$F108)/7.48/($AF$50*$E108/$AE$43)*12</f>
        <v>0.69791350485683112</v>
      </c>
      <c r="S108" s="29">
        <f>($G108-$F108)/7.48/($AF$50*$E108/$AE$43)*12</f>
        <v>0.69791350485683112</v>
      </c>
      <c r="U108" s="28">
        <f>U100+P108</f>
        <v>8.4140128083861772</v>
      </c>
      <c r="V108" s="28">
        <f>V100+Q108</f>
        <v>8.4140128083861772</v>
      </c>
      <c r="W108" s="28">
        <f>W100+R108</f>
        <v>8.4140128083861772</v>
      </c>
      <c r="X108" s="28">
        <f>X100+S108</f>
        <v>8.4140128083861772</v>
      </c>
    </row>
    <row r="109" spans="1:24" x14ac:dyDescent="0.2">
      <c r="A109" s="6">
        <v>148</v>
      </c>
      <c r="B109" s="6" t="s">
        <v>1</v>
      </c>
      <c r="C109" s="5">
        <v>36308</v>
      </c>
      <c r="D109" s="26">
        <v>3</v>
      </c>
      <c r="E109" s="26">
        <v>105</v>
      </c>
      <c r="F109" s="27">
        <v>1375300</v>
      </c>
      <c r="G109" s="26">
        <f>F108</f>
        <v>1387400</v>
      </c>
      <c r="H109" s="25">
        <v>7</v>
      </c>
      <c r="I109" s="6" t="s">
        <v>178</v>
      </c>
      <c r="J109" s="24">
        <v>52</v>
      </c>
      <c r="K109" s="9">
        <f>H108</f>
        <v>8</v>
      </c>
      <c r="L109" s="6" t="s">
        <v>178</v>
      </c>
      <c r="M109" s="23">
        <f>J108</f>
        <v>26</v>
      </c>
      <c r="N109" s="22">
        <f>IF(H109=K109,M109-J109,60-(J109-M109))</f>
        <v>34</v>
      </c>
      <c r="O109" s="30">
        <f>(G109-F109)/N109</f>
        <v>355.88235294117646</v>
      </c>
      <c r="P109" s="29">
        <f>($G109-$F109)/7.48/($AF$51*$E109/$AE$43)*12</f>
        <v>0.71565706853963196</v>
      </c>
      <c r="Q109" s="29">
        <f>($G109-$F109)/7.48/($AF$51*$E109/$AE$43)*12</f>
        <v>0.71565706853963196</v>
      </c>
      <c r="R109" s="29">
        <f>($G109-$F109)/7.48/($AF$51*$E109/$AE$43)*12</f>
        <v>0.71565706853963196</v>
      </c>
      <c r="S109" s="29">
        <f>($G109-$F109)/7.48/($AF$51*$E109/$AE$43)*12</f>
        <v>0.71565706853963196</v>
      </c>
      <c r="U109" s="28">
        <f>U101+P109</f>
        <v>7.5747815585413987</v>
      </c>
      <c r="V109" s="28">
        <f>V101+Q109</f>
        <v>7.5747815585413987</v>
      </c>
      <c r="W109" s="28">
        <f>W101+R109</f>
        <v>7.5747815585413987</v>
      </c>
      <c r="X109" s="28">
        <f>X101+S109</f>
        <v>7.5747815585413987</v>
      </c>
    </row>
    <row r="110" spans="1:24" x14ac:dyDescent="0.2">
      <c r="A110" s="6">
        <v>148</v>
      </c>
      <c r="B110" s="6" t="s">
        <v>1</v>
      </c>
      <c r="C110" s="5">
        <v>36308</v>
      </c>
      <c r="D110" s="26">
        <v>4</v>
      </c>
      <c r="E110" s="26">
        <v>105</v>
      </c>
      <c r="F110" s="27">
        <v>1363700</v>
      </c>
      <c r="G110" s="26">
        <f>F109</f>
        <v>1375300</v>
      </c>
      <c r="H110" s="25">
        <v>7</v>
      </c>
      <c r="I110" s="6" t="s">
        <v>178</v>
      </c>
      <c r="J110" s="24">
        <v>21</v>
      </c>
      <c r="K110" s="9">
        <f>H109</f>
        <v>7</v>
      </c>
      <c r="L110" s="6" t="s">
        <v>178</v>
      </c>
      <c r="M110" s="23">
        <f>J109</f>
        <v>52</v>
      </c>
      <c r="N110" s="22">
        <f>IF(H110=K110,M110-J110,60-(J110-M110))</f>
        <v>31</v>
      </c>
      <c r="O110" s="30">
        <f>(G110-F110)/N110</f>
        <v>374.19354838709677</v>
      </c>
      <c r="P110" s="29">
        <f>($G110-$F110)/7.48/($AF$52*$E110/$AE$43)*12</f>
        <v>0.71591422163648399</v>
      </c>
      <c r="Q110" s="29">
        <f>($G110-$F110)/7.48/($AF$52*$E110/$AE$43)*12</f>
        <v>0.71591422163648399</v>
      </c>
      <c r="R110" s="29">
        <f>($G110-$F110)/7.48/($AF$52*$E110/$AE$43)*12</f>
        <v>0.71591422163648399</v>
      </c>
      <c r="S110" s="29">
        <f>($G110-$F110)/7.48/($AF$52*$E110/$AE$43)*12</f>
        <v>0.71591422163648399</v>
      </c>
      <c r="U110" s="28">
        <f>U102+P110</f>
        <v>7.6785380511107162</v>
      </c>
      <c r="V110" s="28">
        <f>V102+Q110</f>
        <v>7.6785380511107162</v>
      </c>
      <c r="W110" s="28">
        <f>W102+R110</f>
        <v>7.6785380511107162</v>
      </c>
      <c r="X110" s="28">
        <f>X102+S110</f>
        <v>7.6785380511107162</v>
      </c>
    </row>
    <row r="111" spans="1:24" x14ac:dyDescent="0.2">
      <c r="A111" s="6">
        <v>148</v>
      </c>
      <c r="B111" s="6" t="s">
        <v>1</v>
      </c>
      <c r="C111" s="5">
        <v>36308</v>
      </c>
      <c r="D111" s="26" t="s">
        <v>180</v>
      </c>
      <c r="E111" s="26">
        <v>105</v>
      </c>
      <c r="F111" s="27">
        <v>1358000</v>
      </c>
      <c r="G111" s="26">
        <f>F110</f>
        <v>1363700</v>
      </c>
      <c r="H111" s="25">
        <v>7</v>
      </c>
      <c r="I111" s="6" t="s">
        <v>178</v>
      </c>
      <c r="J111" s="24">
        <v>6</v>
      </c>
      <c r="K111" s="9">
        <f>H110</f>
        <v>7</v>
      </c>
      <c r="L111" s="6" t="s">
        <v>178</v>
      </c>
      <c r="M111" s="23">
        <f>J110</f>
        <v>21</v>
      </c>
      <c r="N111" s="22">
        <f>IF(H111=K111,M111-J111,60-(J111-M111))</f>
        <v>15</v>
      </c>
      <c r="O111" s="21"/>
      <c r="U111" s="6"/>
      <c r="V111" s="6"/>
      <c r="W111" s="6"/>
      <c r="X111" s="6"/>
    </row>
    <row r="112" spans="1:24" ht="13.5" thickBot="1" x14ac:dyDescent="0.25">
      <c r="A112" s="20"/>
      <c r="B112" s="20"/>
      <c r="C112" s="20"/>
      <c r="D112" s="18"/>
      <c r="E112" s="18"/>
      <c r="F112" s="19"/>
      <c r="G112" s="18"/>
      <c r="H112" s="17"/>
      <c r="I112" s="12"/>
      <c r="J112" s="16"/>
      <c r="K112" s="15"/>
      <c r="L112" s="12"/>
      <c r="M112" s="14"/>
      <c r="N112" s="12" t="s">
        <v>175</v>
      </c>
      <c r="O112" s="13">
        <f>(G106-F110)/(SUM(N106:N110))</f>
        <v>368.57142857142856</v>
      </c>
      <c r="P112" s="12" t="s">
        <v>174</v>
      </c>
      <c r="Q112" s="12"/>
      <c r="R112" s="11">
        <f>AVERAGE(P107:S110)</f>
        <v>0.71906434707292344</v>
      </c>
      <c r="S112" s="12"/>
      <c r="T112" s="12"/>
      <c r="U112" s="12"/>
      <c r="V112" s="12"/>
      <c r="W112" s="12"/>
      <c r="X112" s="12"/>
    </row>
    <row r="113" spans="1:24" x14ac:dyDescent="0.2">
      <c r="C113" s="5"/>
      <c r="D113" s="26"/>
      <c r="E113" s="26"/>
      <c r="F113" s="59"/>
      <c r="G113" s="21"/>
      <c r="H113" s="25"/>
      <c r="I113" s="6"/>
      <c r="J113" s="36"/>
      <c r="K113" s="35"/>
      <c r="M113" s="34"/>
      <c r="N113" s="33"/>
      <c r="O113" s="32"/>
      <c r="P113" s="31"/>
      <c r="Q113" s="31"/>
      <c r="R113" s="31"/>
      <c r="S113" s="31"/>
      <c r="T113" s="31"/>
    </row>
    <row r="114" spans="1:24" x14ac:dyDescent="0.2">
      <c r="A114" s="6">
        <v>124</v>
      </c>
      <c r="B114" s="6" t="s">
        <v>10</v>
      </c>
      <c r="C114" s="5">
        <v>36284</v>
      </c>
      <c r="D114" s="26" t="s">
        <v>180</v>
      </c>
      <c r="E114" s="26">
        <v>105</v>
      </c>
      <c r="F114" s="27">
        <v>1290400</v>
      </c>
      <c r="G114" s="26">
        <f>F115</f>
        <v>1297900</v>
      </c>
      <c r="H114" s="25">
        <v>11</v>
      </c>
      <c r="I114" s="6" t="s">
        <v>178</v>
      </c>
      <c r="J114" s="24">
        <v>42</v>
      </c>
      <c r="K114" s="9">
        <f>H115</f>
        <v>12</v>
      </c>
      <c r="L114" s="6" t="s">
        <v>178</v>
      </c>
      <c r="M114" s="24">
        <f>J115</f>
        <v>2</v>
      </c>
      <c r="N114" s="22">
        <f>IF(H114=K114,M114-J114,60-(J114-M114))</f>
        <v>20</v>
      </c>
      <c r="O114" s="30">
        <f>(G114-F114)/N114</f>
        <v>375</v>
      </c>
      <c r="P114" s="6"/>
      <c r="Q114" s="6"/>
      <c r="R114" s="6"/>
      <c r="S114" s="6"/>
      <c r="U114" s="6"/>
      <c r="V114" s="6"/>
      <c r="W114" s="6"/>
      <c r="X114" s="6"/>
    </row>
    <row r="115" spans="1:24" x14ac:dyDescent="0.2">
      <c r="A115" s="6">
        <v>124</v>
      </c>
      <c r="B115" s="6" t="s">
        <v>10</v>
      </c>
      <c r="C115" s="5">
        <v>36284</v>
      </c>
      <c r="D115" s="26">
        <v>1</v>
      </c>
      <c r="E115" s="26">
        <v>105</v>
      </c>
      <c r="F115" s="27">
        <v>1297900</v>
      </c>
      <c r="G115" s="26">
        <f>F116</f>
        <v>1312100</v>
      </c>
      <c r="H115" s="25">
        <v>12</v>
      </c>
      <c r="I115" s="6" t="s">
        <v>178</v>
      </c>
      <c r="J115" s="24">
        <v>2</v>
      </c>
      <c r="K115" s="9">
        <f>H116</f>
        <v>12</v>
      </c>
      <c r="L115" s="6" t="s">
        <v>178</v>
      </c>
      <c r="M115" s="24">
        <f>J116</f>
        <v>41</v>
      </c>
      <c r="N115" s="22">
        <f>IF(H115=K115,M115-J115,60-(J115-M115))</f>
        <v>39</v>
      </c>
      <c r="O115" s="30">
        <f>(G115-F115)/N115</f>
        <v>364.10256410256409</v>
      </c>
      <c r="P115" s="29">
        <f>($G115-$F115)/7.48/($AF$49*$E115/$AE$43)*12</f>
        <v>0.87637775407224772</v>
      </c>
      <c r="Q115" s="29">
        <f>($G115-$F115)/7.48/($AF$49*$E115/$AE$43)*12</f>
        <v>0.87637775407224772</v>
      </c>
      <c r="R115" s="29">
        <f>($G115-$F115)/7.48/($AF$49*$E115/$AE$43)*12</f>
        <v>0.87637775407224772</v>
      </c>
      <c r="S115" s="29">
        <f>($G115-$F115)/7.48/($AF$49*$E115/$AE$43)*12</f>
        <v>0.87637775407224772</v>
      </c>
      <c r="U115" s="28">
        <f>U107+P115</f>
        <v>8.9266123812691394</v>
      </c>
      <c r="V115" s="28">
        <f>V107+Q115</f>
        <v>8.9266123812691394</v>
      </c>
      <c r="W115" s="28">
        <f>W107+R115</f>
        <v>8.9266123812691394</v>
      </c>
      <c r="X115" s="28">
        <f>X107+S115</f>
        <v>8.9266123812691394</v>
      </c>
    </row>
    <row r="116" spans="1:24" x14ac:dyDescent="0.2">
      <c r="A116" s="6">
        <v>124</v>
      </c>
      <c r="B116" s="6" t="s">
        <v>10</v>
      </c>
      <c r="C116" s="5">
        <v>36284</v>
      </c>
      <c r="D116" s="26">
        <v>2</v>
      </c>
      <c r="E116" s="26">
        <v>105</v>
      </c>
      <c r="F116" s="27">
        <v>1312100</v>
      </c>
      <c r="G116" s="26">
        <f>F117</f>
        <v>1326700</v>
      </c>
      <c r="H116" s="25">
        <v>12</v>
      </c>
      <c r="I116" s="6" t="s">
        <v>178</v>
      </c>
      <c r="J116" s="24">
        <v>41</v>
      </c>
      <c r="K116" s="9">
        <f>H117</f>
        <v>13</v>
      </c>
      <c r="L116" s="6" t="s">
        <v>178</v>
      </c>
      <c r="M116" s="24">
        <f>J117</f>
        <v>21</v>
      </c>
      <c r="N116" s="22">
        <f>IF(H116=K116,M116-J116,60-(J116-M116))</f>
        <v>40</v>
      </c>
      <c r="O116" s="30">
        <f>(G116-F116)/N116</f>
        <v>365</v>
      </c>
      <c r="P116" s="29">
        <f>($G116-$F116)/7.48/($AF$50*$E116/$AE$43)*12</f>
        <v>0.86352009922963846</v>
      </c>
      <c r="Q116" s="29">
        <f>($G116-$F116)/7.48/($AF$50*$E116/$AE$43)*12</f>
        <v>0.86352009922963846</v>
      </c>
      <c r="R116" s="29">
        <f>($G116-$F116)/7.48/($AF$50*$E116/$AE$43)*12</f>
        <v>0.86352009922963846</v>
      </c>
      <c r="S116" s="29">
        <f>($G116-$F116)/7.48/($AF$50*$E116/$AE$43)*12</f>
        <v>0.86352009922963846</v>
      </c>
      <c r="U116" s="28">
        <f>U108+P116</f>
        <v>9.2775329076158162</v>
      </c>
      <c r="V116" s="28">
        <f>V108+Q116</f>
        <v>9.2775329076158162</v>
      </c>
      <c r="W116" s="28">
        <f>W108+R116</f>
        <v>9.2775329076158162</v>
      </c>
      <c r="X116" s="28">
        <f>X108+S116</f>
        <v>9.2775329076158162</v>
      </c>
    </row>
    <row r="117" spans="1:24" x14ac:dyDescent="0.2">
      <c r="A117" s="6">
        <v>124</v>
      </c>
      <c r="B117" s="6" t="s">
        <v>10</v>
      </c>
      <c r="C117" s="5">
        <v>36284</v>
      </c>
      <c r="D117" s="26">
        <v>3</v>
      </c>
      <c r="E117" s="26">
        <v>105</v>
      </c>
      <c r="F117" s="27">
        <v>1326700</v>
      </c>
      <c r="G117" s="26">
        <f>F118</f>
        <v>1342100</v>
      </c>
      <c r="H117" s="25">
        <v>13</v>
      </c>
      <c r="I117" s="6" t="s">
        <v>178</v>
      </c>
      <c r="J117" s="24">
        <v>21</v>
      </c>
      <c r="K117" s="9">
        <f>H118</f>
        <v>14</v>
      </c>
      <c r="L117" s="6" t="s">
        <v>178</v>
      </c>
      <c r="M117" s="24">
        <f>J118</f>
        <v>3</v>
      </c>
      <c r="N117" s="22">
        <f>IF(H117=K117,M117-J117,60-(J117-M117))</f>
        <v>42</v>
      </c>
      <c r="O117" s="30">
        <f>(G117-F117)/N117</f>
        <v>366.66666666666669</v>
      </c>
      <c r="P117" s="29">
        <f>($G117-$F117)/7.48/($AF$51*$E117/$AE$43)*12</f>
        <v>0.91083626905044057</v>
      </c>
      <c r="Q117" s="29">
        <f>($G117-$F117)/7.48/($AF$51*$E117/$AE$43)*12</f>
        <v>0.91083626905044057</v>
      </c>
      <c r="R117" s="29">
        <f>($G117-$F117)/7.48/($AF$51*$E117/$AE$43)*12</f>
        <v>0.91083626905044057</v>
      </c>
      <c r="S117" s="29">
        <f>($G117-$F117)/7.48/($AF$51*$E117/$AE$43)*12</f>
        <v>0.91083626905044057</v>
      </c>
      <c r="U117" s="28">
        <f>U109+P117</f>
        <v>8.4856178275918399</v>
      </c>
      <c r="V117" s="28">
        <f>V109+Q117</f>
        <v>8.4856178275918399</v>
      </c>
      <c r="W117" s="28">
        <f>W109+R117</f>
        <v>8.4856178275918399</v>
      </c>
      <c r="X117" s="28">
        <f>X109+S117</f>
        <v>8.4856178275918399</v>
      </c>
    </row>
    <row r="118" spans="1:24" x14ac:dyDescent="0.2">
      <c r="A118" s="6">
        <v>124</v>
      </c>
      <c r="B118" s="6" t="s">
        <v>10</v>
      </c>
      <c r="C118" s="5">
        <v>36284</v>
      </c>
      <c r="D118" s="26">
        <v>4</v>
      </c>
      <c r="E118" s="26">
        <v>105</v>
      </c>
      <c r="F118" s="27">
        <v>1342100</v>
      </c>
      <c r="G118" s="26">
        <f>F119</f>
        <v>1355300</v>
      </c>
      <c r="H118" s="25">
        <v>14</v>
      </c>
      <c r="I118" s="6" t="s">
        <v>178</v>
      </c>
      <c r="J118" s="24">
        <v>3</v>
      </c>
      <c r="K118" s="9">
        <f>H119</f>
        <v>14</v>
      </c>
      <c r="L118" s="6" t="s">
        <v>178</v>
      </c>
      <c r="M118" s="24">
        <f>J119</f>
        <v>39</v>
      </c>
      <c r="N118" s="22">
        <f>IF(H118=K118,M118-J118,60-(J118-M118))</f>
        <v>36</v>
      </c>
      <c r="O118" s="30">
        <f>(G118-F118)/N118</f>
        <v>366.66666666666669</v>
      </c>
      <c r="P118" s="29">
        <f>($G118-$F118)/7.48/($AF$52*$E118/$AE$43)*12</f>
        <v>0.81466101082772313</v>
      </c>
      <c r="Q118" s="29">
        <f>($G118-$F118)/7.48/($AF$52*$E118/$AE$43)*12</f>
        <v>0.81466101082772313</v>
      </c>
      <c r="R118" s="29">
        <f>($G118-$F118)/7.48/($AF$52*$E118/$AE$43)*12</f>
        <v>0.81466101082772313</v>
      </c>
      <c r="S118" s="29">
        <f>($G118-$F118)/7.48/($AF$52*$E118/$AE$43)*12</f>
        <v>0.81466101082772313</v>
      </c>
      <c r="U118" s="28">
        <f>U110+P118</f>
        <v>8.493199061938439</v>
      </c>
      <c r="V118" s="28">
        <f>V110+Q118</f>
        <v>8.493199061938439</v>
      </c>
      <c r="W118" s="28">
        <f>W110+R118</f>
        <v>8.493199061938439</v>
      </c>
      <c r="X118" s="28">
        <f>X110+S118</f>
        <v>8.493199061938439</v>
      </c>
    </row>
    <row r="119" spans="1:24" x14ac:dyDescent="0.2">
      <c r="A119" s="6">
        <v>124</v>
      </c>
      <c r="B119" s="6" t="s">
        <v>10</v>
      </c>
      <c r="C119" s="5">
        <v>36284</v>
      </c>
      <c r="D119" s="26" t="s">
        <v>179</v>
      </c>
      <c r="E119" s="26">
        <v>105</v>
      </c>
      <c r="F119" s="27">
        <v>1355300</v>
      </c>
      <c r="G119" s="26">
        <v>1358000</v>
      </c>
      <c r="H119" s="25">
        <v>14</v>
      </c>
      <c r="I119" s="6" t="s">
        <v>178</v>
      </c>
      <c r="J119" s="24">
        <v>39</v>
      </c>
      <c r="K119" s="9">
        <v>14</v>
      </c>
      <c r="L119" s="6" t="s">
        <v>178</v>
      </c>
      <c r="M119" s="23">
        <v>47</v>
      </c>
      <c r="N119" s="22">
        <f>IF(H119=K119,M119-J119,60-(J119-M119))</f>
        <v>8</v>
      </c>
      <c r="O119" s="21"/>
      <c r="U119" s="6"/>
      <c r="V119" s="6"/>
      <c r="W119" s="6"/>
      <c r="X119" s="6"/>
    </row>
    <row r="120" spans="1:24" ht="13.5" thickBot="1" x14ac:dyDescent="0.25">
      <c r="A120" s="20"/>
      <c r="B120" s="20"/>
      <c r="C120" s="20"/>
      <c r="D120" s="18"/>
      <c r="E120" s="18"/>
      <c r="F120" s="19"/>
      <c r="G120" s="18"/>
      <c r="H120" s="17"/>
      <c r="I120" s="12"/>
      <c r="J120" s="16"/>
      <c r="K120" s="15"/>
      <c r="L120" s="12"/>
      <c r="M120" s="14"/>
      <c r="N120" s="12" t="s">
        <v>175</v>
      </c>
      <c r="O120" s="13">
        <f>(G118-F114)/(SUM(N114:N118))</f>
        <v>366.66666666666669</v>
      </c>
      <c r="P120" s="12" t="s">
        <v>174</v>
      </c>
      <c r="Q120" s="12"/>
      <c r="R120" s="11">
        <f>AVERAGE(P115:S118)</f>
        <v>0.86634878329501253</v>
      </c>
      <c r="S120" s="12"/>
      <c r="T120" s="12"/>
      <c r="U120" s="12" t="s">
        <v>173</v>
      </c>
      <c r="V120" s="12"/>
      <c r="W120" s="11">
        <f>AVERAGE(U115:X118)</f>
        <v>8.7957405446038077</v>
      </c>
      <c r="X120" s="12"/>
    </row>
    <row r="121" spans="1:24" x14ac:dyDescent="0.2">
      <c r="C121" s="5"/>
      <c r="D121" s="26"/>
      <c r="E121" s="26"/>
      <c r="F121" s="59"/>
      <c r="G121" s="21"/>
      <c r="H121" s="25"/>
      <c r="I121" s="6"/>
      <c r="J121" s="36"/>
      <c r="K121" s="35"/>
      <c r="M121" s="34"/>
      <c r="N121" s="33"/>
      <c r="O121" s="32"/>
      <c r="P121" s="31"/>
      <c r="Q121" s="31"/>
      <c r="R121" s="31"/>
      <c r="S121" s="31"/>
    </row>
    <row r="122" spans="1:24" x14ac:dyDescent="0.2">
      <c r="A122" s="6">
        <v>148</v>
      </c>
      <c r="B122" s="6" t="s">
        <v>1</v>
      </c>
      <c r="C122" s="5">
        <v>36308</v>
      </c>
      <c r="D122" s="26" t="s">
        <v>179</v>
      </c>
      <c r="E122" s="26">
        <v>105</v>
      </c>
      <c r="F122" s="27">
        <v>1411300</v>
      </c>
      <c r="G122" s="26">
        <v>1415300</v>
      </c>
      <c r="H122" s="25">
        <v>9</v>
      </c>
      <c r="I122" s="6" t="s">
        <v>178</v>
      </c>
      <c r="J122" s="24">
        <v>30</v>
      </c>
      <c r="K122" s="9">
        <v>9</v>
      </c>
      <c r="L122" s="6" t="s">
        <v>178</v>
      </c>
      <c r="M122" s="24">
        <v>41</v>
      </c>
      <c r="N122" s="22">
        <f>IF(H122=K122,M122-J122,60-(J122-M122))</f>
        <v>11</v>
      </c>
      <c r="O122" s="30">
        <f>(G122-F122)/N122</f>
        <v>363.63636363636363</v>
      </c>
      <c r="P122" s="6"/>
      <c r="Q122" s="6"/>
      <c r="R122" s="6"/>
      <c r="S122" s="6"/>
      <c r="U122" s="6"/>
      <c r="V122" s="6"/>
      <c r="W122" s="6"/>
      <c r="X122" s="6"/>
    </row>
    <row r="123" spans="1:24" x14ac:dyDescent="0.2">
      <c r="A123" s="6">
        <v>148</v>
      </c>
      <c r="B123" s="6" t="s">
        <v>1</v>
      </c>
      <c r="C123" s="5">
        <v>36308</v>
      </c>
      <c r="D123" s="26">
        <v>1</v>
      </c>
      <c r="E123" s="26">
        <v>105</v>
      </c>
      <c r="F123" s="27">
        <v>1399200</v>
      </c>
      <c r="G123" s="26">
        <f>F122</f>
        <v>1411300</v>
      </c>
      <c r="H123" s="25">
        <v>8</v>
      </c>
      <c r="I123" s="6" t="s">
        <v>178</v>
      </c>
      <c r="J123" s="24">
        <v>57</v>
      </c>
      <c r="K123" s="9">
        <f>H122</f>
        <v>9</v>
      </c>
      <c r="L123" s="6" t="s">
        <v>178</v>
      </c>
      <c r="M123" s="23">
        <f>J122</f>
        <v>30</v>
      </c>
      <c r="N123" s="22">
        <f>IF(H123=K123,M123-J123,60-(J123-M123))</f>
        <v>33</v>
      </c>
      <c r="O123" s="30">
        <f>(G123-F123)/N123</f>
        <v>366.66666666666669</v>
      </c>
      <c r="P123" s="29">
        <f>($G123-$F123)/7.48/($AF$49*$E123/$AE$43)*12</f>
        <v>0.74677259325874634</v>
      </c>
      <c r="Q123" s="29">
        <f>($G123-$F123)/7.48/($AF$49*$E123/$AE$43)*12</f>
        <v>0.74677259325874634</v>
      </c>
      <c r="R123" s="29">
        <f>($G123-$F123)/7.48/($AF$49*$E123/$AE$43)*12</f>
        <v>0.74677259325874634</v>
      </c>
      <c r="S123" s="29">
        <f>($G123-$F123)/7.48/($AF$49*$E123/$AE$43)*12</f>
        <v>0.74677259325874634</v>
      </c>
      <c r="U123" s="28">
        <f>U115+P123</f>
        <v>9.6733849745278864</v>
      </c>
      <c r="V123" s="28">
        <f>V115+Q123</f>
        <v>9.6733849745278864</v>
      </c>
      <c r="W123" s="28">
        <f>W115+R123</f>
        <v>9.6733849745278864</v>
      </c>
      <c r="X123" s="28">
        <f>X115+S123</f>
        <v>9.6733849745278864</v>
      </c>
    </row>
    <row r="124" spans="1:24" x14ac:dyDescent="0.2">
      <c r="A124" s="6">
        <v>148</v>
      </c>
      <c r="B124" s="6" t="s">
        <v>1</v>
      </c>
      <c r="C124" s="5">
        <v>36308</v>
      </c>
      <c r="D124" s="26">
        <v>2</v>
      </c>
      <c r="E124" s="26">
        <v>105</v>
      </c>
      <c r="F124" s="27">
        <v>1387400</v>
      </c>
      <c r="G124" s="26">
        <f>F123</f>
        <v>1399200</v>
      </c>
      <c r="H124" s="25">
        <v>8</v>
      </c>
      <c r="I124" s="6" t="s">
        <v>178</v>
      </c>
      <c r="J124" s="24">
        <v>26</v>
      </c>
      <c r="K124" s="9">
        <f>H123</f>
        <v>8</v>
      </c>
      <c r="L124" s="6" t="s">
        <v>178</v>
      </c>
      <c r="M124" s="23">
        <f>J123</f>
        <v>57</v>
      </c>
      <c r="N124" s="22">
        <f>IF(H124=K124,M124-J124,60-(J124-M124))</f>
        <v>31</v>
      </c>
      <c r="O124" s="30">
        <f>(G124-F124)/N124</f>
        <v>380.64516129032256</v>
      </c>
      <c r="P124" s="29">
        <f>($G124-$F124)/7.48/($AF$50*$E124/$AE$43)*12</f>
        <v>0.69791350485683112</v>
      </c>
      <c r="Q124" s="29">
        <f>($G124-$F124)/7.48/($AF$50*$E124/$AE$43)*12</f>
        <v>0.69791350485683112</v>
      </c>
      <c r="R124" s="29">
        <f>($G124-$F124)/7.48/($AF$50*$E124/$AE$43)*12</f>
        <v>0.69791350485683112</v>
      </c>
      <c r="S124" s="29">
        <f>($G124-$F124)/7.48/($AF$50*$E124/$AE$43)*12</f>
        <v>0.69791350485683112</v>
      </c>
      <c r="U124" s="28">
        <f>U116+P124</f>
        <v>9.9754464124726479</v>
      </c>
      <c r="V124" s="28">
        <f>V116+Q124</f>
        <v>9.9754464124726479</v>
      </c>
      <c r="W124" s="28">
        <f>W116+R124</f>
        <v>9.9754464124726479</v>
      </c>
      <c r="X124" s="28">
        <f>X116+S124</f>
        <v>9.9754464124726479</v>
      </c>
    </row>
    <row r="125" spans="1:24" x14ac:dyDescent="0.2">
      <c r="A125" s="6">
        <v>148</v>
      </c>
      <c r="B125" s="6" t="s">
        <v>1</v>
      </c>
      <c r="C125" s="5">
        <v>36308</v>
      </c>
      <c r="D125" s="26">
        <v>3</v>
      </c>
      <c r="E125" s="26">
        <v>105</v>
      </c>
      <c r="F125" s="27">
        <v>1375300</v>
      </c>
      <c r="G125" s="26">
        <f>F124</f>
        <v>1387400</v>
      </c>
      <c r="H125" s="25">
        <v>7</v>
      </c>
      <c r="I125" s="6" t="s">
        <v>178</v>
      </c>
      <c r="J125" s="24">
        <v>52</v>
      </c>
      <c r="K125" s="9">
        <f>H124</f>
        <v>8</v>
      </c>
      <c r="L125" s="6" t="s">
        <v>178</v>
      </c>
      <c r="M125" s="23">
        <f>J124</f>
        <v>26</v>
      </c>
      <c r="N125" s="22">
        <f>IF(H125=K125,M125-J125,60-(J125-M125))</f>
        <v>34</v>
      </c>
      <c r="O125" s="30">
        <f>(G125-F125)/N125</f>
        <v>355.88235294117646</v>
      </c>
      <c r="P125" s="29">
        <f>($G125-$F125)/7.48/($AF$51*$E125/$AE$43)*12</f>
        <v>0.71565706853963196</v>
      </c>
      <c r="Q125" s="29">
        <f>($G125-$F125)/7.48/($AF$51*$E125/$AE$43)*12</f>
        <v>0.71565706853963196</v>
      </c>
      <c r="R125" s="29">
        <f>($G125-$F125)/7.48/($AF$51*$E125/$AE$43)*12</f>
        <v>0.71565706853963196</v>
      </c>
      <c r="S125" s="29">
        <f>($G125-$F125)/7.48/($AF$51*$E125/$AE$43)*12</f>
        <v>0.71565706853963196</v>
      </c>
      <c r="U125" s="28">
        <f>U117+P125</f>
        <v>9.2012748961314728</v>
      </c>
      <c r="V125" s="28">
        <f>V117+Q125</f>
        <v>9.2012748961314728</v>
      </c>
      <c r="W125" s="28">
        <f>W117+R125</f>
        <v>9.2012748961314728</v>
      </c>
      <c r="X125" s="28">
        <f>X117+S125</f>
        <v>9.2012748961314728</v>
      </c>
    </row>
    <row r="126" spans="1:24" x14ac:dyDescent="0.2">
      <c r="A126" s="6">
        <v>148</v>
      </c>
      <c r="B126" s="6" t="s">
        <v>1</v>
      </c>
      <c r="C126" s="5">
        <v>36308</v>
      </c>
      <c r="D126" s="26">
        <v>4</v>
      </c>
      <c r="E126" s="26">
        <v>105</v>
      </c>
      <c r="F126" s="27">
        <v>1363700</v>
      </c>
      <c r="G126" s="26">
        <f>F125</f>
        <v>1375300</v>
      </c>
      <c r="H126" s="25">
        <v>7</v>
      </c>
      <c r="I126" s="6" t="s">
        <v>178</v>
      </c>
      <c r="J126" s="24">
        <v>21</v>
      </c>
      <c r="K126" s="9">
        <f>H125</f>
        <v>7</v>
      </c>
      <c r="L126" s="6" t="s">
        <v>178</v>
      </c>
      <c r="M126" s="23">
        <f>J125</f>
        <v>52</v>
      </c>
      <c r="N126" s="22">
        <f>IF(H126=K126,M126-J126,60-(J126-M126))</f>
        <v>31</v>
      </c>
      <c r="O126" s="30">
        <f>(G126-F126)/N126</f>
        <v>374.19354838709677</v>
      </c>
      <c r="P126" s="29">
        <f>($G126-$F126)/7.48/($AF$52*$E126/$AE$43)*12</f>
        <v>0.71591422163648399</v>
      </c>
      <c r="Q126" s="29">
        <f>($G126-$F126)/7.48/($AF$52*$E126/$AE$43)*12</f>
        <v>0.71591422163648399</v>
      </c>
      <c r="R126" s="29">
        <f>($G126-$F126)/7.48/($AF$52*$E126/$AE$43)*12</f>
        <v>0.71591422163648399</v>
      </c>
      <c r="S126" s="29">
        <f>($G126-$F126)/7.48/($AF$52*$E126/$AE$43)*12</f>
        <v>0.71591422163648399</v>
      </c>
      <c r="U126" s="28">
        <f>U118+P126</f>
        <v>9.2091132835749221</v>
      </c>
      <c r="V126" s="28">
        <f>V118+Q126</f>
        <v>9.2091132835749221</v>
      </c>
      <c r="W126" s="28">
        <f>W118+R126</f>
        <v>9.2091132835749221</v>
      </c>
      <c r="X126" s="28">
        <f>X118+S126</f>
        <v>9.2091132835749221</v>
      </c>
    </row>
    <row r="127" spans="1:24" x14ac:dyDescent="0.2">
      <c r="A127" s="6">
        <v>148</v>
      </c>
      <c r="B127" s="6" t="s">
        <v>1</v>
      </c>
      <c r="C127" s="5">
        <v>36308</v>
      </c>
      <c r="D127" s="26" t="s">
        <v>180</v>
      </c>
      <c r="E127" s="26">
        <v>105</v>
      </c>
      <c r="F127" s="27">
        <v>1358000</v>
      </c>
      <c r="G127" s="26">
        <f>F126</f>
        <v>1363700</v>
      </c>
      <c r="H127" s="25">
        <v>7</v>
      </c>
      <c r="I127" s="6" t="s">
        <v>178</v>
      </c>
      <c r="J127" s="24">
        <v>6</v>
      </c>
      <c r="K127" s="9">
        <f>H126</f>
        <v>7</v>
      </c>
      <c r="L127" s="6" t="s">
        <v>178</v>
      </c>
      <c r="M127" s="23">
        <f>J126</f>
        <v>21</v>
      </c>
      <c r="N127" s="22">
        <f>IF(H127=K127,M127-J127,60-(J127-M127))</f>
        <v>15</v>
      </c>
      <c r="O127" s="21"/>
      <c r="U127" s="6"/>
      <c r="V127" s="6"/>
      <c r="W127" s="6"/>
      <c r="X127" s="6"/>
    </row>
    <row r="128" spans="1:24" ht="13.5" thickBot="1" x14ac:dyDescent="0.25">
      <c r="A128" s="20"/>
      <c r="B128" s="20"/>
      <c r="C128" s="20"/>
      <c r="D128" s="18"/>
      <c r="E128" s="18"/>
      <c r="F128" s="19"/>
      <c r="G128" s="18"/>
      <c r="H128" s="17"/>
      <c r="I128" s="12"/>
      <c r="J128" s="16"/>
      <c r="K128" s="15"/>
      <c r="L128" s="12"/>
      <c r="M128" s="14"/>
      <c r="N128" s="12" t="s">
        <v>175</v>
      </c>
      <c r="O128" s="13">
        <f>(G122-F126)/(SUM(N122:N126))</f>
        <v>368.57142857142856</v>
      </c>
      <c r="P128" s="12" t="s">
        <v>174</v>
      </c>
      <c r="Q128" s="12"/>
      <c r="R128" s="11">
        <f>AVERAGE(P123:S126)</f>
        <v>0.71906434707292344</v>
      </c>
      <c r="S128" s="12"/>
      <c r="T128" s="12"/>
      <c r="U128" s="12"/>
      <c r="V128" s="12"/>
      <c r="W128" s="12"/>
      <c r="X128" s="12"/>
    </row>
    <row r="129" spans="1:24" x14ac:dyDescent="0.2">
      <c r="C129" s="5"/>
      <c r="D129" s="26"/>
      <c r="E129" s="26"/>
      <c r="F129" s="59"/>
      <c r="G129" s="21"/>
      <c r="H129" s="25"/>
      <c r="I129" s="6"/>
      <c r="J129" s="36"/>
      <c r="K129" s="35"/>
      <c r="M129" s="34"/>
      <c r="N129" s="33"/>
      <c r="O129" s="32"/>
      <c r="P129" s="31"/>
      <c r="Q129" s="31"/>
      <c r="R129" s="31"/>
      <c r="S129" s="31"/>
      <c r="T129" s="31"/>
    </row>
    <row r="130" spans="1:24" x14ac:dyDescent="0.2">
      <c r="A130" s="6">
        <v>148</v>
      </c>
      <c r="B130" s="6" t="s">
        <v>1</v>
      </c>
      <c r="C130" s="5">
        <v>36308</v>
      </c>
      <c r="D130" s="26" t="s">
        <v>180</v>
      </c>
      <c r="E130" s="26">
        <v>57</v>
      </c>
      <c r="F130" s="27">
        <v>1415300</v>
      </c>
      <c r="G130" s="26">
        <f>F131</f>
        <v>1417500</v>
      </c>
      <c r="H130" s="9">
        <v>10</v>
      </c>
      <c r="I130" s="6" t="s">
        <v>178</v>
      </c>
      <c r="J130" s="24">
        <v>27</v>
      </c>
      <c r="K130" s="9">
        <f>H131</f>
        <v>10</v>
      </c>
      <c r="L130" s="6" t="s">
        <v>178</v>
      </c>
      <c r="M130" s="24">
        <f>J131</f>
        <v>32</v>
      </c>
      <c r="N130" s="22">
        <f>IF(H130=K130,M130-J130,60-(J130-M130))</f>
        <v>5</v>
      </c>
      <c r="O130" s="30">
        <f>(G130-F130)/N130</f>
        <v>440</v>
      </c>
      <c r="P130" s="6"/>
      <c r="Q130" s="6"/>
      <c r="R130" s="6"/>
      <c r="S130" s="6"/>
      <c r="U130" s="6"/>
      <c r="V130" s="6"/>
      <c r="W130" s="6"/>
      <c r="X130" s="6"/>
    </row>
    <row r="131" spans="1:24" x14ac:dyDescent="0.2">
      <c r="A131" s="6">
        <v>148</v>
      </c>
      <c r="B131" s="6" t="s">
        <v>1</v>
      </c>
      <c r="C131" s="5">
        <v>36308</v>
      </c>
      <c r="D131" s="26">
        <v>1</v>
      </c>
      <c r="E131" s="26">
        <v>57</v>
      </c>
      <c r="F131" s="27">
        <v>1417500</v>
      </c>
      <c r="G131" s="26">
        <f>F132</f>
        <v>1420300</v>
      </c>
      <c r="H131" s="9">
        <v>10</v>
      </c>
      <c r="I131" s="6" t="s">
        <v>178</v>
      </c>
      <c r="J131" s="24">
        <v>32</v>
      </c>
      <c r="K131" s="9">
        <f>H132</f>
        <v>10</v>
      </c>
      <c r="L131" s="6" t="s">
        <v>178</v>
      </c>
      <c r="M131" s="24">
        <f>J132</f>
        <v>43</v>
      </c>
      <c r="N131" s="22">
        <f>IF(H131=K131,M131-J131,60-(J131-M131))</f>
        <v>11</v>
      </c>
      <c r="O131" s="30">
        <f>(G131-F131)/N131</f>
        <v>254.54545454545453</v>
      </c>
      <c r="P131" s="29"/>
      <c r="Q131" s="29"/>
      <c r="R131" s="29">
        <f>($G131-$F131)/7.48/($AF$49*$E131/$AE$43)*12</f>
        <v>0.31832846515596841</v>
      </c>
      <c r="S131" s="29">
        <f>($G131-$F131)/7.48/($AF$49*$E131/$AE$43)*12</f>
        <v>0.31832846515596841</v>
      </c>
      <c r="U131" s="28">
        <f>U123+P131</f>
        <v>9.6733849745278864</v>
      </c>
      <c r="V131" s="28">
        <f>V123+Q131</f>
        <v>9.6733849745278864</v>
      </c>
      <c r="W131" s="28">
        <f>W123+R131</f>
        <v>9.9917134396838545</v>
      </c>
      <c r="X131" s="28">
        <f>X123+S131</f>
        <v>9.9917134396838545</v>
      </c>
    </row>
    <row r="132" spans="1:24" x14ac:dyDescent="0.2">
      <c r="A132" s="6">
        <v>148</v>
      </c>
      <c r="B132" s="6" t="s">
        <v>1</v>
      </c>
      <c r="C132" s="5">
        <v>36308</v>
      </c>
      <c r="D132" s="26">
        <v>2</v>
      </c>
      <c r="E132" s="26">
        <v>48</v>
      </c>
      <c r="F132" s="27">
        <v>1420300</v>
      </c>
      <c r="G132" s="26">
        <f>F133</f>
        <v>1422800</v>
      </c>
      <c r="H132" s="9">
        <v>10</v>
      </c>
      <c r="I132" s="6" t="s">
        <v>178</v>
      </c>
      <c r="J132" s="24">
        <v>43</v>
      </c>
      <c r="K132" s="9">
        <f>H133</f>
        <v>10</v>
      </c>
      <c r="L132" s="6" t="s">
        <v>178</v>
      </c>
      <c r="M132" s="24">
        <f>J133</f>
        <v>55</v>
      </c>
      <c r="N132" s="22">
        <f>IF(H132=K132,M132-J132,60-(J132-M132))</f>
        <v>12</v>
      </c>
      <c r="O132" s="30">
        <f>(G132-F132)/N132</f>
        <v>208.33333333333334</v>
      </c>
      <c r="P132" s="29">
        <f>($G132-$F132)/7.48/($AF$50*$E132/$AE$43)*12</f>
        <v>0.32345037963438938</v>
      </c>
      <c r="Q132" s="29">
        <f>($G132-$F132)/7.48/($AF$50*$E132/$AE$43)*12</f>
        <v>0.32345037963438938</v>
      </c>
      <c r="R132" s="29"/>
      <c r="S132" s="29"/>
      <c r="U132" s="28">
        <f>U124+P132</f>
        <v>10.298896792107037</v>
      </c>
      <c r="V132" s="28">
        <f>V124+Q132</f>
        <v>10.298896792107037</v>
      </c>
      <c r="W132" s="28">
        <f>W124+R132</f>
        <v>9.9754464124726479</v>
      </c>
      <c r="X132" s="28">
        <f>X124+S132</f>
        <v>9.9754464124726479</v>
      </c>
    </row>
    <row r="133" spans="1:24" x14ac:dyDescent="0.2">
      <c r="A133" s="6">
        <v>148</v>
      </c>
      <c r="B133" s="6" t="s">
        <v>1</v>
      </c>
      <c r="C133" s="5">
        <v>36308</v>
      </c>
      <c r="D133" s="26">
        <v>3</v>
      </c>
      <c r="E133" s="26">
        <v>57</v>
      </c>
      <c r="F133" s="27">
        <v>1422800</v>
      </c>
      <c r="G133" s="26">
        <f>F134</f>
        <v>1425400</v>
      </c>
      <c r="H133" s="9">
        <v>10</v>
      </c>
      <c r="I133" s="6" t="s">
        <v>178</v>
      </c>
      <c r="J133" s="24">
        <v>55</v>
      </c>
      <c r="K133" s="9">
        <f>H134</f>
        <v>11</v>
      </c>
      <c r="L133" s="6" t="s">
        <v>178</v>
      </c>
      <c r="M133" s="24">
        <f>J134</f>
        <v>6</v>
      </c>
      <c r="N133" s="22">
        <f>IF(H133=K133,M133-J133,60-(J133-M133))</f>
        <v>11</v>
      </c>
      <c r="O133" s="30">
        <f>(G133-F133)/N133</f>
        <v>236.36363636363637</v>
      </c>
      <c r="P133" s="29"/>
      <c r="Q133" s="29"/>
      <c r="R133" s="29">
        <f>($G133-$F133)/7.48/($AF$51*$E133/$AE$43)*12</f>
        <v>0.28327443774295996</v>
      </c>
      <c r="S133" s="29">
        <f>($G133-$F133)/7.48/($AF$51*$E133/$AE$43)*12</f>
        <v>0.28327443774295996</v>
      </c>
      <c r="U133" s="28">
        <f>U125+P133</f>
        <v>9.2012748961314728</v>
      </c>
      <c r="V133" s="28">
        <f>V125+Q133</f>
        <v>9.2012748961314728</v>
      </c>
      <c r="W133" s="28">
        <f>W125+R133</f>
        <v>9.4845493338744333</v>
      </c>
      <c r="X133" s="28">
        <f>X125+S133</f>
        <v>9.4845493338744333</v>
      </c>
    </row>
    <row r="134" spans="1:24" x14ac:dyDescent="0.2">
      <c r="A134" s="6">
        <v>148</v>
      </c>
      <c r="B134" s="6" t="s">
        <v>1</v>
      </c>
      <c r="C134" s="5">
        <v>36308</v>
      </c>
      <c r="D134" s="26">
        <v>4</v>
      </c>
      <c r="E134" s="26">
        <v>48</v>
      </c>
      <c r="F134" s="27">
        <v>1425400</v>
      </c>
      <c r="G134" s="26">
        <f>F135</f>
        <v>1427700</v>
      </c>
      <c r="H134" s="9">
        <v>11</v>
      </c>
      <c r="I134" s="6" t="s">
        <v>178</v>
      </c>
      <c r="J134" s="24">
        <v>6</v>
      </c>
      <c r="K134" s="9">
        <f>H135</f>
        <v>11</v>
      </c>
      <c r="L134" s="6" t="s">
        <v>178</v>
      </c>
      <c r="M134" s="24">
        <f>J135</f>
        <v>18</v>
      </c>
      <c r="N134" s="22">
        <f>IF(H134=K134,M134-J134,60-(J134-M134))</f>
        <v>12</v>
      </c>
      <c r="O134" s="30">
        <f>(G134-F134)/N134</f>
        <v>191.66666666666666</v>
      </c>
      <c r="P134" s="29">
        <f>($G134-$F134)/7.48/($AF$52*$E134/$AE$43)*12</f>
        <v>0.31051236444901381</v>
      </c>
      <c r="Q134" s="29">
        <f>($G134-$F134)/7.48/($AF$52*$E134/$AE$43)*12</f>
        <v>0.31051236444901381</v>
      </c>
      <c r="R134" s="29"/>
      <c r="S134" s="29"/>
      <c r="U134" s="28">
        <f>U126+P134</f>
        <v>9.5196256480239363</v>
      </c>
      <c r="V134" s="28">
        <f>V126+Q134</f>
        <v>9.5196256480239363</v>
      </c>
      <c r="W134" s="28">
        <f>W126+R134</f>
        <v>9.2091132835749221</v>
      </c>
      <c r="X134" s="28">
        <f>X126+S134</f>
        <v>9.2091132835749221</v>
      </c>
    </row>
    <row r="135" spans="1:24" x14ac:dyDescent="0.2">
      <c r="A135" s="6">
        <v>148</v>
      </c>
      <c r="B135" s="6" t="s">
        <v>1</v>
      </c>
      <c r="C135" s="5">
        <v>36308</v>
      </c>
      <c r="D135" s="26" t="s">
        <v>179</v>
      </c>
      <c r="E135" s="26">
        <v>48</v>
      </c>
      <c r="F135" s="27">
        <v>1427700</v>
      </c>
      <c r="G135" s="26">
        <v>1428000</v>
      </c>
      <c r="H135" s="9">
        <v>11</v>
      </c>
      <c r="I135" s="6" t="s">
        <v>178</v>
      </c>
      <c r="J135" s="24">
        <v>18</v>
      </c>
      <c r="K135" s="9">
        <v>11</v>
      </c>
      <c r="L135" s="6" t="s">
        <v>178</v>
      </c>
      <c r="M135" s="23">
        <v>20</v>
      </c>
      <c r="N135" s="22">
        <f>IF(H135=K135,M135-J135,60-(J135-M135))</f>
        <v>2</v>
      </c>
      <c r="O135" s="21"/>
      <c r="U135" s="6"/>
      <c r="V135" s="6"/>
      <c r="W135" s="6"/>
      <c r="X135" s="6"/>
    </row>
    <row r="136" spans="1:24" ht="13.5" thickBot="1" x14ac:dyDescent="0.25">
      <c r="A136" s="20"/>
      <c r="B136" s="20"/>
      <c r="C136" s="20"/>
      <c r="D136" s="18"/>
      <c r="E136" s="18"/>
      <c r="F136" s="19"/>
      <c r="G136" s="18"/>
      <c r="H136" s="17"/>
      <c r="I136" s="12"/>
      <c r="J136" s="16"/>
      <c r="K136" s="15"/>
      <c r="L136" s="12"/>
      <c r="M136" s="14"/>
      <c r="N136" s="12" t="s">
        <v>175</v>
      </c>
      <c r="O136" s="13">
        <f>(G134-F130)/(SUM(N130:N134))</f>
        <v>243.13725490196077</v>
      </c>
      <c r="P136" s="12" t="s">
        <v>174</v>
      </c>
      <c r="Q136" s="12"/>
      <c r="R136" s="11">
        <f>AVERAGE(P131:S134)</f>
        <v>0.30889141174558288</v>
      </c>
      <c r="S136" s="12"/>
      <c r="T136" s="12"/>
      <c r="U136" s="12" t="s">
        <v>173</v>
      </c>
      <c r="V136" s="12"/>
      <c r="W136" s="12"/>
      <c r="X136" s="11">
        <f>AVERAGE(U131:X134)</f>
        <v>9.6692505975495244</v>
      </c>
    </row>
    <row r="137" spans="1:24" x14ac:dyDescent="0.2">
      <c r="C137" s="5"/>
      <c r="D137" s="26"/>
      <c r="E137" s="26"/>
      <c r="F137" s="59"/>
      <c r="G137" s="21"/>
      <c r="H137" s="25"/>
      <c r="I137" s="6"/>
      <c r="J137" s="36"/>
      <c r="K137" s="35"/>
      <c r="M137" s="34"/>
      <c r="N137" s="33"/>
      <c r="O137" s="32"/>
      <c r="P137" s="31"/>
      <c r="Q137" s="31"/>
      <c r="R137" s="31"/>
      <c r="S137" s="31"/>
    </row>
    <row r="138" spans="1:24" x14ac:dyDescent="0.2">
      <c r="A138" s="6">
        <v>148</v>
      </c>
      <c r="B138" s="6" t="s">
        <v>1</v>
      </c>
      <c r="C138" s="5">
        <v>36308</v>
      </c>
      <c r="D138" s="26" t="s">
        <v>179</v>
      </c>
      <c r="E138" s="26">
        <v>48</v>
      </c>
      <c r="F138" s="27">
        <v>1439000</v>
      </c>
      <c r="G138" s="26">
        <v>1440500</v>
      </c>
      <c r="H138" s="25">
        <v>12</v>
      </c>
      <c r="I138" s="6" t="s">
        <v>178</v>
      </c>
      <c r="J138" s="24">
        <v>34</v>
      </c>
      <c r="K138" s="9">
        <v>12</v>
      </c>
      <c r="L138" s="6" t="s">
        <v>178</v>
      </c>
      <c r="M138" s="24">
        <v>43</v>
      </c>
      <c r="N138" s="22">
        <f>IF(H138=K138,M138-J138,60-(J138-M138))</f>
        <v>9</v>
      </c>
      <c r="O138" s="30">
        <f>(G138-F138)/N138</f>
        <v>166.66666666666666</v>
      </c>
      <c r="P138" s="6"/>
      <c r="Q138" s="6"/>
      <c r="R138" s="6"/>
      <c r="S138" s="6"/>
      <c r="U138" s="6"/>
      <c r="V138" s="6"/>
      <c r="W138" s="6"/>
      <c r="X138" s="6"/>
    </row>
    <row r="139" spans="1:24" x14ac:dyDescent="0.2">
      <c r="A139" s="6">
        <v>148</v>
      </c>
      <c r="B139" s="6" t="s">
        <v>1</v>
      </c>
      <c r="C139" s="5">
        <v>36308</v>
      </c>
      <c r="D139" s="26">
        <v>1</v>
      </c>
      <c r="E139" s="26">
        <v>48</v>
      </c>
      <c r="F139" s="27">
        <v>1436700</v>
      </c>
      <c r="G139" s="26">
        <f>F138</f>
        <v>1439000</v>
      </c>
      <c r="H139" s="25">
        <v>12</v>
      </c>
      <c r="I139" s="6" t="s">
        <v>178</v>
      </c>
      <c r="J139" s="24">
        <v>22</v>
      </c>
      <c r="K139" s="9">
        <f>H138</f>
        <v>12</v>
      </c>
      <c r="L139" s="6" t="s">
        <v>178</v>
      </c>
      <c r="M139" s="23">
        <f>J138</f>
        <v>34</v>
      </c>
      <c r="N139" s="22">
        <f>IF(H139=K139,M139-J139,60-(J139-M139))</f>
        <v>12</v>
      </c>
      <c r="O139" s="30">
        <f>(G139-F139)/N139</f>
        <v>191.66666666666666</v>
      </c>
      <c r="P139" s="29">
        <f>($G139-$F139)/7.48/($AF$49*$E139/$AE$43)*12</f>
        <v>0.31051236444901381</v>
      </c>
      <c r="Q139" s="29">
        <f>($G139-$F139)/7.48/($AF$49*$E139/$AE$43)*12</f>
        <v>0.31051236444901381</v>
      </c>
      <c r="R139" s="29"/>
      <c r="S139" s="29"/>
      <c r="U139" s="28">
        <f>U131+P139</f>
        <v>9.9838973389769006</v>
      </c>
      <c r="V139" s="28">
        <f>V131+Q139</f>
        <v>9.9838973389769006</v>
      </c>
      <c r="W139" s="28">
        <f>W131+R139</f>
        <v>9.9917134396838545</v>
      </c>
      <c r="X139" s="28">
        <f>X131+S139</f>
        <v>9.9917134396838545</v>
      </c>
    </row>
    <row r="140" spans="1:24" x14ac:dyDescent="0.2">
      <c r="A140" s="6">
        <v>148</v>
      </c>
      <c r="B140" s="6" t="s">
        <v>1</v>
      </c>
      <c r="C140" s="5">
        <v>36308</v>
      </c>
      <c r="D140" s="26">
        <v>2</v>
      </c>
      <c r="E140" s="26">
        <v>57</v>
      </c>
      <c r="F140" s="27">
        <v>1434300</v>
      </c>
      <c r="G140" s="26">
        <f>F139</f>
        <v>1436700</v>
      </c>
      <c r="H140" s="25">
        <v>12</v>
      </c>
      <c r="I140" s="6" t="s">
        <v>178</v>
      </c>
      <c r="J140" s="24">
        <v>11</v>
      </c>
      <c r="K140" s="9">
        <f>H139</f>
        <v>12</v>
      </c>
      <c r="L140" s="6" t="s">
        <v>178</v>
      </c>
      <c r="M140" s="23">
        <f>J139</f>
        <v>22</v>
      </c>
      <c r="N140" s="22">
        <f>IF(H140=K140,M140-J140,60-(J140-M140))</f>
        <v>11</v>
      </c>
      <c r="O140" s="30">
        <f>(G140-F140)/N140</f>
        <v>218.18181818181819</v>
      </c>
      <c r="P140" s="29"/>
      <c r="Q140" s="29"/>
      <c r="R140" s="29">
        <f>($G140-$F140)/7.48/($AF$50*$E140/$AE$43)*12</f>
        <v>0.26148409637811687</v>
      </c>
      <c r="S140" s="29">
        <f>($G140-$F140)/7.48/($AF$50*$E140/$AE$43)*12</f>
        <v>0.26148409637811687</v>
      </c>
      <c r="U140" s="28">
        <f>U132+P140</f>
        <v>10.298896792107037</v>
      </c>
      <c r="V140" s="28">
        <f>V132+Q140</f>
        <v>10.298896792107037</v>
      </c>
      <c r="W140" s="28">
        <f>W132+R140</f>
        <v>10.236930508850765</v>
      </c>
      <c r="X140" s="28">
        <f>X132+S140</f>
        <v>10.236930508850765</v>
      </c>
    </row>
    <row r="141" spans="1:24" x14ac:dyDescent="0.2">
      <c r="A141" s="6">
        <v>148</v>
      </c>
      <c r="B141" s="6" t="s">
        <v>1</v>
      </c>
      <c r="C141" s="5">
        <v>36308</v>
      </c>
      <c r="D141" s="26">
        <v>3</v>
      </c>
      <c r="E141" s="26">
        <v>48</v>
      </c>
      <c r="F141" s="27">
        <v>1432000</v>
      </c>
      <c r="G141" s="26">
        <f>F140</f>
        <v>1434300</v>
      </c>
      <c r="H141" s="25">
        <v>11</v>
      </c>
      <c r="I141" s="6" t="s">
        <v>178</v>
      </c>
      <c r="J141" s="24">
        <v>59</v>
      </c>
      <c r="K141" s="9">
        <f>H140</f>
        <v>12</v>
      </c>
      <c r="L141" s="6" t="s">
        <v>178</v>
      </c>
      <c r="M141" s="23">
        <f>J140</f>
        <v>11</v>
      </c>
      <c r="N141" s="22">
        <f>IF(H141=K141,M141-J141,60-(J141-M141))</f>
        <v>12</v>
      </c>
      <c r="O141" s="30">
        <f>(G141-F141)/N141</f>
        <v>191.66666666666666</v>
      </c>
      <c r="P141" s="29">
        <f>($G141-$F141)/7.48/($AF$51*$E141/$AE$43)*12</f>
        <v>0.29757434926363818</v>
      </c>
      <c r="Q141" s="29">
        <f>($G141-$F141)/7.48/($AF$51*$E141/$AE$43)*12</f>
        <v>0.29757434926363818</v>
      </c>
      <c r="R141" s="29"/>
      <c r="S141" s="29"/>
      <c r="U141" s="28">
        <f>U133+P141</f>
        <v>9.4988492453951103</v>
      </c>
      <c r="V141" s="28">
        <f>V133+Q141</f>
        <v>9.4988492453951103</v>
      </c>
      <c r="W141" s="28">
        <f>W133+R141</f>
        <v>9.4845493338744333</v>
      </c>
      <c r="X141" s="28">
        <f>X133+S141</f>
        <v>9.4845493338744333</v>
      </c>
    </row>
    <row r="142" spans="1:24" x14ac:dyDescent="0.2">
      <c r="A142" s="6">
        <v>148</v>
      </c>
      <c r="B142" s="6" t="s">
        <v>1</v>
      </c>
      <c r="C142" s="5">
        <v>36308</v>
      </c>
      <c r="D142" s="26">
        <v>4</v>
      </c>
      <c r="E142" s="26">
        <v>57</v>
      </c>
      <c r="F142" s="27">
        <v>1429100</v>
      </c>
      <c r="G142" s="26">
        <f>F141</f>
        <v>1432000</v>
      </c>
      <c r="H142" s="25">
        <v>11</v>
      </c>
      <c r="I142" s="6" t="s">
        <v>178</v>
      </c>
      <c r="J142" s="24">
        <v>48</v>
      </c>
      <c r="K142" s="9">
        <f>H141</f>
        <v>11</v>
      </c>
      <c r="L142" s="6" t="s">
        <v>178</v>
      </c>
      <c r="M142" s="23">
        <f>J141</f>
        <v>59</v>
      </c>
      <c r="N142" s="22">
        <f>IF(H142=K142,M142-J142,60-(J142-M142))</f>
        <v>11</v>
      </c>
      <c r="O142" s="30">
        <f>(G142-F142)/N142</f>
        <v>263.63636363636363</v>
      </c>
      <c r="P142" s="29"/>
      <c r="Q142" s="29"/>
      <c r="R142" s="29">
        <f>($G142-$F142)/7.48/($AF$52*$E142/$AE$43)*12</f>
        <v>0.32969733891153874</v>
      </c>
      <c r="S142" s="29">
        <f>($G142-$F142)/7.48/($AF$52*$E142/$AE$43)*12</f>
        <v>0.32969733891153874</v>
      </c>
      <c r="U142" s="28">
        <f>U134+P142</f>
        <v>9.5196256480239363</v>
      </c>
      <c r="V142" s="28">
        <f>V134+Q142</f>
        <v>9.5196256480239363</v>
      </c>
      <c r="W142" s="28">
        <f>W134+R142</f>
        <v>9.5388106224864604</v>
      </c>
      <c r="X142" s="28">
        <f>X134+S142</f>
        <v>9.5388106224864604</v>
      </c>
    </row>
    <row r="143" spans="1:24" x14ac:dyDescent="0.2">
      <c r="A143" s="6">
        <v>148</v>
      </c>
      <c r="B143" s="6" t="s">
        <v>1</v>
      </c>
      <c r="C143" s="5">
        <v>36308</v>
      </c>
      <c r="D143" s="26" t="s">
        <v>180</v>
      </c>
      <c r="E143" s="26">
        <v>57</v>
      </c>
      <c r="F143" s="27">
        <v>1428100</v>
      </c>
      <c r="G143" s="26">
        <f>F142</f>
        <v>1429100</v>
      </c>
      <c r="H143" s="25">
        <v>11</v>
      </c>
      <c r="I143" s="6" t="s">
        <v>178</v>
      </c>
      <c r="J143" s="24">
        <v>43</v>
      </c>
      <c r="K143" s="9">
        <f>H142</f>
        <v>11</v>
      </c>
      <c r="L143" s="6" t="s">
        <v>178</v>
      </c>
      <c r="M143" s="23">
        <f>J142</f>
        <v>48</v>
      </c>
      <c r="N143" s="22">
        <f>IF(H143=K143,M143-J143,60-(J143-M143))</f>
        <v>5</v>
      </c>
      <c r="O143" s="21"/>
      <c r="U143" s="6"/>
      <c r="V143" s="6"/>
      <c r="W143" s="6"/>
      <c r="X143" s="6"/>
    </row>
    <row r="144" spans="1:24" ht="13.5" thickBot="1" x14ac:dyDescent="0.25">
      <c r="A144" s="20"/>
      <c r="B144" s="20"/>
      <c r="C144" s="20"/>
      <c r="D144" s="18"/>
      <c r="E144" s="18"/>
      <c r="F144" s="19"/>
      <c r="G144" s="18"/>
      <c r="H144" s="17"/>
      <c r="I144" s="12"/>
      <c r="J144" s="16"/>
      <c r="K144" s="15"/>
      <c r="L144" s="12"/>
      <c r="M144" s="14"/>
      <c r="N144" s="12" t="s">
        <v>175</v>
      </c>
      <c r="O144" s="13">
        <f>(G138-F142)/(SUM(N138:N142))</f>
        <v>207.27272727272728</v>
      </c>
      <c r="P144" s="12" t="s">
        <v>174</v>
      </c>
      <c r="Q144" s="12"/>
      <c r="R144" s="11">
        <f>AVERAGE(P139:S142)</f>
        <v>0.2998170372505769</v>
      </c>
      <c r="S144" s="12"/>
      <c r="T144" s="12"/>
      <c r="U144" s="12" t="s">
        <v>173</v>
      </c>
      <c r="V144" s="12"/>
      <c r="W144" s="12"/>
      <c r="X144" s="11">
        <f>AVERAGE(U139:X142)</f>
        <v>9.8191591161748146</v>
      </c>
    </row>
    <row r="145" spans="1:24" x14ac:dyDescent="0.2">
      <c r="C145" s="5"/>
      <c r="D145" s="26"/>
      <c r="E145" s="26"/>
      <c r="F145" s="59"/>
      <c r="G145" s="21"/>
      <c r="H145" s="25"/>
      <c r="I145" s="6"/>
      <c r="J145" s="36"/>
      <c r="K145" s="35"/>
      <c r="M145" s="34"/>
      <c r="N145" s="33"/>
      <c r="O145" s="32"/>
      <c r="P145" s="31"/>
      <c r="Q145" s="31"/>
      <c r="R145" s="31"/>
      <c r="S145" s="31"/>
      <c r="T145" s="31"/>
    </row>
    <row r="146" spans="1:24" x14ac:dyDescent="0.2">
      <c r="A146" s="6">
        <v>158</v>
      </c>
      <c r="B146" s="6" t="s">
        <v>14</v>
      </c>
      <c r="C146" s="5">
        <v>36318</v>
      </c>
      <c r="D146" s="26" t="s">
        <v>180</v>
      </c>
      <c r="E146" s="26">
        <v>105</v>
      </c>
      <c r="F146" s="27">
        <v>1440500</v>
      </c>
      <c r="G146" s="26">
        <f>F147</f>
        <v>1449800</v>
      </c>
      <c r="H146" s="9">
        <v>10</v>
      </c>
      <c r="I146" s="6" t="s">
        <v>178</v>
      </c>
      <c r="J146" s="24">
        <v>56</v>
      </c>
      <c r="K146" s="9">
        <f>H147</f>
        <v>11</v>
      </c>
      <c r="L146" s="6" t="s">
        <v>178</v>
      </c>
      <c r="M146" s="24">
        <f>J147</f>
        <v>20</v>
      </c>
      <c r="N146" s="22">
        <f>IF(H146=K146,M146-J146,60-(J146-M146))</f>
        <v>24</v>
      </c>
      <c r="O146" s="30">
        <f>(G146-F146)/N146</f>
        <v>387.5</v>
      </c>
      <c r="P146" s="6"/>
      <c r="Q146" s="6"/>
      <c r="R146" s="6"/>
      <c r="S146" s="6"/>
      <c r="U146" s="6"/>
      <c r="V146" s="6"/>
      <c r="W146" s="6"/>
      <c r="X146" s="6"/>
    </row>
    <row r="147" spans="1:24" x14ac:dyDescent="0.2">
      <c r="A147" s="6">
        <v>158</v>
      </c>
      <c r="B147" s="6" t="s">
        <v>14</v>
      </c>
      <c r="C147" s="5">
        <v>36318</v>
      </c>
      <c r="D147" s="26">
        <v>1</v>
      </c>
      <c r="E147" s="26">
        <v>105</v>
      </c>
      <c r="F147" s="27">
        <v>1449800</v>
      </c>
      <c r="G147" s="26">
        <f>F148</f>
        <v>1463600</v>
      </c>
      <c r="H147" s="9">
        <v>11</v>
      </c>
      <c r="I147" s="6" t="s">
        <v>178</v>
      </c>
      <c r="J147" s="24">
        <v>20</v>
      </c>
      <c r="K147" s="9">
        <f>H148</f>
        <v>11</v>
      </c>
      <c r="L147" s="6" t="s">
        <v>178</v>
      </c>
      <c r="M147" s="24">
        <f>J148</f>
        <v>57</v>
      </c>
      <c r="N147" s="22">
        <f>IF(H147=K147,M147-J147,60-(J147-M147))</f>
        <v>37</v>
      </c>
      <c r="O147" s="30">
        <f>(G147-F147)/N147</f>
        <v>372.97297297297297</v>
      </c>
      <c r="P147" s="29">
        <f>($G147-$F147)/7.48/($AF$49*$E147/$AE$43)*12</f>
        <v>0.85169105677443779</v>
      </c>
      <c r="Q147" s="29">
        <f>($G147-$F147)/7.48/($AF$49*$E147/$AE$43)*12</f>
        <v>0.85169105677443779</v>
      </c>
      <c r="R147" s="29">
        <f>($G147-$F147)/7.48/($AF$49*$E147/$AE$43)*12</f>
        <v>0.85169105677443779</v>
      </c>
      <c r="S147" s="29">
        <f>($G147-$F147)/7.48/($AF$49*$E147/$AE$43)*12</f>
        <v>0.85169105677443779</v>
      </c>
      <c r="U147" s="28">
        <f>U139+P147</f>
        <v>10.835588395751339</v>
      </c>
      <c r="V147" s="28">
        <f>V139+Q147</f>
        <v>10.835588395751339</v>
      </c>
      <c r="W147" s="28">
        <f>W139+R147</f>
        <v>10.843404496458293</v>
      </c>
      <c r="X147" s="28">
        <f>X139+S147</f>
        <v>10.843404496458293</v>
      </c>
    </row>
    <row r="148" spans="1:24" x14ac:dyDescent="0.2">
      <c r="A148" s="6">
        <v>158</v>
      </c>
      <c r="B148" s="6" t="s">
        <v>14</v>
      </c>
      <c r="C148" s="5">
        <v>36318</v>
      </c>
      <c r="D148" s="26">
        <v>2</v>
      </c>
      <c r="E148" s="26">
        <v>105</v>
      </c>
      <c r="F148" s="27">
        <v>1463600</v>
      </c>
      <c r="G148" s="26">
        <f>F149</f>
        <v>1477000</v>
      </c>
      <c r="H148" s="9">
        <v>11</v>
      </c>
      <c r="I148" s="6" t="s">
        <v>178</v>
      </c>
      <c r="J148" s="24">
        <v>57</v>
      </c>
      <c r="K148" s="9">
        <f>H149</f>
        <v>12</v>
      </c>
      <c r="L148" s="6" t="s">
        <v>178</v>
      </c>
      <c r="M148" s="24">
        <f>J149</f>
        <v>32</v>
      </c>
      <c r="N148" s="22">
        <f>IF(H148=K148,M148-J148,60-(J148-M148))</f>
        <v>35</v>
      </c>
      <c r="O148" s="30">
        <f>(G148-F148)/N148</f>
        <v>382.85714285714283</v>
      </c>
      <c r="P148" s="29">
        <f>($G148-$F148)/7.48/($AF$50*$E148/$AE$43)*12</f>
        <v>0.79254584449843524</v>
      </c>
      <c r="Q148" s="29">
        <f>($G148-$F148)/7.48/($AF$50*$E148/$AE$43)*12</f>
        <v>0.79254584449843524</v>
      </c>
      <c r="R148" s="29">
        <f>($G148-$F148)/7.48/($AF$50*$E148/$AE$43)*12</f>
        <v>0.79254584449843524</v>
      </c>
      <c r="S148" s="29">
        <f>($G148-$F148)/7.48/($AF$50*$E148/$AE$43)*12</f>
        <v>0.79254584449843524</v>
      </c>
      <c r="U148" s="28">
        <f>U140+P148</f>
        <v>11.091442636605471</v>
      </c>
      <c r="V148" s="28">
        <f>V140+Q148</f>
        <v>11.091442636605471</v>
      </c>
      <c r="W148" s="28">
        <f>W140+R148</f>
        <v>11.0294763533492</v>
      </c>
      <c r="X148" s="28">
        <f>X140+S148</f>
        <v>11.0294763533492</v>
      </c>
    </row>
    <row r="149" spans="1:24" x14ac:dyDescent="0.2">
      <c r="A149" s="6">
        <v>158</v>
      </c>
      <c r="B149" s="6" t="s">
        <v>14</v>
      </c>
      <c r="C149" s="5">
        <v>36318</v>
      </c>
      <c r="D149" s="26">
        <v>3</v>
      </c>
      <c r="E149" s="26">
        <v>105</v>
      </c>
      <c r="F149" s="27">
        <v>1477000</v>
      </c>
      <c r="G149" s="26">
        <f>F150</f>
        <v>1490700</v>
      </c>
      <c r="H149" s="9">
        <v>12</v>
      </c>
      <c r="I149" s="6" t="s">
        <v>178</v>
      </c>
      <c r="J149" s="24">
        <v>32</v>
      </c>
      <c r="K149" s="9">
        <f>H150</f>
        <v>13</v>
      </c>
      <c r="L149" s="6" t="s">
        <v>178</v>
      </c>
      <c r="M149" s="24">
        <f>J150</f>
        <v>9</v>
      </c>
      <c r="N149" s="22">
        <f>IF(H149=K149,M149-J149,60-(J149-M149))</f>
        <v>37</v>
      </c>
      <c r="O149" s="30">
        <f>(G149-F149)/N149</f>
        <v>370.27027027027026</v>
      </c>
      <c r="P149" s="29">
        <f>($G149-$F149)/7.48/($AF$51*$E149/$AE$43)*12</f>
        <v>0.81028940818123618</v>
      </c>
      <c r="Q149" s="29">
        <f>($G149-$F149)/7.48/($AF$51*$E149/$AE$43)*12</f>
        <v>0.81028940818123618</v>
      </c>
      <c r="R149" s="29">
        <f>($G149-$F149)/7.48/($AF$51*$E149/$AE$43)*12</f>
        <v>0.81028940818123618</v>
      </c>
      <c r="S149" s="29">
        <f>($G149-$F149)/7.48/($AF$51*$E149/$AE$43)*12</f>
        <v>0.81028940818123618</v>
      </c>
      <c r="U149" s="28">
        <f>U141+P149</f>
        <v>10.309138653576346</v>
      </c>
      <c r="V149" s="28">
        <f>V141+Q149</f>
        <v>10.309138653576346</v>
      </c>
      <c r="W149" s="28">
        <f>W141+R149</f>
        <v>10.294838742055669</v>
      </c>
      <c r="X149" s="28">
        <f>X141+S149</f>
        <v>10.294838742055669</v>
      </c>
    </row>
    <row r="150" spans="1:24" x14ac:dyDescent="0.2">
      <c r="A150" s="6">
        <v>158</v>
      </c>
      <c r="B150" s="6" t="s">
        <v>14</v>
      </c>
      <c r="C150" s="5">
        <v>36318</v>
      </c>
      <c r="D150" s="26">
        <v>4</v>
      </c>
      <c r="E150" s="26">
        <v>105</v>
      </c>
      <c r="F150" s="27">
        <v>1490700</v>
      </c>
      <c r="G150" s="26">
        <f>F151</f>
        <v>1505600</v>
      </c>
      <c r="H150" s="9">
        <v>13</v>
      </c>
      <c r="I150" s="6" t="s">
        <v>178</v>
      </c>
      <c r="J150" s="24">
        <v>9</v>
      </c>
      <c r="K150" s="9">
        <f>H151</f>
        <v>13</v>
      </c>
      <c r="L150" s="6" t="s">
        <v>178</v>
      </c>
      <c r="M150" s="24">
        <f>J151</f>
        <v>49</v>
      </c>
      <c r="N150" s="22">
        <f>IF(H150=K150,M150-J150,60-(J150-M150))</f>
        <v>40</v>
      </c>
      <c r="O150" s="30">
        <f>(G150-F150)/N150</f>
        <v>372.5</v>
      </c>
      <c r="P150" s="29">
        <f>($G150-$F150)/7.48/($AF$52*$E150/$AE$43)*12</f>
        <v>0.91957947434341469</v>
      </c>
      <c r="Q150" s="29">
        <f>($G150-$F150)/7.48/($AF$52*$E150/$AE$43)*12</f>
        <v>0.91957947434341469</v>
      </c>
      <c r="R150" s="29">
        <f>($G150-$F150)/7.48/($AF$52*$E150/$AE$43)*12</f>
        <v>0.91957947434341469</v>
      </c>
      <c r="S150" s="29">
        <f>($G150-$F150)/7.48/($AF$52*$E150/$AE$43)*12</f>
        <v>0.91957947434341469</v>
      </c>
      <c r="U150" s="28">
        <f>U142+P150</f>
        <v>10.439205122367351</v>
      </c>
      <c r="V150" s="28">
        <f>V142+Q150</f>
        <v>10.439205122367351</v>
      </c>
      <c r="W150" s="28">
        <f>W142+R150</f>
        <v>10.458390096829875</v>
      </c>
      <c r="X150" s="28">
        <f>X142+S150</f>
        <v>10.458390096829875</v>
      </c>
    </row>
    <row r="151" spans="1:24" x14ac:dyDescent="0.2">
      <c r="A151" s="6">
        <v>158</v>
      </c>
      <c r="B151" s="6" t="s">
        <v>14</v>
      </c>
      <c r="C151" s="5">
        <v>36318</v>
      </c>
      <c r="D151" s="26" t="s">
        <v>179</v>
      </c>
      <c r="E151" s="26">
        <v>105</v>
      </c>
      <c r="F151" s="27">
        <v>1505600</v>
      </c>
      <c r="G151" s="26">
        <v>1509000</v>
      </c>
      <c r="H151" s="9">
        <v>13</v>
      </c>
      <c r="I151" s="6" t="s">
        <v>178</v>
      </c>
      <c r="J151" s="24">
        <v>49</v>
      </c>
      <c r="K151" s="9">
        <v>13</v>
      </c>
      <c r="L151" s="6" t="s">
        <v>178</v>
      </c>
      <c r="M151" s="23">
        <v>58</v>
      </c>
      <c r="N151" s="22">
        <f>IF(H151=K151,M151-J151,60-(J151-M151))</f>
        <v>9</v>
      </c>
      <c r="O151" s="21"/>
      <c r="U151" s="6"/>
      <c r="V151" s="6"/>
      <c r="W151" s="6"/>
      <c r="X151" s="6"/>
    </row>
    <row r="152" spans="1:24" ht="13.5" thickBot="1" x14ac:dyDescent="0.25">
      <c r="A152" s="20"/>
      <c r="B152" s="20"/>
      <c r="C152" s="20"/>
      <c r="D152" s="18"/>
      <c r="E152" s="18"/>
      <c r="F152" s="19"/>
      <c r="G152" s="18"/>
      <c r="H152" s="17"/>
      <c r="I152" s="12"/>
      <c r="J152" s="16"/>
      <c r="K152" s="15"/>
      <c r="L152" s="12"/>
      <c r="M152" s="14"/>
      <c r="N152" s="12" t="s">
        <v>175</v>
      </c>
      <c r="O152" s="13">
        <f>(G150-F146)/(SUM(N146:N150))</f>
        <v>376.30057803468208</v>
      </c>
      <c r="P152" s="12" t="s">
        <v>174</v>
      </c>
      <c r="Q152" s="12"/>
      <c r="R152" s="11">
        <f>AVERAGE(P147:S150)</f>
        <v>0.84352644594938098</v>
      </c>
      <c r="S152" s="12"/>
      <c r="T152" s="12"/>
      <c r="U152" s="12" t="s">
        <v>173</v>
      </c>
      <c r="V152" s="12"/>
      <c r="W152" s="12"/>
      <c r="X152" s="11">
        <f>AVERAGE(U147:X150)</f>
        <v>10.662685562124192</v>
      </c>
    </row>
    <row r="153" spans="1:24" x14ac:dyDescent="0.2">
      <c r="C153" s="5"/>
      <c r="D153" s="26"/>
      <c r="E153" s="26"/>
      <c r="F153" s="59"/>
      <c r="G153" s="21"/>
      <c r="H153" s="25"/>
      <c r="I153" s="6"/>
      <c r="J153" s="36"/>
      <c r="K153" s="35"/>
      <c r="M153" s="34"/>
      <c r="N153" s="33"/>
      <c r="O153" s="32"/>
      <c r="P153" s="31"/>
      <c r="Q153" s="31"/>
      <c r="R153" s="31"/>
      <c r="S153" s="31"/>
    </row>
    <row r="154" spans="1:24" x14ac:dyDescent="0.2">
      <c r="A154" s="6">
        <v>162</v>
      </c>
      <c r="B154" s="6" t="s">
        <v>1</v>
      </c>
      <c r="C154" s="5">
        <v>36322</v>
      </c>
      <c r="D154" s="26" t="s">
        <v>179</v>
      </c>
      <c r="E154" s="26">
        <v>105</v>
      </c>
      <c r="F154" s="27">
        <v>1562600</v>
      </c>
      <c r="G154" s="26">
        <v>1566400</v>
      </c>
      <c r="H154" s="25">
        <v>11</v>
      </c>
      <c r="I154" s="6" t="s">
        <v>178</v>
      </c>
      <c r="J154" s="24">
        <v>36</v>
      </c>
      <c r="K154" s="9">
        <v>11</v>
      </c>
      <c r="L154" s="6" t="s">
        <v>178</v>
      </c>
      <c r="M154" s="24">
        <v>45</v>
      </c>
      <c r="N154" s="22">
        <f>IF(H154=K154,M154-J154,60-(J154-M154))</f>
        <v>9</v>
      </c>
      <c r="O154" s="30">
        <f>(G154-F154)/N154</f>
        <v>422.22222222222223</v>
      </c>
      <c r="P154" s="6"/>
      <c r="Q154" s="6"/>
      <c r="R154" s="6"/>
      <c r="S154" s="6"/>
      <c r="U154" s="6"/>
      <c r="V154" s="6"/>
      <c r="W154" s="6"/>
      <c r="X154" s="6"/>
    </row>
    <row r="155" spans="1:24" x14ac:dyDescent="0.2">
      <c r="A155" s="6">
        <v>162</v>
      </c>
      <c r="B155" s="6" t="s">
        <v>1</v>
      </c>
      <c r="C155" s="5">
        <v>36322</v>
      </c>
      <c r="D155" s="26">
        <v>1</v>
      </c>
      <c r="E155" s="26">
        <v>105</v>
      </c>
      <c r="F155" s="27">
        <v>1550400</v>
      </c>
      <c r="G155" s="26">
        <f>F154</f>
        <v>1562600</v>
      </c>
      <c r="H155" s="25">
        <v>11</v>
      </c>
      <c r="I155" s="6" t="s">
        <v>178</v>
      </c>
      <c r="J155" s="24">
        <v>3</v>
      </c>
      <c r="K155" s="9">
        <f>H154</f>
        <v>11</v>
      </c>
      <c r="L155" s="6" t="s">
        <v>178</v>
      </c>
      <c r="M155" s="23">
        <f>J154</f>
        <v>36</v>
      </c>
      <c r="N155" s="22">
        <f>IF(H155=K155,M155-J155,60-(J155-M155))</f>
        <v>33</v>
      </c>
      <c r="O155" s="30">
        <f>(G155-F155)/N155</f>
        <v>369.69696969696969</v>
      </c>
      <c r="P155" s="29">
        <f>($G155-$F155)/7.48/($AF$49*$E155/$AE$43)*12</f>
        <v>0.75294426758319877</v>
      </c>
      <c r="Q155" s="29">
        <f>($G155-$F155)/7.48/($AF$49*$E155/$AE$43)*12</f>
        <v>0.75294426758319877</v>
      </c>
      <c r="R155" s="29">
        <f>($G155-$F155)/7.48/($AF$49*$E155/$AE$43)*12</f>
        <v>0.75294426758319877</v>
      </c>
      <c r="S155" s="29">
        <f>($G155-$F155)/7.48/($AF$49*$E155/$AE$43)*12</f>
        <v>0.75294426758319877</v>
      </c>
      <c r="U155" s="28">
        <f>U147+P155</f>
        <v>11.588532663334538</v>
      </c>
      <c r="V155" s="28">
        <f>V147+Q155</f>
        <v>11.588532663334538</v>
      </c>
      <c r="W155" s="28">
        <f>W147+R155</f>
        <v>11.596348764041492</v>
      </c>
      <c r="X155" s="28">
        <f>X147+S155</f>
        <v>11.596348764041492</v>
      </c>
    </row>
    <row r="156" spans="1:24" x14ac:dyDescent="0.2">
      <c r="A156" s="6">
        <v>162</v>
      </c>
      <c r="B156" s="6" t="s">
        <v>1</v>
      </c>
      <c r="C156" s="5">
        <v>36322</v>
      </c>
      <c r="D156" s="26">
        <v>2</v>
      </c>
      <c r="E156" s="26">
        <v>105</v>
      </c>
      <c r="F156" s="27">
        <v>1538400</v>
      </c>
      <c r="G156" s="26">
        <f>F155</f>
        <v>1550400</v>
      </c>
      <c r="H156" s="25">
        <v>10</v>
      </c>
      <c r="I156" s="6" t="s">
        <v>178</v>
      </c>
      <c r="J156" s="24">
        <v>31</v>
      </c>
      <c r="K156" s="9">
        <f>H155</f>
        <v>11</v>
      </c>
      <c r="L156" s="6" t="s">
        <v>178</v>
      </c>
      <c r="M156" s="23">
        <f>J155</f>
        <v>3</v>
      </c>
      <c r="N156" s="22">
        <f>IF(H156=K156,M156-J156,60-(J156-M156))</f>
        <v>32</v>
      </c>
      <c r="O156" s="30">
        <f>(G156-F156)/N156</f>
        <v>375</v>
      </c>
      <c r="P156" s="29">
        <f>($G156-$F156)/7.48/($AF$50*$E156/$AE$43)*12</f>
        <v>0.70974254731203168</v>
      </c>
      <c r="Q156" s="29">
        <f>($G156-$F156)/7.48/($AF$50*$E156/$AE$43)*12</f>
        <v>0.70974254731203168</v>
      </c>
      <c r="R156" s="29">
        <f>($G156-$F156)/7.48/($AF$50*$E156/$AE$43)*12</f>
        <v>0.70974254731203168</v>
      </c>
      <c r="S156" s="29">
        <f>($G156-$F156)/7.48/($AF$50*$E156/$AE$43)*12</f>
        <v>0.70974254731203168</v>
      </c>
      <c r="U156" s="28">
        <f>U148+P156</f>
        <v>11.801185183917504</v>
      </c>
      <c r="V156" s="28">
        <f>V148+Q156</f>
        <v>11.801185183917504</v>
      </c>
      <c r="W156" s="28">
        <f>W148+R156</f>
        <v>11.739218900661232</v>
      </c>
      <c r="X156" s="28">
        <f>X148+S156</f>
        <v>11.739218900661232</v>
      </c>
    </row>
    <row r="157" spans="1:24" x14ac:dyDescent="0.2">
      <c r="A157" s="6">
        <v>162</v>
      </c>
      <c r="B157" s="6" t="s">
        <v>1</v>
      </c>
      <c r="C157" s="5">
        <v>36322</v>
      </c>
      <c r="D157" s="26">
        <v>3</v>
      </c>
      <c r="E157" s="26">
        <v>105</v>
      </c>
      <c r="F157" s="27">
        <v>1526200</v>
      </c>
      <c r="G157" s="26">
        <f>F156</f>
        <v>1538400</v>
      </c>
      <c r="H157" s="25">
        <v>9</v>
      </c>
      <c r="I157" s="6" t="s">
        <v>178</v>
      </c>
      <c r="J157" s="24">
        <v>58</v>
      </c>
      <c r="K157" s="9">
        <f>H156</f>
        <v>10</v>
      </c>
      <c r="L157" s="6" t="s">
        <v>178</v>
      </c>
      <c r="M157" s="23">
        <f>J156</f>
        <v>31</v>
      </c>
      <c r="N157" s="22">
        <f>IF(H157=K157,M157-J157,60-(J157-M157))</f>
        <v>33</v>
      </c>
      <c r="O157" s="30">
        <f>(G157-F157)/N157</f>
        <v>369.69696969696969</v>
      </c>
      <c r="P157" s="29">
        <f>($G157-$F157)/7.48/($AF$51*$E157/$AE$43)*12</f>
        <v>0.72157158976723224</v>
      </c>
      <c r="Q157" s="29">
        <f>($G157-$F157)/7.48/($AF$51*$E157/$AE$43)*12</f>
        <v>0.72157158976723224</v>
      </c>
      <c r="R157" s="29">
        <f>($G157-$F157)/7.48/($AF$51*$E157/$AE$43)*12</f>
        <v>0.72157158976723224</v>
      </c>
      <c r="S157" s="29">
        <f>($G157-$F157)/7.48/($AF$51*$E157/$AE$43)*12</f>
        <v>0.72157158976723224</v>
      </c>
      <c r="U157" s="28">
        <f>U149+P157</f>
        <v>11.030710243343577</v>
      </c>
      <c r="V157" s="28">
        <f>V149+Q157</f>
        <v>11.030710243343577</v>
      </c>
      <c r="W157" s="28">
        <f>W149+R157</f>
        <v>11.0164103318229</v>
      </c>
      <c r="X157" s="28">
        <f>X149+S157</f>
        <v>11.0164103318229</v>
      </c>
    </row>
    <row r="158" spans="1:24" x14ac:dyDescent="0.2">
      <c r="A158" s="6">
        <v>162</v>
      </c>
      <c r="B158" s="6" t="s">
        <v>1</v>
      </c>
      <c r="C158" s="5">
        <v>36322</v>
      </c>
      <c r="D158" s="26">
        <v>4</v>
      </c>
      <c r="E158" s="26">
        <v>105</v>
      </c>
      <c r="F158" s="27">
        <v>1513800</v>
      </c>
      <c r="G158" s="26">
        <f>F157</f>
        <v>1526200</v>
      </c>
      <c r="H158" s="25">
        <v>9</v>
      </c>
      <c r="I158" s="6" t="s">
        <v>178</v>
      </c>
      <c r="J158" s="24">
        <v>25</v>
      </c>
      <c r="K158" s="9">
        <f>H157</f>
        <v>9</v>
      </c>
      <c r="L158" s="6" t="s">
        <v>178</v>
      </c>
      <c r="M158" s="23">
        <f>J157</f>
        <v>58</v>
      </c>
      <c r="N158" s="22">
        <f>IF(H158=K158,M158-J158,60-(J158-M158))</f>
        <v>33</v>
      </c>
      <c r="O158" s="30">
        <f>(G158-F158)/N158</f>
        <v>375.75757575757575</v>
      </c>
      <c r="P158" s="29">
        <f>($G158-$F158)/7.48/($AF$52*$E158/$AE$43)*12</f>
        <v>0.76528761623210362</v>
      </c>
      <c r="Q158" s="29">
        <f>($G158-$F158)/7.48/($AF$52*$E158/$AE$43)*12</f>
        <v>0.76528761623210362</v>
      </c>
      <c r="R158" s="29">
        <f>($G158-$F158)/7.48/($AF$52*$E158/$AE$43)*12</f>
        <v>0.76528761623210362</v>
      </c>
      <c r="S158" s="29">
        <f>($G158-$F158)/7.48/($AF$52*$E158/$AE$43)*12</f>
        <v>0.76528761623210362</v>
      </c>
      <c r="U158" s="28">
        <f>U150+P158</f>
        <v>11.204492738599455</v>
      </c>
      <c r="V158" s="28">
        <f>V150+Q158</f>
        <v>11.204492738599455</v>
      </c>
      <c r="W158" s="28">
        <f>W150+R158</f>
        <v>11.22367771306198</v>
      </c>
      <c r="X158" s="28">
        <f>X150+S158</f>
        <v>11.22367771306198</v>
      </c>
    </row>
    <row r="159" spans="1:24" x14ac:dyDescent="0.2">
      <c r="A159" s="6">
        <v>162</v>
      </c>
      <c r="B159" s="6" t="s">
        <v>1</v>
      </c>
      <c r="C159" s="5">
        <v>36322</v>
      </c>
      <c r="D159" s="26" t="s">
        <v>180</v>
      </c>
      <c r="E159" s="26">
        <v>105</v>
      </c>
      <c r="F159" s="27">
        <v>1509000</v>
      </c>
      <c r="G159" s="26">
        <f>F158</f>
        <v>1513800</v>
      </c>
      <c r="H159" s="25">
        <v>9</v>
      </c>
      <c r="I159" s="6" t="s">
        <v>178</v>
      </c>
      <c r="J159" s="24">
        <v>13</v>
      </c>
      <c r="K159" s="9">
        <f>H158</f>
        <v>9</v>
      </c>
      <c r="L159" s="6" t="s">
        <v>178</v>
      </c>
      <c r="M159" s="23">
        <f>J158</f>
        <v>25</v>
      </c>
      <c r="N159" s="22">
        <f>IF(H159=K159,M159-J159,60-(J159-M159))</f>
        <v>12</v>
      </c>
      <c r="O159" s="21"/>
      <c r="U159" s="6"/>
      <c r="V159" s="6"/>
      <c r="W159" s="6"/>
      <c r="X159" s="6"/>
    </row>
    <row r="160" spans="1:24" ht="13.5" thickBot="1" x14ac:dyDescent="0.25">
      <c r="A160" s="20"/>
      <c r="B160" s="20"/>
      <c r="C160" s="20"/>
      <c r="D160" s="18"/>
      <c r="E160" s="18"/>
      <c r="F160" s="19"/>
      <c r="G160" s="18"/>
      <c r="H160" s="17"/>
      <c r="I160" s="12"/>
      <c r="J160" s="16"/>
      <c r="K160" s="15"/>
      <c r="L160" s="12"/>
      <c r="M160" s="14"/>
      <c r="N160" s="12" t="s">
        <v>175</v>
      </c>
      <c r="O160" s="13">
        <f>(G154-F158)/(SUM(N154:N158))</f>
        <v>375.71428571428572</v>
      </c>
      <c r="P160" s="12" t="s">
        <v>174</v>
      </c>
      <c r="Q160" s="12"/>
      <c r="R160" s="11">
        <f>AVERAGE(P155:S158)</f>
        <v>0.73738650522364169</v>
      </c>
      <c r="S160" s="12"/>
      <c r="T160" s="12"/>
      <c r="U160" s="12" t="s">
        <v>173</v>
      </c>
      <c r="V160" s="12"/>
      <c r="W160" s="12"/>
      <c r="X160" s="11">
        <f>AVERAGE(U155:X158)</f>
        <v>11.400072067347836</v>
      </c>
    </row>
    <row r="161" spans="1:24" x14ac:dyDescent="0.2">
      <c r="C161" s="5"/>
      <c r="D161" s="26"/>
      <c r="E161" s="26"/>
      <c r="F161" s="59"/>
      <c r="G161" s="21"/>
      <c r="H161" s="25"/>
      <c r="I161" s="6"/>
      <c r="J161" s="36"/>
      <c r="K161" s="35"/>
      <c r="M161" s="34"/>
      <c r="N161" s="33"/>
      <c r="O161" s="32"/>
      <c r="P161" s="31"/>
      <c r="Q161" s="31"/>
      <c r="R161" s="31"/>
      <c r="S161" s="31"/>
      <c r="T161" s="31"/>
    </row>
    <row r="162" spans="1:24" x14ac:dyDescent="0.2">
      <c r="A162" s="6">
        <v>162</v>
      </c>
      <c r="B162" s="6" t="s">
        <v>1</v>
      </c>
      <c r="C162" s="5">
        <v>36322</v>
      </c>
      <c r="D162" s="26" t="s">
        <v>180</v>
      </c>
      <c r="E162" s="26">
        <v>57</v>
      </c>
      <c r="F162" s="27">
        <v>1566400</v>
      </c>
      <c r="G162" s="26">
        <f>F163</f>
        <v>1569300</v>
      </c>
      <c r="H162" s="9">
        <v>13</v>
      </c>
      <c r="I162" s="6" t="s">
        <v>178</v>
      </c>
      <c r="J162" s="24">
        <v>8</v>
      </c>
      <c r="K162" s="9">
        <f>H163</f>
        <v>13</v>
      </c>
      <c r="L162" s="6" t="s">
        <v>178</v>
      </c>
      <c r="M162" s="24">
        <f>J163</f>
        <v>20</v>
      </c>
      <c r="N162" s="22">
        <f>IF(H162=K162,M162-J162,60-(J162-M162))</f>
        <v>12</v>
      </c>
      <c r="O162" s="30">
        <f>(G162-F162)/N162</f>
        <v>241.66666666666666</v>
      </c>
      <c r="P162" s="6"/>
      <c r="Q162" s="6"/>
      <c r="R162" s="6"/>
      <c r="S162" s="6"/>
      <c r="U162" s="6"/>
      <c r="V162" s="6"/>
      <c r="W162" s="6"/>
      <c r="X162" s="6"/>
    </row>
    <row r="163" spans="1:24" x14ac:dyDescent="0.2">
      <c r="A163" s="6">
        <v>162</v>
      </c>
      <c r="B163" s="6" t="s">
        <v>1</v>
      </c>
      <c r="C163" s="5">
        <v>36322</v>
      </c>
      <c r="D163" s="26">
        <v>1</v>
      </c>
      <c r="E163" s="26">
        <v>57</v>
      </c>
      <c r="F163" s="27">
        <v>1569300</v>
      </c>
      <c r="G163" s="26">
        <f>F164</f>
        <v>1571900</v>
      </c>
      <c r="H163" s="9">
        <v>13</v>
      </c>
      <c r="I163" s="6" t="s">
        <v>178</v>
      </c>
      <c r="J163" s="24">
        <v>20</v>
      </c>
      <c r="K163" s="9">
        <f>H164</f>
        <v>13</v>
      </c>
      <c r="L163" s="6" t="s">
        <v>178</v>
      </c>
      <c r="M163" s="24">
        <f>J164</f>
        <v>31</v>
      </c>
      <c r="N163" s="22">
        <f>IF(H163=K163,M163-J163,60-(J163-M163))</f>
        <v>11</v>
      </c>
      <c r="O163" s="30">
        <f>(G163-F163)/N163</f>
        <v>236.36363636363637</v>
      </c>
      <c r="P163" s="29"/>
      <c r="Q163" s="29"/>
      <c r="R163" s="29">
        <f>($G163-$F163)/7.48/($AF$49*$E163/$AE$43)*12</f>
        <v>0.29559071764482781</v>
      </c>
      <c r="S163" s="29">
        <f>($G163-$F163)/7.48/($AF$49*$E163/$AE$43)*12</f>
        <v>0.29559071764482781</v>
      </c>
      <c r="U163" s="28">
        <f>U155+P163</f>
        <v>11.588532663334538</v>
      </c>
      <c r="V163" s="28">
        <f>V155+Q163</f>
        <v>11.588532663334538</v>
      </c>
      <c r="W163" s="28">
        <f>W155+R163</f>
        <v>11.89193948168632</v>
      </c>
      <c r="X163" s="28">
        <f>X155+S163</f>
        <v>11.89193948168632</v>
      </c>
    </row>
    <row r="164" spans="1:24" x14ac:dyDescent="0.2">
      <c r="A164" s="6">
        <v>162</v>
      </c>
      <c r="B164" s="6" t="s">
        <v>1</v>
      </c>
      <c r="C164" s="5">
        <v>36322</v>
      </c>
      <c r="D164" s="26">
        <v>2</v>
      </c>
      <c r="E164" s="26">
        <v>48</v>
      </c>
      <c r="F164" s="27">
        <v>1571900</v>
      </c>
      <c r="G164" s="26">
        <f>F165</f>
        <v>1574000</v>
      </c>
      <c r="H164" s="9">
        <v>13</v>
      </c>
      <c r="I164" s="6" t="s">
        <v>178</v>
      </c>
      <c r="J164" s="24">
        <v>31</v>
      </c>
      <c r="K164" s="9">
        <f>H165</f>
        <v>13</v>
      </c>
      <c r="L164" s="6" t="s">
        <v>178</v>
      </c>
      <c r="M164" s="24">
        <f>J165</f>
        <v>42</v>
      </c>
      <c r="N164" s="22">
        <f>IF(H164=K164,M164-J164,60-(J164-M164))</f>
        <v>11</v>
      </c>
      <c r="O164" s="30">
        <f>(G164-F164)/N164</f>
        <v>190.90909090909091</v>
      </c>
      <c r="P164" s="29">
        <f>($G164-$F164)/7.48/($AF$50*$E164/$AE$43)*12</f>
        <v>0.27169831889288709</v>
      </c>
      <c r="Q164" s="29">
        <f>($G164-$F164)/7.48/($AF$50*$E164/$AE$43)*12</f>
        <v>0.27169831889288709</v>
      </c>
      <c r="R164" s="29"/>
      <c r="S164" s="29"/>
      <c r="U164" s="28">
        <f>U156+P164</f>
        <v>12.072883502810392</v>
      </c>
      <c r="V164" s="28">
        <f>V156+Q164</f>
        <v>12.072883502810392</v>
      </c>
      <c r="W164" s="28">
        <f>W156+R164</f>
        <v>11.739218900661232</v>
      </c>
      <c r="X164" s="28">
        <f>X156+S164</f>
        <v>11.739218900661232</v>
      </c>
    </row>
    <row r="165" spans="1:24" x14ac:dyDescent="0.2">
      <c r="A165" s="6">
        <v>162</v>
      </c>
      <c r="B165" s="6" t="s">
        <v>1</v>
      </c>
      <c r="C165" s="5">
        <v>36322</v>
      </c>
      <c r="D165" s="26">
        <v>3</v>
      </c>
      <c r="E165" s="26">
        <v>57</v>
      </c>
      <c r="F165" s="27">
        <v>1574000</v>
      </c>
      <c r="G165" s="26">
        <f>F166</f>
        <v>1576600</v>
      </c>
      <c r="H165" s="9">
        <v>13</v>
      </c>
      <c r="I165" s="6" t="s">
        <v>178</v>
      </c>
      <c r="J165" s="24">
        <v>42</v>
      </c>
      <c r="K165" s="9">
        <f>H166</f>
        <v>13</v>
      </c>
      <c r="L165" s="6" t="s">
        <v>178</v>
      </c>
      <c r="M165" s="24">
        <f>J166</f>
        <v>54</v>
      </c>
      <c r="N165" s="22">
        <f>IF(H165=K165,M165-J165,60-(J165-M165))</f>
        <v>12</v>
      </c>
      <c r="O165" s="30">
        <f>(G165-F165)/N165</f>
        <v>216.66666666666666</v>
      </c>
      <c r="P165" s="29"/>
      <c r="Q165" s="29"/>
      <c r="R165" s="29">
        <f>($G165-$F165)/7.48/($AF$51*$E165/$AE$43)*12</f>
        <v>0.28327443774295996</v>
      </c>
      <c r="S165" s="29">
        <f>($G165-$F165)/7.48/($AF$51*$E165/$AE$43)*12</f>
        <v>0.28327443774295996</v>
      </c>
      <c r="U165" s="28">
        <f>U157+P165</f>
        <v>11.030710243343577</v>
      </c>
      <c r="V165" s="28">
        <f>V157+Q165</f>
        <v>11.030710243343577</v>
      </c>
      <c r="W165" s="28">
        <f>W157+R165</f>
        <v>11.299684769565861</v>
      </c>
      <c r="X165" s="28">
        <f>X157+S165</f>
        <v>11.299684769565861</v>
      </c>
    </row>
    <row r="166" spans="1:24" x14ac:dyDescent="0.2">
      <c r="A166" s="6">
        <v>162</v>
      </c>
      <c r="B166" s="6" t="s">
        <v>1</v>
      </c>
      <c r="C166" s="5">
        <v>36322</v>
      </c>
      <c r="D166" s="26">
        <v>4</v>
      </c>
      <c r="E166" s="26">
        <v>48</v>
      </c>
      <c r="F166" s="27">
        <v>1576600</v>
      </c>
      <c r="G166" s="26">
        <f>F167</f>
        <v>1578800</v>
      </c>
      <c r="H166" s="9">
        <v>13</v>
      </c>
      <c r="I166" s="6" t="s">
        <v>178</v>
      </c>
      <c r="J166" s="24">
        <v>54</v>
      </c>
      <c r="K166" s="9">
        <f>H167</f>
        <v>14</v>
      </c>
      <c r="L166" s="6" t="s">
        <v>178</v>
      </c>
      <c r="M166" s="24">
        <f>J167</f>
        <v>6</v>
      </c>
      <c r="N166" s="22">
        <f>IF(H166=K166,M166-J166,60-(J166-M166))</f>
        <v>12</v>
      </c>
      <c r="O166" s="30">
        <f>(G166-F166)/N166</f>
        <v>183.33333333333334</v>
      </c>
      <c r="P166" s="29">
        <f>($G166-$F166)/7.48/($AF$52*$E166/$AE$43)*12</f>
        <v>0.29701182686427408</v>
      </c>
      <c r="Q166" s="29">
        <f>($G166-$F166)/7.48/($AF$52*$E166/$AE$43)*12</f>
        <v>0.29701182686427408</v>
      </c>
      <c r="R166" s="29"/>
      <c r="S166" s="29"/>
      <c r="U166" s="28">
        <f>U158+P166</f>
        <v>11.50150456546373</v>
      </c>
      <c r="V166" s="28">
        <f>V158+Q166</f>
        <v>11.50150456546373</v>
      </c>
      <c r="W166" s="28">
        <f>W158+R166</f>
        <v>11.22367771306198</v>
      </c>
      <c r="X166" s="28">
        <f>X158+S166</f>
        <v>11.22367771306198</v>
      </c>
    </row>
    <row r="167" spans="1:24" x14ac:dyDescent="0.2">
      <c r="A167" s="6">
        <v>162</v>
      </c>
      <c r="B167" s="6" t="s">
        <v>1</v>
      </c>
      <c r="C167" s="5">
        <v>36322</v>
      </c>
      <c r="D167" s="26" t="s">
        <v>179</v>
      </c>
      <c r="E167" s="26">
        <v>48</v>
      </c>
      <c r="F167" s="27">
        <v>1578800</v>
      </c>
      <c r="G167" s="26">
        <v>1579500</v>
      </c>
      <c r="H167" s="9">
        <v>14</v>
      </c>
      <c r="I167" s="6" t="s">
        <v>178</v>
      </c>
      <c r="J167" s="24">
        <v>6</v>
      </c>
      <c r="K167" s="9">
        <v>14</v>
      </c>
      <c r="L167" s="6" t="s">
        <v>178</v>
      </c>
      <c r="M167" s="23">
        <v>10</v>
      </c>
      <c r="N167" s="22">
        <f>IF(H167=K167,M167-J167,60-(J167-M167))</f>
        <v>4</v>
      </c>
      <c r="O167" s="21"/>
      <c r="U167" s="6"/>
      <c r="V167" s="6"/>
      <c r="W167" s="6"/>
      <c r="X167" s="6"/>
    </row>
    <row r="168" spans="1:24" ht="13.5" thickBot="1" x14ac:dyDescent="0.25">
      <c r="A168" s="20"/>
      <c r="B168" s="20"/>
      <c r="C168" s="20"/>
      <c r="D168" s="18"/>
      <c r="E168" s="18"/>
      <c r="F168" s="19"/>
      <c r="G168" s="18"/>
      <c r="H168" s="17"/>
      <c r="I168" s="12"/>
      <c r="J168" s="16"/>
      <c r="K168" s="15"/>
      <c r="L168" s="12"/>
      <c r="M168" s="14"/>
      <c r="N168" s="12" t="s">
        <v>175</v>
      </c>
      <c r="O168" s="13">
        <f>(G166-F162)/(SUM(N162:N166))</f>
        <v>213.79310344827587</v>
      </c>
      <c r="P168" s="12" t="s">
        <v>174</v>
      </c>
      <c r="Q168" s="12"/>
      <c r="R168" s="11">
        <f>AVERAGE(P163:S166)</f>
        <v>0.28689382528623719</v>
      </c>
      <c r="S168" s="12"/>
      <c r="T168" s="12"/>
      <c r="U168" s="12" t="s">
        <v>173</v>
      </c>
      <c r="V168" s="12"/>
      <c r="W168" s="12"/>
      <c r="X168" s="11">
        <f>AVERAGE(U163:X166)</f>
        <v>11.543518979990955</v>
      </c>
    </row>
    <row r="169" spans="1:24" x14ac:dyDescent="0.2">
      <c r="C169" s="5"/>
      <c r="D169" s="26"/>
      <c r="E169" s="26"/>
      <c r="F169" s="59"/>
      <c r="G169" s="21"/>
      <c r="H169" s="25"/>
      <c r="I169" s="6"/>
      <c r="J169" s="36"/>
      <c r="K169" s="35"/>
      <c r="M169" s="34"/>
      <c r="N169" s="33"/>
      <c r="O169" s="32"/>
      <c r="P169" s="31"/>
      <c r="Q169" s="31"/>
      <c r="R169" s="31"/>
      <c r="S169" s="31"/>
    </row>
    <row r="170" spans="1:24" x14ac:dyDescent="0.2">
      <c r="A170" s="6">
        <v>162</v>
      </c>
      <c r="B170" s="6" t="s">
        <v>1</v>
      </c>
      <c r="C170" s="5">
        <v>36322</v>
      </c>
      <c r="D170" s="26" t="s">
        <v>179</v>
      </c>
      <c r="E170" s="26">
        <v>48</v>
      </c>
      <c r="F170" s="27">
        <v>1590800</v>
      </c>
      <c r="G170" s="26">
        <v>1592800</v>
      </c>
      <c r="H170" s="25">
        <v>15</v>
      </c>
      <c r="I170" s="6" t="s">
        <v>178</v>
      </c>
      <c r="J170" s="24">
        <v>59</v>
      </c>
      <c r="K170" s="9">
        <v>16</v>
      </c>
      <c r="L170" s="6" t="s">
        <v>178</v>
      </c>
      <c r="M170" s="24">
        <v>10</v>
      </c>
      <c r="N170" s="22">
        <f>IF(H170=K170,M170-J170,60-(J170-M170))</f>
        <v>11</v>
      </c>
      <c r="O170" s="30">
        <f>(G170-F170)/N170</f>
        <v>181.81818181818181</v>
      </c>
      <c r="P170" s="6"/>
      <c r="Q170" s="6"/>
      <c r="R170" s="6"/>
      <c r="S170" s="6"/>
      <c r="U170" s="6"/>
      <c r="V170" s="6"/>
      <c r="W170" s="6"/>
      <c r="X170" s="6"/>
    </row>
    <row r="171" spans="1:24" x14ac:dyDescent="0.2">
      <c r="A171" s="6">
        <v>162</v>
      </c>
      <c r="B171" s="6" t="s">
        <v>1</v>
      </c>
      <c r="C171" s="5">
        <v>36322</v>
      </c>
      <c r="D171" s="26">
        <v>1</v>
      </c>
      <c r="E171" s="26">
        <v>48</v>
      </c>
      <c r="F171" s="27">
        <v>1588700</v>
      </c>
      <c r="G171" s="26">
        <f>F170</f>
        <v>1590800</v>
      </c>
      <c r="H171" s="25">
        <v>15</v>
      </c>
      <c r="I171" s="6" t="s">
        <v>178</v>
      </c>
      <c r="J171" s="24">
        <v>47</v>
      </c>
      <c r="K171" s="9">
        <f>H170</f>
        <v>15</v>
      </c>
      <c r="L171" s="6" t="s">
        <v>178</v>
      </c>
      <c r="M171" s="23">
        <f>J170</f>
        <v>59</v>
      </c>
      <c r="N171" s="22">
        <f>IF(H171=K171,M171-J171,60-(J171-M171))</f>
        <v>12</v>
      </c>
      <c r="O171" s="30">
        <f>(G171-F171)/N171</f>
        <v>175</v>
      </c>
      <c r="P171" s="29">
        <f>($G171-$F171)/7.48/($AF$49*$E171/$AE$43)*12</f>
        <v>0.2835112892795344</v>
      </c>
      <c r="Q171" s="29">
        <f>($G171-$F171)/7.48/($AF$49*$E171/$AE$43)*12</f>
        <v>0.2835112892795344</v>
      </c>
      <c r="R171" s="29"/>
      <c r="S171" s="29"/>
      <c r="U171" s="28">
        <f>U163+P171</f>
        <v>11.872043952614073</v>
      </c>
      <c r="V171" s="28">
        <f>V163+Q171</f>
        <v>11.872043952614073</v>
      </c>
      <c r="W171" s="28">
        <f>W163+R171</f>
        <v>11.89193948168632</v>
      </c>
      <c r="X171" s="28">
        <f>X163+S171</f>
        <v>11.89193948168632</v>
      </c>
    </row>
    <row r="172" spans="1:24" x14ac:dyDescent="0.2">
      <c r="A172" s="6">
        <v>162</v>
      </c>
      <c r="B172" s="6" t="s">
        <v>1</v>
      </c>
      <c r="C172" s="5">
        <v>36322</v>
      </c>
      <c r="D172" s="26">
        <v>2</v>
      </c>
      <c r="E172" s="26">
        <v>57</v>
      </c>
      <c r="F172" s="27">
        <v>1586200</v>
      </c>
      <c r="G172" s="26">
        <f>F171</f>
        <v>1588700</v>
      </c>
      <c r="H172" s="25">
        <v>15</v>
      </c>
      <c r="I172" s="6" t="s">
        <v>178</v>
      </c>
      <c r="J172" s="24">
        <v>36</v>
      </c>
      <c r="K172" s="9">
        <f>H171</f>
        <v>15</v>
      </c>
      <c r="L172" s="6" t="s">
        <v>178</v>
      </c>
      <c r="M172" s="23">
        <f>J171</f>
        <v>47</v>
      </c>
      <c r="N172" s="22">
        <f>IF(H172=K172,M172-J172,60-(J172-M172))</f>
        <v>11</v>
      </c>
      <c r="O172" s="30">
        <f>(G172-F172)/N172</f>
        <v>227.27272727272728</v>
      </c>
      <c r="P172" s="29"/>
      <c r="Q172" s="29"/>
      <c r="R172" s="29">
        <f>($G172-$F172)/7.48/($AF$50*$E172/$AE$43)*12</f>
        <v>0.27237926706053844</v>
      </c>
      <c r="S172" s="29">
        <f>($G172-$F172)/7.48/($AF$50*$E172/$AE$43)*12</f>
        <v>0.27237926706053844</v>
      </c>
      <c r="U172" s="28">
        <f>U164+P172</f>
        <v>12.072883502810392</v>
      </c>
      <c r="V172" s="28">
        <f>V164+Q172</f>
        <v>12.072883502810392</v>
      </c>
      <c r="W172" s="28">
        <f>W164+R172</f>
        <v>12.01159816772177</v>
      </c>
      <c r="X172" s="28">
        <f>X164+S172</f>
        <v>12.01159816772177</v>
      </c>
    </row>
    <row r="173" spans="1:24" x14ac:dyDescent="0.2">
      <c r="A173" s="6">
        <v>162</v>
      </c>
      <c r="B173" s="6" t="s">
        <v>1</v>
      </c>
      <c r="C173" s="5">
        <v>36322</v>
      </c>
      <c r="D173" s="26">
        <v>3</v>
      </c>
      <c r="E173" s="26">
        <v>48</v>
      </c>
      <c r="F173" s="27">
        <v>1584000</v>
      </c>
      <c r="G173" s="26">
        <f>F172</f>
        <v>1586200</v>
      </c>
      <c r="H173" s="25">
        <v>15</v>
      </c>
      <c r="I173" s="6" t="s">
        <v>178</v>
      </c>
      <c r="J173" s="24">
        <v>25</v>
      </c>
      <c r="K173" s="9">
        <f>H172</f>
        <v>15</v>
      </c>
      <c r="L173" s="6" t="s">
        <v>178</v>
      </c>
      <c r="M173" s="23">
        <f>J172</f>
        <v>36</v>
      </c>
      <c r="N173" s="22">
        <f>IF(H173=K173,M173-J173,60-(J173-M173))</f>
        <v>11</v>
      </c>
      <c r="O173" s="30">
        <f>(G173-F173)/N173</f>
        <v>200</v>
      </c>
      <c r="P173" s="29">
        <f>($G173-$F173)/7.48/($AF$51*$E173/$AE$43)*12</f>
        <v>0.28463633407826266</v>
      </c>
      <c r="Q173" s="29">
        <f>($G173-$F173)/7.48/($AF$51*$E173/$AE$43)*12</f>
        <v>0.28463633407826266</v>
      </c>
      <c r="R173" s="29"/>
      <c r="S173" s="29"/>
      <c r="U173" s="28">
        <f>U165+P173</f>
        <v>11.31534657742184</v>
      </c>
      <c r="V173" s="28">
        <f>V165+Q173</f>
        <v>11.31534657742184</v>
      </c>
      <c r="W173" s="28">
        <f>W165+R173</f>
        <v>11.299684769565861</v>
      </c>
      <c r="X173" s="28">
        <f>X165+S173</f>
        <v>11.299684769565861</v>
      </c>
    </row>
    <row r="174" spans="1:24" x14ac:dyDescent="0.2">
      <c r="A174" s="6">
        <v>162</v>
      </c>
      <c r="B174" s="6" t="s">
        <v>1</v>
      </c>
      <c r="C174" s="5">
        <v>36322</v>
      </c>
      <c r="D174" s="26">
        <v>4</v>
      </c>
      <c r="E174" s="26">
        <v>57</v>
      </c>
      <c r="F174" s="27">
        <v>1581300</v>
      </c>
      <c r="G174" s="26">
        <f>F173</f>
        <v>1584000</v>
      </c>
      <c r="H174" s="25">
        <v>15</v>
      </c>
      <c r="I174" s="6" t="s">
        <v>178</v>
      </c>
      <c r="J174" s="24">
        <v>13</v>
      </c>
      <c r="K174" s="9">
        <f>H173</f>
        <v>15</v>
      </c>
      <c r="L174" s="6" t="s">
        <v>178</v>
      </c>
      <c r="M174" s="23">
        <f>J173</f>
        <v>25</v>
      </c>
      <c r="N174" s="22">
        <f>IF(H174=K174,M174-J174,60-(J174-M174))</f>
        <v>12</v>
      </c>
      <c r="O174" s="30">
        <f>(G174-F174)/N174</f>
        <v>225</v>
      </c>
      <c r="P174" s="29"/>
      <c r="Q174" s="29"/>
      <c r="R174" s="29">
        <f>($G174-$F174)/7.48/($AF$52*$E174/$AE$43)*12</f>
        <v>0.30695959140039814</v>
      </c>
      <c r="S174" s="29">
        <f>($G174-$F174)/7.48/($AF$52*$E174/$AE$43)*12</f>
        <v>0.30695959140039814</v>
      </c>
      <c r="U174" s="28">
        <f>U166+P174</f>
        <v>11.50150456546373</v>
      </c>
      <c r="V174" s="28">
        <f>V166+Q174</f>
        <v>11.50150456546373</v>
      </c>
      <c r="W174" s="28">
        <f>W166+R174</f>
        <v>11.530637304462378</v>
      </c>
      <c r="X174" s="28">
        <f>X166+S174</f>
        <v>11.530637304462378</v>
      </c>
    </row>
    <row r="175" spans="1:24" x14ac:dyDescent="0.2">
      <c r="A175" s="6">
        <v>162</v>
      </c>
      <c r="B175" s="6" t="s">
        <v>1</v>
      </c>
      <c r="C175" s="5">
        <v>36322</v>
      </c>
      <c r="D175" s="26" t="s">
        <v>180</v>
      </c>
      <c r="E175" s="26">
        <v>57</v>
      </c>
      <c r="F175" s="27">
        <v>1579700</v>
      </c>
      <c r="G175" s="26">
        <f>F174</f>
        <v>1581300</v>
      </c>
      <c r="H175" s="25">
        <v>15</v>
      </c>
      <c r="I175" s="6" t="s">
        <v>178</v>
      </c>
      <c r="J175" s="24">
        <v>7</v>
      </c>
      <c r="K175" s="9">
        <f>H174</f>
        <v>15</v>
      </c>
      <c r="L175" s="6" t="s">
        <v>178</v>
      </c>
      <c r="M175" s="23">
        <f>J174</f>
        <v>13</v>
      </c>
      <c r="N175" s="22">
        <f>IF(H175=K175,M175-J175,60-(J175-M175))</f>
        <v>6</v>
      </c>
      <c r="O175" s="21"/>
      <c r="U175" s="6"/>
      <c r="V175" s="6"/>
      <c r="W175" s="6"/>
      <c r="X175" s="6"/>
    </row>
    <row r="176" spans="1:24" ht="13.5" thickBot="1" x14ac:dyDescent="0.25">
      <c r="A176" s="20"/>
      <c r="B176" s="20"/>
      <c r="C176" s="20"/>
      <c r="D176" s="18"/>
      <c r="E176" s="18"/>
      <c r="F176" s="19"/>
      <c r="G176" s="18"/>
      <c r="H176" s="17"/>
      <c r="I176" s="12"/>
      <c r="J176" s="16"/>
      <c r="K176" s="15"/>
      <c r="L176" s="12"/>
      <c r="M176" s="14"/>
      <c r="N176" s="12" t="s">
        <v>175</v>
      </c>
      <c r="O176" s="13">
        <f>(G170-F174)/(SUM(N170:N174))</f>
        <v>201.75438596491227</v>
      </c>
      <c r="P176" s="12" t="s">
        <v>174</v>
      </c>
      <c r="Q176" s="12"/>
      <c r="R176" s="11">
        <f>AVERAGE(P171:S174)</f>
        <v>0.28687162045468345</v>
      </c>
      <c r="S176" s="12"/>
      <c r="T176" s="12"/>
      <c r="U176" s="12" t="s">
        <v>173</v>
      </c>
      <c r="V176" s="12"/>
      <c r="W176" s="12"/>
      <c r="X176" s="11">
        <f>AVERAGE(U171:X174)</f>
        <v>11.686954790218294</v>
      </c>
    </row>
    <row r="177" spans="1:24" x14ac:dyDescent="0.2">
      <c r="D177" s="26"/>
      <c r="E177" s="26"/>
      <c r="F177" s="59"/>
      <c r="G177" s="21"/>
      <c r="H177" s="25"/>
      <c r="I177" s="6"/>
      <c r="J177" s="36"/>
      <c r="K177" s="35"/>
      <c r="M177" s="34"/>
      <c r="N177" s="33"/>
      <c r="O177" s="32"/>
      <c r="P177" s="31"/>
      <c r="Q177" s="31"/>
      <c r="R177" s="31"/>
      <c r="S177" s="31"/>
      <c r="T177" s="31"/>
    </row>
    <row r="178" spans="1:24" x14ac:dyDescent="0.2">
      <c r="A178" s="1">
        <v>166</v>
      </c>
      <c r="B178" s="1" t="s">
        <v>10</v>
      </c>
      <c r="C178" s="2">
        <v>36326</v>
      </c>
      <c r="D178" s="26" t="s">
        <v>180</v>
      </c>
      <c r="E178" s="26">
        <v>105</v>
      </c>
      <c r="F178" s="27">
        <v>1592800</v>
      </c>
      <c r="G178" s="26">
        <f>F179</f>
        <v>1595100</v>
      </c>
      <c r="H178" s="9">
        <v>14</v>
      </c>
      <c r="I178" s="6" t="s">
        <v>178</v>
      </c>
      <c r="J178" s="24">
        <v>33</v>
      </c>
      <c r="K178" s="9">
        <f>H179</f>
        <v>14</v>
      </c>
      <c r="L178" s="6" t="s">
        <v>178</v>
      </c>
      <c r="M178" s="24">
        <f>J179</f>
        <v>39</v>
      </c>
      <c r="N178" s="22">
        <f>IF(H178=K178,M178-J178,60-(J178-M178))</f>
        <v>6</v>
      </c>
      <c r="O178" s="30">
        <f>(G178-F178)/N178</f>
        <v>383.33333333333331</v>
      </c>
      <c r="P178" s="6"/>
      <c r="Q178" s="6"/>
      <c r="R178" s="6"/>
      <c r="S178" s="6"/>
      <c r="U178" s="6"/>
      <c r="V178" s="6"/>
      <c r="W178" s="6"/>
      <c r="X178" s="6"/>
    </row>
    <row r="179" spans="1:24" x14ac:dyDescent="0.2">
      <c r="A179" s="1">
        <v>166</v>
      </c>
      <c r="B179" s="1" t="s">
        <v>10</v>
      </c>
      <c r="C179" s="2">
        <v>36326</v>
      </c>
      <c r="D179" s="26">
        <v>1</v>
      </c>
      <c r="E179" s="26">
        <v>105</v>
      </c>
      <c r="F179" s="27">
        <v>1595100</v>
      </c>
      <c r="G179" s="26">
        <f>F180</f>
        <v>1595100</v>
      </c>
      <c r="H179" s="9">
        <v>14</v>
      </c>
      <c r="I179" s="6" t="s">
        <v>178</v>
      </c>
      <c r="J179" s="24">
        <v>39</v>
      </c>
      <c r="K179" s="9">
        <f>H180</f>
        <v>14</v>
      </c>
      <c r="L179" s="6" t="s">
        <v>178</v>
      </c>
      <c r="M179" s="24">
        <f>J180</f>
        <v>39</v>
      </c>
      <c r="N179" s="22">
        <f>IF(H179=K179,M179-J179,60-(J179-M179))</f>
        <v>0</v>
      </c>
      <c r="O179" s="30" t="e">
        <f>(G179-F179)/N179</f>
        <v>#DIV/0!</v>
      </c>
      <c r="P179" s="29">
        <f>($G179-$F179)/7.48/($AF$49*$E179/$AE$43)*12</f>
        <v>0</v>
      </c>
      <c r="Q179" s="29">
        <f>($G179-$F179)/7.48/($AF$49*$E179/$AE$43)*12</f>
        <v>0</v>
      </c>
      <c r="R179" s="29">
        <f>($G179-$F179)/7.48/($AF$49*$E179/$AE$43)*12</f>
        <v>0</v>
      </c>
      <c r="S179" s="29">
        <f>($G179-$F179)/7.48/($AF$49*$E179/$AE$43)*12</f>
        <v>0</v>
      </c>
      <c r="U179" s="28">
        <f>U171+P179</f>
        <v>11.872043952614073</v>
      </c>
      <c r="V179" s="28">
        <f>V171+Q179</f>
        <v>11.872043952614073</v>
      </c>
      <c r="W179" s="28">
        <f>W171+R179</f>
        <v>11.89193948168632</v>
      </c>
      <c r="X179" s="28">
        <f>X171+S179</f>
        <v>11.89193948168632</v>
      </c>
    </row>
    <row r="180" spans="1:24" x14ac:dyDescent="0.2">
      <c r="A180" s="1">
        <v>166</v>
      </c>
      <c r="B180" s="1" t="s">
        <v>10</v>
      </c>
      <c r="C180" s="2">
        <v>36326</v>
      </c>
      <c r="D180" s="26">
        <v>2</v>
      </c>
      <c r="E180" s="26">
        <v>105</v>
      </c>
      <c r="F180" s="27">
        <v>1595100</v>
      </c>
      <c r="G180" s="26">
        <f>F181</f>
        <v>1595100</v>
      </c>
      <c r="H180" s="9">
        <v>14</v>
      </c>
      <c r="I180" s="6" t="s">
        <v>178</v>
      </c>
      <c r="J180" s="24">
        <v>39</v>
      </c>
      <c r="K180" s="9">
        <f>H181</f>
        <v>14</v>
      </c>
      <c r="L180" s="6" t="s">
        <v>178</v>
      </c>
      <c r="M180" s="24">
        <f>J181</f>
        <v>39</v>
      </c>
      <c r="N180" s="22">
        <f>IF(H180=K180,M180-J180,60-(J180-M180))</f>
        <v>0</v>
      </c>
      <c r="O180" s="30" t="e">
        <f>(G180-F180)/N180</f>
        <v>#DIV/0!</v>
      </c>
      <c r="P180" s="29">
        <f>($G180-$F180)/7.48/($AF$50*$E180/$AE$43)*12</f>
        <v>0</v>
      </c>
      <c r="Q180" s="29">
        <f>($G180-$F180)/7.48/($AF$50*$E180/$AE$43)*12</f>
        <v>0</v>
      </c>
      <c r="R180" s="29">
        <f>($G180-$F180)/7.48/($AF$50*$E180/$AE$43)*12</f>
        <v>0</v>
      </c>
      <c r="S180" s="29">
        <f>($G180-$F180)/7.48/($AF$50*$E180/$AE$43)*12</f>
        <v>0</v>
      </c>
      <c r="U180" s="28">
        <f>U172+P180</f>
        <v>12.072883502810392</v>
      </c>
      <c r="V180" s="28">
        <f>V172+Q180</f>
        <v>12.072883502810392</v>
      </c>
      <c r="W180" s="28">
        <f>W172+R180</f>
        <v>12.01159816772177</v>
      </c>
      <c r="X180" s="28">
        <f>X172+S180</f>
        <v>12.01159816772177</v>
      </c>
    </row>
    <row r="181" spans="1:24" x14ac:dyDescent="0.2">
      <c r="A181" s="1">
        <v>166</v>
      </c>
      <c r="B181" s="1" t="s">
        <v>10</v>
      </c>
      <c r="C181" s="2">
        <v>36326</v>
      </c>
      <c r="D181" s="26">
        <v>3</v>
      </c>
      <c r="E181" s="26">
        <v>105</v>
      </c>
      <c r="F181" s="27">
        <v>1595100</v>
      </c>
      <c r="G181" s="26">
        <f>F182</f>
        <v>1615200</v>
      </c>
      <c r="H181" s="9">
        <v>14</v>
      </c>
      <c r="I181" s="6" t="s">
        <v>178</v>
      </c>
      <c r="J181" s="24">
        <v>39</v>
      </c>
      <c r="K181" s="9">
        <f>H182</f>
        <v>15</v>
      </c>
      <c r="L181" s="6" t="s">
        <v>178</v>
      </c>
      <c r="M181" s="24">
        <f>J182</f>
        <v>33</v>
      </c>
      <c r="N181" s="22">
        <f>IF(H181=K181,M181-J181,60-(J181-M181))</f>
        <v>54</v>
      </c>
      <c r="O181" s="30">
        <f>(G181-F181)/N181</f>
        <v>372.22222222222223</v>
      </c>
      <c r="P181" s="29">
        <f>($G181-$F181)/7.48/($AF$51*$E181/$AE$43)*12</f>
        <v>1.1888187667476531</v>
      </c>
      <c r="Q181" s="29">
        <f>($G181-$F181)/7.48/($AF$51*$E181/$AE$43)*12</f>
        <v>1.1888187667476531</v>
      </c>
      <c r="R181" s="29">
        <f>($G181-$F181)/7.48/($AF$51*$E181/$AE$43)*12</f>
        <v>1.1888187667476531</v>
      </c>
      <c r="S181" s="29">
        <f>($G181-$F181)/7.48/($AF$51*$E181/$AE$43)*12</f>
        <v>1.1888187667476531</v>
      </c>
      <c r="U181" s="28">
        <f>U173+P181</f>
        <v>12.504165344169493</v>
      </c>
      <c r="V181" s="28">
        <f>V173+Q181</f>
        <v>12.504165344169493</v>
      </c>
      <c r="W181" s="28">
        <f>W173+R181</f>
        <v>12.488503536313514</v>
      </c>
      <c r="X181" s="28">
        <f>X173+S181</f>
        <v>12.488503536313514</v>
      </c>
    </row>
    <row r="182" spans="1:24" x14ac:dyDescent="0.2">
      <c r="A182" s="1">
        <v>166</v>
      </c>
      <c r="B182" s="1" t="s">
        <v>10</v>
      </c>
      <c r="C182" s="2">
        <v>36326</v>
      </c>
      <c r="D182" s="26">
        <v>4</v>
      </c>
      <c r="E182" s="26">
        <v>105</v>
      </c>
      <c r="F182" s="27">
        <v>1615200</v>
      </c>
      <c r="G182" s="26">
        <f>F183</f>
        <v>1635300</v>
      </c>
      <c r="H182" s="9">
        <v>15</v>
      </c>
      <c r="I182" s="6" t="s">
        <v>178</v>
      </c>
      <c r="J182" s="24">
        <v>33</v>
      </c>
      <c r="K182" s="9">
        <v>16</v>
      </c>
      <c r="L182" s="6" t="s">
        <v>178</v>
      </c>
      <c r="M182" s="24">
        <f>J183</f>
        <v>27</v>
      </c>
      <c r="N182" s="22">
        <f>IF(H182=K182,M182-J182,60-(J182-M182))</f>
        <v>54</v>
      </c>
      <c r="O182" s="30">
        <f>(G182-F182)/N182</f>
        <v>372.22222222222223</v>
      </c>
      <c r="P182" s="29">
        <f>($G182-$F182)/7.48/($AF$52*$E182/$AE$43)*12</f>
        <v>1.2405065392149421</v>
      </c>
      <c r="Q182" s="29">
        <f>($G182-$F182)/7.48/($AF$52*$E182/$AE$43)*12</f>
        <v>1.2405065392149421</v>
      </c>
      <c r="R182" s="29">
        <f>($G182-$F182)/7.48/($AF$52*$E182/$AE$43)*12</f>
        <v>1.2405065392149421</v>
      </c>
      <c r="S182" s="29">
        <f>($G182-$F182)/7.48/($AF$52*$E182/$AE$43)*12</f>
        <v>1.2405065392149421</v>
      </c>
      <c r="U182" s="28">
        <f>U174+P182</f>
        <v>12.742011104678673</v>
      </c>
      <c r="V182" s="28">
        <f>V174+Q182</f>
        <v>12.742011104678673</v>
      </c>
      <c r="W182" s="28">
        <f>W174+R182</f>
        <v>12.77114384367732</v>
      </c>
      <c r="X182" s="28">
        <f>X174+S182</f>
        <v>12.77114384367732</v>
      </c>
    </row>
    <row r="183" spans="1:24" x14ac:dyDescent="0.2">
      <c r="A183" s="1">
        <v>166</v>
      </c>
      <c r="B183" s="1" t="s">
        <v>10</v>
      </c>
      <c r="C183" s="2">
        <v>36326</v>
      </c>
      <c r="D183" s="26" t="s">
        <v>179</v>
      </c>
      <c r="E183" s="26">
        <v>105</v>
      </c>
      <c r="F183" s="27">
        <v>1635300</v>
      </c>
      <c r="G183" s="26">
        <v>1638300</v>
      </c>
      <c r="H183" s="9">
        <v>16</v>
      </c>
      <c r="I183" s="6" t="s">
        <v>178</v>
      </c>
      <c r="J183" s="24">
        <v>27</v>
      </c>
      <c r="K183" s="9">
        <v>16</v>
      </c>
      <c r="L183" s="6" t="s">
        <v>178</v>
      </c>
      <c r="M183" s="23">
        <v>35</v>
      </c>
      <c r="N183" s="22">
        <f>IF(H183=K183,M183-J183,60-(J183-M183))</f>
        <v>8</v>
      </c>
      <c r="O183" s="21"/>
      <c r="U183" s="6"/>
      <c r="V183" s="6"/>
      <c r="W183" s="6"/>
      <c r="X183" s="6"/>
    </row>
    <row r="184" spans="1:24" ht="13.5" thickBot="1" x14ac:dyDescent="0.25">
      <c r="A184" s="20"/>
      <c r="B184" s="20"/>
      <c r="C184" s="20"/>
      <c r="D184" s="18"/>
      <c r="E184" s="18"/>
      <c r="F184" s="19"/>
      <c r="G184" s="18"/>
      <c r="H184" s="17"/>
      <c r="I184" s="12"/>
      <c r="J184" s="16"/>
      <c r="K184" s="15"/>
      <c r="L184" s="12"/>
      <c r="M184" s="14"/>
      <c r="N184" s="12" t="s">
        <v>175</v>
      </c>
      <c r="O184" s="13">
        <f>(G182-F178)/(SUM(N178:N182))</f>
        <v>372.80701754385967</v>
      </c>
      <c r="P184" s="12" t="s">
        <v>174</v>
      </c>
      <c r="Q184" s="12"/>
      <c r="R184" s="11">
        <f>AVERAGE(P181:S182)</f>
        <v>1.2146626529812976</v>
      </c>
      <c r="S184" s="12"/>
      <c r="T184" s="12"/>
      <c r="U184" s="12" t="s">
        <v>173</v>
      </c>
      <c r="V184" s="12"/>
      <c r="W184" s="12"/>
      <c r="X184" s="11">
        <f>AVERAGE(U179:X182)</f>
        <v>12.294286116708946</v>
      </c>
    </row>
    <row r="185" spans="1:24" x14ac:dyDescent="0.2">
      <c r="D185" s="26"/>
      <c r="E185" s="26"/>
      <c r="F185" s="59"/>
      <c r="G185" s="21"/>
      <c r="H185" s="25"/>
      <c r="I185" s="6"/>
      <c r="J185" s="36"/>
      <c r="K185" s="35"/>
      <c r="M185" s="34"/>
      <c r="N185" s="33"/>
      <c r="O185" s="32"/>
      <c r="P185" s="31"/>
      <c r="Q185" s="31"/>
      <c r="R185" s="31"/>
      <c r="S185" s="31"/>
      <c r="T185" s="31"/>
    </row>
    <row r="186" spans="1:24" x14ac:dyDescent="0.2">
      <c r="A186" s="1">
        <v>167</v>
      </c>
      <c r="B186" s="1" t="s">
        <v>6</v>
      </c>
      <c r="C186" s="2">
        <v>36327</v>
      </c>
      <c r="D186" s="26" t="s">
        <v>179</v>
      </c>
      <c r="E186" s="26">
        <v>105</v>
      </c>
      <c r="F186" s="27">
        <v>1674300</v>
      </c>
      <c r="G186" s="26">
        <v>1680400</v>
      </c>
      <c r="H186" s="25">
        <v>16</v>
      </c>
      <c r="I186" s="6" t="s">
        <v>178</v>
      </c>
      <c r="J186" s="24">
        <v>13</v>
      </c>
      <c r="K186" s="9">
        <v>16</v>
      </c>
      <c r="L186" s="6" t="s">
        <v>178</v>
      </c>
      <c r="M186" s="24">
        <v>30</v>
      </c>
      <c r="N186" s="22">
        <f>IF(H186=K186,M186-J186,60-(J186-M186))</f>
        <v>17</v>
      </c>
      <c r="O186" s="30">
        <f>(G186-F186)/N186</f>
        <v>358.8235294117647</v>
      </c>
      <c r="P186" s="6"/>
      <c r="Q186" s="6"/>
      <c r="R186" s="6"/>
      <c r="S186" s="6"/>
      <c r="U186" s="6"/>
      <c r="V186" s="6"/>
      <c r="W186" s="6"/>
      <c r="X186" s="6"/>
    </row>
    <row r="187" spans="1:24" x14ac:dyDescent="0.2">
      <c r="A187" s="1">
        <v>167</v>
      </c>
      <c r="B187" s="1" t="s">
        <v>6</v>
      </c>
      <c r="C187" s="2">
        <v>36327</v>
      </c>
      <c r="D187" s="26">
        <v>1</v>
      </c>
      <c r="E187" s="26">
        <v>105</v>
      </c>
      <c r="F187" s="27">
        <v>1657300</v>
      </c>
      <c r="G187" s="26">
        <f>F186</f>
        <v>1674300</v>
      </c>
      <c r="H187" s="25">
        <v>15</v>
      </c>
      <c r="I187" s="6" t="s">
        <v>178</v>
      </c>
      <c r="J187" s="24">
        <v>27</v>
      </c>
      <c r="K187" s="9">
        <f>H186</f>
        <v>16</v>
      </c>
      <c r="L187" s="6" t="s">
        <v>178</v>
      </c>
      <c r="M187" s="23">
        <f>J186</f>
        <v>13</v>
      </c>
      <c r="N187" s="22">
        <f>IF(H187=K187,M187-J187,60-(J187-M187))</f>
        <v>46</v>
      </c>
      <c r="O187" s="30">
        <f>(G187-F187)/N187</f>
        <v>369.56521739130437</v>
      </c>
      <c r="P187" s="29">
        <f>($G187-$F187)/7.48/($AF$49*$E187/$AE$43)*12</f>
        <v>1.0491846351569163</v>
      </c>
      <c r="Q187" s="29">
        <f>($G187-$F187)/7.48/($AF$49*$E187/$AE$43)*12</f>
        <v>1.0491846351569163</v>
      </c>
      <c r="R187" s="29">
        <f>($G187-$F187)/7.48/($AF$49*$E187/$AE$43)*12</f>
        <v>1.0491846351569163</v>
      </c>
      <c r="S187" s="29">
        <f>($G187-$F187)/7.48/($AF$49*$E187/$AE$43)*12</f>
        <v>1.0491846351569163</v>
      </c>
      <c r="U187" s="28">
        <f>U179+P187</f>
        <v>12.921228587770988</v>
      </c>
      <c r="V187" s="28">
        <f>V179+Q187</f>
        <v>12.921228587770988</v>
      </c>
      <c r="W187" s="28">
        <f>W179+R187</f>
        <v>12.941124116843236</v>
      </c>
      <c r="X187" s="28">
        <f>X179+S187</f>
        <v>12.941124116843236</v>
      </c>
    </row>
    <row r="188" spans="1:24" x14ac:dyDescent="0.2">
      <c r="A188" s="1">
        <v>167</v>
      </c>
      <c r="B188" s="1" t="s">
        <v>6</v>
      </c>
      <c r="C188" s="2">
        <v>36327</v>
      </c>
      <c r="D188" s="26">
        <v>2</v>
      </c>
      <c r="E188" s="26">
        <v>105</v>
      </c>
      <c r="F188" s="27">
        <v>1638300</v>
      </c>
      <c r="G188" s="26">
        <f>F187</f>
        <v>1657300</v>
      </c>
      <c r="H188" s="25">
        <v>14</v>
      </c>
      <c r="I188" s="6" t="s">
        <v>178</v>
      </c>
      <c r="J188" s="24">
        <v>36</v>
      </c>
      <c r="K188" s="9">
        <f>H187</f>
        <v>15</v>
      </c>
      <c r="L188" s="6" t="s">
        <v>178</v>
      </c>
      <c r="M188" s="23">
        <f>J187</f>
        <v>27</v>
      </c>
      <c r="N188" s="22">
        <f>IF(H188=K188,M188-J188,60-(J188-M188))</f>
        <v>51</v>
      </c>
      <c r="O188" s="30">
        <f>(G188-F188)/N188</f>
        <v>372.54901960784315</v>
      </c>
      <c r="P188" s="29">
        <f>($G188-$F188)/7.48/($AF$50*$E188/$AE$43)*12</f>
        <v>1.1237590332440501</v>
      </c>
      <c r="Q188" s="29">
        <f>($G188-$F188)/7.48/($AF$50*$E188/$AE$43)*12</f>
        <v>1.1237590332440501</v>
      </c>
      <c r="R188" s="29">
        <f>($G188-$F188)/7.48/($AF$50*$E188/$AE$43)*12</f>
        <v>1.1237590332440501</v>
      </c>
      <c r="S188" s="29">
        <f>($G188-$F188)/7.48/($AF$50*$E188/$AE$43)*12</f>
        <v>1.1237590332440501</v>
      </c>
      <c r="U188" s="28">
        <f>U180+P188</f>
        <v>13.196642536054442</v>
      </c>
      <c r="V188" s="28">
        <f>V180+Q188</f>
        <v>13.196642536054442</v>
      </c>
      <c r="W188" s="28">
        <f>W180+R188</f>
        <v>13.135357200965821</v>
      </c>
      <c r="X188" s="28">
        <f>X180+S188</f>
        <v>13.135357200965821</v>
      </c>
    </row>
    <row r="189" spans="1:24" x14ac:dyDescent="0.2">
      <c r="A189" s="1">
        <v>167</v>
      </c>
      <c r="B189" s="1" t="s">
        <v>6</v>
      </c>
      <c r="C189" s="2">
        <v>36327</v>
      </c>
      <c r="D189" s="26">
        <v>3</v>
      </c>
      <c r="E189" s="26">
        <v>105</v>
      </c>
      <c r="F189" s="27">
        <v>1638300</v>
      </c>
      <c r="G189" s="26">
        <f>F188</f>
        <v>1638300</v>
      </c>
      <c r="H189" s="25">
        <v>14</v>
      </c>
      <c r="I189" s="6" t="s">
        <v>178</v>
      </c>
      <c r="J189" s="24">
        <v>36</v>
      </c>
      <c r="K189" s="9">
        <f>H188</f>
        <v>14</v>
      </c>
      <c r="L189" s="6" t="s">
        <v>178</v>
      </c>
      <c r="M189" s="23">
        <f>J188</f>
        <v>36</v>
      </c>
      <c r="N189" s="22">
        <f>IF(H189=K189,M189-J189,60-(J189-M189))</f>
        <v>0</v>
      </c>
      <c r="O189" s="30" t="e">
        <f>(G189-F189)/N189</f>
        <v>#DIV/0!</v>
      </c>
      <c r="P189" s="29">
        <f>($G189-$F189)/7.48/($AF$51*$E189/$AE$43)*12</f>
        <v>0</v>
      </c>
      <c r="Q189" s="29">
        <f>($G189-$F189)/7.48/($AF$51*$E189/$AE$43)*12</f>
        <v>0</v>
      </c>
      <c r="R189" s="29">
        <f>($G189-$F189)/7.48/($AF$51*$E189/$AE$43)*12</f>
        <v>0</v>
      </c>
      <c r="S189" s="29">
        <f>($G189-$F189)/7.48/($AF$51*$E189/$AE$43)*12</f>
        <v>0</v>
      </c>
      <c r="U189" s="28">
        <f>U181+P189</f>
        <v>12.504165344169493</v>
      </c>
      <c r="V189" s="28">
        <f>V181+Q189</f>
        <v>12.504165344169493</v>
      </c>
      <c r="W189" s="28">
        <f>W181+R189</f>
        <v>12.488503536313514</v>
      </c>
      <c r="X189" s="28">
        <f>X181+S189</f>
        <v>12.488503536313514</v>
      </c>
    </row>
    <row r="190" spans="1:24" x14ac:dyDescent="0.2">
      <c r="A190" s="1">
        <v>167</v>
      </c>
      <c r="B190" s="1" t="s">
        <v>6</v>
      </c>
      <c r="C190" s="2">
        <v>36327</v>
      </c>
      <c r="D190" s="26">
        <v>4</v>
      </c>
      <c r="E190" s="26">
        <v>105</v>
      </c>
      <c r="F190" s="27">
        <v>1638300</v>
      </c>
      <c r="G190" s="26">
        <f>F189</f>
        <v>1638300</v>
      </c>
      <c r="H190" s="25">
        <v>14</v>
      </c>
      <c r="I190" s="6" t="s">
        <v>178</v>
      </c>
      <c r="J190" s="24">
        <v>36</v>
      </c>
      <c r="K190" s="9">
        <f>H189</f>
        <v>14</v>
      </c>
      <c r="L190" s="6" t="s">
        <v>178</v>
      </c>
      <c r="M190" s="23">
        <f>J189</f>
        <v>36</v>
      </c>
      <c r="N190" s="22">
        <f>IF(H190=K190,M190-J190,60-(J190-M190))</f>
        <v>0</v>
      </c>
      <c r="O190" s="30" t="e">
        <f>(G190-F190)/N190</f>
        <v>#DIV/0!</v>
      </c>
      <c r="P190" s="29">
        <f>($G190-$F190)/7.48/($AF$52*$E190/$AE$43)*12</f>
        <v>0</v>
      </c>
      <c r="Q190" s="29">
        <f>($G190-$F190)/7.48/($AF$52*$E190/$AE$43)*12</f>
        <v>0</v>
      </c>
      <c r="R190" s="29">
        <f>($G190-$F190)/7.48/($AF$52*$E190/$AE$43)*12</f>
        <v>0</v>
      </c>
      <c r="S190" s="29">
        <f>($G190-$F190)/7.48/($AF$52*$E190/$AE$43)*12</f>
        <v>0</v>
      </c>
      <c r="U190" s="28">
        <f>U182+P190</f>
        <v>12.742011104678673</v>
      </c>
      <c r="V190" s="28">
        <f>V182+Q190</f>
        <v>12.742011104678673</v>
      </c>
      <c r="W190" s="28">
        <f>W182+R190</f>
        <v>12.77114384367732</v>
      </c>
      <c r="X190" s="28">
        <f>X182+S190</f>
        <v>12.77114384367732</v>
      </c>
    </row>
    <row r="191" spans="1:24" x14ac:dyDescent="0.2">
      <c r="A191" s="1">
        <v>167</v>
      </c>
      <c r="B191" s="1" t="s">
        <v>6</v>
      </c>
      <c r="C191" s="2">
        <v>36327</v>
      </c>
      <c r="D191" s="26" t="s">
        <v>180</v>
      </c>
      <c r="E191" s="26">
        <v>105</v>
      </c>
      <c r="F191" s="27">
        <v>1638300</v>
      </c>
      <c r="G191" s="26">
        <f>F190</f>
        <v>1638300</v>
      </c>
      <c r="H191" s="25">
        <v>14</v>
      </c>
      <c r="I191" s="6" t="s">
        <v>178</v>
      </c>
      <c r="J191" s="24">
        <v>36</v>
      </c>
      <c r="K191" s="9">
        <f>H190</f>
        <v>14</v>
      </c>
      <c r="L191" s="6" t="s">
        <v>178</v>
      </c>
      <c r="M191" s="23">
        <f>J190</f>
        <v>36</v>
      </c>
      <c r="N191" s="22">
        <f>IF(H191=K191,M191-J191,60-(J191-M191))</f>
        <v>0</v>
      </c>
      <c r="O191" s="21"/>
      <c r="U191" s="6"/>
      <c r="V191" s="6"/>
      <c r="W191" s="6"/>
      <c r="X191" s="6"/>
    </row>
    <row r="192" spans="1:24" ht="13.5" thickBot="1" x14ac:dyDescent="0.25">
      <c r="A192" s="20"/>
      <c r="B192" s="20"/>
      <c r="C192" s="20"/>
      <c r="D192" s="18"/>
      <c r="E192" s="18"/>
      <c r="F192" s="19"/>
      <c r="G192" s="18"/>
      <c r="H192" s="17"/>
      <c r="I192" s="12"/>
      <c r="J192" s="16"/>
      <c r="K192" s="15"/>
      <c r="L192" s="12"/>
      <c r="M192" s="14"/>
      <c r="N192" s="12" t="s">
        <v>175</v>
      </c>
      <c r="O192" s="13">
        <f>(G186-F190)/(SUM(N186:N190))</f>
        <v>369.29824561403507</v>
      </c>
      <c r="P192" s="12" t="s">
        <v>174</v>
      </c>
      <c r="Q192" s="12"/>
      <c r="R192" s="11">
        <f>AVERAGE(P187:S188)</f>
        <v>1.0864718342004831</v>
      </c>
      <c r="S192" s="12"/>
      <c r="T192" s="12"/>
      <c r="U192" s="12" t="s">
        <v>173</v>
      </c>
      <c r="V192" s="12"/>
      <c r="W192" s="12"/>
      <c r="X192" s="11">
        <f>AVERAGE(U187:X190)</f>
        <v>12.837522033809186</v>
      </c>
    </row>
    <row r="193" spans="1:26" x14ac:dyDescent="0.2">
      <c r="D193" s="26"/>
      <c r="E193" s="26"/>
      <c r="F193" s="38"/>
      <c r="G193" s="37"/>
      <c r="H193" s="25"/>
      <c r="I193" s="6"/>
      <c r="J193" s="36"/>
      <c r="K193" s="35"/>
      <c r="M193" s="34"/>
      <c r="N193" s="33"/>
      <c r="O193" s="32"/>
      <c r="P193" s="31"/>
      <c r="Q193" s="31"/>
      <c r="R193" s="31"/>
      <c r="S193" s="31"/>
      <c r="T193" s="31"/>
    </row>
    <row r="194" spans="1:26" x14ac:dyDescent="0.2">
      <c r="A194" s="1"/>
      <c r="B194" s="1"/>
      <c r="C194" s="2"/>
      <c r="D194" s="26" t="s">
        <v>179</v>
      </c>
      <c r="E194" s="26">
        <v>105</v>
      </c>
      <c r="F194" s="27">
        <v>1687900</v>
      </c>
      <c r="G194" s="39">
        <v>1680400</v>
      </c>
      <c r="H194" s="25">
        <v>15</v>
      </c>
      <c r="I194" s="6" t="s">
        <v>178</v>
      </c>
      <c r="J194" s="24">
        <v>35</v>
      </c>
      <c r="K194" s="9">
        <v>15</v>
      </c>
      <c r="L194" s="6" t="s">
        <v>178</v>
      </c>
      <c r="M194" s="24">
        <v>35</v>
      </c>
      <c r="N194" s="22">
        <f>IF(H194=K194,M194-J194,60-(J194-M194))</f>
        <v>0</v>
      </c>
      <c r="O194" s="30" t="e">
        <f>(G194-F194)/N194</f>
        <v>#DIV/0!</v>
      </c>
      <c r="P194" s="6"/>
      <c r="Q194" s="6"/>
      <c r="R194" s="6"/>
      <c r="S194" s="6"/>
      <c r="U194" s="6"/>
      <c r="V194" s="6"/>
      <c r="W194" s="6"/>
      <c r="X194" s="6"/>
    </row>
    <row r="195" spans="1:26" x14ac:dyDescent="0.2">
      <c r="A195" s="1"/>
      <c r="B195" s="1"/>
      <c r="C195" s="2"/>
      <c r="D195" s="26">
        <v>1</v>
      </c>
      <c r="E195" s="26">
        <v>105</v>
      </c>
      <c r="F195" s="27">
        <v>1687900</v>
      </c>
      <c r="G195" s="39">
        <f>F194</f>
        <v>1687900</v>
      </c>
      <c r="H195" s="25">
        <v>15</v>
      </c>
      <c r="I195" s="6" t="s">
        <v>178</v>
      </c>
      <c r="J195" s="24">
        <v>35</v>
      </c>
      <c r="K195" s="9">
        <f>H194</f>
        <v>15</v>
      </c>
      <c r="L195" s="6" t="s">
        <v>178</v>
      </c>
      <c r="M195" s="23">
        <f>J194</f>
        <v>35</v>
      </c>
      <c r="N195" s="22">
        <f>IF(H195=K195,M195-J195,60-(J195-M195))</f>
        <v>0</v>
      </c>
      <c r="O195" s="30" t="e">
        <f>(G195-F195)/N195</f>
        <v>#DIV/0!</v>
      </c>
      <c r="P195" s="29">
        <f>($G195-$F195)/7.48/($AF$49*$E195/$AE$43)*12</f>
        <v>0</v>
      </c>
      <c r="Q195" s="29">
        <f>($G195-$F195)/7.48/($AF$49*$E195/$AE$43)*12</f>
        <v>0</v>
      </c>
      <c r="R195" s="29">
        <f>($G195-$F195)/7.48/($AF$49*$E195/$AE$43)*12</f>
        <v>0</v>
      </c>
      <c r="S195" s="29">
        <f>($G195-$F195)/7.48/($AF$49*$E195/$AE$43)*12</f>
        <v>0</v>
      </c>
      <c r="U195" s="28">
        <f>U187+P195</f>
        <v>12.921228587770988</v>
      </c>
      <c r="V195" s="28">
        <f>V187+Q195</f>
        <v>12.921228587770988</v>
      </c>
      <c r="W195" s="28">
        <f>W187+R195</f>
        <v>12.941124116843236</v>
      </c>
      <c r="X195" s="28">
        <f>X187+S195</f>
        <v>12.941124116843236</v>
      </c>
    </row>
    <row r="196" spans="1:26" x14ac:dyDescent="0.2">
      <c r="A196" s="1"/>
      <c r="B196" s="1"/>
      <c r="C196" s="2"/>
      <c r="D196" s="26">
        <v>2</v>
      </c>
      <c r="E196" s="26">
        <v>105</v>
      </c>
      <c r="F196" s="27">
        <v>1687900</v>
      </c>
      <c r="G196" s="39">
        <f>F195</f>
        <v>1687900</v>
      </c>
      <c r="H196" s="25">
        <v>15</v>
      </c>
      <c r="I196" s="6" t="s">
        <v>178</v>
      </c>
      <c r="J196" s="24">
        <v>35</v>
      </c>
      <c r="K196" s="9">
        <f>H195</f>
        <v>15</v>
      </c>
      <c r="L196" s="6" t="s">
        <v>178</v>
      </c>
      <c r="M196" s="23">
        <f>J195</f>
        <v>35</v>
      </c>
      <c r="N196" s="22">
        <f>IF(H196=K196,M196-J196,60-(J196-M196))</f>
        <v>0</v>
      </c>
      <c r="O196" s="30" t="e">
        <f>(G196-F196)/N196</f>
        <v>#DIV/0!</v>
      </c>
      <c r="P196" s="29">
        <f>($G196-$F196)/7.48/($AF$50*$E196/$AE$43)*12</f>
        <v>0</v>
      </c>
      <c r="Q196" s="29">
        <f>($G196-$F196)/7.48/($AF$50*$E196/$AE$43)*12</f>
        <v>0</v>
      </c>
      <c r="R196" s="29">
        <f>($G196-$F196)/7.48/($AF$50*$E196/$AE$43)*12</f>
        <v>0</v>
      </c>
      <c r="S196" s="29">
        <f>($G196-$F196)/7.48/($AF$50*$E196/$AE$43)*12</f>
        <v>0</v>
      </c>
      <c r="U196" s="28">
        <f>U188+P196</f>
        <v>13.196642536054442</v>
      </c>
      <c r="V196" s="28">
        <f>V188+Q196</f>
        <v>13.196642536054442</v>
      </c>
      <c r="W196" s="28">
        <f>W188+R196</f>
        <v>13.135357200965821</v>
      </c>
      <c r="X196" s="28">
        <f>X188+S196</f>
        <v>13.135357200965821</v>
      </c>
    </row>
    <row r="197" spans="1:26" x14ac:dyDescent="0.2">
      <c r="A197" s="1"/>
      <c r="B197" s="1"/>
      <c r="C197" s="2"/>
      <c r="D197" s="26">
        <v>3</v>
      </c>
      <c r="E197" s="26">
        <v>105</v>
      </c>
      <c r="F197" s="27">
        <v>1687900</v>
      </c>
      <c r="G197" s="39">
        <f>F196</f>
        <v>1687900</v>
      </c>
      <c r="H197" s="25">
        <v>15</v>
      </c>
      <c r="I197" s="6" t="s">
        <v>178</v>
      </c>
      <c r="J197" s="24">
        <v>35</v>
      </c>
      <c r="K197" s="9">
        <f>H196</f>
        <v>15</v>
      </c>
      <c r="L197" s="6" t="s">
        <v>178</v>
      </c>
      <c r="M197" s="23">
        <f>J196</f>
        <v>35</v>
      </c>
      <c r="N197" s="22">
        <f>IF(H197=K197,M197-J197,60-(J197-M197))</f>
        <v>0</v>
      </c>
      <c r="O197" s="30" t="e">
        <f>(G197-F197)/N197</f>
        <v>#DIV/0!</v>
      </c>
      <c r="P197" s="29">
        <f>($G197-$F197)/7.48/($AF$51*$E197/$AE$43)*12</f>
        <v>0</v>
      </c>
      <c r="Q197" s="29">
        <f>($G197-$F197)/7.48/($AF$51*$E197/$AE$43)*12</f>
        <v>0</v>
      </c>
      <c r="R197" s="29">
        <f>($G197-$F197)/7.48/($AF$51*$E197/$AE$43)*12</f>
        <v>0</v>
      </c>
      <c r="S197" s="29">
        <f>($G197-$F197)/7.48/($AF$51*$E197/$AE$43)*12</f>
        <v>0</v>
      </c>
      <c r="U197" s="28">
        <f>U189+P197</f>
        <v>12.504165344169493</v>
      </c>
      <c r="V197" s="28">
        <f>V189+Q197</f>
        <v>12.504165344169493</v>
      </c>
      <c r="W197" s="28">
        <f>W189+R197</f>
        <v>12.488503536313514</v>
      </c>
      <c r="X197" s="28">
        <f>X189+S197</f>
        <v>12.488503536313514</v>
      </c>
    </row>
    <row r="198" spans="1:26" x14ac:dyDescent="0.2">
      <c r="A198" s="1">
        <v>168</v>
      </c>
      <c r="B198" s="1" t="s">
        <v>129</v>
      </c>
      <c r="C198" s="2">
        <v>36328</v>
      </c>
      <c r="D198" s="26">
        <v>4</v>
      </c>
      <c r="E198" s="26">
        <v>105</v>
      </c>
      <c r="F198" s="27">
        <v>1684800</v>
      </c>
      <c r="G198" s="39">
        <v>1687900</v>
      </c>
      <c r="H198" s="25">
        <v>15</v>
      </c>
      <c r="I198" s="6" t="s">
        <v>178</v>
      </c>
      <c r="J198" s="24">
        <v>35</v>
      </c>
      <c r="K198" s="9">
        <v>15</v>
      </c>
      <c r="L198" s="6" t="s">
        <v>178</v>
      </c>
      <c r="M198" s="23">
        <v>45</v>
      </c>
      <c r="N198" s="22">
        <f>IF(H198=K198,M198-J198,60-(J198-M198))</f>
        <v>10</v>
      </c>
      <c r="O198" s="30">
        <f>(G198-F198)/N198</f>
        <v>310</v>
      </c>
      <c r="P198" s="29">
        <f>($G198-$F198)/7.48/($AF$52*$E198/$AE$43)*12</f>
        <v>0.1913219040580259</v>
      </c>
      <c r="Q198" s="29">
        <f>($G198-$F198)/7.48/($AF$52*$E198/$AE$43)*12</f>
        <v>0.1913219040580259</v>
      </c>
      <c r="R198" s="29">
        <f>($G198-$F198)/7.48/($AF$52*$E198/$AE$43)*12</f>
        <v>0.1913219040580259</v>
      </c>
      <c r="S198" s="29">
        <f>($G198-$F198)/7.48/($AF$52*$E198/$AE$43)*12</f>
        <v>0.1913219040580259</v>
      </c>
      <c r="U198" s="28">
        <f>U190+P198</f>
        <v>12.933333008736698</v>
      </c>
      <c r="V198" s="28">
        <f>V190+Q198</f>
        <v>12.933333008736698</v>
      </c>
      <c r="W198" s="28">
        <f>W190+R198</f>
        <v>12.962465747735346</v>
      </c>
      <c r="X198" s="28">
        <f>X190+S198</f>
        <v>12.962465747735346</v>
      </c>
      <c r="Z198" s="1" t="s">
        <v>199</v>
      </c>
    </row>
    <row r="199" spans="1:26" x14ac:dyDescent="0.2">
      <c r="A199" s="1">
        <v>168</v>
      </c>
      <c r="B199" s="1" t="s">
        <v>129</v>
      </c>
      <c r="C199" s="2">
        <v>36328</v>
      </c>
      <c r="D199" s="26" t="s">
        <v>180</v>
      </c>
      <c r="E199" s="26">
        <v>105</v>
      </c>
      <c r="F199" s="27">
        <v>1680400</v>
      </c>
      <c r="G199" s="26">
        <f>F198</f>
        <v>1684800</v>
      </c>
      <c r="H199" s="25">
        <v>15</v>
      </c>
      <c r="I199" s="6" t="s">
        <v>178</v>
      </c>
      <c r="J199" s="24">
        <v>15</v>
      </c>
      <c r="K199" s="9">
        <f>H198</f>
        <v>15</v>
      </c>
      <c r="L199" s="6" t="s">
        <v>178</v>
      </c>
      <c r="M199" s="23">
        <f>J198</f>
        <v>35</v>
      </c>
      <c r="N199" s="22">
        <f>IF(H199=K199,M199-J199,60-(J199-M199))</f>
        <v>20</v>
      </c>
      <c r="O199" s="21"/>
      <c r="U199" s="6"/>
      <c r="V199" s="6"/>
      <c r="W199" s="6"/>
      <c r="X199" s="6"/>
    </row>
    <row r="200" spans="1:26" ht="13.5" thickBot="1" x14ac:dyDescent="0.25">
      <c r="A200" s="20"/>
      <c r="B200" s="20"/>
      <c r="C200" s="20"/>
      <c r="D200" s="18"/>
      <c r="E200" s="18"/>
      <c r="F200" s="19"/>
      <c r="G200" s="18"/>
      <c r="H200" s="17"/>
      <c r="I200" s="12"/>
      <c r="J200" s="16"/>
      <c r="K200" s="15"/>
      <c r="L200" s="12"/>
      <c r="M200" s="14"/>
      <c r="N200" s="12" t="s">
        <v>175</v>
      </c>
      <c r="O200" s="13">
        <f>(G198-F198)/(SUM(N198:N198))</f>
        <v>310</v>
      </c>
      <c r="P200" s="12" t="s">
        <v>174</v>
      </c>
      <c r="Q200" s="12"/>
      <c r="R200" s="11">
        <f>AVERAGE(P198:S198)</f>
        <v>0.1913219040580259</v>
      </c>
      <c r="S200" s="12"/>
      <c r="T200" s="12"/>
      <c r="U200" s="12" t="s">
        <v>173</v>
      </c>
      <c r="V200" s="12"/>
      <c r="W200" s="12"/>
      <c r="X200" s="11">
        <f>AVERAGE(U195:X198)</f>
        <v>12.88535250982369</v>
      </c>
    </row>
    <row r="201" spans="1:26" x14ac:dyDescent="0.2">
      <c r="D201" s="26"/>
      <c r="E201" s="26"/>
      <c r="F201" s="59"/>
      <c r="G201" s="21"/>
      <c r="H201" s="25"/>
      <c r="I201" s="6"/>
      <c r="J201" s="36"/>
      <c r="K201" s="35"/>
      <c r="M201" s="34"/>
      <c r="N201" s="33"/>
      <c r="O201" s="32"/>
      <c r="P201" s="31"/>
      <c r="Q201" s="31"/>
      <c r="R201" s="31"/>
      <c r="S201" s="31"/>
    </row>
    <row r="202" spans="1:26" x14ac:dyDescent="0.2">
      <c r="A202" s="1">
        <v>170</v>
      </c>
      <c r="B202" s="1" t="s">
        <v>16</v>
      </c>
      <c r="C202" s="2">
        <v>36330</v>
      </c>
      <c r="D202" s="26" t="s">
        <v>179</v>
      </c>
      <c r="E202" s="26">
        <v>105</v>
      </c>
      <c r="F202" s="27">
        <v>1751500</v>
      </c>
      <c r="G202" s="26">
        <v>1757100</v>
      </c>
      <c r="H202" s="25">
        <v>16</v>
      </c>
      <c r="I202" s="6" t="s">
        <v>178</v>
      </c>
      <c r="J202" s="24">
        <v>15</v>
      </c>
      <c r="K202" s="9">
        <v>16</v>
      </c>
      <c r="L202" s="6" t="s">
        <v>178</v>
      </c>
      <c r="M202" s="24">
        <v>30</v>
      </c>
      <c r="N202" s="22">
        <f>IF(H202=K202,M202-J202,60-(J202-M202))</f>
        <v>15</v>
      </c>
      <c r="O202" s="30">
        <f>(G202-F202)/N202</f>
        <v>373.33333333333331</v>
      </c>
      <c r="P202" s="6"/>
      <c r="Q202" s="6"/>
      <c r="R202" s="6"/>
      <c r="S202" s="6"/>
      <c r="U202" s="6"/>
      <c r="V202" s="6"/>
      <c r="W202" s="6"/>
      <c r="X202" s="6"/>
    </row>
    <row r="203" spans="1:26" x14ac:dyDescent="0.2">
      <c r="A203" s="1">
        <v>170</v>
      </c>
      <c r="B203" s="1" t="s">
        <v>16</v>
      </c>
      <c r="C203" s="2">
        <v>36330</v>
      </c>
      <c r="D203" s="26">
        <v>1</v>
      </c>
      <c r="E203" s="26">
        <v>105</v>
      </c>
      <c r="F203" s="27">
        <v>1733900</v>
      </c>
      <c r="G203" s="39">
        <f>F202</f>
        <v>1751500</v>
      </c>
      <c r="H203" s="25">
        <v>15</v>
      </c>
      <c r="I203" s="6" t="s">
        <v>178</v>
      </c>
      <c r="J203" s="24">
        <v>29</v>
      </c>
      <c r="K203" s="9">
        <f>H202</f>
        <v>16</v>
      </c>
      <c r="L203" s="6" t="s">
        <v>178</v>
      </c>
      <c r="M203" s="23">
        <f>J202</f>
        <v>15</v>
      </c>
      <c r="N203" s="22">
        <f>IF(H203=K203,M203-J203,60-(J203-M203))</f>
        <v>46</v>
      </c>
      <c r="O203" s="30">
        <f>(G203-F203)/N203</f>
        <v>382.60869565217394</v>
      </c>
      <c r="P203" s="29">
        <f>($G203-$F203)/7.48/($AF$49*$E203/$AE$43)*12</f>
        <v>1.0862146811036311</v>
      </c>
      <c r="Q203" s="29">
        <f>($G203-$F203)/7.48/($AF$49*$E203/$AE$43)*12</f>
        <v>1.0862146811036311</v>
      </c>
      <c r="R203" s="29">
        <f>($G203-$F203)/7.48/($AF$49*$E203/$AE$43)*12</f>
        <v>1.0862146811036311</v>
      </c>
      <c r="S203" s="29">
        <f>($G203-$F203)/7.48/($AF$49*$E203/$AE$43)*12</f>
        <v>1.0862146811036311</v>
      </c>
      <c r="U203" s="28">
        <f>U195+P203</f>
        <v>14.007443268874619</v>
      </c>
      <c r="V203" s="28">
        <f>V195+Q203</f>
        <v>14.007443268874619</v>
      </c>
      <c r="W203" s="28">
        <f>W195+R203</f>
        <v>14.027338797946866</v>
      </c>
      <c r="X203" s="28">
        <f>X195+S203</f>
        <v>14.027338797946866</v>
      </c>
    </row>
    <row r="204" spans="1:26" x14ac:dyDescent="0.2">
      <c r="A204" s="1">
        <v>170</v>
      </c>
      <c r="B204" s="1" t="s">
        <v>16</v>
      </c>
      <c r="C204" s="2">
        <v>36330</v>
      </c>
      <c r="D204" s="26">
        <v>2</v>
      </c>
      <c r="E204" s="26">
        <v>105</v>
      </c>
      <c r="F204" s="27">
        <v>1715000</v>
      </c>
      <c r="G204" s="39">
        <f>F203</f>
        <v>1733900</v>
      </c>
      <c r="H204" s="25">
        <v>14</v>
      </c>
      <c r="I204" s="6" t="s">
        <v>178</v>
      </c>
      <c r="J204" s="24">
        <v>39</v>
      </c>
      <c r="K204" s="9">
        <f>H203</f>
        <v>15</v>
      </c>
      <c r="L204" s="6" t="s">
        <v>178</v>
      </c>
      <c r="M204" s="23">
        <f>J203</f>
        <v>29</v>
      </c>
      <c r="N204" s="22">
        <f>IF(H204=K204,M204-J204,60-(J204-M204))</f>
        <v>50</v>
      </c>
      <c r="O204" s="30">
        <f>(G204-F204)/N204</f>
        <v>378</v>
      </c>
      <c r="P204" s="29">
        <f>($G204-$F204)/7.48/($AF$50*$E204/$AE$43)*12</f>
        <v>1.11784451201645</v>
      </c>
      <c r="Q204" s="29">
        <f>($G204-$F204)/7.48/($AF$50*$E204/$AE$43)*12</f>
        <v>1.11784451201645</v>
      </c>
      <c r="R204" s="29">
        <f>($G204-$F204)/7.48/($AF$50*$E204/$AE$43)*12</f>
        <v>1.11784451201645</v>
      </c>
      <c r="S204" s="29">
        <f>($G204-$F204)/7.48/($AF$50*$E204/$AE$43)*12</f>
        <v>1.11784451201645</v>
      </c>
      <c r="U204" s="28">
        <f>U196+P204</f>
        <v>14.314487048070893</v>
      </c>
      <c r="V204" s="28">
        <f>V196+Q204</f>
        <v>14.314487048070893</v>
      </c>
      <c r="W204" s="28">
        <f>W196+R204</f>
        <v>14.253201712982271</v>
      </c>
      <c r="X204" s="28">
        <f>X196+S204</f>
        <v>14.253201712982271</v>
      </c>
    </row>
    <row r="205" spans="1:26" x14ac:dyDescent="0.2">
      <c r="A205" s="1">
        <v>170</v>
      </c>
      <c r="B205" s="1" t="s">
        <v>16</v>
      </c>
      <c r="C205" s="2">
        <v>36330</v>
      </c>
      <c r="D205" s="26">
        <v>3</v>
      </c>
      <c r="E205" s="26">
        <v>105</v>
      </c>
      <c r="F205" s="27">
        <v>1699200</v>
      </c>
      <c r="G205" s="39">
        <f>F204</f>
        <v>1715000</v>
      </c>
      <c r="H205" s="25"/>
      <c r="I205" s="6" t="s">
        <v>178</v>
      </c>
      <c r="J205" s="24"/>
      <c r="L205" s="6" t="s">
        <v>178</v>
      </c>
      <c r="M205" s="23"/>
      <c r="N205" s="22">
        <f>IF(H205=K205,M205-J205,60-(J205-M205))</f>
        <v>0</v>
      </c>
      <c r="O205" s="30" t="e">
        <f>(G205-F205)/N205</f>
        <v>#DIV/0!</v>
      </c>
      <c r="P205" s="29">
        <f>($G205-$F205)/7.48/($AF$51*$E205/$AE$43)*12</f>
        <v>0.93449435396084168</v>
      </c>
      <c r="Q205" s="29">
        <f>($G205-$F205)/7.48/($AF$51*$E205/$AE$43)*12</f>
        <v>0.93449435396084168</v>
      </c>
      <c r="R205" s="29">
        <f>($G205-$F205)/7.48/($AF$51*$E205/$AE$43)*12</f>
        <v>0.93449435396084168</v>
      </c>
      <c r="S205" s="29">
        <f>($G205-$F205)/7.48/($AF$51*$E205/$AE$43)*12</f>
        <v>0.93449435396084168</v>
      </c>
      <c r="U205" s="28">
        <f>U197+P205</f>
        <v>13.438659698130335</v>
      </c>
      <c r="V205" s="28">
        <f>V197+Q205</f>
        <v>13.438659698130335</v>
      </c>
      <c r="W205" s="28">
        <f>W197+R205</f>
        <v>13.422997890274356</v>
      </c>
      <c r="X205" s="28">
        <f>X197+S205</f>
        <v>13.422997890274356</v>
      </c>
    </row>
    <row r="206" spans="1:26" x14ac:dyDescent="0.2">
      <c r="A206" s="1">
        <v>170</v>
      </c>
      <c r="B206" s="1" t="s">
        <v>16</v>
      </c>
      <c r="C206" s="2">
        <v>36330</v>
      </c>
      <c r="D206" s="26">
        <v>4</v>
      </c>
      <c r="E206" s="26">
        <v>105</v>
      </c>
      <c r="F206" s="27">
        <v>1687900</v>
      </c>
      <c r="G206" s="39">
        <f>F205</f>
        <v>1699200</v>
      </c>
      <c r="H206" s="25"/>
      <c r="I206" s="6" t="s">
        <v>178</v>
      </c>
      <c r="J206" s="24"/>
      <c r="L206" s="6" t="s">
        <v>178</v>
      </c>
      <c r="M206" s="23"/>
      <c r="N206" s="22">
        <f>IF(H206=K206,M206-J206,60-(J206-M206))</f>
        <v>0</v>
      </c>
      <c r="O206" s="30" t="e">
        <f>(G206-F206)/N206</f>
        <v>#DIV/0!</v>
      </c>
      <c r="P206" s="29">
        <f>($G206-$F206)/7.48/($AF$52*$E206/$AE$43)*12</f>
        <v>0.69739919866312672</v>
      </c>
      <c r="Q206" s="29">
        <f>($G206-$F206)/7.48/($AF$52*$E206/$AE$43)*12</f>
        <v>0.69739919866312672</v>
      </c>
      <c r="R206" s="29">
        <f>($G206-$F206)/7.48/($AF$52*$E206/$AE$43)*12</f>
        <v>0.69739919866312672</v>
      </c>
      <c r="S206" s="29">
        <f>($G206-$F206)/7.48/($AF$52*$E206/$AE$43)*12</f>
        <v>0.69739919866312672</v>
      </c>
      <c r="U206" s="28">
        <f>U198+P206</f>
        <v>13.630732207399824</v>
      </c>
      <c r="V206" s="28">
        <f>V198+Q206</f>
        <v>13.630732207399824</v>
      </c>
      <c r="W206" s="28">
        <f>W198+R206</f>
        <v>13.659864946398471</v>
      </c>
      <c r="X206" s="28">
        <f>X198+S206</f>
        <v>13.659864946398471</v>
      </c>
    </row>
    <row r="207" spans="1:26" x14ac:dyDescent="0.2">
      <c r="A207" s="1">
        <v>170</v>
      </c>
      <c r="B207" s="1" t="s">
        <v>16</v>
      </c>
      <c r="C207" s="2">
        <v>36330</v>
      </c>
      <c r="D207" s="26" t="s">
        <v>180</v>
      </c>
      <c r="E207" s="26">
        <v>105</v>
      </c>
      <c r="F207" s="27">
        <v>1687900</v>
      </c>
      <c r="G207" s="39">
        <f>F206</f>
        <v>1687900</v>
      </c>
      <c r="H207" s="25"/>
      <c r="I207" s="6" t="s">
        <v>178</v>
      </c>
      <c r="J207" s="24"/>
      <c r="L207" s="6" t="s">
        <v>178</v>
      </c>
      <c r="M207" s="23"/>
      <c r="N207" s="22">
        <f>IF(H207=K207,M207-J207,60-(J207-M207))</f>
        <v>0</v>
      </c>
      <c r="O207" s="21"/>
      <c r="U207" s="6"/>
      <c r="V207" s="6"/>
      <c r="W207" s="6"/>
      <c r="X207" s="6"/>
    </row>
    <row r="208" spans="1:26" ht="13.5" thickBot="1" x14ac:dyDescent="0.25">
      <c r="A208" s="20"/>
      <c r="B208" s="20"/>
      <c r="C208" s="20"/>
      <c r="D208" s="18"/>
      <c r="E208" s="18"/>
      <c r="F208" s="19"/>
      <c r="G208" s="18"/>
      <c r="H208" s="17"/>
      <c r="I208" s="12"/>
      <c r="J208" s="16"/>
      <c r="K208" s="15"/>
      <c r="L208" s="12"/>
      <c r="M208" s="14"/>
      <c r="N208" s="12" t="s">
        <v>175</v>
      </c>
      <c r="O208" s="13">
        <f>(G202-F204)/(SUM(N202:N204))</f>
        <v>379.27927927927925</v>
      </c>
      <c r="P208" s="12" t="s">
        <v>174</v>
      </c>
      <c r="Q208" s="12"/>
      <c r="R208" s="11">
        <f>AVERAGE(P203:S206)</f>
        <v>0.95898818643601258</v>
      </c>
      <c r="S208" s="12"/>
      <c r="T208" s="12"/>
      <c r="U208" s="12" t="s">
        <v>173</v>
      </c>
      <c r="V208" s="12"/>
      <c r="W208" s="12"/>
      <c r="X208" s="11">
        <f>AVERAGE(U203:X206)</f>
        <v>13.844340696259705</v>
      </c>
    </row>
    <row r="209" spans="1:24" x14ac:dyDescent="0.2">
      <c r="D209" s="26"/>
      <c r="E209" s="26"/>
      <c r="F209" s="38"/>
      <c r="G209" s="37"/>
      <c r="H209" s="25"/>
      <c r="I209" s="6"/>
      <c r="J209" s="36"/>
      <c r="K209" s="35"/>
      <c r="M209" s="34"/>
      <c r="N209" s="33"/>
      <c r="O209" s="32"/>
      <c r="P209" s="31"/>
      <c r="Q209" s="31"/>
      <c r="R209" s="31"/>
      <c r="S209" s="31"/>
      <c r="T209" s="31"/>
    </row>
    <row r="210" spans="1:24" x14ac:dyDescent="0.2">
      <c r="A210" s="1"/>
      <c r="B210" s="1"/>
      <c r="C210" s="2"/>
      <c r="D210" s="26" t="s">
        <v>179</v>
      </c>
      <c r="E210" s="26">
        <v>105</v>
      </c>
      <c r="F210" s="27">
        <v>1795000</v>
      </c>
      <c r="G210" s="39">
        <v>1795000</v>
      </c>
      <c r="H210" s="25">
        <v>15</v>
      </c>
      <c r="I210" s="6" t="s">
        <v>178</v>
      </c>
      <c r="J210" s="24">
        <v>46</v>
      </c>
      <c r="K210" s="9">
        <v>15</v>
      </c>
      <c r="L210" s="6" t="s">
        <v>178</v>
      </c>
      <c r="M210" s="24">
        <v>46</v>
      </c>
      <c r="N210" s="22">
        <f>IF(H210=K210,M210-J210,60-(J210-M210))</f>
        <v>0</v>
      </c>
      <c r="O210" s="30" t="e">
        <f>(G210-F210)/N210</f>
        <v>#DIV/0!</v>
      </c>
      <c r="P210" s="6"/>
      <c r="Q210" s="6"/>
      <c r="R210" s="6"/>
      <c r="S210" s="6"/>
      <c r="U210" s="6"/>
      <c r="V210" s="6"/>
      <c r="W210" s="6"/>
      <c r="X210" s="6"/>
    </row>
    <row r="211" spans="1:24" x14ac:dyDescent="0.2">
      <c r="A211" s="1"/>
      <c r="B211" s="1"/>
      <c r="C211" s="2"/>
      <c r="D211" s="26">
        <v>1</v>
      </c>
      <c r="E211" s="26">
        <v>105</v>
      </c>
      <c r="F211" s="27">
        <v>1795000</v>
      </c>
      <c r="G211" s="26">
        <f>F210</f>
        <v>1795000</v>
      </c>
      <c r="H211" s="25">
        <v>15</v>
      </c>
      <c r="I211" s="6" t="s">
        <v>178</v>
      </c>
      <c r="J211" s="24">
        <v>16</v>
      </c>
      <c r="K211" s="9">
        <f>H210</f>
        <v>15</v>
      </c>
      <c r="L211" s="6" t="s">
        <v>178</v>
      </c>
      <c r="M211" s="23">
        <f>J210</f>
        <v>46</v>
      </c>
      <c r="N211" s="22">
        <f>IF(H211=K211,M211-J211,60-(J211-M211))</f>
        <v>30</v>
      </c>
      <c r="O211" s="30">
        <f>(G211-F211)/N211</f>
        <v>0</v>
      </c>
      <c r="P211" s="29">
        <f>($G211-$F211)/7.48/($AF$49*$E211/$AE$43)*12</f>
        <v>0</v>
      </c>
      <c r="Q211" s="29">
        <f>($G211-$F211)/7.48/($AF$49*$E211/$AE$43)*12</f>
        <v>0</v>
      </c>
      <c r="R211" s="29">
        <f>($G211-$F211)/7.48/($AF$49*$E211/$AE$43)*12</f>
        <v>0</v>
      </c>
      <c r="S211" s="29">
        <f>($G211-$F211)/7.48/($AF$49*$E211/$AE$43)*12</f>
        <v>0</v>
      </c>
      <c r="U211" s="28">
        <f>U203+P211</f>
        <v>14.007443268874619</v>
      </c>
      <c r="V211" s="28">
        <f>V203+Q211</f>
        <v>14.007443268874619</v>
      </c>
      <c r="W211" s="28">
        <f>W203+R211</f>
        <v>14.027338797946866</v>
      </c>
      <c r="X211" s="28">
        <f>X203+S211</f>
        <v>14.027338797946866</v>
      </c>
    </row>
    <row r="212" spans="1:24" x14ac:dyDescent="0.2">
      <c r="A212" s="1"/>
      <c r="B212" s="1"/>
      <c r="C212" s="2"/>
      <c r="D212" s="26">
        <v>2</v>
      </c>
      <c r="E212" s="26">
        <v>105</v>
      </c>
      <c r="F212" s="27">
        <v>1795000</v>
      </c>
      <c r="G212" s="26">
        <f>F211</f>
        <v>1795000</v>
      </c>
      <c r="H212" s="25">
        <v>15</v>
      </c>
      <c r="I212" s="6" t="s">
        <v>178</v>
      </c>
      <c r="J212" s="24">
        <v>46</v>
      </c>
      <c r="K212" s="9">
        <f>H211</f>
        <v>15</v>
      </c>
      <c r="L212" s="6" t="s">
        <v>178</v>
      </c>
      <c r="M212" s="23">
        <f>J211</f>
        <v>16</v>
      </c>
      <c r="N212" s="22">
        <f>IF(H212=K212,M212-J212,60-(J212-M212))</f>
        <v>-30</v>
      </c>
      <c r="O212" s="30">
        <f>(G212-F212)/N212</f>
        <v>0</v>
      </c>
      <c r="P212" s="29">
        <f>($G212-$F212)/7.48/($AF$50*$E212/$AE$43)*12</f>
        <v>0</v>
      </c>
      <c r="Q212" s="29">
        <f>($G212-$F212)/7.48/($AF$50*$E212/$AE$43)*12</f>
        <v>0</v>
      </c>
      <c r="R212" s="29">
        <f>($G212-$F212)/7.48/($AF$50*$E212/$AE$43)*12</f>
        <v>0</v>
      </c>
      <c r="S212" s="29">
        <f>($G212-$F212)/7.48/($AF$50*$E212/$AE$43)*12</f>
        <v>0</v>
      </c>
      <c r="U212" s="28">
        <f>U204+P212</f>
        <v>14.314487048070893</v>
      </c>
      <c r="V212" s="28">
        <f>V204+Q212</f>
        <v>14.314487048070893</v>
      </c>
      <c r="W212" s="28">
        <f>W204+R212</f>
        <v>14.253201712982271</v>
      </c>
      <c r="X212" s="28">
        <f>X204+S212</f>
        <v>14.253201712982271</v>
      </c>
    </row>
    <row r="213" spans="1:24" x14ac:dyDescent="0.2">
      <c r="A213" s="1">
        <v>174</v>
      </c>
      <c r="B213" s="1" t="s">
        <v>6</v>
      </c>
      <c r="C213" s="2">
        <v>36334</v>
      </c>
      <c r="D213" s="26">
        <v>3</v>
      </c>
      <c r="E213" s="26">
        <v>105</v>
      </c>
      <c r="F213" s="27">
        <v>1781400</v>
      </c>
      <c r="G213" s="26">
        <f>F212</f>
        <v>1795000</v>
      </c>
      <c r="H213" s="25">
        <v>15</v>
      </c>
      <c r="I213" s="6" t="s">
        <v>178</v>
      </c>
      <c r="J213" s="24">
        <v>9</v>
      </c>
      <c r="K213" s="9">
        <f>H212</f>
        <v>15</v>
      </c>
      <c r="L213" s="6" t="s">
        <v>178</v>
      </c>
      <c r="M213" s="23">
        <f>J212</f>
        <v>46</v>
      </c>
      <c r="N213" s="22">
        <f>IF(H213=K213,M213-J213,60-(J213-M213))</f>
        <v>37</v>
      </c>
      <c r="O213" s="30">
        <f>(G213-F213)/N213</f>
        <v>367.56756756756755</v>
      </c>
      <c r="P213" s="29">
        <f>($G213-$F213)/7.48/($AF$51*$E213/$AE$43)*12</f>
        <v>0.8043748869536359</v>
      </c>
      <c r="Q213" s="29">
        <f>($G213-$F213)/7.48/($AF$51*$E213/$AE$43)*12</f>
        <v>0.8043748869536359</v>
      </c>
      <c r="R213" s="29">
        <f>($G213-$F213)/7.48/($AF$51*$E213/$AE$43)*12</f>
        <v>0.8043748869536359</v>
      </c>
      <c r="S213" s="29">
        <f>($G213-$F213)/7.48/($AF$51*$E213/$AE$43)*12</f>
        <v>0.8043748869536359</v>
      </c>
      <c r="U213" s="28">
        <f>U205+P213</f>
        <v>14.24303458508397</v>
      </c>
      <c r="V213" s="28">
        <f>V205+Q213</f>
        <v>14.24303458508397</v>
      </c>
      <c r="W213" s="28">
        <f>W205+R213</f>
        <v>14.227372777227991</v>
      </c>
      <c r="X213" s="28">
        <f>X205+S213</f>
        <v>14.227372777227991</v>
      </c>
    </row>
    <row r="214" spans="1:24" x14ac:dyDescent="0.2">
      <c r="A214" s="1">
        <v>174</v>
      </c>
      <c r="B214" s="1" t="s">
        <v>6</v>
      </c>
      <c r="C214" s="2">
        <v>36334</v>
      </c>
      <c r="D214" s="26">
        <v>4</v>
      </c>
      <c r="E214" s="26">
        <v>105</v>
      </c>
      <c r="F214" s="27">
        <v>1767700</v>
      </c>
      <c r="G214" s="26">
        <f>F213</f>
        <v>1781400</v>
      </c>
      <c r="H214" s="25">
        <v>14</v>
      </c>
      <c r="I214" s="6" t="s">
        <v>178</v>
      </c>
      <c r="J214" s="24">
        <v>32</v>
      </c>
      <c r="K214" s="9">
        <f>H213</f>
        <v>15</v>
      </c>
      <c r="L214" s="6" t="s">
        <v>178</v>
      </c>
      <c r="M214" s="23">
        <f>J213</f>
        <v>9</v>
      </c>
      <c r="N214" s="22">
        <f>IF(H214=K214,M214-J214,60-(J214-M214))</f>
        <v>37</v>
      </c>
      <c r="O214" s="30">
        <f>(G214-F214)/N214</f>
        <v>370.27027027027026</v>
      </c>
      <c r="P214" s="29">
        <f>($G214-$F214)/7.48/($AF$52*$E214/$AE$43)*12</f>
        <v>0.84551938244998548</v>
      </c>
      <c r="Q214" s="29">
        <f>($G214-$F214)/7.48/($AF$52*$E214/$AE$43)*12</f>
        <v>0.84551938244998548</v>
      </c>
      <c r="R214" s="29">
        <f>($G214-$F214)/7.48/($AF$52*$E214/$AE$43)*12</f>
        <v>0.84551938244998548</v>
      </c>
      <c r="S214" s="29">
        <f>($G214-$F214)/7.48/($AF$52*$E214/$AE$43)*12</f>
        <v>0.84551938244998548</v>
      </c>
      <c r="U214" s="28">
        <f>U206+P214</f>
        <v>14.476251589849809</v>
      </c>
      <c r="V214" s="28">
        <f>V206+Q214</f>
        <v>14.476251589849809</v>
      </c>
      <c r="W214" s="28">
        <f>W206+R214</f>
        <v>14.505384328848457</v>
      </c>
      <c r="X214" s="28">
        <f>X206+S214</f>
        <v>14.505384328848457</v>
      </c>
    </row>
    <row r="215" spans="1:24" x14ac:dyDescent="0.2">
      <c r="A215" s="1">
        <v>174</v>
      </c>
      <c r="B215" s="1" t="s">
        <v>6</v>
      </c>
      <c r="C215" s="2">
        <v>36334</v>
      </c>
      <c r="D215" s="26" t="s">
        <v>180</v>
      </c>
      <c r="E215" s="26">
        <v>105</v>
      </c>
      <c r="F215" s="27">
        <v>1757300</v>
      </c>
      <c r="G215" s="26">
        <f>F214</f>
        <v>1767700</v>
      </c>
      <c r="H215" s="25">
        <v>14</v>
      </c>
      <c r="I215" s="6" t="s">
        <v>178</v>
      </c>
      <c r="J215" s="24">
        <v>7</v>
      </c>
      <c r="K215" s="9">
        <f>H214</f>
        <v>14</v>
      </c>
      <c r="L215" s="6" t="s">
        <v>178</v>
      </c>
      <c r="M215" s="23">
        <f>J214</f>
        <v>32</v>
      </c>
      <c r="N215" s="22">
        <f>IF(H215=K215,M215-J215,60-(J215-M215))</f>
        <v>25</v>
      </c>
      <c r="O215" s="21"/>
      <c r="U215" s="6"/>
      <c r="V215" s="6"/>
      <c r="W215" s="6"/>
      <c r="X215" s="6"/>
    </row>
    <row r="216" spans="1:24" ht="13.5" thickBot="1" x14ac:dyDescent="0.25">
      <c r="A216" s="20"/>
      <c r="B216" s="20"/>
      <c r="C216" s="20"/>
      <c r="D216" s="18"/>
      <c r="E216" s="18"/>
      <c r="F216" s="19"/>
      <c r="G216" s="18"/>
      <c r="H216" s="17"/>
      <c r="I216" s="12"/>
      <c r="J216" s="16"/>
      <c r="K216" s="15"/>
      <c r="L216" s="12"/>
      <c r="M216" s="14"/>
      <c r="N216" s="12" t="s">
        <v>175</v>
      </c>
      <c r="O216" s="13">
        <f>(G214-F214)/(SUM(N214:N214))</f>
        <v>370.27027027027026</v>
      </c>
      <c r="P216" s="12" t="s">
        <v>174</v>
      </c>
      <c r="Q216" s="12"/>
      <c r="R216" s="11">
        <f>AVERAGE(P213:S214)</f>
        <v>0.8249471347018108</v>
      </c>
      <c r="S216" s="12"/>
      <c r="T216" s="12"/>
      <c r="U216" s="12" t="s">
        <v>173</v>
      </c>
      <c r="V216" s="12"/>
      <c r="W216" s="12"/>
      <c r="X216" s="11">
        <f>AVERAGE(U211:X214)</f>
        <v>14.256814263610611</v>
      </c>
    </row>
    <row r="217" spans="1:24" x14ac:dyDescent="0.2">
      <c r="D217" s="26"/>
      <c r="E217" s="26"/>
      <c r="F217" s="38"/>
      <c r="G217" s="37"/>
      <c r="H217" s="25"/>
      <c r="I217" s="6"/>
      <c r="J217" s="36"/>
      <c r="K217" s="35"/>
      <c r="M217" s="34"/>
      <c r="N217" s="33"/>
      <c r="O217" s="32"/>
      <c r="P217" s="31"/>
      <c r="Q217" s="31"/>
      <c r="R217" s="31"/>
      <c r="S217" s="31"/>
      <c r="T217" s="31"/>
    </row>
    <row r="218" spans="1:24" x14ac:dyDescent="0.2">
      <c r="A218" s="1">
        <v>175</v>
      </c>
      <c r="B218" s="1" t="s">
        <v>4</v>
      </c>
      <c r="C218" s="2">
        <v>36335</v>
      </c>
      <c r="D218" s="26" t="s">
        <v>179</v>
      </c>
      <c r="E218" s="26">
        <v>105</v>
      </c>
      <c r="F218" s="27">
        <v>1829100</v>
      </c>
      <c r="G218" s="39">
        <v>1835400</v>
      </c>
      <c r="H218" s="25">
        <v>16</v>
      </c>
      <c r="I218" s="6" t="s">
        <v>178</v>
      </c>
      <c r="J218" s="24">
        <v>18</v>
      </c>
      <c r="K218" s="9">
        <v>16</v>
      </c>
      <c r="L218" s="6" t="s">
        <v>178</v>
      </c>
      <c r="M218" s="24">
        <v>36</v>
      </c>
      <c r="N218" s="22">
        <f>IF(H218=K218,M218-J218,60-(J218-M218))</f>
        <v>18</v>
      </c>
      <c r="O218" s="30">
        <f>(G218-F218)/N218</f>
        <v>350</v>
      </c>
      <c r="P218" s="6"/>
      <c r="Q218" s="6"/>
      <c r="R218" s="6"/>
      <c r="S218" s="6"/>
      <c r="U218" s="6"/>
      <c r="V218" s="6"/>
      <c r="W218" s="6"/>
      <c r="X218" s="6"/>
    </row>
    <row r="219" spans="1:24" x14ac:dyDescent="0.2">
      <c r="A219" s="1">
        <v>175</v>
      </c>
      <c r="B219" s="1" t="s">
        <v>4</v>
      </c>
      <c r="C219" s="2">
        <v>36335</v>
      </c>
      <c r="D219" s="26">
        <v>1</v>
      </c>
      <c r="E219" s="26">
        <v>105</v>
      </c>
      <c r="F219" s="27">
        <v>1813100</v>
      </c>
      <c r="G219" s="26">
        <f>F218</f>
        <v>1829100</v>
      </c>
      <c r="H219" s="25">
        <v>15</v>
      </c>
      <c r="I219" s="6" t="s">
        <v>178</v>
      </c>
      <c r="J219" s="24">
        <v>36</v>
      </c>
      <c r="K219" s="9">
        <f>H218</f>
        <v>16</v>
      </c>
      <c r="L219" s="6" t="s">
        <v>178</v>
      </c>
      <c r="M219" s="23">
        <f>J218</f>
        <v>18</v>
      </c>
      <c r="N219" s="22">
        <f>IF(H219=K219,M219-J219,60-(J219-M219))</f>
        <v>42</v>
      </c>
      <c r="O219" s="30">
        <f>(G219-F219)/N219</f>
        <v>380.95238095238096</v>
      </c>
      <c r="P219" s="29">
        <f>($G219-$F219)/7.48/($AF$49*$E219/$AE$43)*12</f>
        <v>0.98746789191239182</v>
      </c>
      <c r="Q219" s="29">
        <f>($G219-$F219)/7.48/($AF$49*$E219/$AE$43)*12</f>
        <v>0.98746789191239182</v>
      </c>
      <c r="R219" s="29">
        <f>($G219-$F219)/7.48/($AF$49*$E219/$AE$43)*12</f>
        <v>0.98746789191239182</v>
      </c>
      <c r="S219" s="29">
        <f>($G219-$F219)/7.48/($AF$49*$E219/$AE$43)*12</f>
        <v>0.98746789191239182</v>
      </c>
      <c r="U219" s="28">
        <f>U211+P219</f>
        <v>14.99491116078701</v>
      </c>
      <c r="V219" s="28">
        <f>V211+Q219</f>
        <v>14.99491116078701</v>
      </c>
      <c r="W219" s="28">
        <f>W211+R219</f>
        <v>15.014806689859258</v>
      </c>
      <c r="X219" s="28">
        <f>X211+S219</f>
        <v>15.014806689859258</v>
      </c>
    </row>
    <row r="220" spans="1:24" x14ac:dyDescent="0.2">
      <c r="A220" s="1">
        <v>175</v>
      </c>
      <c r="B220" s="1" t="s">
        <v>4</v>
      </c>
      <c r="C220" s="2">
        <v>36335</v>
      </c>
      <c r="D220" s="26">
        <v>2</v>
      </c>
      <c r="E220" s="26">
        <v>105</v>
      </c>
      <c r="F220" s="27">
        <v>1795000</v>
      </c>
      <c r="G220" s="26">
        <f>F219</f>
        <v>1813100</v>
      </c>
      <c r="H220" s="25">
        <v>14</v>
      </c>
      <c r="I220" s="6" t="s">
        <v>178</v>
      </c>
      <c r="J220" s="24">
        <v>50</v>
      </c>
      <c r="K220" s="9">
        <f>H219</f>
        <v>15</v>
      </c>
      <c r="L220" s="6" t="s">
        <v>178</v>
      </c>
      <c r="M220" s="23">
        <f>J219</f>
        <v>36</v>
      </c>
      <c r="N220" s="22">
        <f>IF(H220=K220,M220-J220,60-(J220-M220))</f>
        <v>46</v>
      </c>
      <c r="O220" s="30">
        <f>(G220-F220)/N220</f>
        <v>393.47826086956519</v>
      </c>
      <c r="P220" s="29">
        <f>($G220-$F220)/7.48/($AF$50*$E220/$AE$43)*12</f>
        <v>1.0705283421956477</v>
      </c>
      <c r="Q220" s="29">
        <f>($G220-$F220)/7.48/($AF$50*$E220/$AE$43)*12</f>
        <v>1.0705283421956477</v>
      </c>
      <c r="R220" s="29">
        <f>($G220-$F220)/7.48/($AF$50*$E220/$AE$43)*12</f>
        <v>1.0705283421956477</v>
      </c>
      <c r="S220" s="29">
        <f>($G220-$F220)/7.48/($AF$50*$E220/$AE$43)*12</f>
        <v>1.0705283421956477</v>
      </c>
      <c r="U220" s="28">
        <f>U212+P220</f>
        <v>15.38501539026654</v>
      </c>
      <c r="V220" s="28">
        <f>V212+Q220</f>
        <v>15.38501539026654</v>
      </c>
      <c r="W220" s="28">
        <f>W212+R220</f>
        <v>15.323730055177919</v>
      </c>
      <c r="X220" s="28">
        <f>X212+S220</f>
        <v>15.323730055177919</v>
      </c>
    </row>
    <row r="221" spans="1:24" x14ac:dyDescent="0.2">
      <c r="A221" s="1"/>
      <c r="B221" s="1"/>
      <c r="C221" s="2"/>
      <c r="D221" s="26">
        <v>3</v>
      </c>
      <c r="E221" s="26">
        <v>105</v>
      </c>
      <c r="F221" s="27">
        <v>1795000</v>
      </c>
      <c r="G221" s="26">
        <f>F220</f>
        <v>1795000</v>
      </c>
      <c r="H221" s="25">
        <v>14</v>
      </c>
      <c r="I221" s="6" t="s">
        <v>178</v>
      </c>
      <c r="J221" s="24">
        <v>50</v>
      </c>
      <c r="K221" s="9">
        <f>H220</f>
        <v>14</v>
      </c>
      <c r="L221" s="6" t="s">
        <v>178</v>
      </c>
      <c r="M221" s="23">
        <f>J220</f>
        <v>50</v>
      </c>
      <c r="N221" s="22">
        <f>IF(H221=K221,M221-J221,60-(J221-M221))</f>
        <v>0</v>
      </c>
      <c r="O221" s="30" t="e">
        <f>(G221-F221)/N221</f>
        <v>#DIV/0!</v>
      </c>
      <c r="P221" s="29">
        <f>($G221-$F221)/7.48/($AF$51*$E221/$AE$43)*12</f>
        <v>0</v>
      </c>
      <c r="Q221" s="29">
        <f>($G221-$F221)/7.48/($AF$51*$E221/$AE$43)*12</f>
        <v>0</v>
      </c>
      <c r="R221" s="29">
        <f>($G221-$F221)/7.48/($AF$51*$E221/$AE$43)*12</f>
        <v>0</v>
      </c>
      <c r="S221" s="29">
        <f>($G221-$F221)/7.48/($AF$51*$E221/$AE$43)*12</f>
        <v>0</v>
      </c>
      <c r="U221" s="28">
        <f>U213+P221</f>
        <v>14.24303458508397</v>
      </c>
      <c r="V221" s="28">
        <f>V213+Q221</f>
        <v>14.24303458508397</v>
      </c>
      <c r="W221" s="28">
        <f>W213+R221</f>
        <v>14.227372777227991</v>
      </c>
      <c r="X221" s="28">
        <f>X213+S221</f>
        <v>14.227372777227991</v>
      </c>
    </row>
    <row r="222" spans="1:24" x14ac:dyDescent="0.2">
      <c r="A222" s="1"/>
      <c r="B222" s="1"/>
      <c r="C222" s="2"/>
      <c r="D222" s="26">
        <v>4</v>
      </c>
      <c r="E222" s="26">
        <v>105</v>
      </c>
      <c r="F222" s="27">
        <v>1795000</v>
      </c>
      <c r="G222" s="26">
        <f>F221</f>
        <v>1795000</v>
      </c>
      <c r="H222" s="25">
        <v>14</v>
      </c>
      <c r="I222" s="6" t="s">
        <v>178</v>
      </c>
      <c r="J222" s="24">
        <v>50</v>
      </c>
      <c r="K222" s="9">
        <f>H221</f>
        <v>14</v>
      </c>
      <c r="L222" s="6" t="s">
        <v>178</v>
      </c>
      <c r="M222" s="23">
        <f>J221</f>
        <v>50</v>
      </c>
      <c r="N222" s="22">
        <f>IF(H222=K222,M222-J222,60-(J222-M222))</f>
        <v>0</v>
      </c>
      <c r="O222" s="30" t="e">
        <f>(G222-F222)/N222</f>
        <v>#DIV/0!</v>
      </c>
      <c r="P222" s="29">
        <f>($G222-$F222)/7.48/($AF$52*$E222/$AE$43)*12</f>
        <v>0</v>
      </c>
      <c r="Q222" s="29">
        <f>($G222-$F222)/7.48/($AF$52*$E222/$AE$43)*12</f>
        <v>0</v>
      </c>
      <c r="R222" s="29">
        <f>($G222-$F222)/7.48/($AF$52*$E222/$AE$43)*12</f>
        <v>0</v>
      </c>
      <c r="S222" s="29">
        <f>($G222-$F222)/7.48/($AF$52*$E222/$AE$43)*12</f>
        <v>0</v>
      </c>
      <c r="U222" s="28">
        <f>U214+P222</f>
        <v>14.476251589849809</v>
      </c>
      <c r="V222" s="28">
        <f>V214+Q222</f>
        <v>14.476251589849809</v>
      </c>
      <c r="W222" s="28">
        <f>W214+R222</f>
        <v>14.505384328848457</v>
      </c>
      <c r="X222" s="28">
        <f>X214+S222</f>
        <v>14.505384328848457</v>
      </c>
    </row>
    <row r="223" spans="1:24" x14ac:dyDescent="0.2">
      <c r="A223" s="1"/>
      <c r="B223" s="1"/>
      <c r="C223" s="2"/>
      <c r="D223" s="26" t="s">
        <v>180</v>
      </c>
      <c r="E223" s="26">
        <v>105</v>
      </c>
      <c r="F223" s="27">
        <v>1795000</v>
      </c>
      <c r="G223" s="26">
        <f>F222</f>
        <v>1795000</v>
      </c>
      <c r="H223" s="25">
        <v>14</v>
      </c>
      <c r="I223" s="6" t="s">
        <v>178</v>
      </c>
      <c r="J223" s="24">
        <v>50</v>
      </c>
      <c r="K223" s="9">
        <f>H222</f>
        <v>14</v>
      </c>
      <c r="L223" s="6" t="s">
        <v>178</v>
      </c>
      <c r="M223" s="23">
        <f>J222</f>
        <v>50</v>
      </c>
      <c r="N223" s="22">
        <f>IF(H223=K223,M223-J223,60-(J223-M223))</f>
        <v>0</v>
      </c>
      <c r="O223" s="21"/>
      <c r="U223" s="6"/>
      <c r="V223" s="6"/>
      <c r="W223" s="6"/>
      <c r="X223" s="6"/>
    </row>
    <row r="224" spans="1:24" ht="13.5" thickBot="1" x14ac:dyDescent="0.25">
      <c r="A224" s="20"/>
      <c r="B224" s="20"/>
      <c r="C224" s="20"/>
      <c r="D224" s="18"/>
      <c r="E224" s="18"/>
      <c r="F224" s="19"/>
      <c r="G224" s="18"/>
      <c r="H224" s="17"/>
      <c r="I224" s="12"/>
      <c r="J224" s="16"/>
      <c r="K224" s="15"/>
      <c r="L224" s="12"/>
      <c r="M224" s="14"/>
      <c r="N224" s="12" t="s">
        <v>175</v>
      </c>
      <c r="O224" s="13" t="e">
        <f>(G222-F222)/(SUM(N222:N222))</f>
        <v>#DIV/0!</v>
      </c>
      <c r="P224" s="12" t="s">
        <v>174</v>
      </c>
      <c r="Q224" s="12"/>
      <c r="R224" s="11">
        <f>AVERAGE(P219:S220)</f>
        <v>1.0289981170540197</v>
      </c>
      <c r="S224" s="12"/>
      <c r="T224" s="12"/>
      <c r="U224" s="12" t="s">
        <v>173</v>
      </c>
      <c r="V224" s="12"/>
      <c r="W224" s="12"/>
      <c r="X224" s="11">
        <f>AVERAGE(U219:X222)</f>
        <v>14.771313322137622</v>
      </c>
    </row>
    <row r="225" spans="1:24" x14ac:dyDescent="0.2">
      <c r="D225" s="21"/>
      <c r="E225" s="21"/>
      <c r="F225" s="59"/>
      <c r="G225" s="21"/>
      <c r="H225" s="25"/>
      <c r="J225" s="24"/>
      <c r="N225" s="33"/>
      <c r="O225" s="30"/>
      <c r="R225" s="10"/>
      <c r="X225" s="10"/>
    </row>
    <row r="226" spans="1:24" x14ac:dyDescent="0.2">
      <c r="A226" s="1"/>
      <c r="B226" s="1"/>
      <c r="C226" s="2"/>
      <c r="D226" s="26" t="s">
        <v>179</v>
      </c>
      <c r="E226" s="26">
        <v>105</v>
      </c>
      <c r="F226" s="27">
        <v>1864200</v>
      </c>
      <c r="G226" s="39">
        <v>1864200</v>
      </c>
      <c r="H226" s="25">
        <v>15</v>
      </c>
      <c r="I226" s="6" t="s">
        <v>178</v>
      </c>
      <c r="J226" s="24">
        <v>46</v>
      </c>
      <c r="K226" s="9">
        <v>15</v>
      </c>
      <c r="L226" s="6" t="s">
        <v>178</v>
      </c>
      <c r="M226" s="24">
        <v>46</v>
      </c>
      <c r="N226" s="22">
        <f>IF(H226=K226,M226-J226,60-(J226-M226))</f>
        <v>0</v>
      </c>
      <c r="O226" s="30" t="e">
        <f>(G226-F226)/N226</f>
        <v>#DIV/0!</v>
      </c>
      <c r="P226" s="6"/>
      <c r="Q226" s="6"/>
      <c r="R226" s="6"/>
      <c r="S226" s="6"/>
      <c r="U226" s="6"/>
      <c r="V226" s="6"/>
      <c r="W226" s="6"/>
      <c r="X226" s="6"/>
    </row>
    <row r="227" spans="1:24" x14ac:dyDescent="0.2">
      <c r="A227" s="1"/>
      <c r="B227" s="1"/>
      <c r="C227" s="2"/>
      <c r="D227" s="26">
        <v>1</v>
      </c>
      <c r="E227" s="26">
        <v>105</v>
      </c>
      <c r="F227" s="27">
        <v>1864200</v>
      </c>
      <c r="G227" s="26">
        <f>F226</f>
        <v>1864200</v>
      </c>
      <c r="H227" s="25">
        <v>15</v>
      </c>
      <c r="I227" s="6" t="s">
        <v>178</v>
      </c>
      <c r="J227" s="24">
        <v>16</v>
      </c>
      <c r="K227" s="9">
        <f>H226</f>
        <v>15</v>
      </c>
      <c r="L227" s="6" t="s">
        <v>178</v>
      </c>
      <c r="M227" s="23">
        <f>J226</f>
        <v>46</v>
      </c>
      <c r="N227" s="22">
        <f>IF(H227=K227,M227-J227,60-(J227-M227))</f>
        <v>30</v>
      </c>
      <c r="O227" s="30">
        <f>(G227-F227)/N227</f>
        <v>0</v>
      </c>
      <c r="P227" s="29">
        <f>($G227-$F227)/7.48/($AF$49*$E227/$AE$43)*12</f>
        <v>0</v>
      </c>
      <c r="Q227" s="29">
        <f>($G227-$F227)/7.48/($AF$49*$E227/$AE$43)*12</f>
        <v>0</v>
      </c>
      <c r="R227" s="29">
        <f>($G227-$F227)/7.48/($AF$49*$E227/$AE$43)*12</f>
        <v>0</v>
      </c>
      <c r="S227" s="29">
        <f>($G227-$F227)/7.48/($AF$49*$E227/$AE$43)*12</f>
        <v>0</v>
      </c>
      <c r="U227" s="28">
        <f>U219+P227</f>
        <v>14.99491116078701</v>
      </c>
      <c r="V227" s="28">
        <f>V219+Q227</f>
        <v>14.99491116078701</v>
      </c>
      <c r="W227" s="28">
        <f>W219+R227</f>
        <v>15.014806689859258</v>
      </c>
      <c r="X227" s="28">
        <f>X219+S227</f>
        <v>15.014806689859258</v>
      </c>
    </row>
    <row r="228" spans="1:24" x14ac:dyDescent="0.2">
      <c r="A228" s="1"/>
      <c r="B228" s="1"/>
      <c r="C228" s="2"/>
      <c r="D228" s="26">
        <v>2</v>
      </c>
      <c r="E228" s="26">
        <v>105</v>
      </c>
      <c r="F228" s="27">
        <v>1864200</v>
      </c>
      <c r="G228" s="26">
        <f>F227</f>
        <v>1864200</v>
      </c>
      <c r="H228" s="25">
        <v>15</v>
      </c>
      <c r="I228" s="6" t="s">
        <v>178</v>
      </c>
      <c r="J228" s="24">
        <v>46</v>
      </c>
      <c r="K228" s="9">
        <f>H227</f>
        <v>15</v>
      </c>
      <c r="L228" s="6" t="s">
        <v>178</v>
      </c>
      <c r="M228" s="23">
        <f>J227</f>
        <v>16</v>
      </c>
      <c r="N228" s="22">
        <f>IF(H228=K228,M228-J228,60-(J228-M228))</f>
        <v>-30</v>
      </c>
      <c r="O228" s="30">
        <f>(G228-F228)/N228</f>
        <v>0</v>
      </c>
      <c r="P228" s="29">
        <f>($G228-$F228)/7.48/($AF$50*$E228/$AE$43)*12</f>
        <v>0</v>
      </c>
      <c r="Q228" s="29">
        <f>($G228-$F228)/7.48/($AF$50*$E228/$AE$43)*12</f>
        <v>0</v>
      </c>
      <c r="R228" s="29">
        <f>($G228-$F228)/7.48/($AF$50*$E228/$AE$43)*12</f>
        <v>0</v>
      </c>
      <c r="S228" s="29">
        <f>($G228-$F228)/7.48/($AF$50*$E228/$AE$43)*12</f>
        <v>0</v>
      </c>
      <c r="U228" s="28">
        <f>U220+P228</f>
        <v>15.38501539026654</v>
      </c>
      <c r="V228" s="28">
        <f>V220+Q228</f>
        <v>15.38501539026654</v>
      </c>
      <c r="W228" s="28">
        <f>W220+R228</f>
        <v>15.323730055177919</v>
      </c>
      <c r="X228" s="28">
        <f>X220+S228</f>
        <v>15.323730055177919</v>
      </c>
    </row>
    <row r="229" spans="1:24" x14ac:dyDescent="0.2">
      <c r="A229" s="1">
        <v>176</v>
      </c>
      <c r="B229" s="1" t="s">
        <v>1</v>
      </c>
      <c r="C229" s="2">
        <v>36336</v>
      </c>
      <c r="D229" s="26">
        <v>3</v>
      </c>
      <c r="E229" s="26">
        <v>105</v>
      </c>
      <c r="F229" s="27">
        <v>1852200</v>
      </c>
      <c r="G229" s="26">
        <f>F228</f>
        <v>1864200</v>
      </c>
      <c r="H229" s="25">
        <v>15</v>
      </c>
      <c r="I229" s="6" t="s">
        <v>178</v>
      </c>
      <c r="J229" s="24">
        <v>9</v>
      </c>
      <c r="K229" s="9">
        <f>H228</f>
        <v>15</v>
      </c>
      <c r="L229" s="6" t="s">
        <v>178</v>
      </c>
      <c r="M229" s="23">
        <f>J228</f>
        <v>46</v>
      </c>
      <c r="N229" s="22">
        <f>IF(H229=K229,M229-J229,60-(J229-M229))</f>
        <v>37</v>
      </c>
      <c r="O229" s="30">
        <f>(G229-F229)/N229</f>
        <v>324.32432432432432</v>
      </c>
      <c r="P229" s="29">
        <f>($G229-$F229)/7.48/($AF$51*$E229/$AE$43)*12</f>
        <v>0.70974254731203168</v>
      </c>
      <c r="Q229" s="29">
        <f>($G229-$F229)/7.48/($AF$51*$E229/$AE$43)*12</f>
        <v>0.70974254731203168</v>
      </c>
      <c r="R229" s="29">
        <f>($G229-$F229)/7.48/($AF$51*$E229/$AE$43)*12</f>
        <v>0.70974254731203168</v>
      </c>
      <c r="S229" s="29">
        <f>($G229-$F229)/7.48/($AF$51*$E229/$AE$43)*12</f>
        <v>0.70974254731203168</v>
      </c>
      <c r="U229" s="28">
        <f>U221+P229</f>
        <v>14.952777132396003</v>
      </c>
      <c r="V229" s="28">
        <f>V221+Q229</f>
        <v>14.952777132396003</v>
      </c>
      <c r="W229" s="28">
        <f>W221+R229</f>
        <v>14.937115324540024</v>
      </c>
      <c r="X229" s="28">
        <f>X221+S229</f>
        <v>14.937115324540024</v>
      </c>
    </row>
    <row r="230" spans="1:24" x14ac:dyDescent="0.2">
      <c r="A230" s="1">
        <v>176</v>
      </c>
      <c r="B230" s="1" t="s">
        <v>1</v>
      </c>
      <c r="C230" s="2">
        <v>36336</v>
      </c>
      <c r="D230" s="26">
        <v>4</v>
      </c>
      <c r="E230" s="26">
        <v>105</v>
      </c>
      <c r="F230" s="27">
        <v>1839400</v>
      </c>
      <c r="G230" s="26">
        <f>F229</f>
        <v>1852200</v>
      </c>
      <c r="H230" s="25">
        <v>14</v>
      </c>
      <c r="I230" s="6" t="s">
        <v>178</v>
      </c>
      <c r="J230" s="24">
        <v>32</v>
      </c>
      <c r="K230" s="9">
        <f>H229</f>
        <v>15</v>
      </c>
      <c r="L230" s="6" t="s">
        <v>178</v>
      </c>
      <c r="M230" s="23">
        <f>J229</f>
        <v>9</v>
      </c>
      <c r="N230" s="22">
        <f>IF(H230=K230,M230-J230,60-(J230-M230))</f>
        <v>37</v>
      </c>
      <c r="O230" s="30">
        <f>(G230-F230)/N230</f>
        <v>345.94594594594594</v>
      </c>
      <c r="P230" s="29">
        <f>($G230-$F230)/7.48/($AF$52*$E230/$AE$43)*12</f>
        <v>0.78997431352991332</v>
      </c>
      <c r="Q230" s="29">
        <f>($G230-$F230)/7.48/($AF$52*$E230/$AE$43)*12</f>
        <v>0.78997431352991332</v>
      </c>
      <c r="R230" s="29">
        <f>($G230-$F230)/7.48/($AF$52*$E230/$AE$43)*12</f>
        <v>0.78997431352991332</v>
      </c>
      <c r="S230" s="29">
        <f>($G230-$F230)/7.48/($AF$52*$E230/$AE$43)*12</f>
        <v>0.78997431352991332</v>
      </c>
      <c r="U230" s="28">
        <f>U222+P230</f>
        <v>15.266225903379723</v>
      </c>
      <c r="V230" s="28">
        <f>V222+Q230</f>
        <v>15.266225903379723</v>
      </c>
      <c r="W230" s="28">
        <f>W222+R230</f>
        <v>15.295358642378371</v>
      </c>
      <c r="X230" s="28">
        <f>X222+S230</f>
        <v>15.295358642378371</v>
      </c>
    </row>
    <row r="231" spans="1:24" x14ac:dyDescent="0.2">
      <c r="A231" s="1">
        <v>176</v>
      </c>
      <c r="B231" s="1" t="s">
        <v>1</v>
      </c>
      <c r="C231" s="2">
        <v>36336</v>
      </c>
      <c r="D231" s="26" t="s">
        <v>180</v>
      </c>
      <c r="E231" s="26">
        <v>105</v>
      </c>
      <c r="F231" s="27">
        <v>1835400</v>
      </c>
      <c r="G231" s="26">
        <f>F230</f>
        <v>1839400</v>
      </c>
      <c r="H231" s="25">
        <v>14</v>
      </c>
      <c r="I231" s="6" t="s">
        <v>178</v>
      </c>
      <c r="J231" s="24">
        <v>7</v>
      </c>
      <c r="K231" s="9">
        <f>H230</f>
        <v>14</v>
      </c>
      <c r="L231" s="6" t="s">
        <v>178</v>
      </c>
      <c r="M231" s="23">
        <f>J230</f>
        <v>32</v>
      </c>
      <c r="N231" s="22">
        <f>IF(H231=K231,M231-J231,60-(J231-M231))</f>
        <v>25</v>
      </c>
      <c r="O231" s="21"/>
      <c r="U231" s="6"/>
      <c r="V231" s="6"/>
      <c r="W231" s="6"/>
      <c r="X231" s="6"/>
    </row>
    <row r="232" spans="1:24" ht="13.5" thickBot="1" x14ac:dyDescent="0.25">
      <c r="A232" s="20"/>
      <c r="B232" s="20"/>
      <c r="C232" s="20"/>
      <c r="D232" s="18"/>
      <c r="E232" s="18"/>
      <c r="F232" s="19"/>
      <c r="G232" s="18"/>
      <c r="H232" s="17"/>
      <c r="I232" s="12"/>
      <c r="J232" s="16"/>
      <c r="K232" s="15"/>
      <c r="L232" s="12"/>
      <c r="M232" s="14"/>
      <c r="N232" s="12" t="s">
        <v>175</v>
      </c>
      <c r="O232" s="13">
        <f>(G230-F230)/(SUM(N230:N230))</f>
        <v>345.94594594594594</v>
      </c>
      <c r="P232" s="12" t="s">
        <v>174</v>
      </c>
      <c r="Q232" s="12"/>
      <c r="R232" s="11">
        <f>AVERAGE(P229:S230)</f>
        <v>0.74985843042097244</v>
      </c>
      <c r="S232" s="12"/>
      <c r="T232" s="12"/>
      <c r="U232" s="12" t="s">
        <v>173</v>
      </c>
      <c r="V232" s="12"/>
      <c r="W232" s="12"/>
      <c r="X232" s="11">
        <f>AVERAGE(U227:X230)</f>
        <v>15.146242537348108</v>
      </c>
    </row>
    <row r="233" spans="1:24" x14ac:dyDescent="0.2">
      <c r="D233" s="26"/>
      <c r="E233" s="26"/>
      <c r="F233" s="59"/>
      <c r="G233" s="21"/>
      <c r="H233" s="25"/>
      <c r="I233" s="6"/>
      <c r="J233" s="36"/>
      <c r="K233" s="35"/>
      <c r="M233" s="34"/>
      <c r="N233" s="33"/>
      <c r="O233" s="32"/>
      <c r="P233" s="31"/>
      <c r="Q233" s="31"/>
      <c r="R233" s="31"/>
      <c r="S233" s="31"/>
      <c r="T233" s="31"/>
    </row>
    <row r="234" spans="1:24" x14ac:dyDescent="0.2">
      <c r="A234" s="1"/>
      <c r="B234" s="1"/>
      <c r="C234" s="2"/>
      <c r="D234" s="26" t="s">
        <v>180</v>
      </c>
      <c r="E234" s="26">
        <v>57</v>
      </c>
      <c r="F234" s="27">
        <v>1864200</v>
      </c>
      <c r="G234" s="26">
        <f>F235</f>
        <v>1864200</v>
      </c>
      <c r="H234" s="9">
        <v>18</v>
      </c>
      <c r="I234" s="6" t="s">
        <v>178</v>
      </c>
      <c r="J234" s="24">
        <v>44</v>
      </c>
      <c r="K234" s="9">
        <f>H235</f>
        <v>18</v>
      </c>
      <c r="L234" s="6" t="s">
        <v>178</v>
      </c>
      <c r="M234" s="24">
        <f>J235</f>
        <v>44</v>
      </c>
      <c r="N234" s="22">
        <f>IF(H234=K234,M234-J234,60-(J234-M234))</f>
        <v>0</v>
      </c>
      <c r="O234" s="30" t="e">
        <f>(G234-F234)/N234</f>
        <v>#DIV/0!</v>
      </c>
      <c r="P234" s="6"/>
      <c r="Q234" s="6"/>
      <c r="R234" s="6"/>
      <c r="S234" s="6"/>
      <c r="U234" s="6"/>
      <c r="V234" s="6"/>
      <c r="W234" s="6"/>
      <c r="X234" s="6"/>
    </row>
    <row r="235" spans="1:24" x14ac:dyDescent="0.2">
      <c r="A235" s="1"/>
      <c r="B235" s="1"/>
      <c r="C235" s="2"/>
      <c r="D235" s="26">
        <v>1</v>
      </c>
      <c r="E235" s="26">
        <v>57</v>
      </c>
      <c r="F235" s="27">
        <v>1864200</v>
      </c>
      <c r="G235" s="26">
        <f>F236</f>
        <v>1864200</v>
      </c>
      <c r="H235" s="9">
        <v>18</v>
      </c>
      <c r="I235" s="6" t="s">
        <v>178</v>
      </c>
      <c r="J235" s="24">
        <v>44</v>
      </c>
      <c r="K235" s="9">
        <f>H236</f>
        <v>18</v>
      </c>
      <c r="L235" s="6" t="s">
        <v>178</v>
      </c>
      <c r="M235" s="24">
        <f>J236</f>
        <v>44</v>
      </c>
      <c r="N235" s="22">
        <f>IF(H235=K235,M235-J235,60-(J235-M235))</f>
        <v>0</v>
      </c>
      <c r="O235" s="30" t="e">
        <f>(G235-F235)/N235</f>
        <v>#DIV/0!</v>
      </c>
      <c r="P235" s="29"/>
      <c r="Q235" s="29"/>
      <c r="R235" s="29">
        <f>($G235-$F235)/7.48/($AF$49*$E235/$AE$43)*12</f>
        <v>0</v>
      </c>
      <c r="S235" s="29">
        <f>($G235-$F235)/7.48/($AF$49*$E235/$AE$43)*12</f>
        <v>0</v>
      </c>
      <c r="U235" s="28">
        <f>U227+P235</f>
        <v>14.99491116078701</v>
      </c>
      <c r="V235" s="28">
        <f>V227+Q235</f>
        <v>14.99491116078701</v>
      </c>
      <c r="W235" s="28">
        <f>W227+R235</f>
        <v>15.014806689859258</v>
      </c>
      <c r="X235" s="28">
        <f>X227+S235</f>
        <v>15.014806689859258</v>
      </c>
    </row>
    <row r="236" spans="1:24" x14ac:dyDescent="0.2">
      <c r="A236" s="1"/>
      <c r="B236" s="1"/>
      <c r="C236" s="2"/>
      <c r="D236" s="26">
        <v>2</v>
      </c>
      <c r="E236" s="26">
        <v>57</v>
      </c>
      <c r="F236" s="27">
        <v>1864200</v>
      </c>
      <c r="G236" s="26">
        <f>F237</f>
        <v>1864200</v>
      </c>
      <c r="H236" s="9">
        <v>18</v>
      </c>
      <c r="I236" s="6" t="s">
        <v>178</v>
      </c>
      <c r="J236" s="24">
        <v>44</v>
      </c>
      <c r="K236" s="9">
        <f>H237</f>
        <v>18</v>
      </c>
      <c r="L236" s="6" t="s">
        <v>178</v>
      </c>
      <c r="M236" s="24">
        <f>J237</f>
        <v>44</v>
      </c>
      <c r="N236" s="22">
        <f>IF(H236=K236,M236-J236,60-(J236-M236))</f>
        <v>0</v>
      </c>
      <c r="O236" s="30" t="e">
        <f>(G236-F236)/N236</f>
        <v>#DIV/0!</v>
      </c>
      <c r="P236" s="29">
        <f>($G236-$F236)/7.48/($AF$50*$E236/$AE$43)*12</f>
        <v>0</v>
      </c>
      <c r="Q236" s="29">
        <f>($G236-$F236)/7.48/($AF$50*$E236/$AE$43)*12</f>
        <v>0</v>
      </c>
      <c r="R236" s="29"/>
      <c r="S236" s="29"/>
      <c r="U236" s="28">
        <f>U228+P236</f>
        <v>15.38501539026654</v>
      </c>
      <c r="V236" s="28">
        <f>V228+Q236</f>
        <v>15.38501539026654</v>
      </c>
      <c r="W236" s="28">
        <f>W228+R236</f>
        <v>15.323730055177919</v>
      </c>
      <c r="X236" s="28">
        <f>X228+S236</f>
        <v>15.323730055177919</v>
      </c>
    </row>
    <row r="237" spans="1:24" x14ac:dyDescent="0.2">
      <c r="A237" s="1">
        <v>176</v>
      </c>
      <c r="B237" s="1" t="s">
        <v>1</v>
      </c>
      <c r="C237" s="2">
        <v>36336</v>
      </c>
      <c r="D237" s="26">
        <v>3</v>
      </c>
      <c r="E237" s="26">
        <v>57</v>
      </c>
      <c r="F237" s="27">
        <v>1864200</v>
      </c>
      <c r="G237" s="26">
        <f>F238</f>
        <v>1867500</v>
      </c>
      <c r="H237" s="9">
        <v>18</v>
      </c>
      <c r="I237" s="6" t="s">
        <v>178</v>
      </c>
      <c r="J237" s="24">
        <v>44</v>
      </c>
      <c r="K237" s="9">
        <f>H238</f>
        <v>19</v>
      </c>
      <c r="L237" s="6" t="s">
        <v>178</v>
      </c>
      <c r="M237" s="24">
        <f>J238</f>
        <v>0</v>
      </c>
      <c r="N237" s="22">
        <f>IF(H237=K237,M237-J237,60-(J237-M237))</f>
        <v>16</v>
      </c>
      <c r="O237" s="30">
        <f>(G237-F237)/N237</f>
        <v>206.25</v>
      </c>
      <c r="P237" s="29"/>
      <c r="Q237" s="29"/>
      <c r="R237" s="29">
        <f>($G237-$F237)/7.48/($AF$51*$E237/$AE$43)*12</f>
        <v>0.35954063251991075</v>
      </c>
      <c r="S237" s="29">
        <f>($G237-$F237)/7.48/($AF$51*$E237/$AE$43)*12</f>
        <v>0.35954063251991075</v>
      </c>
      <c r="U237" s="28">
        <f>U229+P237</f>
        <v>14.952777132396003</v>
      </c>
      <c r="V237" s="28">
        <f>V229+Q237</f>
        <v>14.952777132396003</v>
      </c>
      <c r="W237" s="28">
        <f>W229+R237</f>
        <v>15.296655957059935</v>
      </c>
      <c r="X237" s="28">
        <f>X229+S237</f>
        <v>15.296655957059935</v>
      </c>
    </row>
    <row r="238" spans="1:24" x14ac:dyDescent="0.2">
      <c r="A238" s="1">
        <v>176</v>
      </c>
      <c r="B238" s="1" t="s">
        <v>1</v>
      </c>
      <c r="C238" s="2">
        <v>36336</v>
      </c>
      <c r="D238" s="26">
        <v>4</v>
      </c>
      <c r="E238" s="26">
        <v>48</v>
      </c>
      <c r="F238" s="27">
        <v>1867500</v>
      </c>
      <c r="G238" s="26">
        <f>F239</f>
        <v>1869900</v>
      </c>
      <c r="H238" s="9">
        <v>19</v>
      </c>
      <c r="I238" s="6" t="s">
        <v>178</v>
      </c>
      <c r="J238" s="24">
        <v>0</v>
      </c>
      <c r="K238" s="9">
        <f>H239</f>
        <v>19</v>
      </c>
      <c r="L238" s="6" t="s">
        <v>178</v>
      </c>
      <c r="M238" s="24">
        <f>J239</f>
        <v>12</v>
      </c>
      <c r="N238" s="22">
        <f>IF(H238=K238,M238-J238,60-(J238-M238))</f>
        <v>12</v>
      </c>
      <c r="O238" s="30">
        <f>(G238-F238)/N238</f>
        <v>200</v>
      </c>
      <c r="P238" s="29">
        <f>($G238-$F238)/7.48/($AF$52*$E238/$AE$43)*12</f>
        <v>0.32401290203375355</v>
      </c>
      <c r="Q238" s="29">
        <f>($G238-$F238)/7.48/($AF$52*$E238/$AE$43)*12</f>
        <v>0.32401290203375355</v>
      </c>
      <c r="R238" s="29"/>
      <c r="S238" s="29"/>
      <c r="U238" s="28">
        <f>U230+P238</f>
        <v>15.590238805413478</v>
      </c>
      <c r="V238" s="28">
        <f>V230+Q238</f>
        <v>15.590238805413478</v>
      </c>
      <c r="W238" s="28">
        <f>W230+R238</f>
        <v>15.295358642378371</v>
      </c>
      <c r="X238" s="28">
        <f>X230+S238</f>
        <v>15.295358642378371</v>
      </c>
    </row>
    <row r="239" spans="1:24" x14ac:dyDescent="0.2">
      <c r="A239" s="1">
        <v>176</v>
      </c>
      <c r="B239" s="1" t="s">
        <v>1</v>
      </c>
      <c r="C239" s="2">
        <v>36336</v>
      </c>
      <c r="D239" s="26" t="s">
        <v>179</v>
      </c>
      <c r="E239" s="26">
        <v>48</v>
      </c>
      <c r="F239" s="27">
        <v>1869900</v>
      </c>
      <c r="G239" s="26">
        <v>1871000</v>
      </c>
      <c r="H239" s="9">
        <v>19</v>
      </c>
      <c r="I239" s="6" t="s">
        <v>178</v>
      </c>
      <c r="J239" s="24">
        <v>12</v>
      </c>
      <c r="K239" s="9">
        <v>19</v>
      </c>
      <c r="L239" s="6" t="s">
        <v>178</v>
      </c>
      <c r="M239" s="23">
        <v>18</v>
      </c>
      <c r="N239" s="22">
        <f>IF(H239=K239,M239-J239,60-(J239-M239))</f>
        <v>6</v>
      </c>
      <c r="O239" s="21"/>
      <c r="U239" s="6"/>
      <c r="V239" s="6"/>
      <c r="W239" s="6"/>
      <c r="X239" s="6"/>
    </row>
    <row r="240" spans="1:24" ht="13.5" thickBot="1" x14ac:dyDescent="0.25">
      <c r="A240" s="20"/>
      <c r="B240" s="20"/>
      <c r="C240" s="20"/>
      <c r="D240" s="18"/>
      <c r="E240" s="18"/>
      <c r="F240" s="19"/>
      <c r="G240" s="18"/>
      <c r="H240" s="17"/>
      <c r="I240" s="12"/>
      <c r="J240" s="16"/>
      <c r="K240" s="15"/>
      <c r="L240" s="12"/>
      <c r="M240" s="14"/>
      <c r="N240" s="12" t="s">
        <v>175</v>
      </c>
      <c r="O240" s="13">
        <f>(G238-F234)/(SUM(N234:N238))</f>
        <v>203.57142857142858</v>
      </c>
      <c r="P240" s="12" t="s">
        <v>174</v>
      </c>
      <c r="Q240" s="12"/>
      <c r="R240" s="11">
        <f>AVERAGE(R237:S237,P238:Q238)</f>
        <v>0.34177676727683215</v>
      </c>
      <c r="S240" s="12"/>
      <c r="T240" s="12"/>
      <c r="U240" s="12" t="s">
        <v>173</v>
      </c>
      <c r="V240" s="12"/>
      <c r="W240" s="12"/>
      <c r="X240" s="11">
        <f>AVERAGE(U235:X238)</f>
        <v>15.231686729167315</v>
      </c>
    </row>
    <row r="241" spans="1:24" x14ac:dyDescent="0.2">
      <c r="C241" s="5"/>
      <c r="D241" s="26"/>
      <c r="E241" s="26"/>
      <c r="F241" s="59"/>
      <c r="G241" s="21"/>
      <c r="H241" s="25"/>
      <c r="I241" s="6"/>
      <c r="J241" s="36"/>
      <c r="K241" s="35"/>
      <c r="M241" s="34"/>
      <c r="N241" s="33"/>
      <c r="O241" s="32"/>
      <c r="P241" s="31"/>
      <c r="Q241" s="31"/>
      <c r="R241" s="31"/>
      <c r="S241" s="31"/>
    </row>
    <row r="242" spans="1:24" x14ac:dyDescent="0.2">
      <c r="C242" s="5"/>
      <c r="D242" s="26" t="s">
        <v>179</v>
      </c>
      <c r="E242" s="26">
        <v>48</v>
      </c>
      <c r="F242" s="27">
        <v>1877700</v>
      </c>
      <c r="G242" s="26">
        <v>1877700</v>
      </c>
      <c r="H242" s="25">
        <v>20</v>
      </c>
      <c r="I242" s="6" t="s">
        <v>178</v>
      </c>
      <c r="J242" s="24">
        <v>15</v>
      </c>
      <c r="K242" s="9">
        <v>20</v>
      </c>
      <c r="L242" s="6" t="s">
        <v>178</v>
      </c>
      <c r="M242" s="24">
        <v>15</v>
      </c>
      <c r="N242" s="22">
        <f>IF(H242=K242,M242-J242,60-(J242-M242))</f>
        <v>0</v>
      </c>
      <c r="O242" s="30" t="e">
        <f>(G242-F242)/N242</f>
        <v>#DIV/0!</v>
      </c>
      <c r="P242" s="6"/>
      <c r="Q242" s="6"/>
      <c r="R242" s="6"/>
      <c r="S242" s="6"/>
      <c r="U242" s="6"/>
      <c r="V242" s="6"/>
      <c r="W242" s="6"/>
      <c r="X242" s="6"/>
    </row>
    <row r="243" spans="1:24" x14ac:dyDescent="0.2">
      <c r="C243" s="5"/>
      <c r="D243" s="26">
        <v>1</v>
      </c>
      <c r="E243" s="26">
        <v>48</v>
      </c>
      <c r="F243" s="27">
        <v>1877700</v>
      </c>
      <c r="G243" s="26">
        <f>F242</f>
        <v>1877700</v>
      </c>
      <c r="H243" s="25">
        <v>20</v>
      </c>
      <c r="I243" s="6" t="s">
        <v>178</v>
      </c>
      <c r="J243" s="24">
        <v>15</v>
      </c>
      <c r="K243" s="9">
        <f>H242</f>
        <v>20</v>
      </c>
      <c r="L243" s="6" t="s">
        <v>178</v>
      </c>
      <c r="M243" s="23">
        <f>J242</f>
        <v>15</v>
      </c>
      <c r="N243" s="22">
        <f>IF(H243=K243,M243-J243,60-(J243-M243))</f>
        <v>0</v>
      </c>
      <c r="O243" s="30" t="e">
        <f>(G243-F243)/N243</f>
        <v>#DIV/0!</v>
      </c>
      <c r="P243" s="29">
        <f>($G243-$F243)/7.48/($AF$49*$E243/$AE$43)*12</f>
        <v>0</v>
      </c>
      <c r="Q243" s="29">
        <f>($G243-$F243)/7.48/($AF$49*$E243/$AE$43)*12</f>
        <v>0</v>
      </c>
      <c r="R243" s="29"/>
      <c r="S243" s="29"/>
      <c r="U243" s="28">
        <f>U235+P243</f>
        <v>14.99491116078701</v>
      </c>
      <c r="V243" s="28">
        <f>V235+Q243</f>
        <v>14.99491116078701</v>
      </c>
      <c r="W243" s="28">
        <f>W235+R243</f>
        <v>15.014806689859258</v>
      </c>
      <c r="X243" s="28">
        <f>X235+S243</f>
        <v>15.014806689859258</v>
      </c>
    </row>
    <row r="244" spans="1:24" x14ac:dyDescent="0.2">
      <c r="C244" s="5"/>
      <c r="D244" s="26">
        <v>2</v>
      </c>
      <c r="E244" s="26">
        <v>48</v>
      </c>
      <c r="F244" s="27">
        <v>1877700</v>
      </c>
      <c r="G244" s="26">
        <f>F243</f>
        <v>1877700</v>
      </c>
      <c r="H244" s="25">
        <v>20</v>
      </c>
      <c r="I244" s="6" t="s">
        <v>178</v>
      </c>
      <c r="J244" s="24">
        <v>15</v>
      </c>
      <c r="K244" s="9">
        <f>H243</f>
        <v>20</v>
      </c>
      <c r="L244" s="6" t="s">
        <v>178</v>
      </c>
      <c r="M244" s="23">
        <f>J243</f>
        <v>15</v>
      </c>
      <c r="N244" s="22">
        <f>IF(H244=K244,M244-J244,60-(J244-M244))</f>
        <v>0</v>
      </c>
      <c r="O244" s="30" t="e">
        <f>(G244-F244)/N244</f>
        <v>#DIV/0!</v>
      </c>
      <c r="P244" s="29"/>
      <c r="Q244" s="29"/>
      <c r="R244" s="29">
        <f>($G244-$F244)/7.48/($AF$50*$E244/$AE$43)*12</f>
        <v>0</v>
      </c>
      <c r="S244" s="29">
        <f>($G244-$F244)/7.48/($AF$50*$E244/$AE$43)*12</f>
        <v>0</v>
      </c>
      <c r="U244" s="28">
        <f>U236+P244</f>
        <v>15.38501539026654</v>
      </c>
      <c r="V244" s="28">
        <f>V236+Q244</f>
        <v>15.38501539026654</v>
      </c>
      <c r="W244" s="28">
        <f>W236+R244</f>
        <v>15.323730055177919</v>
      </c>
      <c r="X244" s="28">
        <f>X236+S244</f>
        <v>15.323730055177919</v>
      </c>
    </row>
    <row r="245" spans="1:24" x14ac:dyDescent="0.2">
      <c r="A245" s="1">
        <v>176</v>
      </c>
      <c r="B245" s="1" t="s">
        <v>1</v>
      </c>
      <c r="C245" s="2">
        <v>36336</v>
      </c>
      <c r="D245" s="26">
        <v>3</v>
      </c>
      <c r="E245" s="26">
        <v>48</v>
      </c>
      <c r="F245" s="27">
        <v>1875500</v>
      </c>
      <c r="G245" s="26">
        <f>F244</f>
        <v>1877700</v>
      </c>
      <c r="H245" s="25">
        <v>20</v>
      </c>
      <c r="I245" s="6" t="s">
        <v>178</v>
      </c>
      <c r="J245" s="24">
        <v>3</v>
      </c>
      <c r="K245" s="9">
        <f>H244</f>
        <v>20</v>
      </c>
      <c r="L245" s="6" t="s">
        <v>178</v>
      </c>
      <c r="M245" s="23">
        <f>J244</f>
        <v>15</v>
      </c>
      <c r="N245" s="22">
        <f>IF(H245=K245,M245-J245,60-(J245-M245))</f>
        <v>12</v>
      </c>
      <c r="O245" s="30">
        <f>(G245-F245)/N245</f>
        <v>183.33333333333334</v>
      </c>
      <c r="P245" s="29">
        <f>($G245-$F245)/7.48/($AF$51*$E245/$AE$43)*12</f>
        <v>0.28463633407826266</v>
      </c>
      <c r="Q245" s="29">
        <f>($G245-$F245)/7.48/($AF$51*$E245/$AE$43)*12</f>
        <v>0.28463633407826266</v>
      </c>
      <c r="R245" s="29"/>
      <c r="S245" s="29"/>
      <c r="U245" s="28">
        <f>U237+P245</f>
        <v>15.237413466474266</v>
      </c>
      <c r="V245" s="28">
        <f>V237+Q245</f>
        <v>15.237413466474266</v>
      </c>
      <c r="W245" s="28">
        <f>W237+R245</f>
        <v>15.296655957059935</v>
      </c>
      <c r="X245" s="28">
        <f>X237+S245</f>
        <v>15.296655957059935</v>
      </c>
    </row>
    <row r="246" spans="1:24" x14ac:dyDescent="0.2">
      <c r="A246" s="1">
        <v>176</v>
      </c>
      <c r="B246" s="1" t="s">
        <v>1</v>
      </c>
      <c r="C246" s="2">
        <v>36336</v>
      </c>
      <c r="D246" s="26">
        <v>4</v>
      </c>
      <c r="E246" s="26">
        <v>57</v>
      </c>
      <c r="F246" s="27">
        <v>1872900</v>
      </c>
      <c r="G246" s="26">
        <f>F245</f>
        <v>1875500</v>
      </c>
      <c r="H246" s="25">
        <v>19</v>
      </c>
      <c r="I246" s="6" t="s">
        <v>178</v>
      </c>
      <c r="J246" s="24">
        <v>52</v>
      </c>
      <c r="K246" s="9">
        <f>H245</f>
        <v>20</v>
      </c>
      <c r="L246" s="6" t="s">
        <v>178</v>
      </c>
      <c r="M246" s="23">
        <f>J245</f>
        <v>3</v>
      </c>
      <c r="N246" s="22">
        <f>IF(H246=K246,M246-J246,60-(J246-M246))</f>
        <v>11</v>
      </c>
      <c r="O246" s="30">
        <f>(G246-F246)/N246</f>
        <v>236.36363636363637</v>
      </c>
      <c r="P246" s="29"/>
      <c r="Q246" s="29"/>
      <c r="R246" s="29">
        <f>($G246-$F246)/7.48/($AF$52*$E246/$AE$43)*12</f>
        <v>0.29559071764482781</v>
      </c>
      <c r="S246" s="29">
        <f>($G246-$F246)/7.48/($AF$52*$E246/$AE$43)*12</f>
        <v>0.29559071764482781</v>
      </c>
      <c r="U246" s="28">
        <f>U238+P246</f>
        <v>15.590238805413478</v>
      </c>
      <c r="V246" s="28">
        <f>V238+Q246</f>
        <v>15.590238805413478</v>
      </c>
      <c r="W246" s="28">
        <f>W238+R246</f>
        <v>15.590949360023199</v>
      </c>
      <c r="X246" s="28">
        <f>X238+S246</f>
        <v>15.590949360023199</v>
      </c>
    </row>
    <row r="247" spans="1:24" x14ac:dyDescent="0.2">
      <c r="A247" s="1">
        <v>176</v>
      </c>
      <c r="B247" s="1" t="s">
        <v>1</v>
      </c>
      <c r="C247" s="2">
        <v>36336</v>
      </c>
      <c r="D247" s="26" t="s">
        <v>180</v>
      </c>
      <c r="E247" s="26">
        <v>57</v>
      </c>
      <c r="F247" s="27">
        <v>1871000</v>
      </c>
      <c r="G247" s="26">
        <f>F246</f>
        <v>1872900</v>
      </c>
      <c r="H247" s="25">
        <v>19</v>
      </c>
      <c r="I247" s="6" t="s">
        <v>178</v>
      </c>
      <c r="J247" s="24">
        <v>44</v>
      </c>
      <c r="K247" s="9">
        <f>H246</f>
        <v>19</v>
      </c>
      <c r="L247" s="6" t="s">
        <v>178</v>
      </c>
      <c r="M247" s="23">
        <f>J246</f>
        <v>52</v>
      </c>
      <c r="N247" s="22">
        <f>IF(H247=K247,M247-J247,60-(J247-M247))</f>
        <v>8</v>
      </c>
      <c r="O247" s="21"/>
      <c r="U247" s="6"/>
      <c r="V247" s="6"/>
      <c r="W247" s="6"/>
      <c r="X247" s="6"/>
    </row>
    <row r="248" spans="1:24" ht="13.5" thickBot="1" x14ac:dyDescent="0.25">
      <c r="A248" s="20"/>
      <c r="B248" s="20"/>
      <c r="C248" s="20"/>
      <c r="D248" s="18"/>
      <c r="E248" s="18"/>
      <c r="F248" s="19"/>
      <c r="G248" s="18"/>
      <c r="H248" s="17"/>
      <c r="I248" s="12"/>
      <c r="J248" s="16"/>
      <c r="K248" s="15"/>
      <c r="L248" s="12"/>
      <c r="M248" s="14"/>
      <c r="N248" s="12" t="s">
        <v>175</v>
      </c>
      <c r="O248" s="13">
        <f>(G242-F246)/(SUM(N242:N246))</f>
        <v>208.69565217391303</v>
      </c>
      <c r="P248" s="12" t="s">
        <v>174</v>
      </c>
      <c r="Q248" s="12"/>
      <c r="R248" s="11">
        <f>AVERAGE(P245:Q245,R246:S246)</f>
        <v>0.29011352586154526</v>
      </c>
      <c r="S248" s="12"/>
      <c r="T248" s="12"/>
      <c r="U248" s="12" t="s">
        <v>173</v>
      </c>
      <c r="V248" s="12"/>
      <c r="W248" s="12"/>
      <c r="X248" s="11">
        <f>AVERAGE(U243:X246)</f>
        <v>15.3042151106327</v>
      </c>
    </row>
    <row r="249" spans="1:24" x14ac:dyDescent="0.2">
      <c r="D249" s="26"/>
      <c r="E249" s="26"/>
      <c r="F249" s="38"/>
      <c r="G249" s="37"/>
      <c r="H249" s="25"/>
      <c r="I249" s="6"/>
      <c r="J249" s="36"/>
      <c r="K249" s="35"/>
      <c r="M249" s="34"/>
      <c r="N249" s="33"/>
      <c r="O249" s="32"/>
      <c r="P249" s="31"/>
      <c r="Q249" s="31"/>
      <c r="R249" s="31"/>
      <c r="S249" s="31"/>
      <c r="T249" s="31"/>
    </row>
    <row r="250" spans="1:24" x14ac:dyDescent="0.2">
      <c r="A250" s="1">
        <v>177</v>
      </c>
      <c r="B250" s="1" t="s">
        <v>16</v>
      </c>
      <c r="C250" s="2">
        <v>36337</v>
      </c>
      <c r="D250" s="26" t="s">
        <v>179</v>
      </c>
      <c r="E250" s="26">
        <v>105</v>
      </c>
      <c r="F250" s="27">
        <v>1904500</v>
      </c>
      <c r="G250" s="39">
        <v>1908200</v>
      </c>
      <c r="H250" s="25">
        <v>15</v>
      </c>
      <c r="I250" s="6" t="s">
        <v>178</v>
      </c>
      <c r="J250" s="24">
        <v>30</v>
      </c>
      <c r="K250" s="9">
        <v>15</v>
      </c>
      <c r="L250" s="6" t="s">
        <v>178</v>
      </c>
      <c r="M250" s="24">
        <v>41</v>
      </c>
      <c r="N250" s="22">
        <f>IF(H250=K250,M250-J250,60-(J250-M250))</f>
        <v>11</v>
      </c>
      <c r="O250" s="30">
        <f>(G250-F250)/N250</f>
        <v>336.36363636363637</v>
      </c>
      <c r="P250" s="6"/>
      <c r="Q250" s="6"/>
      <c r="R250" s="6"/>
      <c r="S250" s="6"/>
      <c r="U250" s="6"/>
      <c r="V250" s="6"/>
      <c r="W250" s="6"/>
      <c r="X250" s="6"/>
    </row>
    <row r="251" spans="1:24" x14ac:dyDescent="0.2">
      <c r="A251" s="1">
        <v>177</v>
      </c>
      <c r="B251" s="1" t="s">
        <v>16</v>
      </c>
      <c r="C251" s="2">
        <v>36337</v>
      </c>
      <c r="D251" s="26">
        <v>1</v>
      </c>
      <c r="E251" s="26">
        <v>105</v>
      </c>
      <c r="F251" s="27">
        <v>1892200</v>
      </c>
      <c r="G251" s="26">
        <f>F250</f>
        <v>1904500</v>
      </c>
      <c r="H251" s="25">
        <v>14</v>
      </c>
      <c r="I251" s="6" t="s">
        <v>178</v>
      </c>
      <c r="J251" s="24">
        <v>58</v>
      </c>
      <c r="K251" s="9">
        <f>H250</f>
        <v>15</v>
      </c>
      <c r="L251" s="6" t="s">
        <v>178</v>
      </c>
      <c r="M251" s="23">
        <f>J250</f>
        <v>30</v>
      </c>
      <c r="N251" s="22">
        <f>IF(H251=K251,M251-J251,60-(J251-M251))</f>
        <v>32</v>
      </c>
      <c r="O251" s="30">
        <f>(G251-F251)/N251</f>
        <v>384.375</v>
      </c>
      <c r="P251" s="29">
        <f>($G251-$F251)/7.48/($AF$49*$E251/$AE$43)*12</f>
        <v>0.75911594190765119</v>
      </c>
      <c r="Q251" s="29">
        <f>($G251-$F251)/7.48/($AF$49*$E251/$AE$43)*12</f>
        <v>0.75911594190765119</v>
      </c>
      <c r="R251" s="29">
        <f>($G251-$F251)/7.48/($AF$49*$E251/$AE$43)*12</f>
        <v>0.75911594190765119</v>
      </c>
      <c r="S251" s="29">
        <f>($G251-$F251)/7.48/($AF$49*$E251/$AE$43)*12</f>
        <v>0.75911594190765119</v>
      </c>
      <c r="U251" s="28">
        <f>U243+P251</f>
        <v>15.754027102694662</v>
      </c>
      <c r="V251" s="28">
        <f>V243+Q251</f>
        <v>15.754027102694662</v>
      </c>
      <c r="W251" s="28">
        <f>W243+R251</f>
        <v>15.77392263176691</v>
      </c>
      <c r="X251" s="28">
        <f>X243+S251</f>
        <v>15.77392263176691</v>
      </c>
    </row>
    <row r="252" spans="1:24" x14ac:dyDescent="0.2">
      <c r="A252" s="1">
        <v>177</v>
      </c>
      <c r="B252" s="1" t="s">
        <v>16</v>
      </c>
      <c r="C252" s="2">
        <v>36337</v>
      </c>
      <c r="D252" s="26">
        <v>2</v>
      </c>
      <c r="E252" s="26">
        <v>105</v>
      </c>
      <c r="F252" s="27">
        <v>1877700</v>
      </c>
      <c r="G252" s="26">
        <f>F251</f>
        <v>1892200</v>
      </c>
      <c r="H252" s="25">
        <v>14</v>
      </c>
      <c r="I252" s="6" t="s">
        <v>178</v>
      </c>
      <c r="J252" s="24">
        <v>20</v>
      </c>
      <c r="K252" s="9">
        <f>H251</f>
        <v>14</v>
      </c>
      <c r="L252" s="6" t="s">
        <v>178</v>
      </c>
      <c r="M252" s="23">
        <f>J251</f>
        <v>58</v>
      </c>
      <c r="N252" s="22">
        <f>IF(H252=K252,M252-J252,60-(J252-M252))</f>
        <v>38</v>
      </c>
      <c r="O252" s="30">
        <f>(G252-F252)/N252</f>
        <v>381.57894736842104</v>
      </c>
      <c r="P252" s="29">
        <f>($G252-$F252)/7.48/($AF$50*$E252/$AE$43)*12</f>
        <v>0.85760557800203818</v>
      </c>
      <c r="Q252" s="29">
        <f>($G252-$F252)/7.48/($AF$50*$E252/$AE$43)*12</f>
        <v>0.85760557800203818</v>
      </c>
      <c r="R252" s="29">
        <f>($G252-$F252)/7.48/($AF$50*$E252/$AE$43)*12</f>
        <v>0.85760557800203818</v>
      </c>
      <c r="S252" s="29">
        <f>($G252-$F252)/7.48/($AF$50*$E252/$AE$43)*12</f>
        <v>0.85760557800203818</v>
      </c>
      <c r="U252" s="28">
        <f>U244+P252</f>
        <v>16.242620968268579</v>
      </c>
      <c r="V252" s="28">
        <f>V244+Q252</f>
        <v>16.242620968268579</v>
      </c>
      <c r="W252" s="28">
        <f>W244+R252</f>
        <v>16.181335633179955</v>
      </c>
      <c r="X252" s="28">
        <f>X244+S252</f>
        <v>16.181335633179955</v>
      </c>
    </row>
    <row r="253" spans="1:24" x14ac:dyDescent="0.2">
      <c r="A253" s="1"/>
      <c r="B253" s="1"/>
      <c r="C253" s="2"/>
      <c r="D253" s="26">
        <v>3</v>
      </c>
      <c r="E253" s="26">
        <v>105</v>
      </c>
      <c r="F253" s="27">
        <v>1877700</v>
      </c>
      <c r="G253" s="26">
        <f>F252</f>
        <v>1877700</v>
      </c>
      <c r="H253" s="25">
        <v>14</v>
      </c>
      <c r="I253" s="6" t="s">
        <v>178</v>
      </c>
      <c r="J253" s="24">
        <v>20</v>
      </c>
      <c r="K253" s="9">
        <f>H252</f>
        <v>14</v>
      </c>
      <c r="L253" s="6" t="s">
        <v>178</v>
      </c>
      <c r="M253" s="23">
        <f>J252</f>
        <v>20</v>
      </c>
      <c r="N253" s="22">
        <f>IF(H253=K253,M253-J253,60-(J253-M253))</f>
        <v>0</v>
      </c>
      <c r="O253" s="30" t="e">
        <f>(G253-F253)/N253</f>
        <v>#DIV/0!</v>
      </c>
      <c r="P253" s="29">
        <f>($G253-$F253)/7.48/($AF$51*$E253/$AE$43)*12</f>
        <v>0</v>
      </c>
      <c r="Q253" s="29">
        <f>($G253-$F253)/7.48/($AF$51*$E253/$AE$43)*12</f>
        <v>0</v>
      </c>
      <c r="R253" s="29">
        <f>($G253-$F253)/7.48/($AF$51*$E253/$AE$43)*12</f>
        <v>0</v>
      </c>
      <c r="S253" s="29">
        <f>($G253-$F253)/7.48/($AF$51*$E253/$AE$43)*12</f>
        <v>0</v>
      </c>
      <c r="U253" s="28">
        <f>U245+P253</f>
        <v>15.237413466474266</v>
      </c>
      <c r="V253" s="28">
        <f>V245+Q253</f>
        <v>15.237413466474266</v>
      </c>
      <c r="W253" s="28">
        <f>W245+R253</f>
        <v>15.296655957059935</v>
      </c>
      <c r="X253" s="28">
        <f>X245+S253</f>
        <v>15.296655957059935</v>
      </c>
    </row>
    <row r="254" spans="1:24" x14ac:dyDescent="0.2">
      <c r="A254" s="1"/>
      <c r="B254" s="1"/>
      <c r="C254" s="2"/>
      <c r="D254" s="26">
        <v>4</v>
      </c>
      <c r="E254" s="26">
        <v>105</v>
      </c>
      <c r="F254" s="27">
        <v>1877700</v>
      </c>
      <c r="G254" s="26">
        <f>F253</f>
        <v>1877700</v>
      </c>
      <c r="H254" s="25">
        <v>14</v>
      </c>
      <c r="I254" s="6" t="s">
        <v>178</v>
      </c>
      <c r="J254" s="24">
        <v>20</v>
      </c>
      <c r="K254" s="9">
        <f>H253</f>
        <v>14</v>
      </c>
      <c r="L254" s="6" t="s">
        <v>178</v>
      </c>
      <c r="M254" s="23">
        <f>J253</f>
        <v>20</v>
      </c>
      <c r="N254" s="22">
        <f>IF(H254=K254,M254-J254,60-(J254-M254))</f>
        <v>0</v>
      </c>
      <c r="O254" s="30" t="e">
        <f>(G254-F254)/N254</f>
        <v>#DIV/0!</v>
      </c>
      <c r="P254" s="29">
        <f>($G254-$F254)/7.48/($AF$52*$E254/$AE$43)*12</f>
        <v>0</v>
      </c>
      <c r="Q254" s="29">
        <f>($G254-$F254)/7.48/($AF$52*$E254/$AE$43)*12</f>
        <v>0</v>
      </c>
      <c r="R254" s="29">
        <f>($G254-$F254)/7.48/($AF$52*$E254/$AE$43)*12</f>
        <v>0</v>
      </c>
      <c r="S254" s="29">
        <f>($G254-$F254)/7.48/($AF$52*$E254/$AE$43)*12</f>
        <v>0</v>
      </c>
      <c r="U254" s="28">
        <f>U246+P254</f>
        <v>15.590238805413478</v>
      </c>
      <c r="V254" s="28">
        <f>V246+Q254</f>
        <v>15.590238805413478</v>
      </c>
      <c r="W254" s="28">
        <f>W246+R254</f>
        <v>15.590949360023199</v>
      </c>
      <c r="X254" s="28">
        <f>X246+S254</f>
        <v>15.590949360023199</v>
      </c>
    </row>
    <row r="255" spans="1:24" x14ac:dyDescent="0.2">
      <c r="A255" s="1"/>
      <c r="B255" s="1"/>
      <c r="C255" s="2"/>
      <c r="D255" s="26" t="s">
        <v>180</v>
      </c>
      <c r="E255" s="26">
        <v>105</v>
      </c>
      <c r="F255" s="27">
        <v>1877700</v>
      </c>
      <c r="G255" s="26">
        <f>F254</f>
        <v>1877700</v>
      </c>
      <c r="H255" s="25">
        <v>14</v>
      </c>
      <c r="I255" s="6" t="s">
        <v>178</v>
      </c>
      <c r="J255" s="24">
        <v>20</v>
      </c>
      <c r="K255" s="9">
        <f>H254</f>
        <v>14</v>
      </c>
      <c r="L255" s="6" t="s">
        <v>178</v>
      </c>
      <c r="M255" s="23">
        <f>J254</f>
        <v>20</v>
      </c>
      <c r="N255" s="22">
        <f>IF(H255=K255,M255-J255,60-(J255-M255))</f>
        <v>0</v>
      </c>
      <c r="O255" s="21"/>
      <c r="U255" s="6"/>
      <c r="V255" s="6"/>
      <c r="W255" s="6"/>
      <c r="X255" s="6"/>
    </row>
    <row r="256" spans="1:24" ht="13.5" thickBot="1" x14ac:dyDescent="0.25">
      <c r="A256" s="20"/>
      <c r="B256" s="20"/>
      <c r="C256" s="20"/>
      <c r="D256" s="18"/>
      <c r="E256" s="18"/>
      <c r="F256" s="19"/>
      <c r="G256" s="18"/>
      <c r="H256" s="17"/>
      <c r="I256" s="12"/>
      <c r="J256" s="16"/>
      <c r="K256" s="15"/>
      <c r="L256" s="12"/>
      <c r="M256" s="14"/>
      <c r="N256" s="12" t="s">
        <v>175</v>
      </c>
      <c r="O256" s="13" t="e">
        <f>(G254-F254)/(SUM(N254:N254))</f>
        <v>#DIV/0!</v>
      </c>
      <c r="P256" s="12" t="s">
        <v>174</v>
      </c>
      <c r="Q256" s="12"/>
      <c r="R256" s="11">
        <f>AVERAGE(P251:S252)</f>
        <v>0.8083607599548448</v>
      </c>
      <c r="S256" s="12"/>
      <c r="T256" s="12"/>
      <c r="U256" s="12" t="s">
        <v>173</v>
      </c>
      <c r="V256" s="12"/>
      <c r="W256" s="12"/>
      <c r="X256" s="11">
        <f>AVERAGE(U251:X254)</f>
        <v>15.708395490610123</v>
      </c>
    </row>
    <row r="257" spans="1:24" x14ac:dyDescent="0.2">
      <c r="D257" s="26"/>
      <c r="E257" s="26"/>
      <c r="F257" s="59"/>
      <c r="G257" s="21"/>
      <c r="H257" s="25"/>
      <c r="I257" s="6"/>
      <c r="J257" s="36"/>
      <c r="K257" s="35"/>
      <c r="M257" s="34"/>
      <c r="N257" s="33"/>
      <c r="O257" s="32"/>
      <c r="P257" s="31"/>
      <c r="Q257" s="31"/>
      <c r="R257" s="31"/>
      <c r="S257" s="31"/>
      <c r="T257" s="31"/>
    </row>
    <row r="258" spans="1:24" x14ac:dyDescent="0.2">
      <c r="A258" s="1">
        <v>177</v>
      </c>
      <c r="B258" s="1" t="s">
        <v>16</v>
      </c>
      <c r="C258" s="2">
        <v>36337</v>
      </c>
      <c r="D258" s="26" t="s">
        <v>180</v>
      </c>
      <c r="E258" s="26">
        <v>48</v>
      </c>
      <c r="F258" s="27">
        <v>1908200</v>
      </c>
      <c r="G258" s="26">
        <f>F259</f>
        <v>1909900</v>
      </c>
      <c r="H258" s="9">
        <v>15</v>
      </c>
      <c r="I258" s="6" t="s">
        <v>178</v>
      </c>
      <c r="J258" s="24">
        <v>50</v>
      </c>
      <c r="K258" s="9">
        <f>H259</f>
        <v>15</v>
      </c>
      <c r="L258" s="6" t="s">
        <v>178</v>
      </c>
      <c r="M258" s="24">
        <f>J259</f>
        <v>59</v>
      </c>
      <c r="N258" s="22">
        <f>IF(H258=K258,M258-J258,60-(J258-M258))</f>
        <v>9</v>
      </c>
      <c r="O258" s="30">
        <f>(G258-F258)/N258</f>
        <v>188.88888888888889</v>
      </c>
      <c r="P258" s="6"/>
      <c r="Q258" s="6"/>
      <c r="R258" s="6"/>
      <c r="S258" s="6"/>
      <c r="U258" s="6"/>
      <c r="V258" s="6"/>
      <c r="W258" s="6"/>
      <c r="X258" s="6"/>
    </row>
    <row r="259" spans="1:24" x14ac:dyDescent="0.2">
      <c r="A259" s="1">
        <v>177</v>
      </c>
      <c r="B259" s="1" t="s">
        <v>16</v>
      </c>
      <c r="C259" s="2">
        <v>36337</v>
      </c>
      <c r="D259" s="26">
        <v>1</v>
      </c>
      <c r="E259" s="26">
        <v>48</v>
      </c>
      <c r="F259" s="27">
        <v>1909900</v>
      </c>
      <c r="G259" s="26">
        <f>F260</f>
        <v>1912200</v>
      </c>
      <c r="H259" s="9">
        <v>15</v>
      </c>
      <c r="I259" s="6" t="s">
        <v>178</v>
      </c>
      <c r="J259" s="24">
        <v>59</v>
      </c>
      <c r="K259" s="9">
        <f>H260</f>
        <v>16</v>
      </c>
      <c r="L259" s="6" t="s">
        <v>178</v>
      </c>
      <c r="M259" s="24">
        <f>J260</f>
        <v>11</v>
      </c>
      <c r="N259" s="22">
        <f>IF(H259=K259,M259-J259,60-(J259-M259))</f>
        <v>12</v>
      </c>
      <c r="O259" s="30">
        <f>(G259-F259)/N259</f>
        <v>191.66666666666666</v>
      </c>
      <c r="P259" s="29">
        <f>($G259-$F259)/7.48/($AF$49*$E259/$AE$43)*12</f>
        <v>0.31051236444901381</v>
      </c>
      <c r="Q259" s="29">
        <f>($G259-$F259)/7.48/($AF$49*$E259/$AE$43)*12</f>
        <v>0.31051236444901381</v>
      </c>
      <c r="R259" s="29"/>
      <c r="S259" s="29"/>
      <c r="U259" s="28">
        <f>U251+P259</f>
        <v>16.064539467143675</v>
      </c>
      <c r="V259" s="28">
        <f>V251+Q259</f>
        <v>16.064539467143675</v>
      </c>
      <c r="W259" s="28">
        <f>W251+R259</f>
        <v>15.77392263176691</v>
      </c>
      <c r="X259" s="28">
        <f>X251+S259</f>
        <v>15.77392263176691</v>
      </c>
    </row>
    <row r="260" spans="1:24" x14ac:dyDescent="0.2">
      <c r="A260" s="1">
        <v>177</v>
      </c>
      <c r="B260" s="1" t="s">
        <v>16</v>
      </c>
      <c r="C260" s="2">
        <v>36337</v>
      </c>
      <c r="D260" s="26">
        <v>2</v>
      </c>
      <c r="E260" s="26">
        <v>57</v>
      </c>
      <c r="F260" s="27">
        <v>1912200</v>
      </c>
      <c r="G260" s="26">
        <f>F261</f>
        <v>1914700</v>
      </c>
      <c r="H260" s="9">
        <v>16</v>
      </c>
      <c r="I260" s="6" t="s">
        <v>178</v>
      </c>
      <c r="J260" s="24">
        <v>11</v>
      </c>
      <c r="K260" s="9">
        <f>H261</f>
        <v>16</v>
      </c>
      <c r="L260" s="6" t="s">
        <v>178</v>
      </c>
      <c r="M260" s="24">
        <f>J261</f>
        <v>22</v>
      </c>
      <c r="N260" s="22">
        <f>IF(H260=K260,M260-J260,60-(J260-M260))</f>
        <v>11</v>
      </c>
      <c r="O260" s="30">
        <f>(G260-F260)/N260</f>
        <v>227.27272727272728</v>
      </c>
      <c r="P260" s="29"/>
      <c r="Q260" s="29"/>
      <c r="R260" s="29">
        <f>($G260-$F260)/7.48/($AF$50*$E260/$AE$43)*12</f>
        <v>0.27237926706053844</v>
      </c>
      <c r="S260" s="29">
        <f>($G260-$F260)/7.48/($AF$50*$E260/$AE$43)*12</f>
        <v>0.27237926706053844</v>
      </c>
      <c r="U260" s="28">
        <f>U252+P260</f>
        <v>16.242620968268579</v>
      </c>
      <c r="V260" s="28">
        <f>V252+Q260</f>
        <v>16.242620968268579</v>
      </c>
      <c r="W260" s="28">
        <f>W252+R260</f>
        <v>16.453714900240495</v>
      </c>
      <c r="X260" s="28">
        <f>X252+S260</f>
        <v>16.453714900240495</v>
      </c>
    </row>
    <row r="261" spans="1:24" x14ac:dyDescent="0.2">
      <c r="A261" s="1"/>
      <c r="B261" s="1"/>
      <c r="C261" s="2"/>
      <c r="D261" s="26">
        <v>3</v>
      </c>
      <c r="E261" s="26">
        <v>57</v>
      </c>
      <c r="F261" s="27">
        <v>1914700</v>
      </c>
      <c r="G261" s="26">
        <f>F262</f>
        <v>1914700</v>
      </c>
      <c r="H261" s="9">
        <v>16</v>
      </c>
      <c r="I261" s="6" t="s">
        <v>178</v>
      </c>
      <c r="J261" s="24">
        <v>22</v>
      </c>
      <c r="K261" s="9">
        <f>H262</f>
        <v>16</v>
      </c>
      <c r="L261" s="6" t="s">
        <v>178</v>
      </c>
      <c r="M261" s="24">
        <f>J262</f>
        <v>22</v>
      </c>
      <c r="N261" s="22">
        <f>IF(H261=K261,M261-J261,60-(J261-M261))</f>
        <v>0</v>
      </c>
      <c r="O261" s="30" t="e">
        <f>(G261-F261)/N261</f>
        <v>#DIV/0!</v>
      </c>
      <c r="P261" s="29"/>
      <c r="Q261" s="29"/>
      <c r="R261" s="29"/>
      <c r="S261" s="29"/>
      <c r="U261" s="28">
        <f>U253+P261</f>
        <v>15.237413466474266</v>
      </c>
      <c r="V261" s="28">
        <f>V253+Q261</f>
        <v>15.237413466474266</v>
      </c>
      <c r="W261" s="28">
        <f>W253+R261</f>
        <v>15.296655957059935</v>
      </c>
      <c r="X261" s="28">
        <f>X253+S261</f>
        <v>15.296655957059935</v>
      </c>
    </row>
    <row r="262" spans="1:24" x14ac:dyDescent="0.2">
      <c r="A262" s="1"/>
      <c r="B262" s="1"/>
      <c r="C262" s="2"/>
      <c r="D262" s="26">
        <v>4</v>
      </c>
      <c r="E262" s="26">
        <v>57</v>
      </c>
      <c r="F262" s="27">
        <v>1914700</v>
      </c>
      <c r="G262" s="26">
        <f>F263</f>
        <v>1914700</v>
      </c>
      <c r="H262" s="9">
        <v>16</v>
      </c>
      <c r="I262" s="6" t="s">
        <v>178</v>
      </c>
      <c r="J262" s="24">
        <v>22</v>
      </c>
      <c r="K262" s="9">
        <f>H263</f>
        <v>16</v>
      </c>
      <c r="L262" s="6" t="s">
        <v>178</v>
      </c>
      <c r="M262" s="24">
        <f>J263</f>
        <v>22</v>
      </c>
      <c r="N262" s="22">
        <f>IF(H262=K262,M262-J262,60-(J262-M262))</f>
        <v>0</v>
      </c>
      <c r="O262" s="30" t="e">
        <f>(G262-F262)/N262</f>
        <v>#DIV/0!</v>
      </c>
      <c r="P262" s="29"/>
      <c r="Q262" s="29"/>
      <c r="R262" s="29"/>
      <c r="S262" s="29"/>
      <c r="U262" s="28">
        <f>U254+P262</f>
        <v>15.590238805413478</v>
      </c>
      <c r="V262" s="28">
        <f>V254+Q262</f>
        <v>15.590238805413478</v>
      </c>
      <c r="W262" s="28">
        <f>W254+R262</f>
        <v>15.590949360023199</v>
      </c>
      <c r="X262" s="28">
        <f>X254+S262</f>
        <v>15.590949360023199</v>
      </c>
    </row>
    <row r="263" spans="1:24" x14ac:dyDescent="0.2">
      <c r="A263" s="1"/>
      <c r="B263" s="1"/>
      <c r="C263" s="2"/>
      <c r="D263" s="26" t="s">
        <v>179</v>
      </c>
      <c r="E263" s="26">
        <v>57</v>
      </c>
      <c r="F263" s="27">
        <v>1914700</v>
      </c>
      <c r="G263" s="26">
        <v>1914700</v>
      </c>
      <c r="H263" s="9">
        <v>16</v>
      </c>
      <c r="I263" s="6" t="s">
        <v>178</v>
      </c>
      <c r="J263" s="24">
        <v>22</v>
      </c>
      <c r="K263" s="9">
        <v>16</v>
      </c>
      <c r="L263" s="6" t="s">
        <v>178</v>
      </c>
      <c r="M263" s="23">
        <v>22</v>
      </c>
      <c r="N263" s="22">
        <f>IF(H263=K263,M263-J263,60-(J263-M263))</f>
        <v>0</v>
      </c>
      <c r="O263" s="21"/>
      <c r="U263" s="6"/>
      <c r="V263" s="6"/>
      <c r="W263" s="6"/>
      <c r="X263" s="6"/>
    </row>
    <row r="264" spans="1:24" ht="13.5" thickBot="1" x14ac:dyDescent="0.25">
      <c r="A264" s="20"/>
      <c r="B264" s="20"/>
      <c r="C264" s="20"/>
      <c r="D264" s="18"/>
      <c r="E264" s="18"/>
      <c r="F264" s="19"/>
      <c r="G264" s="18"/>
      <c r="H264" s="17"/>
      <c r="I264" s="12"/>
      <c r="J264" s="16"/>
      <c r="K264" s="15"/>
      <c r="L264" s="12"/>
      <c r="M264" s="14"/>
      <c r="N264" s="12" t="s">
        <v>175</v>
      </c>
      <c r="O264" s="13">
        <f>(G262-F258)/(SUM(N258:N262))</f>
        <v>203.125</v>
      </c>
      <c r="P264" s="12" t="s">
        <v>174</v>
      </c>
      <c r="Q264" s="12"/>
      <c r="R264" s="11">
        <f>AVERAGE(P259:Q259,R260:S260)</f>
        <v>0.29144581575477613</v>
      </c>
      <c r="S264" s="12"/>
      <c r="T264" s="12"/>
      <c r="U264" s="12" t="s">
        <v>173</v>
      </c>
      <c r="V264" s="12"/>
      <c r="W264" s="12"/>
      <c r="X264" s="11">
        <f>AVERAGE(U259:X262)</f>
        <v>15.781256944548815</v>
      </c>
    </row>
    <row r="265" spans="1:24" x14ac:dyDescent="0.2">
      <c r="D265" s="26"/>
      <c r="E265" s="26"/>
      <c r="F265" s="59"/>
      <c r="G265" s="21"/>
      <c r="H265" s="25"/>
      <c r="I265" s="6"/>
      <c r="J265" s="36"/>
      <c r="K265" s="35"/>
      <c r="M265" s="34"/>
      <c r="N265" s="33"/>
      <c r="O265" s="32"/>
      <c r="P265" s="31"/>
      <c r="Q265" s="31"/>
      <c r="R265" s="31"/>
      <c r="S265" s="31"/>
      <c r="T265" s="31"/>
    </row>
    <row r="266" spans="1:24" x14ac:dyDescent="0.2">
      <c r="A266" s="1">
        <v>177</v>
      </c>
      <c r="B266" s="1" t="s">
        <v>16</v>
      </c>
      <c r="C266" s="2">
        <v>36337</v>
      </c>
      <c r="D266" s="26" t="s">
        <v>180</v>
      </c>
      <c r="E266" s="26">
        <v>57</v>
      </c>
      <c r="F266" s="27">
        <v>1914700</v>
      </c>
      <c r="G266" s="26">
        <f>F267</f>
        <v>1917000</v>
      </c>
      <c r="H266" s="9">
        <v>16</v>
      </c>
      <c r="I266" s="6" t="s">
        <v>178</v>
      </c>
      <c r="J266" s="24">
        <v>49</v>
      </c>
      <c r="K266" s="9">
        <f>H267</f>
        <v>16</v>
      </c>
      <c r="L266" s="6" t="s">
        <v>178</v>
      </c>
      <c r="M266" s="24">
        <f>J267</f>
        <v>59</v>
      </c>
      <c r="N266" s="22">
        <f>IF(H266=K266,M266-J266,60-(J266-M266))</f>
        <v>10</v>
      </c>
      <c r="O266" s="30">
        <f>(G266-F266)/N266</f>
        <v>230</v>
      </c>
      <c r="P266" s="6"/>
      <c r="Q266" s="6"/>
      <c r="R266" s="6"/>
      <c r="S266" s="6"/>
      <c r="U266" s="6"/>
      <c r="V266" s="6"/>
      <c r="W266" s="6"/>
      <c r="X266" s="6"/>
    </row>
    <row r="267" spans="1:24" x14ac:dyDescent="0.2">
      <c r="A267" s="1">
        <v>177</v>
      </c>
      <c r="B267" s="1" t="s">
        <v>16</v>
      </c>
      <c r="C267" s="2">
        <v>36337</v>
      </c>
      <c r="D267" s="26">
        <v>1</v>
      </c>
      <c r="E267" s="26">
        <v>57</v>
      </c>
      <c r="F267" s="27">
        <v>1917000</v>
      </c>
      <c r="G267" s="26">
        <f>F268</f>
        <v>1919700</v>
      </c>
      <c r="H267" s="25">
        <v>16</v>
      </c>
      <c r="I267" s="6" t="s">
        <v>178</v>
      </c>
      <c r="J267" s="24">
        <v>59</v>
      </c>
      <c r="K267" s="9">
        <f>H268</f>
        <v>17</v>
      </c>
      <c r="L267" s="6" t="s">
        <v>178</v>
      </c>
      <c r="M267" s="23">
        <f>J268</f>
        <v>11</v>
      </c>
      <c r="N267" s="22">
        <f>IF(H267=K267,M267-J267,60-(J267-M267))</f>
        <v>12</v>
      </c>
      <c r="O267" s="30">
        <f>(G267-F267)/N267</f>
        <v>225</v>
      </c>
      <c r="P267" s="29"/>
      <c r="Q267" s="29"/>
      <c r="R267" s="29">
        <f>($G267-$F267)/7.48/($AF$49*$E267/$AE$43)*12</f>
        <v>0.30695959140039814</v>
      </c>
      <c r="S267" s="29">
        <f>($G267-$F267)/7.48/($AF$49*$E267/$AE$43)*12</f>
        <v>0.30695959140039814</v>
      </c>
      <c r="U267" s="28">
        <f>U259+P267</f>
        <v>16.064539467143675</v>
      </c>
      <c r="V267" s="28">
        <f>V259+Q267</f>
        <v>16.064539467143675</v>
      </c>
      <c r="W267" s="28">
        <f>W259+R267</f>
        <v>16.080882223167308</v>
      </c>
      <c r="X267" s="28">
        <f>X259+S267</f>
        <v>16.080882223167308</v>
      </c>
    </row>
    <row r="268" spans="1:24" x14ac:dyDescent="0.2">
      <c r="A268" s="1">
        <v>177</v>
      </c>
      <c r="B268" s="1" t="s">
        <v>16</v>
      </c>
      <c r="C268" s="2">
        <v>36337</v>
      </c>
      <c r="D268" s="26">
        <v>2</v>
      </c>
      <c r="E268" s="26">
        <v>48</v>
      </c>
      <c r="F268" s="27">
        <v>1919700</v>
      </c>
      <c r="G268" s="26">
        <f>F269</f>
        <v>1922100</v>
      </c>
      <c r="H268" s="25">
        <v>17</v>
      </c>
      <c r="I268" s="6" t="s">
        <v>178</v>
      </c>
      <c r="J268" s="24">
        <v>11</v>
      </c>
      <c r="K268" s="9">
        <f>H269</f>
        <v>17</v>
      </c>
      <c r="L268" s="6" t="s">
        <v>178</v>
      </c>
      <c r="M268" s="23">
        <f>J269</f>
        <v>23</v>
      </c>
      <c r="N268" s="22">
        <f>IF(H268=K268,M268-J268,60-(J268-M268))</f>
        <v>12</v>
      </c>
      <c r="O268" s="30">
        <f>(G268-F268)/N268</f>
        <v>200</v>
      </c>
      <c r="P268" s="29">
        <f>($G268-$F268)/7.48/($AF$50*$E268/$AE$43)*12</f>
        <v>0.31051236444901381</v>
      </c>
      <c r="Q268" s="29">
        <f>($G268-$F268)/7.48/($AF$50*$E268/$AE$43)*12</f>
        <v>0.31051236444901381</v>
      </c>
      <c r="R268" s="29"/>
      <c r="S268" s="29"/>
      <c r="U268" s="28">
        <f>U260+P268</f>
        <v>16.553133332717593</v>
      </c>
      <c r="V268" s="28">
        <f>V260+Q268</f>
        <v>16.553133332717593</v>
      </c>
      <c r="W268" s="28">
        <f>W260+R268</f>
        <v>16.453714900240495</v>
      </c>
      <c r="X268" s="28">
        <f>X260+S268</f>
        <v>16.453714900240495</v>
      </c>
    </row>
    <row r="269" spans="1:24" x14ac:dyDescent="0.2">
      <c r="A269" s="1"/>
      <c r="B269" s="1"/>
      <c r="C269" s="2"/>
      <c r="D269" s="26">
        <v>3</v>
      </c>
      <c r="E269" s="26">
        <v>48</v>
      </c>
      <c r="F269" s="27">
        <v>1922100</v>
      </c>
      <c r="G269" s="26">
        <f>F270</f>
        <v>1922100</v>
      </c>
      <c r="H269" s="25">
        <v>17</v>
      </c>
      <c r="I269" s="6" t="s">
        <v>178</v>
      </c>
      <c r="J269" s="24">
        <v>23</v>
      </c>
      <c r="K269" s="9">
        <f>H270</f>
        <v>17</v>
      </c>
      <c r="L269" s="6" t="s">
        <v>178</v>
      </c>
      <c r="M269" s="23">
        <f>J270</f>
        <v>23</v>
      </c>
      <c r="N269" s="22">
        <f>IF(H269=K269,M269-J269,60-(J269-M269))</f>
        <v>0</v>
      </c>
      <c r="O269" s="30" t="e">
        <f>(G269-F269)/N269</f>
        <v>#DIV/0!</v>
      </c>
      <c r="P269" s="29"/>
      <c r="Q269" s="29"/>
      <c r="R269" s="29"/>
      <c r="S269" s="29"/>
      <c r="U269" s="28">
        <f>U261+P269</f>
        <v>15.237413466474266</v>
      </c>
      <c r="V269" s="28">
        <f>V261+Q269</f>
        <v>15.237413466474266</v>
      </c>
      <c r="W269" s="28">
        <f>W261+R269</f>
        <v>15.296655957059935</v>
      </c>
      <c r="X269" s="28">
        <f>X261+S269</f>
        <v>15.296655957059935</v>
      </c>
    </row>
    <row r="270" spans="1:24" x14ac:dyDescent="0.2">
      <c r="A270" s="1"/>
      <c r="B270" s="1"/>
      <c r="C270" s="2"/>
      <c r="D270" s="26">
        <v>4</v>
      </c>
      <c r="E270" s="26">
        <v>48</v>
      </c>
      <c r="F270" s="27">
        <v>1922100</v>
      </c>
      <c r="G270" s="26">
        <f>F271</f>
        <v>1922100</v>
      </c>
      <c r="H270" s="25">
        <v>17</v>
      </c>
      <c r="I270" s="6" t="s">
        <v>178</v>
      </c>
      <c r="J270" s="24">
        <v>23</v>
      </c>
      <c r="K270" s="9">
        <f>H271</f>
        <v>17</v>
      </c>
      <c r="L270" s="6" t="s">
        <v>178</v>
      </c>
      <c r="M270" s="23">
        <f>J271</f>
        <v>23</v>
      </c>
      <c r="N270" s="22">
        <f>IF(H270=K270,M270-J270,60-(J270-M270))</f>
        <v>0</v>
      </c>
      <c r="O270" s="30" t="e">
        <f>(G270-F270)/N270</f>
        <v>#DIV/0!</v>
      </c>
      <c r="P270" s="29"/>
      <c r="Q270" s="29"/>
      <c r="R270" s="29"/>
      <c r="S270" s="29"/>
      <c r="U270" s="28">
        <f>U262+P270</f>
        <v>15.590238805413478</v>
      </c>
      <c r="V270" s="28">
        <f>V262+Q270</f>
        <v>15.590238805413478</v>
      </c>
      <c r="W270" s="28">
        <f>W262+R270</f>
        <v>15.590949360023199</v>
      </c>
      <c r="X270" s="28">
        <f>X262+S270</f>
        <v>15.590949360023199</v>
      </c>
    </row>
    <row r="271" spans="1:24" x14ac:dyDescent="0.2">
      <c r="A271" s="1"/>
      <c r="B271" s="1"/>
      <c r="C271" s="2"/>
      <c r="D271" s="26" t="s">
        <v>179</v>
      </c>
      <c r="E271" s="26">
        <v>48</v>
      </c>
      <c r="F271" s="27">
        <v>1922100</v>
      </c>
      <c r="G271" s="26">
        <v>1922100</v>
      </c>
      <c r="H271" s="25">
        <v>17</v>
      </c>
      <c r="I271" s="6" t="s">
        <v>178</v>
      </c>
      <c r="J271" s="24">
        <v>23</v>
      </c>
      <c r="K271" s="9">
        <v>17</v>
      </c>
      <c r="L271" s="6" t="s">
        <v>178</v>
      </c>
      <c r="M271" s="23">
        <v>23</v>
      </c>
      <c r="N271" s="22">
        <f>IF(H271=K271,M271-J271,60-(J271-M271))</f>
        <v>0</v>
      </c>
      <c r="O271" s="21"/>
      <c r="U271" s="6"/>
      <c r="V271" s="6"/>
      <c r="W271" s="6"/>
      <c r="X271" s="6"/>
    </row>
    <row r="272" spans="1:24" ht="13.5" thickBot="1" x14ac:dyDescent="0.25">
      <c r="A272" s="20"/>
      <c r="B272" s="20"/>
      <c r="C272" s="20"/>
      <c r="D272" s="18"/>
      <c r="E272" s="18"/>
      <c r="F272" s="19"/>
      <c r="G272" s="18"/>
      <c r="H272" s="17"/>
      <c r="I272" s="12"/>
      <c r="J272" s="16"/>
      <c r="K272" s="15"/>
      <c r="L272" s="12"/>
      <c r="M272" s="14"/>
      <c r="N272" s="12" t="s">
        <v>175</v>
      </c>
      <c r="O272" s="13">
        <f>(G270-F266)/(SUM(N266:N270))</f>
        <v>217.64705882352942</v>
      </c>
      <c r="P272" s="12" t="s">
        <v>174</v>
      </c>
      <c r="Q272" s="12"/>
      <c r="R272" s="11">
        <f>AVERAGE(R267:S267,P268:Q268)</f>
        <v>0.30873597792470597</v>
      </c>
      <c r="S272" s="12"/>
      <c r="T272" s="12"/>
      <c r="U272" s="12" t="s">
        <v>173</v>
      </c>
      <c r="V272" s="12"/>
      <c r="W272" s="12"/>
      <c r="X272" s="11">
        <f>AVERAGE(U267:X270)</f>
        <v>15.858440939029993</v>
      </c>
    </row>
    <row r="273" spans="1:24" x14ac:dyDescent="0.2">
      <c r="D273" s="26"/>
      <c r="E273" s="26"/>
      <c r="F273" s="38"/>
      <c r="G273" s="37"/>
      <c r="H273" s="25"/>
      <c r="I273" s="6"/>
      <c r="J273" s="36"/>
      <c r="K273" s="35"/>
      <c r="M273" s="34"/>
      <c r="N273" s="33"/>
      <c r="O273" s="32"/>
      <c r="P273" s="31"/>
      <c r="Q273" s="31"/>
      <c r="R273" s="31"/>
      <c r="S273" s="31"/>
      <c r="T273" s="31"/>
    </row>
    <row r="274" spans="1:24" x14ac:dyDescent="0.2">
      <c r="A274" s="1"/>
      <c r="B274" s="1"/>
      <c r="C274" s="2"/>
      <c r="D274" s="26" t="s">
        <v>179</v>
      </c>
      <c r="E274" s="26">
        <v>105</v>
      </c>
      <c r="F274" s="27">
        <v>1959200</v>
      </c>
      <c r="G274" s="39">
        <v>1959200</v>
      </c>
      <c r="H274" s="25">
        <v>17</v>
      </c>
      <c r="I274" s="6" t="s">
        <v>178</v>
      </c>
      <c r="J274" s="24">
        <v>17</v>
      </c>
      <c r="K274" s="9">
        <v>17</v>
      </c>
      <c r="L274" s="6" t="s">
        <v>178</v>
      </c>
      <c r="M274" s="24">
        <v>17</v>
      </c>
      <c r="N274" s="22">
        <f>IF(H274=K274,M274-J274,60-(J274-M274))</f>
        <v>0</v>
      </c>
      <c r="O274" s="30" t="e">
        <f>(G274-F274)/N274</f>
        <v>#DIV/0!</v>
      </c>
      <c r="P274" s="6"/>
      <c r="Q274" s="6"/>
      <c r="R274" s="6"/>
      <c r="S274" s="6"/>
      <c r="U274" s="6"/>
      <c r="V274" s="6"/>
      <c r="W274" s="6"/>
      <c r="X274" s="6"/>
    </row>
    <row r="275" spans="1:24" x14ac:dyDescent="0.2">
      <c r="A275" s="1"/>
      <c r="B275" s="1"/>
      <c r="C275" s="2"/>
      <c r="D275" s="26">
        <v>1</v>
      </c>
      <c r="E275" s="26">
        <v>105</v>
      </c>
      <c r="F275" s="27">
        <v>1959200</v>
      </c>
      <c r="G275" s="26">
        <f>F274</f>
        <v>1959200</v>
      </c>
      <c r="H275" s="25">
        <v>17</v>
      </c>
      <c r="I275" s="6" t="s">
        <v>178</v>
      </c>
      <c r="J275" s="24">
        <v>17</v>
      </c>
      <c r="K275" s="9">
        <f>H274</f>
        <v>17</v>
      </c>
      <c r="L275" s="6" t="s">
        <v>178</v>
      </c>
      <c r="M275" s="23">
        <f>J274</f>
        <v>17</v>
      </c>
      <c r="N275" s="22">
        <f>IF(H275=K275,M275-J275,60-(J275-M275))</f>
        <v>0</v>
      </c>
      <c r="O275" s="30" t="e">
        <f>(G275-F275)/N275</f>
        <v>#DIV/0!</v>
      </c>
      <c r="P275" s="29"/>
      <c r="Q275" s="29"/>
      <c r="R275" s="29"/>
      <c r="S275" s="29"/>
      <c r="U275" s="28">
        <f>U267+P275</f>
        <v>16.064539467143675</v>
      </c>
      <c r="V275" s="28">
        <f>V267+Q275</f>
        <v>16.064539467143675</v>
      </c>
      <c r="W275" s="28">
        <f>W267+R275</f>
        <v>16.080882223167308</v>
      </c>
      <c r="X275" s="28">
        <f>X267+S275</f>
        <v>16.080882223167308</v>
      </c>
    </row>
    <row r="276" spans="1:24" x14ac:dyDescent="0.2">
      <c r="A276" s="1"/>
      <c r="B276" s="1"/>
      <c r="C276" s="2"/>
      <c r="D276" s="26">
        <v>2</v>
      </c>
      <c r="E276" s="26">
        <v>105</v>
      </c>
      <c r="F276" s="27">
        <v>1959200</v>
      </c>
      <c r="G276" s="26">
        <f>F275</f>
        <v>1959200</v>
      </c>
      <c r="H276" s="25">
        <v>17</v>
      </c>
      <c r="I276" s="6" t="s">
        <v>178</v>
      </c>
      <c r="J276" s="24">
        <v>17</v>
      </c>
      <c r="K276" s="9">
        <f>H275</f>
        <v>17</v>
      </c>
      <c r="L276" s="6" t="s">
        <v>178</v>
      </c>
      <c r="M276" s="23">
        <f>J275</f>
        <v>17</v>
      </c>
      <c r="N276" s="22">
        <f>IF(H276=K276,M276-J276,60-(J276-M276))</f>
        <v>0</v>
      </c>
      <c r="O276" s="30" t="e">
        <f>(G276-F276)/N276</f>
        <v>#DIV/0!</v>
      </c>
      <c r="P276" s="29"/>
      <c r="Q276" s="29"/>
      <c r="R276" s="29"/>
      <c r="S276" s="29"/>
      <c r="U276" s="28">
        <f>U268+P276</f>
        <v>16.553133332717593</v>
      </c>
      <c r="V276" s="28">
        <f>V268+Q276</f>
        <v>16.553133332717593</v>
      </c>
      <c r="W276" s="28">
        <f>W268+R276</f>
        <v>16.453714900240495</v>
      </c>
      <c r="X276" s="28">
        <f>X268+S276</f>
        <v>16.453714900240495</v>
      </c>
    </row>
    <row r="277" spans="1:24" x14ac:dyDescent="0.2">
      <c r="A277" s="1">
        <v>181</v>
      </c>
      <c r="B277" s="1" t="s">
        <v>6</v>
      </c>
      <c r="C277" s="2">
        <v>36341</v>
      </c>
      <c r="D277" s="26">
        <v>3</v>
      </c>
      <c r="E277" s="26">
        <v>105</v>
      </c>
      <c r="F277" s="27">
        <v>1943800</v>
      </c>
      <c r="G277" s="26">
        <f>F276</f>
        <v>1959200</v>
      </c>
      <c r="H277" s="25">
        <v>16</v>
      </c>
      <c r="I277" s="6" t="s">
        <v>178</v>
      </c>
      <c r="J277" s="24">
        <v>37</v>
      </c>
      <c r="K277" s="9">
        <f>H276</f>
        <v>17</v>
      </c>
      <c r="L277" s="6" t="s">
        <v>178</v>
      </c>
      <c r="M277" s="23">
        <f>J276</f>
        <v>17</v>
      </c>
      <c r="N277" s="22">
        <f>IF(H277=K277,M277-J277,60-(J277-M277))</f>
        <v>40</v>
      </c>
      <c r="O277" s="30">
        <f>(G277-F277)/N277</f>
        <v>385</v>
      </c>
      <c r="P277" s="29">
        <f>($G277-$F277)/7.48/($AF$51*$E277/$AE$43)*12</f>
        <v>0.91083626905044057</v>
      </c>
      <c r="Q277" s="29">
        <f>($G277-$F277)/7.48/($AF$51*$E277/$AE$43)*12</f>
        <v>0.91083626905044057</v>
      </c>
      <c r="R277" s="29">
        <f>($G277-$F277)/7.48/($AF$51*$E277/$AE$43)*12</f>
        <v>0.91083626905044057</v>
      </c>
      <c r="S277" s="29">
        <f>($G277-$F277)/7.48/($AF$51*$E277/$AE$43)*12</f>
        <v>0.91083626905044057</v>
      </c>
      <c r="U277" s="28">
        <f>U269+P277</f>
        <v>16.148249735524708</v>
      </c>
      <c r="V277" s="28">
        <f>V269+Q277</f>
        <v>16.148249735524708</v>
      </c>
      <c r="W277" s="28">
        <f>W269+R277</f>
        <v>16.207492226110375</v>
      </c>
      <c r="X277" s="28">
        <f>X269+S277</f>
        <v>16.207492226110375</v>
      </c>
    </row>
    <row r="278" spans="1:24" x14ac:dyDescent="0.2">
      <c r="A278" s="1">
        <v>181</v>
      </c>
      <c r="B278" s="1" t="s">
        <v>6</v>
      </c>
      <c r="C278" s="2">
        <v>36341</v>
      </c>
      <c r="D278" s="26">
        <v>4</v>
      </c>
      <c r="E278" s="26">
        <v>105</v>
      </c>
      <c r="F278" s="27">
        <v>1929100</v>
      </c>
      <c r="G278" s="26">
        <f>F277</f>
        <v>1943800</v>
      </c>
      <c r="H278" s="25">
        <v>15</v>
      </c>
      <c r="I278" s="6" t="s">
        <v>178</v>
      </c>
      <c r="J278" s="24">
        <v>57</v>
      </c>
      <c r="K278" s="9">
        <f>H277</f>
        <v>16</v>
      </c>
      <c r="L278" s="6" t="s">
        <v>178</v>
      </c>
      <c r="M278" s="23">
        <f>J277</f>
        <v>37</v>
      </c>
      <c r="N278" s="22">
        <f>IF(H278=K278,M278-J278,60-(J278-M278))</f>
        <v>40</v>
      </c>
      <c r="O278" s="30">
        <f>(G278-F278)/N278</f>
        <v>367.5</v>
      </c>
      <c r="P278" s="29">
        <f>($G278-$F278)/7.48/($AF$52*$E278/$AE$43)*12</f>
        <v>0.90723612569450984</v>
      </c>
      <c r="Q278" s="29">
        <f>($G278-$F278)/7.48/($AF$52*$E278/$AE$43)*12</f>
        <v>0.90723612569450984</v>
      </c>
      <c r="R278" s="29">
        <f>($G278-$F278)/7.48/($AF$52*$E278/$AE$43)*12</f>
        <v>0.90723612569450984</v>
      </c>
      <c r="S278" s="29">
        <f>($G278-$F278)/7.48/($AF$52*$E278/$AE$43)*12</f>
        <v>0.90723612569450984</v>
      </c>
      <c r="U278" s="28">
        <f>U270+P278</f>
        <v>16.497474931107988</v>
      </c>
      <c r="V278" s="28">
        <f>V270+Q278</f>
        <v>16.497474931107988</v>
      </c>
      <c r="W278" s="28">
        <f>W270+R278</f>
        <v>16.498185485717709</v>
      </c>
      <c r="X278" s="28">
        <f>X270+S278</f>
        <v>16.498185485717709</v>
      </c>
    </row>
    <row r="279" spans="1:24" x14ac:dyDescent="0.2">
      <c r="A279" s="1">
        <v>181</v>
      </c>
      <c r="B279" s="1" t="s">
        <v>6</v>
      </c>
      <c r="C279" s="2">
        <v>36341</v>
      </c>
      <c r="D279" s="26" t="s">
        <v>180</v>
      </c>
      <c r="E279" s="26">
        <v>105</v>
      </c>
      <c r="F279" s="27">
        <v>1922200</v>
      </c>
      <c r="G279" s="26">
        <f>F278</f>
        <v>1929100</v>
      </c>
      <c r="H279" s="25">
        <v>15</v>
      </c>
      <c r="I279" s="6" t="s">
        <v>178</v>
      </c>
      <c r="J279" s="24">
        <v>40</v>
      </c>
      <c r="K279" s="9">
        <f>H278</f>
        <v>15</v>
      </c>
      <c r="L279" s="6" t="s">
        <v>178</v>
      </c>
      <c r="M279" s="23">
        <f>J278</f>
        <v>57</v>
      </c>
      <c r="N279" s="22">
        <f>IF(H279=K279,M279-J279,60-(J279-M279))</f>
        <v>17</v>
      </c>
      <c r="O279" s="21"/>
      <c r="U279" s="6"/>
      <c r="V279" s="6"/>
      <c r="W279" s="6"/>
      <c r="X279" s="6"/>
    </row>
    <row r="280" spans="1:24" ht="13.5" thickBot="1" x14ac:dyDescent="0.25">
      <c r="A280" s="20"/>
      <c r="B280" s="20"/>
      <c r="C280" s="20"/>
      <c r="D280" s="18"/>
      <c r="E280" s="18"/>
      <c r="F280" s="19"/>
      <c r="G280" s="18"/>
      <c r="H280" s="17"/>
      <c r="I280" s="12"/>
      <c r="J280" s="16"/>
      <c r="K280" s="15"/>
      <c r="L280" s="12"/>
      <c r="M280" s="14"/>
      <c r="N280" s="12" t="s">
        <v>175</v>
      </c>
      <c r="O280" s="13">
        <f>(G277-F278)/(SUM(N277:N278))</f>
        <v>376.25</v>
      </c>
      <c r="P280" s="12" t="s">
        <v>174</v>
      </c>
      <c r="Q280" s="12"/>
      <c r="R280" s="11">
        <f>AVERAGE(P275:S278)</f>
        <v>0.90903619737247532</v>
      </c>
      <c r="S280" s="12"/>
      <c r="T280" s="12"/>
      <c r="U280" s="12" t="s">
        <v>173</v>
      </c>
      <c r="V280" s="12"/>
      <c r="W280" s="12"/>
      <c r="X280" s="11">
        <f>AVERAGE(U275:X278)</f>
        <v>16.312959037716233</v>
      </c>
    </row>
    <row r="281" spans="1:24" x14ac:dyDescent="0.2">
      <c r="D281" s="26"/>
      <c r="E281" s="26"/>
      <c r="F281" s="38"/>
      <c r="G281" s="37"/>
      <c r="H281" s="25"/>
      <c r="I281" s="6"/>
      <c r="J281" s="36"/>
      <c r="K281" s="35"/>
      <c r="M281" s="34"/>
      <c r="N281" s="33"/>
      <c r="O281" s="32"/>
      <c r="P281" s="31"/>
      <c r="Q281" s="31"/>
      <c r="R281" s="31"/>
      <c r="S281" s="31"/>
      <c r="T281" s="31"/>
    </row>
    <row r="282" spans="1:24" x14ac:dyDescent="0.2">
      <c r="A282" s="1">
        <v>182</v>
      </c>
      <c r="B282" s="1" t="s">
        <v>129</v>
      </c>
      <c r="C282" s="2">
        <v>36342</v>
      </c>
      <c r="D282" s="26" t="s">
        <v>179</v>
      </c>
      <c r="E282" s="26">
        <v>105</v>
      </c>
      <c r="F282" s="27">
        <v>1990900</v>
      </c>
      <c r="G282" s="39">
        <v>1997300</v>
      </c>
      <c r="H282" s="25"/>
      <c r="I282" s="6" t="s">
        <v>178</v>
      </c>
      <c r="J282" s="24"/>
      <c r="L282" s="6" t="s">
        <v>178</v>
      </c>
      <c r="M282" s="24"/>
      <c r="N282" s="22">
        <f>IF(H282=K282,M282-J282,60-(J282-M282))</f>
        <v>0</v>
      </c>
      <c r="O282" s="30" t="e">
        <f>(G282-F282)/N282</f>
        <v>#DIV/0!</v>
      </c>
      <c r="P282" s="6"/>
      <c r="Q282" s="6"/>
      <c r="R282" s="6"/>
      <c r="S282" s="6"/>
      <c r="U282" s="6"/>
      <c r="V282" s="6"/>
      <c r="W282" s="6"/>
      <c r="X282" s="6"/>
    </row>
    <row r="283" spans="1:24" x14ac:dyDescent="0.2">
      <c r="A283" s="1">
        <v>182</v>
      </c>
      <c r="B283" s="1" t="s">
        <v>129</v>
      </c>
      <c r="C283" s="2">
        <v>36342</v>
      </c>
      <c r="D283" s="26">
        <v>1</v>
      </c>
      <c r="E283" s="26">
        <v>105</v>
      </c>
      <c r="F283" s="27">
        <v>1976500</v>
      </c>
      <c r="G283" s="26">
        <f>F282</f>
        <v>1990900</v>
      </c>
      <c r="H283" s="25"/>
      <c r="I283" s="6" t="s">
        <v>178</v>
      </c>
      <c r="J283" s="24"/>
      <c r="K283" s="9">
        <f>H282</f>
        <v>0</v>
      </c>
      <c r="L283" s="6" t="s">
        <v>178</v>
      </c>
      <c r="M283" s="23">
        <f>J282</f>
        <v>0</v>
      </c>
      <c r="N283" s="22">
        <f>IF(H283=K283,M283-J283,60-(J283-M283))</f>
        <v>0</v>
      </c>
      <c r="O283" s="30" t="e">
        <f>(G283-F283)/N283</f>
        <v>#DIV/0!</v>
      </c>
      <c r="P283" s="29">
        <f>($G283-$F283)/7.48/($AF$49*$E283/$AE$43)*12</f>
        <v>0.88872110272115257</v>
      </c>
      <c r="Q283" s="29">
        <f>($G283-$F283)/7.48/($AF$49*$E283/$AE$43)*12</f>
        <v>0.88872110272115257</v>
      </c>
      <c r="R283" s="29">
        <f>($G283-$F283)/7.48/($AF$49*$E283/$AE$43)*12</f>
        <v>0.88872110272115257</v>
      </c>
      <c r="S283" s="29">
        <f>($G283-$F283)/7.48/($AF$49*$E283/$AE$43)*12</f>
        <v>0.88872110272115257</v>
      </c>
      <c r="U283" s="28">
        <f>U275+P283</f>
        <v>16.953260569864828</v>
      </c>
      <c r="V283" s="28">
        <f>V275+Q283</f>
        <v>16.953260569864828</v>
      </c>
      <c r="W283" s="28">
        <f>W275+R283</f>
        <v>16.96960332588846</v>
      </c>
      <c r="X283" s="28">
        <f>X275+S283</f>
        <v>16.96960332588846</v>
      </c>
    </row>
    <row r="284" spans="1:24" x14ac:dyDescent="0.2">
      <c r="A284" s="1">
        <v>182</v>
      </c>
      <c r="B284" s="1" t="s">
        <v>129</v>
      </c>
      <c r="C284" s="2">
        <v>36342</v>
      </c>
      <c r="D284" s="26">
        <v>2</v>
      </c>
      <c r="E284" s="26">
        <v>105</v>
      </c>
      <c r="F284" s="27">
        <v>1959300</v>
      </c>
      <c r="G284" s="26">
        <f>F283</f>
        <v>1976500</v>
      </c>
      <c r="H284" s="25"/>
      <c r="I284" s="6" t="s">
        <v>178</v>
      </c>
      <c r="J284" s="24"/>
      <c r="K284" s="9">
        <f>H283</f>
        <v>0</v>
      </c>
      <c r="L284" s="6" t="s">
        <v>178</v>
      </c>
      <c r="M284" s="23">
        <f>J283</f>
        <v>0</v>
      </c>
      <c r="N284" s="22">
        <f>IF(H284=K284,M284-J284,60-(J284-M284))</f>
        <v>0</v>
      </c>
      <c r="O284" s="30" t="e">
        <f>(G284-F284)/N284</f>
        <v>#DIV/0!</v>
      </c>
      <c r="P284" s="29">
        <f>($G284-$F284)/7.48/($AF$50*$E284/$AE$43)*12</f>
        <v>1.0172976511472454</v>
      </c>
      <c r="Q284" s="29">
        <f>($G284-$F284)/7.48/($AF$50*$E284/$AE$43)*12</f>
        <v>1.0172976511472454</v>
      </c>
      <c r="R284" s="29">
        <f>($G284-$F284)/7.48/($AF$50*$E284/$AE$43)*12</f>
        <v>1.0172976511472454</v>
      </c>
      <c r="S284" s="29">
        <f>($G284-$F284)/7.48/($AF$50*$E284/$AE$43)*12</f>
        <v>1.0172976511472454</v>
      </c>
      <c r="U284" s="28">
        <f>U276+P284</f>
        <v>17.570430983864838</v>
      </c>
      <c r="V284" s="28">
        <f>V276+Q284</f>
        <v>17.570430983864838</v>
      </c>
      <c r="W284" s="28">
        <f>W276+R284</f>
        <v>17.471012551387741</v>
      </c>
      <c r="X284" s="28">
        <f>X276+S284</f>
        <v>17.471012551387741</v>
      </c>
    </row>
    <row r="285" spans="1:24" x14ac:dyDescent="0.2">
      <c r="A285" s="1"/>
      <c r="B285" s="1"/>
      <c r="C285" s="2"/>
      <c r="D285" s="26">
        <v>3</v>
      </c>
      <c r="E285" s="26">
        <v>105</v>
      </c>
      <c r="F285" s="27">
        <v>1959300</v>
      </c>
      <c r="G285" s="26">
        <f>F284</f>
        <v>1959300</v>
      </c>
      <c r="H285" s="25"/>
      <c r="I285" s="6" t="s">
        <v>178</v>
      </c>
      <c r="J285" s="24"/>
      <c r="K285" s="9">
        <f>H284</f>
        <v>0</v>
      </c>
      <c r="L285" s="6" t="s">
        <v>178</v>
      </c>
      <c r="M285" s="23">
        <f>J284</f>
        <v>0</v>
      </c>
      <c r="N285" s="22">
        <f>IF(H285=K285,M285-J285,60-(J285-M285))</f>
        <v>0</v>
      </c>
      <c r="O285" s="30" t="e">
        <f>(G285-F285)/N285</f>
        <v>#DIV/0!</v>
      </c>
      <c r="P285" s="29"/>
      <c r="Q285" s="29"/>
      <c r="R285" s="29"/>
      <c r="S285" s="29"/>
      <c r="U285" s="28">
        <f>U277+P285</f>
        <v>16.148249735524708</v>
      </c>
      <c r="V285" s="28">
        <f>V277+Q285</f>
        <v>16.148249735524708</v>
      </c>
      <c r="W285" s="28">
        <f>W277+R285</f>
        <v>16.207492226110375</v>
      </c>
      <c r="X285" s="28">
        <f>X277+S285</f>
        <v>16.207492226110375</v>
      </c>
    </row>
    <row r="286" spans="1:24" x14ac:dyDescent="0.2">
      <c r="A286" s="1"/>
      <c r="B286" s="1"/>
      <c r="C286" s="2"/>
      <c r="D286" s="26">
        <v>4</v>
      </c>
      <c r="E286" s="26">
        <v>105</v>
      </c>
      <c r="F286" s="27">
        <v>1959300</v>
      </c>
      <c r="G286" s="26">
        <f>F285</f>
        <v>1959300</v>
      </c>
      <c r="H286" s="25"/>
      <c r="I286" s="6" t="s">
        <v>178</v>
      </c>
      <c r="J286" s="24"/>
      <c r="K286" s="9">
        <f>H285</f>
        <v>0</v>
      </c>
      <c r="L286" s="6" t="s">
        <v>178</v>
      </c>
      <c r="M286" s="23">
        <f>J285</f>
        <v>0</v>
      </c>
      <c r="N286" s="22">
        <f>IF(H286=K286,M286-J286,60-(J286-M286))</f>
        <v>0</v>
      </c>
      <c r="O286" s="30" t="e">
        <f>(G286-F286)/N286</f>
        <v>#DIV/0!</v>
      </c>
      <c r="P286" s="29"/>
      <c r="Q286" s="29"/>
      <c r="R286" s="29"/>
      <c r="S286" s="29"/>
      <c r="U286" s="28">
        <f>U278+P286</f>
        <v>16.497474931107988</v>
      </c>
      <c r="V286" s="28">
        <f>V278+Q286</f>
        <v>16.497474931107988</v>
      </c>
      <c r="W286" s="28">
        <f>W278+R286</f>
        <v>16.498185485717709</v>
      </c>
      <c r="X286" s="28">
        <f>X278+S286</f>
        <v>16.498185485717709</v>
      </c>
    </row>
    <row r="287" spans="1:24" x14ac:dyDescent="0.2">
      <c r="A287" s="1"/>
      <c r="B287" s="1"/>
      <c r="C287" s="2"/>
      <c r="D287" s="26" t="s">
        <v>180</v>
      </c>
      <c r="E287" s="26">
        <v>105</v>
      </c>
      <c r="F287" s="27">
        <v>1959300</v>
      </c>
      <c r="G287" s="26">
        <f>F286</f>
        <v>1959300</v>
      </c>
      <c r="H287" s="25"/>
      <c r="I287" s="6" t="s">
        <v>178</v>
      </c>
      <c r="J287" s="24"/>
      <c r="K287" s="9">
        <f>H286</f>
        <v>0</v>
      </c>
      <c r="L287" s="6" t="s">
        <v>178</v>
      </c>
      <c r="M287" s="23">
        <f>J286</f>
        <v>0</v>
      </c>
      <c r="N287" s="22">
        <f>IF(H287=K287,M287-J287,60-(J287-M287))</f>
        <v>0</v>
      </c>
      <c r="O287" s="21"/>
      <c r="U287" s="6"/>
      <c r="V287" s="6"/>
      <c r="W287" s="6"/>
      <c r="X287" s="6"/>
    </row>
    <row r="288" spans="1:24" ht="13.5" thickBot="1" x14ac:dyDescent="0.25">
      <c r="A288" s="20"/>
      <c r="B288" s="20"/>
      <c r="C288" s="20"/>
      <c r="D288" s="18"/>
      <c r="E288" s="18"/>
      <c r="F288" s="19"/>
      <c r="G288" s="18"/>
      <c r="H288" s="17"/>
      <c r="I288" s="12"/>
      <c r="J288" s="16"/>
      <c r="K288" s="15"/>
      <c r="L288" s="12"/>
      <c r="M288" s="14"/>
      <c r="N288" s="12" t="s">
        <v>175</v>
      </c>
      <c r="O288" s="13" t="e">
        <f>(G285-F286)/(SUM(N285:N286))</f>
        <v>#DIV/0!</v>
      </c>
      <c r="P288" s="12" t="s">
        <v>174</v>
      </c>
      <c r="Q288" s="12"/>
      <c r="R288" s="11">
        <f>AVERAGE(P283:S286)</f>
        <v>0.95300937693419907</v>
      </c>
      <c r="S288" s="12"/>
      <c r="T288" s="12"/>
      <c r="U288" s="12" t="s">
        <v>173</v>
      </c>
      <c r="V288" s="12"/>
      <c r="W288" s="12"/>
      <c r="X288" s="11">
        <f>AVERAGE(U283:X286)</f>
        <v>16.789463726183332</v>
      </c>
    </row>
    <row r="289" spans="1:24" x14ac:dyDescent="0.2">
      <c r="D289" s="26"/>
      <c r="E289" s="26"/>
      <c r="F289" s="38"/>
      <c r="G289" s="37"/>
      <c r="H289" s="25"/>
      <c r="I289" s="6"/>
      <c r="J289" s="36"/>
      <c r="K289" s="35"/>
      <c r="M289" s="34"/>
      <c r="N289" s="33"/>
      <c r="O289" s="32"/>
      <c r="P289" s="31"/>
      <c r="Q289" s="31"/>
      <c r="R289" s="31"/>
      <c r="S289" s="31"/>
      <c r="T289" s="31"/>
    </row>
    <row r="290" spans="1:24" x14ac:dyDescent="0.2">
      <c r="A290" s="1"/>
      <c r="B290" s="1"/>
      <c r="C290" s="2"/>
      <c r="D290" s="26" t="s">
        <v>179</v>
      </c>
      <c r="E290" s="26">
        <v>105</v>
      </c>
      <c r="F290" s="27">
        <v>2034300</v>
      </c>
      <c r="G290" s="39">
        <v>2034300</v>
      </c>
      <c r="H290" s="25">
        <v>18</v>
      </c>
      <c r="I290" s="6" t="s">
        <v>178</v>
      </c>
      <c r="J290" s="24">
        <v>57</v>
      </c>
      <c r="K290" s="9">
        <v>18</v>
      </c>
      <c r="L290" s="6" t="s">
        <v>178</v>
      </c>
      <c r="M290" s="24">
        <v>57</v>
      </c>
      <c r="N290" s="22">
        <f>IF(H290=K290,M290-J290,60-(J290-M290))</f>
        <v>0</v>
      </c>
      <c r="O290" s="30" t="e">
        <f>(G290-F290)/N290</f>
        <v>#DIV/0!</v>
      </c>
      <c r="P290" s="6"/>
      <c r="Q290" s="6"/>
      <c r="R290" s="6"/>
      <c r="S290" s="6"/>
      <c r="U290" s="6"/>
      <c r="V290" s="6"/>
      <c r="W290" s="6"/>
      <c r="X290" s="6"/>
    </row>
    <row r="291" spans="1:24" x14ac:dyDescent="0.2">
      <c r="A291" s="1"/>
      <c r="B291" s="1"/>
      <c r="C291" s="2"/>
      <c r="D291" s="26">
        <v>1</v>
      </c>
      <c r="E291" s="26">
        <v>105</v>
      </c>
      <c r="F291" s="27">
        <v>2034300</v>
      </c>
      <c r="G291" s="26">
        <f>F290</f>
        <v>2034300</v>
      </c>
      <c r="H291" s="25">
        <v>18</v>
      </c>
      <c r="I291" s="6" t="s">
        <v>178</v>
      </c>
      <c r="J291" s="24">
        <v>57</v>
      </c>
      <c r="K291" s="9">
        <f>H290</f>
        <v>18</v>
      </c>
      <c r="L291" s="6" t="s">
        <v>178</v>
      </c>
      <c r="M291" s="23">
        <f>J290</f>
        <v>57</v>
      </c>
      <c r="N291" s="22">
        <f>IF(H291=K291,M291-J291,60-(J291-M291))</f>
        <v>0</v>
      </c>
      <c r="O291" s="30" t="e">
        <f>(G291-F291)/N291</f>
        <v>#DIV/0!</v>
      </c>
      <c r="P291" s="29"/>
      <c r="Q291" s="29"/>
      <c r="R291" s="29"/>
      <c r="S291" s="29"/>
      <c r="U291" s="28">
        <f>U283+P291</f>
        <v>16.953260569864828</v>
      </c>
      <c r="V291" s="28">
        <f>V283+Q291</f>
        <v>16.953260569864828</v>
      </c>
      <c r="W291" s="28">
        <f>W283+R291</f>
        <v>16.96960332588846</v>
      </c>
      <c r="X291" s="28">
        <f>X283+S291</f>
        <v>16.96960332588846</v>
      </c>
    </row>
    <row r="292" spans="1:24" x14ac:dyDescent="0.2">
      <c r="A292" s="1"/>
      <c r="B292" s="1"/>
      <c r="C292" s="2"/>
      <c r="D292" s="26">
        <v>2</v>
      </c>
      <c r="E292" s="26">
        <v>105</v>
      </c>
      <c r="F292" s="27">
        <v>2034300</v>
      </c>
      <c r="G292" s="26">
        <f>F291</f>
        <v>2034300</v>
      </c>
      <c r="H292" s="25">
        <v>18</v>
      </c>
      <c r="I292" s="6" t="s">
        <v>178</v>
      </c>
      <c r="J292" s="24">
        <v>57</v>
      </c>
      <c r="K292" s="9">
        <f>H291</f>
        <v>18</v>
      </c>
      <c r="L292" s="6" t="s">
        <v>178</v>
      </c>
      <c r="M292" s="23">
        <f>J291</f>
        <v>57</v>
      </c>
      <c r="N292" s="22">
        <f>IF(H292=K292,M292-J292,60-(J292-M292))</f>
        <v>0</v>
      </c>
      <c r="O292" s="30" t="e">
        <f>(G292-F292)/N292</f>
        <v>#DIV/0!</v>
      </c>
      <c r="P292" s="29"/>
      <c r="Q292" s="29"/>
      <c r="R292" s="29"/>
      <c r="S292" s="29"/>
      <c r="U292" s="28">
        <f>U284+P292</f>
        <v>17.570430983864838</v>
      </c>
      <c r="V292" s="28">
        <f>V284+Q292</f>
        <v>17.570430983864838</v>
      </c>
      <c r="W292" s="28">
        <f>W284+R292</f>
        <v>17.471012551387741</v>
      </c>
      <c r="X292" s="28">
        <f>X284+S292</f>
        <v>17.471012551387741</v>
      </c>
    </row>
    <row r="293" spans="1:24" x14ac:dyDescent="0.2">
      <c r="A293" s="1">
        <v>183</v>
      </c>
      <c r="B293" s="1" t="s">
        <v>1</v>
      </c>
      <c r="C293" s="2">
        <v>36343</v>
      </c>
      <c r="D293" s="26">
        <v>3</v>
      </c>
      <c r="E293" s="26">
        <v>105</v>
      </c>
      <c r="F293" s="27">
        <v>2018700</v>
      </c>
      <c r="G293" s="26">
        <f>F292</f>
        <v>2034300</v>
      </c>
      <c r="H293" s="25">
        <v>18</v>
      </c>
      <c r="I293" s="6" t="s">
        <v>178</v>
      </c>
      <c r="J293" s="24">
        <v>13</v>
      </c>
      <c r="K293" s="9">
        <f>H292</f>
        <v>18</v>
      </c>
      <c r="L293" s="6" t="s">
        <v>178</v>
      </c>
      <c r="M293" s="23">
        <f>J292</f>
        <v>57</v>
      </c>
      <c r="N293" s="22">
        <f>IF(H293=K293,M293-J293,60-(J293-M293))</f>
        <v>44</v>
      </c>
      <c r="O293" s="30">
        <f>(G293-F293)/N293</f>
        <v>354.54545454545456</v>
      </c>
      <c r="P293" s="29">
        <f>($G293-$F293)/7.48/($AF$51*$E293/$AE$43)*12</f>
        <v>0.92266531150564113</v>
      </c>
      <c r="Q293" s="29">
        <f>($G293-$F293)/7.48/($AF$51*$E293/$AE$43)*12</f>
        <v>0.92266531150564113</v>
      </c>
      <c r="R293" s="29">
        <f>($G293-$F293)/7.48/($AF$51*$E293/$AE$43)*12</f>
        <v>0.92266531150564113</v>
      </c>
      <c r="S293" s="29">
        <f>($G293-$F293)/7.48/($AF$51*$E293/$AE$43)*12</f>
        <v>0.92266531150564113</v>
      </c>
      <c r="U293" s="28">
        <f>U285+P293</f>
        <v>17.070915047030347</v>
      </c>
      <c r="V293" s="28">
        <f>V285+Q293</f>
        <v>17.070915047030347</v>
      </c>
      <c r="W293" s="28">
        <f>W285+R293</f>
        <v>17.130157537616014</v>
      </c>
      <c r="X293" s="28">
        <f>X285+S293</f>
        <v>17.130157537616014</v>
      </c>
    </row>
    <row r="294" spans="1:24" x14ac:dyDescent="0.2">
      <c r="A294" s="1">
        <v>183</v>
      </c>
      <c r="B294" s="1" t="s">
        <v>1</v>
      </c>
      <c r="C294" s="2">
        <v>36343</v>
      </c>
      <c r="D294" s="26">
        <v>4</v>
      </c>
      <c r="E294" s="26">
        <v>105</v>
      </c>
      <c r="F294" s="27">
        <v>2002300</v>
      </c>
      <c r="G294" s="26">
        <f>F293</f>
        <v>2018700</v>
      </c>
      <c r="H294" s="25">
        <v>17</v>
      </c>
      <c r="I294" s="6" t="s">
        <v>178</v>
      </c>
      <c r="J294" s="24">
        <v>27</v>
      </c>
      <c r="K294" s="9">
        <f>H293</f>
        <v>18</v>
      </c>
      <c r="L294" s="6" t="s">
        <v>178</v>
      </c>
      <c r="M294" s="23">
        <f>J293</f>
        <v>13</v>
      </c>
      <c r="N294" s="22">
        <f>IF(H294=K294,M294-J294,60-(J294-M294))</f>
        <v>46</v>
      </c>
      <c r="O294" s="30">
        <f>(G294-F294)/N294</f>
        <v>356.52173913043481</v>
      </c>
      <c r="P294" s="29">
        <f>($G294-$F294)/7.48/($AF$52*$E294/$AE$43)*12</f>
        <v>1.0121545892102017</v>
      </c>
      <c r="Q294" s="29">
        <f>($G294-$F294)/7.48/($AF$52*$E294/$AE$43)*12</f>
        <v>1.0121545892102017</v>
      </c>
      <c r="R294" s="29">
        <f>($G294-$F294)/7.48/($AF$52*$E294/$AE$43)*12</f>
        <v>1.0121545892102017</v>
      </c>
      <c r="S294" s="29">
        <f>($G294-$F294)/7.48/($AF$52*$E294/$AE$43)*12</f>
        <v>1.0121545892102017</v>
      </c>
      <c r="U294" s="28">
        <f>U286+P294</f>
        <v>17.509629520318189</v>
      </c>
      <c r="V294" s="28">
        <f>V286+Q294</f>
        <v>17.509629520318189</v>
      </c>
      <c r="W294" s="28">
        <f>W286+R294</f>
        <v>17.51034007492791</v>
      </c>
      <c r="X294" s="28">
        <f>X286+S294</f>
        <v>17.51034007492791</v>
      </c>
    </row>
    <row r="295" spans="1:24" x14ac:dyDescent="0.2">
      <c r="A295" s="1">
        <v>183</v>
      </c>
      <c r="B295" s="1" t="s">
        <v>1</v>
      </c>
      <c r="C295" s="2">
        <v>36343</v>
      </c>
      <c r="D295" s="26" t="s">
        <v>180</v>
      </c>
      <c r="E295" s="26">
        <v>105</v>
      </c>
      <c r="F295" s="27">
        <v>1997300</v>
      </c>
      <c r="G295" s="26">
        <f>F294</f>
        <v>2002300</v>
      </c>
      <c r="H295" s="25">
        <v>17</v>
      </c>
      <c r="I295" s="6" t="s">
        <v>178</v>
      </c>
      <c r="J295" s="24">
        <v>15</v>
      </c>
      <c r="K295" s="9">
        <f>H294</f>
        <v>17</v>
      </c>
      <c r="L295" s="6" t="s">
        <v>178</v>
      </c>
      <c r="M295" s="23">
        <f>J294</f>
        <v>27</v>
      </c>
      <c r="N295" s="22">
        <f>IF(H295=K295,M295-J295,60-(J295-M295))</f>
        <v>12</v>
      </c>
      <c r="O295" s="21"/>
      <c r="U295" s="6"/>
      <c r="V295" s="6"/>
      <c r="W295" s="6"/>
      <c r="X295" s="6"/>
    </row>
    <row r="296" spans="1:24" ht="13.5" thickBot="1" x14ac:dyDescent="0.25">
      <c r="A296" s="20"/>
      <c r="B296" s="20"/>
      <c r="C296" s="20"/>
      <c r="D296" s="18"/>
      <c r="E296" s="18"/>
      <c r="F296" s="19"/>
      <c r="G296" s="18"/>
      <c r="H296" s="17"/>
      <c r="I296" s="12"/>
      <c r="J296" s="16"/>
      <c r="K296" s="15"/>
      <c r="L296" s="12"/>
      <c r="M296" s="14"/>
      <c r="N296" s="12" t="s">
        <v>175</v>
      </c>
      <c r="O296" s="13">
        <f>(G293-F294)/(SUM(N293:N294))</f>
        <v>355.55555555555554</v>
      </c>
      <c r="P296" s="12" t="s">
        <v>174</v>
      </c>
      <c r="Q296" s="12"/>
      <c r="R296" s="11">
        <f>AVERAGE(P291:S294)</f>
        <v>0.96740995035792121</v>
      </c>
      <c r="S296" s="12"/>
      <c r="T296" s="12"/>
      <c r="U296" s="12" t="s">
        <v>173</v>
      </c>
      <c r="V296" s="12"/>
      <c r="W296" s="12"/>
      <c r="X296" s="11">
        <f>AVERAGE(U291:X294)</f>
        <v>17.273168701362291</v>
      </c>
    </row>
    <row r="297" spans="1:24" x14ac:dyDescent="0.2">
      <c r="D297" s="26"/>
      <c r="E297" s="26"/>
      <c r="F297" s="38"/>
      <c r="G297" s="37"/>
      <c r="H297" s="25"/>
      <c r="I297" s="6"/>
      <c r="J297" s="36"/>
      <c r="K297" s="35"/>
      <c r="M297" s="34"/>
      <c r="N297" s="33"/>
      <c r="O297" s="32"/>
      <c r="P297" s="31"/>
      <c r="Q297" s="31"/>
      <c r="R297" s="31"/>
      <c r="S297" s="31"/>
      <c r="T297" s="31"/>
    </row>
    <row r="298" spans="1:24" x14ac:dyDescent="0.2">
      <c r="A298" s="1">
        <v>184</v>
      </c>
      <c r="B298" s="1" t="s">
        <v>16</v>
      </c>
      <c r="C298" s="2">
        <v>36344</v>
      </c>
      <c r="D298" s="26" t="s">
        <v>180</v>
      </c>
      <c r="E298" s="26">
        <v>105</v>
      </c>
      <c r="F298" s="27">
        <v>2039500</v>
      </c>
      <c r="G298" s="26">
        <f>F299</f>
        <v>2039500</v>
      </c>
      <c r="H298" s="9">
        <v>16</v>
      </c>
      <c r="I298" s="6" t="s">
        <v>178</v>
      </c>
      <c r="J298" s="24">
        <v>13</v>
      </c>
      <c r="K298" s="9">
        <f>H299</f>
        <v>16</v>
      </c>
      <c r="L298" s="6" t="s">
        <v>178</v>
      </c>
      <c r="M298" s="24">
        <f>J299</f>
        <v>13</v>
      </c>
      <c r="N298" s="22">
        <f>IF(H298=K298,M298-J298,60-(J298-M298))</f>
        <v>0</v>
      </c>
      <c r="O298" s="30" t="e">
        <f>(G298-F298)/N298</f>
        <v>#DIV/0!</v>
      </c>
      <c r="P298" s="6"/>
      <c r="Q298" s="6"/>
      <c r="R298" s="6"/>
      <c r="S298" s="6"/>
      <c r="U298" s="6"/>
      <c r="V298" s="6"/>
      <c r="W298" s="6"/>
      <c r="X298" s="6"/>
    </row>
    <row r="299" spans="1:24" x14ac:dyDescent="0.2">
      <c r="A299" s="1">
        <v>184</v>
      </c>
      <c r="B299" s="1" t="s">
        <v>16</v>
      </c>
      <c r="C299" s="2">
        <v>36344</v>
      </c>
      <c r="D299" s="26">
        <v>1</v>
      </c>
      <c r="E299" s="26">
        <v>105</v>
      </c>
      <c r="F299" s="27">
        <v>2039500</v>
      </c>
      <c r="G299" s="26">
        <f>F300</f>
        <v>2056600</v>
      </c>
      <c r="H299" s="25">
        <v>16</v>
      </c>
      <c r="I299" s="6" t="s">
        <v>178</v>
      </c>
      <c r="J299" s="24">
        <v>13</v>
      </c>
      <c r="K299" s="9">
        <f>H300</f>
        <v>17</v>
      </c>
      <c r="L299" s="6" t="s">
        <v>178</v>
      </c>
      <c r="M299" s="23">
        <f>J300</f>
        <v>2</v>
      </c>
      <c r="N299" s="22">
        <f>IF(H299=K299,M299-J299,60-(J299-M299))</f>
        <v>49</v>
      </c>
      <c r="O299" s="30">
        <f>(G299-F299)/N299</f>
        <v>348.9795918367347</v>
      </c>
      <c r="P299" s="29">
        <f>($G299-$F299)/7.48/($AF$49*$E299/$AE$43)*12</f>
        <v>1.0553563094813687</v>
      </c>
      <c r="Q299" s="29">
        <f>($G299-$F299)/7.48/($AF$49*$E299/$AE$43)*12</f>
        <v>1.0553563094813687</v>
      </c>
      <c r="R299" s="29">
        <f>($G299-$F299)/7.48/($AF$49*$E299/$AE$43)*12</f>
        <v>1.0553563094813687</v>
      </c>
      <c r="S299" s="29">
        <f>($G299-$F299)/7.48/($AF$49*$E299/$AE$43)*12</f>
        <v>1.0553563094813687</v>
      </c>
      <c r="U299" s="28">
        <f>U291+P299</f>
        <v>18.008616879346196</v>
      </c>
      <c r="V299" s="28">
        <f>V291+Q299</f>
        <v>18.008616879346196</v>
      </c>
      <c r="W299" s="28">
        <f>W291+R299</f>
        <v>18.024959635369829</v>
      </c>
      <c r="X299" s="28">
        <f>X291+S299</f>
        <v>18.024959635369829</v>
      </c>
    </row>
    <row r="300" spans="1:24" x14ac:dyDescent="0.2">
      <c r="A300" s="1">
        <v>184</v>
      </c>
      <c r="B300" s="1" t="s">
        <v>16</v>
      </c>
      <c r="C300" s="2">
        <v>36344</v>
      </c>
      <c r="D300" s="26">
        <v>2</v>
      </c>
      <c r="E300" s="26">
        <v>105</v>
      </c>
      <c r="F300" s="27">
        <v>2056600</v>
      </c>
      <c r="G300" s="26">
        <f>F301</f>
        <v>2071700</v>
      </c>
      <c r="H300" s="25">
        <v>17</v>
      </c>
      <c r="I300" s="6" t="s">
        <v>178</v>
      </c>
      <c r="J300" s="24">
        <v>2</v>
      </c>
      <c r="K300" s="9">
        <f>H301</f>
        <v>17</v>
      </c>
      <c r="L300" s="6" t="s">
        <v>178</v>
      </c>
      <c r="M300" s="23">
        <f>J301</f>
        <v>46</v>
      </c>
      <c r="N300" s="22">
        <f>IF(H300=K300,M300-J300,60-(J300-M300))</f>
        <v>44</v>
      </c>
      <c r="O300" s="30">
        <f>(G300-F300)/N300</f>
        <v>343.18181818181819</v>
      </c>
      <c r="P300" s="29">
        <f>($G300-$F300)/7.48/($AF$50*$E300/$AE$43)*12</f>
        <v>0.89309270536763974</v>
      </c>
      <c r="Q300" s="29">
        <f>($G300-$F300)/7.48/($AF$50*$E300/$AE$43)*12</f>
        <v>0.89309270536763974</v>
      </c>
      <c r="R300" s="29">
        <f>($G300-$F300)/7.48/($AF$50*$E300/$AE$43)*12</f>
        <v>0.89309270536763974</v>
      </c>
      <c r="S300" s="29">
        <f>($G300-$F300)/7.48/($AF$50*$E300/$AE$43)*12</f>
        <v>0.89309270536763974</v>
      </c>
      <c r="U300" s="28">
        <f>U292+P300</f>
        <v>18.463523689232478</v>
      </c>
      <c r="V300" s="28">
        <f>V292+Q300</f>
        <v>18.463523689232478</v>
      </c>
      <c r="W300" s="28">
        <f>W292+R300</f>
        <v>18.36410525675538</v>
      </c>
      <c r="X300" s="28">
        <f>X292+S300</f>
        <v>18.36410525675538</v>
      </c>
    </row>
    <row r="301" spans="1:24" x14ac:dyDescent="0.2">
      <c r="A301" s="1"/>
      <c r="B301" s="1"/>
      <c r="C301" s="2"/>
      <c r="D301" s="26">
        <v>3</v>
      </c>
      <c r="E301" s="26">
        <v>105</v>
      </c>
      <c r="F301" s="27">
        <v>2071700</v>
      </c>
      <c r="G301" s="26">
        <f>F302</f>
        <v>2071700</v>
      </c>
      <c r="H301" s="25">
        <v>17</v>
      </c>
      <c r="I301" s="6" t="s">
        <v>178</v>
      </c>
      <c r="J301" s="24">
        <v>46</v>
      </c>
      <c r="K301" s="9">
        <f>H302</f>
        <v>17</v>
      </c>
      <c r="L301" s="6" t="s">
        <v>178</v>
      </c>
      <c r="M301" s="23">
        <f>J302</f>
        <v>46</v>
      </c>
      <c r="N301" s="22">
        <f>IF(H301=K301,M301-J301,60-(J301-M301))</f>
        <v>0</v>
      </c>
      <c r="O301" s="30" t="e">
        <f>(G301-F301)/N301</f>
        <v>#DIV/0!</v>
      </c>
      <c r="P301" s="29"/>
      <c r="Q301" s="29"/>
      <c r="R301" s="29"/>
      <c r="S301" s="29"/>
      <c r="U301" s="28">
        <f>U293+P301</f>
        <v>17.070915047030347</v>
      </c>
      <c r="V301" s="28">
        <f>V293+Q301</f>
        <v>17.070915047030347</v>
      </c>
      <c r="W301" s="28">
        <f>W293+R301</f>
        <v>17.130157537616014</v>
      </c>
      <c r="X301" s="28">
        <f>X293+S301</f>
        <v>17.130157537616014</v>
      </c>
    </row>
    <row r="302" spans="1:24" x14ac:dyDescent="0.2">
      <c r="A302" s="1"/>
      <c r="B302" s="1"/>
      <c r="C302" s="2"/>
      <c r="D302" s="26">
        <v>4</v>
      </c>
      <c r="E302" s="26">
        <v>105</v>
      </c>
      <c r="F302" s="27">
        <v>2071700</v>
      </c>
      <c r="G302" s="26">
        <f>F303</f>
        <v>2071700</v>
      </c>
      <c r="H302" s="25">
        <v>17</v>
      </c>
      <c r="I302" s="6" t="s">
        <v>178</v>
      </c>
      <c r="J302" s="24">
        <v>46</v>
      </c>
      <c r="K302" s="9">
        <f>H303</f>
        <v>17</v>
      </c>
      <c r="L302" s="6" t="s">
        <v>178</v>
      </c>
      <c r="M302" s="23">
        <f>J303</f>
        <v>46</v>
      </c>
      <c r="N302" s="22">
        <f>IF(H302=K302,M302-J302,60-(J302-M302))</f>
        <v>0</v>
      </c>
      <c r="O302" s="30" t="e">
        <f>(G302-F302)/N302</f>
        <v>#DIV/0!</v>
      </c>
      <c r="P302" s="29"/>
      <c r="Q302" s="29"/>
      <c r="R302" s="29"/>
      <c r="S302" s="29"/>
      <c r="U302" s="28">
        <f>U294+P302</f>
        <v>17.509629520318189</v>
      </c>
      <c r="V302" s="28">
        <f>V294+Q302</f>
        <v>17.509629520318189</v>
      </c>
      <c r="W302" s="28">
        <f>W294+R302</f>
        <v>17.51034007492791</v>
      </c>
      <c r="X302" s="28">
        <f>X294+S302</f>
        <v>17.51034007492791</v>
      </c>
    </row>
    <row r="303" spans="1:24" x14ac:dyDescent="0.2">
      <c r="A303" s="1"/>
      <c r="B303" s="1"/>
      <c r="C303" s="2"/>
      <c r="D303" s="26" t="s">
        <v>179</v>
      </c>
      <c r="E303" s="26">
        <v>105</v>
      </c>
      <c r="F303" s="27">
        <v>2071700</v>
      </c>
      <c r="G303" s="26">
        <v>2071700</v>
      </c>
      <c r="H303" s="25">
        <v>17</v>
      </c>
      <c r="I303" s="6" t="s">
        <v>178</v>
      </c>
      <c r="J303" s="24">
        <v>46</v>
      </c>
      <c r="K303" s="9">
        <v>17</v>
      </c>
      <c r="L303" s="6" t="s">
        <v>178</v>
      </c>
      <c r="M303" s="23">
        <v>46</v>
      </c>
      <c r="N303" s="22">
        <f>IF(H303=K303,M303-J303,60-(J303-M303))</f>
        <v>0</v>
      </c>
      <c r="O303" s="21"/>
      <c r="U303" s="6"/>
      <c r="V303" s="6"/>
      <c r="W303" s="6"/>
      <c r="X303" s="6"/>
    </row>
    <row r="304" spans="1:24" ht="13.5" thickBot="1" x14ac:dyDescent="0.25">
      <c r="A304" s="20"/>
      <c r="B304" s="20"/>
      <c r="C304" s="20"/>
      <c r="D304" s="18"/>
      <c r="E304" s="18"/>
      <c r="F304" s="19"/>
      <c r="G304" s="18"/>
      <c r="H304" s="17"/>
      <c r="I304" s="12"/>
      <c r="J304" s="16"/>
      <c r="K304" s="15"/>
      <c r="L304" s="12"/>
      <c r="M304" s="14"/>
      <c r="N304" s="12" t="s">
        <v>175</v>
      </c>
      <c r="O304" s="13">
        <f>(G300-F299)/(SUM(N299:N300))</f>
        <v>346.23655913978496</v>
      </c>
      <c r="P304" s="12" t="s">
        <v>174</v>
      </c>
      <c r="Q304" s="12"/>
      <c r="R304" s="11">
        <f>AVERAGE(P299:S302)</f>
        <v>0.97422450742450439</v>
      </c>
      <c r="S304" s="12"/>
      <c r="T304" s="12"/>
      <c r="U304" s="12" t="s">
        <v>173</v>
      </c>
      <c r="V304" s="12"/>
      <c r="W304" s="12"/>
      <c r="X304" s="11">
        <f>AVERAGE(U299:X302)</f>
        <v>17.760280955074542</v>
      </c>
    </row>
    <row r="305" spans="1:24" x14ac:dyDescent="0.2">
      <c r="D305" s="26"/>
      <c r="E305" s="26"/>
      <c r="F305" s="38"/>
      <c r="G305" s="37"/>
      <c r="H305" s="25"/>
      <c r="I305" s="6"/>
      <c r="J305" s="36"/>
      <c r="K305" s="35"/>
      <c r="M305" s="34"/>
      <c r="N305" s="33"/>
      <c r="O305" s="32"/>
      <c r="P305" s="31"/>
      <c r="Q305" s="31"/>
      <c r="R305" s="31"/>
      <c r="S305" s="31"/>
      <c r="T305" s="31"/>
    </row>
    <row r="306" spans="1:24" x14ac:dyDescent="0.2">
      <c r="A306" s="1"/>
      <c r="B306" s="1"/>
      <c r="C306" s="2"/>
      <c r="D306" s="26" t="s">
        <v>179</v>
      </c>
      <c r="E306" s="26">
        <v>105</v>
      </c>
      <c r="F306" s="27">
        <v>2107300</v>
      </c>
      <c r="G306" s="39">
        <v>2107300</v>
      </c>
      <c r="H306" s="25">
        <v>16</v>
      </c>
      <c r="I306" s="6" t="s">
        <v>178</v>
      </c>
      <c r="J306" s="24">
        <v>12</v>
      </c>
      <c r="K306" s="9">
        <v>16</v>
      </c>
      <c r="L306" s="6" t="s">
        <v>178</v>
      </c>
      <c r="M306" s="24">
        <v>12</v>
      </c>
      <c r="N306" s="22">
        <f>IF(H306=K306,M306-J306,60-(J306-M306))</f>
        <v>0</v>
      </c>
      <c r="O306" s="30" t="e">
        <f>(G306-F306)/N306</f>
        <v>#DIV/0!</v>
      </c>
      <c r="P306" s="6"/>
      <c r="Q306" s="6"/>
      <c r="R306" s="6"/>
      <c r="S306" s="6"/>
      <c r="U306" s="6"/>
      <c r="V306" s="6"/>
      <c r="W306" s="6"/>
      <c r="X306" s="6"/>
    </row>
    <row r="307" spans="1:24" x14ac:dyDescent="0.2">
      <c r="A307" s="1"/>
      <c r="B307" s="1"/>
      <c r="C307" s="2"/>
      <c r="D307" s="26">
        <v>1</v>
      </c>
      <c r="E307" s="26">
        <v>105</v>
      </c>
      <c r="F307" s="27">
        <v>2107300</v>
      </c>
      <c r="G307" s="26">
        <f>F306</f>
        <v>2107300</v>
      </c>
      <c r="H307" s="25">
        <v>16</v>
      </c>
      <c r="I307" s="6" t="s">
        <v>178</v>
      </c>
      <c r="J307" s="24">
        <v>12</v>
      </c>
      <c r="K307" s="9">
        <f>H306</f>
        <v>16</v>
      </c>
      <c r="L307" s="6" t="s">
        <v>178</v>
      </c>
      <c r="M307" s="23">
        <f>J306</f>
        <v>12</v>
      </c>
      <c r="N307" s="22">
        <f>IF(H307=K307,M307-J307,60-(J307-M307))</f>
        <v>0</v>
      </c>
      <c r="O307" s="30" t="e">
        <f>(G307-F307)/N307</f>
        <v>#DIV/0!</v>
      </c>
      <c r="P307" s="29"/>
      <c r="Q307" s="29"/>
      <c r="R307" s="29"/>
      <c r="S307" s="29"/>
      <c r="U307" s="28">
        <f>U299+P307</f>
        <v>18.008616879346196</v>
      </c>
      <c r="V307" s="28">
        <f>V299+Q307</f>
        <v>18.008616879346196</v>
      </c>
      <c r="W307" s="28">
        <f>W299+R307</f>
        <v>18.024959635369829</v>
      </c>
      <c r="X307" s="28">
        <f>X299+S307</f>
        <v>18.024959635369829</v>
      </c>
    </row>
    <row r="308" spans="1:24" x14ac:dyDescent="0.2">
      <c r="A308" s="1"/>
      <c r="B308" s="1"/>
      <c r="C308" s="2"/>
      <c r="D308" s="26">
        <v>2</v>
      </c>
      <c r="E308" s="26">
        <v>105</v>
      </c>
      <c r="F308" s="27">
        <v>2107300</v>
      </c>
      <c r="G308" s="26">
        <f>F307</f>
        <v>2107300</v>
      </c>
      <c r="H308" s="25">
        <v>16</v>
      </c>
      <c r="I308" s="6" t="s">
        <v>178</v>
      </c>
      <c r="J308" s="24">
        <v>12</v>
      </c>
      <c r="K308" s="9">
        <f>H307</f>
        <v>16</v>
      </c>
      <c r="L308" s="6" t="s">
        <v>178</v>
      </c>
      <c r="M308" s="23">
        <f>J307</f>
        <v>12</v>
      </c>
      <c r="N308" s="22">
        <f>IF(H308=K308,M308-J308,60-(J308-M308))</f>
        <v>0</v>
      </c>
      <c r="O308" s="30" t="e">
        <f>(G308-F308)/N308</f>
        <v>#DIV/0!</v>
      </c>
      <c r="P308" s="29"/>
      <c r="Q308" s="29"/>
      <c r="R308" s="29"/>
      <c r="S308" s="29"/>
      <c r="U308" s="28">
        <f>U300+P308</f>
        <v>18.463523689232478</v>
      </c>
      <c r="V308" s="28">
        <f>V300+Q308</f>
        <v>18.463523689232478</v>
      </c>
      <c r="W308" s="28">
        <f>W300+R308</f>
        <v>18.36410525675538</v>
      </c>
      <c r="X308" s="28">
        <f>X300+S308</f>
        <v>18.36410525675538</v>
      </c>
    </row>
    <row r="309" spans="1:24" x14ac:dyDescent="0.2">
      <c r="A309" s="1">
        <v>187</v>
      </c>
      <c r="B309" s="1" t="s">
        <v>10</v>
      </c>
      <c r="C309" s="2">
        <v>36347</v>
      </c>
      <c r="D309" s="26">
        <v>3</v>
      </c>
      <c r="E309" s="26">
        <v>105</v>
      </c>
      <c r="F309" s="27">
        <v>2092300</v>
      </c>
      <c r="G309" s="26">
        <f>F308</f>
        <v>2107300</v>
      </c>
      <c r="H309" s="25">
        <v>15</v>
      </c>
      <c r="I309" s="6" t="s">
        <v>178</v>
      </c>
      <c r="J309" s="24">
        <v>30</v>
      </c>
      <c r="K309" s="9">
        <f>H308</f>
        <v>16</v>
      </c>
      <c r="L309" s="6" t="s">
        <v>178</v>
      </c>
      <c r="M309" s="23">
        <f>J308</f>
        <v>12</v>
      </c>
      <c r="N309" s="22">
        <f>IF(H309=K309,M309-J309,60-(J309-M309))</f>
        <v>42</v>
      </c>
      <c r="O309" s="30">
        <f>(G309-F309)/N309</f>
        <v>357.14285714285717</v>
      </c>
      <c r="P309" s="29">
        <f>($G309-$F309)/7.48/($AF$51*$E309/$AE$43)*12</f>
        <v>0.88717818414003946</v>
      </c>
      <c r="Q309" s="29">
        <f>($G309-$F309)/7.48/($AF$51*$E309/$AE$43)*12</f>
        <v>0.88717818414003946</v>
      </c>
      <c r="R309" s="29">
        <f>($G309-$F309)/7.48/($AF$51*$E309/$AE$43)*12</f>
        <v>0.88717818414003946</v>
      </c>
      <c r="S309" s="29">
        <f>($G309-$F309)/7.48/($AF$51*$E309/$AE$43)*12</f>
        <v>0.88717818414003946</v>
      </c>
      <c r="U309" s="28">
        <f>U301+P309</f>
        <v>17.958093231170388</v>
      </c>
      <c r="V309" s="28">
        <f>V301+Q309</f>
        <v>17.958093231170388</v>
      </c>
      <c r="W309" s="28">
        <f>W301+R309</f>
        <v>18.017335721756055</v>
      </c>
      <c r="X309" s="28">
        <f>X301+S309</f>
        <v>18.017335721756055</v>
      </c>
    </row>
    <row r="310" spans="1:24" x14ac:dyDescent="0.2">
      <c r="A310" s="1">
        <v>187</v>
      </c>
      <c r="B310" s="1" t="s">
        <v>10</v>
      </c>
      <c r="C310" s="2">
        <v>36347</v>
      </c>
      <c r="D310" s="26">
        <v>4</v>
      </c>
      <c r="E310" s="26">
        <v>105</v>
      </c>
      <c r="F310" s="27">
        <v>2076700</v>
      </c>
      <c r="G310" s="26">
        <f>F309</f>
        <v>2092300</v>
      </c>
      <c r="H310" s="25">
        <v>14</v>
      </c>
      <c r="I310" s="6" t="s">
        <v>178</v>
      </c>
      <c r="J310" s="24">
        <v>45</v>
      </c>
      <c r="K310" s="9">
        <f>H309</f>
        <v>15</v>
      </c>
      <c r="L310" s="6" t="s">
        <v>178</v>
      </c>
      <c r="M310" s="23">
        <f>J309</f>
        <v>30</v>
      </c>
      <c r="N310" s="22">
        <f>IF(H310=K310,M310-J310,60-(J310-M310))</f>
        <v>45</v>
      </c>
      <c r="O310" s="30">
        <f>(G310-F310)/N310</f>
        <v>346.66666666666669</v>
      </c>
      <c r="P310" s="29">
        <f>($G310-$F310)/7.48/($AF$52*$E310/$AE$43)*12</f>
        <v>0.962781194614582</v>
      </c>
      <c r="Q310" s="29">
        <f>($G310-$F310)/7.48/($AF$52*$E310/$AE$43)*12</f>
        <v>0.962781194614582</v>
      </c>
      <c r="R310" s="29">
        <f>($G310-$F310)/7.48/($AF$52*$E310/$AE$43)*12</f>
        <v>0.962781194614582</v>
      </c>
      <c r="S310" s="29">
        <f>($G310-$F310)/7.48/($AF$52*$E310/$AE$43)*12</f>
        <v>0.962781194614582</v>
      </c>
      <c r="U310" s="28">
        <f>U302+P310</f>
        <v>18.472410714932771</v>
      </c>
      <c r="V310" s="28">
        <f>V302+Q310</f>
        <v>18.472410714932771</v>
      </c>
      <c r="W310" s="28">
        <f>W302+R310</f>
        <v>18.473121269542492</v>
      </c>
      <c r="X310" s="28">
        <f>X302+S310</f>
        <v>18.473121269542492</v>
      </c>
    </row>
    <row r="311" spans="1:24" x14ac:dyDescent="0.2">
      <c r="A311" s="1">
        <v>187</v>
      </c>
      <c r="B311" s="1" t="s">
        <v>10</v>
      </c>
      <c r="C311" s="2">
        <v>36347</v>
      </c>
      <c r="D311" s="26" t="s">
        <v>180</v>
      </c>
      <c r="E311" s="26">
        <v>105</v>
      </c>
      <c r="F311" s="27">
        <v>2071800</v>
      </c>
      <c r="G311" s="26">
        <f>F310</f>
        <v>2076700</v>
      </c>
      <c r="H311" s="25">
        <v>14</v>
      </c>
      <c r="I311" s="6" t="s">
        <v>178</v>
      </c>
      <c r="J311" s="24">
        <v>35</v>
      </c>
      <c r="K311" s="9">
        <f>H310</f>
        <v>14</v>
      </c>
      <c r="L311" s="6" t="s">
        <v>178</v>
      </c>
      <c r="M311" s="23">
        <f>J310</f>
        <v>45</v>
      </c>
      <c r="N311" s="22">
        <f>IF(H311=K311,M311-J311,60-(J311-M311))</f>
        <v>10</v>
      </c>
      <c r="O311" s="21"/>
      <c r="U311" s="6"/>
      <c r="V311" s="6"/>
      <c r="W311" s="6"/>
      <c r="X311" s="6"/>
    </row>
    <row r="312" spans="1:24" ht="13.5" thickBot="1" x14ac:dyDescent="0.25">
      <c r="A312" s="20"/>
      <c r="B312" s="20"/>
      <c r="C312" s="20"/>
      <c r="D312" s="18"/>
      <c r="E312" s="18"/>
      <c r="F312" s="19"/>
      <c r="G312" s="18"/>
      <c r="H312" s="17"/>
      <c r="I312" s="12"/>
      <c r="J312" s="16"/>
      <c r="K312" s="15"/>
      <c r="L312" s="12"/>
      <c r="M312" s="14"/>
      <c r="N312" s="12" t="s">
        <v>175</v>
      </c>
      <c r="O312" s="13">
        <f>(G309-F310)/(SUM(N309:N310))</f>
        <v>351.72413793103448</v>
      </c>
      <c r="P312" s="12" t="s">
        <v>174</v>
      </c>
      <c r="Q312" s="12"/>
      <c r="R312" s="11">
        <f>AVERAGE(P307:S310)</f>
        <v>0.92497968937731068</v>
      </c>
      <c r="S312" s="12"/>
      <c r="T312" s="12"/>
      <c r="U312" s="12" t="s">
        <v>173</v>
      </c>
      <c r="V312" s="12"/>
      <c r="W312" s="12"/>
      <c r="X312" s="11">
        <f>AVERAGE(U307:X310)</f>
        <v>18.2227707997632</v>
      </c>
    </row>
    <row r="313" spans="1:24" x14ac:dyDescent="0.2">
      <c r="O313" s="41"/>
      <c r="P313" s="31"/>
      <c r="Q313" s="31"/>
      <c r="R313" s="31"/>
      <c r="S313" s="31"/>
      <c r="T313" s="31"/>
    </row>
    <row r="314" spans="1:24" x14ac:dyDescent="0.2">
      <c r="A314" s="1">
        <v>187</v>
      </c>
      <c r="B314" s="1" t="s">
        <v>10</v>
      </c>
      <c r="C314" s="2">
        <v>36347</v>
      </c>
      <c r="O314" s="21"/>
      <c r="P314" s="6"/>
      <c r="Q314" s="6"/>
      <c r="R314" s="6"/>
      <c r="S314" s="6"/>
      <c r="U314" s="6"/>
      <c r="V314" s="6"/>
      <c r="W314" s="6"/>
      <c r="X314" s="6"/>
    </row>
    <row r="315" spans="1:24" x14ac:dyDescent="0.2">
      <c r="A315" s="1">
        <v>187</v>
      </c>
      <c r="B315" s="1" t="s">
        <v>10</v>
      </c>
      <c r="C315" s="2">
        <v>36347</v>
      </c>
      <c r="O315" s="21"/>
      <c r="P315" s="29">
        <v>0.5</v>
      </c>
      <c r="Q315" s="29">
        <v>0.5</v>
      </c>
      <c r="R315" s="29">
        <v>0.5</v>
      </c>
      <c r="S315" s="29">
        <v>0.5</v>
      </c>
      <c r="U315" s="28">
        <f>U307+P315</f>
        <v>18.508616879346196</v>
      </c>
      <c r="V315" s="28">
        <f>V307+Q315</f>
        <v>18.508616879346196</v>
      </c>
      <c r="W315" s="28">
        <f>W307+R315</f>
        <v>18.524959635369829</v>
      </c>
      <c r="X315" s="28">
        <f>X307+S315</f>
        <v>18.524959635369829</v>
      </c>
    </row>
    <row r="316" spans="1:24" x14ac:dyDescent="0.2">
      <c r="A316" s="1">
        <v>187</v>
      </c>
      <c r="B316" s="1" t="s">
        <v>10</v>
      </c>
      <c r="C316" s="2">
        <v>36347</v>
      </c>
      <c r="O316" s="21"/>
      <c r="P316" s="29">
        <v>0.5</v>
      </c>
      <c r="Q316" s="29">
        <v>0.5</v>
      </c>
      <c r="R316" s="29">
        <v>0.5</v>
      </c>
      <c r="S316" s="29">
        <v>0.5</v>
      </c>
      <c r="U316" s="28">
        <f>U308+P316</f>
        <v>18.963523689232478</v>
      </c>
      <c r="V316" s="28">
        <f>V308+Q316</f>
        <v>18.963523689232478</v>
      </c>
      <c r="W316" s="28">
        <f>W308+R316</f>
        <v>18.86410525675538</v>
      </c>
      <c r="X316" s="28">
        <f>X308+S316</f>
        <v>18.86410525675538</v>
      </c>
    </row>
    <row r="317" spans="1:24" x14ac:dyDescent="0.2">
      <c r="A317" s="1">
        <v>187</v>
      </c>
      <c r="B317" s="1" t="s">
        <v>10</v>
      </c>
      <c r="C317" s="2">
        <v>36347</v>
      </c>
      <c r="O317" s="21"/>
      <c r="P317" s="29">
        <v>0.5</v>
      </c>
      <c r="Q317" s="29">
        <v>0.5</v>
      </c>
      <c r="R317" s="29">
        <v>0.5</v>
      </c>
      <c r="S317" s="29">
        <v>0.5</v>
      </c>
      <c r="U317" s="28">
        <f>U309+P317</f>
        <v>18.458093231170388</v>
      </c>
      <c r="V317" s="28">
        <f>V309+Q317</f>
        <v>18.458093231170388</v>
      </c>
      <c r="W317" s="28">
        <f>W309+R317</f>
        <v>18.517335721756055</v>
      </c>
      <c r="X317" s="28">
        <f>X309+S317</f>
        <v>18.517335721756055</v>
      </c>
    </row>
    <row r="318" spans="1:24" x14ac:dyDescent="0.2">
      <c r="A318" s="1">
        <v>187</v>
      </c>
      <c r="B318" s="1" t="s">
        <v>10</v>
      </c>
      <c r="C318" s="2">
        <v>36347</v>
      </c>
      <c r="O318" s="21"/>
      <c r="P318" s="29">
        <v>0.5</v>
      </c>
      <c r="Q318" s="29">
        <v>0.5</v>
      </c>
      <c r="R318" s="29">
        <v>0.5</v>
      </c>
      <c r="S318" s="29">
        <v>0.5</v>
      </c>
      <c r="U318" s="28">
        <f>U310+P318</f>
        <v>18.972410714932771</v>
      </c>
      <c r="V318" s="28">
        <f>V310+Q318</f>
        <v>18.972410714932771</v>
      </c>
      <c r="W318" s="28">
        <f>W310+R318</f>
        <v>18.973121269542492</v>
      </c>
      <c r="X318" s="28">
        <f>X310+S318</f>
        <v>18.973121269542492</v>
      </c>
    </row>
    <row r="319" spans="1:24" x14ac:dyDescent="0.2">
      <c r="A319" s="1">
        <v>187</v>
      </c>
      <c r="B319" s="1" t="s">
        <v>10</v>
      </c>
      <c r="C319" s="2">
        <v>36347</v>
      </c>
      <c r="O319" s="21"/>
      <c r="U319" s="6"/>
      <c r="V319" s="6"/>
      <c r="W319" s="6"/>
      <c r="X319" s="6"/>
    </row>
    <row r="320" spans="1:24" ht="13.5" thickBot="1" x14ac:dyDescent="0.25">
      <c r="A320" s="20"/>
      <c r="B320" s="20"/>
      <c r="C320" s="20"/>
      <c r="D320" s="12"/>
      <c r="E320" s="12"/>
      <c r="F320" s="12"/>
      <c r="G320" s="12"/>
      <c r="H320" s="15"/>
      <c r="I320" s="12"/>
      <c r="J320" s="40"/>
      <c r="K320" s="15"/>
      <c r="L320" s="12"/>
      <c r="M320" s="40"/>
      <c r="N320" s="12"/>
      <c r="O320" s="18"/>
      <c r="P320" s="12" t="s">
        <v>174</v>
      </c>
      <c r="Q320" s="12"/>
      <c r="R320" s="11">
        <f>AVERAGE(P315:S318)</f>
        <v>0.5</v>
      </c>
      <c r="S320" s="12"/>
      <c r="T320" s="12"/>
      <c r="U320" s="12" t="s">
        <v>173</v>
      </c>
      <c r="V320" s="12"/>
      <c r="W320" s="12"/>
      <c r="X320" s="11">
        <f>AVERAGE(U315:X318)</f>
        <v>18.7227707997632</v>
      </c>
    </row>
    <row r="321" spans="1:24" x14ac:dyDescent="0.2">
      <c r="D321" s="26"/>
      <c r="E321" s="26"/>
      <c r="F321" s="38"/>
      <c r="G321" s="37"/>
      <c r="H321" s="25"/>
      <c r="I321" s="6"/>
      <c r="J321" s="36"/>
      <c r="K321" s="35"/>
      <c r="M321" s="34"/>
      <c r="N321" s="33"/>
      <c r="O321" s="32"/>
      <c r="P321" s="31"/>
      <c r="Q321" s="31"/>
      <c r="R321" s="31"/>
      <c r="S321" s="31"/>
      <c r="T321" s="31"/>
    </row>
    <row r="322" spans="1:24" x14ac:dyDescent="0.2">
      <c r="A322" s="1">
        <v>188</v>
      </c>
      <c r="B322" s="1" t="s">
        <v>6</v>
      </c>
      <c r="C322" s="2">
        <v>36348</v>
      </c>
      <c r="D322" s="26" t="s">
        <v>179</v>
      </c>
      <c r="E322" s="26">
        <v>105</v>
      </c>
      <c r="F322" s="27">
        <v>2126300</v>
      </c>
      <c r="G322" s="39">
        <v>2128700</v>
      </c>
      <c r="H322" s="25">
        <v>15</v>
      </c>
      <c r="I322" s="6" t="s">
        <v>178</v>
      </c>
      <c r="J322" s="24">
        <v>30</v>
      </c>
      <c r="K322" s="9">
        <v>15</v>
      </c>
      <c r="L322" s="6" t="s">
        <v>178</v>
      </c>
      <c r="M322" s="24">
        <v>37</v>
      </c>
      <c r="N322" s="22">
        <f>IF(H322=K322,M322-J322,60-(J322-M322))</f>
        <v>7</v>
      </c>
      <c r="O322" s="30">
        <f>(G322-F322)/N322</f>
        <v>342.85714285714283</v>
      </c>
      <c r="P322" s="6"/>
      <c r="Q322" s="6"/>
      <c r="R322" s="6"/>
      <c r="S322" s="6"/>
      <c r="U322" s="6"/>
      <c r="V322" s="6"/>
      <c r="W322" s="6"/>
      <c r="X322" s="6"/>
    </row>
    <row r="323" spans="1:24" x14ac:dyDescent="0.2">
      <c r="A323" s="1">
        <v>188</v>
      </c>
      <c r="B323" s="1" t="s">
        <v>6</v>
      </c>
      <c r="C323" s="2">
        <v>36348</v>
      </c>
      <c r="D323" s="26">
        <v>1</v>
      </c>
      <c r="E323" s="26">
        <v>105</v>
      </c>
      <c r="F323" s="27">
        <v>2117900</v>
      </c>
      <c r="G323" s="26">
        <f>F322</f>
        <v>2126300</v>
      </c>
      <c r="H323" s="25">
        <v>15</v>
      </c>
      <c r="I323" s="6" t="s">
        <v>178</v>
      </c>
      <c r="J323" s="24">
        <v>6</v>
      </c>
      <c r="K323" s="9">
        <f>H322</f>
        <v>15</v>
      </c>
      <c r="L323" s="6" t="s">
        <v>178</v>
      </c>
      <c r="M323" s="23">
        <f>J322</f>
        <v>30</v>
      </c>
      <c r="N323" s="22">
        <f>IF(H323=K323,M323-J323,60-(J323-M323))</f>
        <v>24</v>
      </c>
      <c r="O323" s="30">
        <f>(G323-F323)/N323</f>
        <v>350</v>
      </c>
      <c r="P323" s="29">
        <f>($G323-$F323)/7.48/($AF$49*$E323/$AE$43)*12</f>
        <v>0.51842064325400572</v>
      </c>
      <c r="Q323" s="29">
        <f>($G323-$F323)/7.48/($AF$49*$E323/$AE$43)*12</f>
        <v>0.51842064325400572</v>
      </c>
      <c r="R323" s="29">
        <f>($G323-$F323)/7.48/($AF$49*$E323/$AE$43)*12</f>
        <v>0.51842064325400572</v>
      </c>
      <c r="S323" s="29">
        <f>($G323-$F323)/7.48/($AF$49*$E323/$AE$43)*12</f>
        <v>0.51842064325400572</v>
      </c>
      <c r="U323" s="28">
        <f>U315+P323</f>
        <v>19.027037522600203</v>
      </c>
      <c r="V323" s="28">
        <f>V315+Q323</f>
        <v>19.027037522600203</v>
      </c>
      <c r="W323" s="28">
        <f>W315+R323</f>
        <v>19.043380278623836</v>
      </c>
      <c r="X323" s="28">
        <f>X315+S323</f>
        <v>19.043380278623836</v>
      </c>
    </row>
    <row r="324" spans="1:24" x14ac:dyDescent="0.2">
      <c r="A324" s="1">
        <v>188</v>
      </c>
      <c r="B324" s="1" t="s">
        <v>6</v>
      </c>
      <c r="C324" s="2">
        <v>36348</v>
      </c>
      <c r="D324" s="26">
        <v>2</v>
      </c>
      <c r="E324" s="26">
        <v>105</v>
      </c>
      <c r="F324" s="27">
        <v>2107300</v>
      </c>
      <c r="G324" s="26">
        <f>F323</f>
        <v>2117900</v>
      </c>
      <c r="H324" s="25">
        <v>14</v>
      </c>
      <c r="I324" s="6" t="s">
        <v>178</v>
      </c>
      <c r="J324" s="24">
        <v>37</v>
      </c>
      <c r="K324" s="9">
        <f>H323</f>
        <v>15</v>
      </c>
      <c r="L324" s="6" t="s">
        <v>178</v>
      </c>
      <c r="M324" s="23">
        <f>J323</f>
        <v>6</v>
      </c>
      <c r="N324" s="22">
        <f>IF(H324=K324,M324-J324,60-(J324-M324))</f>
        <v>29</v>
      </c>
      <c r="O324" s="30">
        <f>(G324-F324)/N324</f>
        <v>365.51724137931035</v>
      </c>
      <c r="P324" s="29">
        <f>($G324-$F324)/7.48/($AF$50*$E324/$AE$43)*12</f>
        <v>0.6269392501256279</v>
      </c>
      <c r="Q324" s="29">
        <f>($G324-$F324)/7.48/($AF$50*$E324/$AE$43)*12</f>
        <v>0.6269392501256279</v>
      </c>
      <c r="R324" s="29">
        <f>($G324-$F324)/7.48/($AF$50*$E324/$AE$43)*12</f>
        <v>0.6269392501256279</v>
      </c>
      <c r="S324" s="29">
        <f>($G324-$F324)/7.48/($AF$50*$E324/$AE$43)*12</f>
        <v>0.6269392501256279</v>
      </c>
      <c r="U324" s="28">
        <f>U316+P324</f>
        <v>19.590462939358105</v>
      </c>
      <c r="V324" s="28">
        <f>V316+Q324</f>
        <v>19.590462939358105</v>
      </c>
      <c r="W324" s="28">
        <f>W316+R324</f>
        <v>19.491044506881007</v>
      </c>
      <c r="X324" s="28">
        <f>X316+S324</f>
        <v>19.491044506881007</v>
      </c>
    </row>
    <row r="325" spans="1:24" x14ac:dyDescent="0.2">
      <c r="A325" s="1"/>
      <c r="B325" s="1"/>
      <c r="C325" s="2"/>
      <c r="D325" s="26">
        <v>3</v>
      </c>
      <c r="E325" s="26">
        <v>105</v>
      </c>
      <c r="F325" s="27">
        <v>2107300</v>
      </c>
      <c r="G325" s="26">
        <f>F324</f>
        <v>2107300</v>
      </c>
      <c r="H325" s="25">
        <v>14</v>
      </c>
      <c r="I325" s="6" t="s">
        <v>178</v>
      </c>
      <c r="J325" s="24">
        <v>37</v>
      </c>
      <c r="K325" s="9">
        <f>H324</f>
        <v>14</v>
      </c>
      <c r="L325" s="6" t="s">
        <v>178</v>
      </c>
      <c r="M325" s="23">
        <f>J324</f>
        <v>37</v>
      </c>
      <c r="N325" s="22">
        <f>IF(H325=K325,M325-J325,60-(J325-M325))</f>
        <v>0</v>
      </c>
      <c r="O325" s="30" t="e">
        <f>(G325-F325)/N325</f>
        <v>#DIV/0!</v>
      </c>
      <c r="P325" s="29"/>
      <c r="Q325" s="29"/>
      <c r="R325" s="29"/>
      <c r="S325" s="29"/>
      <c r="U325" s="28">
        <f>U317+P325</f>
        <v>18.458093231170388</v>
      </c>
      <c r="V325" s="28">
        <f>V317+Q325</f>
        <v>18.458093231170388</v>
      </c>
      <c r="W325" s="28">
        <f>W317+R325</f>
        <v>18.517335721756055</v>
      </c>
      <c r="X325" s="28">
        <f>X317+S325</f>
        <v>18.517335721756055</v>
      </c>
    </row>
    <row r="326" spans="1:24" x14ac:dyDescent="0.2">
      <c r="A326" s="1"/>
      <c r="B326" s="1"/>
      <c r="C326" s="2"/>
      <c r="D326" s="26">
        <v>4</v>
      </c>
      <c r="E326" s="26">
        <v>105</v>
      </c>
      <c r="F326" s="27">
        <v>2107300</v>
      </c>
      <c r="G326" s="26">
        <f>F325</f>
        <v>2107300</v>
      </c>
      <c r="H326" s="25">
        <v>14</v>
      </c>
      <c r="I326" s="6" t="s">
        <v>178</v>
      </c>
      <c r="J326" s="24">
        <v>37</v>
      </c>
      <c r="K326" s="9">
        <f>H325</f>
        <v>14</v>
      </c>
      <c r="L326" s="6" t="s">
        <v>178</v>
      </c>
      <c r="M326" s="23">
        <f>J325</f>
        <v>37</v>
      </c>
      <c r="N326" s="22">
        <f>IF(H326=K326,M326-J326,60-(J326-M326))</f>
        <v>0</v>
      </c>
      <c r="O326" s="30" t="e">
        <f>(G326-F326)/N326</f>
        <v>#DIV/0!</v>
      </c>
      <c r="P326" s="29"/>
      <c r="Q326" s="29"/>
      <c r="R326" s="29"/>
      <c r="S326" s="29"/>
      <c r="U326" s="28">
        <f>U318+P326</f>
        <v>18.972410714932771</v>
      </c>
      <c r="V326" s="28">
        <f>V318+Q326</f>
        <v>18.972410714932771</v>
      </c>
      <c r="W326" s="28">
        <f>W318+R326</f>
        <v>18.973121269542492</v>
      </c>
      <c r="X326" s="28">
        <f>X318+S326</f>
        <v>18.973121269542492</v>
      </c>
    </row>
    <row r="327" spans="1:24" x14ac:dyDescent="0.2">
      <c r="A327" s="1"/>
      <c r="B327" s="1"/>
      <c r="C327" s="2"/>
      <c r="D327" s="26" t="s">
        <v>180</v>
      </c>
      <c r="E327" s="26">
        <v>105</v>
      </c>
      <c r="F327" s="27">
        <v>2107300</v>
      </c>
      <c r="G327" s="26">
        <f>F326</f>
        <v>2107300</v>
      </c>
      <c r="H327" s="25">
        <v>14</v>
      </c>
      <c r="I327" s="6" t="s">
        <v>178</v>
      </c>
      <c r="J327" s="24">
        <v>37</v>
      </c>
      <c r="K327" s="9">
        <f>H326</f>
        <v>14</v>
      </c>
      <c r="L327" s="6" t="s">
        <v>178</v>
      </c>
      <c r="M327" s="23">
        <f>J326</f>
        <v>37</v>
      </c>
      <c r="N327" s="22">
        <f>IF(H327=K327,M327-J327,60-(J327-M327))</f>
        <v>0</v>
      </c>
      <c r="O327" s="21"/>
      <c r="U327" s="6"/>
      <c r="V327" s="6"/>
      <c r="W327" s="6"/>
      <c r="X327" s="6"/>
    </row>
    <row r="328" spans="1:24" ht="13.5" thickBot="1" x14ac:dyDescent="0.25">
      <c r="A328" s="20"/>
      <c r="B328" s="20"/>
      <c r="C328" s="20"/>
      <c r="D328" s="18"/>
      <c r="E328" s="18"/>
      <c r="F328" s="19"/>
      <c r="G328" s="18"/>
      <c r="H328" s="17"/>
      <c r="I328" s="12"/>
      <c r="J328" s="16"/>
      <c r="K328" s="15"/>
      <c r="L328" s="12"/>
      <c r="M328" s="14"/>
      <c r="N328" s="12" t="s">
        <v>175</v>
      </c>
      <c r="O328" s="13" t="e">
        <f>(G325-F326)/(SUM(N325:N326))</f>
        <v>#DIV/0!</v>
      </c>
      <c r="P328" s="12" t="s">
        <v>174</v>
      </c>
      <c r="Q328" s="12"/>
      <c r="R328" s="11">
        <f>AVERAGE(P323:S326)</f>
        <v>0.57267994668981681</v>
      </c>
      <c r="S328" s="12"/>
      <c r="T328" s="12"/>
      <c r="U328" s="12" t="s">
        <v>173</v>
      </c>
      <c r="V328" s="12"/>
      <c r="W328" s="12"/>
      <c r="X328" s="11">
        <f>AVERAGE(U323:X326)</f>
        <v>19.009110773108109</v>
      </c>
    </row>
    <row r="329" spans="1:24" x14ac:dyDescent="0.2">
      <c r="O329" s="41"/>
      <c r="P329" s="31"/>
      <c r="Q329" s="31"/>
      <c r="R329" s="31"/>
      <c r="S329" s="31"/>
      <c r="T329" s="31"/>
    </row>
    <row r="330" spans="1:24" x14ac:dyDescent="0.2">
      <c r="A330" s="1">
        <v>188</v>
      </c>
      <c r="B330" s="1" t="s">
        <v>6</v>
      </c>
      <c r="C330" s="2">
        <v>36348</v>
      </c>
      <c r="O330" s="21"/>
      <c r="P330" s="6"/>
      <c r="Q330" s="6"/>
      <c r="R330" s="6"/>
      <c r="S330" s="6"/>
      <c r="U330" s="6"/>
      <c r="V330" s="6"/>
      <c r="W330" s="6"/>
      <c r="X330" s="6"/>
    </row>
    <row r="331" spans="1:24" x14ac:dyDescent="0.2">
      <c r="A331" s="1">
        <v>188</v>
      </c>
      <c r="B331" s="1" t="s">
        <v>6</v>
      </c>
      <c r="C331" s="2">
        <v>36348</v>
      </c>
      <c r="O331" s="21"/>
      <c r="P331" s="29">
        <v>1</v>
      </c>
      <c r="Q331" s="29">
        <v>1</v>
      </c>
      <c r="R331" s="29">
        <v>1</v>
      </c>
      <c r="S331" s="29">
        <v>1</v>
      </c>
      <c r="U331" s="28">
        <f>U323+P331</f>
        <v>20.027037522600203</v>
      </c>
      <c r="V331" s="28">
        <f>V323+Q331</f>
        <v>20.027037522600203</v>
      </c>
      <c r="W331" s="28">
        <f>W323+R331</f>
        <v>20.043380278623836</v>
      </c>
      <c r="X331" s="28">
        <f>X323+S331</f>
        <v>20.043380278623836</v>
      </c>
    </row>
    <row r="332" spans="1:24" x14ac:dyDescent="0.2">
      <c r="A332" s="1">
        <v>188</v>
      </c>
      <c r="B332" s="1" t="s">
        <v>6</v>
      </c>
      <c r="C332" s="2">
        <v>36348</v>
      </c>
      <c r="O332" s="21"/>
      <c r="P332" s="29">
        <v>1</v>
      </c>
      <c r="Q332" s="29">
        <v>1</v>
      </c>
      <c r="R332" s="29">
        <v>1</v>
      </c>
      <c r="S332" s="29">
        <v>1</v>
      </c>
      <c r="U332" s="28">
        <f>U324+P332</f>
        <v>20.590462939358105</v>
      </c>
      <c r="V332" s="28">
        <f>V324+Q332</f>
        <v>20.590462939358105</v>
      </c>
      <c r="W332" s="28">
        <f>W324+R332</f>
        <v>20.491044506881007</v>
      </c>
      <c r="X332" s="28">
        <f>X324+S332</f>
        <v>20.491044506881007</v>
      </c>
    </row>
    <row r="333" spans="1:24" x14ac:dyDescent="0.2">
      <c r="A333" s="1">
        <v>188</v>
      </c>
      <c r="B333" s="1" t="s">
        <v>6</v>
      </c>
      <c r="C333" s="2">
        <v>36348</v>
      </c>
      <c r="O333" s="21"/>
      <c r="P333" s="29">
        <v>1</v>
      </c>
      <c r="Q333" s="29">
        <v>1</v>
      </c>
      <c r="R333" s="29">
        <v>1</v>
      </c>
      <c r="S333" s="29">
        <v>1</v>
      </c>
      <c r="U333" s="28">
        <f>U325+P333</f>
        <v>19.458093231170388</v>
      </c>
      <c r="V333" s="28">
        <f>V325+Q333</f>
        <v>19.458093231170388</v>
      </c>
      <c r="W333" s="28">
        <f>W325+R333</f>
        <v>19.517335721756055</v>
      </c>
      <c r="X333" s="28">
        <f>X325+S333</f>
        <v>19.517335721756055</v>
      </c>
    </row>
    <row r="334" spans="1:24" x14ac:dyDescent="0.2">
      <c r="A334" s="1">
        <v>188</v>
      </c>
      <c r="B334" s="1" t="s">
        <v>6</v>
      </c>
      <c r="C334" s="2">
        <v>36348</v>
      </c>
      <c r="O334" s="21"/>
      <c r="P334" s="29">
        <v>1</v>
      </c>
      <c r="Q334" s="29">
        <v>1</v>
      </c>
      <c r="R334" s="29">
        <v>1</v>
      </c>
      <c r="S334" s="29">
        <v>1</v>
      </c>
      <c r="U334" s="28">
        <f>U326+P334</f>
        <v>19.972410714932771</v>
      </c>
      <c r="V334" s="28">
        <f>V326+Q334</f>
        <v>19.972410714932771</v>
      </c>
      <c r="W334" s="28">
        <f>W326+R334</f>
        <v>19.973121269542492</v>
      </c>
      <c r="X334" s="28">
        <f>X326+S334</f>
        <v>19.973121269542492</v>
      </c>
    </row>
    <row r="335" spans="1:24" x14ac:dyDescent="0.2">
      <c r="A335" s="1">
        <v>188</v>
      </c>
      <c r="B335" s="1" t="s">
        <v>6</v>
      </c>
      <c r="C335" s="2">
        <v>36348</v>
      </c>
      <c r="O335" s="21"/>
      <c r="U335" s="6"/>
      <c r="V335" s="6"/>
      <c r="W335" s="6"/>
      <c r="X335" s="6"/>
    </row>
    <row r="336" spans="1:24" ht="13.5" thickBot="1" x14ac:dyDescent="0.25">
      <c r="A336" s="20"/>
      <c r="B336" s="20"/>
      <c r="C336" s="20"/>
      <c r="D336" s="12"/>
      <c r="E336" s="12"/>
      <c r="F336" s="12"/>
      <c r="G336" s="12"/>
      <c r="H336" s="15"/>
      <c r="I336" s="12"/>
      <c r="J336" s="40"/>
      <c r="K336" s="15"/>
      <c r="L336" s="12"/>
      <c r="M336" s="40"/>
      <c r="N336" s="12"/>
      <c r="O336" s="18"/>
      <c r="P336" s="12" t="s">
        <v>174</v>
      </c>
      <c r="Q336" s="12"/>
      <c r="R336" s="11">
        <f>AVERAGE(P331:S334)</f>
        <v>1</v>
      </c>
      <c r="S336" s="12"/>
      <c r="T336" s="12"/>
      <c r="U336" s="12" t="s">
        <v>173</v>
      </c>
      <c r="V336" s="12"/>
      <c r="W336" s="12"/>
      <c r="X336" s="11">
        <f>AVERAGE(U331:X334)</f>
        <v>20.009110773108109</v>
      </c>
    </row>
    <row r="337" spans="1:24" x14ac:dyDescent="0.2">
      <c r="D337" s="26"/>
      <c r="E337" s="26"/>
      <c r="F337" s="38"/>
      <c r="G337" s="37"/>
      <c r="H337" s="25"/>
      <c r="I337" s="6"/>
      <c r="J337" s="36"/>
      <c r="K337" s="35"/>
      <c r="M337" s="34"/>
      <c r="N337" s="33"/>
      <c r="O337" s="32"/>
      <c r="P337" s="31"/>
      <c r="Q337" s="31"/>
      <c r="R337" s="31"/>
      <c r="S337" s="31"/>
      <c r="T337" s="31"/>
    </row>
    <row r="338" spans="1:24" x14ac:dyDescent="0.2">
      <c r="A338" s="1">
        <v>193</v>
      </c>
      <c r="B338" s="1" t="s">
        <v>14</v>
      </c>
      <c r="C338" s="2">
        <v>36353</v>
      </c>
      <c r="D338" s="26" t="s">
        <v>180</v>
      </c>
      <c r="E338" s="26">
        <v>53</v>
      </c>
      <c r="F338" s="27">
        <v>2133900</v>
      </c>
      <c r="G338" s="26">
        <f>F339</f>
        <v>2133900</v>
      </c>
      <c r="H338" s="9">
        <v>8</v>
      </c>
      <c r="I338" s="6" t="s">
        <v>178</v>
      </c>
      <c r="J338" s="24">
        <v>4</v>
      </c>
      <c r="K338" s="9">
        <f>H339</f>
        <v>8</v>
      </c>
      <c r="L338" s="6" t="s">
        <v>178</v>
      </c>
      <c r="M338" s="24">
        <f>J339</f>
        <v>4</v>
      </c>
      <c r="N338" s="22">
        <f>IF(H338=K338,M338-J338,60-(J338-M338))</f>
        <v>0</v>
      </c>
      <c r="O338" s="30" t="e">
        <f>(G338-F338)/N338</f>
        <v>#DIV/0!</v>
      </c>
      <c r="P338" s="6"/>
      <c r="Q338" s="6"/>
      <c r="R338" s="6"/>
      <c r="S338" s="6"/>
      <c r="U338" s="6"/>
      <c r="V338" s="6"/>
      <c r="W338" s="6"/>
      <c r="X338" s="6"/>
    </row>
    <row r="339" spans="1:24" x14ac:dyDescent="0.2">
      <c r="A339" s="1">
        <v>193</v>
      </c>
      <c r="B339" s="1" t="s">
        <v>14</v>
      </c>
      <c r="C339" s="2">
        <v>36353</v>
      </c>
      <c r="D339" s="26">
        <v>1</v>
      </c>
      <c r="E339" s="26">
        <v>53</v>
      </c>
      <c r="F339" s="27">
        <v>2133900</v>
      </c>
      <c r="G339" s="26">
        <f>F340</f>
        <v>2143700</v>
      </c>
      <c r="H339" s="25">
        <v>8</v>
      </c>
      <c r="I339" s="6" t="s">
        <v>178</v>
      </c>
      <c r="J339" s="24">
        <v>4</v>
      </c>
      <c r="K339" s="9">
        <f>H340</f>
        <v>8</v>
      </c>
      <c r="L339" s="6" t="s">
        <v>178</v>
      </c>
      <c r="M339" s="23">
        <f>J340</f>
        <v>51</v>
      </c>
      <c r="N339" s="22">
        <f>IF(H339=K339,M339-J339,60-(J339-M339))</f>
        <v>47</v>
      </c>
      <c r="O339" s="30">
        <f>(G339-F339)/N339</f>
        <v>208.51063829787233</v>
      </c>
      <c r="P339" s="29"/>
      <c r="Q339" s="29">
        <f>($G339-$F339)/7.48/($AF$49*$E339/$AE$43)*12</f>
        <v>1.1982363924267112</v>
      </c>
      <c r="R339" s="29"/>
      <c r="S339" s="29">
        <f>($G339-$F339)/7.48/($AF$49*$E339/$AE$43)*12</f>
        <v>1.1982363924267112</v>
      </c>
      <c r="U339" s="28">
        <f>U331+P339</f>
        <v>20.027037522600203</v>
      </c>
      <c r="V339" s="28">
        <f>V331+Q339</f>
        <v>21.225273915026914</v>
      </c>
      <c r="W339" s="28">
        <f>W331+R339</f>
        <v>20.043380278623836</v>
      </c>
      <c r="X339" s="28">
        <f>X331+S339</f>
        <v>21.241616671050547</v>
      </c>
    </row>
    <row r="340" spans="1:24" x14ac:dyDescent="0.2">
      <c r="A340" s="1">
        <v>193</v>
      </c>
      <c r="B340" s="1" t="s">
        <v>14</v>
      </c>
      <c r="C340" s="2">
        <v>36353</v>
      </c>
      <c r="D340" s="26">
        <v>2</v>
      </c>
      <c r="E340" s="26">
        <v>57</v>
      </c>
      <c r="F340" s="27">
        <v>2143700</v>
      </c>
      <c r="G340" s="26">
        <f>F341</f>
        <v>2153500</v>
      </c>
      <c r="H340" s="25">
        <v>8</v>
      </c>
      <c r="I340" s="6" t="s">
        <v>178</v>
      </c>
      <c r="J340" s="24">
        <v>51</v>
      </c>
      <c r="K340" s="9">
        <f>H341</f>
        <v>9</v>
      </c>
      <c r="L340" s="6" t="s">
        <v>178</v>
      </c>
      <c r="M340" s="23">
        <f>J341</f>
        <v>36</v>
      </c>
      <c r="N340" s="22">
        <f>IF(H340=K340,M340-J340,60-(J340-M340))</f>
        <v>45</v>
      </c>
      <c r="O340" s="30">
        <f>(G340-F340)/N340</f>
        <v>217.77777777777777</v>
      </c>
      <c r="P340" s="29">
        <f>($G340-$F340)/7.48/($AF$50*$E340/$AE$43)*12</f>
        <v>1.0677267268773107</v>
      </c>
      <c r="Q340" s="29"/>
      <c r="R340" s="29"/>
      <c r="S340" s="29">
        <f>($G340-$F340)/7.48/($AF$50*$E340/$AE$43)*12</f>
        <v>1.0677267268773107</v>
      </c>
      <c r="U340" s="28">
        <f>U332+P340</f>
        <v>21.658189666235415</v>
      </c>
      <c r="V340" s="28">
        <f>V332+Q340</f>
        <v>20.590462939358105</v>
      </c>
      <c r="W340" s="28">
        <f>W332+R340</f>
        <v>20.491044506881007</v>
      </c>
      <c r="X340" s="28">
        <f>X332+S340</f>
        <v>21.558771233758318</v>
      </c>
    </row>
    <row r="341" spans="1:24" x14ac:dyDescent="0.2">
      <c r="A341" s="1">
        <v>193</v>
      </c>
      <c r="B341" s="1" t="s">
        <v>14</v>
      </c>
      <c r="C341" s="2">
        <v>36353</v>
      </c>
      <c r="D341" s="26">
        <v>3</v>
      </c>
      <c r="E341" s="26">
        <v>52</v>
      </c>
      <c r="F341" s="27">
        <v>2153500</v>
      </c>
      <c r="G341" s="26">
        <f>F342</f>
        <v>2162800</v>
      </c>
      <c r="H341" s="25">
        <v>9</v>
      </c>
      <c r="I341" s="6" t="s">
        <v>178</v>
      </c>
      <c r="J341" s="24">
        <v>36</v>
      </c>
      <c r="K341" s="9">
        <f>H342</f>
        <v>10</v>
      </c>
      <c r="L341" s="6" t="s">
        <v>178</v>
      </c>
      <c r="M341" s="23">
        <f>J342</f>
        <v>23</v>
      </c>
      <c r="N341" s="22">
        <f>IF(H341=K341,M341-J341,60-(J341-M341))</f>
        <v>47</v>
      </c>
      <c r="O341" s="30">
        <f>(G341-F341)/N341</f>
        <v>197.87234042553192</v>
      </c>
      <c r="P341" s="29">
        <f>($G341-$F341)/7.48/($AF$50*$E341/$AE$43)*12</f>
        <v>1.1106788420676263</v>
      </c>
      <c r="Q341" s="29"/>
      <c r="R341" s="29">
        <f>($G341-$F341)/7.48/($AF$50*$E341/$AE$43)*12</f>
        <v>1.1106788420676263</v>
      </c>
      <c r="S341" s="29"/>
      <c r="U341" s="28">
        <f>U333+P341</f>
        <v>20.568772073238016</v>
      </c>
      <c r="V341" s="28">
        <f>V333+Q341</f>
        <v>19.458093231170388</v>
      </c>
      <c r="W341" s="28">
        <f>W333+R341</f>
        <v>20.628014563823683</v>
      </c>
      <c r="X341" s="28">
        <f>X333+S341</f>
        <v>19.517335721756055</v>
      </c>
    </row>
    <row r="342" spans="1:24" x14ac:dyDescent="0.2">
      <c r="A342" s="1">
        <v>193</v>
      </c>
      <c r="B342" s="1" t="s">
        <v>14</v>
      </c>
      <c r="C342" s="2">
        <v>36353</v>
      </c>
      <c r="D342" s="26">
        <v>4</v>
      </c>
      <c r="E342" s="26">
        <v>48</v>
      </c>
      <c r="F342" s="27">
        <v>2162800</v>
      </c>
      <c r="G342" s="26">
        <f>F343</f>
        <v>2172000</v>
      </c>
      <c r="H342" s="25">
        <v>10</v>
      </c>
      <c r="I342" s="6" t="s">
        <v>178</v>
      </c>
      <c r="J342" s="24">
        <v>23</v>
      </c>
      <c r="K342" s="9">
        <f>H343</f>
        <v>11</v>
      </c>
      <c r="L342" s="6" t="s">
        <v>178</v>
      </c>
      <c r="M342" s="23">
        <f>J343</f>
        <v>13</v>
      </c>
      <c r="N342" s="22">
        <f>IF(H342=K342,M342-J342,60-(J342-M342))</f>
        <v>50</v>
      </c>
      <c r="O342" s="30">
        <f>(G342-F342)/N342</f>
        <v>184</v>
      </c>
      <c r="P342" s="29"/>
      <c r="Q342" s="29">
        <f>($G342-$F342)/7.48/($AF$50*$E342/$AE$43)*12</f>
        <v>1.1902973970545527</v>
      </c>
      <c r="R342" s="29">
        <f>($G342-$F342)/7.48/($AF$50*$E342/$AE$43)*12</f>
        <v>1.1902973970545527</v>
      </c>
      <c r="S342" s="29"/>
      <c r="U342" s="28">
        <f>U334+P342</f>
        <v>19.972410714932771</v>
      </c>
      <c r="V342" s="28">
        <f>V334+Q342</f>
        <v>21.162708111987325</v>
      </c>
      <c r="W342" s="28">
        <f>W334+R342</f>
        <v>21.163418666597046</v>
      </c>
      <c r="X342" s="28">
        <f>X334+S342</f>
        <v>19.973121269542492</v>
      </c>
    </row>
    <row r="343" spans="1:24" x14ac:dyDescent="0.2">
      <c r="A343" s="1">
        <v>193</v>
      </c>
      <c r="B343" s="1" t="s">
        <v>14</v>
      </c>
      <c r="C343" s="2">
        <v>36353</v>
      </c>
      <c r="D343" s="26" t="s">
        <v>179</v>
      </c>
      <c r="E343" s="26">
        <v>48</v>
      </c>
      <c r="F343" s="27">
        <v>2172000</v>
      </c>
      <c r="G343" s="26">
        <v>2173200</v>
      </c>
      <c r="H343" s="25">
        <v>11</v>
      </c>
      <c r="I343" s="6" t="s">
        <v>178</v>
      </c>
      <c r="J343" s="24">
        <v>13</v>
      </c>
      <c r="K343" s="9">
        <v>11</v>
      </c>
      <c r="L343" s="6" t="s">
        <v>178</v>
      </c>
      <c r="M343" s="23">
        <v>19</v>
      </c>
      <c r="N343" s="22">
        <f>IF(H343=K343,M343-J343,60-(J343-M343))</f>
        <v>6</v>
      </c>
      <c r="O343" s="21"/>
      <c r="U343" s="6"/>
      <c r="V343" s="6"/>
      <c r="W343" s="6"/>
      <c r="X343" s="6"/>
    </row>
    <row r="344" spans="1:24" ht="13.5" thickBot="1" x14ac:dyDescent="0.25">
      <c r="A344" s="20"/>
      <c r="B344" s="20"/>
      <c r="C344" s="20"/>
      <c r="D344" s="18"/>
      <c r="E344" s="18"/>
      <c r="F344" s="19"/>
      <c r="G344" s="18"/>
      <c r="H344" s="17"/>
      <c r="I344" s="12"/>
      <c r="J344" s="16"/>
      <c r="K344" s="15"/>
      <c r="L344" s="12"/>
      <c r="M344" s="14"/>
      <c r="N344" s="12" t="s">
        <v>175</v>
      </c>
      <c r="O344" s="13">
        <f>(G340-F339)/(SUM(N339:N340))</f>
        <v>213.04347826086956</v>
      </c>
      <c r="P344" s="12" t="s">
        <v>174</v>
      </c>
      <c r="Q344" s="12"/>
      <c r="R344" s="11">
        <f>AVERAGE(P339:S342)</f>
        <v>1.1417348396065503</v>
      </c>
      <c r="S344" s="12"/>
      <c r="T344" s="12"/>
      <c r="U344" s="12" t="s">
        <v>173</v>
      </c>
      <c r="V344" s="12"/>
      <c r="W344" s="12"/>
      <c r="X344" s="11">
        <f>AVERAGE(U339:X342)</f>
        <v>20.579978192911383</v>
      </c>
    </row>
    <row r="345" spans="1:24" x14ac:dyDescent="0.2">
      <c r="O345" s="41"/>
      <c r="P345" s="31"/>
      <c r="Q345" s="31"/>
      <c r="R345" s="31"/>
      <c r="S345" s="31"/>
      <c r="T345" s="31"/>
    </row>
    <row r="346" spans="1:24" x14ac:dyDescent="0.2">
      <c r="A346" s="1">
        <v>195</v>
      </c>
      <c r="B346" s="1" t="s">
        <v>6</v>
      </c>
      <c r="C346" s="2">
        <v>36355</v>
      </c>
      <c r="O346" s="21"/>
      <c r="P346" s="6"/>
      <c r="Q346" s="6"/>
      <c r="R346" s="6"/>
      <c r="S346" s="6"/>
      <c r="U346" s="6"/>
      <c r="V346" s="6"/>
      <c r="W346" s="6"/>
      <c r="X346" s="6"/>
    </row>
    <row r="347" spans="1:24" x14ac:dyDescent="0.2">
      <c r="A347" s="1">
        <v>195</v>
      </c>
      <c r="B347" s="1" t="s">
        <v>6</v>
      </c>
      <c r="C347" s="2">
        <v>36355</v>
      </c>
      <c r="O347" s="21"/>
      <c r="P347" s="29">
        <v>1</v>
      </c>
      <c r="Q347" s="29">
        <v>1</v>
      </c>
      <c r="R347" s="29">
        <v>1</v>
      </c>
      <c r="S347" s="29">
        <v>1</v>
      </c>
      <c r="U347" s="28">
        <f>U339+P347</f>
        <v>21.027037522600203</v>
      </c>
      <c r="V347" s="28">
        <f>V339+Q347</f>
        <v>22.225273915026914</v>
      </c>
      <c r="W347" s="28">
        <f>W339+R347</f>
        <v>21.043380278623836</v>
      </c>
      <c r="X347" s="28">
        <f>X339+S347</f>
        <v>22.241616671050547</v>
      </c>
    </row>
    <row r="348" spans="1:24" x14ac:dyDescent="0.2">
      <c r="A348" s="1">
        <v>195</v>
      </c>
      <c r="B348" s="1" t="s">
        <v>6</v>
      </c>
      <c r="C348" s="2">
        <v>36355</v>
      </c>
      <c r="O348" s="21"/>
      <c r="P348" s="29">
        <v>1</v>
      </c>
      <c r="Q348" s="29">
        <v>1</v>
      </c>
      <c r="R348" s="29">
        <v>1</v>
      </c>
      <c r="S348" s="29">
        <v>1</v>
      </c>
      <c r="U348" s="28">
        <f>U340+P348</f>
        <v>22.658189666235415</v>
      </c>
      <c r="V348" s="28">
        <f>V340+Q348</f>
        <v>21.590462939358105</v>
      </c>
      <c r="W348" s="28">
        <f>W340+R348</f>
        <v>21.491044506881007</v>
      </c>
      <c r="X348" s="28">
        <f>X340+S348</f>
        <v>22.558771233758318</v>
      </c>
    </row>
    <row r="349" spans="1:24" x14ac:dyDescent="0.2">
      <c r="A349" s="1">
        <v>195</v>
      </c>
      <c r="B349" s="1" t="s">
        <v>6</v>
      </c>
      <c r="C349" s="2">
        <v>36355</v>
      </c>
      <c r="O349" s="21"/>
      <c r="P349" s="29">
        <v>1</v>
      </c>
      <c r="Q349" s="29">
        <v>1</v>
      </c>
      <c r="R349" s="29">
        <v>1</v>
      </c>
      <c r="S349" s="29">
        <v>1</v>
      </c>
      <c r="U349" s="28">
        <f>U341+P349</f>
        <v>21.568772073238016</v>
      </c>
      <c r="V349" s="28">
        <f>V341+Q349</f>
        <v>20.458093231170388</v>
      </c>
      <c r="W349" s="28">
        <f>W341+R349</f>
        <v>21.628014563823683</v>
      </c>
      <c r="X349" s="28">
        <f>X341+S349</f>
        <v>20.517335721756055</v>
      </c>
    </row>
    <row r="350" spans="1:24" x14ac:dyDescent="0.2">
      <c r="A350" s="1">
        <v>195</v>
      </c>
      <c r="B350" s="1" t="s">
        <v>6</v>
      </c>
      <c r="C350" s="2">
        <v>36355</v>
      </c>
      <c r="O350" s="21"/>
      <c r="P350" s="29">
        <v>1</v>
      </c>
      <c r="Q350" s="29">
        <v>1</v>
      </c>
      <c r="R350" s="29">
        <v>1</v>
      </c>
      <c r="S350" s="29">
        <v>1</v>
      </c>
      <c r="U350" s="28">
        <f>U342+P350</f>
        <v>20.972410714932771</v>
      </c>
      <c r="V350" s="28">
        <f>V342+Q350</f>
        <v>22.162708111987325</v>
      </c>
      <c r="W350" s="28">
        <f>W342+R350</f>
        <v>22.163418666597046</v>
      </c>
      <c r="X350" s="28">
        <f>X342+S350</f>
        <v>20.973121269542492</v>
      </c>
    </row>
    <row r="351" spans="1:24" x14ac:dyDescent="0.2">
      <c r="A351" s="1">
        <v>195</v>
      </c>
      <c r="B351" s="1" t="s">
        <v>6</v>
      </c>
      <c r="C351" s="2">
        <v>36355</v>
      </c>
      <c r="O351" s="21"/>
      <c r="U351" s="6"/>
      <c r="V351" s="6"/>
      <c r="W351" s="6"/>
      <c r="X351" s="6"/>
    </row>
    <row r="352" spans="1:24" ht="13.5" thickBot="1" x14ac:dyDescent="0.25">
      <c r="A352" s="20"/>
      <c r="B352" s="20"/>
      <c r="C352" s="20"/>
      <c r="D352" s="12"/>
      <c r="E352" s="12"/>
      <c r="F352" s="12"/>
      <c r="G352" s="12"/>
      <c r="H352" s="15"/>
      <c r="I352" s="12"/>
      <c r="J352" s="40"/>
      <c r="K352" s="15"/>
      <c r="L352" s="12"/>
      <c r="M352" s="40"/>
      <c r="N352" s="12"/>
      <c r="O352" s="18"/>
      <c r="P352" s="12" t="s">
        <v>174</v>
      </c>
      <c r="Q352" s="12"/>
      <c r="R352" s="11">
        <f>AVERAGE(P347:S350)</f>
        <v>1</v>
      </c>
      <c r="S352" s="12"/>
      <c r="T352" s="12"/>
      <c r="U352" s="12" t="s">
        <v>173</v>
      </c>
      <c r="V352" s="12"/>
      <c r="W352" s="12"/>
      <c r="X352" s="11">
        <f>AVERAGE(U347:X350)</f>
        <v>21.579978192911383</v>
      </c>
    </row>
    <row r="353" spans="1:24" x14ac:dyDescent="0.2">
      <c r="D353" s="26"/>
      <c r="E353" s="26"/>
      <c r="F353" s="38"/>
      <c r="G353" s="37"/>
      <c r="H353" s="25"/>
      <c r="I353" s="6"/>
      <c r="J353" s="36"/>
      <c r="K353" s="35"/>
      <c r="M353" s="34"/>
      <c r="N353" s="33"/>
      <c r="O353" s="32"/>
      <c r="P353" s="31"/>
      <c r="Q353" s="31"/>
      <c r="R353" s="31"/>
      <c r="S353" s="31"/>
      <c r="T353" s="31"/>
    </row>
    <row r="354" spans="1:24" x14ac:dyDescent="0.2">
      <c r="A354" s="1">
        <v>197</v>
      </c>
      <c r="B354" s="1" t="s">
        <v>1</v>
      </c>
      <c r="C354" s="2">
        <v>36357</v>
      </c>
      <c r="D354" s="26" t="s">
        <v>179</v>
      </c>
      <c r="E354" s="26">
        <v>48</v>
      </c>
      <c r="F354" s="27">
        <v>2184600</v>
      </c>
      <c r="G354" s="39">
        <v>2185300</v>
      </c>
      <c r="H354" s="25">
        <v>12</v>
      </c>
      <c r="I354" s="6" t="s">
        <v>178</v>
      </c>
      <c r="J354" s="24">
        <v>5</v>
      </c>
      <c r="K354" s="9">
        <v>12</v>
      </c>
      <c r="L354" s="6" t="s">
        <v>178</v>
      </c>
      <c r="M354" s="24">
        <v>9</v>
      </c>
      <c r="N354" s="22">
        <f>IF(H354=K354,M354-J354,60-(J354-M354))</f>
        <v>4</v>
      </c>
      <c r="O354" s="30">
        <f>(G354-F354)/N354</f>
        <v>175</v>
      </c>
      <c r="P354" s="6"/>
      <c r="Q354" s="6"/>
      <c r="R354" s="6"/>
      <c r="S354" s="6"/>
      <c r="U354" s="6"/>
      <c r="V354" s="6"/>
      <c r="W354" s="6"/>
      <c r="X354" s="6"/>
    </row>
    <row r="355" spans="1:24" x14ac:dyDescent="0.2">
      <c r="A355" s="1">
        <v>197</v>
      </c>
      <c r="B355" s="1" t="s">
        <v>1</v>
      </c>
      <c r="C355" s="2">
        <v>36357</v>
      </c>
      <c r="D355" s="26">
        <v>1</v>
      </c>
      <c r="E355" s="26">
        <v>48</v>
      </c>
      <c r="F355" s="27">
        <v>2182400</v>
      </c>
      <c r="G355" s="26">
        <f>F354</f>
        <v>2184600</v>
      </c>
      <c r="H355" s="25">
        <v>11</v>
      </c>
      <c r="I355" s="6" t="s">
        <v>178</v>
      </c>
      <c r="J355" s="24">
        <v>53</v>
      </c>
      <c r="K355" s="9">
        <f>H354</f>
        <v>12</v>
      </c>
      <c r="L355" s="6" t="s">
        <v>178</v>
      </c>
      <c r="M355" s="23">
        <f>J354</f>
        <v>5</v>
      </c>
      <c r="N355" s="22">
        <f>IF(H355=K355,M355-J355,60-(J355-M355))</f>
        <v>12</v>
      </c>
      <c r="O355" s="30">
        <f>(G355-F355)/N355</f>
        <v>183.33333333333334</v>
      </c>
      <c r="P355" s="29">
        <f>($G355-$F355)/7.48/($AF$49*$E355/$AE$43)*12</f>
        <v>0.29701182686427408</v>
      </c>
      <c r="Q355" s="29">
        <f>($G355-$F355)/7.48/($AF$49*$E355/$AE$43)*12</f>
        <v>0.29701182686427408</v>
      </c>
      <c r="R355" s="29"/>
      <c r="S355" s="29"/>
      <c r="U355" s="28">
        <f>U347+P355</f>
        <v>21.324049349464477</v>
      </c>
      <c r="V355" s="28">
        <f>V347+Q355</f>
        <v>22.522285741891189</v>
      </c>
      <c r="W355" s="28">
        <f>W347+R355</f>
        <v>21.043380278623836</v>
      </c>
      <c r="X355" s="28">
        <f>X347+S355</f>
        <v>22.241616671050547</v>
      </c>
    </row>
    <row r="356" spans="1:24" x14ac:dyDescent="0.2">
      <c r="A356" s="1">
        <v>197</v>
      </c>
      <c r="B356" s="1" t="s">
        <v>1</v>
      </c>
      <c r="C356" s="2">
        <v>36357</v>
      </c>
      <c r="D356" s="26">
        <v>2</v>
      </c>
      <c r="E356" s="26">
        <v>57</v>
      </c>
      <c r="F356" s="27">
        <v>2179700</v>
      </c>
      <c r="G356" s="26">
        <f>F355</f>
        <v>2182400</v>
      </c>
      <c r="H356" s="25">
        <v>11</v>
      </c>
      <c r="I356" s="6" t="s">
        <v>178</v>
      </c>
      <c r="J356" s="24">
        <v>42</v>
      </c>
      <c r="K356" s="9">
        <f>H355</f>
        <v>11</v>
      </c>
      <c r="L356" s="6" t="s">
        <v>178</v>
      </c>
      <c r="M356" s="23">
        <f>J355</f>
        <v>53</v>
      </c>
      <c r="N356" s="22">
        <f>IF(H356=K356,M356-J356,60-(J356-M356))</f>
        <v>11</v>
      </c>
      <c r="O356" s="30">
        <f>(G356-F356)/N356</f>
        <v>245.45454545454547</v>
      </c>
      <c r="P356" s="29"/>
      <c r="Q356" s="29"/>
      <c r="R356" s="29">
        <f>($G356-$F356)/7.48/($AF$50*$E356/$AE$43)*12</f>
        <v>0.29416960842538153</v>
      </c>
      <c r="S356" s="29">
        <f>($G356-$F356)/7.48/($AF$50*$E356/$AE$43)*12</f>
        <v>0.29416960842538153</v>
      </c>
      <c r="U356" s="28">
        <f>U348+P356</f>
        <v>22.658189666235415</v>
      </c>
      <c r="V356" s="28">
        <f>V348+Q356</f>
        <v>21.590462939358105</v>
      </c>
      <c r="W356" s="28">
        <f>W348+R356</f>
        <v>21.785214115306388</v>
      </c>
      <c r="X356" s="28">
        <f>X348+S356</f>
        <v>22.852940842183699</v>
      </c>
    </row>
    <row r="357" spans="1:24" x14ac:dyDescent="0.2">
      <c r="A357" s="1">
        <v>197</v>
      </c>
      <c r="B357" s="1" t="s">
        <v>1</v>
      </c>
      <c r="C357" s="2">
        <v>36357</v>
      </c>
      <c r="D357" s="26">
        <v>3</v>
      </c>
      <c r="E357" s="26">
        <v>48</v>
      </c>
      <c r="F357" s="27">
        <v>2177500</v>
      </c>
      <c r="G357" s="26">
        <f>F356</f>
        <v>2179700</v>
      </c>
      <c r="H357" s="25">
        <v>11</v>
      </c>
      <c r="I357" s="6" t="s">
        <v>178</v>
      </c>
      <c r="J357" s="24">
        <v>30</v>
      </c>
      <c r="K357" s="9">
        <f>H356</f>
        <v>11</v>
      </c>
      <c r="L357" s="6" t="s">
        <v>178</v>
      </c>
      <c r="M357" s="23">
        <f>J356</f>
        <v>42</v>
      </c>
      <c r="N357" s="22">
        <f>IF(H357=K357,M357-J357,60-(J357-M357))</f>
        <v>12</v>
      </c>
      <c r="O357" s="30">
        <f>(G357-F357)/N357</f>
        <v>183.33333333333334</v>
      </c>
      <c r="P357" s="29">
        <f>($G357-$F357)/7.48/($AF$50*$E357/$AE$43)*12</f>
        <v>0.28463633407826266</v>
      </c>
      <c r="Q357" s="29">
        <f>($G357-$F357)/7.48/($AF$50*$E357/$AE$43)*12</f>
        <v>0.28463633407826266</v>
      </c>
      <c r="R357" s="29"/>
      <c r="S357" s="29"/>
      <c r="U357" s="28">
        <f>U349+P357</f>
        <v>21.853408407316277</v>
      </c>
      <c r="V357" s="28">
        <f>V349+Q357</f>
        <v>20.742729565248649</v>
      </c>
      <c r="W357" s="28">
        <f>W349+R357</f>
        <v>21.628014563823683</v>
      </c>
      <c r="X357" s="28">
        <f>X349+S357</f>
        <v>20.517335721756055</v>
      </c>
    </row>
    <row r="358" spans="1:24" x14ac:dyDescent="0.2">
      <c r="A358" s="1">
        <v>197</v>
      </c>
      <c r="B358" s="1" t="s">
        <v>1</v>
      </c>
      <c r="C358" s="2">
        <v>36357</v>
      </c>
      <c r="D358" s="26">
        <v>4</v>
      </c>
      <c r="E358" s="26">
        <v>57</v>
      </c>
      <c r="F358" s="27">
        <v>2175300</v>
      </c>
      <c r="G358" s="26">
        <f>F357</f>
        <v>2177500</v>
      </c>
      <c r="H358" s="25">
        <v>11</v>
      </c>
      <c r="I358" s="6" t="s">
        <v>178</v>
      </c>
      <c r="J358" s="24">
        <v>18</v>
      </c>
      <c r="K358" s="9">
        <f>H357</f>
        <v>11</v>
      </c>
      <c r="L358" s="6" t="s">
        <v>178</v>
      </c>
      <c r="M358" s="23">
        <f>J357</f>
        <v>30</v>
      </c>
      <c r="N358" s="22">
        <f>IF(H358=K358,M358-J358,60-(J358-M358))</f>
        <v>12</v>
      </c>
      <c r="O358" s="30">
        <f>(G358-F358)/N358</f>
        <v>183.33333333333334</v>
      </c>
      <c r="P358" s="29"/>
      <c r="Q358" s="29"/>
      <c r="R358" s="29">
        <f>($G358-$F358)/7.48/($AF$50*$E358/$AE$43)*12</f>
        <v>0.23969375501327389</v>
      </c>
      <c r="S358" s="29">
        <f>($G358-$F358)/7.48/($AF$50*$E358/$AE$43)*12</f>
        <v>0.23969375501327389</v>
      </c>
      <c r="U358" s="28">
        <f>U350+P358</f>
        <v>20.972410714932771</v>
      </c>
      <c r="V358" s="28">
        <f>V350+Q358</f>
        <v>22.162708111987325</v>
      </c>
      <c r="W358" s="28">
        <f>W350+R358</f>
        <v>22.40311242161032</v>
      </c>
      <c r="X358" s="28">
        <f>X350+S358</f>
        <v>21.212815024555766</v>
      </c>
    </row>
    <row r="359" spans="1:24" x14ac:dyDescent="0.2">
      <c r="A359" s="1">
        <v>197</v>
      </c>
      <c r="B359" s="1" t="s">
        <v>1</v>
      </c>
      <c r="C359" s="2">
        <v>36357</v>
      </c>
      <c r="D359" s="26" t="s">
        <v>180</v>
      </c>
      <c r="E359" s="26">
        <v>57</v>
      </c>
      <c r="F359" s="27">
        <v>2173200</v>
      </c>
      <c r="G359" s="26">
        <f>F358</f>
        <v>2175300</v>
      </c>
      <c r="H359" s="25">
        <v>11</v>
      </c>
      <c r="I359" s="6" t="s">
        <v>178</v>
      </c>
      <c r="J359" s="24">
        <v>13</v>
      </c>
      <c r="K359" s="9">
        <f>H358</f>
        <v>11</v>
      </c>
      <c r="L359" s="6" t="s">
        <v>178</v>
      </c>
      <c r="M359" s="23">
        <f>J358</f>
        <v>18</v>
      </c>
      <c r="N359" s="22">
        <f>IF(H359=K359,M359-J359,60-(J359-M359))</f>
        <v>5</v>
      </c>
      <c r="O359" s="21"/>
      <c r="U359" s="6"/>
      <c r="V359" s="6"/>
      <c r="W359" s="6"/>
      <c r="X359" s="6"/>
    </row>
    <row r="360" spans="1:24" ht="13.5" thickBot="1" x14ac:dyDescent="0.25">
      <c r="A360" s="20"/>
      <c r="B360" s="20"/>
      <c r="C360" s="20"/>
      <c r="D360" s="18"/>
      <c r="E360" s="18"/>
      <c r="F360" s="19"/>
      <c r="G360" s="18"/>
      <c r="H360" s="17"/>
      <c r="I360" s="12"/>
      <c r="J360" s="16"/>
      <c r="K360" s="15"/>
      <c r="L360" s="12"/>
      <c r="M360" s="14"/>
      <c r="N360" s="12" t="s">
        <v>175</v>
      </c>
      <c r="O360" s="13">
        <f>(G357-F358)/(SUM(N357:N358))</f>
        <v>183.33333333333334</v>
      </c>
      <c r="P360" s="12" t="s">
        <v>174</v>
      </c>
      <c r="Q360" s="12"/>
      <c r="R360" s="11">
        <f>AVERAGE(P355:S358)</f>
        <v>0.27887788109529804</v>
      </c>
      <c r="S360" s="12"/>
      <c r="T360" s="12"/>
      <c r="U360" s="12" t="s">
        <v>173</v>
      </c>
      <c r="V360" s="12"/>
      <c r="W360" s="12"/>
      <c r="X360" s="11">
        <f>AVERAGE(U355:X358)</f>
        <v>21.719417133459036</v>
      </c>
    </row>
    <row r="361" spans="1:24" x14ac:dyDescent="0.2">
      <c r="D361" s="26"/>
      <c r="E361" s="26"/>
      <c r="F361" s="38"/>
      <c r="G361" s="37"/>
      <c r="H361" s="25"/>
      <c r="I361" s="6"/>
      <c r="J361" s="36"/>
      <c r="K361" s="35"/>
      <c r="M361" s="34"/>
      <c r="N361" s="33"/>
      <c r="O361" s="32"/>
      <c r="P361" s="31"/>
      <c r="Q361" s="31"/>
      <c r="R361" s="31"/>
      <c r="S361" s="31"/>
      <c r="T361" s="31"/>
    </row>
    <row r="362" spans="1:24" x14ac:dyDescent="0.2">
      <c r="A362" s="1">
        <v>197</v>
      </c>
      <c r="B362" s="1" t="s">
        <v>1</v>
      </c>
      <c r="C362" s="2">
        <v>36357</v>
      </c>
      <c r="D362" s="26" t="s">
        <v>180</v>
      </c>
      <c r="E362" s="26">
        <v>57</v>
      </c>
      <c r="F362" s="27">
        <v>2185300</v>
      </c>
      <c r="G362" s="26">
        <f>F363</f>
        <v>2187200</v>
      </c>
      <c r="H362" s="9">
        <v>12</v>
      </c>
      <c r="I362" s="6" t="s">
        <v>178</v>
      </c>
      <c r="J362" s="24">
        <v>21</v>
      </c>
      <c r="K362" s="9">
        <f>H363</f>
        <v>12</v>
      </c>
      <c r="L362" s="6" t="s">
        <v>178</v>
      </c>
      <c r="M362" s="24">
        <f>J363</f>
        <v>29</v>
      </c>
      <c r="N362" s="22">
        <f>IF(H362=K362,M362-J362,60-(J362-M362))</f>
        <v>8</v>
      </c>
      <c r="O362" s="30">
        <f>(G362-F362)/N362</f>
        <v>237.5</v>
      </c>
      <c r="P362" s="6"/>
      <c r="Q362" s="6"/>
      <c r="R362" s="6"/>
      <c r="S362" s="6"/>
      <c r="U362" s="6"/>
      <c r="V362" s="6"/>
      <c r="W362" s="6"/>
      <c r="X362" s="6"/>
    </row>
    <row r="363" spans="1:24" x14ac:dyDescent="0.2">
      <c r="A363" s="1">
        <v>197</v>
      </c>
      <c r="B363" s="1" t="s">
        <v>1</v>
      </c>
      <c r="C363" s="2">
        <v>36357</v>
      </c>
      <c r="D363" s="26">
        <v>1</v>
      </c>
      <c r="E363" s="26">
        <v>57</v>
      </c>
      <c r="F363" s="27">
        <v>2187200</v>
      </c>
      <c r="G363" s="26">
        <f>F364</f>
        <v>2189700</v>
      </c>
      <c r="H363" s="25">
        <v>12</v>
      </c>
      <c r="I363" s="6" t="s">
        <v>178</v>
      </c>
      <c r="J363" s="24">
        <v>29</v>
      </c>
      <c r="K363" s="9">
        <f>H364</f>
        <v>12</v>
      </c>
      <c r="L363" s="6" t="s">
        <v>178</v>
      </c>
      <c r="M363" s="23">
        <f>J364</f>
        <v>40</v>
      </c>
      <c r="N363" s="22">
        <f>IF(H363=K363,M363-J363,60-(J363-M363))</f>
        <v>11</v>
      </c>
      <c r="O363" s="30">
        <f>(G363-F363)/N363</f>
        <v>227.27272727272728</v>
      </c>
      <c r="P363" s="29"/>
      <c r="Q363" s="29"/>
      <c r="R363" s="29">
        <f>($G363-$F363)/7.48/($AF$49*$E363/$AE$43)*12</f>
        <v>0.28422184388925753</v>
      </c>
      <c r="S363" s="29">
        <f>($G363-$F363)/7.48/($AF$49*$E363/$AE$43)*12</f>
        <v>0.28422184388925753</v>
      </c>
      <c r="U363" s="28">
        <f>U355+P363</f>
        <v>21.324049349464477</v>
      </c>
      <c r="V363" s="28">
        <f>V355+Q363</f>
        <v>22.522285741891189</v>
      </c>
      <c r="W363" s="28">
        <f>W355+R363</f>
        <v>21.327602122513092</v>
      </c>
      <c r="X363" s="28">
        <f>X355+S363</f>
        <v>22.525838514939803</v>
      </c>
    </row>
    <row r="364" spans="1:24" x14ac:dyDescent="0.2">
      <c r="A364" s="1">
        <v>197</v>
      </c>
      <c r="B364" s="1" t="s">
        <v>1</v>
      </c>
      <c r="C364" s="2">
        <v>36357</v>
      </c>
      <c r="D364" s="26">
        <v>2</v>
      </c>
      <c r="E364" s="26">
        <v>48</v>
      </c>
      <c r="F364" s="27">
        <v>2189700</v>
      </c>
      <c r="G364" s="26">
        <f>F365</f>
        <v>2191900</v>
      </c>
      <c r="H364" s="25">
        <v>12</v>
      </c>
      <c r="I364" s="6" t="s">
        <v>178</v>
      </c>
      <c r="J364" s="24">
        <v>40</v>
      </c>
      <c r="K364" s="9">
        <f>H365</f>
        <v>12</v>
      </c>
      <c r="L364" s="6" t="s">
        <v>178</v>
      </c>
      <c r="M364" s="23">
        <f>J365</f>
        <v>49</v>
      </c>
      <c r="N364" s="22">
        <f>IF(H364=K364,M364-J364,60-(J364-M364))</f>
        <v>9</v>
      </c>
      <c r="O364" s="30">
        <f>(G364-F364)/N364</f>
        <v>244.44444444444446</v>
      </c>
      <c r="P364" s="29">
        <f>($G364-$F364)/7.48/($AF$50*$E364/$AE$43)*12</f>
        <v>0.28463633407826266</v>
      </c>
      <c r="Q364" s="29">
        <f>($G364-$F364)/7.48/($AF$50*$E364/$AE$43)*12</f>
        <v>0.28463633407826266</v>
      </c>
      <c r="R364" s="29"/>
      <c r="S364" s="29"/>
      <c r="U364" s="28">
        <f>U356+P364</f>
        <v>22.942826000313676</v>
      </c>
      <c r="V364" s="28">
        <f>V356+Q364</f>
        <v>21.875099273436366</v>
      </c>
      <c r="W364" s="28">
        <f>W356+R364</f>
        <v>21.785214115306388</v>
      </c>
      <c r="X364" s="28">
        <f>X356+S364</f>
        <v>22.852940842183699</v>
      </c>
    </row>
    <row r="365" spans="1:24" x14ac:dyDescent="0.2">
      <c r="A365" s="1">
        <v>197</v>
      </c>
      <c r="B365" s="1" t="s">
        <v>1</v>
      </c>
      <c r="C365" s="2">
        <v>36357</v>
      </c>
      <c r="D365" s="26">
        <v>3</v>
      </c>
      <c r="E365" s="26">
        <v>57</v>
      </c>
      <c r="F365" s="27">
        <v>2191900</v>
      </c>
      <c r="G365" s="26">
        <f>F366</f>
        <v>2194400</v>
      </c>
      <c r="H365" s="25">
        <v>12</v>
      </c>
      <c r="I365" s="6" t="s">
        <v>178</v>
      </c>
      <c r="J365" s="24">
        <v>49</v>
      </c>
      <c r="K365" s="9">
        <f>H366</f>
        <v>13</v>
      </c>
      <c r="L365" s="6" t="s">
        <v>178</v>
      </c>
      <c r="M365" s="23">
        <f>J366</f>
        <v>0</v>
      </c>
      <c r="N365" s="22">
        <f>IF(H365=K365,M365-J365,60-(J365-M365))</f>
        <v>11</v>
      </c>
      <c r="O365" s="30">
        <f>(G365-F365)/N365</f>
        <v>227.27272727272728</v>
      </c>
      <c r="P365" s="29"/>
      <c r="Q365" s="29"/>
      <c r="R365" s="29">
        <f>($G365-$F365)/7.48/($AF$50*$E365/$AE$43)*12</f>
        <v>0.27237926706053844</v>
      </c>
      <c r="S365" s="29">
        <f>($G365-$F365)/7.48/($AF$50*$E365/$AE$43)*12</f>
        <v>0.27237926706053844</v>
      </c>
      <c r="U365" s="28">
        <f>U357+P365</f>
        <v>21.853408407316277</v>
      </c>
      <c r="V365" s="28">
        <f>V357+Q365</f>
        <v>20.742729565248649</v>
      </c>
      <c r="W365" s="28">
        <f>W357+R365</f>
        <v>21.900393830884223</v>
      </c>
      <c r="X365" s="28">
        <f>X357+S365</f>
        <v>20.789714988816595</v>
      </c>
    </row>
    <row r="366" spans="1:24" x14ac:dyDescent="0.2">
      <c r="A366" s="1">
        <v>197</v>
      </c>
      <c r="B366" s="1" t="s">
        <v>1</v>
      </c>
      <c r="C366" s="2">
        <v>36357</v>
      </c>
      <c r="D366" s="26">
        <v>4</v>
      </c>
      <c r="E366" s="26">
        <v>48</v>
      </c>
      <c r="F366" s="27">
        <v>2194400</v>
      </c>
      <c r="G366" s="26">
        <f>F367</f>
        <v>2196600</v>
      </c>
      <c r="H366" s="25">
        <v>13</v>
      </c>
      <c r="I366" s="6" t="s">
        <v>178</v>
      </c>
      <c r="J366" s="24">
        <v>0</v>
      </c>
      <c r="K366" s="9">
        <f>H367</f>
        <v>13</v>
      </c>
      <c r="L366" s="6" t="s">
        <v>178</v>
      </c>
      <c r="M366" s="23">
        <f>J367</f>
        <v>15</v>
      </c>
      <c r="N366" s="22">
        <f>IF(H366=K366,M366-J366,60-(J366-M366))</f>
        <v>15</v>
      </c>
      <c r="O366" s="30">
        <f>(G366-F366)/N366</f>
        <v>146.66666666666666</v>
      </c>
      <c r="P366" s="29">
        <f>($G366-$F366)/7.48/($AF$50*$E366/$AE$43)*12</f>
        <v>0.28463633407826266</v>
      </c>
      <c r="Q366" s="29">
        <f>($G366-$F366)/7.48/($AF$50*$E366/$AE$43)*12</f>
        <v>0.28463633407826266</v>
      </c>
      <c r="R366" s="29"/>
      <c r="S366" s="29"/>
      <c r="U366" s="28">
        <f>U358+P366</f>
        <v>21.257047049011032</v>
      </c>
      <c r="V366" s="28">
        <f>V358+Q366</f>
        <v>22.447344446065586</v>
      </c>
      <c r="W366" s="28">
        <f>W358+R366</f>
        <v>22.40311242161032</v>
      </c>
      <c r="X366" s="28">
        <f>X358+S366</f>
        <v>21.212815024555766</v>
      </c>
    </row>
    <row r="367" spans="1:24" x14ac:dyDescent="0.2">
      <c r="A367" s="1">
        <v>197</v>
      </c>
      <c r="B367" s="1" t="s">
        <v>1</v>
      </c>
      <c r="C367" s="2">
        <v>36357</v>
      </c>
      <c r="D367" s="26" t="s">
        <v>179</v>
      </c>
      <c r="E367" s="26">
        <v>48</v>
      </c>
      <c r="F367" s="27">
        <v>2196600</v>
      </c>
      <c r="G367" s="26">
        <v>2198500</v>
      </c>
      <c r="H367" s="25">
        <v>13</v>
      </c>
      <c r="I367" s="6" t="s">
        <v>178</v>
      </c>
      <c r="J367" s="24">
        <v>15</v>
      </c>
      <c r="K367" s="9">
        <v>20</v>
      </c>
      <c r="L367" s="6" t="s">
        <v>178</v>
      </c>
      <c r="M367" s="23">
        <v>19</v>
      </c>
      <c r="N367" s="22">
        <f>IF(H367=K367,M367-J367,60-(J367-M367))</f>
        <v>64</v>
      </c>
      <c r="O367" s="21"/>
      <c r="U367" s="6"/>
      <c r="V367" s="6"/>
      <c r="W367" s="6"/>
      <c r="X367" s="6"/>
    </row>
    <row r="368" spans="1:24" ht="13.5" thickBot="1" x14ac:dyDescent="0.25">
      <c r="A368" s="20"/>
      <c r="B368" s="20"/>
      <c r="C368" s="20"/>
      <c r="D368" s="18"/>
      <c r="E368" s="18"/>
      <c r="F368" s="19"/>
      <c r="G368" s="18"/>
      <c r="H368" s="17"/>
      <c r="I368" s="12"/>
      <c r="J368" s="16"/>
      <c r="K368" s="15"/>
      <c r="L368" s="12"/>
      <c r="M368" s="14"/>
      <c r="N368" s="12" t="s">
        <v>175</v>
      </c>
      <c r="O368" s="13">
        <f>(G364-F363)/(SUM(N363:N364))</f>
        <v>235</v>
      </c>
      <c r="P368" s="12" t="s">
        <v>174</v>
      </c>
      <c r="Q368" s="12"/>
      <c r="R368" s="11">
        <f>AVERAGE(P363:S366)</f>
        <v>0.28146844477658034</v>
      </c>
      <c r="S368" s="12"/>
      <c r="T368" s="12"/>
      <c r="U368" s="12" t="s">
        <v>173</v>
      </c>
      <c r="V368" s="12"/>
      <c r="W368" s="12"/>
      <c r="X368" s="11">
        <f>AVERAGE(U363:X366)</f>
        <v>21.860151355847318</v>
      </c>
    </row>
    <row r="369" spans="1:24" x14ac:dyDescent="0.2">
      <c r="D369" s="26"/>
      <c r="E369" s="26"/>
      <c r="F369" s="38"/>
      <c r="G369" s="37"/>
      <c r="H369" s="25"/>
      <c r="I369" s="6"/>
      <c r="J369" s="36"/>
      <c r="K369" s="35"/>
      <c r="M369" s="34"/>
      <c r="N369" s="33"/>
      <c r="O369" s="32"/>
      <c r="P369" s="31"/>
      <c r="Q369" s="31"/>
      <c r="R369" s="31"/>
      <c r="S369" s="31"/>
      <c r="T369" s="31"/>
    </row>
    <row r="370" spans="1:24" x14ac:dyDescent="0.2">
      <c r="A370" s="1">
        <v>203</v>
      </c>
      <c r="B370" s="1" t="s">
        <v>129</v>
      </c>
      <c r="C370" s="2">
        <v>36363</v>
      </c>
      <c r="D370" s="26" t="s">
        <v>180</v>
      </c>
      <c r="E370" s="26">
        <v>105</v>
      </c>
      <c r="F370" s="27">
        <v>2210300</v>
      </c>
      <c r="G370" s="26">
        <f>F371</f>
        <v>2210300</v>
      </c>
      <c r="H370" s="9">
        <v>14</v>
      </c>
      <c r="I370" s="6" t="s">
        <v>178</v>
      </c>
      <c r="J370" s="24">
        <v>48</v>
      </c>
      <c r="K370" s="9">
        <f>H371</f>
        <v>14</v>
      </c>
      <c r="L370" s="6" t="s">
        <v>178</v>
      </c>
      <c r="M370" s="24">
        <f>J371</f>
        <v>48</v>
      </c>
      <c r="N370" s="22">
        <f>IF(H370=K370,M370-J370,60-(J370-M370))</f>
        <v>0</v>
      </c>
      <c r="O370" s="30" t="e">
        <f>(G370-F370)/N370</f>
        <v>#DIV/0!</v>
      </c>
      <c r="P370" s="6"/>
      <c r="Q370" s="6"/>
      <c r="R370" s="6"/>
      <c r="S370" s="6"/>
      <c r="U370" s="6"/>
      <c r="V370" s="6"/>
      <c r="W370" s="6"/>
      <c r="X370" s="6"/>
    </row>
    <row r="371" spans="1:24" x14ac:dyDescent="0.2">
      <c r="A371" s="1">
        <v>203</v>
      </c>
      <c r="B371" s="1" t="s">
        <v>129</v>
      </c>
      <c r="C371" s="2">
        <v>36363</v>
      </c>
      <c r="D371" s="26">
        <v>1</v>
      </c>
      <c r="E371" s="26">
        <v>105</v>
      </c>
      <c r="F371" s="27">
        <v>2210300</v>
      </c>
      <c r="G371" s="26">
        <f>F372</f>
        <v>2229300</v>
      </c>
      <c r="H371" s="25">
        <v>14</v>
      </c>
      <c r="I371" s="6" t="s">
        <v>178</v>
      </c>
      <c r="J371" s="24">
        <v>48</v>
      </c>
      <c r="K371" s="9">
        <f>H372</f>
        <v>15</v>
      </c>
      <c r="L371" s="6" t="s">
        <v>178</v>
      </c>
      <c r="M371" s="23">
        <f>J372</f>
        <v>40</v>
      </c>
      <c r="N371" s="22">
        <f>IF(H371=K371,M371-J371,60-(J371-M371))</f>
        <v>52</v>
      </c>
      <c r="O371" s="30">
        <f>(G371-F371)/N371</f>
        <v>365.38461538461536</v>
      </c>
      <c r="P371" s="29">
        <f>($G371-$F371)/7.48/($AF$49*$E371/$AE$43)*12</f>
        <v>1.1726181216459652</v>
      </c>
      <c r="Q371" s="29">
        <f>($G371-$F371)/7.48/($AF$49*$E371/$AE$43)*12</f>
        <v>1.1726181216459652</v>
      </c>
      <c r="R371" s="29">
        <f>($G371-$F371)/7.48/($AF$49*$E371/$AE$43)*12</f>
        <v>1.1726181216459652</v>
      </c>
      <c r="S371" s="29">
        <f>($G371-$F371)/7.48/($AF$49*$E371/$AE$43)*12</f>
        <v>1.1726181216459652</v>
      </c>
      <c r="U371" s="28">
        <f>U363+P371</f>
        <v>22.496667471110442</v>
      </c>
      <c r="V371" s="28">
        <f>V363+Q371</f>
        <v>23.694903863537153</v>
      </c>
      <c r="W371" s="28">
        <f>W363+R371</f>
        <v>22.500220244159056</v>
      </c>
      <c r="X371" s="28">
        <f>X363+S371</f>
        <v>23.698456636585767</v>
      </c>
    </row>
    <row r="372" spans="1:24" x14ac:dyDescent="0.2">
      <c r="A372" s="1">
        <v>203</v>
      </c>
      <c r="B372" s="1" t="s">
        <v>129</v>
      </c>
      <c r="C372" s="2">
        <v>36363</v>
      </c>
      <c r="D372" s="26">
        <v>2</v>
      </c>
      <c r="E372" s="26">
        <v>105</v>
      </c>
      <c r="F372" s="27">
        <v>2229300</v>
      </c>
      <c r="G372" s="26">
        <f>F373</f>
        <v>2248800</v>
      </c>
      <c r="H372" s="25">
        <v>15</v>
      </c>
      <c r="I372" s="6" t="s">
        <v>178</v>
      </c>
      <c r="J372" s="24">
        <v>40</v>
      </c>
      <c r="K372" s="9">
        <f>H373</f>
        <v>16</v>
      </c>
      <c r="L372" s="6" t="s">
        <v>178</v>
      </c>
      <c r="M372" s="23">
        <f>J373</f>
        <v>33</v>
      </c>
      <c r="N372" s="22">
        <f>IF(H372=K372,M372-J372,60-(J372-M372))</f>
        <v>53</v>
      </c>
      <c r="O372" s="30">
        <f>(G372-F372)/N372</f>
        <v>367.92452830188677</v>
      </c>
      <c r="P372" s="29">
        <f>($G372-$F372)/7.48/($AF$50*$E372/$AE$43)*12</f>
        <v>1.1533316393820514</v>
      </c>
      <c r="Q372" s="29">
        <f>($G372-$F372)/7.48/($AF$50*$E372/$AE$43)*12</f>
        <v>1.1533316393820514</v>
      </c>
      <c r="R372" s="29">
        <f>($G372-$F372)/7.48/($AF$50*$E372/$AE$43)*12</f>
        <v>1.1533316393820514</v>
      </c>
      <c r="S372" s="29">
        <f>($G372-$F372)/7.48/($AF$50*$E372/$AE$43)*12</f>
        <v>1.1533316393820514</v>
      </c>
      <c r="U372" s="28">
        <f>U364+P372</f>
        <v>24.096157639695729</v>
      </c>
      <c r="V372" s="28">
        <f>V364+Q372</f>
        <v>23.028430912818418</v>
      </c>
      <c r="W372" s="28">
        <f>W364+R372</f>
        <v>22.938545754688441</v>
      </c>
      <c r="X372" s="28">
        <f>X364+S372</f>
        <v>24.006272481565752</v>
      </c>
    </row>
    <row r="373" spans="1:24" x14ac:dyDescent="0.2">
      <c r="A373" s="1">
        <v>203</v>
      </c>
      <c r="B373" s="1" t="s">
        <v>129</v>
      </c>
      <c r="C373" s="2">
        <v>36363</v>
      </c>
      <c r="D373" s="26">
        <v>3</v>
      </c>
      <c r="E373" s="26">
        <v>105</v>
      </c>
      <c r="F373" s="27">
        <v>2248800</v>
      </c>
      <c r="G373" s="26">
        <f>F374</f>
        <v>2268200</v>
      </c>
      <c r="H373" s="25">
        <v>16</v>
      </c>
      <c r="I373" s="6" t="s">
        <v>178</v>
      </c>
      <c r="J373" s="24">
        <v>33</v>
      </c>
      <c r="K373" s="9">
        <f>H374</f>
        <v>17</v>
      </c>
      <c r="L373" s="6" t="s">
        <v>178</v>
      </c>
      <c r="M373" s="23">
        <f>J374</f>
        <v>30</v>
      </c>
      <c r="N373" s="22">
        <f>IF(H373=K373,M373-J373,60-(J373-M373))</f>
        <v>57</v>
      </c>
      <c r="O373" s="30">
        <f>(G373-F373)/N373</f>
        <v>340.35087719298247</v>
      </c>
      <c r="P373" s="29">
        <f>($G373-$F373)/7.48/($AF$50*$E373/$AE$43)*12</f>
        <v>1.147417118154451</v>
      </c>
      <c r="Q373" s="29">
        <f>($G373-$F373)/7.48/($AF$50*$E373/$AE$43)*12</f>
        <v>1.147417118154451</v>
      </c>
      <c r="R373" s="29">
        <f>($G373-$F373)/7.48/($AF$50*$E373/$AE$43)*12</f>
        <v>1.147417118154451</v>
      </c>
      <c r="S373" s="29">
        <f>($G373-$F373)/7.48/($AF$50*$E373/$AE$43)*12</f>
        <v>1.147417118154451</v>
      </c>
      <c r="U373" s="28">
        <f>U365+P373</f>
        <v>23.000825525470727</v>
      </c>
      <c r="V373" s="28">
        <f>V365+Q373</f>
        <v>21.890146683403099</v>
      </c>
      <c r="W373" s="28">
        <f>W365+R373</f>
        <v>23.047810949038674</v>
      </c>
      <c r="X373" s="28">
        <f>X365+S373</f>
        <v>21.937132106971045</v>
      </c>
    </row>
    <row r="374" spans="1:24" x14ac:dyDescent="0.2">
      <c r="A374" s="1">
        <v>203</v>
      </c>
      <c r="B374" s="1" t="s">
        <v>129</v>
      </c>
      <c r="C374" s="2">
        <v>36363</v>
      </c>
      <c r="D374" s="26">
        <v>4</v>
      </c>
      <c r="E374" s="26">
        <v>105</v>
      </c>
      <c r="F374" s="27">
        <v>2268200</v>
      </c>
      <c r="G374" s="26">
        <f>F375</f>
        <v>2291400</v>
      </c>
      <c r="H374" s="25">
        <v>17</v>
      </c>
      <c r="I374" s="6" t="s">
        <v>178</v>
      </c>
      <c r="J374" s="24">
        <v>30</v>
      </c>
      <c r="K374" s="9">
        <f>H375</f>
        <v>18</v>
      </c>
      <c r="L374" s="6" t="s">
        <v>178</v>
      </c>
      <c r="M374" s="23">
        <f>J375</f>
        <v>20</v>
      </c>
      <c r="N374" s="22">
        <f>IF(H374=K374,M374-J374,60-(J374-M374))</f>
        <v>50</v>
      </c>
      <c r="O374" s="30">
        <f>(G374-F374)/N374</f>
        <v>464</v>
      </c>
      <c r="P374" s="29">
        <f>($G374-$F374)/7.48/($AF$50*$E374/$AE$43)*12</f>
        <v>1.3721689248032614</v>
      </c>
      <c r="Q374" s="29">
        <f>($G374-$F374)/7.48/($AF$50*$E374/$AE$43)*12</f>
        <v>1.3721689248032614</v>
      </c>
      <c r="R374" s="29">
        <f>($G374-$F374)/7.48/($AF$50*$E374/$AE$43)*12</f>
        <v>1.3721689248032614</v>
      </c>
      <c r="S374" s="29">
        <f>($G374-$F374)/7.48/($AF$50*$E374/$AE$43)*12</f>
        <v>1.3721689248032614</v>
      </c>
      <c r="U374" s="28">
        <f>U366+P374</f>
        <v>22.629215973814294</v>
      </c>
      <c r="V374" s="28">
        <f>V366+Q374</f>
        <v>23.819513370868847</v>
      </c>
      <c r="W374" s="28">
        <f>W366+R374</f>
        <v>23.775281346413582</v>
      </c>
      <c r="X374" s="28">
        <f>X366+S374</f>
        <v>22.584983949359028</v>
      </c>
    </row>
    <row r="375" spans="1:24" x14ac:dyDescent="0.2">
      <c r="A375" s="1">
        <v>203</v>
      </c>
      <c r="B375" s="1" t="s">
        <v>129</v>
      </c>
      <c r="C375" s="2">
        <v>36363</v>
      </c>
      <c r="D375" s="26" t="s">
        <v>179</v>
      </c>
      <c r="E375" s="26">
        <v>105</v>
      </c>
      <c r="F375" s="27">
        <v>2291400</v>
      </c>
      <c r="G375" s="26">
        <v>2303000</v>
      </c>
      <c r="H375" s="25">
        <v>18</v>
      </c>
      <c r="I375" s="6" t="s">
        <v>178</v>
      </c>
      <c r="J375" s="24">
        <v>20</v>
      </c>
      <c r="K375" s="9">
        <v>18</v>
      </c>
      <c r="L375" s="6" t="s">
        <v>178</v>
      </c>
      <c r="M375" s="23">
        <v>30</v>
      </c>
      <c r="N375" s="22">
        <f>IF(H375=K375,M375-J375,60-(J375-M375))</f>
        <v>10</v>
      </c>
      <c r="O375" s="21"/>
      <c r="U375" s="6" t="s">
        <v>177</v>
      </c>
      <c r="V375" s="10">
        <f>AVERAGE(W371,U371,W372,V372,X373,V373,X374,U374)</f>
        <v>22.500667887040475</v>
      </c>
      <c r="W375" s="6" t="s">
        <v>176</v>
      </c>
      <c r="X375" s="10">
        <f>AVERAGE(V371,X371,X372,U372,U373,W373,W374,V374)</f>
        <v>23.642402726647028</v>
      </c>
    </row>
    <row r="376" spans="1:24" ht="13.5" thickBot="1" x14ac:dyDescent="0.25">
      <c r="A376" s="20"/>
      <c r="B376" s="20"/>
      <c r="C376" s="20"/>
      <c r="D376" s="18"/>
      <c r="E376" s="18"/>
      <c r="F376" s="19"/>
      <c r="G376" s="18"/>
      <c r="H376" s="17"/>
      <c r="I376" s="12"/>
      <c r="J376" s="16"/>
      <c r="K376" s="15"/>
      <c r="L376" s="12"/>
      <c r="M376" s="14"/>
      <c r="N376" s="12" t="s">
        <v>175</v>
      </c>
      <c r="O376" s="13">
        <f>(G372-F371)/(SUM(N371:N372))</f>
        <v>366.66666666666669</v>
      </c>
      <c r="P376" s="12" t="s">
        <v>174</v>
      </c>
      <c r="Q376" s="12"/>
      <c r="R376" s="11">
        <f>AVERAGE(P371:S374)</f>
        <v>1.2113839509964321</v>
      </c>
      <c r="S376" s="12"/>
      <c r="T376" s="12"/>
      <c r="U376" s="12" t="s">
        <v>173</v>
      </c>
      <c r="V376" s="12"/>
      <c r="W376" s="12"/>
      <c r="X376" s="11">
        <f>AVERAGE(U371:X374)</f>
        <v>23.071535306843749</v>
      </c>
    </row>
    <row r="377" spans="1:24" x14ac:dyDescent="0.2">
      <c r="D377" s="26"/>
      <c r="E377" s="26"/>
      <c r="F377" s="38"/>
      <c r="G377" s="37"/>
      <c r="H377" s="25"/>
      <c r="I377" s="6"/>
      <c r="J377" s="36"/>
      <c r="K377" s="35"/>
      <c r="M377" s="34"/>
      <c r="N377" s="33"/>
      <c r="O377" s="32"/>
      <c r="P377" s="31"/>
      <c r="Q377" s="31"/>
      <c r="R377" s="31"/>
      <c r="S377" s="31"/>
      <c r="T377" s="31"/>
    </row>
    <row r="378" spans="1:24" x14ac:dyDescent="0.2">
      <c r="A378" s="1">
        <v>204</v>
      </c>
      <c r="B378" s="1" t="s">
        <v>1</v>
      </c>
      <c r="C378" s="2">
        <v>36364</v>
      </c>
      <c r="D378" s="26" t="s">
        <v>179</v>
      </c>
      <c r="E378" s="26">
        <v>105</v>
      </c>
      <c r="F378" s="27">
        <v>2334000</v>
      </c>
      <c r="G378" s="39">
        <v>2337900</v>
      </c>
      <c r="H378" s="25">
        <v>16</v>
      </c>
      <c r="I378" s="6" t="s">
        <v>178</v>
      </c>
      <c r="J378" s="24">
        <v>13</v>
      </c>
      <c r="K378" s="9">
        <v>16</v>
      </c>
      <c r="L378" s="6" t="s">
        <v>178</v>
      </c>
      <c r="M378" s="24">
        <v>25</v>
      </c>
      <c r="N378" s="22">
        <f>IF(H378=K378,M378-J378,60-(J378-M378))</f>
        <v>12</v>
      </c>
      <c r="O378" s="30">
        <f>(G378-F378)/N378</f>
        <v>325</v>
      </c>
      <c r="P378" s="6"/>
      <c r="Q378" s="6"/>
      <c r="R378" s="6"/>
      <c r="S378" s="6"/>
      <c r="U378" s="6"/>
      <c r="V378" s="6"/>
      <c r="W378" s="6"/>
      <c r="X378" s="6"/>
    </row>
    <row r="379" spans="1:24" x14ac:dyDescent="0.2">
      <c r="A379" s="1">
        <v>204</v>
      </c>
      <c r="B379" s="1" t="s">
        <v>1</v>
      </c>
      <c r="C379" s="2">
        <v>36364</v>
      </c>
      <c r="D379" s="26">
        <v>1</v>
      </c>
      <c r="E379" s="26">
        <v>105</v>
      </c>
      <c r="F379" s="27">
        <v>2326500</v>
      </c>
      <c r="G379" s="26">
        <f>F378</f>
        <v>2334000</v>
      </c>
      <c r="H379" s="25">
        <v>15</v>
      </c>
      <c r="I379" s="6" t="s">
        <v>178</v>
      </c>
      <c r="J379" s="24">
        <v>51</v>
      </c>
      <c r="K379" s="9">
        <f>H378</f>
        <v>16</v>
      </c>
      <c r="L379" s="6" t="s">
        <v>178</v>
      </c>
      <c r="M379" s="23">
        <f>J378</f>
        <v>13</v>
      </c>
      <c r="N379" s="22">
        <f>IF(H379=K379,M379-J379,60-(J379-M379))</f>
        <v>22</v>
      </c>
      <c r="O379" s="30">
        <f>(G379-F379)/N379</f>
        <v>340.90909090909093</v>
      </c>
      <c r="P379" s="29">
        <f>($G379-$F379)/7.48/($AF$49*$E379/$AE$43)*12</f>
        <v>0.46287557433393367</v>
      </c>
      <c r="Q379" s="29">
        <f>($G379-$F379)/7.48/($AF$49*$E379/$AE$43)*12</f>
        <v>0.46287557433393367</v>
      </c>
      <c r="R379" s="29">
        <f>($G379-$F379)/7.48/($AF$49*$E379/$AE$43)*12</f>
        <v>0.46287557433393367</v>
      </c>
      <c r="S379" s="29">
        <f>($G379-$F379)/7.48/($AF$49*$E379/$AE$43)*12</f>
        <v>0.46287557433393367</v>
      </c>
      <c r="U379" s="28">
        <f>U371+P379</f>
        <v>22.959543045444377</v>
      </c>
      <c r="V379" s="28">
        <f>V371+Q379</f>
        <v>24.157779437871085</v>
      </c>
      <c r="W379" s="28">
        <f>W371+R379</f>
        <v>22.963095818492988</v>
      </c>
      <c r="X379" s="28">
        <f>X371+S379</f>
        <v>24.161332210919703</v>
      </c>
    </row>
    <row r="380" spans="1:24" x14ac:dyDescent="0.2">
      <c r="A380" s="1">
        <v>204</v>
      </c>
      <c r="B380" s="1" t="s">
        <v>1</v>
      </c>
      <c r="C380" s="2">
        <v>36364</v>
      </c>
      <c r="D380" s="26">
        <v>2</v>
      </c>
      <c r="E380" s="26">
        <v>105</v>
      </c>
      <c r="F380" s="27">
        <v>2318300</v>
      </c>
      <c r="G380" s="26">
        <f>F379</f>
        <v>2326500</v>
      </c>
      <c r="H380" s="25">
        <v>15</v>
      </c>
      <c r="I380" s="6" t="s">
        <v>178</v>
      </c>
      <c r="J380" s="24">
        <v>28</v>
      </c>
      <c r="K380" s="9">
        <f>H379</f>
        <v>15</v>
      </c>
      <c r="L380" s="6" t="s">
        <v>178</v>
      </c>
      <c r="M380" s="23">
        <f>J379</f>
        <v>51</v>
      </c>
      <c r="N380" s="22">
        <f>IF(H380=K380,M380-J380,60-(J380-M380))</f>
        <v>23</v>
      </c>
      <c r="O380" s="30">
        <f>(G380-F380)/N380</f>
        <v>356.52173913043481</v>
      </c>
      <c r="P380" s="29">
        <f>($G380-$F380)/7.48/($AF$50*$E380/$AE$43)*12</f>
        <v>0.48499074066322168</v>
      </c>
      <c r="Q380" s="29">
        <f>($G380-$F380)/7.48/($AF$50*$E380/$AE$43)*12</f>
        <v>0.48499074066322168</v>
      </c>
      <c r="R380" s="29">
        <f>($G380-$F380)/7.48/($AF$50*$E380/$AE$43)*12</f>
        <v>0.48499074066322168</v>
      </c>
      <c r="S380" s="29">
        <f>($G380-$F380)/7.48/($AF$50*$E380/$AE$43)*12</f>
        <v>0.48499074066322168</v>
      </c>
      <c r="U380" s="28">
        <f>U372+P380</f>
        <v>24.58114838035895</v>
      </c>
      <c r="V380" s="28">
        <f>V372+Q380</f>
        <v>23.51342165348164</v>
      </c>
      <c r="W380" s="28">
        <f>W372+R380</f>
        <v>23.423536495351662</v>
      </c>
      <c r="X380" s="28">
        <f>X372+S380</f>
        <v>24.491263222228973</v>
      </c>
    </row>
    <row r="381" spans="1:24" x14ac:dyDescent="0.2">
      <c r="A381" s="1">
        <v>204</v>
      </c>
      <c r="B381" s="1" t="s">
        <v>1</v>
      </c>
      <c r="C381" s="2">
        <v>36364</v>
      </c>
      <c r="D381" s="26">
        <v>3</v>
      </c>
      <c r="E381" s="26">
        <v>105</v>
      </c>
      <c r="F381" s="27">
        <v>2310700</v>
      </c>
      <c r="G381" s="26">
        <f>F380</f>
        <v>2318300</v>
      </c>
      <c r="H381" s="25">
        <v>15</v>
      </c>
      <c r="I381" s="6" t="s">
        <v>178</v>
      </c>
      <c r="J381" s="24">
        <v>8</v>
      </c>
      <c r="K381" s="9">
        <f>H380</f>
        <v>15</v>
      </c>
      <c r="L381" s="6" t="s">
        <v>178</v>
      </c>
      <c r="M381" s="23">
        <f>J380</f>
        <v>28</v>
      </c>
      <c r="N381" s="22">
        <f>IF(H381=K381,M381-J381,60-(J381-M381))</f>
        <v>20</v>
      </c>
      <c r="O381" s="30">
        <f>(G381-F381)/N381</f>
        <v>380</v>
      </c>
      <c r="P381" s="29">
        <f>($G381-$F381)/7.48/($AF$50*$E381/$AE$43)*12</f>
        <v>0.44950361329762006</v>
      </c>
      <c r="Q381" s="29">
        <f>($G381-$F381)/7.48/($AF$50*$E381/$AE$43)*12</f>
        <v>0.44950361329762006</v>
      </c>
      <c r="R381" s="29">
        <f>($G381-$F381)/7.48/($AF$50*$E381/$AE$43)*12</f>
        <v>0.44950361329762006</v>
      </c>
      <c r="S381" s="29">
        <f>($G381-$F381)/7.48/($AF$50*$E381/$AE$43)*12</f>
        <v>0.44950361329762006</v>
      </c>
      <c r="U381" s="28">
        <f>U373+P381</f>
        <v>23.450329138768346</v>
      </c>
      <c r="V381" s="28">
        <f>V373+Q381</f>
        <v>22.339650296700718</v>
      </c>
      <c r="W381" s="28">
        <f>W373+R381</f>
        <v>23.497314562336292</v>
      </c>
      <c r="X381" s="28">
        <f>X373+S381</f>
        <v>22.386635720268664</v>
      </c>
    </row>
    <row r="382" spans="1:24" x14ac:dyDescent="0.2">
      <c r="A382" s="1">
        <v>204</v>
      </c>
      <c r="B382" s="1" t="s">
        <v>1</v>
      </c>
      <c r="C382" s="2">
        <v>36364</v>
      </c>
      <c r="D382" s="26">
        <v>4</v>
      </c>
      <c r="E382" s="26">
        <v>105</v>
      </c>
      <c r="F382" s="27">
        <v>2303000</v>
      </c>
      <c r="G382" s="26">
        <f>F381</f>
        <v>2310700</v>
      </c>
      <c r="H382" s="25">
        <v>14</v>
      </c>
      <c r="I382" s="6" t="s">
        <v>178</v>
      </c>
      <c r="J382" s="24">
        <v>45</v>
      </c>
      <c r="K382" s="9">
        <f>H381</f>
        <v>15</v>
      </c>
      <c r="L382" s="6" t="s">
        <v>178</v>
      </c>
      <c r="M382" s="23">
        <f>J381</f>
        <v>8</v>
      </c>
      <c r="N382" s="22">
        <f>IF(H382=K382,M382-J382,60-(J382-M382))</f>
        <v>23</v>
      </c>
      <c r="O382" s="30">
        <f>(G382-F382)/N382</f>
        <v>334.78260869565219</v>
      </c>
      <c r="P382" s="29">
        <f>($G382-$F382)/7.48/($AF$50*$E382/$AE$43)*12</f>
        <v>0.45541813452522029</v>
      </c>
      <c r="Q382" s="29">
        <f>($G382-$F382)/7.48/($AF$50*$E382/$AE$43)*12</f>
        <v>0.45541813452522029</v>
      </c>
      <c r="R382" s="29">
        <f>($G382-$F382)/7.48/($AF$50*$E382/$AE$43)*12</f>
        <v>0.45541813452522029</v>
      </c>
      <c r="S382" s="29">
        <f>($G382-$F382)/7.48/($AF$50*$E382/$AE$43)*12</f>
        <v>0.45541813452522029</v>
      </c>
      <c r="U382" s="28">
        <f>U374+P382</f>
        <v>23.084634108339515</v>
      </c>
      <c r="V382" s="28">
        <f>V374+Q382</f>
        <v>24.274931505394068</v>
      </c>
      <c r="W382" s="28">
        <f>W374+R382</f>
        <v>24.230699480938803</v>
      </c>
      <c r="X382" s="28">
        <f>X374+S382</f>
        <v>23.040402083884249</v>
      </c>
    </row>
    <row r="383" spans="1:24" x14ac:dyDescent="0.2">
      <c r="A383" s="1">
        <v>204</v>
      </c>
      <c r="B383" s="1" t="s">
        <v>1</v>
      </c>
      <c r="C383" s="2">
        <v>36364</v>
      </c>
      <c r="D383" s="26" t="s">
        <v>180</v>
      </c>
      <c r="E383" s="26">
        <v>105</v>
      </c>
      <c r="F383" s="27">
        <v>2303000</v>
      </c>
      <c r="G383" s="26">
        <f>F382</f>
        <v>2303000</v>
      </c>
      <c r="H383" s="25">
        <v>14</v>
      </c>
      <c r="I383" s="6" t="s">
        <v>178</v>
      </c>
      <c r="J383" s="24">
        <v>45</v>
      </c>
      <c r="K383" s="9">
        <f>H382</f>
        <v>14</v>
      </c>
      <c r="L383" s="6" t="s">
        <v>178</v>
      </c>
      <c r="M383" s="23">
        <f>J382</f>
        <v>45</v>
      </c>
      <c r="N383" s="22">
        <f>IF(H383=K383,M383-J383,60-(J383-M383))</f>
        <v>0</v>
      </c>
      <c r="O383" s="21"/>
      <c r="U383" s="6" t="s">
        <v>177</v>
      </c>
      <c r="V383" s="10">
        <f>AVERAGE(W379,U379,W380,V380,X381,V381,X382,U382)</f>
        <v>22.963864902745478</v>
      </c>
      <c r="W383" s="6" t="s">
        <v>176</v>
      </c>
      <c r="X383" s="10">
        <f>AVERAGE(V379,X379,X380,U380,U381,W381,W382,V382)</f>
        <v>24.10559974235203</v>
      </c>
    </row>
    <row r="384" spans="1:24" ht="13.5" thickBot="1" x14ac:dyDescent="0.25">
      <c r="A384" s="20"/>
      <c r="B384" s="20"/>
      <c r="C384" s="20"/>
      <c r="D384" s="18"/>
      <c r="E384" s="18"/>
      <c r="F384" s="19"/>
      <c r="G384" s="18"/>
      <c r="H384" s="17"/>
      <c r="I384" s="12"/>
      <c r="J384" s="16"/>
      <c r="K384" s="15"/>
      <c r="L384" s="12"/>
      <c r="M384" s="14"/>
      <c r="N384" s="12" t="s">
        <v>175</v>
      </c>
      <c r="O384" s="13">
        <f>(G381-F382)/(SUM(N381:N382))</f>
        <v>355.81395348837208</v>
      </c>
      <c r="P384" s="12" t="s">
        <v>174</v>
      </c>
      <c r="Q384" s="12"/>
      <c r="R384" s="11">
        <f>AVERAGE(P379:S382)</f>
        <v>0.46319701570499883</v>
      </c>
      <c r="S384" s="12"/>
      <c r="T384" s="12"/>
      <c r="U384" s="12" t="s">
        <v>173</v>
      </c>
      <c r="V384" s="12"/>
      <c r="W384" s="12"/>
      <c r="X384" s="11">
        <f>AVERAGE(U379:X382)</f>
        <v>23.534732322548756</v>
      </c>
    </row>
    <row r="385" spans="1:24" x14ac:dyDescent="0.2">
      <c r="D385" s="26"/>
      <c r="E385" s="26"/>
      <c r="F385" s="38"/>
      <c r="G385" s="37"/>
      <c r="H385" s="25"/>
      <c r="I385" s="6"/>
      <c r="J385" s="36"/>
      <c r="K385" s="35"/>
      <c r="M385" s="34"/>
      <c r="N385" s="33"/>
      <c r="O385" s="32"/>
      <c r="P385" s="31"/>
      <c r="Q385" s="31"/>
      <c r="R385" s="31"/>
      <c r="S385" s="31"/>
      <c r="T385" s="31"/>
    </row>
    <row r="386" spans="1:24" x14ac:dyDescent="0.2">
      <c r="A386" s="1">
        <v>208</v>
      </c>
      <c r="B386" s="1" t="s">
        <v>10</v>
      </c>
      <c r="C386" s="2">
        <v>36368</v>
      </c>
      <c r="D386" s="26" t="s">
        <v>180</v>
      </c>
      <c r="E386" s="26">
        <v>53</v>
      </c>
      <c r="F386" s="27">
        <v>2337900</v>
      </c>
      <c r="G386" s="26">
        <f>F387</f>
        <v>2343900</v>
      </c>
      <c r="H386" s="9">
        <v>16</v>
      </c>
      <c r="I386" s="6" t="s">
        <v>178</v>
      </c>
      <c r="J386" s="24">
        <v>13</v>
      </c>
      <c r="K386" s="9">
        <f>H387</f>
        <v>16</v>
      </c>
      <c r="L386" s="6" t="s">
        <v>178</v>
      </c>
      <c r="M386" s="24">
        <f>J387</f>
        <v>41</v>
      </c>
      <c r="N386" s="22">
        <f>IF(H386=K386,M386-J386,60-(J386-M386))</f>
        <v>28</v>
      </c>
      <c r="O386" s="30">
        <f>(G386-F386)/N386</f>
        <v>214.28571428571428</v>
      </c>
      <c r="P386" s="6"/>
      <c r="Q386" s="6"/>
      <c r="R386" s="6"/>
      <c r="S386" s="6"/>
      <c r="U386" s="6"/>
      <c r="V386" s="6"/>
      <c r="W386" s="6"/>
      <c r="X386" s="6"/>
    </row>
    <row r="387" spans="1:24" x14ac:dyDescent="0.2">
      <c r="A387" s="1">
        <v>208</v>
      </c>
      <c r="B387" s="1" t="s">
        <v>10</v>
      </c>
      <c r="C387" s="2">
        <v>36368</v>
      </c>
      <c r="D387" s="26">
        <v>1</v>
      </c>
      <c r="E387" s="26">
        <v>53</v>
      </c>
      <c r="F387" s="27">
        <v>2343900</v>
      </c>
      <c r="G387" s="26">
        <f>F388</f>
        <v>2353600</v>
      </c>
      <c r="H387" s="25">
        <v>16</v>
      </c>
      <c r="I387" s="6" t="s">
        <v>178</v>
      </c>
      <c r="J387" s="24">
        <v>41</v>
      </c>
      <c r="K387" s="9">
        <f>H388</f>
        <v>17</v>
      </c>
      <c r="L387" s="6" t="s">
        <v>178</v>
      </c>
      <c r="M387" s="23">
        <f>J388</f>
        <v>30</v>
      </c>
      <c r="N387" s="22">
        <f>IF(H387=K387,M387-J387,60-(J387-M387))</f>
        <v>49</v>
      </c>
      <c r="O387" s="30">
        <f>(G387-F387)/N387</f>
        <v>197.9591836734694</v>
      </c>
      <c r="P387" s="29"/>
      <c r="Q387" s="29">
        <f>($G387-$F387)/7.48/($AF$49*$E387/$AE$43)*12</f>
        <v>1.1860094904631735</v>
      </c>
      <c r="R387" s="29"/>
      <c r="S387" s="29">
        <f>($G387-$F387)/7.48/($AF$49*$E387/$AE$43)*12</f>
        <v>1.1860094904631735</v>
      </c>
      <c r="U387" s="28">
        <f>U379+P387</f>
        <v>22.959543045444377</v>
      </c>
      <c r="V387" s="28">
        <f>V379+Q387</f>
        <v>25.343788928334259</v>
      </c>
      <c r="W387" s="28">
        <f>W379+R387</f>
        <v>22.963095818492988</v>
      </c>
      <c r="X387" s="28">
        <f>X379+S387</f>
        <v>25.347341701382877</v>
      </c>
    </row>
    <row r="388" spans="1:24" x14ac:dyDescent="0.2">
      <c r="A388" s="1">
        <v>208</v>
      </c>
      <c r="B388" s="1" t="s">
        <v>10</v>
      </c>
      <c r="C388" s="2">
        <v>36368</v>
      </c>
      <c r="D388" s="26">
        <v>2</v>
      </c>
      <c r="E388" s="26">
        <v>57</v>
      </c>
      <c r="F388" s="27">
        <v>2353600</v>
      </c>
      <c r="G388" s="26">
        <f>F389</f>
        <v>2362800</v>
      </c>
      <c r="H388" s="25">
        <v>17</v>
      </c>
      <c r="I388" s="6" t="s">
        <v>178</v>
      </c>
      <c r="J388" s="24">
        <v>30</v>
      </c>
      <c r="K388" s="9">
        <f>H389</f>
        <v>18</v>
      </c>
      <c r="L388" s="6" t="s">
        <v>178</v>
      </c>
      <c r="M388" s="23">
        <f>J389</f>
        <v>12</v>
      </c>
      <c r="N388" s="22">
        <f>IF(H388=K388,M388-J388,60-(J388-M388))</f>
        <v>42</v>
      </c>
      <c r="O388" s="30">
        <f>(G388-F388)/N388</f>
        <v>219.04761904761904</v>
      </c>
      <c r="P388" s="29">
        <f>($G388-$F388)/7.48/($AF$50*$E388/$AE$43)*12</f>
        <v>1.0023557027827814</v>
      </c>
      <c r="Q388" s="29"/>
      <c r="R388" s="29"/>
      <c r="S388" s="29">
        <f>($G388-$F388)/7.48/($AF$50*$E388/$AE$43)*12</f>
        <v>1.0023557027827814</v>
      </c>
      <c r="U388" s="28">
        <f>U380+P388</f>
        <v>25.583504083141733</v>
      </c>
      <c r="V388" s="28">
        <f>V380+Q388</f>
        <v>23.51342165348164</v>
      </c>
      <c r="W388" s="28">
        <f>W380+R388</f>
        <v>23.423536495351662</v>
      </c>
      <c r="X388" s="28">
        <f>X380+S388</f>
        <v>25.493618925011756</v>
      </c>
    </row>
    <row r="389" spans="1:24" x14ac:dyDescent="0.2">
      <c r="A389" s="1">
        <v>208</v>
      </c>
      <c r="B389" s="1" t="s">
        <v>10</v>
      </c>
      <c r="C389" s="2">
        <v>36368</v>
      </c>
      <c r="D389" s="26">
        <v>3</v>
      </c>
      <c r="E389" s="26">
        <v>52</v>
      </c>
      <c r="F389" s="27">
        <v>2362800</v>
      </c>
      <c r="G389" s="26">
        <f>F390</f>
        <v>2372200</v>
      </c>
      <c r="H389" s="25">
        <v>18</v>
      </c>
      <c r="I389" s="6" t="s">
        <v>178</v>
      </c>
      <c r="J389" s="24">
        <v>12</v>
      </c>
      <c r="K389" s="9">
        <f>H390</f>
        <v>18</v>
      </c>
      <c r="L389" s="6" t="s">
        <v>178</v>
      </c>
      <c r="M389" s="23">
        <f>J390</f>
        <v>59</v>
      </c>
      <c r="N389" s="22">
        <f>IF(H389=K389,M389-J389,60-(J389-M389))</f>
        <v>47</v>
      </c>
      <c r="O389" s="30">
        <f>(G389-F389)/N389</f>
        <v>200</v>
      </c>
      <c r="P389" s="29">
        <f>($G389-$F389)/7.48/($AF$50*$E389/$AE$43)*12</f>
        <v>1.1226216253156653</v>
      </c>
      <c r="Q389" s="29"/>
      <c r="R389" s="29">
        <f>($G389-$F389)/7.48/($AF$50*$E389/$AE$43)*12</f>
        <v>1.1226216253156653</v>
      </c>
      <c r="S389" s="29"/>
      <c r="U389" s="28">
        <f>U381+P389</f>
        <v>24.572950764084013</v>
      </c>
      <c r="V389" s="28">
        <f>V381+Q389</f>
        <v>22.339650296700718</v>
      </c>
      <c r="W389" s="28">
        <f>W381+R389</f>
        <v>24.619936187651959</v>
      </c>
      <c r="X389" s="28">
        <f>X381+S389</f>
        <v>22.386635720268664</v>
      </c>
    </row>
    <row r="390" spans="1:24" x14ac:dyDescent="0.2">
      <c r="A390" s="1">
        <v>208</v>
      </c>
      <c r="B390" s="1" t="s">
        <v>10</v>
      </c>
      <c r="C390" s="2">
        <v>36368</v>
      </c>
      <c r="D390" s="26">
        <v>4</v>
      </c>
      <c r="E390" s="26">
        <v>48</v>
      </c>
      <c r="F390" s="27">
        <v>2372200</v>
      </c>
      <c r="G390" s="26">
        <f>F391</f>
        <v>2380900</v>
      </c>
      <c r="H390" s="25">
        <v>18</v>
      </c>
      <c r="I390" s="6" t="s">
        <v>178</v>
      </c>
      <c r="J390" s="24">
        <v>59</v>
      </c>
      <c r="K390" s="9">
        <f>H391</f>
        <v>19</v>
      </c>
      <c r="L390" s="6" t="s">
        <v>178</v>
      </c>
      <c r="M390" s="23">
        <f>J391</f>
        <v>48</v>
      </c>
      <c r="N390" s="22">
        <f>IF(H390=K390,M390-J390,60-(J390-M390))</f>
        <v>49</v>
      </c>
      <c r="O390" s="30">
        <f>(G390-F390)/N390</f>
        <v>177.55102040816325</v>
      </c>
      <c r="P390" s="29"/>
      <c r="Q390" s="29">
        <f>($G390-$F390)/7.48/($AF$50*$E390/$AE$43)*12</f>
        <v>1.1256073211276751</v>
      </c>
      <c r="R390" s="29">
        <f>($G390-$F390)/7.48/($AF$50*$E390/$AE$43)*12</f>
        <v>1.1256073211276751</v>
      </c>
      <c r="S390" s="29"/>
      <c r="U390" s="28">
        <f>U382+P390</f>
        <v>23.084634108339515</v>
      </c>
      <c r="V390" s="28">
        <f>V382+Q390</f>
        <v>25.400538826521743</v>
      </c>
      <c r="W390" s="28">
        <f>W382+R390</f>
        <v>25.356306802066477</v>
      </c>
      <c r="X390" s="28">
        <f>X382+S390</f>
        <v>23.040402083884249</v>
      </c>
    </row>
    <row r="391" spans="1:24" x14ac:dyDescent="0.2">
      <c r="A391" s="1">
        <v>208</v>
      </c>
      <c r="B391" s="1" t="s">
        <v>10</v>
      </c>
      <c r="C391" s="2">
        <v>36368</v>
      </c>
      <c r="D391" s="26" t="s">
        <v>179</v>
      </c>
      <c r="E391" s="26">
        <v>48</v>
      </c>
      <c r="F391" s="27">
        <v>2380900</v>
      </c>
      <c r="G391" s="26">
        <v>2382700</v>
      </c>
      <c r="H391" s="25">
        <v>19</v>
      </c>
      <c r="I391" s="6" t="s">
        <v>178</v>
      </c>
      <c r="J391" s="24">
        <v>48</v>
      </c>
      <c r="K391" s="9">
        <v>19</v>
      </c>
      <c r="L391" s="6" t="s">
        <v>178</v>
      </c>
      <c r="M391" s="23">
        <v>58</v>
      </c>
      <c r="N391" s="22">
        <f>IF(H391=K391,M391-J391,60-(J391-M391))</f>
        <v>10</v>
      </c>
      <c r="O391" s="21"/>
      <c r="U391" s="6" t="s">
        <v>177</v>
      </c>
      <c r="V391" s="10">
        <f>AVERAGE(W387,U387,W388,V388,X389,V389,X390,U390)</f>
        <v>22.963864902745478</v>
      </c>
      <c r="W391" s="6" t="s">
        <v>176</v>
      </c>
      <c r="X391" s="10">
        <f>AVERAGE(V387,X387,X388,U388,U389,W389,W390,V390)</f>
        <v>25.214748277274353</v>
      </c>
    </row>
    <row r="392" spans="1:24" ht="13.5" thickBot="1" x14ac:dyDescent="0.25">
      <c r="A392" s="20"/>
      <c r="B392" s="20"/>
      <c r="C392" s="20"/>
      <c r="D392" s="18"/>
      <c r="E392" s="18"/>
      <c r="F392" s="19"/>
      <c r="G392" s="18"/>
      <c r="H392" s="17"/>
      <c r="I392" s="12"/>
      <c r="J392" s="16"/>
      <c r="K392" s="15"/>
      <c r="L392" s="12"/>
      <c r="M392" s="14"/>
      <c r="N392" s="12" t="s">
        <v>175</v>
      </c>
      <c r="O392" s="13">
        <f>(G388-F387)/(SUM(N387:N388))</f>
        <v>207.69230769230768</v>
      </c>
      <c r="P392" s="12" t="s">
        <v>174</v>
      </c>
      <c r="Q392" s="12"/>
      <c r="R392" s="11">
        <f>AVERAGE(P387:S390)</f>
        <v>1.109148534922324</v>
      </c>
      <c r="S392" s="12"/>
      <c r="T392" s="12"/>
      <c r="U392" s="12" t="s">
        <v>173</v>
      </c>
      <c r="V392" s="12"/>
      <c r="W392" s="12"/>
      <c r="X392" s="11">
        <f>AVERAGE(U387:X390)</f>
        <v>24.089306590009915</v>
      </c>
    </row>
    <row r="393" spans="1:24" x14ac:dyDescent="0.2">
      <c r="D393" s="26"/>
      <c r="E393" s="26"/>
      <c r="F393" s="38"/>
      <c r="G393" s="37"/>
      <c r="H393" s="25"/>
      <c r="I393" s="6"/>
      <c r="J393" s="36"/>
      <c r="K393" s="35"/>
      <c r="M393" s="34"/>
      <c r="N393" s="33"/>
      <c r="O393" s="32"/>
      <c r="P393" s="31"/>
      <c r="Q393" s="31"/>
      <c r="R393" s="31"/>
      <c r="S393" s="31"/>
      <c r="T393" s="31"/>
    </row>
    <row r="394" spans="1:24" x14ac:dyDescent="0.2">
      <c r="A394" s="1">
        <v>210</v>
      </c>
      <c r="B394" s="1" t="s">
        <v>129</v>
      </c>
      <c r="C394" s="2">
        <v>36370</v>
      </c>
      <c r="D394" s="26" t="s">
        <v>179</v>
      </c>
      <c r="E394" s="26">
        <v>105</v>
      </c>
      <c r="F394" s="27">
        <v>2488900</v>
      </c>
      <c r="G394" s="39">
        <v>2493500</v>
      </c>
      <c r="H394" s="25">
        <v>17</v>
      </c>
      <c r="I394" s="6" t="s">
        <v>178</v>
      </c>
      <c r="J394" s="24">
        <v>2</v>
      </c>
      <c r="K394" s="9">
        <v>17</v>
      </c>
      <c r="L394" s="6" t="s">
        <v>178</v>
      </c>
      <c r="M394" s="24">
        <v>15</v>
      </c>
      <c r="N394" s="22">
        <f>IF(H394=K394,M394-J394,60-(J394-M394))</f>
        <v>13</v>
      </c>
      <c r="O394" s="30">
        <f>(G394-F394)/N394</f>
        <v>353.84615384615387</v>
      </c>
      <c r="P394" s="6"/>
      <c r="Q394" s="6"/>
      <c r="R394" s="6"/>
      <c r="S394" s="6"/>
      <c r="U394" s="6"/>
      <c r="V394" s="6"/>
      <c r="W394" s="6"/>
      <c r="X394" s="6"/>
    </row>
    <row r="395" spans="1:24" x14ac:dyDescent="0.2">
      <c r="A395" s="1">
        <v>210</v>
      </c>
      <c r="B395" s="1" t="s">
        <v>129</v>
      </c>
      <c r="C395" s="2">
        <v>36370</v>
      </c>
      <c r="D395" s="26">
        <v>1</v>
      </c>
      <c r="E395" s="26">
        <v>105</v>
      </c>
      <c r="F395" s="27">
        <v>2464100</v>
      </c>
      <c r="G395" s="26">
        <f>F394</f>
        <v>2488900</v>
      </c>
      <c r="H395" s="25">
        <v>15</v>
      </c>
      <c r="I395" s="6" t="s">
        <v>178</v>
      </c>
      <c r="J395" s="24">
        <v>55</v>
      </c>
      <c r="K395" s="9">
        <f>H394</f>
        <v>17</v>
      </c>
      <c r="L395" s="6" t="s">
        <v>178</v>
      </c>
      <c r="M395" s="23">
        <f>J394</f>
        <v>2</v>
      </c>
      <c r="N395" s="22">
        <f>IF(H395=K395,M395-J395,((K395-H395)*60-((J395-M395))))</f>
        <v>67</v>
      </c>
      <c r="O395" s="30">
        <f>(G395-F395)/N395</f>
        <v>370.14925373134326</v>
      </c>
      <c r="P395" s="29">
        <f>($G395-$F395)/7.48/($AF$49*$E395/$AE$43)*12</f>
        <v>1.5305752324642072</v>
      </c>
      <c r="Q395" s="29">
        <f>($G395-$F395)/7.48/($AF$49*$E395/$AE$43)*12</f>
        <v>1.5305752324642072</v>
      </c>
      <c r="R395" s="29">
        <f>($G395-$F395)/7.48/($AF$49*$E395/$AE$43)*12</f>
        <v>1.5305752324642072</v>
      </c>
      <c r="S395" s="29">
        <f>($G395-$F395)/7.48/($AF$49*$E395/$AE$43)*12</f>
        <v>1.5305752324642072</v>
      </c>
      <c r="U395" s="28">
        <f>U387+P395</f>
        <v>24.490118277908586</v>
      </c>
      <c r="V395" s="28">
        <f>V387+Q395</f>
        <v>26.874364160798468</v>
      </c>
      <c r="W395" s="28">
        <f>W387+R395</f>
        <v>24.493671050957197</v>
      </c>
      <c r="X395" s="28">
        <f>X387+S395</f>
        <v>26.877916933847086</v>
      </c>
    </row>
    <row r="396" spans="1:24" x14ac:dyDescent="0.2">
      <c r="A396" s="1">
        <v>210</v>
      </c>
      <c r="B396" s="1" t="s">
        <v>129</v>
      </c>
      <c r="C396" s="2">
        <v>36370</v>
      </c>
      <c r="D396" s="26">
        <v>2</v>
      </c>
      <c r="E396" s="26">
        <v>105</v>
      </c>
      <c r="F396" s="27">
        <v>2439300</v>
      </c>
      <c r="G396" s="26">
        <f>F395</f>
        <v>2464100</v>
      </c>
      <c r="H396" s="25">
        <v>14</v>
      </c>
      <c r="I396" s="6" t="s">
        <v>178</v>
      </c>
      <c r="J396" s="24">
        <v>49</v>
      </c>
      <c r="K396" s="9">
        <f>H395</f>
        <v>15</v>
      </c>
      <c r="L396" s="6" t="s">
        <v>178</v>
      </c>
      <c r="M396" s="23">
        <f>J395</f>
        <v>55</v>
      </c>
      <c r="N396" s="22">
        <f>IF(H396=K396,M396-J396,60-(J396-M396))</f>
        <v>66</v>
      </c>
      <c r="O396" s="30">
        <f>(G396-F396)/N396</f>
        <v>375.75757575757575</v>
      </c>
      <c r="P396" s="29">
        <f>($G396-$F396)/7.48/($AF$50*$E396/$AE$43)*12</f>
        <v>1.4668012644448654</v>
      </c>
      <c r="Q396" s="29">
        <f>($G396-$F396)/7.48/($AF$50*$E396/$AE$43)*12</f>
        <v>1.4668012644448654</v>
      </c>
      <c r="R396" s="29">
        <f>($G396-$F396)/7.48/($AF$50*$E396/$AE$43)*12</f>
        <v>1.4668012644448654</v>
      </c>
      <c r="S396" s="29">
        <f>($G396-$F396)/7.48/($AF$50*$E396/$AE$43)*12</f>
        <v>1.4668012644448654</v>
      </c>
      <c r="U396" s="28">
        <f>U388+P396</f>
        <v>27.050305347586598</v>
      </c>
      <c r="V396" s="28">
        <f>V388+Q396</f>
        <v>24.980222917926504</v>
      </c>
      <c r="W396" s="28">
        <f>W388+R396</f>
        <v>24.890337759796527</v>
      </c>
      <c r="X396" s="28">
        <f>X388+S396</f>
        <v>26.96042018945662</v>
      </c>
    </row>
    <row r="397" spans="1:24" x14ac:dyDescent="0.2">
      <c r="A397" s="1">
        <v>210</v>
      </c>
      <c r="B397" s="1" t="s">
        <v>129</v>
      </c>
      <c r="C397" s="2">
        <v>36370</v>
      </c>
      <c r="D397" s="26">
        <v>3</v>
      </c>
      <c r="E397" s="26">
        <v>105</v>
      </c>
      <c r="F397" s="27">
        <v>2414500</v>
      </c>
      <c r="G397" s="26">
        <f>F396</f>
        <v>2439300</v>
      </c>
      <c r="H397" s="25">
        <v>13</v>
      </c>
      <c r="I397" s="6" t="s">
        <v>178</v>
      </c>
      <c r="J397" s="24">
        <v>42</v>
      </c>
      <c r="K397" s="9">
        <f>H396</f>
        <v>14</v>
      </c>
      <c r="L397" s="6" t="s">
        <v>178</v>
      </c>
      <c r="M397" s="23">
        <f>J396</f>
        <v>49</v>
      </c>
      <c r="N397" s="22">
        <f>IF(H397=K397,M397-J397,60-(J397-M397))</f>
        <v>67</v>
      </c>
      <c r="O397" s="30">
        <f>(G397-F397)/N397</f>
        <v>370.14925373134326</v>
      </c>
      <c r="P397" s="29">
        <f>($G397-$F397)/7.48/($AF$50*$E397/$AE$43)*12</f>
        <v>1.4668012644448654</v>
      </c>
      <c r="Q397" s="29">
        <f>($G397-$F397)/7.48/($AF$50*$E397/$AE$43)*12</f>
        <v>1.4668012644448654</v>
      </c>
      <c r="R397" s="29">
        <f>($G397-$F397)/7.48/($AF$50*$E397/$AE$43)*12</f>
        <v>1.4668012644448654</v>
      </c>
      <c r="S397" s="29">
        <f>($G397-$F397)/7.48/($AF$50*$E397/$AE$43)*12</f>
        <v>1.4668012644448654</v>
      </c>
      <c r="U397" s="28">
        <f>U389+P397</f>
        <v>26.039752028528877</v>
      </c>
      <c r="V397" s="28">
        <f>V389+Q397</f>
        <v>23.806451561145582</v>
      </c>
      <c r="W397" s="28">
        <f>W389+R397</f>
        <v>26.086737452096823</v>
      </c>
      <c r="X397" s="28">
        <f>X389+S397</f>
        <v>23.853436984713529</v>
      </c>
    </row>
    <row r="398" spans="1:24" x14ac:dyDescent="0.2">
      <c r="A398" s="1">
        <v>210</v>
      </c>
      <c r="B398" s="1" t="s">
        <v>129</v>
      </c>
      <c r="C398" s="2">
        <v>36370</v>
      </c>
      <c r="D398" s="26">
        <v>4</v>
      </c>
      <c r="E398" s="26">
        <v>105</v>
      </c>
      <c r="F398" s="27">
        <v>2389000</v>
      </c>
      <c r="G398" s="26">
        <f>F397</f>
        <v>2414500</v>
      </c>
      <c r="H398" s="25">
        <v>12</v>
      </c>
      <c r="I398" s="6" t="s">
        <v>178</v>
      </c>
      <c r="J398" s="24">
        <v>33</v>
      </c>
      <c r="K398" s="9">
        <f>H397</f>
        <v>13</v>
      </c>
      <c r="L398" s="6" t="s">
        <v>178</v>
      </c>
      <c r="M398" s="23">
        <f>J397</f>
        <v>42</v>
      </c>
      <c r="N398" s="22">
        <f>IF(H398=K398,M398-J398,60-(J398-M398))</f>
        <v>69</v>
      </c>
      <c r="O398" s="30">
        <f>(G398-F398)/N398</f>
        <v>369.56521739130437</v>
      </c>
      <c r="P398" s="29">
        <f>($G398-$F398)/7.48/($AF$50*$E398/$AE$43)*12</f>
        <v>1.5082029130380672</v>
      </c>
      <c r="Q398" s="29">
        <f>($G398-$F398)/7.48/($AF$50*$E398/$AE$43)*12</f>
        <v>1.5082029130380672</v>
      </c>
      <c r="R398" s="29">
        <f>($G398-$F398)/7.48/($AF$50*$E398/$AE$43)*12</f>
        <v>1.5082029130380672</v>
      </c>
      <c r="S398" s="29">
        <f>($G398-$F398)/7.48/($AF$50*$E398/$AE$43)*12</f>
        <v>1.5082029130380672</v>
      </c>
      <c r="U398" s="28">
        <f>U390+P398</f>
        <v>24.592837021377584</v>
      </c>
      <c r="V398" s="28">
        <f>V390+Q398</f>
        <v>26.908741739559808</v>
      </c>
      <c r="W398" s="28">
        <f>W390+R398</f>
        <v>26.864509715104546</v>
      </c>
      <c r="X398" s="28">
        <f>X390+S398</f>
        <v>24.548604996922315</v>
      </c>
    </row>
    <row r="399" spans="1:24" x14ac:dyDescent="0.2">
      <c r="A399" s="1">
        <v>210</v>
      </c>
      <c r="B399" s="1" t="s">
        <v>129</v>
      </c>
      <c r="C399" s="2">
        <v>36370</v>
      </c>
      <c r="D399" s="26" t="s">
        <v>180</v>
      </c>
      <c r="E399" s="26">
        <v>105</v>
      </c>
      <c r="F399" s="27">
        <v>2382700</v>
      </c>
      <c r="G399" s="26">
        <f>F398</f>
        <v>2389000</v>
      </c>
      <c r="H399" s="25">
        <v>12</v>
      </c>
      <c r="I399" s="6" t="s">
        <v>178</v>
      </c>
      <c r="J399" s="24">
        <v>16</v>
      </c>
      <c r="K399" s="9">
        <f>H398</f>
        <v>12</v>
      </c>
      <c r="L399" s="6" t="s">
        <v>178</v>
      </c>
      <c r="M399" s="23">
        <f>J398</f>
        <v>33</v>
      </c>
      <c r="N399" s="22">
        <f>IF(H399=K399,M399-J399,60-(J399-M399))</f>
        <v>17</v>
      </c>
      <c r="O399" s="21"/>
      <c r="U399" s="6" t="s">
        <v>177</v>
      </c>
      <c r="V399" s="10">
        <f>AVERAGE(W395,U395,W396,V396,X397,V397,X398,U398)</f>
        <v>24.456960071343477</v>
      </c>
      <c r="W399" s="6" t="s">
        <v>176</v>
      </c>
      <c r="X399" s="10">
        <f>AVERAGE(V395,X395,X396,U396,U397,W397,W398,V398)</f>
        <v>26.707843445872353</v>
      </c>
    </row>
    <row r="400" spans="1:24" ht="13.5" thickBot="1" x14ac:dyDescent="0.25">
      <c r="A400" s="20"/>
      <c r="B400" s="20"/>
      <c r="C400" s="20"/>
      <c r="D400" s="18"/>
      <c r="E400" s="18"/>
      <c r="F400" s="19"/>
      <c r="G400" s="18"/>
      <c r="H400" s="17"/>
      <c r="I400" s="12"/>
      <c r="J400" s="16"/>
      <c r="K400" s="15"/>
      <c r="L400" s="12"/>
      <c r="M400" s="14"/>
      <c r="N400" s="12" t="s">
        <v>175</v>
      </c>
      <c r="O400" s="13">
        <f>(G397-F398)/(SUM(N397:N398))</f>
        <v>369.85294117647061</v>
      </c>
      <c r="P400" s="12" t="s">
        <v>174</v>
      </c>
      <c r="Q400" s="12"/>
      <c r="R400" s="11">
        <f>AVERAGE(P395:S398)</f>
        <v>1.4930951685980012</v>
      </c>
      <c r="S400" s="12"/>
      <c r="T400" s="12"/>
      <c r="U400" s="12" t="s">
        <v>173</v>
      </c>
      <c r="V400" s="12"/>
      <c r="W400" s="12"/>
      <c r="X400" s="11">
        <f>AVERAGE(U395:X398)</f>
        <v>25.582401758607915</v>
      </c>
    </row>
    <row r="401" spans="1:33" ht="13.5" thickBot="1" x14ac:dyDescent="0.25">
      <c r="D401" s="26"/>
      <c r="E401" s="26"/>
      <c r="F401" s="38"/>
      <c r="G401" s="37"/>
      <c r="H401" s="25"/>
      <c r="I401" s="6"/>
      <c r="J401" s="36"/>
      <c r="K401" s="35"/>
      <c r="M401" s="34"/>
      <c r="N401" s="33"/>
      <c r="O401" s="32"/>
      <c r="P401" s="31"/>
      <c r="Q401" s="31"/>
      <c r="R401" s="31"/>
      <c r="S401" s="31"/>
      <c r="T401" s="31"/>
      <c r="Z401" s="31" t="s">
        <v>198</v>
      </c>
    </row>
    <row r="402" spans="1:33" x14ac:dyDescent="0.2">
      <c r="A402" s="1">
        <v>214</v>
      </c>
      <c r="B402" s="1" t="s">
        <v>14</v>
      </c>
      <c r="C402" s="2">
        <v>36374</v>
      </c>
      <c r="D402" s="26" t="s">
        <v>180</v>
      </c>
      <c r="E402" s="26">
        <v>52</v>
      </c>
      <c r="F402" s="27">
        <v>2493500</v>
      </c>
      <c r="G402" s="26">
        <f>F403</f>
        <v>2497400</v>
      </c>
      <c r="H402" s="9">
        <v>9</v>
      </c>
      <c r="I402" s="6" t="s">
        <v>178</v>
      </c>
      <c r="J402" s="24">
        <v>20</v>
      </c>
      <c r="K402" s="9">
        <f>H403</f>
        <v>9</v>
      </c>
      <c r="L402" s="6" t="s">
        <v>178</v>
      </c>
      <c r="M402" s="24">
        <f>J403</f>
        <v>37</v>
      </c>
      <c r="N402" s="22">
        <f>IF(H402=K402,M402-J402,60-(J402-M402))</f>
        <v>17</v>
      </c>
      <c r="O402" s="30">
        <f>(G402-F402)/N402</f>
        <v>229.41176470588235</v>
      </c>
      <c r="P402" s="6"/>
      <c r="Q402" s="6"/>
      <c r="R402" s="6"/>
      <c r="S402" s="6"/>
      <c r="U402" s="6"/>
      <c r="V402" s="6"/>
      <c r="W402" s="6"/>
      <c r="X402" s="6"/>
      <c r="Z402" s="58" t="s">
        <v>197</v>
      </c>
      <c r="AA402" s="54"/>
      <c r="AB402" s="57"/>
      <c r="AC402" s="56" t="s">
        <v>196</v>
      </c>
      <c r="AD402" s="56"/>
      <c r="AE402" s="55">
        <f>SUM(AB406:AE406)</f>
        <v>105</v>
      </c>
      <c r="AF402" s="54"/>
      <c r="AG402" s="53"/>
    </row>
    <row r="403" spans="1:33" x14ac:dyDescent="0.2">
      <c r="A403" s="1">
        <v>214</v>
      </c>
      <c r="B403" s="1" t="s">
        <v>14</v>
      </c>
      <c r="C403" s="2">
        <v>36374</v>
      </c>
      <c r="D403" s="26">
        <v>1</v>
      </c>
      <c r="E403" s="26">
        <v>52</v>
      </c>
      <c r="F403" s="27">
        <v>2497400</v>
      </c>
      <c r="G403" s="26">
        <f>F404</f>
        <v>2505600</v>
      </c>
      <c r="H403" s="25">
        <v>9</v>
      </c>
      <c r="I403" s="6" t="s">
        <v>178</v>
      </c>
      <c r="J403" s="24">
        <v>37</v>
      </c>
      <c r="K403" s="9">
        <f>H404</f>
        <v>10</v>
      </c>
      <c r="L403" s="6" t="s">
        <v>178</v>
      </c>
      <c r="M403" s="23">
        <f>J404</f>
        <v>20</v>
      </c>
      <c r="N403" s="22">
        <f>IF(H403=K403,M403-J403,60-(J403-M403))</f>
        <v>43</v>
      </c>
      <c r="O403" s="30">
        <f>(G403-F403)/N403</f>
        <v>190.69767441860466</v>
      </c>
      <c r="P403" s="29">
        <f>($G403-$F403)/7.48/($AF$408*$E403/$AE$43)*12</f>
        <v>1.1192094015305114</v>
      </c>
      <c r="Q403" s="29"/>
      <c r="R403" s="29">
        <f>($G403-$F403)/7.48/($AF$408*$E403/$AE$43)*12</f>
        <v>1.1192094015305114</v>
      </c>
      <c r="S403" s="29"/>
      <c r="U403" s="28">
        <f>U395+P403</f>
        <v>25.609327679439097</v>
      </c>
      <c r="V403" s="28">
        <f>V395+Q403</f>
        <v>26.874364160798468</v>
      </c>
      <c r="W403" s="28">
        <f>W395+R403</f>
        <v>25.612880452487708</v>
      </c>
      <c r="X403" s="28">
        <f>X395+S403</f>
        <v>26.877916933847086</v>
      </c>
      <c r="Z403" s="47"/>
      <c r="AC403" s="1" t="s">
        <v>195</v>
      </c>
      <c r="AD403" s="1" t="s">
        <v>194</v>
      </c>
      <c r="AG403" s="52"/>
    </row>
    <row r="404" spans="1:33" x14ac:dyDescent="0.2">
      <c r="A404" s="1">
        <v>214</v>
      </c>
      <c r="B404" s="1" t="s">
        <v>14</v>
      </c>
      <c r="C404" s="2">
        <v>36374</v>
      </c>
      <c r="D404" s="26">
        <v>2</v>
      </c>
      <c r="E404" s="26">
        <v>48</v>
      </c>
      <c r="F404" s="27">
        <v>2505600</v>
      </c>
      <c r="G404" s="26">
        <f>F405</f>
        <v>2513000</v>
      </c>
      <c r="H404" s="25">
        <v>10</v>
      </c>
      <c r="I404" s="6" t="s">
        <v>178</v>
      </c>
      <c r="J404" s="24">
        <v>20</v>
      </c>
      <c r="K404" s="9">
        <f>H405</f>
        <v>11</v>
      </c>
      <c r="L404" s="6" t="s">
        <v>178</v>
      </c>
      <c r="M404" s="23">
        <f>J405</f>
        <v>0</v>
      </c>
      <c r="N404" s="22">
        <f>IF(H404=K404,M404-J404,60-(J404-M404))</f>
        <v>40</v>
      </c>
      <c r="O404" s="30">
        <f>(G404-F404)/N404</f>
        <v>185</v>
      </c>
      <c r="P404" s="29"/>
      <c r="Q404" s="29">
        <f>($G404-$F404)/7.48/($AF$409*$E404/$AE$43)*12</f>
        <v>1.0444506804194102</v>
      </c>
      <c r="R404" s="29">
        <f>($G404-$F404)/7.48/($AF$409*$E404/$AE$43)*12</f>
        <v>1.0444506804194102</v>
      </c>
      <c r="S404" s="29"/>
      <c r="U404" s="28">
        <f>U396+P404</f>
        <v>27.050305347586598</v>
      </c>
      <c r="V404" s="28">
        <f>V396+Q404</f>
        <v>26.024673598345913</v>
      </c>
      <c r="W404" s="28">
        <f>W396+R404</f>
        <v>25.934788440215936</v>
      </c>
      <c r="X404" s="28">
        <f>X396+S404</f>
        <v>26.96042018945662</v>
      </c>
      <c r="Z404" s="47"/>
      <c r="AB404" s="6" t="s">
        <v>193</v>
      </c>
      <c r="AC404" s="6" t="s">
        <v>192</v>
      </c>
      <c r="AD404" s="6" t="s">
        <v>191</v>
      </c>
      <c r="AE404" s="6" t="s">
        <v>190</v>
      </c>
      <c r="AG404" s="52"/>
    </row>
    <row r="405" spans="1:33" x14ac:dyDescent="0.2">
      <c r="A405" s="1">
        <v>214</v>
      </c>
      <c r="B405" s="1" t="s">
        <v>14</v>
      </c>
      <c r="C405" s="2">
        <v>36374</v>
      </c>
      <c r="D405" s="26">
        <v>3</v>
      </c>
      <c r="E405" s="26">
        <v>53</v>
      </c>
      <c r="F405" s="27">
        <v>2513000</v>
      </c>
      <c r="G405" s="26">
        <f>F406</f>
        <v>2521000</v>
      </c>
      <c r="H405" s="25">
        <v>11</v>
      </c>
      <c r="I405" s="6" t="s">
        <v>178</v>
      </c>
      <c r="J405" s="24">
        <v>0</v>
      </c>
      <c r="K405" s="9">
        <f>H406</f>
        <v>11</v>
      </c>
      <c r="L405" s="6" t="s">
        <v>178</v>
      </c>
      <c r="M405" s="23">
        <f>J406</f>
        <v>40</v>
      </c>
      <c r="N405" s="22">
        <f>IF(H405=K405,M405-J405,60-(J405-M405))</f>
        <v>40</v>
      </c>
      <c r="O405" s="30">
        <f>(G405-F405)/N405</f>
        <v>200</v>
      </c>
      <c r="P405" s="29"/>
      <c r="Q405" s="29">
        <f>($G405-$F405)/7.48/($AF$410*$E405/$AE$43)*12</f>
        <v>1.0226136187686219</v>
      </c>
      <c r="R405" s="29"/>
      <c r="S405" s="29">
        <f>($G405-$F405)/7.48/($AF$410*$E405/$AE$43)*12</f>
        <v>1.0226136187686219</v>
      </c>
      <c r="U405" s="28">
        <f>U397+P405</f>
        <v>26.039752028528877</v>
      </c>
      <c r="V405" s="28">
        <f>V397+Q405</f>
        <v>24.829065179914203</v>
      </c>
      <c r="W405" s="28">
        <f>W397+R405</f>
        <v>26.086737452096823</v>
      </c>
      <c r="X405" s="28">
        <f>X397+S405</f>
        <v>24.876050603482149</v>
      </c>
      <c r="Z405" s="47"/>
      <c r="AB405" s="51" t="s">
        <v>189</v>
      </c>
      <c r="AC405" s="51"/>
      <c r="AD405" s="51"/>
      <c r="AE405" s="51"/>
      <c r="AF405" s="51" t="s">
        <v>188</v>
      </c>
      <c r="AG405" s="50"/>
    </row>
    <row r="406" spans="1:33" x14ac:dyDescent="0.2">
      <c r="A406" s="1">
        <v>214</v>
      </c>
      <c r="B406" s="1" t="s">
        <v>14</v>
      </c>
      <c r="C406" s="2">
        <v>36374</v>
      </c>
      <c r="D406" s="26">
        <v>4</v>
      </c>
      <c r="E406" s="26">
        <v>57</v>
      </c>
      <c r="F406" s="27">
        <v>2521000</v>
      </c>
      <c r="G406" s="26">
        <f>F407</f>
        <v>2531200</v>
      </c>
      <c r="H406" s="25">
        <v>11</v>
      </c>
      <c r="I406" s="6" t="s">
        <v>178</v>
      </c>
      <c r="J406" s="24">
        <v>40</v>
      </c>
      <c r="K406" s="9">
        <f>H407</f>
        <v>12</v>
      </c>
      <c r="L406" s="6" t="s">
        <v>178</v>
      </c>
      <c r="M406" s="23">
        <f>J407</f>
        <v>28</v>
      </c>
      <c r="N406" s="22">
        <f>IF(H406=K406,M406-J406,60-(J406-M406))</f>
        <v>48</v>
      </c>
      <c r="O406" s="30">
        <f>(G406-F406)/N406</f>
        <v>212.5</v>
      </c>
      <c r="P406" s="29">
        <f>($G406-$F406)/7.48/($AF$411*$E406/$AE$43)*12</f>
        <v>1.2700656109794248</v>
      </c>
      <c r="Q406" s="29"/>
      <c r="R406" s="29"/>
      <c r="S406" s="29">
        <f>($G406-$F406)/7.48/($AF$411*$E406/$AE$43)*12</f>
        <v>1.2700656109794248</v>
      </c>
      <c r="U406" s="28">
        <f>U398+P406</f>
        <v>25.862902632357009</v>
      </c>
      <c r="V406" s="28">
        <f>V398+Q406</f>
        <v>26.908741739559808</v>
      </c>
      <c r="W406" s="28">
        <f>W398+R406</f>
        <v>26.864509715104546</v>
      </c>
      <c r="X406" s="28">
        <f>X398+S406</f>
        <v>25.818670607901741</v>
      </c>
      <c r="Z406" s="48" t="s">
        <v>187</v>
      </c>
      <c r="AA406" s="6" t="s">
        <v>186</v>
      </c>
      <c r="AB406" s="6">
        <v>26</v>
      </c>
      <c r="AC406" s="6">
        <v>22</v>
      </c>
      <c r="AD406" s="6">
        <v>26</v>
      </c>
      <c r="AE406" s="6">
        <v>31</v>
      </c>
      <c r="AF406" s="6" t="s">
        <v>185</v>
      </c>
      <c r="AG406" s="49" t="s">
        <v>184</v>
      </c>
    </row>
    <row r="407" spans="1:33" x14ac:dyDescent="0.2">
      <c r="A407" s="1">
        <v>214</v>
      </c>
      <c r="B407" s="1" t="s">
        <v>14</v>
      </c>
      <c r="C407" s="2">
        <v>36374</v>
      </c>
      <c r="D407" s="26" t="s">
        <v>179</v>
      </c>
      <c r="E407" s="26">
        <v>57</v>
      </c>
      <c r="F407" s="27">
        <v>2531200</v>
      </c>
      <c r="G407" s="26">
        <v>2532200</v>
      </c>
      <c r="H407" s="25">
        <v>12</v>
      </c>
      <c r="I407" s="6" t="s">
        <v>178</v>
      </c>
      <c r="J407" s="24">
        <v>28</v>
      </c>
      <c r="K407" s="9">
        <v>12</v>
      </c>
      <c r="L407" s="6" t="s">
        <v>178</v>
      </c>
      <c r="M407" s="23">
        <v>38</v>
      </c>
      <c r="N407" s="22">
        <f>IF(H407=K407,M407-J407,60-(J407-M407))</f>
        <v>10</v>
      </c>
      <c r="O407" s="21"/>
      <c r="U407" s="6" t="s">
        <v>177</v>
      </c>
      <c r="V407" s="10">
        <f>AVERAGE(W403,U403,W404,V404,X405,V405,X406,U406)</f>
        <v>25.571044899267971</v>
      </c>
      <c r="W407" s="6" t="s">
        <v>176</v>
      </c>
      <c r="X407" s="10">
        <f>AVERAGE(V403,X403,X404,U404,U405,W405,W406,V406)</f>
        <v>26.707843445872353</v>
      </c>
      <c r="Z407" s="48" t="s">
        <v>183</v>
      </c>
      <c r="AA407" s="6">
        <v>9</v>
      </c>
      <c r="AB407" s="6">
        <f>AB$47*$AA407</f>
        <v>234</v>
      </c>
      <c r="AC407" s="6">
        <f>AC$47*$AA407</f>
        <v>198</v>
      </c>
      <c r="AD407" s="6">
        <f>AD$47*$AA407</f>
        <v>234</v>
      </c>
      <c r="AE407" s="6">
        <f>AE$47*$AA407</f>
        <v>279</v>
      </c>
      <c r="AF407" s="46">
        <f>(SUM(AB407:AE407))*((3.2808)^2)</f>
        <v>10171.6479648</v>
      </c>
      <c r="AG407" s="45">
        <f>AF407/43560</f>
        <v>0.233508906446281</v>
      </c>
    </row>
    <row r="408" spans="1:33" ht="13.5" thickBot="1" x14ac:dyDescent="0.25">
      <c r="A408" s="20"/>
      <c r="B408" s="20"/>
      <c r="C408" s="20"/>
      <c r="D408" s="18"/>
      <c r="E408" s="18"/>
      <c r="F408" s="19"/>
      <c r="G408" s="18"/>
      <c r="H408" s="17"/>
      <c r="I408" s="12"/>
      <c r="J408" s="16"/>
      <c r="K408" s="15"/>
      <c r="L408" s="12"/>
      <c r="M408" s="14"/>
      <c r="N408" s="12" t="s">
        <v>175</v>
      </c>
      <c r="O408" s="13">
        <f>(G404-F403)/(SUM(N403:N404))</f>
        <v>187.95180722891567</v>
      </c>
      <c r="P408" s="12" t="s">
        <v>174</v>
      </c>
      <c r="Q408" s="12"/>
      <c r="R408" s="11">
        <f>AVERAGE(P403:S406)</f>
        <v>1.1140848279244921</v>
      </c>
      <c r="S408" s="12"/>
      <c r="T408" s="12"/>
      <c r="U408" s="12" t="s">
        <v>173</v>
      </c>
      <c r="V408" s="12"/>
      <c r="W408" s="12"/>
      <c r="X408" s="11">
        <f>AVERAGE(U403:X406)</f>
        <v>26.139444172570162</v>
      </c>
      <c r="Z408" s="48">
        <v>1</v>
      </c>
      <c r="AA408" s="6">
        <v>21</v>
      </c>
      <c r="AB408" s="6">
        <f>AB$47*$AA408</f>
        <v>546</v>
      </c>
      <c r="AC408" s="6">
        <f>AC$47*$AA408</f>
        <v>462</v>
      </c>
      <c r="AD408" s="6">
        <f>AD$47*$AA408</f>
        <v>546</v>
      </c>
      <c r="AE408" s="6">
        <f>AE$47*$AA408</f>
        <v>651</v>
      </c>
      <c r="AF408" s="46">
        <f>(SUM(AB408:AE408))*((3.2808)^2)</f>
        <v>23733.845251200004</v>
      </c>
      <c r="AG408" s="45">
        <f>AF408/43560</f>
        <v>0.54485411504132242</v>
      </c>
    </row>
    <row r="409" spans="1:33" x14ac:dyDescent="0.2">
      <c r="D409" s="26"/>
      <c r="E409" s="26"/>
      <c r="F409" s="38"/>
      <c r="G409" s="37"/>
      <c r="H409" s="25"/>
      <c r="I409" s="6"/>
      <c r="J409" s="36"/>
      <c r="K409" s="35"/>
      <c r="M409" s="34"/>
      <c r="N409" s="33"/>
      <c r="O409" s="32"/>
      <c r="P409" s="31"/>
      <c r="Q409" s="31"/>
      <c r="R409" s="31"/>
      <c r="S409" s="31"/>
      <c r="T409" s="31"/>
      <c r="Z409" s="48">
        <v>2</v>
      </c>
      <c r="AA409" s="6">
        <v>22</v>
      </c>
      <c r="AB409" s="6">
        <f>AB$47*$AA409</f>
        <v>572</v>
      </c>
      <c r="AC409" s="6">
        <f>AC$47*$AA409</f>
        <v>484</v>
      </c>
      <c r="AD409" s="6">
        <f>AD$47*$AA409</f>
        <v>572</v>
      </c>
      <c r="AE409" s="6">
        <f>AE$47*$AA409</f>
        <v>682</v>
      </c>
      <c r="AF409" s="46">
        <f>(SUM(AB409:AE409))*((3.2808)^2)</f>
        <v>24864.028358400003</v>
      </c>
      <c r="AG409" s="45">
        <f>AF409/43560</f>
        <v>0.57079954909090913</v>
      </c>
    </row>
    <row r="410" spans="1:33" x14ac:dyDescent="0.2">
      <c r="A410" s="1">
        <v>215</v>
      </c>
      <c r="B410" s="1" t="s">
        <v>10</v>
      </c>
      <c r="C410" s="2">
        <v>36375</v>
      </c>
      <c r="D410" s="26" t="s">
        <v>179</v>
      </c>
      <c r="E410" s="26">
        <v>105</v>
      </c>
      <c r="F410" s="27">
        <v>2597800</v>
      </c>
      <c r="G410" s="39">
        <v>2601800</v>
      </c>
      <c r="H410" s="25">
        <v>12</v>
      </c>
      <c r="I410" s="6" t="s">
        <v>178</v>
      </c>
      <c r="J410" s="24">
        <v>10</v>
      </c>
      <c r="K410" s="9">
        <v>12</v>
      </c>
      <c r="L410" s="6" t="s">
        <v>178</v>
      </c>
      <c r="M410" s="24">
        <v>20</v>
      </c>
      <c r="N410" s="22">
        <f>IF(H410=K410,M410-J410,60-(J410-M410))</f>
        <v>10</v>
      </c>
      <c r="O410" s="30">
        <f>(G410-F410)/N410</f>
        <v>400</v>
      </c>
      <c r="P410" s="6"/>
      <c r="Q410" s="6"/>
      <c r="R410" s="6"/>
      <c r="S410" s="6"/>
      <c r="U410" s="6"/>
      <c r="V410" s="6"/>
      <c r="W410" s="6"/>
      <c r="X410" s="6"/>
      <c r="Z410" s="48">
        <v>3</v>
      </c>
      <c r="AA410" s="6">
        <v>22</v>
      </c>
      <c r="AB410" s="6">
        <f>AB$47*$AA410</f>
        <v>572</v>
      </c>
      <c r="AC410" s="6">
        <f>AC$47*$AA410</f>
        <v>484</v>
      </c>
      <c r="AD410" s="6">
        <f>AD$47*$AA410</f>
        <v>572</v>
      </c>
      <c r="AE410" s="6">
        <f>AE$47*$AA410</f>
        <v>682</v>
      </c>
      <c r="AF410" s="46">
        <f>(SUM(AB410:AE410))*((3.2808)^2)</f>
        <v>24864.028358400003</v>
      </c>
      <c r="AG410" s="45">
        <f>AF410/43560</f>
        <v>0.57079954909090913</v>
      </c>
    </row>
    <row r="411" spans="1:33" x14ac:dyDescent="0.2">
      <c r="A411" s="1">
        <v>215</v>
      </c>
      <c r="B411" s="1" t="s">
        <v>10</v>
      </c>
      <c r="C411" s="2">
        <v>36375</v>
      </c>
      <c r="D411" s="26">
        <v>1</v>
      </c>
      <c r="E411" s="26">
        <v>105</v>
      </c>
      <c r="F411" s="27">
        <v>2582100</v>
      </c>
      <c r="G411" s="26">
        <f>F410</f>
        <v>2597800</v>
      </c>
      <c r="H411" s="25">
        <v>11</v>
      </c>
      <c r="I411" s="6" t="s">
        <v>178</v>
      </c>
      <c r="J411" s="24">
        <v>25</v>
      </c>
      <c r="K411" s="9">
        <f>H410</f>
        <v>12</v>
      </c>
      <c r="L411" s="6" t="s">
        <v>178</v>
      </c>
      <c r="M411" s="23">
        <f>J410</f>
        <v>10</v>
      </c>
      <c r="N411" s="22">
        <f>IF(H411=K411,M411-J411,((K411-H411)*60-((J411-M411))))</f>
        <v>45</v>
      </c>
      <c r="O411" s="30">
        <f>(G411-F411)/N411</f>
        <v>348.88888888888891</v>
      </c>
      <c r="P411" s="29">
        <f>($G411-$F411)/7.48/($AF$408*$E411/$AE$43)*12</f>
        <v>1.061234094552276</v>
      </c>
      <c r="Q411" s="29">
        <f>($G411-$F411)/7.48/($AF$408*$E411/$AE$43)*12</f>
        <v>1.061234094552276</v>
      </c>
      <c r="R411" s="29">
        <f>($G411-$F411)/7.48/($AF$408*$E411/$AE$43)*12</f>
        <v>1.061234094552276</v>
      </c>
      <c r="S411" s="29">
        <f>($G411-$F411)/7.48/($AF$408*$E411/$AE$43)*12</f>
        <v>1.061234094552276</v>
      </c>
      <c r="U411" s="28">
        <f>U403+P411</f>
        <v>26.670561773991373</v>
      </c>
      <c r="V411" s="28">
        <f>V403+Q411</f>
        <v>27.935598255350744</v>
      </c>
      <c r="W411" s="28">
        <f>W403+R411</f>
        <v>26.674114547039984</v>
      </c>
      <c r="X411" s="28">
        <f>X403+S411</f>
        <v>27.939151028399362</v>
      </c>
      <c r="Z411" s="48">
        <v>4</v>
      </c>
      <c r="AA411" s="6">
        <v>21</v>
      </c>
      <c r="AB411" s="6">
        <f>AB$47*$AA411</f>
        <v>546</v>
      </c>
      <c r="AC411" s="6">
        <f>AC$47*$AA411</f>
        <v>462</v>
      </c>
      <c r="AD411" s="6">
        <f>AD$47*$AA411</f>
        <v>546</v>
      </c>
      <c r="AE411" s="6">
        <f>AE$47*$AA411</f>
        <v>651</v>
      </c>
      <c r="AF411" s="46">
        <f>(SUM(AB411:AE411))*((3.2808)^2)</f>
        <v>23733.845251200004</v>
      </c>
      <c r="AG411" s="45">
        <f>AF411/43560</f>
        <v>0.54485411504132242</v>
      </c>
    </row>
    <row r="412" spans="1:33" x14ac:dyDescent="0.2">
      <c r="A412" s="1">
        <v>215</v>
      </c>
      <c r="B412" s="1" t="s">
        <v>10</v>
      </c>
      <c r="C412" s="2">
        <v>36375</v>
      </c>
      <c r="D412" s="26">
        <v>2</v>
      </c>
      <c r="E412" s="26">
        <v>105</v>
      </c>
      <c r="F412" s="27">
        <v>2566800</v>
      </c>
      <c r="G412" s="26">
        <f>F411</f>
        <v>2582100</v>
      </c>
      <c r="H412" s="25">
        <v>10</v>
      </c>
      <c r="I412" s="6" t="s">
        <v>178</v>
      </c>
      <c r="J412" s="24">
        <v>45</v>
      </c>
      <c r="K412" s="9">
        <f>H411</f>
        <v>11</v>
      </c>
      <c r="L412" s="6" t="s">
        <v>178</v>
      </c>
      <c r="M412" s="23">
        <f>J411</f>
        <v>25</v>
      </c>
      <c r="N412" s="22">
        <f>IF(H412=K412,M412-J412,60-(J412-M412))</f>
        <v>40</v>
      </c>
      <c r="O412" s="30">
        <f>(G412-F412)/N412</f>
        <v>382.5</v>
      </c>
      <c r="P412" s="29">
        <f>($G412-$F412)/7.48/($AF$409*$E412/$AE$43)*12</f>
        <v>0.98718736126128048</v>
      </c>
      <c r="Q412" s="29">
        <f>($G412-$F412)/7.48/($AF$409*$E412/$AE$43)*12</f>
        <v>0.98718736126128048</v>
      </c>
      <c r="R412" s="29">
        <f>($G412-$F412)/7.48/($AF$409*$E412/$AE$43)*12</f>
        <v>0.98718736126128048</v>
      </c>
      <c r="S412" s="29">
        <f>($G412-$F412)/7.48/($AF$409*$E412/$AE$43)*12</f>
        <v>0.98718736126128048</v>
      </c>
      <c r="U412" s="28">
        <f>U404+P412</f>
        <v>28.037492708847878</v>
      </c>
      <c r="V412" s="28">
        <f>V404+Q412</f>
        <v>27.011860959607194</v>
      </c>
      <c r="W412" s="28">
        <f>W404+R412</f>
        <v>26.921975801477217</v>
      </c>
      <c r="X412" s="28">
        <f>X404+S412</f>
        <v>27.947607550717901</v>
      </c>
      <c r="Z412" s="47" t="s">
        <v>182</v>
      </c>
      <c r="AA412" s="6">
        <v>5</v>
      </c>
      <c r="AB412" s="6">
        <f>AB$47*$AA412</f>
        <v>130</v>
      </c>
      <c r="AC412" s="6">
        <f>AC$47*$AA412</f>
        <v>110</v>
      </c>
      <c r="AD412" s="6">
        <f>AD$47*$AA412</f>
        <v>130</v>
      </c>
      <c r="AE412" s="6">
        <f>AE$47*$AA412</f>
        <v>155</v>
      </c>
      <c r="AF412" s="46">
        <f>(SUM(AB412:AE412))*((3.2808)^2)</f>
        <v>5650.9155360000004</v>
      </c>
      <c r="AG412" s="45">
        <f>AF412/43560</f>
        <v>0.1297271702479339</v>
      </c>
    </row>
    <row r="413" spans="1:33" ht="13.5" thickBot="1" x14ac:dyDescent="0.25">
      <c r="A413" s="1">
        <v>215</v>
      </c>
      <c r="B413" s="1" t="s">
        <v>10</v>
      </c>
      <c r="C413" s="2">
        <v>36375</v>
      </c>
      <c r="D413" s="26">
        <v>3</v>
      </c>
      <c r="E413" s="26">
        <v>105</v>
      </c>
      <c r="F413" s="27">
        <v>2552100</v>
      </c>
      <c r="G413" s="26">
        <f>F412</f>
        <v>2566800</v>
      </c>
      <c r="H413" s="25">
        <v>10</v>
      </c>
      <c r="I413" s="6" t="s">
        <v>178</v>
      </c>
      <c r="J413" s="24">
        <v>6</v>
      </c>
      <c r="K413" s="9">
        <f>H412</f>
        <v>10</v>
      </c>
      <c r="L413" s="6" t="s">
        <v>178</v>
      </c>
      <c r="M413" s="23">
        <f>J412</f>
        <v>45</v>
      </c>
      <c r="N413" s="22">
        <f>IF(H413=K413,M413-J413,60-(J413-M413))</f>
        <v>39</v>
      </c>
      <c r="O413" s="30">
        <f>(G413-F413)/N413</f>
        <v>376.92307692307691</v>
      </c>
      <c r="P413" s="29">
        <f>($G413-$F413)/7.48/($AF$410*$E413/$AE$43)*12</f>
        <v>0.94847413140789683</v>
      </c>
      <c r="Q413" s="29">
        <f>($G413-$F413)/7.48/($AF$410*$E413/$AE$43)*12</f>
        <v>0.94847413140789683</v>
      </c>
      <c r="R413" s="29">
        <f>($G413-$F413)/7.48/($AF$410*$E413/$AE$43)*12</f>
        <v>0.94847413140789683</v>
      </c>
      <c r="S413" s="29">
        <f>($G413-$F413)/7.48/($AF$410*$E413/$AE$43)*12</f>
        <v>0.94847413140789683</v>
      </c>
      <c r="U413" s="28">
        <f>U405+P413</f>
        <v>26.988226159936772</v>
      </c>
      <c r="V413" s="28">
        <f>V405+Q413</f>
        <v>25.777539311322098</v>
      </c>
      <c r="W413" s="28">
        <f>W405+R413</f>
        <v>27.035211583504719</v>
      </c>
      <c r="X413" s="28">
        <f>X405+S413</f>
        <v>25.824524734890044</v>
      </c>
      <c r="Z413" s="44"/>
      <c r="AA413" s="12"/>
      <c r="AB413" s="12"/>
      <c r="AC413" s="12"/>
      <c r="AD413" s="12"/>
      <c r="AE413" s="12" t="s">
        <v>181</v>
      </c>
      <c r="AF413" s="43">
        <f>SUM(AF407:AF412)</f>
        <v>113018.31072000001</v>
      </c>
      <c r="AG413" s="42">
        <f>SUM(AG407:AG412)</f>
        <v>2.594543404958678</v>
      </c>
    </row>
    <row r="414" spans="1:33" x14ac:dyDescent="0.2">
      <c r="A414" s="1">
        <v>215</v>
      </c>
      <c r="B414" s="1" t="s">
        <v>10</v>
      </c>
      <c r="C414" s="2">
        <v>36375</v>
      </c>
      <c r="D414" s="26">
        <v>4</v>
      </c>
      <c r="E414" s="26">
        <v>105</v>
      </c>
      <c r="F414" s="27">
        <v>2537100</v>
      </c>
      <c r="G414" s="26">
        <f>F413</f>
        <v>2552100</v>
      </c>
      <c r="H414" s="25">
        <v>9</v>
      </c>
      <c r="I414" s="6" t="s">
        <v>178</v>
      </c>
      <c r="J414" s="24">
        <v>25</v>
      </c>
      <c r="K414" s="9">
        <f>H413</f>
        <v>10</v>
      </c>
      <c r="L414" s="6" t="s">
        <v>178</v>
      </c>
      <c r="M414" s="23">
        <f>J413</f>
        <v>6</v>
      </c>
      <c r="N414" s="22">
        <f>IF(H414=K414,M414-J414,60-(J414-M414))</f>
        <v>41</v>
      </c>
      <c r="O414" s="30">
        <f>(G414-F414)/N414</f>
        <v>365.85365853658539</v>
      </c>
      <c r="P414" s="29">
        <f>($G414-$F414)/7.48/($AF$411*$E414/$AE$43)*12</f>
        <v>1.0139179247314738</v>
      </c>
      <c r="Q414" s="29">
        <f>($G414-$F414)/7.48/($AF$411*$E414/$AE$43)*12</f>
        <v>1.0139179247314738</v>
      </c>
      <c r="R414" s="29">
        <f>($G414-$F414)/7.48/($AF$411*$E414/$AE$43)*12</f>
        <v>1.0139179247314738</v>
      </c>
      <c r="S414" s="29">
        <f>($G414-$F414)/7.48/($AF$411*$E414/$AE$43)*12</f>
        <v>1.0139179247314738</v>
      </c>
      <c r="U414" s="28">
        <f>U406+P414</f>
        <v>26.876820557088482</v>
      </c>
      <c r="V414" s="28">
        <f>V406+Q414</f>
        <v>27.922659664291281</v>
      </c>
      <c r="W414" s="28">
        <f>W406+R414</f>
        <v>27.878427639836019</v>
      </c>
      <c r="X414" s="28">
        <f>X406+S414</f>
        <v>26.832588532633213</v>
      </c>
    </row>
    <row r="415" spans="1:33" x14ac:dyDescent="0.2">
      <c r="A415" s="1">
        <v>215</v>
      </c>
      <c r="B415" s="1" t="s">
        <v>10</v>
      </c>
      <c r="C415" s="2">
        <v>36375</v>
      </c>
      <c r="D415" s="26" t="s">
        <v>180</v>
      </c>
      <c r="E415" s="26">
        <v>105</v>
      </c>
      <c r="F415" s="27">
        <v>2532200</v>
      </c>
      <c r="G415" s="26">
        <f>F414</f>
        <v>2537100</v>
      </c>
      <c r="H415" s="25">
        <v>9</v>
      </c>
      <c r="I415" s="6" t="s">
        <v>178</v>
      </c>
      <c r="J415" s="24">
        <v>15</v>
      </c>
      <c r="K415" s="9">
        <f>H414</f>
        <v>9</v>
      </c>
      <c r="L415" s="6" t="s">
        <v>178</v>
      </c>
      <c r="M415" s="23">
        <f>J414</f>
        <v>25</v>
      </c>
      <c r="N415" s="22">
        <f>IF(H415=K415,M415-J415,60-(J415-M415))</f>
        <v>10</v>
      </c>
      <c r="O415" s="21"/>
      <c r="U415" s="6" t="s">
        <v>177</v>
      </c>
      <c r="V415" s="10">
        <f>AVERAGE(W411,U411,W412,V412,X413,V413,X414,U414)</f>
        <v>26.5737482772562</v>
      </c>
      <c r="W415" s="6" t="s">
        <v>176</v>
      </c>
      <c r="X415" s="10">
        <f>AVERAGE(V411,X411,X412,U412,U413,W413,W414,V414)</f>
        <v>27.710546823860586</v>
      </c>
    </row>
    <row r="416" spans="1:33" ht="13.5" thickBot="1" x14ac:dyDescent="0.25">
      <c r="A416" s="20"/>
      <c r="B416" s="20"/>
      <c r="C416" s="20"/>
      <c r="D416" s="18"/>
      <c r="E416" s="18"/>
      <c r="F416" s="19"/>
      <c r="G416" s="18"/>
      <c r="H416" s="17"/>
      <c r="I416" s="12"/>
      <c r="J416" s="16"/>
      <c r="K416" s="15"/>
      <c r="L416" s="12"/>
      <c r="M416" s="14"/>
      <c r="N416" s="12" t="s">
        <v>175</v>
      </c>
      <c r="O416" s="13">
        <f>(G413-F414)/(SUM(N413:N414))</f>
        <v>371.25</v>
      </c>
      <c r="P416" s="12" t="s">
        <v>174</v>
      </c>
      <c r="Q416" s="12"/>
      <c r="R416" s="11">
        <f>AVERAGE(P411:S414)</f>
        <v>1.0027033779882317</v>
      </c>
      <c r="S416" s="12"/>
      <c r="T416" s="12"/>
      <c r="U416" s="12" t="s">
        <v>173</v>
      </c>
      <c r="V416" s="12"/>
      <c r="W416" s="12"/>
      <c r="X416" s="11">
        <f>AVERAGE(U411:X414)</f>
        <v>27.142147550558388</v>
      </c>
    </row>
    <row r="417" spans="1:24" x14ac:dyDescent="0.2">
      <c r="D417" s="26"/>
      <c r="E417" s="26"/>
      <c r="F417" s="38"/>
      <c r="G417" s="37"/>
      <c r="H417" s="25"/>
      <c r="I417" s="6"/>
      <c r="J417" s="36"/>
      <c r="K417" s="35"/>
      <c r="M417" s="34"/>
      <c r="N417" s="33"/>
      <c r="O417" s="32"/>
      <c r="P417" s="31"/>
      <c r="Q417" s="31"/>
      <c r="R417" s="31"/>
      <c r="S417" s="31"/>
      <c r="T417" s="31"/>
    </row>
    <row r="418" spans="1:24" x14ac:dyDescent="0.2">
      <c r="A418" s="1">
        <v>216</v>
      </c>
      <c r="B418" s="1" t="s">
        <v>6</v>
      </c>
      <c r="C418" s="2">
        <v>36376</v>
      </c>
      <c r="D418" s="26" t="s">
        <v>180</v>
      </c>
      <c r="E418" s="26">
        <v>105</v>
      </c>
      <c r="F418" s="27">
        <v>2602000</v>
      </c>
      <c r="G418" s="26">
        <f>F419</f>
        <v>2616000</v>
      </c>
      <c r="H418" s="9">
        <v>15</v>
      </c>
      <c r="I418" s="6" t="s">
        <v>178</v>
      </c>
      <c r="J418" s="24">
        <v>42</v>
      </c>
      <c r="K418" s="9">
        <f>H419</f>
        <v>16</v>
      </c>
      <c r="L418" s="6" t="s">
        <v>178</v>
      </c>
      <c r="M418" s="24">
        <f>J419</f>
        <v>30</v>
      </c>
      <c r="N418" s="22">
        <f>IF(H418=K418,M418-J418,60-(J418-M418))</f>
        <v>48</v>
      </c>
      <c r="O418" s="30">
        <f>(G418-F418)/N418</f>
        <v>291.66666666666669</v>
      </c>
      <c r="P418" s="6"/>
      <c r="Q418" s="6"/>
      <c r="R418" s="6"/>
      <c r="S418" s="6"/>
      <c r="U418" s="6"/>
      <c r="V418" s="6"/>
      <c r="W418" s="6"/>
      <c r="X418" s="6"/>
    </row>
    <row r="419" spans="1:24" x14ac:dyDescent="0.2">
      <c r="A419" s="1">
        <v>216</v>
      </c>
      <c r="B419" s="1" t="s">
        <v>6</v>
      </c>
      <c r="C419" s="2">
        <v>36376</v>
      </c>
      <c r="D419" s="26">
        <v>1</v>
      </c>
      <c r="E419" s="26">
        <v>52</v>
      </c>
      <c r="F419" s="27">
        <v>2616000</v>
      </c>
      <c r="G419" s="26">
        <f>F420</f>
        <v>2625800</v>
      </c>
      <c r="H419" s="25">
        <v>16</v>
      </c>
      <c r="I419" s="6" t="s">
        <v>178</v>
      </c>
      <c r="J419" s="24">
        <v>30</v>
      </c>
      <c r="K419" s="9">
        <f>H420</f>
        <v>17</v>
      </c>
      <c r="L419" s="6" t="s">
        <v>178</v>
      </c>
      <c r="M419" s="23">
        <f>J420</f>
        <v>15</v>
      </c>
      <c r="N419" s="22">
        <f>IF(H419=K419,M419-J419,60-(J419-M419))</f>
        <v>45</v>
      </c>
      <c r="O419" s="30">
        <f>(G419-F419)/N419</f>
        <v>217.77777777777777</v>
      </c>
      <c r="P419" s="29">
        <f>($G419-$F419)/7.48/($AF$408*$E419/$AE$43)*12</f>
        <v>1.3375917237803672</v>
      </c>
      <c r="Q419" s="29"/>
      <c r="R419" s="29">
        <f>($G419-$F419)/7.48/($AF$408*$E419/$AE$43)*12</f>
        <v>1.3375917237803672</v>
      </c>
      <c r="S419" s="29"/>
      <c r="U419" s="28">
        <f>U411+P419</f>
        <v>28.00815349777174</v>
      </c>
      <c r="V419" s="28">
        <f>V411+Q419</f>
        <v>27.935598255350744</v>
      </c>
      <c r="W419" s="28">
        <f>W411+R419</f>
        <v>28.011706270820351</v>
      </c>
      <c r="X419" s="28">
        <f>X411+S419</f>
        <v>27.939151028399362</v>
      </c>
    </row>
    <row r="420" spans="1:24" x14ac:dyDescent="0.2">
      <c r="A420" s="1">
        <v>216</v>
      </c>
      <c r="B420" s="1" t="s">
        <v>6</v>
      </c>
      <c r="C420" s="2">
        <v>36376</v>
      </c>
      <c r="D420" s="26">
        <v>2</v>
      </c>
      <c r="E420" s="26">
        <v>48</v>
      </c>
      <c r="F420" s="27">
        <v>2625800</v>
      </c>
      <c r="G420" s="26">
        <f>F421</f>
        <v>2633400</v>
      </c>
      <c r="H420" s="25">
        <v>17</v>
      </c>
      <c r="I420" s="6" t="s">
        <v>178</v>
      </c>
      <c r="J420" s="24">
        <v>15</v>
      </c>
      <c r="K420" s="9">
        <f>H421</f>
        <v>17</v>
      </c>
      <c r="L420" s="6" t="s">
        <v>178</v>
      </c>
      <c r="M420" s="23">
        <f>J421</f>
        <v>56</v>
      </c>
      <c r="N420" s="22">
        <f>IF(H420=K420,M420-J420,60-(J420-M420))</f>
        <v>41</v>
      </c>
      <c r="O420" s="30">
        <f>(G420-F420)/N420</f>
        <v>185.36585365853659</v>
      </c>
      <c r="P420" s="29"/>
      <c r="Q420" s="29">
        <f>($G420-$F420)/7.48/($AF$409*$E420/$AE$43)*12</f>
        <v>1.0726790771875023</v>
      </c>
      <c r="R420" s="29">
        <f>($G420-$F420)/7.48/($AF$409*$E420/$AE$43)*12</f>
        <v>1.0726790771875023</v>
      </c>
      <c r="S420" s="29"/>
      <c r="U420" s="28">
        <f>U412+P420</f>
        <v>28.037492708847878</v>
      </c>
      <c r="V420" s="28">
        <f>V412+Q420</f>
        <v>28.084540036794696</v>
      </c>
      <c r="W420" s="28">
        <f>W412+R420</f>
        <v>27.994654878664718</v>
      </c>
      <c r="X420" s="28">
        <f>X412+S420</f>
        <v>27.947607550717901</v>
      </c>
    </row>
    <row r="421" spans="1:24" x14ac:dyDescent="0.2">
      <c r="A421" s="1">
        <v>216</v>
      </c>
      <c r="B421" s="1" t="s">
        <v>6</v>
      </c>
      <c r="C421" s="2">
        <v>36376</v>
      </c>
      <c r="D421" s="26">
        <v>3</v>
      </c>
      <c r="E421" s="26">
        <v>53</v>
      </c>
      <c r="F421" s="27">
        <v>2633400</v>
      </c>
      <c r="G421" s="26">
        <f>F422</f>
        <v>2642500</v>
      </c>
      <c r="H421" s="25">
        <v>17</v>
      </c>
      <c r="I421" s="6" t="s">
        <v>178</v>
      </c>
      <c r="J421" s="24">
        <v>56</v>
      </c>
      <c r="K421" s="9">
        <f>H422</f>
        <v>18</v>
      </c>
      <c r="L421" s="6" t="s">
        <v>178</v>
      </c>
      <c r="M421" s="23">
        <f>J422</f>
        <v>42</v>
      </c>
      <c r="N421" s="22">
        <f>IF(H421=K421,M421-J421,60-(J421-M421))</f>
        <v>46</v>
      </c>
      <c r="O421" s="30">
        <f>(G421-F421)/N421</f>
        <v>197.82608695652175</v>
      </c>
      <c r="P421" s="29"/>
      <c r="Q421" s="29">
        <f>($G421-$F421)/7.48/($AF$410*$E421/$AE$43)*12</f>
        <v>1.1632229913493073</v>
      </c>
      <c r="R421" s="29"/>
      <c r="S421" s="29">
        <f>($G421-$F421)/7.48/($AF$410*$E421/$AE$43)*12</f>
        <v>1.1632229913493073</v>
      </c>
      <c r="U421" s="28">
        <f>U413+P421</f>
        <v>26.988226159936772</v>
      </c>
      <c r="V421" s="28">
        <f>V413+Q421</f>
        <v>26.940762302671406</v>
      </c>
      <c r="W421" s="28">
        <f>W413+R421</f>
        <v>27.035211583504719</v>
      </c>
      <c r="X421" s="28">
        <f>X413+S421</f>
        <v>26.987747726239352</v>
      </c>
    </row>
    <row r="422" spans="1:24" x14ac:dyDescent="0.2">
      <c r="A422" s="1">
        <v>216</v>
      </c>
      <c r="B422" s="1" t="s">
        <v>6</v>
      </c>
      <c r="C422" s="2">
        <v>36376</v>
      </c>
      <c r="D422" s="26">
        <v>4</v>
      </c>
      <c r="E422" s="26">
        <v>57</v>
      </c>
      <c r="F422" s="27">
        <v>2642500</v>
      </c>
      <c r="G422" s="26">
        <f>F423</f>
        <v>2652000</v>
      </c>
      <c r="H422" s="25">
        <v>18</v>
      </c>
      <c r="I422" s="6" t="s">
        <v>178</v>
      </c>
      <c r="J422" s="24">
        <v>42</v>
      </c>
      <c r="K422" s="9">
        <f>H423</f>
        <v>19</v>
      </c>
      <c r="L422" s="6" t="s">
        <v>178</v>
      </c>
      <c r="M422" s="23">
        <f>J423</f>
        <v>26</v>
      </c>
      <c r="N422" s="22">
        <f>IF(H422=K422,M422-J422,60-(J422-M422))</f>
        <v>44</v>
      </c>
      <c r="O422" s="30">
        <f>(G422-F422)/N422</f>
        <v>215.90909090909091</v>
      </c>
      <c r="P422" s="29">
        <f>($G422-$F422)/7.48/($AF$411*$E422/$AE$43)*12</f>
        <v>1.1829042455200527</v>
      </c>
      <c r="Q422" s="29"/>
      <c r="R422" s="29"/>
      <c r="S422" s="29">
        <f>($G422-$F422)/7.48/($AF$411*$E422/$AE$43)*12</f>
        <v>1.1829042455200527</v>
      </c>
      <c r="U422" s="28">
        <f>U414+P422</f>
        <v>28.059724802608535</v>
      </c>
      <c r="V422" s="28">
        <f>V414+Q422</f>
        <v>27.922659664291281</v>
      </c>
      <c r="W422" s="28">
        <f>W414+R422</f>
        <v>27.878427639836019</v>
      </c>
      <c r="X422" s="28">
        <f>X414+S422</f>
        <v>28.015492778153266</v>
      </c>
    </row>
    <row r="423" spans="1:24" x14ac:dyDescent="0.2">
      <c r="A423" s="1">
        <v>216</v>
      </c>
      <c r="B423" s="1" t="s">
        <v>6</v>
      </c>
      <c r="C423" s="2">
        <v>36376</v>
      </c>
      <c r="D423" s="26" t="s">
        <v>179</v>
      </c>
      <c r="E423" s="26">
        <v>57</v>
      </c>
      <c r="F423" s="27">
        <v>2652000</v>
      </c>
      <c r="G423" s="26">
        <v>2654100</v>
      </c>
      <c r="H423" s="25">
        <v>19</v>
      </c>
      <c r="I423" s="6" t="s">
        <v>178</v>
      </c>
      <c r="J423" s="24">
        <v>26</v>
      </c>
      <c r="K423" s="9">
        <v>19</v>
      </c>
      <c r="L423" s="6" t="s">
        <v>178</v>
      </c>
      <c r="M423" s="23">
        <v>36</v>
      </c>
      <c r="N423" s="22">
        <f>IF(H423=K423,M423-J423,60-(J423-M423))</f>
        <v>10</v>
      </c>
      <c r="O423" s="21"/>
      <c r="U423" s="6" t="s">
        <v>177</v>
      </c>
      <c r="V423" s="10">
        <f>AVERAGE(W419,U419,W420,V420,X421,V421,X422,U422)</f>
        <v>27.762847786715508</v>
      </c>
      <c r="W423" s="6" t="s">
        <v>176</v>
      </c>
      <c r="X423" s="10">
        <f>AVERAGE(V419,X419,X420,U420,U421,W421,W422,V422)</f>
        <v>27.710546823860586</v>
      </c>
    </row>
    <row r="424" spans="1:24" ht="13.5" thickBot="1" x14ac:dyDescent="0.25">
      <c r="A424" s="20"/>
      <c r="B424" s="20"/>
      <c r="C424" s="20"/>
      <c r="D424" s="18"/>
      <c r="E424" s="18"/>
      <c r="F424" s="19"/>
      <c r="G424" s="18"/>
      <c r="H424" s="17"/>
      <c r="I424" s="12"/>
      <c r="J424" s="16"/>
      <c r="K424" s="15"/>
      <c r="L424" s="12"/>
      <c r="M424" s="14"/>
      <c r="N424" s="12" t="s">
        <v>175</v>
      </c>
      <c r="O424" s="13">
        <f>(G420-F419)/(SUM(N419:N420))</f>
        <v>202.32558139534885</v>
      </c>
      <c r="P424" s="12" t="s">
        <v>174</v>
      </c>
      <c r="Q424" s="12"/>
      <c r="R424" s="11">
        <f>AVERAGE(P419:S422)</f>
        <v>1.1890995094593075</v>
      </c>
      <c r="S424" s="12"/>
      <c r="T424" s="12"/>
      <c r="U424" s="12" t="s">
        <v>173</v>
      </c>
      <c r="V424" s="12"/>
      <c r="W424" s="12"/>
      <c r="X424" s="11">
        <f>AVERAGE(U419:X422)</f>
        <v>27.73669730528805</v>
      </c>
    </row>
    <row r="425" spans="1:24" x14ac:dyDescent="0.2">
      <c r="O425" s="41"/>
      <c r="P425" s="31"/>
      <c r="Q425" s="31"/>
      <c r="R425" s="31"/>
      <c r="S425" s="31"/>
      <c r="T425" s="31"/>
    </row>
    <row r="426" spans="1:24" x14ac:dyDescent="0.2">
      <c r="A426" s="1">
        <v>216</v>
      </c>
      <c r="B426" s="1" t="s">
        <v>6</v>
      </c>
      <c r="C426" s="2">
        <v>36376</v>
      </c>
      <c r="O426" s="21"/>
      <c r="P426" s="6"/>
      <c r="Q426" s="6"/>
      <c r="R426" s="6"/>
      <c r="S426" s="6"/>
      <c r="U426" s="6"/>
      <c r="V426" s="6"/>
      <c r="W426" s="6"/>
      <c r="X426" s="6"/>
    </row>
    <row r="427" spans="1:24" x14ac:dyDescent="0.2">
      <c r="A427" s="1">
        <v>216</v>
      </c>
      <c r="B427" s="1" t="s">
        <v>6</v>
      </c>
      <c r="C427" s="2">
        <v>36376</v>
      </c>
      <c r="O427" s="21"/>
      <c r="P427" s="29">
        <v>0.35</v>
      </c>
      <c r="Q427" s="29">
        <v>0.35</v>
      </c>
      <c r="R427" s="29">
        <v>0.35</v>
      </c>
      <c r="S427" s="29">
        <v>0.35</v>
      </c>
      <c r="U427" s="28">
        <f>U419+P427</f>
        <v>28.358153497771742</v>
      </c>
      <c r="V427" s="28">
        <f>V419+Q427</f>
        <v>28.285598255350745</v>
      </c>
      <c r="W427" s="28">
        <f>W419+R427</f>
        <v>28.361706270820353</v>
      </c>
      <c r="X427" s="28">
        <f>X419+S427</f>
        <v>28.289151028399363</v>
      </c>
    </row>
    <row r="428" spans="1:24" x14ac:dyDescent="0.2">
      <c r="A428" s="1">
        <v>216</v>
      </c>
      <c r="B428" s="1" t="s">
        <v>6</v>
      </c>
      <c r="C428" s="2">
        <v>36376</v>
      </c>
      <c r="O428" s="21"/>
      <c r="P428" s="29">
        <v>0.35</v>
      </c>
      <c r="Q428" s="29">
        <v>0.35</v>
      </c>
      <c r="R428" s="29">
        <v>0.35</v>
      </c>
      <c r="S428" s="29">
        <v>0.35</v>
      </c>
      <c r="U428" s="28">
        <f>U420+P428</f>
        <v>28.38749270884788</v>
      </c>
      <c r="V428" s="28">
        <f>V420+Q428</f>
        <v>28.434540036794697</v>
      </c>
      <c r="W428" s="28">
        <f>W420+R428</f>
        <v>28.34465487866472</v>
      </c>
      <c r="X428" s="28">
        <f>X420+S428</f>
        <v>28.297607550717903</v>
      </c>
    </row>
    <row r="429" spans="1:24" x14ac:dyDescent="0.2">
      <c r="A429" s="1">
        <v>216</v>
      </c>
      <c r="B429" s="1" t="s">
        <v>6</v>
      </c>
      <c r="C429" s="2">
        <v>36376</v>
      </c>
      <c r="O429" s="21"/>
      <c r="P429" s="29">
        <v>0.35</v>
      </c>
      <c r="Q429" s="29">
        <v>0.35</v>
      </c>
      <c r="R429" s="29">
        <v>0.35</v>
      </c>
      <c r="S429" s="29">
        <v>0.35</v>
      </c>
      <c r="U429" s="28">
        <f>U421+P429</f>
        <v>27.338226159936774</v>
      </c>
      <c r="V429" s="28">
        <f>V421+Q429</f>
        <v>27.290762302671407</v>
      </c>
      <c r="W429" s="28">
        <f>W421+R429</f>
        <v>27.38521158350472</v>
      </c>
      <c r="X429" s="28">
        <f>X421+S429</f>
        <v>27.337747726239353</v>
      </c>
    </row>
    <row r="430" spans="1:24" x14ac:dyDescent="0.2">
      <c r="A430" s="1">
        <v>216</v>
      </c>
      <c r="B430" s="1" t="s">
        <v>6</v>
      </c>
      <c r="C430" s="2">
        <v>36376</v>
      </c>
      <c r="O430" s="21"/>
      <c r="P430" s="29">
        <v>0.35</v>
      </c>
      <c r="Q430" s="29">
        <v>0.35</v>
      </c>
      <c r="R430" s="29">
        <v>0.35</v>
      </c>
      <c r="S430" s="29">
        <v>0.35</v>
      </c>
      <c r="U430" s="28">
        <f>U422+P430</f>
        <v>28.409724802608537</v>
      </c>
      <c r="V430" s="28">
        <f>V422+Q430</f>
        <v>28.272659664291282</v>
      </c>
      <c r="W430" s="28">
        <f>W422+R430</f>
        <v>28.228427639836021</v>
      </c>
      <c r="X430" s="28">
        <f>X422+S430</f>
        <v>28.365492778153268</v>
      </c>
    </row>
    <row r="431" spans="1:24" x14ac:dyDescent="0.2">
      <c r="A431" s="1">
        <v>216</v>
      </c>
      <c r="B431" s="1" t="s">
        <v>6</v>
      </c>
      <c r="C431" s="2">
        <v>36376</v>
      </c>
      <c r="O431" s="21"/>
      <c r="U431" s="6" t="s">
        <v>177</v>
      </c>
      <c r="V431" s="10">
        <f>AVERAGE(W427,U427,W428,V428,X429,V429,X430,U430)</f>
        <v>28.112847786715506</v>
      </c>
      <c r="W431" s="6" t="s">
        <v>176</v>
      </c>
      <c r="X431" s="10">
        <f>AVERAGE(V427,X427,X428,U428,U429,W429,W430,V430)</f>
        <v>28.060546823860584</v>
      </c>
    </row>
    <row r="432" spans="1:24" ht="13.5" thickBot="1" x14ac:dyDescent="0.25">
      <c r="A432" s="20"/>
      <c r="B432" s="20"/>
      <c r="C432" s="20"/>
      <c r="D432" s="12"/>
      <c r="E432" s="12"/>
      <c r="F432" s="12"/>
      <c r="G432" s="12"/>
      <c r="H432" s="15"/>
      <c r="I432" s="12"/>
      <c r="J432" s="40"/>
      <c r="K432" s="15"/>
      <c r="L432" s="12"/>
      <c r="M432" s="40"/>
      <c r="N432" s="12"/>
      <c r="O432" s="18"/>
      <c r="P432" s="12" t="s">
        <v>174</v>
      </c>
      <c r="Q432" s="12"/>
      <c r="R432" s="11">
        <f>AVERAGE(P427:S430)</f>
        <v>0.34999999999999992</v>
      </c>
      <c r="S432" s="12"/>
      <c r="T432" s="12"/>
      <c r="U432" s="12" t="s">
        <v>173</v>
      </c>
      <c r="V432" s="12"/>
      <c r="W432" s="12"/>
      <c r="X432" s="11">
        <f>AVERAGE(U427:X430)</f>
        <v>28.086697305288045</v>
      </c>
    </row>
    <row r="433" spans="1:24" x14ac:dyDescent="0.2">
      <c r="D433" s="26"/>
      <c r="E433" s="26"/>
      <c r="F433" s="38"/>
      <c r="G433" s="37"/>
      <c r="H433" s="25"/>
      <c r="I433" s="6"/>
      <c r="J433" s="36"/>
      <c r="K433" s="35"/>
      <c r="M433" s="34"/>
      <c r="N433" s="33"/>
      <c r="O433" s="32"/>
      <c r="P433" s="31"/>
      <c r="Q433" s="31"/>
      <c r="R433" s="31"/>
      <c r="S433" s="31"/>
      <c r="T433" s="31"/>
    </row>
    <row r="434" spans="1:24" x14ac:dyDescent="0.2">
      <c r="A434" s="1">
        <v>217</v>
      </c>
      <c r="B434" s="1" t="s">
        <v>129</v>
      </c>
      <c r="C434" s="2">
        <v>36377</v>
      </c>
      <c r="D434" s="26" t="s">
        <v>179</v>
      </c>
      <c r="E434" s="26">
        <v>105</v>
      </c>
      <c r="F434" s="27">
        <v>2731900</v>
      </c>
      <c r="G434" s="39">
        <v>2738400</v>
      </c>
      <c r="H434" s="25">
        <v>12</v>
      </c>
      <c r="I434" s="6" t="s">
        <v>178</v>
      </c>
      <c r="J434" s="24">
        <v>42</v>
      </c>
      <c r="K434" s="9">
        <v>13</v>
      </c>
      <c r="L434" s="6" t="s">
        <v>178</v>
      </c>
      <c r="M434" s="24">
        <v>0</v>
      </c>
      <c r="N434" s="22">
        <f>IF(H434=K434,M434-J434,60-(J434-M434))</f>
        <v>18</v>
      </c>
      <c r="O434" s="30">
        <f>(G434-F434)/N434</f>
        <v>361.11111111111109</v>
      </c>
      <c r="P434" s="6"/>
      <c r="Q434" s="6"/>
      <c r="R434" s="6"/>
      <c r="S434" s="6"/>
      <c r="U434" s="6"/>
      <c r="V434" s="6"/>
      <c r="W434" s="6"/>
      <c r="X434" s="6"/>
    </row>
    <row r="435" spans="1:24" x14ac:dyDescent="0.2">
      <c r="A435" s="1">
        <v>217</v>
      </c>
      <c r="B435" s="1" t="s">
        <v>129</v>
      </c>
      <c r="C435" s="2">
        <v>36377</v>
      </c>
      <c r="D435" s="26">
        <v>1</v>
      </c>
      <c r="E435" s="26">
        <v>105</v>
      </c>
      <c r="F435" s="27">
        <v>2712700</v>
      </c>
      <c r="G435" s="26">
        <f>F434</f>
        <v>2731900</v>
      </c>
      <c r="H435" s="25">
        <v>11</v>
      </c>
      <c r="I435" s="6" t="s">
        <v>178</v>
      </c>
      <c r="J435" s="24">
        <v>50</v>
      </c>
      <c r="K435" s="9">
        <f>H434</f>
        <v>12</v>
      </c>
      <c r="L435" s="6" t="s">
        <v>178</v>
      </c>
      <c r="M435" s="23">
        <f>J434</f>
        <v>42</v>
      </c>
      <c r="N435" s="22">
        <f>IF(H435=K435,M435-J435,((K435-H435)*60-((J435-M435))))</f>
        <v>52</v>
      </c>
      <c r="O435" s="30">
        <f>(G435-F435)/N435</f>
        <v>369.23076923076923</v>
      </c>
      <c r="P435" s="29">
        <f>($G435-$F435)/7.48/($AF$408*$E435/$AE$43)*12</f>
        <v>1.2978149436562862</v>
      </c>
      <c r="Q435" s="29">
        <f>($G435-$F435)/7.48/($AF$408*$E435/$AE$43)*12</f>
        <v>1.2978149436562862</v>
      </c>
      <c r="R435" s="29">
        <f>($G435-$F435)/7.48/($AF$408*$E435/$AE$43)*12</f>
        <v>1.2978149436562862</v>
      </c>
      <c r="S435" s="29">
        <f>($G435-$F435)/7.48/($AF$408*$E435/$AE$43)*12</f>
        <v>1.2978149436562862</v>
      </c>
      <c r="U435" s="28">
        <f>U427+P435</f>
        <v>29.65596844142803</v>
      </c>
      <c r="V435" s="28">
        <f>V427+Q435</f>
        <v>29.583413199007033</v>
      </c>
      <c r="W435" s="28">
        <f>W427+R435</f>
        <v>29.659521214476641</v>
      </c>
      <c r="X435" s="28">
        <f>X427+S435</f>
        <v>29.586965972055651</v>
      </c>
    </row>
    <row r="436" spans="1:24" x14ac:dyDescent="0.2">
      <c r="A436" s="1">
        <v>217</v>
      </c>
      <c r="B436" s="1" t="s">
        <v>129</v>
      </c>
      <c r="C436" s="2">
        <v>36377</v>
      </c>
      <c r="D436" s="26">
        <v>2</v>
      </c>
      <c r="E436" s="26">
        <v>105</v>
      </c>
      <c r="F436" s="27">
        <v>2695800</v>
      </c>
      <c r="G436" s="26">
        <f>F435</f>
        <v>2712700</v>
      </c>
      <c r="H436" s="25">
        <v>11</v>
      </c>
      <c r="I436" s="6" t="s">
        <v>178</v>
      </c>
      <c r="J436" s="24">
        <v>5</v>
      </c>
      <c r="K436" s="9">
        <f>H435</f>
        <v>11</v>
      </c>
      <c r="L436" s="6" t="s">
        <v>178</v>
      </c>
      <c r="M436" s="23">
        <f>J435</f>
        <v>50</v>
      </c>
      <c r="N436" s="22">
        <f>IF(H436=K436,M436-J436,60-(J436-M436))</f>
        <v>45</v>
      </c>
      <c r="O436" s="30">
        <f>(G436-F436)/N436</f>
        <v>375.55555555555554</v>
      </c>
      <c r="P436" s="29">
        <f>($G436-$F436)/7.48/($AF$409*$E436/$AE$43)*12</f>
        <v>1.0904226408703031</v>
      </c>
      <c r="Q436" s="29">
        <f>($G436-$F436)/7.48/($AF$409*$E436/$AE$43)*12</f>
        <v>1.0904226408703031</v>
      </c>
      <c r="R436" s="29">
        <f>($G436-$F436)/7.48/($AF$409*$E436/$AE$43)*12</f>
        <v>1.0904226408703031</v>
      </c>
      <c r="S436" s="29">
        <f>($G436-$F436)/7.48/($AF$409*$E436/$AE$43)*12</f>
        <v>1.0904226408703031</v>
      </c>
      <c r="U436" s="28">
        <f>U428+P436</f>
        <v>29.477915349718185</v>
      </c>
      <c r="V436" s="28">
        <f>V428+Q436</f>
        <v>29.524962677665002</v>
      </c>
      <c r="W436" s="28">
        <f>W428+R436</f>
        <v>29.435077519535024</v>
      </c>
      <c r="X436" s="28">
        <f>X428+S436</f>
        <v>29.388030191588207</v>
      </c>
    </row>
    <row r="437" spans="1:24" x14ac:dyDescent="0.2">
      <c r="A437" s="1">
        <v>217</v>
      </c>
      <c r="B437" s="1" t="s">
        <v>129</v>
      </c>
      <c r="C437" s="2">
        <v>36377</v>
      </c>
      <c r="D437" s="26">
        <v>3</v>
      </c>
      <c r="E437" s="26">
        <v>105</v>
      </c>
      <c r="F437" s="27">
        <v>2677400</v>
      </c>
      <c r="G437" s="26">
        <f>F436</f>
        <v>2695800</v>
      </c>
      <c r="H437" s="25">
        <v>10</v>
      </c>
      <c r="I437" s="6" t="s">
        <v>178</v>
      </c>
      <c r="J437" s="24">
        <v>15</v>
      </c>
      <c r="K437" s="9">
        <f>H436</f>
        <v>11</v>
      </c>
      <c r="L437" s="6" t="s">
        <v>178</v>
      </c>
      <c r="M437" s="23">
        <f>J436</f>
        <v>5</v>
      </c>
      <c r="N437" s="22">
        <f>IF(H437=K437,M437-J437,60-(J437-M437))</f>
        <v>50</v>
      </c>
      <c r="O437" s="30">
        <f>(G437-F437)/N437</f>
        <v>368</v>
      </c>
      <c r="P437" s="29">
        <f>($G437-$F437)/7.48/($AF$410*$E437/$AE$43)*12</f>
        <v>1.1872057155037619</v>
      </c>
      <c r="Q437" s="29">
        <f>($G437-$F437)/7.48/($AF$410*$E437/$AE$43)*12</f>
        <v>1.1872057155037619</v>
      </c>
      <c r="R437" s="29">
        <f>($G437-$F437)/7.48/($AF$410*$E437/$AE$43)*12</f>
        <v>1.1872057155037619</v>
      </c>
      <c r="S437" s="29">
        <f>($G437-$F437)/7.48/($AF$410*$E437/$AE$43)*12</f>
        <v>1.1872057155037619</v>
      </c>
      <c r="U437" s="28">
        <f>U429+P437</f>
        <v>28.525431875440535</v>
      </c>
      <c r="V437" s="28">
        <f>V429+Q437</f>
        <v>28.477968018175169</v>
      </c>
      <c r="W437" s="28">
        <f>W429+R437</f>
        <v>28.572417299008482</v>
      </c>
      <c r="X437" s="28">
        <f>X429+S437</f>
        <v>28.524953441743115</v>
      </c>
    </row>
    <row r="438" spans="1:24" x14ac:dyDescent="0.2">
      <c r="A438" s="1">
        <v>217</v>
      </c>
      <c r="B438" s="1" t="s">
        <v>129</v>
      </c>
      <c r="C438" s="2">
        <v>36377</v>
      </c>
      <c r="D438" s="26">
        <v>4</v>
      </c>
      <c r="E438" s="26">
        <v>105</v>
      </c>
      <c r="F438" s="27">
        <v>2658500</v>
      </c>
      <c r="G438" s="26">
        <f>F437</f>
        <v>2677400</v>
      </c>
      <c r="H438" s="25">
        <v>9</v>
      </c>
      <c r="I438" s="6" t="s">
        <v>178</v>
      </c>
      <c r="J438" s="24">
        <v>25</v>
      </c>
      <c r="K438" s="9">
        <f>H437</f>
        <v>10</v>
      </c>
      <c r="L438" s="6" t="s">
        <v>178</v>
      </c>
      <c r="M438" s="23">
        <f>J437</f>
        <v>15</v>
      </c>
      <c r="N438" s="22">
        <f>IF(H438=K438,M438-J438,60-(J438-M438))</f>
        <v>50</v>
      </c>
      <c r="O438" s="30">
        <f>(G438-F438)/N438</f>
        <v>378</v>
      </c>
      <c r="P438" s="29">
        <f>($G438-$F438)/7.48/($AF$411*$E438/$AE$43)*12</f>
        <v>1.2775365851616569</v>
      </c>
      <c r="Q438" s="29">
        <f>($G438-$F438)/7.48/($AF$411*$E438/$AE$43)*12</f>
        <v>1.2775365851616569</v>
      </c>
      <c r="R438" s="29">
        <f>($G438-$F438)/7.48/($AF$411*$E438/$AE$43)*12</f>
        <v>1.2775365851616569</v>
      </c>
      <c r="S438" s="29">
        <f>($G438-$F438)/7.48/($AF$411*$E438/$AE$43)*12</f>
        <v>1.2775365851616569</v>
      </c>
      <c r="U438" s="28">
        <f>U430+P438</f>
        <v>29.687261387770192</v>
      </c>
      <c r="V438" s="28">
        <f>V430+Q438</f>
        <v>29.550196249452938</v>
      </c>
      <c r="W438" s="28">
        <f>W430+R438</f>
        <v>29.505964224997676</v>
      </c>
      <c r="X438" s="28">
        <f>X430+S438</f>
        <v>29.643029363314923</v>
      </c>
    </row>
    <row r="439" spans="1:24" x14ac:dyDescent="0.2">
      <c r="A439" s="1">
        <v>217</v>
      </c>
      <c r="B439" s="1" t="s">
        <v>129</v>
      </c>
      <c r="C439" s="2">
        <v>36377</v>
      </c>
      <c r="D439" s="26" t="s">
        <v>180</v>
      </c>
      <c r="E439" s="26">
        <v>105</v>
      </c>
      <c r="F439" s="27">
        <v>2655400</v>
      </c>
      <c r="G439" s="26">
        <f>F438</f>
        <v>2658500</v>
      </c>
      <c r="H439" s="25">
        <v>9</v>
      </c>
      <c r="I439" s="6" t="s">
        <v>178</v>
      </c>
      <c r="J439" s="24">
        <v>15</v>
      </c>
      <c r="K439" s="9">
        <f>H438</f>
        <v>9</v>
      </c>
      <c r="L439" s="6" t="s">
        <v>178</v>
      </c>
      <c r="M439" s="23">
        <f>J438</f>
        <v>25</v>
      </c>
      <c r="N439" s="22">
        <f>IF(H439=K439,M439-J439,60-(J439-M439))</f>
        <v>10</v>
      </c>
      <c r="O439" s="21"/>
      <c r="U439" s="6" t="s">
        <v>177</v>
      </c>
      <c r="V439" s="10">
        <f>AVERAGE(W435,U435,W436,V436,X437,V437,X438,U438)</f>
        <v>29.326092758013516</v>
      </c>
      <c r="W439" s="6" t="s">
        <v>176</v>
      </c>
      <c r="X439" s="10">
        <f>AVERAGE(V435,X435,X436,U436,U437,W437,W438,V438)</f>
        <v>29.273791795158591</v>
      </c>
    </row>
    <row r="440" spans="1:24" ht="13.5" thickBot="1" x14ac:dyDescent="0.25">
      <c r="A440" s="20"/>
      <c r="B440" s="20"/>
      <c r="C440" s="20"/>
      <c r="D440" s="18"/>
      <c r="E440" s="18"/>
      <c r="F440" s="19"/>
      <c r="G440" s="18"/>
      <c r="H440" s="17"/>
      <c r="I440" s="12"/>
      <c r="J440" s="16"/>
      <c r="K440" s="15"/>
      <c r="L440" s="12"/>
      <c r="M440" s="14"/>
      <c r="N440" s="12" t="s">
        <v>175</v>
      </c>
      <c r="O440" s="13">
        <f>(G437-F438)/(SUM(N437:N438))</f>
        <v>373</v>
      </c>
      <c r="P440" s="12" t="s">
        <v>174</v>
      </c>
      <c r="Q440" s="12"/>
      <c r="R440" s="11">
        <f>AVERAGE(P435:S438)</f>
        <v>1.2132449712980018</v>
      </c>
      <c r="S440" s="12"/>
      <c r="T440" s="12"/>
      <c r="U440" s="12" t="s">
        <v>173</v>
      </c>
      <c r="V440" s="12"/>
      <c r="W440" s="12"/>
      <c r="X440" s="11">
        <f>AVERAGE(U435:X438)</f>
        <v>29.299942276586044</v>
      </c>
    </row>
    <row r="441" spans="1:24" x14ac:dyDescent="0.2">
      <c r="D441" s="26"/>
      <c r="E441" s="26"/>
      <c r="F441" s="38"/>
      <c r="G441" s="37"/>
      <c r="H441" s="25"/>
      <c r="I441" s="6"/>
      <c r="J441" s="36"/>
      <c r="K441" s="35"/>
      <c r="M441" s="34"/>
      <c r="N441" s="33"/>
      <c r="O441" s="32"/>
      <c r="P441" s="31"/>
      <c r="Q441" s="31"/>
      <c r="R441" s="31"/>
      <c r="S441" s="31"/>
      <c r="T441" s="31"/>
    </row>
    <row r="442" spans="1:24" x14ac:dyDescent="0.2">
      <c r="A442" s="1">
        <v>221</v>
      </c>
      <c r="B442" s="1" t="s">
        <v>14</v>
      </c>
      <c r="C442" s="2">
        <v>36381</v>
      </c>
      <c r="D442" s="26" t="s">
        <v>180</v>
      </c>
      <c r="E442" s="26">
        <v>105</v>
      </c>
      <c r="F442" s="27">
        <v>2738400</v>
      </c>
      <c r="G442" s="26">
        <f>F443</f>
        <v>2746200</v>
      </c>
      <c r="H442" s="9">
        <v>8</v>
      </c>
      <c r="I442" s="6" t="s">
        <v>178</v>
      </c>
      <c r="J442" s="24">
        <v>36</v>
      </c>
      <c r="K442" s="9">
        <f>H443</f>
        <v>8</v>
      </c>
      <c r="L442" s="6" t="s">
        <v>178</v>
      </c>
      <c r="M442" s="24">
        <f>J443</f>
        <v>57</v>
      </c>
      <c r="N442" s="22">
        <f>IF(H442=K442,M442-J442,60-(J442-M442))</f>
        <v>21</v>
      </c>
      <c r="O442" s="30">
        <f>(G442-F442)/N442</f>
        <v>371.42857142857144</v>
      </c>
      <c r="P442" s="6"/>
      <c r="Q442" s="6"/>
      <c r="R442" s="6"/>
      <c r="S442" s="6"/>
      <c r="U442" s="6"/>
      <c r="V442" s="6"/>
      <c r="W442" s="6"/>
      <c r="X442" s="6"/>
    </row>
    <row r="443" spans="1:24" x14ac:dyDescent="0.2">
      <c r="A443" s="1">
        <v>221</v>
      </c>
      <c r="B443" s="1" t="s">
        <v>14</v>
      </c>
      <c r="C443" s="2">
        <v>36381</v>
      </c>
      <c r="D443" s="26">
        <v>1</v>
      </c>
      <c r="E443" s="26">
        <v>105</v>
      </c>
      <c r="F443" s="27">
        <v>2746200</v>
      </c>
      <c r="G443" s="26">
        <f>F444</f>
        <v>2762300</v>
      </c>
      <c r="H443" s="25">
        <v>8</v>
      </c>
      <c r="I443" s="6" t="s">
        <v>178</v>
      </c>
      <c r="J443" s="24">
        <v>57</v>
      </c>
      <c r="K443" s="9">
        <f>H444</f>
        <v>9</v>
      </c>
      <c r="L443" s="6" t="s">
        <v>178</v>
      </c>
      <c r="M443" s="23">
        <f>J444</f>
        <v>40</v>
      </c>
      <c r="N443" s="22">
        <f>IF(H443=K443,M443-J443,60-(J443-M443))</f>
        <v>43</v>
      </c>
      <c r="O443" s="30">
        <f>(G443-F443)/N443</f>
        <v>374.41860465116281</v>
      </c>
      <c r="P443" s="29">
        <f>($G443-$F443)/7.48/($AF$408*$E443/$AE$43)*12</f>
        <v>1.0882719058784485</v>
      </c>
      <c r="Q443" s="29">
        <f>($G443-$F443)/7.48/($AF$408*$E443/$AE$43)*12</f>
        <v>1.0882719058784485</v>
      </c>
      <c r="R443" s="29">
        <f>($G443-$F443)/7.48/($AF$408*$E443/$AE$43)*12</f>
        <v>1.0882719058784485</v>
      </c>
      <c r="S443" s="29">
        <f>($G443-$F443)/7.48/($AF$408*$E443/$AE$43)*12</f>
        <v>1.0882719058784485</v>
      </c>
      <c r="U443" s="28">
        <f>U435+P443</f>
        <v>30.74424034730648</v>
      </c>
      <c r="V443" s="28">
        <f>V435+Q443</f>
        <v>30.671685104885483</v>
      </c>
      <c r="W443" s="28">
        <f>W435+R443</f>
        <v>30.747793120355091</v>
      </c>
      <c r="X443" s="28">
        <f>X435+S443</f>
        <v>30.675237877934102</v>
      </c>
    </row>
    <row r="444" spans="1:24" x14ac:dyDescent="0.2">
      <c r="A444" s="1">
        <v>221</v>
      </c>
      <c r="B444" s="1" t="s">
        <v>14</v>
      </c>
      <c r="C444" s="2">
        <v>36381</v>
      </c>
      <c r="D444" s="26">
        <v>2</v>
      </c>
      <c r="E444" s="26">
        <v>105</v>
      </c>
      <c r="F444" s="27">
        <v>2762300</v>
      </c>
      <c r="G444" s="26">
        <f>F445</f>
        <v>2778000</v>
      </c>
      <c r="H444" s="25">
        <v>9</v>
      </c>
      <c r="I444" s="6" t="s">
        <v>178</v>
      </c>
      <c r="J444" s="24">
        <v>40</v>
      </c>
      <c r="K444" s="9">
        <f>H445</f>
        <v>10</v>
      </c>
      <c r="L444" s="6" t="s">
        <v>178</v>
      </c>
      <c r="M444" s="23">
        <f>J445</f>
        <v>22</v>
      </c>
      <c r="N444" s="22">
        <f>IF(H444=K444,M444-J444,60-(J444-M444))</f>
        <v>42</v>
      </c>
      <c r="O444" s="30">
        <f>(G444-F444)/N444</f>
        <v>373.8095238095238</v>
      </c>
      <c r="P444" s="29">
        <f>($G444-$F444)/7.48/($AF$409*$E444/$AE$43)*12</f>
        <v>1.0129961811635362</v>
      </c>
      <c r="Q444" s="29">
        <f>($G444-$F444)/7.48/($AF$409*$E444/$AE$43)*12</f>
        <v>1.0129961811635362</v>
      </c>
      <c r="R444" s="29">
        <f>($G444-$F444)/7.48/($AF$409*$E444/$AE$43)*12</f>
        <v>1.0129961811635362</v>
      </c>
      <c r="S444" s="29">
        <f>($G444-$F444)/7.48/($AF$409*$E444/$AE$43)*12</f>
        <v>1.0129961811635362</v>
      </c>
      <c r="U444" s="28">
        <f>U436+P444</f>
        <v>30.490911530881721</v>
      </c>
      <c r="V444" s="28">
        <f>V436+Q444</f>
        <v>30.537958858828539</v>
      </c>
      <c r="W444" s="28">
        <f>W436+R444</f>
        <v>30.448073700698561</v>
      </c>
      <c r="X444" s="28">
        <f>X436+S444</f>
        <v>30.401026372751744</v>
      </c>
    </row>
    <row r="445" spans="1:24" x14ac:dyDescent="0.2">
      <c r="A445" s="1">
        <v>221</v>
      </c>
      <c r="B445" s="1" t="s">
        <v>14</v>
      </c>
      <c r="C445" s="2">
        <v>36381</v>
      </c>
      <c r="D445" s="26">
        <v>3</v>
      </c>
      <c r="E445" s="26">
        <v>105</v>
      </c>
      <c r="F445" s="27">
        <v>2778000</v>
      </c>
      <c r="G445" s="26">
        <f>F446</f>
        <v>2794000</v>
      </c>
      <c r="H445" s="25">
        <v>10</v>
      </c>
      <c r="I445" s="6" t="s">
        <v>178</v>
      </c>
      <c r="J445" s="24">
        <v>22</v>
      </c>
      <c r="K445" s="9">
        <f>H446</f>
        <v>11</v>
      </c>
      <c r="L445" s="6" t="s">
        <v>178</v>
      </c>
      <c r="M445" s="23">
        <f>J446</f>
        <v>5</v>
      </c>
      <c r="N445" s="22">
        <f>IF(H445=K445,M445-J445,60-(J445-M445))</f>
        <v>43</v>
      </c>
      <c r="O445" s="30">
        <f>(G445-F445)/N445</f>
        <v>372.09302325581393</v>
      </c>
      <c r="P445" s="29">
        <f>($G445-$F445)/7.48/($AF$410*$E445/$AE$43)*12</f>
        <v>1.0323527960902279</v>
      </c>
      <c r="Q445" s="29">
        <f>($G445-$F445)/7.48/($AF$410*$E445/$AE$43)*12</f>
        <v>1.0323527960902279</v>
      </c>
      <c r="R445" s="29">
        <f>($G445-$F445)/7.48/($AF$410*$E445/$AE$43)*12</f>
        <v>1.0323527960902279</v>
      </c>
      <c r="S445" s="29">
        <f>($G445-$F445)/7.48/($AF$410*$E445/$AE$43)*12</f>
        <v>1.0323527960902279</v>
      </c>
      <c r="U445" s="28">
        <f>U437+P445</f>
        <v>29.557784671530761</v>
      </c>
      <c r="V445" s="28">
        <f>V437+Q445</f>
        <v>29.510320814265398</v>
      </c>
      <c r="W445" s="28">
        <f>W437+R445</f>
        <v>29.604770095098708</v>
      </c>
      <c r="X445" s="28">
        <f>X437+S445</f>
        <v>29.557306237833345</v>
      </c>
    </row>
    <row r="446" spans="1:24" x14ac:dyDescent="0.2">
      <c r="A446" s="1">
        <v>221</v>
      </c>
      <c r="B446" s="1" t="s">
        <v>14</v>
      </c>
      <c r="C446" s="2">
        <v>36381</v>
      </c>
      <c r="D446" s="26">
        <v>4</v>
      </c>
      <c r="E446" s="26">
        <v>105</v>
      </c>
      <c r="F446" s="27">
        <v>2794000</v>
      </c>
      <c r="G446" s="26">
        <f>F447</f>
        <v>2811000</v>
      </c>
      <c r="H446" s="25">
        <v>11</v>
      </c>
      <c r="I446" s="6" t="s">
        <v>178</v>
      </c>
      <c r="J446" s="24">
        <v>5</v>
      </c>
      <c r="K446" s="9">
        <f>H447</f>
        <v>11</v>
      </c>
      <c r="L446" s="6" t="s">
        <v>178</v>
      </c>
      <c r="M446" s="23">
        <f>J447</f>
        <v>51</v>
      </c>
      <c r="N446" s="22">
        <f>IF(H446=K446,M446-J446,60-(J446-M446))</f>
        <v>46</v>
      </c>
      <c r="O446" s="30">
        <f>(G446-F446)/N446</f>
        <v>369.56521739130437</v>
      </c>
      <c r="P446" s="29">
        <f>($G446-$F446)/7.48/($AF$411*$E446/$AE$43)*12</f>
        <v>1.1491069813623369</v>
      </c>
      <c r="Q446" s="29">
        <f>($G446-$F446)/7.48/($AF$411*$E446/$AE$43)*12</f>
        <v>1.1491069813623369</v>
      </c>
      <c r="R446" s="29">
        <f>($G446-$F446)/7.48/($AF$411*$E446/$AE$43)*12</f>
        <v>1.1491069813623369</v>
      </c>
      <c r="S446" s="29">
        <f>($G446-$F446)/7.48/($AF$411*$E446/$AE$43)*12</f>
        <v>1.1491069813623369</v>
      </c>
      <c r="U446" s="28">
        <f>U438+P446</f>
        <v>30.836368369132529</v>
      </c>
      <c r="V446" s="28">
        <f>V438+Q446</f>
        <v>30.699303230815275</v>
      </c>
      <c r="W446" s="28">
        <f>W438+R446</f>
        <v>30.655071206360013</v>
      </c>
      <c r="X446" s="28">
        <f>X438+S446</f>
        <v>30.79213634467726</v>
      </c>
    </row>
    <row r="447" spans="1:24" x14ac:dyDescent="0.2">
      <c r="A447" s="1">
        <v>221</v>
      </c>
      <c r="B447" s="1" t="s">
        <v>14</v>
      </c>
      <c r="C447" s="2">
        <v>36381</v>
      </c>
      <c r="D447" s="26" t="s">
        <v>179</v>
      </c>
      <c r="E447" s="26">
        <v>105</v>
      </c>
      <c r="F447" s="27">
        <v>2811000</v>
      </c>
      <c r="G447" s="26">
        <v>2813800</v>
      </c>
      <c r="H447" s="25">
        <v>11</v>
      </c>
      <c r="I447" s="6" t="s">
        <v>178</v>
      </c>
      <c r="J447" s="24">
        <v>51</v>
      </c>
      <c r="K447" s="9">
        <v>11</v>
      </c>
      <c r="L447" s="6" t="s">
        <v>178</v>
      </c>
      <c r="M447" s="23">
        <v>59</v>
      </c>
      <c r="N447" s="22">
        <f>IF(H447=K447,M447-J447,60-(J447-M447))</f>
        <v>8</v>
      </c>
      <c r="O447" s="21"/>
      <c r="U447" s="6" t="s">
        <v>177</v>
      </c>
      <c r="V447" s="10">
        <f>AVERAGE(W443,U443,W444,V444,X445,V445,X446,U446)</f>
        <v>30.396774724137153</v>
      </c>
      <c r="W447" s="6" t="s">
        <v>176</v>
      </c>
      <c r="X447" s="10">
        <f>AVERAGE(V443,X443,X444,U444,U445,W445,W446,V446)</f>
        <v>30.344473761282227</v>
      </c>
    </row>
    <row r="448" spans="1:24" ht="13.5" thickBot="1" x14ac:dyDescent="0.25">
      <c r="A448" s="20"/>
      <c r="B448" s="20"/>
      <c r="C448" s="20"/>
      <c r="D448" s="18"/>
      <c r="E448" s="18"/>
      <c r="F448" s="19"/>
      <c r="G448" s="18"/>
      <c r="H448" s="17"/>
      <c r="I448" s="12"/>
      <c r="J448" s="16"/>
      <c r="K448" s="15"/>
      <c r="L448" s="12"/>
      <c r="M448" s="14"/>
      <c r="N448" s="12" t="s">
        <v>175</v>
      </c>
      <c r="O448" s="13">
        <f>(G444-F443)/(SUM(N443:N444))</f>
        <v>374.11764705882354</v>
      </c>
      <c r="P448" s="12" t="s">
        <v>174</v>
      </c>
      <c r="Q448" s="12"/>
      <c r="R448" s="11">
        <f>AVERAGE(P443:S446)</f>
        <v>1.0706819661236373</v>
      </c>
      <c r="S448" s="12"/>
      <c r="T448" s="12"/>
      <c r="U448" s="12" t="s">
        <v>173</v>
      </c>
      <c r="V448" s="12"/>
      <c r="W448" s="12"/>
      <c r="X448" s="11">
        <f>AVERAGE(U443:X446)</f>
        <v>30.370624242709692</v>
      </c>
    </row>
    <row r="449" spans="1:24" x14ac:dyDescent="0.2">
      <c r="D449" s="26"/>
      <c r="E449" s="26"/>
      <c r="F449" s="38"/>
      <c r="G449" s="37"/>
      <c r="H449" s="25"/>
      <c r="I449" s="6"/>
      <c r="J449" s="36"/>
      <c r="K449" s="35"/>
      <c r="M449" s="34"/>
      <c r="N449" s="33"/>
      <c r="O449" s="32"/>
      <c r="P449" s="31"/>
      <c r="Q449" s="31"/>
      <c r="R449" s="31"/>
      <c r="S449" s="31"/>
      <c r="T449" s="31"/>
    </row>
    <row r="450" spans="1:24" x14ac:dyDescent="0.2">
      <c r="A450" s="1">
        <v>223</v>
      </c>
      <c r="B450" s="1" t="s">
        <v>6</v>
      </c>
      <c r="C450" s="2">
        <v>36383</v>
      </c>
      <c r="D450" s="26" t="s">
        <v>179</v>
      </c>
      <c r="E450" s="26">
        <v>105</v>
      </c>
      <c r="F450" s="27">
        <v>2854200</v>
      </c>
      <c r="G450" s="39">
        <v>2854800</v>
      </c>
      <c r="H450" s="25">
        <v>10</v>
      </c>
      <c r="I450" s="6" t="s">
        <v>178</v>
      </c>
      <c r="J450" s="24">
        <v>48</v>
      </c>
      <c r="K450" s="9">
        <v>10</v>
      </c>
      <c r="L450" s="6" t="s">
        <v>178</v>
      </c>
      <c r="M450" s="24">
        <v>51</v>
      </c>
      <c r="N450" s="22">
        <f>IF(H450=K450,M450-J450,60-(J450-M450))</f>
        <v>3</v>
      </c>
      <c r="O450" s="30">
        <f>(G450-F450)/N450</f>
        <v>200</v>
      </c>
      <c r="P450" s="6"/>
      <c r="Q450" s="6"/>
      <c r="R450" s="6"/>
      <c r="S450" s="6"/>
      <c r="U450" s="6"/>
      <c r="V450" s="6"/>
      <c r="W450" s="6"/>
      <c r="X450" s="6"/>
    </row>
    <row r="451" spans="1:24" x14ac:dyDescent="0.2">
      <c r="A451" s="1">
        <v>223</v>
      </c>
      <c r="B451" s="1" t="s">
        <v>6</v>
      </c>
      <c r="C451" s="2">
        <v>36383</v>
      </c>
      <c r="D451" s="26">
        <v>1</v>
      </c>
      <c r="E451" s="26">
        <v>53</v>
      </c>
      <c r="F451" s="27">
        <v>2845800</v>
      </c>
      <c r="G451" s="26">
        <f>F450</f>
        <v>2854200</v>
      </c>
      <c r="H451" s="25">
        <v>10</v>
      </c>
      <c r="I451" s="6" t="s">
        <v>178</v>
      </c>
      <c r="J451" s="24">
        <v>5</v>
      </c>
      <c r="K451" s="9">
        <f>H450</f>
        <v>10</v>
      </c>
      <c r="L451" s="6" t="s">
        <v>178</v>
      </c>
      <c r="M451" s="23">
        <f>J450</f>
        <v>48</v>
      </c>
      <c r="N451" s="22">
        <f>IF(H451=K451,M451-J451,((K451-H451)*60-((J451-M451))))</f>
        <v>43</v>
      </c>
      <c r="O451" s="30">
        <f>(G451-F451)/N451</f>
        <v>195.34883720930233</v>
      </c>
      <c r="P451" s="29"/>
      <c r="Q451" s="29">
        <f>($G451-$F451)/7.48/($AF$408*$E451/$AE$43)*12</f>
        <v>1.1248749806454841</v>
      </c>
      <c r="R451" s="29"/>
      <c r="S451" s="29">
        <f>($G451-$F451)/7.48/($AF$408*$E451/$AE$43)*12</f>
        <v>1.1248749806454841</v>
      </c>
      <c r="U451" s="28">
        <f>U443+P451</f>
        <v>30.74424034730648</v>
      </c>
      <c r="V451" s="28">
        <f>V443+Q451</f>
        <v>31.796560085530967</v>
      </c>
      <c r="W451" s="28">
        <f>W443+R451</f>
        <v>30.747793120355091</v>
      </c>
      <c r="X451" s="28">
        <f>X443+S451</f>
        <v>31.800112858579585</v>
      </c>
    </row>
    <row r="452" spans="1:24" x14ac:dyDescent="0.2">
      <c r="A452" s="1">
        <v>223</v>
      </c>
      <c r="B452" s="1" t="s">
        <v>6</v>
      </c>
      <c r="C452" s="2">
        <v>36383</v>
      </c>
      <c r="D452" s="26">
        <v>2</v>
      </c>
      <c r="E452" s="26">
        <v>57</v>
      </c>
      <c r="F452" s="27">
        <v>2836700</v>
      </c>
      <c r="G452" s="26">
        <f>F451</f>
        <v>2845800</v>
      </c>
      <c r="H452" s="25">
        <v>9</v>
      </c>
      <c r="I452" s="6" t="s">
        <v>178</v>
      </c>
      <c r="J452" s="24">
        <v>25</v>
      </c>
      <c r="K452" s="9">
        <f>H451</f>
        <v>10</v>
      </c>
      <c r="L452" s="6" t="s">
        <v>178</v>
      </c>
      <c r="M452" s="23">
        <f>J451</f>
        <v>5</v>
      </c>
      <c r="N452" s="22">
        <f>IF(H452=K452,M452-J452,60-(J452-M452))</f>
        <v>40</v>
      </c>
      <c r="O452" s="30">
        <f>(G452-F452)/N452</f>
        <v>227.5</v>
      </c>
      <c r="P452" s="29">
        <f>($G452-$F452)/7.48/($AF$409*$E452/$AE$43)*12</f>
        <v>1.0815933077458473</v>
      </c>
      <c r="Q452" s="29"/>
      <c r="R452" s="29"/>
      <c r="S452" s="29">
        <f>($G452-$F452)/7.48/($AF$409*$E452/$AE$43)*12</f>
        <v>1.0815933077458473</v>
      </c>
      <c r="U452" s="28">
        <f>U444+P452</f>
        <v>31.57250483862757</v>
      </c>
      <c r="V452" s="28">
        <f>V444+Q452</f>
        <v>30.537958858828539</v>
      </c>
      <c r="W452" s="28">
        <f>W444+R452</f>
        <v>30.448073700698561</v>
      </c>
      <c r="X452" s="28">
        <f>X444+S452</f>
        <v>31.482619680497592</v>
      </c>
    </row>
    <row r="453" spans="1:24" x14ac:dyDescent="0.2">
      <c r="A453" s="1">
        <v>223</v>
      </c>
      <c r="B453" s="1" t="s">
        <v>6</v>
      </c>
      <c r="C453" s="2">
        <v>36383</v>
      </c>
      <c r="D453" s="26">
        <v>3</v>
      </c>
      <c r="E453" s="26">
        <v>52</v>
      </c>
      <c r="F453" s="27">
        <v>2828700</v>
      </c>
      <c r="G453" s="26">
        <f>F452</f>
        <v>2836700</v>
      </c>
      <c r="H453" s="25">
        <v>8</v>
      </c>
      <c r="I453" s="6" t="s">
        <v>178</v>
      </c>
      <c r="J453" s="24">
        <v>45</v>
      </c>
      <c r="K453" s="9">
        <f>H452</f>
        <v>9</v>
      </c>
      <c r="L453" s="6" t="s">
        <v>178</v>
      </c>
      <c r="M453" s="23">
        <f>J452</f>
        <v>25</v>
      </c>
      <c r="N453" s="22">
        <f>IF(H453=K453,M453-J453,60-(J453-M453))</f>
        <v>40</v>
      </c>
      <c r="O453" s="30">
        <f>(G453-F453)/N453</f>
        <v>200</v>
      </c>
      <c r="P453" s="29">
        <f>($G453-$F453)/7.48/($AF$410*$E453/$AE$43)*12</f>
        <v>1.042279265283403</v>
      </c>
      <c r="Q453" s="29"/>
      <c r="R453" s="29">
        <f>($G453-$F453)/7.48/($AF$410*$E453/$AE$43)*12</f>
        <v>1.042279265283403</v>
      </c>
      <c r="S453" s="29"/>
      <c r="U453" s="28">
        <f>U445+P453</f>
        <v>30.600063936814166</v>
      </c>
      <c r="V453" s="28">
        <f>V445+Q453</f>
        <v>29.510320814265398</v>
      </c>
      <c r="W453" s="28">
        <f>W445+R453</f>
        <v>30.647049360382113</v>
      </c>
      <c r="X453" s="28">
        <f>X445+S453</f>
        <v>29.557306237833345</v>
      </c>
    </row>
    <row r="454" spans="1:24" x14ac:dyDescent="0.2">
      <c r="A454" s="1">
        <v>223</v>
      </c>
      <c r="B454" s="1" t="s">
        <v>6</v>
      </c>
      <c r="C454" s="2">
        <v>36383</v>
      </c>
      <c r="D454" s="26">
        <v>4</v>
      </c>
      <c r="E454" s="26">
        <v>53</v>
      </c>
      <c r="F454" s="27">
        <v>2820200</v>
      </c>
      <c r="G454" s="26">
        <f>F453</f>
        <v>2828700</v>
      </c>
      <c r="H454" s="25">
        <v>8</v>
      </c>
      <c r="I454" s="6" t="s">
        <v>178</v>
      </c>
      <c r="J454" s="24">
        <v>0</v>
      </c>
      <c r="K454" s="9">
        <f>H453</f>
        <v>8</v>
      </c>
      <c r="L454" s="6" t="s">
        <v>178</v>
      </c>
      <c r="M454" s="23">
        <f>J453</f>
        <v>45</v>
      </c>
      <c r="N454" s="22">
        <f>IF(H454=K454,M454-J454,60-(J454-M454))</f>
        <v>45</v>
      </c>
      <c r="O454" s="30">
        <f>(G454-F454)/N454</f>
        <v>188.88888888888889</v>
      </c>
      <c r="P454" s="29"/>
      <c r="Q454" s="29">
        <f>($G454-$F454)/7.48/($AF$411*$E454/$AE$43)*12</f>
        <v>1.1382663494626921</v>
      </c>
      <c r="R454" s="29"/>
      <c r="S454" s="29">
        <f>($G454-$F454)/7.48/($AF$411*$E454/$AE$43)*12</f>
        <v>1.1382663494626921</v>
      </c>
      <c r="U454" s="28">
        <f>U446+P454</f>
        <v>30.836368369132529</v>
      </c>
      <c r="V454" s="28">
        <f>V446+Q454</f>
        <v>31.837569580277968</v>
      </c>
      <c r="W454" s="28">
        <f>W446+R454</f>
        <v>30.655071206360013</v>
      </c>
      <c r="X454" s="28">
        <f>X446+S454</f>
        <v>31.930402694139953</v>
      </c>
    </row>
    <row r="455" spans="1:24" x14ac:dyDescent="0.2">
      <c r="A455" s="1">
        <v>223</v>
      </c>
      <c r="B455" s="1" t="s">
        <v>6</v>
      </c>
      <c r="C455" s="2">
        <v>36383</v>
      </c>
      <c r="D455" s="26" t="s">
        <v>180</v>
      </c>
      <c r="E455" s="26">
        <v>105</v>
      </c>
      <c r="F455" s="27">
        <v>2816800</v>
      </c>
      <c r="G455" s="26">
        <f>F454</f>
        <v>2820200</v>
      </c>
      <c r="H455" s="25">
        <v>7</v>
      </c>
      <c r="I455" s="6" t="s">
        <v>178</v>
      </c>
      <c r="J455" s="24">
        <v>45</v>
      </c>
      <c r="K455" s="9">
        <f>H454</f>
        <v>8</v>
      </c>
      <c r="L455" s="6" t="s">
        <v>178</v>
      </c>
      <c r="M455" s="23">
        <f>J454</f>
        <v>0</v>
      </c>
      <c r="N455" s="22">
        <f>IF(H455=K455,M455-J455,60-(J455-M455))</f>
        <v>15</v>
      </c>
      <c r="O455" s="21"/>
      <c r="U455" s="6" t="s">
        <v>177</v>
      </c>
      <c r="V455" s="10">
        <f>AVERAGE(W451,U451,W452,V452,X453,V453,X454,U454)</f>
        <v>30.53905801781999</v>
      </c>
      <c r="W455" s="6" t="s">
        <v>176</v>
      </c>
      <c r="X455" s="10">
        <f>AVERAGE(V451,X451,X452,U452,U453,W453,W454,V454)</f>
        <v>31.298943943383748</v>
      </c>
    </row>
    <row r="456" spans="1:24" ht="13.5" thickBot="1" x14ac:dyDescent="0.25">
      <c r="A456" s="20"/>
      <c r="B456" s="20"/>
      <c r="C456" s="20"/>
      <c r="D456" s="18"/>
      <c r="E456" s="18"/>
      <c r="F456" s="19"/>
      <c r="G456" s="18"/>
      <c r="H456" s="17"/>
      <c r="I456" s="12"/>
      <c r="J456" s="16"/>
      <c r="K456" s="15"/>
      <c r="L456" s="12"/>
      <c r="M456" s="14"/>
      <c r="N456" s="12" t="s">
        <v>175</v>
      </c>
      <c r="O456" s="13">
        <f>(G453-F454)/(SUM(N453:N454))</f>
        <v>194.11764705882354</v>
      </c>
      <c r="P456" s="12" t="s">
        <v>174</v>
      </c>
      <c r="Q456" s="12"/>
      <c r="R456" s="11">
        <f>AVERAGE(P451:S454)</f>
        <v>1.0967534757843567</v>
      </c>
      <c r="S456" s="12"/>
      <c r="T456" s="12"/>
      <c r="U456" s="12" t="s">
        <v>173</v>
      </c>
      <c r="V456" s="12"/>
      <c r="W456" s="12"/>
      <c r="X456" s="11">
        <f>AVERAGE(U451:X454)</f>
        <v>30.919000980601865</v>
      </c>
    </row>
    <row r="457" spans="1:24" x14ac:dyDescent="0.2">
      <c r="D457" s="26"/>
      <c r="E457" s="26"/>
      <c r="F457" s="38"/>
      <c r="G457" s="37"/>
      <c r="H457" s="25"/>
      <c r="I457" s="6"/>
      <c r="J457" s="36"/>
      <c r="K457" s="35"/>
      <c r="M457" s="34"/>
      <c r="N457" s="33"/>
      <c r="O457" s="32"/>
      <c r="P457" s="31"/>
      <c r="Q457" s="31"/>
      <c r="R457" s="31"/>
      <c r="S457" s="31"/>
      <c r="T457" s="31"/>
    </row>
    <row r="458" spans="1:24" x14ac:dyDescent="0.2">
      <c r="A458" s="1">
        <v>223</v>
      </c>
      <c r="B458" s="1" t="s">
        <v>6</v>
      </c>
      <c r="C458" s="2">
        <v>36383</v>
      </c>
      <c r="D458" s="26" t="s">
        <v>180</v>
      </c>
      <c r="E458" s="26">
        <v>105</v>
      </c>
      <c r="F458" s="27">
        <v>2854800</v>
      </c>
      <c r="G458" s="26">
        <f>F459</f>
        <v>2857000</v>
      </c>
      <c r="H458" s="9">
        <v>11</v>
      </c>
      <c r="I458" s="6" t="s">
        <v>178</v>
      </c>
      <c r="J458" s="24">
        <v>10</v>
      </c>
      <c r="K458" s="9">
        <f>H459</f>
        <v>11</v>
      </c>
      <c r="L458" s="6" t="s">
        <v>178</v>
      </c>
      <c r="M458" s="24">
        <f>J459</f>
        <v>13</v>
      </c>
      <c r="N458" s="22">
        <f>IF(H458=K458,M458-J458,60-(J458-M458))</f>
        <v>3</v>
      </c>
      <c r="O458" s="30">
        <f>(G458-F458)/N458</f>
        <v>733.33333333333337</v>
      </c>
      <c r="P458" s="6"/>
      <c r="Q458" s="6"/>
      <c r="R458" s="6"/>
      <c r="S458" s="6"/>
      <c r="U458" s="6"/>
      <c r="V458" s="6"/>
      <c r="W458" s="6"/>
      <c r="X458" s="6"/>
    </row>
    <row r="459" spans="1:24" x14ac:dyDescent="0.2">
      <c r="A459" s="1">
        <v>223</v>
      </c>
      <c r="B459" s="1" t="s">
        <v>6</v>
      </c>
      <c r="C459" s="2">
        <v>36383</v>
      </c>
      <c r="D459" s="26">
        <v>1</v>
      </c>
      <c r="E459" s="26">
        <v>53</v>
      </c>
      <c r="F459" s="27">
        <v>2857000</v>
      </c>
      <c r="G459" s="26">
        <f>F460</f>
        <v>2861200</v>
      </c>
      <c r="H459" s="25">
        <v>11</v>
      </c>
      <c r="I459" s="6" t="s">
        <v>178</v>
      </c>
      <c r="J459" s="24">
        <v>13</v>
      </c>
      <c r="K459" s="9">
        <f>H460</f>
        <v>11</v>
      </c>
      <c r="L459" s="6" t="s">
        <v>178</v>
      </c>
      <c r="M459" s="23">
        <f>J460</f>
        <v>35</v>
      </c>
      <c r="N459" s="22">
        <f>IF(H459=K459,M459-J459,60-(J459-M459))</f>
        <v>22</v>
      </c>
      <c r="O459" s="30">
        <f>(G459-F459)/N459</f>
        <v>190.90909090909091</v>
      </c>
      <c r="P459" s="29"/>
      <c r="Q459" s="29">
        <f>($G459-$F459)/7.48/($AF$408*$E459/$AE$43)*12</f>
        <v>0.56243749032274204</v>
      </c>
      <c r="R459" s="29"/>
      <c r="S459" s="29">
        <f>($G459-$F459)/7.48/($AF$408*$E459/$AE$43)*12</f>
        <v>0.56243749032274204</v>
      </c>
      <c r="U459" s="28">
        <f>U451+P459</f>
        <v>30.74424034730648</v>
      </c>
      <c r="V459" s="28">
        <f>V451+Q459</f>
        <v>32.358997575853707</v>
      </c>
      <c r="W459" s="28">
        <f>W451+R459</f>
        <v>30.747793120355091</v>
      </c>
      <c r="X459" s="28">
        <f>X451+S459</f>
        <v>32.362550348902325</v>
      </c>
    </row>
    <row r="460" spans="1:24" x14ac:dyDescent="0.2">
      <c r="A460" s="1">
        <v>223</v>
      </c>
      <c r="B460" s="1" t="s">
        <v>6</v>
      </c>
      <c r="C460" s="2">
        <v>36383</v>
      </c>
      <c r="D460" s="26">
        <v>2</v>
      </c>
      <c r="E460" s="26">
        <v>57</v>
      </c>
      <c r="F460" s="27">
        <v>2861200</v>
      </c>
      <c r="G460" s="26">
        <f>F461</f>
        <v>2865700</v>
      </c>
      <c r="H460" s="25">
        <v>11</v>
      </c>
      <c r="I460" s="6" t="s">
        <v>178</v>
      </c>
      <c r="J460" s="24">
        <v>35</v>
      </c>
      <c r="K460" s="9">
        <f>H461</f>
        <v>11</v>
      </c>
      <c r="L460" s="6" t="s">
        <v>178</v>
      </c>
      <c r="M460" s="23">
        <f>J461</f>
        <v>56</v>
      </c>
      <c r="N460" s="22">
        <f>IF(H460=K460,M460-J460,60-(J460-M460))</f>
        <v>21</v>
      </c>
      <c r="O460" s="30">
        <f>(G460-F460)/N460</f>
        <v>214.28571428571428</v>
      </c>
      <c r="P460" s="29">
        <f>($G460-$F460)/7.48/($AF$409*$E460/$AE$43)*12</f>
        <v>0.53485383350069382</v>
      </c>
      <c r="Q460" s="29"/>
      <c r="R460" s="29"/>
      <c r="S460" s="29">
        <f>($G460-$F460)/7.48/($AF$409*$E460/$AE$43)*12</f>
        <v>0.53485383350069382</v>
      </c>
      <c r="U460" s="28">
        <f>U452+P460</f>
        <v>32.107358672128264</v>
      </c>
      <c r="V460" s="28">
        <f>V452+Q460</f>
        <v>30.537958858828539</v>
      </c>
      <c r="W460" s="28">
        <f>W452+R460</f>
        <v>30.448073700698561</v>
      </c>
      <c r="X460" s="28">
        <f>X452+S460</f>
        <v>32.017473513998283</v>
      </c>
    </row>
    <row r="461" spans="1:24" x14ac:dyDescent="0.2">
      <c r="A461" s="1">
        <v>223</v>
      </c>
      <c r="B461" s="1" t="s">
        <v>6</v>
      </c>
      <c r="C461" s="2">
        <v>36383</v>
      </c>
      <c r="D461" s="26">
        <v>3</v>
      </c>
      <c r="E461" s="26">
        <v>52</v>
      </c>
      <c r="F461" s="27">
        <v>2865700</v>
      </c>
      <c r="G461" s="26">
        <f>F462</f>
        <v>2870000</v>
      </c>
      <c r="H461" s="25">
        <v>11</v>
      </c>
      <c r="I461" s="6" t="s">
        <v>178</v>
      </c>
      <c r="J461" s="24">
        <v>56</v>
      </c>
      <c r="K461" s="9">
        <f>H462</f>
        <v>12</v>
      </c>
      <c r="L461" s="6" t="s">
        <v>178</v>
      </c>
      <c r="M461" s="23">
        <f>J462</f>
        <v>17</v>
      </c>
      <c r="N461" s="22">
        <f>IF(H461=K461,M461-J461,60-(J461-M461))</f>
        <v>21</v>
      </c>
      <c r="O461" s="30">
        <f>(G461-F461)/N461</f>
        <v>204.76190476190476</v>
      </c>
      <c r="P461" s="29">
        <f>($G461-$F461)/7.48/($AF$410*$E461/$AE$43)*12</f>
        <v>0.56022510508982915</v>
      </c>
      <c r="Q461" s="29"/>
      <c r="R461" s="29">
        <f>($G461-$F461)/7.48/($AF$410*$E461/$AE$43)*12</f>
        <v>0.56022510508982915</v>
      </c>
      <c r="S461" s="29"/>
      <c r="U461" s="28">
        <f>U453+P461</f>
        <v>31.160289041903994</v>
      </c>
      <c r="V461" s="28">
        <f>V453+Q461</f>
        <v>29.510320814265398</v>
      </c>
      <c r="W461" s="28">
        <f>W453+R461</f>
        <v>31.20727446547194</v>
      </c>
      <c r="X461" s="28">
        <f>X453+S461</f>
        <v>29.557306237833345</v>
      </c>
    </row>
    <row r="462" spans="1:24" x14ac:dyDescent="0.2">
      <c r="A462" s="1">
        <v>223</v>
      </c>
      <c r="B462" s="1" t="s">
        <v>6</v>
      </c>
      <c r="C462" s="2">
        <v>36383</v>
      </c>
      <c r="D462" s="26">
        <v>4</v>
      </c>
      <c r="E462" s="26">
        <v>48</v>
      </c>
      <c r="F462" s="27">
        <v>2870000</v>
      </c>
      <c r="G462" s="26">
        <f>F463</f>
        <v>2874000</v>
      </c>
      <c r="H462" s="25">
        <v>12</v>
      </c>
      <c r="I462" s="6" t="s">
        <v>178</v>
      </c>
      <c r="J462" s="24">
        <v>17</v>
      </c>
      <c r="K462" s="9">
        <f>H463</f>
        <v>12</v>
      </c>
      <c r="L462" s="6" t="s">
        <v>178</v>
      </c>
      <c r="M462" s="23">
        <f>J463</f>
        <v>39</v>
      </c>
      <c r="N462" s="22">
        <f>IF(H462=K462,M462-J462,60-(J462-M462))</f>
        <v>22</v>
      </c>
      <c r="O462" s="30">
        <f>(G462-F462)/N462</f>
        <v>181.81818181818181</v>
      </c>
      <c r="P462" s="29"/>
      <c r="Q462" s="29">
        <f>($G462-$F462)/7.48/($AF$411*$E462/$AE$43)*12</f>
        <v>0.59145212276002646</v>
      </c>
      <c r="R462" s="29">
        <f>($G462-$F462)/7.48/($AF$411*$E462/$AE$43)*12</f>
        <v>0.59145212276002646</v>
      </c>
      <c r="S462" s="29"/>
      <c r="U462" s="28">
        <f>U454+P462</f>
        <v>30.836368369132529</v>
      </c>
      <c r="V462" s="28">
        <f>V454+Q462</f>
        <v>32.429021703037996</v>
      </c>
      <c r="W462" s="28">
        <f>W454+R462</f>
        <v>31.246523329120038</v>
      </c>
      <c r="X462" s="28">
        <f>X454+S462</f>
        <v>31.930402694139953</v>
      </c>
    </row>
    <row r="463" spans="1:24" x14ac:dyDescent="0.2">
      <c r="A463" s="1">
        <v>223</v>
      </c>
      <c r="B463" s="1" t="s">
        <v>6</v>
      </c>
      <c r="C463" s="2">
        <v>36383</v>
      </c>
      <c r="D463" s="26" t="s">
        <v>179</v>
      </c>
      <c r="E463" s="26">
        <v>105</v>
      </c>
      <c r="F463" s="27">
        <v>2874000</v>
      </c>
      <c r="G463" s="26">
        <v>2875100</v>
      </c>
      <c r="H463" s="25">
        <v>12</v>
      </c>
      <c r="I463" s="6" t="s">
        <v>178</v>
      </c>
      <c r="J463" s="24">
        <v>39</v>
      </c>
      <c r="K463" s="9">
        <v>12</v>
      </c>
      <c r="L463" s="6" t="s">
        <v>178</v>
      </c>
      <c r="M463" s="23">
        <v>43</v>
      </c>
      <c r="N463" s="22">
        <f>IF(H463=K463,M463-J463,60-(J463-M463))</f>
        <v>4</v>
      </c>
      <c r="O463" s="21"/>
      <c r="U463" s="6" t="s">
        <v>177</v>
      </c>
      <c r="V463" s="10">
        <f>AVERAGE(W459,U459,W460,V460,X461,V461,X462,U462)</f>
        <v>30.53905801781999</v>
      </c>
      <c r="W463" s="6" t="s">
        <v>176</v>
      </c>
      <c r="X463" s="10">
        <f>AVERAGE(V459,X459,X460,U460,U461,W461,W462,V462)</f>
        <v>31.861186081302066</v>
      </c>
    </row>
    <row r="464" spans="1:24" ht="13.5" thickBot="1" x14ac:dyDescent="0.25">
      <c r="A464" s="20"/>
      <c r="B464" s="20"/>
      <c r="C464" s="20"/>
      <c r="D464" s="18"/>
      <c r="E464" s="18"/>
      <c r="F464" s="19"/>
      <c r="G464" s="18"/>
      <c r="H464" s="17"/>
      <c r="I464" s="12"/>
      <c r="J464" s="16"/>
      <c r="K464" s="15"/>
      <c r="L464" s="12"/>
      <c r="M464" s="14"/>
      <c r="N464" s="12" t="s">
        <v>175</v>
      </c>
      <c r="O464" s="13">
        <f>(G460-F459)/(SUM(N459:N460))</f>
        <v>202.32558139534885</v>
      </c>
      <c r="P464" s="12" t="s">
        <v>174</v>
      </c>
      <c r="Q464" s="12"/>
      <c r="R464" s="11">
        <f>AVERAGE(P459:S462)</f>
        <v>0.56224213791832289</v>
      </c>
      <c r="S464" s="12"/>
      <c r="T464" s="12"/>
      <c r="U464" s="12" t="s">
        <v>173</v>
      </c>
      <c r="V464" s="12"/>
      <c r="W464" s="12"/>
      <c r="X464" s="11">
        <f>AVERAGE(U459:X462)</f>
        <v>31.200122049561031</v>
      </c>
    </row>
    <row r="465" spans="1:24" x14ac:dyDescent="0.2">
      <c r="D465" s="26"/>
      <c r="E465" s="26"/>
      <c r="F465" s="38"/>
      <c r="G465" s="37"/>
      <c r="H465" s="25"/>
      <c r="I465" s="6"/>
      <c r="J465" s="36"/>
      <c r="K465" s="35"/>
      <c r="M465" s="34"/>
      <c r="N465" s="33"/>
      <c r="O465" s="32"/>
      <c r="P465" s="31"/>
      <c r="Q465" s="31"/>
      <c r="R465" s="31"/>
      <c r="S465" s="31"/>
      <c r="T465" s="31"/>
    </row>
    <row r="466" spans="1:24" x14ac:dyDescent="0.2">
      <c r="A466" s="1"/>
      <c r="B466" s="1"/>
      <c r="C466" s="2"/>
      <c r="D466" s="26"/>
      <c r="E466" s="26"/>
      <c r="F466" s="27"/>
      <c r="G466" s="26"/>
      <c r="I466" s="6" t="s">
        <v>178</v>
      </c>
      <c r="J466" s="24"/>
      <c r="L466" s="6" t="s">
        <v>178</v>
      </c>
      <c r="M466" s="24"/>
      <c r="N466" s="22">
        <f>IF(H466=K466,M466-J466,60-(J466-M466))</f>
        <v>0</v>
      </c>
      <c r="O466" s="30" t="e">
        <f>(G466-F466)/N466</f>
        <v>#DIV/0!</v>
      </c>
      <c r="P466" s="6"/>
      <c r="Q466" s="6"/>
      <c r="R466" s="6"/>
      <c r="S466" s="6"/>
      <c r="U466" s="6"/>
      <c r="V466" s="6"/>
      <c r="W466" s="6"/>
      <c r="X466" s="6"/>
    </row>
    <row r="467" spans="1:24" x14ac:dyDescent="0.2">
      <c r="A467" s="1"/>
      <c r="B467" s="1"/>
      <c r="C467" s="2"/>
      <c r="D467" s="26"/>
      <c r="E467" s="26"/>
      <c r="F467" s="27"/>
      <c r="G467" s="26"/>
      <c r="H467" s="25"/>
      <c r="I467" s="6" t="s">
        <v>178</v>
      </c>
      <c r="J467" s="24"/>
      <c r="L467" s="6" t="s">
        <v>178</v>
      </c>
      <c r="M467" s="23"/>
      <c r="N467" s="22">
        <f>IF(H467=K467,M467-J467,60-(J467-M467))</f>
        <v>0</v>
      </c>
      <c r="O467" s="30" t="e">
        <f>(G467-F467)/N467</f>
        <v>#DIV/0!</v>
      </c>
      <c r="P467" s="29"/>
      <c r="Q467" s="29"/>
      <c r="R467" s="29"/>
      <c r="S467" s="29"/>
      <c r="U467" s="28">
        <f>U459+P467</f>
        <v>30.74424034730648</v>
      </c>
      <c r="V467" s="28">
        <f>V459+Q467</f>
        <v>32.358997575853707</v>
      </c>
      <c r="W467" s="28">
        <f>W459+R467</f>
        <v>30.747793120355091</v>
      </c>
      <c r="X467" s="28">
        <f>X459+S467</f>
        <v>32.362550348902325</v>
      </c>
    </row>
    <row r="468" spans="1:24" x14ac:dyDescent="0.2">
      <c r="A468" s="1"/>
      <c r="B468" s="1"/>
      <c r="C468" s="2"/>
      <c r="D468" s="26"/>
      <c r="E468" s="26"/>
      <c r="F468" s="27"/>
      <c r="G468" s="26"/>
      <c r="H468" s="25"/>
      <c r="I468" s="6" t="s">
        <v>178</v>
      </c>
      <c r="J468" s="24"/>
      <c r="L468" s="6" t="s">
        <v>178</v>
      </c>
      <c r="M468" s="23"/>
      <c r="N468" s="22">
        <f>IF(H468=K468,M468-J468,60-(J468-M468))</f>
        <v>0</v>
      </c>
      <c r="O468" s="30" t="e">
        <f>(G468-F468)/N468</f>
        <v>#DIV/0!</v>
      </c>
      <c r="P468" s="29"/>
      <c r="Q468" s="29"/>
      <c r="R468" s="29"/>
      <c r="S468" s="29"/>
      <c r="U468" s="28">
        <f>U460+P468</f>
        <v>32.107358672128264</v>
      </c>
      <c r="V468" s="28">
        <f>V460+Q468</f>
        <v>30.537958858828539</v>
      </c>
      <c r="W468" s="28">
        <f>W460+R468</f>
        <v>30.448073700698561</v>
      </c>
      <c r="X468" s="28">
        <f>X460+S468</f>
        <v>32.017473513998283</v>
      </c>
    </row>
    <row r="469" spans="1:24" x14ac:dyDescent="0.2">
      <c r="A469" s="1"/>
      <c r="B469" s="1"/>
      <c r="C469" s="2"/>
      <c r="D469" s="26"/>
      <c r="E469" s="26"/>
      <c r="F469" s="27">
        <v>2880100</v>
      </c>
      <c r="G469" s="26"/>
      <c r="H469" s="25">
        <v>16</v>
      </c>
      <c r="I469" s="6" t="s">
        <v>178</v>
      </c>
      <c r="J469" s="24">
        <v>40</v>
      </c>
      <c r="L469" s="6" t="s">
        <v>178</v>
      </c>
      <c r="M469" s="23"/>
      <c r="N469" s="22">
        <f>IF(H469=K469,M469-J469,60-(J469-M469))</f>
        <v>20</v>
      </c>
      <c r="O469" s="30">
        <f>(G469-F469)/N469</f>
        <v>-144005</v>
      </c>
      <c r="P469" s="29"/>
      <c r="Q469" s="29"/>
      <c r="R469" s="29"/>
      <c r="S469" s="29"/>
      <c r="U469" s="28">
        <f>U461+P469</f>
        <v>31.160289041903994</v>
      </c>
      <c r="V469" s="28">
        <f>V461+Q469</f>
        <v>29.510320814265398</v>
      </c>
      <c r="W469" s="28">
        <f>W461+R469</f>
        <v>31.20727446547194</v>
      </c>
      <c r="X469" s="28">
        <f>X461+S469</f>
        <v>29.557306237833345</v>
      </c>
    </row>
    <row r="470" spans="1:24" x14ac:dyDescent="0.2">
      <c r="A470" s="1">
        <v>223</v>
      </c>
      <c r="B470" s="1" t="s">
        <v>6</v>
      </c>
      <c r="C470" s="2">
        <v>36383</v>
      </c>
      <c r="D470" s="26">
        <v>4</v>
      </c>
      <c r="E470" s="26">
        <v>26</v>
      </c>
      <c r="F470" s="27">
        <v>2875100</v>
      </c>
      <c r="G470" s="26">
        <f>F469</f>
        <v>2880100</v>
      </c>
      <c r="H470" s="25">
        <v>16</v>
      </c>
      <c r="I470" s="6" t="s">
        <v>178</v>
      </c>
      <c r="J470" s="24">
        <v>0</v>
      </c>
      <c r="K470" s="9">
        <f>H469</f>
        <v>16</v>
      </c>
      <c r="L470" s="6" t="s">
        <v>178</v>
      </c>
      <c r="M470" s="23">
        <f>J469</f>
        <v>40</v>
      </c>
      <c r="N470" s="22">
        <f>IF(H470=K470,M470-J470,60-(J470-M470))</f>
        <v>40</v>
      </c>
      <c r="O470" s="30">
        <f>(G470-F470)/N470</f>
        <v>125</v>
      </c>
      <c r="P470" s="29"/>
      <c r="Q470" s="29"/>
      <c r="R470" s="29">
        <f>($G470-$F470)/7.48/($AF$411*$E470/$AE$43)*12</f>
        <v>1.3648895140615991</v>
      </c>
      <c r="S470" s="29"/>
      <c r="U470" s="28">
        <f>U462+P470</f>
        <v>30.836368369132529</v>
      </c>
      <c r="V470" s="28">
        <f>V462+Q470</f>
        <v>32.429021703037996</v>
      </c>
      <c r="W470" s="28">
        <f>W462+R470</f>
        <v>32.61141284318164</v>
      </c>
      <c r="X470" s="28">
        <f>X462+S470</f>
        <v>31.930402694139953</v>
      </c>
    </row>
    <row r="471" spans="1:24" x14ac:dyDescent="0.2">
      <c r="A471" s="1"/>
      <c r="B471" s="1"/>
      <c r="C471" s="2"/>
      <c r="D471" s="26"/>
      <c r="E471" s="26"/>
      <c r="F471" s="27"/>
      <c r="G471" s="26"/>
      <c r="H471" s="25"/>
      <c r="I471" s="6" t="s">
        <v>178</v>
      </c>
      <c r="J471" s="24"/>
      <c r="L471" s="6" t="s">
        <v>178</v>
      </c>
      <c r="M471" s="23"/>
      <c r="N471" s="22">
        <f>IF(H471=K471,M471-J471,60-(J471-M471))</f>
        <v>0</v>
      </c>
      <c r="O471" s="21"/>
      <c r="U471" s="6" t="s">
        <v>177</v>
      </c>
      <c r="V471" s="10">
        <f>AVERAGE(W467,U467,W468,V468,X469,V469,X470,U470)</f>
        <v>30.53905801781999</v>
      </c>
      <c r="W471" s="6" t="s">
        <v>176</v>
      </c>
      <c r="X471" s="10">
        <f>AVERAGE(V467,X467,X468,U468,U469,W469,W470,V470)</f>
        <v>32.031797270559771</v>
      </c>
    </row>
    <row r="472" spans="1:24" ht="13.5" thickBot="1" x14ac:dyDescent="0.25">
      <c r="A472" s="20"/>
      <c r="B472" s="20"/>
      <c r="C472" s="20"/>
      <c r="D472" s="18"/>
      <c r="E472" s="18"/>
      <c r="F472" s="19"/>
      <c r="G472" s="18"/>
      <c r="H472" s="17"/>
      <c r="I472" s="12"/>
      <c r="J472" s="16"/>
      <c r="K472" s="15"/>
      <c r="L472" s="12"/>
      <c r="M472" s="14"/>
      <c r="N472" s="12" t="s">
        <v>175</v>
      </c>
      <c r="O472" s="13" t="e">
        <f>(G468-F467)/(SUM(N467:N468))</f>
        <v>#DIV/0!</v>
      </c>
      <c r="P472" s="12" t="s">
        <v>174</v>
      </c>
      <c r="Q472" s="12"/>
      <c r="R472" s="11">
        <f>AVERAGE(P467:S470)</f>
        <v>1.3648895140615991</v>
      </c>
      <c r="S472" s="12"/>
      <c r="T472" s="12"/>
      <c r="U472" s="12" t="s">
        <v>173</v>
      </c>
      <c r="V472" s="12"/>
      <c r="W472" s="12"/>
      <c r="X472" s="11">
        <f>AVERAGE(U467:X470)</f>
        <v>31.28542764418988</v>
      </c>
    </row>
    <row r="473" spans="1:24" x14ac:dyDescent="0.2">
      <c r="D473" s="26"/>
      <c r="E473" s="26"/>
      <c r="F473" s="38"/>
      <c r="G473" s="37"/>
      <c r="H473" s="25"/>
      <c r="I473" s="6"/>
      <c r="J473" s="36"/>
      <c r="K473" s="35"/>
      <c r="M473" s="34"/>
      <c r="N473" s="33"/>
      <c r="O473" s="32"/>
      <c r="P473" s="31"/>
      <c r="Q473" s="31"/>
      <c r="R473" s="31"/>
      <c r="S473" s="31"/>
      <c r="T473" s="31"/>
    </row>
    <row r="474" spans="1:24" x14ac:dyDescent="0.2">
      <c r="A474" s="1">
        <v>225</v>
      </c>
      <c r="B474" s="1" t="s">
        <v>1</v>
      </c>
      <c r="C474" s="2">
        <v>36385</v>
      </c>
      <c r="D474" s="26" t="s">
        <v>180</v>
      </c>
      <c r="E474" s="26">
        <v>105</v>
      </c>
      <c r="F474" s="27">
        <v>2880100</v>
      </c>
      <c r="G474" s="26">
        <f>F475</f>
        <v>2891300</v>
      </c>
      <c r="H474" s="9">
        <v>15</v>
      </c>
      <c r="I474" s="6" t="s">
        <v>178</v>
      </c>
      <c r="J474" s="24">
        <v>5</v>
      </c>
      <c r="K474" s="9">
        <f>H475</f>
        <v>15</v>
      </c>
      <c r="L474" s="6" t="s">
        <v>178</v>
      </c>
      <c r="M474" s="24">
        <f>J475</f>
        <v>30</v>
      </c>
      <c r="N474" s="22">
        <f>IF(H474=K474,M474-J474,60-(J474-M474))</f>
        <v>25</v>
      </c>
      <c r="O474" s="30">
        <f>(G474-F474)/N474</f>
        <v>448</v>
      </c>
      <c r="P474" s="6"/>
      <c r="Q474" s="6"/>
      <c r="R474" s="6"/>
      <c r="S474" s="6"/>
      <c r="U474" s="6"/>
      <c r="V474" s="6"/>
      <c r="W474" s="6"/>
      <c r="X474" s="6"/>
    </row>
    <row r="475" spans="1:24" x14ac:dyDescent="0.2">
      <c r="A475" s="1">
        <v>225</v>
      </c>
      <c r="B475" s="1" t="s">
        <v>1</v>
      </c>
      <c r="C475" s="2">
        <v>36385</v>
      </c>
      <c r="D475" s="26">
        <v>1</v>
      </c>
      <c r="E475" s="26">
        <v>105</v>
      </c>
      <c r="F475" s="27">
        <v>2891300</v>
      </c>
      <c r="G475" s="26">
        <f>F476</f>
        <v>2913900</v>
      </c>
      <c r="H475" s="25">
        <v>15</v>
      </c>
      <c r="I475" s="6" t="s">
        <v>178</v>
      </c>
      <c r="J475" s="24">
        <v>30</v>
      </c>
      <c r="K475" s="9">
        <f>H476</f>
        <v>16</v>
      </c>
      <c r="L475" s="6" t="s">
        <v>178</v>
      </c>
      <c r="M475" s="23">
        <f>J476</f>
        <v>32</v>
      </c>
      <c r="N475" s="22">
        <f>IF(H475=K475,M475-J475,60-(J475-M475))</f>
        <v>62</v>
      </c>
      <c r="O475" s="30">
        <f>(G475-F475)/N475</f>
        <v>364.51612903225805</v>
      </c>
      <c r="P475" s="29">
        <f>($G475-$F475)/7.48/($AF$408*$E475/$AE$43)*12</f>
        <v>1.5276363399287538</v>
      </c>
      <c r="Q475" s="29">
        <f>($G475-$F475)/7.48/($AF$408*$E475/$AE$43)*12</f>
        <v>1.5276363399287538</v>
      </c>
      <c r="R475" s="29">
        <f>($G475-$F475)/7.48/($AF$408*$E475/$AE$43)*12</f>
        <v>1.5276363399287538</v>
      </c>
      <c r="S475" s="29">
        <f>($G475-$F475)/7.48/($AF$408*$E475/$AE$43)*12</f>
        <v>1.5276363399287538</v>
      </c>
      <c r="U475" s="28">
        <f>U467+P475</f>
        <v>32.271876687235235</v>
      </c>
      <c r="V475" s="28">
        <f>V467+Q475</f>
        <v>33.886633915782461</v>
      </c>
      <c r="W475" s="28">
        <f>W467+R475</f>
        <v>32.275429460283846</v>
      </c>
      <c r="X475" s="28">
        <f>X467+S475</f>
        <v>33.890186688831079</v>
      </c>
    </row>
    <row r="476" spans="1:24" x14ac:dyDescent="0.2">
      <c r="A476" s="1">
        <v>225</v>
      </c>
      <c r="B476" s="1" t="s">
        <v>1</v>
      </c>
      <c r="C476" s="2">
        <v>36385</v>
      </c>
      <c r="D476" s="26">
        <v>2</v>
      </c>
      <c r="E476" s="26">
        <v>105</v>
      </c>
      <c r="F476" s="27">
        <v>2913900</v>
      </c>
      <c r="G476" s="26">
        <f>F477</f>
        <v>2935900</v>
      </c>
      <c r="H476" s="25">
        <v>16</v>
      </c>
      <c r="I476" s="6" t="s">
        <v>178</v>
      </c>
      <c r="J476" s="24">
        <v>32</v>
      </c>
      <c r="K476" s="9">
        <f>H477</f>
        <v>17</v>
      </c>
      <c r="L476" s="6" t="s">
        <v>178</v>
      </c>
      <c r="M476" s="23">
        <f>J477</f>
        <v>32</v>
      </c>
      <c r="N476" s="22">
        <f>IF(H476=K476,M476-J476,60-(J476-M476))</f>
        <v>60</v>
      </c>
      <c r="O476" s="30">
        <f>(G476-F476)/N476</f>
        <v>366.66666666666669</v>
      </c>
      <c r="P476" s="29">
        <f>($G476-$F476)/7.48/($AF$409*$E476/$AE$43)*12</f>
        <v>1.4194850946240634</v>
      </c>
      <c r="Q476" s="29">
        <f>($G476-$F476)/7.48/($AF$409*$E476/$AE$43)*12</f>
        <v>1.4194850946240634</v>
      </c>
      <c r="R476" s="29">
        <f>($G476-$F476)/7.48/($AF$409*$E476/$AE$43)*12</f>
        <v>1.4194850946240634</v>
      </c>
      <c r="S476" s="29">
        <f>($G476-$F476)/7.48/($AF$409*$E476/$AE$43)*12</f>
        <v>1.4194850946240634</v>
      </c>
      <c r="U476" s="28">
        <f>U468+P476</f>
        <v>33.526843766752329</v>
      </c>
      <c r="V476" s="28">
        <f>V468+Q476</f>
        <v>31.957443953452604</v>
      </c>
      <c r="W476" s="28">
        <f>W468+R476</f>
        <v>31.867558795322626</v>
      </c>
      <c r="X476" s="28">
        <f>X468+S476</f>
        <v>33.436958608622348</v>
      </c>
    </row>
    <row r="477" spans="1:24" x14ac:dyDescent="0.2">
      <c r="A477" s="1">
        <v>225</v>
      </c>
      <c r="B477" s="1" t="s">
        <v>1</v>
      </c>
      <c r="C477" s="2">
        <v>36385</v>
      </c>
      <c r="D477" s="26">
        <v>3</v>
      </c>
      <c r="E477" s="26">
        <v>105</v>
      </c>
      <c r="F477" s="27">
        <v>2935900</v>
      </c>
      <c r="G477" s="26">
        <f>F478</f>
        <v>2957400</v>
      </c>
      <c r="H477" s="25">
        <v>17</v>
      </c>
      <c r="I477" s="6" t="s">
        <v>178</v>
      </c>
      <c r="J477" s="24">
        <v>32</v>
      </c>
      <c r="K477" s="9">
        <f>H478</f>
        <v>18</v>
      </c>
      <c r="L477" s="6" t="s">
        <v>178</v>
      </c>
      <c r="M477" s="23">
        <f>J478</f>
        <v>30</v>
      </c>
      <c r="N477" s="22">
        <f>IF(H477=K477,M477-J477,60-(J477-M477))</f>
        <v>58</v>
      </c>
      <c r="O477" s="30">
        <f>(G477-F477)/N477</f>
        <v>370.68965517241378</v>
      </c>
      <c r="P477" s="29">
        <f>($G477-$F477)/7.48/($AF$410*$E477/$AE$43)*12</f>
        <v>1.3872240697462437</v>
      </c>
      <c r="Q477" s="29">
        <f>($G477-$F477)/7.48/($AF$410*$E477/$AE$43)*12</f>
        <v>1.3872240697462437</v>
      </c>
      <c r="R477" s="29">
        <f>($G477-$F477)/7.48/($AF$410*$E477/$AE$43)*12</f>
        <v>1.3872240697462437</v>
      </c>
      <c r="S477" s="29">
        <f>($G477-$F477)/7.48/($AF$410*$E477/$AE$43)*12</f>
        <v>1.3872240697462437</v>
      </c>
      <c r="U477" s="28">
        <f>U469+P477</f>
        <v>32.54751311165024</v>
      </c>
      <c r="V477" s="28">
        <f>V469+Q477</f>
        <v>30.897544884011641</v>
      </c>
      <c r="W477" s="28">
        <f>W469+R477</f>
        <v>32.594498535218186</v>
      </c>
      <c r="X477" s="28">
        <f>X469+S477</f>
        <v>30.944530307579587</v>
      </c>
    </row>
    <row r="478" spans="1:24" x14ac:dyDescent="0.2">
      <c r="A478" s="1">
        <v>225</v>
      </c>
      <c r="B478" s="1" t="s">
        <v>1</v>
      </c>
      <c r="C478" s="2">
        <v>36385</v>
      </c>
      <c r="D478" s="26">
        <v>4</v>
      </c>
      <c r="E478" s="26">
        <v>105</v>
      </c>
      <c r="F478" s="27">
        <v>2957400</v>
      </c>
      <c r="G478" s="26">
        <f>F479</f>
        <v>2981800</v>
      </c>
      <c r="H478" s="25">
        <v>18</v>
      </c>
      <c r="I478" s="6" t="s">
        <v>178</v>
      </c>
      <c r="J478" s="24">
        <v>30</v>
      </c>
      <c r="K478" s="9">
        <f>H479</f>
        <v>19</v>
      </c>
      <c r="L478" s="6" t="s">
        <v>178</v>
      </c>
      <c r="M478" s="23">
        <f>J479</f>
        <v>35</v>
      </c>
      <c r="N478" s="22">
        <f>IF(H478=K478,M478-J478,60-(J478-M478))</f>
        <v>65</v>
      </c>
      <c r="O478" s="30">
        <f>(G478-F478)/N478</f>
        <v>375.38461538461536</v>
      </c>
      <c r="P478" s="29">
        <f>($G478-$F478)/7.48/($AF$411*$E478/$AE$43)*12</f>
        <v>1.6493064908965307</v>
      </c>
      <c r="Q478" s="29">
        <f>($G478-$F478)/7.48/($AF$411*$E478/$AE$43)*12</f>
        <v>1.6493064908965307</v>
      </c>
      <c r="R478" s="29">
        <f>($G478-$F478)/7.48/($AF$411*$E478/$AE$43)*12</f>
        <v>1.6493064908965307</v>
      </c>
      <c r="S478" s="29">
        <f>($G478-$F478)/7.48/($AF$411*$E478/$AE$43)*12</f>
        <v>1.6493064908965307</v>
      </c>
      <c r="U478" s="28">
        <f>U470+P478</f>
        <v>32.485674860029057</v>
      </c>
      <c r="V478" s="28">
        <f>V470+Q478</f>
        <v>34.078328193934524</v>
      </c>
      <c r="W478" s="28">
        <f>W470+R478</f>
        <v>34.260719334078168</v>
      </c>
      <c r="X478" s="28">
        <f>X470+S478</f>
        <v>33.579709185036485</v>
      </c>
    </row>
    <row r="479" spans="1:24" x14ac:dyDescent="0.2">
      <c r="A479" s="1">
        <v>225</v>
      </c>
      <c r="B479" s="1" t="s">
        <v>1</v>
      </c>
      <c r="C479" s="2">
        <v>36385</v>
      </c>
      <c r="D479" s="26" t="s">
        <v>179</v>
      </c>
      <c r="E479" s="26">
        <v>105</v>
      </c>
      <c r="F479" s="27">
        <v>2981800</v>
      </c>
      <c r="G479" s="26">
        <v>2984300</v>
      </c>
      <c r="H479" s="25">
        <v>19</v>
      </c>
      <c r="I479" s="6" t="s">
        <v>178</v>
      </c>
      <c r="J479" s="24">
        <v>35</v>
      </c>
      <c r="K479" s="9">
        <v>19</v>
      </c>
      <c r="L479" s="6" t="s">
        <v>178</v>
      </c>
      <c r="M479" s="23">
        <v>45</v>
      </c>
      <c r="N479" s="22">
        <f>IF(H479=K479,M479-J479,60-(J479-M479))</f>
        <v>10</v>
      </c>
      <c r="O479" s="21"/>
      <c r="U479" s="6" t="s">
        <v>177</v>
      </c>
      <c r="V479" s="10">
        <f>AVERAGE(W475,U475,W476,V476,X477,V477,X478,U478)</f>
        <v>32.034971016618883</v>
      </c>
      <c r="W479" s="6" t="s">
        <v>176</v>
      </c>
      <c r="X479" s="10">
        <f>AVERAGE(V475,X475,X476,U476,U477,W477,W478,V478)</f>
        <v>33.527710269358664</v>
      </c>
    </row>
    <row r="480" spans="1:24" ht="13.5" thickBot="1" x14ac:dyDescent="0.25">
      <c r="A480" s="20"/>
      <c r="B480" s="20"/>
      <c r="C480" s="20"/>
      <c r="D480" s="18"/>
      <c r="E480" s="18"/>
      <c r="F480" s="19"/>
      <c r="G480" s="18"/>
      <c r="H480" s="17"/>
      <c r="I480" s="12"/>
      <c r="J480" s="16"/>
      <c r="K480" s="15"/>
      <c r="L480" s="12"/>
      <c r="M480" s="14"/>
      <c r="N480" s="12" t="s">
        <v>175</v>
      </c>
      <c r="O480" s="13">
        <f>(G476-F475)/(SUM(N475:N476))</f>
        <v>365.57377049180326</v>
      </c>
      <c r="P480" s="12" t="s">
        <v>174</v>
      </c>
      <c r="Q480" s="12"/>
      <c r="R480" s="11">
        <f>AVERAGE(P475:S478)</f>
        <v>1.4959129987988982</v>
      </c>
      <c r="S480" s="12"/>
      <c r="T480" s="12"/>
      <c r="U480" s="12" t="s">
        <v>173</v>
      </c>
      <c r="V480" s="12"/>
      <c r="W480" s="12"/>
      <c r="X480" s="11">
        <f>AVERAGE(U475:X478)</f>
        <v>32.781340642988781</v>
      </c>
    </row>
    <row r="481" spans="1:24" x14ac:dyDescent="0.2">
      <c r="D481" s="26"/>
      <c r="E481" s="26"/>
      <c r="F481" s="38"/>
      <c r="G481" s="37"/>
      <c r="H481" s="25"/>
      <c r="I481" s="6"/>
      <c r="J481" s="36"/>
      <c r="K481" s="35"/>
      <c r="M481" s="34"/>
      <c r="N481" s="33"/>
      <c r="O481" s="32"/>
      <c r="P481" s="31"/>
      <c r="Q481" s="31"/>
      <c r="R481" s="31"/>
      <c r="S481" s="31"/>
      <c r="T481" s="31"/>
    </row>
    <row r="482" spans="1:24" x14ac:dyDescent="0.2">
      <c r="A482" s="1">
        <v>228</v>
      </c>
      <c r="B482" s="1" t="s">
        <v>14</v>
      </c>
      <c r="C482" s="2">
        <v>36388</v>
      </c>
      <c r="D482" s="26" t="s">
        <v>179</v>
      </c>
      <c r="E482" s="26">
        <v>105</v>
      </c>
      <c r="F482" s="27">
        <v>3019100</v>
      </c>
      <c r="G482" s="39">
        <v>3023200</v>
      </c>
      <c r="H482" s="25">
        <v>18</v>
      </c>
      <c r="I482" s="6" t="s">
        <v>178</v>
      </c>
      <c r="J482" s="24">
        <v>22</v>
      </c>
      <c r="K482" s="9">
        <v>18</v>
      </c>
      <c r="L482" s="6" t="s">
        <v>178</v>
      </c>
      <c r="M482" s="24">
        <v>33</v>
      </c>
      <c r="N482" s="22">
        <f>IF(H482=K482,M482-J482,60-(J482-M482))</f>
        <v>11</v>
      </c>
      <c r="O482" s="30">
        <f>(G482-F482)/N482</f>
        <v>372.72727272727275</v>
      </c>
      <c r="P482" s="6"/>
      <c r="Q482" s="6"/>
      <c r="R482" s="6"/>
      <c r="S482" s="6"/>
      <c r="U482" s="6"/>
      <c r="V482" s="6"/>
      <c r="W482" s="6"/>
      <c r="X482" s="6"/>
    </row>
    <row r="483" spans="1:24" x14ac:dyDescent="0.2">
      <c r="A483" s="1">
        <v>228</v>
      </c>
      <c r="B483" s="1" t="s">
        <v>14</v>
      </c>
      <c r="C483" s="2">
        <v>36388</v>
      </c>
      <c r="D483" s="26">
        <v>1</v>
      </c>
      <c r="E483" s="26">
        <v>53</v>
      </c>
      <c r="F483" s="27">
        <v>3010600</v>
      </c>
      <c r="G483" s="26">
        <f>F482</f>
        <v>3019100</v>
      </c>
      <c r="H483" s="25">
        <v>17</v>
      </c>
      <c r="I483" s="6" t="s">
        <v>178</v>
      </c>
      <c r="J483" s="24">
        <v>38</v>
      </c>
      <c r="K483" s="9">
        <f>H482</f>
        <v>18</v>
      </c>
      <c r="L483" s="6" t="s">
        <v>178</v>
      </c>
      <c r="M483" s="23">
        <f>J482</f>
        <v>22</v>
      </c>
      <c r="N483" s="22">
        <f>IF(H483=K483,M483-J483,((K483-H483)*60-((J483-M483))))</f>
        <v>44</v>
      </c>
      <c r="O483" s="30">
        <f>(G483-F483)/N483</f>
        <v>193.18181818181819</v>
      </c>
      <c r="P483" s="29"/>
      <c r="Q483" s="29">
        <f>($G483-$F483)/7.48/($AF$408*$E483/$AE$43)*12</f>
        <v>1.1382663494626921</v>
      </c>
      <c r="R483" s="29"/>
      <c r="S483" s="29">
        <f>($G483-$F483)/7.48/($AF$408*$E483/$AE$43)*12</f>
        <v>1.1382663494626921</v>
      </c>
      <c r="U483" s="28">
        <f>U475+P483</f>
        <v>32.271876687235235</v>
      </c>
      <c r="V483" s="28">
        <f>V475+Q483</f>
        <v>35.024900265245151</v>
      </c>
      <c r="W483" s="28">
        <f>W475+R483</f>
        <v>32.275429460283846</v>
      </c>
      <c r="X483" s="28">
        <f>X475+S483</f>
        <v>35.028453038293769</v>
      </c>
    </row>
    <row r="484" spans="1:24" x14ac:dyDescent="0.2">
      <c r="A484" s="1">
        <v>228</v>
      </c>
      <c r="B484" s="1" t="s">
        <v>14</v>
      </c>
      <c r="C484" s="2">
        <v>36388</v>
      </c>
      <c r="D484" s="26">
        <v>2</v>
      </c>
      <c r="E484" s="26">
        <v>57</v>
      </c>
      <c r="F484" s="27">
        <v>3001700</v>
      </c>
      <c r="G484" s="26">
        <f>F483</f>
        <v>3010600</v>
      </c>
      <c r="H484" s="25">
        <v>16</v>
      </c>
      <c r="I484" s="6" t="s">
        <v>178</v>
      </c>
      <c r="J484" s="24">
        <v>57</v>
      </c>
      <c r="K484" s="9">
        <f>H483</f>
        <v>17</v>
      </c>
      <c r="L484" s="6" t="s">
        <v>178</v>
      </c>
      <c r="M484" s="23">
        <f>J483</f>
        <v>38</v>
      </c>
      <c r="N484" s="22">
        <f>IF(H484=K484,M484-J484,60-(J484-M484))</f>
        <v>41</v>
      </c>
      <c r="O484" s="30">
        <f>(G484-F484)/N484</f>
        <v>217.07317073170731</v>
      </c>
      <c r="P484" s="29">
        <f>($G484-$F484)/7.48/($AF$409*$E484/$AE$43)*12</f>
        <v>1.0578220262569276</v>
      </c>
      <c r="Q484" s="29"/>
      <c r="R484" s="29"/>
      <c r="S484" s="29">
        <f>($G484-$F484)/7.48/($AF$409*$E484/$AE$43)*12</f>
        <v>1.0578220262569276</v>
      </c>
      <c r="U484" s="28">
        <f>U476+P484</f>
        <v>34.584665793009258</v>
      </c>
      <c r="V484" s="28">
        <f>V476+Q484</f>
        <v>31.957443953452604</v>
      </c>
      <c r="W484" s="28">
        <f>W476+R484</f>
        <v>31.867558795322626</v>
      </c>
      <c r="X484" s="28">
        <f>X476+S484</f>
        <v>34.494780634879277</v>
      </c>
    </row>
    <row r="485" spans="1:24" x14ac:dyDescent="0.2">
      <c r="A485" s="1">
        <v>228</v>
      </c>
      <c r="B485" s="1" t="s">
        <v>14</v>
      </c>
      <c r="C485" s="2">
        <v>36388</v>
      </c>
      <c r="D485" s="26">
        <v>3</v>
      </c>
      <c r="E485" s="26">
        <v>52</v>
      </c>
      <c r="F485" s="27">
        <v>2994200</v>
      </c>
      <c r="G485" s="26">
        <f>F484</f>
        <v>3001700</v>
      </c>
      <c r="H485" s="25">
        <v>16</v>
      </c>
      <c r="I485" s="6" t="s">
        <v>178</v>
      </c>
      <c r="J485" s="24">
        <v>17</v>
      </c>
      <c r="K485" s="9">
        <f>H484</f>
        <v>16</v>
      </c>
      <c r="L485" s="6" t="s">
        <v>178</v>
      </c>
      <c r="M485" s="23">
        <f>J484</f>
        <v>57</v>
      </c>
      <c r="N485" s="22">
        <f>IF(H485=K485,M485-J485,60-(J485-M485))</f>
        <v>40</v>
      </c>
      <c r="O485" s="30">
        <f>(G485-F485)/N485</f>
        <v>187.5</v>
      </c>
      <c r="P485" s="29">
        <f>($G485-$F485)/7.48/($AF$410*$E485/$AE$43)*12</f>
        <v>0.9771368112031904</v>
      </c>
      <c r="Q485" s="29"/>
      <c r="R485" s="29">
        <f>($G485-$F485)/7.48/($AF$410*$E485/$AE$43)*12</f>
        <v>0.9771368112031904</v>
      </c>
      <c r="S485" s="29"/>
      <c r="U485" s="28">
        <f>U477+P485</f>
        <v>33.524649922853428</v>
      </c>
      <c r="V485" s="28">
        <f>V477+Q485</f>
        <v>30.897544884011641</v>
      </c>
      <c r="W485" s="28">
        <f>W477+R485</f>
        <v>33.571635346421374</v>
      </c>
      <c r="X485" s="28">
        <f>X477+S485</f>
        <v>30.944530307579587</v>
      </c>
    </row>
    <row r="486" spans="1:24" x14ac:dyDescent="0.2">
      <c r="A486" s="1">
        <v>228</v>
      </c>
      <c r="B486" s="1" t="s">
        <v>14</v>
      </c>
      <c r="C486" s="2">
        <v>36388</v>
      </c>
      <c r="D486" s="26">
        <v>4</v>
      </c>
      <c r="E486" s="26">
        <v>48</v>
      </c>
      <c r="F486" s="27">
        <v>2986300</v>
      </c>
      <c r="G486" s="26">
        <f>F485</f>
        <v>2994200</v>
      </c>
      <c r="H486" s="25">
        <v>15</v>
      </c>
      <c r="I486" s="6" t="s">
        <v>178</v>
      </c>
      <c r="J486" s="24">
        <v>37</v>
      </c>
      <c r="K486" s="9">
        <f>H485</f>
        <v>16</v>
      </c>
      <c r="L486" s="6" t="s">
        <v>178</v>
      </c>
      <c r="M486" s="23">
        <f>J485</f>
        <v>17</v>
      </c>
      <c r="N486" s="22">
        <f>IF(H486=K486,M486-J486,60-(J486-M486))</f>
        <v>40</v>
      </c>
      <c r="O486" s="30">
        <f>(G486-F486)/N486</f>
        <v>197.5</v>
      </c>
      <c r="P486" s="29"/>
      <c r="Q486" s="29">
        <f>($G486-$F486)/7.48/($AF$411*$E486/$AE$43)*12</f>
        <v>1.1681179424510519</v>
      </c>
      <c r="R486" s="29">
        <f>($G486-$F486)/7.48/($AF$411*$E486/$AE$43)*12</f>
        <v>1.1681179424510519</v>
      </c>
      <c r="S486" s="29"/>
      <c r="U486" s="28">
        <f>U478+P486</f>
        <v>32.485674860029057</v>
      </c>
      <c r="V486" s="28">
        <f>V478+Q486</f>
        <v>35.246446136385579</v>
      </c>
      <c r="W486" s="28">
        <f>W478+R486</f>
        <v>35.428837276529222</v>
      </c>
      <c r="X486" s="28">
        <f>X478+S486</f>
        <v>33.579709185036485</v>
      </c>
    </row>
    <row r="487" spans="1:24" x14ac:dyDescent="0.2">
      <c r="A487" s="1">
        <v>228</v>
      </c>
      <c r="B487" s="1" t="s">
        <v>14</v>
      </c>
      <c r="C487" s="2">
        <v>36388</v>
      </c>
      <c r="D487" s="26" t="s">
        <v>180</v>
      </c>
      <c r="E487" s="26">
        <v>48</v>
      </c>
      <c r="F487" s="27">
        <v>2984300</v>
      </c>
      <c r="G487" s="26">
        <f>F486</f>
        <v>2986300</v>
      </c>
      <c r="H487" s="25">
        <v>15</v>
      </c>
      <c r="I487" s="6" t="s">
        <v>178</v>
      </c>
      <c r="J487" s="24">
        <v>28</v>
      </c>
      <c r="K487" s="9">
        <f>H486</f>
        <v>15</v>
      </c>
      <c r="L487" s="6" t="s">
        <v>178</v>
      </c>
      <c r="M487" s="23">
        <f>J486</f>
        <v>37</v>
      </c>
      <c r="N487" s="22">
        <f>IF(H487=K487,M487-J487,60-(J487-M487))</f>
        <v>9</v>
      </c>
      <c r="O487" s="21"/>
      <c r="U487" s="6" t="s">
        <v>177</v>
      </c>
      <c r="V487" s="10">
        <f>AVERAGE(W483,U483,W484,V484,X485,V485,X486,U486)</f>
        <v>32.034971016618883</v>
      </c>
      <c r="W487" s="6" t="s">
        <v>176</v>
      </c>
      <c r="X487" s="10">
        <f>AVERAGE(V483,X483,X484,U484,U485,W485,W486,V486)</f>
        <v>34.613046051702135</v>
      </c>
    </row>
    <row r="488" spans="1:24" ht="13.5" thickBot="1" x14ac:dyDescent="0.25">
      <c r="A488" s="20"/>
      <c r="B488" s="20"/>
      <c r="C488" s="20"/>
      <c r="D488" s="18"/>
      <c r="E488" s="18"/>
      <c r="F488" s="19"/>
      <c r="G488" s="18"/>
      <c r="H488" s="17"/>
      <c r="I488" s="12"/>
      <c r="J488" s="16"/>
      <c r="K488" s="15"/>
      <c r="L488" s="12"/>
      <c r="M488" s="14"/>
      <c r="N488" s="12" t="s">
        <v>175</v>
      </c>
      <c r="O488" s="13">
        <f>(G485-F486)/(SUM(N485:N486))</f>
        <v>192.5</v>
      </c>
      <c r="P488" s="12" t="s">
        <v>174</v>
      </c>
      <c r="Q488" s="12"/>
      <c r="R488" s="11">
        <f>AVERAGE(P483:S486)</f>
        <v>1.0853357823434655</v>
      </c>
      <c r="S488" s="12"/>
      <c r="T488" s="12"/>
      <c r="U488" s="12" t="s">
        <v>173</v>
      </c>
      <c r="V488" s="12"/>
      <c r="W488" s="12"/>
      <c r="X488" s="11">
        <f>AVERAGE(U483:X486)</f>
        <v>33.324008534160512</v>
      </c>
    </row>
    <row r="489" spans="1:24" x14ac:dyDescent="0.2">
      <c r="D489" s="26"/>
      <c r="E489" s="26"/>
      <c r="F489" s="38"/>
      <c r="G489" s="37"/>
      <c r="H489" s="25"/>
      <c r="I489" s="6"/>
      <c r="J489" s="36"/>
      <c r="K489" s="35"/>
      <c r="M489" s="34"/>
      <c r="N489" s="33"/>
      <c r="O489" s="32"/>
      <c r="P489" s="31"/>
      <c r="Q489" s="31"/>
      <c r="R489" s="31"/>
      <c r="S489" s="31"/>
      <c r="T489" s="31"/>
    </row>
    <row r="490" spans="1:24" x14ac:dyDescent="0.2">
      <c r="A490" s="1">
        <v>231</v>
      </c>
      <c r="B490" s="1" t="s">
        <v>129</v>
      </c>
      <c r="C490" s="2">
        <v>36391</v>
      </c>
      <c r="D490" s="26" t="s">
        <v>180</v>
      </c>
      <c r="E490" s="26">
        <v>105</v>
      </c>
      <c r="F490" s="27">
        <v>3023200</v>
      </c>
      <c r="G490" s="26">
        <f>F491</f>
        <v>3034300</v>
      </c>
      <c r="H490" s="9">
        <v>14</v>
      </c>
      <c r="I490" s="6" t="s">
        <v>178</v>
      </c>
      <c r="J490" s="24">
        <v>55</v>
      </c>
      <c r="K490" s="9">
        <f>H491</f>
        <v>15</v>
      </c>
      <c r="L490" s="6" t="s">
        <v>178</v>
      </c>
      <c r="M490" s="24">
        <f>J491</f>
        <v>25</v>
      </c>
      <c r="N490" s="22">
        <f>IF(H490=K490,M490-J490,60-(J490-M490))</f>
        <v>30</v>
      </c>
      <c r="O490" s="30">
        <f>(G490-F490)/N490</f>
        <v>370</v>
      </c>
      <c r="P490" s="6"/>
      <c r="Q490" s="6"/>
      <c r="R490" s="6"/>
      <c r="S490" s="6"/>
      <c r="U490" s="6"/>
      <c r="V490" s="6"/>
      <c r="W490" s="6"/>
      <c r="X490" s="6"/>
    </row>
    <row r="491" spans="1:24" x14ac:dyDescent="0.2">
      <c r="A491" s="1">
        <v>231</v>
      </c>
      <c r="B491" s="1" t="s">
        <v>129</v>
      </c>
      <c r="C491" s="2">
        <v>36391</v>
      </c>
      <c r="D491" s="26">
        <v>1</v>
      </c>
      <c r="E491" s="26">
        <v>105</v>
      </c>
      <c r="F491" s="27">
        <v>3034300</v>
      </c>
      <c r="G491" s="26">
        <f>F492</f>
        <v>3049600</v>
      </c>
      <c r="H491" s="25">
        <v>15</v>
      </c>
      <c r="I491" s="6" t="s">
        <v>178</v>
      </c>
      <c r="J491" s="24">
        <v>25</v>
      </c>
      <c r="K491" s="9">
        <f>H492</f>
        <v>16</v>
      </c>
      <c r="L491" s="6" t="s">
        <v>178</v>
      </c>
      <c r="M491" s="23">
        <f>J492</f>
        <v>7</v>
      </c>
      <c r="N491" s="22">
        <f>IF(H491=K491,M491-J491,60-(J491-M491))</f>
        <v>42</v>
      </c>
      <c r="O491" s="30">
        <f>(G491-F491)/N491</f>
        <v>364.28571428571428</v>
      </c>
      <c r="P491" s="29">
        <f>($G491-$F491)/7.48/($AF$408*$E491/$AE$43)*12</f>
        <v>1.0341962832261031</v>
      </c>
      <c r="Q491" s="29">
        <f>($G491-$F491)/7.48/($AF$408*$E491/$AE$43)*12</f>
        <v>1.0341962832261031</v>
      </c>
      <c r="R491" s="29">
        <f>($G491-$F491)/7.48/($AF$408*$E491/$AE$43)*12</f>
        <v>1.0341962832261031</v>
      </c>
      <c r="S491" s="29">
        <f>($G491-$F491)/7.48/($AF$408*$E491/$AE$43)*12</f>
        <v>1.0341962832261031</v>
      </c>
      <c r="U491" s="28">
        <f>U483+P491</f>
        <v>33.306072970461337</v>
      </c>
      <c r="V491" s="28">
        <f>V483+Q491</f>
        <v>36.059096548471253</v>
      </c>
      <c r="W491" s="28">
        <f>W483+R491</f>
        <v>33.309625743509947</v>
      </c>
      <c r="X491" s="28">
        <f>X483+S491</f>
        <v>36.062649321519871</v>
      </c>
    </row>
    <row r="492" spans="1:24" x14ac:dyDescent="0.2">
      <c r="A492" s="1">
        <v>231</v>
      </c>
      <c r="B492" s="1" t="s">
        <v>129</v>
      </c>
      <c r="C492" s="2">
        <v>36391</v>
      </c>
      <c r="D492" s="26">
        <v>2</v>
      </c>
      <c r="E492" s="26">
        <v>105</v>
      </c>
      <c r="F492" s="27">
        <v>3049600</v>
      </c>
      <c r="G492" s="26">
        <f>F493</f>
        <v>3064600</v>
      </c>
      <c r="H492" s="25">
        <v>16</v>
      </c>
      <c r="I492" s="6" t="s">
        <v>178</v>
      </c>
      <c r="J492" s="24">
        <v>7</v>
      </c>
      <c r="K492" s="9">
        <f>H493</f>
        <v>16</v>
      </c>
      <c r="L492" s="6" t="s">
        <v>178</v>
      </c>
      <c r="M492" s="23">
        <f>J493</f>
        <v>43</v>
      </c>
      <c r="N492" s="22">
        <f>IF(H492=K492,M492-J492,60-(J492-M492))</f>
        <v>36</v>
      </c>
      <c r="O492" s="30">
        <f>(G492-F492)/N492</f>
        <v>416.66666666666669</v>
      </c>
      <c r="P492" s="29">
        <f>($G492-$F492)/7.48/($AF$409*$E492/$AE$43)*12</f>
        <v>0.96783074633458865</v>
      </c>
      <c r="Q492" s="29">
        <f>($G492-$F492)/7.48/($AF$409*$E492/$AE$43)*12</f>
        <v>0.96783074633458865</v>
      </c>
      <c r="R492" s="29">
        <f>($G492-$F492)/7.48/($AF$409*$E492/$AE$43)*12</f>
        <v>0.96783074633458865</v>
      </c>
      <c r="S492" s="29">
        <f>($G492-$F492)/7.48/($AF$409*$E492/$AE$43)*12</f>
        <v>0.96783074633458865</v>
      </c>
      <c r="U492" s="28">
        <f>U484+P492</f>
        <v>35.552496539343849</v>
      </c>
      <c r="V492" s="28">
        <f>V484+Q492</f>
        <v>32.925274699787195</v>
      </c>
      <c r="W492" s="28">
        <f>W484+R492</f>
        <v>32.835389541657214</v>
      </c>
      <c r="X492" s="28">
        <f>X484+S492</f>
        <v>35.462611381213868</v>
      </c>
    </row>
    <row r="493" spans="1:24" x14ac:dyDescent="0.2">
      <c r="A493" s="1">
        <v>231</v>
      </c>
      <c r="B493" s="1" t="s">
        <v>129</v>
      </c>
      <c r="C493" s="2">
        <v>36391</v>
      </c>
      <c r="D493" s="26">
        <v>3</v>
      </c>
      <c r="E493" s="26">
        <v>105</v>
      </c>
      <c r="F493" s="27">
        <v>3064600</v>
      </c>
      <c r="G493" s="26">
        <f>F494</f>
        <v>3080400</v>
      </c>
      <c r="H493" s="25">
        <v>16</v>
      </c>
      <c r="I493" s="6" t="s">
        <v>178</v>
      </c>
      <c r="J493" s="24">
        <v>43</v>
      </c>
      <c r="K493" s="9">
        <f>H494</f>
        <v>17</v>
      </c>
      <c r="L493" s="6" t="s">
        <v>178</v>
      </c>
      <c r="M493" s="23">
        <f>J494</f>
        <v>30</v>
      </c>
      <c r="N493" s="22">
        <f>IF(H493=K493,M493-J493,60-(J493-M493))</f>
        <v>47</v>
      </c>
      <c r="O493" s="30">
        <f>(G493-F493)/N493</f>
        <v>336.17021276595744</v>
      </c>
      <c r="P493" s="29">
        <f>($G493-$F493)/7.48/($AF$410*$E493/$AE$43)*12</f>
        <v>1.0194483861390999</v>
      </c>
      <c r="Q493" s="29">
        <f>($G493-$F493)/7.48/($AF$410*$E493/$AE$43)*12</f>
        <v>1.0194483861390999</v>
      </c>
      <c r="R493" s="29">
        <f>($G493-$F493)/7.48/($AF$410*$E493/$AE$43)*12</f>
        <v>1.0194483861390999</v>
      </c>
      <c r="S493" s="29">
        <f>($G493-$F493)/7.48/($AF$410*$E493/$AE$43)*12</f>
        <v>1.0194483861390999</v>
      </c>
      <c r="U493" s="28">
        <f>U485+P493</f>
        <v>34.544098308992531</v>
      </c>
      <c r="V493" s="28">
        <f>V485+Q493</f>
        <v>31.916993270150741</v>
      </c>
      <c r="W493" s="28">
        <f>W485+R493</f>
        <v>34.591083732560477</v>
      </c>
      <c r="X493" s="28">
        <f>X485+S493</f>
        <v>31.963978693718687</v>
      </c>
    </row>
    <row r="494" spans="1:24" x14ac:dyDescent="0.2">
      <c r="A494" s="1">
        <v>231</v>
      </c>
      <c r="B494" s="1" t="s">
        <v>129</v>
      </c>
      <c r="C494" s="2">
        <v>36391</v>
      </c>
      <c r="D494" s="26">
        <v>4</v>
      </c>
      <c r="E494" s="26">
        <v>105</v>
      </c>
      <c r="F494" s="27">
        <v>3080400</v>
      </c>
      <c r="G494" s="26">
        <f>F495</f>
        <v>3097800</v>
      </c>
      <c r="H494" s="25">
        <v>17</v>
      </c>
      <c r="I494" s="6" t="s">
        <v>178</v>
      </c>
      <c r="J494" s="24">
        <v>30</v>
      </c>
      <c r="K494" s="9">
        <f>H495</f>
        <v>18</v>
      </c>
      <c r="L494" s="6" t="s">
        <v>178</v>
      </c>
      <c r="M494" s="23">
        <f>J495</f>
        <v>17</v>
      </c>
      <c r="N494" s="22">
        <f>IF(H494=K494,M494-J494,60-(J494-M494))</f>
        <v>47</v>
      </c>
      <c r="O494" s="30">
        <f>(G494-F494)/N494</f>
        <v>370.21276595744683</v>
      </c>
      <c r="P494" s="29">
        <f>($G494-$F494)/7.48/($AF$411*$E494/$AE$43)*12</f>
        <v>1.1761447926885096</v>
      </c>
      <c r="Q494" s="29">
        <f>($G494-$F494)/7.48/($AF$411*$E494/$AE$43)*12</f>
        <v>1.1761447926885096</v>
      </c>
      <c r="R494" s="29">
        <f>($G494-$F494)/7.48/($AF$411*$E494/$AE$43)*12</f>
        <v>1.1761447926885096</v>
      </c>
      <c r="S494" s="29">
        <f>($G494-$F494)/7.48/($AF$411*$E494/$AE$43)*12</f>
        <v>1.1761447926885096</v>
      </c>
      <c r="U494" s="28">
        <f>U486+P494</f>
        <v>33.661819652717568</v>
      </c>
      <c r="V494" s="28">
        <f>V486+Q494</f>
        <v>36.42259092907409</v>
      </c>
      <c r="W494" s="28">
        <f>W486+R494</f>
        <v>36.604982069217733</v>
      </c>
      <c r="X494" s="28">
        <f>X486+S494</f>
        <v>34.755853977724996</v>
      </c>
    </row>
    <row r="495" spans="1:24" x14ac:dyDescent="0.2">
      <c r="A495" s="1">
        <v>231</v>
      </c>
      <c r="B495" s="1" t="s">
        <v>129</v>
      </c>
      <c r="C495" s="2">
        <v>36391</v>
      </c>
      <c r="D495" s="26" t="s">
        <v>179</v>
      </c>
      <c r="E495" s="26">
        <v>105</v>
      </c>
      <c r="F495" s="27">
        <v>3097800</v>
      </c>
      <c r="G495" s="26">
        <v>3101400</v>
      </c>
      <c r="H495" s="25">
        <v>18</v>
      </c>
      <c r="I495" s="6" t="s">
        <v>178</v>
      </c>
      <c r="J495" s="24">
        <v>17</v>
      </c>
      <c r="K495" s="9">
        <v>18</v>
      </c>
      <c r="L495" s="6" t="s">
        <v>178</v>
      </c>
      <c r="M495" s="23">
        <v>29</v>
      </c>
      <c r="N495" s="22">
        <f>IF(H495=K495,M495-J495,60-(J495-M495))</f>
        <v>12</v>
      </c>
      <c r="O495" s="21"/>
      <c r="U495" s="6" t="s">
        <v>177</v>
      </c>
      <c r="V495" s="10">
        <f>AVERAGE(W491,U491,W492,V492,X493,V493,X494,U494)</f>
        <v>33.084376068715954</v>
      </c>
      <c r="W495" s="6" t="s">
        <v>176</v>
      </c>
      <c r="X495" s="10">
        <f>AVERAGE(V491,X491,X492,U492,U493,W493,W494,V494)</f>
        <v>35.662451103799206</v>
      </c>
    </row>
    <row r="496" spans="1:24" ht="13.5" thickBot="1" x14ac:dyDescent="0.25">
      <c r="A496" s="20"/>
      <c r="B496" s="20"/>
      <c r="C496" s="20"/>
      <c r="D496" s="18"/>
      <c r="E496" s="18"/>
      <c r="F496" s="19"/>
      <c r="G496" s="18"/>
      <c r="H496" s="17"/>
      <c r="I496" s="12"/>
      <c r="J496" s="16"/>
      <c r="K496" s="15"/>
      <c r="L496" s="12"/>
      <c r="M496" s="14"/>
      <c r="N496" s="12" t="s">
        <v>175</v>
      </c>
      <c r="O496" s="13">
        <f>(G492-F491)/(SUM(N491:N492))</f>
        <v>388.46153846153845</v>
      </c>
      <c r="P496" s="12" t="s">
        <v>174</v>
      </c>
      <c r="Q496" s="12"/>
      <c r="R496" s="11">
        <f>AVERAGE(P491:S494)</f>
        <v>1.0494050520970755</v>
      </c>
      <c r="S496" s="12"/>
      <c r="T496" s="12"/>
      <c r="U496" s="12" t="s">
        <v>173</v>
      </c>
      <c r="V496" s="12"/>
      <c r="W496" s="12"/>
      <c r="X496" s="11">
        <f>AVERAGE(U491:X494)</f>
        <v>34.373413586257584</v>
      </c>
    </row>
    <row r="497" spans="1:24" x14ac:dyDescent="0.2">
      <c r="D497" s="26"/>
      <c r="E497" s="26"/>
      <c r="F497" s="38"/>
      <c r="G497" s="37"/>
      <c r="H497" s="25"/>
      <c r="I497" s="6"/>
      <c r="J497" s="36"/>
      <c r="K497" s="35"/>
      <c r="M497" s="34"/>
      <c r="N497" s="33"/>
      <c r="O497" s="32"/>
      <c r="P497" s="31"/>
      <c r="Q497" s="31"/>
      <c r="R497" s="31"/>
      <c r="S497" s="31"/>
      <c r="T497" s="31"/>
    </row>
    <row r="498" spans="1:24" x14ac:dyDescent="0.2">
      <c r="A498" s="1">
        <v>235</v>
      </c>
      <c r="B498" s="1" t="s">
        <v>14</v>
      </c>
      <c r="C498" s="2">
        <v>36395</v>
      </c>
      <c r="D498" s="26" t="s">
        <v>179</v>
      </c>
      <c r="E498" s="26">
        <v>105</v>
      </c>
      <c r="F498" s="27">
        <v>3194100</v>
      </c>
      <c r="G498" s="39">
        <v>3200700</v>
      </c>
      <c r="H498" s="25">
        <v>16</v>
      </c>
      <c r="I498" s="6" t="s">
        <v>178</v>
      </c>
      <c r="J498" s="24">
        <v>24</v>
      </c>
      <c r="K498" s="9">
        <v>16</v>
      </c>
      <c r="L498" s="6" t="s">
        <v>178</v>
      </c>
      <c r="M498" s="24">
        <v>42</v>
      </c>
      <c r="N498" s="22">
        <f>IF(H498=K498,M498-J498,60-(J498-M498))</f>
        <v>18</v>
      </c>
      <c r="O498" s="30">
        <f>(G498-F498)/N498</f>
        <v>366.66666666666669</v>
      </c>
      <c r="P498" s="6"/>
      <c r="Q498" s="6"/>
      <c r="R498" s="6"/>
      <c r="S498" s="6"/>
      <c r="U498" s="6"/>
      <c r="V498" s="6"/>
      <c r="W498" s="6"/>
      <c r="X498" s="6"/>
    </row>
    <row r="499" spans="1:24" x14ac:dyDescent="0.2">
      <c r="A499" s="1">
        <v>235</v>
      </c>
      <c r="B499" s="1" t="s">
        <v>14</v>
      </c>
      <c r="C499" s="2">
        <v>36395</v>
      </c>
      <c r="D499" s="26">
        <v>1</v>
      </c>
      <c r="E499" s="26">
        <v>105</v>
      </c>
      <c r="F499" s="27">
        <v>3173500</v>
      </c>
      <c r="G499" s="26">
        <f>F498</f>
        <v>3194100</v>
      </c>
      <c r="H499" s="25">
        <v>15</v>
      </c>
      <c r="I499" s="6" t="s">
        <v>178</v>
      </c>
      <c r="J499" s="24">
        <v>26</v>
      </c>
      <c r="K499" s="9">
        <f>H498</f>
        <v>16</v>
      </c>
      <c r="L499" s="6" t="s">
        <v>178</v>
      </c>
      <c r="M499" s="23">
        <f>J498</f>
        <v>24</v>
      </c>
      <c r="N499" s="22">
        <f>IF(H499=K499,M499-J499,((K499-H499)*60-((J499-M499))))</f>
        <v>58</v>
      </c>
      <c r="O499" s="30">
        <f>(G499-F499)/N499</f>
        <v>355.17241379310343</v>
      </c>
      <c r="P499" s="29">
        <f>($G499-$F499)/7.48/($AF$408*$E499/$AE$43)*12</f>
        <v>1.3924472832978907</v>
      </c>
      <c r="Q499" s="29">
        <f>($G499-$F499)/7.48/($AF$408*$E499/$AE$43)*12</f>
        <v>1.3924472832978907</v>
      </c>
      <c r="R499" s="29">
        <f>($G499-$F499)/7.48/($AF$408*$E499/$AE$43)*12</f>
        <v>1.3924472832978907</v>
      </c>
      <c r="S499" s="29">
        <f>($G499-$F499)/7.48/($AF$408*$E499/$AE$43)*12</f>
        <v>1.3924472832978907</v>
      </c>
      <c r="U499" s="28">
        <f>U491+P499</f>
        <v>34.698520253759227</v>
      </c>
      <c r="V499" s="28">
        <f>V491+Q499</f>
        <v>37.451543831769143</v>
      </c>
      <c r="W499" s="28">
        <f>W491+R499</f>
        <v>34.702073026807838</v>
      </c>
      <c r="X499" s="28">
        <f>X491+S499</f>
        <v>37.455096604817761</v>
      </c>
    </row>
    <row r="500" spans="1:24" x14ac:dyDescent="0.2">
      <c r="A500" s="1">
        <v>235</v>
      </c>
      <c r="B500" s="1" t="s">
        <v>14</v>
      </c>
      <c r="C500" s="2">
        <v>36395</v>
      </c>
      <c r="D500" s="26">
        <v>2</v>
      </c>
      <c r="E500" s="26">
        <v>105</v>
      </c>
      <c r="F500" s="27">
        <v>3152800</v>
      </c>
      <c r="G500" s="26">
        <f>F499</f>
        <v>3173500</v>
      </c>
      <c r="H500" s="25">
        <v>14</v>
      </c>
      <c r="I500" s="6" t="s">
        <v>178</v>
      </c>
      <c r="J500" s="24">
        <v>28</v>
      </c>
      <c r="K500" s="9">
        <f>H499</f>
        <v>15</v>
      </c>
      <c r="L500" s="6" t="s">
        <v>178</v>
      </c>
      <c r="M500" s="23">
        <f>J499</f>
        <v>26</v>
      </c>
      <c r="N500" s="22">
        <f>IF(H500=K500,M500-J500,60-(J500-M500))</f>
        <v>58</v>
      </c>
      <c r="O500" s="30">
        <f>(G500-F500)/N500</f>
        <v>356.89655172413791</v>
      </c>
      <c r="P500" s="29">
        <f>($G500-$F500)/7.48/($AF$409*$E500/$AE$43)*12</f>
        <v>1.3356064299417323</v>
      </c>
      <c r="Q500" s="29">
        <f>($G500-$F500)/7.48/($AF$409*$E500/$AE$43)*12</f>
        <v>1.3356064299417323</v>
      </c>
      <c r="R500" s="29">
        <f>($G500-$F500)/7.48/($AF$409*$E500/$AE$43)*12</f>
        <v>1.3356064299417323</v>
      </c>
      <c r="S500" s="29">
        <f>($G500-$F500)/7.48/($AF$409*$E500/$AE$43)*12</f>
        <v>1.3356064299417323</v>
      </c>
      <c r="U500" s="28">
        <f>U492+P500</f>
        <v>36.888102969285583</v>
      </c>
      <c r="V500" s="28">
        <f>V492+Q500</f>
        <v>34.260881129728929</v>
      </c>
      <c r="W500" s="28">
        <f>W492+R500</f>
        <v>34.170995971598948</v>
      </c>
      <c r="X500" s="28">
        <f>X492+S500</f>
        <v>36.798217811155602</v>
      </c>
    </row>
    <row r="501" spans="1:24" x14ac:dyDescent="0.2">
      <c r="A501" s="1">
        <v>235</v>
      </c>
      <c r="B501" s="1" t="s">
        <v>14</v>
      </c>
      <c r="C501" s="2">
        <v>36395</v>
      </c>
      <c r="D501" s="26">
        <v>3</v>
      </c>
      <c r="E501" s="26">
        <v>105</v>
      </c>
      <c r="F501" s="27">
        <v>3129500</v>
      </c>
      <c r="G501" s="26">
        <f>F500</f>
        <v>3152800</v>
      </c>
      <c r="H501" s="25">
        <v>13</v>
      </c>
      <c r="I501" s="6" t="s">
        <v>178</v>
      </c>
      <c r="J501" s="24">
        <v>25</v>
      </c>
      <c r="K501" s="9">
        <f>H500</f>
        <v>14</v>
      </c>
      <c r="L501" s="6" t="s">
        <v>178</v>
      </c>
      <c r="M501" s="23">
        <f>J500</f>
        <v>28</v>
      </c>
      <c r="N501" s="22">
        <f>IF(H501=K501,M501-J501,60-(J501-M501))</f>
        <v>63</v>
      </c>
      <c r="O501" s="30">
        <f>(G501-F501)/N501</f>
        <v>369.84126984126982</v>
      </c>
      <c r="P501" s="29">
        <f>($G501-$F501)/7.48/($AF$410*$E501/$AE$43)*12</f>
        <v>1.5033637593063944</v>
      </c>
      <c r="Q501" s="29">
        <f>($G501-$F501)/7.48/($AF$410*$E501/$AE$43)*12</f>
        <v>1.5033637593063944</v>
      </c>
      <c r="R501" s="29">
        <f>($G501-$F501)/7.48/($AF$410*$E501/$AE$43)*12</f>
        <v>1.5033637593063944</v>
      </c>
      <c r="S501" s="29">
        <f>($G501-$F501)/7.48/($AF$410*$E501/$AE$43)*12</f>
        <v>1.5033637593063944</v>
      </c>
      <c r="U501" s="28">
        <f>U493+P501</f>
        <v>36.047462068298927</v>
      </c>
      <c r="V501" s="28">
        <f>V493+Q501</f>
        <v>33.420357029457136</v>
      </c>
      <c r="W501" s="28">
        <f>W493+R501</f>
        <v>36.094447491866873</v>
      </c>
      <c r="X501" s="28">
        <f>X493+S501</f>
        <v>33.467342453025083</v>
      </c>
    </row>
    <row r="502" spans="1:24" x14ac:dyDescent="0.2">
      <c r="A502" s="1">
        <v>235</v>
      </c>
      <c r="B502" s="1" t="s">
        <v>14</v>
      </c>
      <c r="C502" s="2">
        <v>36395</v>
      </c>
      <c r="D502" s="26">
        <v>4</v>
      </c>
      <c r="E502" s="26">
        <v>105</v>
      </c>
      <c r="F502" s="27">
        <v>3109100</v>
      </c>
      <c r="G502" s="26">
        <f>F501</f>
        <v>3129500</v>
      </c>
      <c r="H502" s="25">
        <v>12</v>
      </c>
      <c r="I502" s="6" t="s">
        <v>178</v>
      </c>
      <c r="J502" s="24">
        <v>30</v>
      </c>
      <c r="K502" s="9">
        <f>H501</f>
        <v>13</v>
      </c>
      <c r="L502" s="6" t="s">
        <v>178</v>
      </c>
      <c r="M502" s="23">
        <f>J501</f>
        <v>25</v>
      </c>
      <c r="N502" s="22">
        <f>IF(H502=K502,M502-J502,60-(J502-M502))</f>
        <v>55</v>
      </c>
      <c r="O502" s="30">
        <f>(G502-F502)/N502</f>
        <v>370.90909090909093</v>
      </c>
      <c r="P502" s="29">
        <f>($G502-$F502)/7.48/($AF$411*$E502/$AE$43)*12</f>
        <v>1.3789283776348042</v>
      </c>
      <c r="Q502" s="29">
        <f>($G502-$F502)/7.48/($AF$411*$E502/$AE$43)*12</f>
        <v>1.3789283776348042</v>
      </c>
      <c r="R502" s="29">
        <f>($G502-$F502)/7.48/($AF$411*$E502/$AE$43)*12</f>
        <v>1.3789283776348042</v>
      </c>
      <c r="S502" s="29">
        <f>($G502-$F502)/7.48/($AF$411*$E502/$AE$43)*12</f>
        <v>1.3789283776348042</v>
      </c>
      <c r="U502" s="28">
        <f>U494+P502</f>
        <v>35.040748030352376</v>
      </c>
      <c r="V502" s="28">
        <f>V494+Q502</f>
        <v>37.801519306708897</v>
      </c>
      <c r="W502" s="28">
        <f>W494+R502</f>
        <v>37.983910446852541</v>
      </c>
      <c r="X502" s="28">
        <f>X494+S502</f>
        <v>36.134782355359803</v>
      </c>
    </row>
    <row r="503" spans="1:24" x14ac:dyDescent="0.2">
      <c r="A503" s="1">
        <v>235</v>
      </c>
      <c r="B503" s="1" t="s">
        <v>14</v>
      </c>
      <c r="C503" s="2">
        <v>36395</v>
      </c>
      <c r="D503" s="26" t="s">
        <v>180</v>
      </c>
      <c r="E503" s="26">
        <v>105</v>
      </c>
      <c r="F503" s="27">
        <v>3101400</v>
      </c>
      <c r="G503" s="26">
        <f>F502</f>
        <v>3109100</v>
      </c>
      <c r="H503" s="25">
        <v>12</v>
      </c>
      <c r="I503" s="6" t="s">
        <v>178</v>
      </c>
      <c r="J503" s="24">
        <v>10</v>
      </c>
      <c r="K503" s="9">
        <f>H502</f>
        <v>12</v>
      </c>
      <c r="L503" s="6" t="s">
        <v>178</v>
      </c>
      <c r="M503" s="23">
        <f>J502</f>
        <v>30</v>
      </c>
      <c r="N503" s="22">
        <f>IF(H503=K503,M503-J503,60-(J503-M503))</f>
        <v>20</v>
      </c>
      <c r="O503" s="21"/>
      <c r="U503" s="6" t="s">
        <v>177</v>
      </c>
      <c r="V503" s="10">
        <f>AVERAGE(W499,U499,W500,V500,X501,V501,X502,U502)</f>
        <v>34.48696253126117</v>
      </c>
      <c r="W503" s="6" t="s">
        <v>176</v>
      </c>
      <c r="X503" s="10">
        <f>AVERAGE(V499,X499,X500,U500,U501,W501,W502,V502)</f>
        <v>37.065037566344415</v>
      </c>
    </row>
    <row r="504" spans="1:24" ht="13.5" thickBot="1" x14ac:dyDescent="0.25">
      <c r="A504" s="20"/>
      <c r="B504" s="20"/>
      <c r="C504" s="20"/>
      <c r="D504" s="18"/>
      <c r="E504" s="18"/>
      <c r="F504" s="19"/>
      <c r="G504" s="18"/>
      <c r="H504" s="17"/>
      <c r="I504" s="12"/>
      <c r="J504" s="16"/>
      <c r="K504" s="15"/>
      <c r="L504" s="12"/>
      <c r="M504" s="14"/>
      <c r="N504" s="12" t="s">
        <v>175</v>
      </c>
      <c r="O504" s="13">
        <f>(G501-F502)/(SUM(N501:N502))</f>
        <v>370.33898305084745</v>
      </c>
      <c r="P504" s="12" t="s">
        <v>174</v>
      </c>
      <c r="Q504" s="12"/>
      <c r="R504" s="11">
        <f>AVERAGE(P499:S502)</f>
        <v>1.4025864625452051</v>
      </c>
      <c r="S504" s="12"/>
      <c r="T504" s="12"/>
      <c r="U504" s="12" t="s">
        <v>173</v>
      </c>
      <c r="V504" s="12"/>
      <c r="W504" s="12"/>
      <c r="X504" s="11">
        <f>AVERAGE(U499:X502)</f>
        <v>35.776000048802786</v>
      </c>
    </row>
    <row r="505" spans="1:24" x14ac:dyDescent="0.2">
      <c r="D505" s="26"/>
      <c r="E505" s="26"/>
      <c r="F505" s="38"/>
      <c r="G505" s="37"/>
      <c r="H505" s="25"/>
      <c r="I505" s="6"/>
      <c r="J505" s="36"/>
      <c r="K505" s="35"/>
      <c r="M505" s="34"/>
      <c r="N505" s="33"/>
      <c r="O505" s="32"/>
      <c r="P505" s="31"/>
      <c r="Q505" s="31"/>
      <c r="R505" s="31"/>
      <c r="S505" s="31"/>
      <c r="T505" s="31"/>
    </row>
    <row r="506" spans="1:24" x14ac:dyDescent="0.2">
      <c r="A506" s="1">
        <v>238</v>
      </c>
      <c r="B506" s="1" t="s">
        <v>129</v>
      </c>
      <c r="C506" s="2">
        <v>36398</v>
      </c>
      <c r="D506" s="26" t="s">
        <v>180</v>
      </c>
      <c r="E506" s="26">
        <v>105</v>
      </c>
      <c r="F506" s="27">
        <v>3201000</v>
      </c>
      <c r="G506" s="26">
        <f>F507</f>
        <v>3211800</v>
      </c>
      <c r="H506" s="9">
        <v>15</v>
      </c>
      <c r="I506" s="6" t="s">
        <v>178</v>
      </c>
      <c r="J506" s="24">
        <v>0</v>
      </c>
      <c r="K506" s="9">
        <f>H507</f>
        <v>15</v>
      </c>
      <c r="L506" s="6" t="s">
        <v>178</v>
      </c>
      <c r="M506" s="24">
        <f>J507</f>
        <v>26</v>
      </c>
      <c r="N506" s="22">
        <f>IF(H506=K506,M506-J506,60-(J506-M506))</f>
        <v>26</v>
      </c>
      <c r="O506" s="30">
        <f>(G506-F506)/N506</f>
        <v>415.38461538461536</v>
      </c>
      <c r="P506" s="6"/>
      <c r="Q506" s="6"/>
      <c r="R506" s="6"/>
      <c r="S506" s="6"/>
      <c r="U506" s="6"/>
      <c r="V506" s="6"/>
      <c r="W506" s="6"/>
      <c r="X506" s="6"/>
    </row>
    <row r="507" spans="1:24" x14ac:dyDescent="0.2">
      <c r="A507" s="1">
        <v>238</v>
      </c>
      <c r="B507" s="1" t="s">
        <v>129</v>
      </c>
      <c r="C507" s="2">
        <v>36398</v>
      </c>
      <c r="D507" s="26">
        <v>1</v>
      </c>
      <c r="E507" s="26">
        <v>105</v>
      </c>
      <c r="F507" s="27">
        <v>3211800</v>
      </c>
      <c r="G507" s="26">
        <f>F508</f>
        <v>3226000</v>
      </c>
      <c r="H507" s="25">
        <v>15</v>
      </c>
      <c r="I507" s="6" t="s">
        <v>178</v>
      </c>
      <c r="J507" s="24">
        <v>26</v>
      </c>
      <c r="K507" s="9">
        <f>H508</f>
        <v>16</v>
      </c>
      <c r="L507" s="6" t="s">
        <v>178</v>
      </c>
      <c r="M507" s="23">
        <f>J508</f>
        <v>5</v>
      </c>
      <c r="N507" s="22">
        <f>IF(H507=K507,M507-J507,60-(J507-M507))</f>
        <v>39</v>
      </c>
      <c r="O507" s="30">
        <f>(G507-F507)/N507</f>
        <v>364.10256410256409</v>
      </c>
      <c r="P507" s="29">
        <f>($G507-$F507)/7.48/($AF$408*$E507/$AE$43)*12</f>
        <v>0.95984230207912846</v>
      </c>
      <c r="Q507" s="29">
        <f>($G507-$F507)/7.48/($AF$408*$E507/$AE$43)*12</f>
        <v>0.95984230207912846</v>
      </c>
      <c r="R507" s="29">
        <f>($G507-$F507)/7.48/($AF$408*$E507/$AE$43)*12</f>
        <v>0.95984230207912846</v>
      </c>
      <c r="S507" s="29">
        <f>($G507-$F507)/7.48/($AF$408*$E507/$AE$43)*12</f>
        <v>0.95984230207912846</v>
      </c>
      <c r="U507" s="28">
        <f>U499+P507</f>
        <v>35.658362555838359</v>
      </c>
      <c r="V507" s="28">
        <f>V499+Q507</f>
        <v>38.411386133848275</v>
      </c>
      <c r="W507" s="28">
        <f>W499+R507</f>
        <v>35.66191532888697</v>
      </c>
      <c r="X507" s="28">
        <f>X499+S507</f>
        <v>38.414938906896893</v>
      </c>
    </row>
    <row r="508" spans="1:24" x14ac:dyDescent="0.2">
      <c r="A508" s="1">
        <v>238</v>
      </c>
      <c r="B508" s="1" t="s">
        <v>129</v>
      </c>
      <c r="C508" s="2">
        <v>36398</v>
      </c>
      <c r="D508" s="26">
        <v>2</v>
      </c>
      <c r="E508" s="26">
        <v>105</v>
      </c>
      <c r="F508" s="27">
        <v>3226000</v>
      </c>
      <c r="G508" s="26">
        <f>F509</f>
        <v>3241000</v>
      </c>
      <c r="H508" s="25">
        <v>16</v>
      </c>
      <c r="I508" s="6" t="s">
        <v>178</v>
      </c>
      <c r="J508" s="24">
        <v>5</v>
      </c>
      <c r="K508" s="9">
        <f>H509</f>
        <v>16</v>
      </c>
      <c r="L508" s="6" t="s">
        <v>178</v>
      </c>
      <c r="M508" s="23">
        <f>J509</f>
        <v>47</v>
      </c>
      <c r="N508" s="22">
        <f>IF(H508=K508,M508-J508,60-(J508-M508))</f>
        <v>42</v>
      </c>
      <c r="O508" s="30">
        <f>(G508-F508)/N508</f>
        <v>357.14285714285717</v>
      </c>
      <c r="P508" s="29">
        <f>($G508-$F508)/7.48/($AF$409*$E508/$AE$43)*12</f>
        <v>0.96783074633458865</v>
      </c>
      <c r="Q508" s="29">
        <f>($G508-$F508)/7.48/($AF$409*$E508/$AE$43)*12</f>
        <v>0.96783074633458865</v>
      </c>
      <c r="R508" s="29">
        <f>($G508-$F508)/7.48/($AF$409*$E508/$AE$43)*12</f>
        <v>0.96783074633458865</v>
      </c>
      <c r="S508" s="29">
        <f>($G508-$F508)/7.48/($AF$409*$E508/$AE$43)*12</f>
        <v>0.96783074633458865</v>
      </c>
      <c r="U508" s="28">
        <f>U500+P508</f>
        <v>37.855933715620175</v>
      </c>
      <c r="V508" s="28">
        <f>V500+Q508</f>
        <v>35.228711876063521</v>
      </c>
      <c r="W508" s="28">
        <f>W500+R508</f>
        <v>35.13882671793354</v>
      </c>
      <c r="X508" s="28">
        <f>X500+S508</f>
        <v>37.766048557490194</v>
      </c>
    </row>
    <row r="509" spans="1:24" x14ac:dyDescent="0.2">
      <c r="A509" s="1">
        <v>238</v>
      </c>
      <c r="B509" s="1" t="s">
        <v>129</v>
      </c>
      <c r="C509" s="2">
        <v>36398</v>
      </c>
      <c r="D509" s="26">
        <v>3</v>
      </c>
      <c r="E509" s="26">
        <v>105</v>
      </c>
      <c r="F509" s="27">
        <v>3241000</v>
      </c>
      <c r="G509" s="26">
        <f>F510</f>
        <v>3256600</v>
      </c>
      <c r="H509" s="25">
        <v>16</v>
      </c>
      <c r="I509" s="6" t="s">
        <v>178</v>
      </c>
      <c r="J509" s="24">
        <v>47</v>
      </c>
      <c r="K509" s="9">
        <f>H510</f>
        <v>17</v>
      </c>
      <c r="L509" s="6" t="s">
        <v>178</v>
      </c>
      <c r="M509" s="23">
        <f>J510</f>
        <v>29</v>
      </c>
      <c r="N509" s="22">
        <f>IF(H509=K509,M509-J509,60-(J509-M509))</f>
        <v>42</v>
      </c>
      <c r="O509" s="30">
        <f>(G509-F509)/N509</f>
        <v>371.42857142857144</v>
      </c>
      <c r="P509" s="29">
        <f>($G509-$F509)/7.48/($AF$410*$E509/$AE$43)*12</f>
        <v>1.0065439761879722</v>
      </c>
      <c r="Q509" s="29">
        <f>($G509-$F509)/7.48/($AF$410*$E509/$AE$43)*12</f>
        <v>1.0065439761879722</v>
      </c>
      <c r="R509" s="29">
        <f>($G509-$F509)/7.48/($AF$410*$E509/$AE$43)*12</f>
        <v>1.0065439761879722</v>
      </c>
      <c r="S509" s="29">
        <f>($G509-$F509)/7.48/($AF$410*$E509/$AE$43)*12</f>
        <v>1.0065439761879722</v>
      </c>
      <c r="U509" s="28">
        <f>U501+P509</f>
        <v>37.054006044486897</v>
      </c>
      <c r="V509" s="28">
        <f>V501+Q509</f>
        <v>34.426901005645107</v>
      </c>
      <c r="W509" s="28">
        <f>W501+R509</f>
        <v>37.100991468054843</v>
      </c>
      <c r="X509" s="28">
        <f>X501+S509</f>
        <v>34.473886429213053</v>
      </c>
    </row>
    <row r="510" spans="1:24" x14ac:dyDescent="0.2">
      <c r="A510" s="1">
        <v>238</v>
      </c>
      <c r="B510" s="1" t="s">
        <v>129</v>
      </c>
      <c r="C510" s="2">
        <v>36398</v>
      </c>
      <c r="D510" s="26">
        <v>4</v>
      </c>
      <c r="E510" s="26">
        <v>105</v>
      </c>
      <c r="F510" s="27">
        <v>3256600</v>
      </c>
      <c r="G510" s="26">
        <f>F511</f>
        <v>3273600</v>
      </c>
      <c r="H510" s="25">
        <v>17</v>
      </c>
      <c r="I510" s="6" t="s">
        <v>178</v>
      </c>
      <c r="J510" s="24">
        <v>29</v>
      </c>
      <c r="K510" s="9">
        <f>H511</f>
        <v>18</v>
      </c>
      <c r="L510" s="6" t="s">
        <v>178</v>
      </c>
      <c r="M510" s="23">
        <f>J511</f>
        <v>15</v>
      </c>
      <c r="N510" s="22">
        <f>IF(H510=K510,M510-J510,60-(J510-M510))</f>
        <v>46</v>
      </c>
      <c r="O510" s="30">
        <f>(G510-F510)/N510</f>
        <v>369.56521739130437</v>
      </c>
      <c r="P510" s="29">
        <f>($G510-$F510)/7.48/($AF$411*$E510/$AE$43)*12</f>
        <v>1.1491069813623369</v>
      </c>
      <c r="Q510" s="29">
        <f>($G510-$F510)/7.48/($AF$411*$E510/$AE$43)*12</f>
        <v>1.1491069813623369</v>
      </c>
      <c r="R510" s="29">
        <f>($G510-$F510)/7.48/($AF$411*$E510/$AE$43)*12</f>
        <v>1.1491069813623369</v>
      </c>
      <c r="S510" s="29">
        <f>($G510-$F510)/7.48/($AF$411*$E510/$AE$43)*12</f>
        <v>1.1491069813623369</v>
      </c>
      <c r="U510" s="28">
        <f>U502+P510</f>
        <v>36.189855011714712</v>
      </c>
      <c r="V510" s="28">
        <f>V502+Q510</f>
        <v>38.950626288071234</v>
      </c>
      <c r="W510" s="28">
        <f>W502+R510</f>
        <v>39.133017428214877</v>
      </c>
      <c r="X510" s="28">
        <f>X502+S510</f>
        <v>37.28388933672214</v>
      </c>
    </row>
    <row r="511" spans="1:24" x14ac:dyDescent="0.2">
      <c r="A511" s="1">
        <v>238</v>
      </c>
      <c r="B511" s="1" t="s">
        <v>129</v>
      </c>
      <c r="C511" s="2">
        <v>36398</v>
      </c>
      <c r="D511" s="26" t="s">
        <v>179</v>
      </c>
      <c r="E511" s="26">
        <v>105</v>
      </c>
      <c r="F511" s="27">
        <v>3273600</v>
      </c>
      <c r="G511" s="26">
        <v>3277400</v>
      </c>
      <c r="H511" s="25">
        <v>18</v>
      </c>
      <c r="I511" s="6" t="s">
        <v>178</v>
      </c>
      <c r="J511" s="24">
        <v>15</v>
      </c>
      <c r="K511" s="9">
        <v>18</v>
      </c>
      <c r="L511" s="6" t="s">
        <v>178</v>
      </c>
      <c r="M511" s="23">
        <v>26</v>
      </c>
      <c r="N511" s="22">
        <f>IF(H511=K511,M511-J511,60-(J511-M511))</f>
        <v>11</v>
      </c>
      <c r="O511" s="21"/>
      <c r="U511" s="6" t="s">
        <v>177</v>
      </c>
      <c r="V511" s="10">
        <f>AVERAGE(W507,U507,W508,V508,X509,V509,X510,U510)</f>
        <v>35.507793532752174</v>
      </c>
      <c r="W511" s="6" t="s">
        <v>176</v>
      </c>
      <c r="X511" s="10">
        <f>AVERAGE(V507,X507,X508,U508,U509,W509,W510,V510)</f>
        <v>38.085868567835426</v>
      </c>
    </row>
    <row r="512" spans="1:24" ht="13.5" thickBot="1" x14ac:dyDescent="0.25">
      <c r="A512" s="20"/>
      <c r="B512" s="20"/>
      <c r="C512" s="20"/>
      <c r="D512" s="18"/>
      <c r="E512" s="18"/>
      <c r="F512" s="19"/>
      <c r="G512" s="18"/>
      <c r="H512" s="17"/>
      <c r="I512" s="12"/>
      <c r="J512" s="16"/>
      <c r="K512" s="15"/>
      <c r="L512" s="12"/>
      <c r="M512" s="14"/>
      <c r="N512" s="12" t="s">
        <v>175</v>
      </c>
      <c r="O512" s="13">
        <f>(G508-F507)/(SUM(N507:N508))</f>
        <v>360.49382716049382</v>
      </c>
      <c r="P512" s="12" t="s">
        <v>174</v>
      </c>
      <c r="Q512" s="12"/>
      <c r="R512" s="11">
        <f>AVERAGE(P507:S510)</f>
        <v>1.0208310014910067</v>
      </c>
      <c r="S512" s="12"/>
      <c r="T512" s="12"/>
      <c r="U512" s="12" t="s">
        <v>173</v>
      </c>
      <c r="V512" s="12"/>
      <c r="W512" s="12"/>
      <c r="X512" s="11">
        <f>AVERAGE(U507:X510)</f>
        <v>36.796831050293804</v>
      </c>
    </row>
    <row r="513" spans="1:24" x14ac:dyDescent="0.2">
      <c r="D513" s="26"/>
      <c r="E513" s="26"/>
      <c r="F513" s="38"/>
      <c r="G513" s="37"/>
      <c r="H513" s="25"/>
      <c r="I513" s="6"/>
      <c r="J513" s="36"/>
      <c r="K513" s="35"/>
      <c r="M513" s="34"/>
      <c r="N513" s="33"/>
      <c r="O513" s="32"/>
      <c r="P513" s="31"/>
      <c r="Q513" s="31"/>
      <c r="R513" s="31"/>
      <c r="S513" s="31"/>
      <c r="T513" s="31"/>
    </row>
    <row r="514" spans="1:24" x14ac:dyDescent="0.2">
      <c r="A514" s="1">
        <v>242</v>
      </c>
      <c r="B514" s="1" t="s">
        <v>14</v>
      </c>
      <c r="C514" s="2">
        <v>36403</v>
      </c>
      <c r="D514" s="26" t="s">
        <v>180</v>
      </c>
      <c r="E514" s="26">
        <v>105</v>
      </c>
      <c r="F514" s="27">
        <v>3277400</v>
      </c>
      <c r="G514" s="26">
        <f>F515</f>
        <v>3286800</v>
      </c>
      <c r="H514" s="9">
        <v>15</v>
      </c>
      <c r="I514" s="6" t="s">
        <v>178</v>
      </c>
      <c r="J514" s="24">
        <v>0</v>
      </c>
      <c r="K514" s="9">
        <f>H515</f>
        <v>15</v>
      </c>
      <c r="L514" s="6" t="s">
        <v>178</v>
      </c>
      <c r="M514" s="24">
        <f>J515</f>
        <v>25</v>
      </c>
      <c r="N514" s="22">
        <f>IF(H514=K514,M514-J514,60-(J514-M514))</f>
        <v>25</v>
      </c>
      <c r="O514" s="30">
        <f>(G514-F514)/N514</f>
        <v>376</v>
      </c>
      <c r="P514" s="6"/>
      <c r="Q514" s="6"/>
      <c r="R514" s="6"/>
      <c r="S514" s="6"/>
      <c r="U514" s="6"/>
      <c r="V514" s="6"/>
      <c r="W514" s="6"/>
      <c r="X514" s="6"/>
    </row>
    <row r="515" spans="1:24" x14ac:dyDescent="0.2">
      <c r="A515" s="1">
        <v>242</v>
      </c>
      <c r="B515" s="1" t="s">
        <v>14</v>
      </c>
      <c r="C515" s="2">
        <v>36403</v>
      </c>
      <c r="D515" s="26">
        <v>1</v>
      </c>
      <c r="E515" s="26">
        <v>53</v>
      </c>
      <c r="F515" s="27">
        <v>3286800</v>
      </c>
      <c r="G515" s="26">
        <f>F516</f>
        <v>3295100</v>
      </c>
      <c r="H515" s="25">
        <v>15</v>
      </c>
      <c r="I515" s="6" t="s">
        <v>178</v>
      </c>
      <c r="J515" s="24">
        <v>25</v>
      </c>
      <c r="K515" s="9">
        <f>H516</f>
        <v>16</v>
      </c>
      <c r="L515" s="6" t="s">
        <v>178</v>
      </c>
      <c r="M515" s="23">
        <f>J516</f>
        <v>8</v>
      </c>
      <c r="N515" s="22">
        <f>IF(H515=K515,M515-J515,60-(J515-M515))</f>
        <v>43</v>
      </c>
      <c r="O515" s="30">
        <f>(G515-F515)/N515</f>
        <v>193.02325581395348</v>
      </c>
      <c r="P515" s="29"/>
      <c r="Q515" s="29">
        <f>($G515-$F515)/7.48/($AF$408*$E515/$AE$43)*12</f>
        <v>1.1114836118282758</v>
      </c>
      <c r="R515" s="29"/>
      <c r="S515" s="29">
        <f>($G515-$F515)/7.48/($AF$408*$E515/$AE$43)*12</f>
        <v>1.1114836118282758</v>
      </c>
      <c r="U515" s="28">
        <f>U507+P515</f>
        <v>35.658362555838359</v>
      </c>
      <c r="V515" s="28">
        <f>V507+Q515</f>
        <v>39.522869745676552</v>
      </c>
      <c r="W515" s="28">
        <f>W507+R515</f>
        <v>35.66191532888697</v>
      </c>
      <c r="X515" s="28">
        <f>X507+S515</f>
        <v>39.52642251872517</v>
      </c>
    </row>
    <row r="516" spans="1:24" x14ac:dyDescent="0.2">
      <c r="A516" s="1">
        <v>242</v>
      </c>
      <c r="B516" s="1" t="s">
        <v>14</v>
      </c>
      <c r="C516" s="2">
        <v>36403</v>
      </c>
      <c r="D516" s="26">
        <v>2</v>
      </c>
      <c r="E516" s="26">
        <v>57</v>
      </c>
      <c r="F516" s="27">
        <v>3295100</v>
      </c>
      <c r="G516" s="26">
        <f>F517</f>
        <v>3303600</v>
      </c>
      <c r="H516" s="25">
        <v>16</v>
      </c>
      <c r="I516" s="6" t="s">
        <v>178</v>
      </c>
      <c r="J516" s="24">
        <v>8</v>
      </c>
      <c r="K516" s="9">
        <f>H517</f>
        <v>16</v>
      </c>
      <c r="L516" s="6" t="s">
        <v>178</v>
      </c>
      <c r="M516" s="23">
        <f>J517</f>
        <v>46</v>
      </c>
      <c r="N516" s="22">
        <f>IF(H516=K516,M516-J516,60-(J516-M516))</f>
        <v>38</v>
      </c>
      <c r="O516" s="30">
        <f>(G516-F516)/N516</f>
        <v>223.68421052631578</v>
      </c>
      <c r="P516" s="29">
        <f>($G516-$F516)/7.48/($AF$409*$E516/$AE$43)*12</f>
        <v>1.0102794632790881</v>
      </c>
      <c r="Q516" s="29"/>
      <c r="R516" s="29"/>
      <c r="S516" s="29">
        <f>($G516-$F516)/7.48/($AF$409*$E516/$AE$43)*12</f>
        <v>1.0102794632790881</v>
      </c>
      <c r="U516" s="28">
        <f>U508+P516</f>
        <v>38.866213178899265</v>
      </c>
      <c r="V516" s="28">
        <f>V508+Q516</f>
        <v>35.228711876063521</v>
      </c>
      <c r="W516" s="28">
        <f>W508+R516</f>
        <v>35.13882671793354</v>
      </c>
      <c r="X516" s="28">
        <f>X508+S516</f>
        <v>38.776328020769284</v>
      </c>
    </row>
    <row r="517" spans="1:24" x14ac:dyDescent="0.2">
      <c r="A517" s="1">
        <v>242</v>
      </c>
      <c r="B517" s="1" t="s">
        <v>14</v>
      </c>
      <c r="C517" s="2">
        <v>36403</v>
      </c>
      <c r="D517" s="26">
        <v>3</v>
      </c>
      <c r="E517" s="26">
        <v>52</v>
      </c>
      <c r="F517" s="27">
        <v>3303600</v>
      </c>
      <c r="G517" s="26">
        <f>F518</f>
        <v>3311100</v>
      </c>
      <c r="H517" s="25">
        <v>16</v>
      </c>
      <c r="I517" s="6" t="s">
        <v>178</v>
      </c>
      <c r="J517" s="24">
        <v>46</v>
      </c>
      <c r="K517" s="9">
        <f>H518</f>
        <v>17</v>
      </c>
      <c r="L517" s="6" t="s">
        <v>178</v>
      </c>
      <c r="M517" s="23">
        <f>J518</f>
        <v>26</v>
      </c>
      <c r="N517" s="22">
        <f>IF(H517=K517,M517-J517,60-(J517-M517))</f>
        <v>40</v>
      </c>
      <c r="O517" s="30">
        <f>(G517-F517)/N517</f>
        <v>187.5</v>
      </c>
      <c r="P517" s="29">
        <f>($G517-$F517)/7.48/($AF$410*$E517/$AE$43)*12</f>
        <v>0.9771368112031904</v>
      </c>
      <c r="Q517" s="29"/>
      <c r="R517" s="29">
        <f>($G517-$F517)/7.48/($AF$410*$E517/$AE$43)*12</f>
        <v>0.9771368112031904</v>
      </c>
      <c r="S517" s="29"/>
      <c r="U517" s="28">
        <f>U509+P517</f>
        <v>38.031142855690085</v>
      </c>
      <c r="V517" s="28">
        <f>V509+Q517</f>
        <v>34.426901005645107</v>
      </c>
      <c r="W517" s="28">
        <f>W509+R517</f>
        <v>38.078128279258031</v>
      </c>
      <c r="X517" s="28">
        <f>X509+S517</f>
        <v>34.473886429213053</v>
      </c>
    </row>
    <row r="518" spans="1:24" x14ac:dyDescent="0.2">
      <c r="A518" s="1">
        <v>242</v>
      </c>
      <c r="B518" s="1" t="s">
        <v>14</v>
      </c>
      <c r="C518" s="2">
        <v>36403</v>
      </c>
      <c r="D518" s="26">
        <v>4</v>
      </c>
      <c r="E518" s="26">
        <v>48</v>
      </c>
      <c r="F518" s="27">
        <v>3311100</v>
      </c>
      <c r="G518" s="26">
        <f>F519</f>
        <v>3319500</v>
      </c>
      <c r="H518" s="25">
        <v>17</v>
      </c>
      <c r="I518" s="6" t="s">
        <v>178</v>
      </c>
      <c r="J518" s="24">
        <v>26</v>
      </c>
      <c r="K518" s="9">
        <f>H519</f>
        <v>18</v>
      </c>
      <c r="L518" s="6" t="s">
        <v>178</v>
      </c>
      <c r="M518" s="23">
        <f>J519</f>
        <v>8</v>
      </c>
      <c r="N518" s="22">
        <f>IF(H518=K518,M518-J518,60-(J518-M518))</f>
        <v>42</v>
      </c>
      <c r="O518" s="30">
        <f>(G518-F518)/N518</f>
        <v>200</v>
      </c>
      <c r="P518" s="29"/>
      <c r="Q518" s="29">
        <f>($G518-$F518)/7.48/($AF$411*$E518/$AE$43)*12</f>
        <v>1.2420494577960555</v>
      </c>
      <c r="R518" s="29">
        <f>($G518-$F518)/7.48/($AF$411*$E518/$AE$43)*12</f>
        <v>1.2420494577960555</v>
      </c>
      <c r="S518" s="29"/>
      <c r="U518" s="28">
        <f>U510+P518</f>
        <v>36.189855011714712</v>
      </c>
      <c r="V518" s="28">
        <f>V510+Q518</f>
        <v>40.192675745867291</v>
      </c>
      <c r="W518" s="28">
        <f>W510+R518</f>
        <v>40.375066886010934</v>
      </c>
      <c r="X518" s="28">
        <f>X510+S518</f>
        <v>37.28388933672214</v>
      </c>
    </row>
    <row r="519" spans="1:24" x14ac:dyDescent="0.2">
      <c r="A519" s="1">
        <v>242</v>
      </c>
      <c r="B519" s="1" t="s">
        <v>14</v>
      </c>
      <c r="C519" s="2">
        <v>36403</v>
      </c>
      <c r="D519" s="26" t="s">
        <v>179</v>
      </c>
      <c r="E519" s="26">
        <v>105</v>
      </c>
      <c r="F519" s="27">
        <v>3319500</v>
      </c>
      <c r="G519" s="26">
        <v>3277400</v>
      </c>
      <c r="H519" s="25">
        <v>18</v>
      </c>
      <c r="I519" s="6" t="s">
        <v>178</v>
      </c>
      <c r="J519" s="24">
        <v>8</v>
      </c>
      <c r="K519" s="9">
        <v>18</v>
      </c>
      <c r="L519" s="6" t="s">
        <v>178</v>
      </c>
      <c r="M519" s="23">
        <v>22</v>
      </c>
      <c r="N519" s="22">
        <f>IF(H519=K519,M519-J519,60-(J519-M519))</f>
        <v>14</v>
      </c>
      <c r="O519" s="21"/>
      <c r="U519" s="6" t="s">
        <v>177</v>
      </c>
      <c r="V519" s="10">
        <f>AVERAGE(W515,U515,W516,V516,X517,V517,X518,U518)</f>
        <v>35.507793532752174</v>
      </c>
      <c r="W519" s="6" t="s">
        <v>176</v>
      </c>
      <c r="X519" s="10">
        <f>AVERAGE(V515,X515,X516,U516,U517,W517,W518,V518)</f>
        <v>39.171105903862077</v>
      </c>
    </row>
    <row r="520" spans="1:24" ht="13.5" thickBot="1" x14ac:dyDescent="0.25">
      <c r="A520" s="20"/>
      <c r="B520" s="20"/>
      <c r="C520" s="20"/>
      <c r="D520" s="18"/>
      <c r="E520" s="18"/>
      <c r="F520" s="19"/>
      <c r="G520" s="18"/>
      <c r="H520" s="17"/>
      <c r="I520" s="12"/>
      <c r="J520" s="16"/>
      <c r="K520" s="15"/>
      <c r="L520" s="12"/>
      <c r="M520" s="14"/>
      <c r="N520" s="12" t="s">
        <v>175</v>
      </c>
      <c r="O520" s="13">
        <f>(G516-F515)/(SUM(N515:N516))</f>
        <v>207.40740740740742</v>
      </c>
      <c r="P520" s="12" t="s">
        <v>174</v>
      </c>
      <c r="Q520" s="12"/>
      <c r="R520" s="11">
        <f>AVERAGE(P515:S518)</f>
        <v>1.0852373360266525</v>
      </c>
      <c r="S520" s="12"/>
      <c r="T520" s="12"/>
      <c r="U520" s="12" t="s">
        <v>173</v>
      </c>
      <c r="V520" s="12"/>
      <c r="W520" s="12"/>
      <c r="X520" s="11">
        <f>AVERAGE(U515:X518)</f>
        <v>37.339449718307122</v>
      </c>
    </row>
    <row r="521" spans="1:24" x14ac:dyDescent="0.2">
      <c r="D521" s="26"/>
      <c r="E521" s="26"/>
      <c r="F521" s="38"/>
      <c r="G521" s="37"/>
      <c r="H521" s="25"/>
      <c r="I521" s="6"/>
      <c r="J521" s="36"/>
      <c r="K521" s="35"/>
      <c r="M521" s="34"/>
      <c r="N521" s="33"/>
      <c r="O521" s="32"/>
      <c r="P521" s="31"/>
      <c r="Q521" s="31"/>
      <c r="R521" s="31"/>
      <c r="S521" s="31"/>
      <c r="T521" s="31"/>
    </row>
    <row r="522" spans="1:24" x14ac:dyDescent="0.2">
      <c r="A522" s="1">
        <v>245</v>
      </c>
      <c r="B522" s="1" t="s">
        <v>129</v>
      </c>
      <c r="C522" s="2">
        <v>36405</v>
      </c>
      <c r="D522" s="26" t="s">
        <v>179</v>
      </c>
      <c r="E522" s="26">
        <v>105</v>
      </c>
      <c r="F522" s="27">
        <v>3428400</v>
      </c>
      <c r="G522" s="39">
        <v>3435400</v>
      </c>
      <c r="H522" s="25">
        <v>16</v>
      </c>
      <c r="I522" s="6" t="s">
        <v>178</v>
      </c>
      <c r="J522" s="24">
        <v>24</v>
      </c>
      <c r="K522" s="9">
        <v>16</v>
      </c>
      <c r="L522" s="6" t="s">
        <v>178</v>
      </c>
      <c r="M522" s="24">
        <v>42</v>
      </c>
      <c r="N522" s="22">
        <f>IF(H522=K522,M522-J522,60-(J522-M522))</f>
        <v>18</v>
      </c>
      <c r="O522" s="30">
        <f>(G522-F522)/N522</f>
        <v>388.88888888888891</v>
      </c>
      <c r="P522" s="6"/>
      <c r="Q522" s="6"/>
      <c r="R522" s="6"/>
      <c r="S522" s="6"/>
      <c r="U522" s="6"/>
      <c r="V522" s="6"/>
      <c r="W522" s="6"/>
      <c r="X522" s="6"/>
    </row>
    <row r="523" spans="1:24" x14ac:dyDescent="0.2">
      <c r="A523" s="1">
        <v>245</v>
      </c>
      <c r="B523" s="1" t="s">
        <v>129</v>
      </c>
      <c r="C523" s="2">
        <v>36405</v>
      </c>
      <c r="D523" s="26">
        <v>1</v>
      </c>
      <c r="E523" s="26">
        <v>105</v>
      </c>
      <c r="F523" s="27">
        <v>3405400</v>
      </c>
      <c r="G523" s="26">
        <f>F522</f>
        <v>3428400</v>
      </c>
      <c r="H523" s="25">
        <v>15</v>
      </c>
      <c r="I523" s="6" t="s">
        <v>178</v>
      </c>
      <c r="J523" s="24">
        <v>26</v>
      </c>
      <c r="K523" s="9">
        <f>H522</f>
        <v>16</v>
      </c>
      <c r="L523" s="6" t="s">
        <v>178</v>
      </c>
      <c r="M523" s="23">
        <f>J522</f>
        <v>24</v>
      </c>
      <c r="N523" s="22">
        <f>IF(H523=K523,M523-J523,((K523-H523)*60-((J523-M523))))</f>
        <v>58</v>
      </c>
      <c r="O523" s="30">
        <f>(G523-F523)/N523</f>
        <v>396.55172413793105</v>
      </c>
      <c r="P523" s="29">
        <f>($G523-$F523)/7.48/($AF$408*$E523/$AE$43)*12</f>
        <v>1.5546741512549263</v>
      </c>
      <c r="Q523" s="29">
        <f>($G523-$F523)/7.48/($AF$408*$E523/$AE$43)*12</f>
        <v>1.5546741512549263</v>
      </c>
      <c r="R523" s="29">
        <f>($G523-$F523)/7.48/($AF$408*$E523/$AE$43)*12</f>
        <v>1.5546741512549263</v>
      </c>
      <c r="S523" s="29">
        <f>($G523-$F523)/7.48/($AF$408*$E523/$AE$43)*12</f>
        <v>1.5546741512549263</v>
      </c>
      <c r="U523" s="28">
        <f>U515+P523</f>
        <v>37.213036707093288</v>
      </c>
      <c r="V523" s="28">
        <f>V515+Q523</f>
        <v>41.077543896931481</v>
      </c>
      <c r="W523" s="28">
        <f>W515+R523</f>
        <v>37.216589480141899</v>
      </c>
      <c r="X523" s="28">
        <f>X515+S523</f>
        <v>41.081096669980099</v>
      </c>
    </row>
    <row r="524" spans="1:24" x14ac:dyDescent="0.2">
      <c r="A524" s="1">
        <v>245</v>
      </c>
      <c r="B524" s="1" t="s">
        <v>129</v>
      </c>
      <c r="C524" s="2">
        <v>36405</v>
      </c>
      <c r="D524" s="26">
        <v>2</v>
      </c>
      <c r="E524" s="26">
        <v>105</v>
      </c>
      <c r="F524" s="27">
        <v>3383500</v>
      </c>
      <c r="G524" s="26">
        <f>F523</f>
        <v>3405400</v>
      </c>
      <c r="H524" s="25">
        <v>14</v>
      </c>
      <c r="I524" s="6" t="s">
        <v>178</v>
      </c>
      <c r="J524" s="24">
        <v>28</v>
      </c>
      <c r="K524" s="9">
        <f>H523</f>
        <v>15</v>
      </c>
      <c r="L524" s="6" t="s">
        <v>178</v>
      </c>
      <c r="M524" s="23">
        <f>J523</f>
        <v>26</v>
      </c>
      <c r="N524" s="22">
        <f>IF(H524=K524,M524-J524,60-(J524-M524))</f>
        <v>58</v>
      </c>
      <c r="O524" s="30">
        <f>(G524-F524)/N524</f>
        <v>377.58620689655174</v>
      </c>
      <c r="P524" s="29">
        <f>($G524-$F524)/7.48/($AF$409*$E524/$AE$43)*12</f>
        <v>1.4130328896484992</v>
      </c>
      <c r="Q524" s="29">
        <f>($G524-$F524)/7.48/($AF$409*$E524/$AE$43)*12</f>
        <v>1.4130328896484992</v>
      </c>
      <c r="R524" s="29">
        <f>($G524-$F524)/7.48/($AF$409*$E524/$AE$43)*12</f>
        <v>1.4130328896484992</v>
      </c>
      <c r="S524" s="29">
        <f>($G524-$F524)/7.48/($AF$409*$E524/$AE$43)*12</f>
        <v>1.4130328896484992</v>
      </c>
      <c r="U524" s="28">
        <f>U516+P524</f>
        <v>40.279246068547764</v>
      </c>
      <c r="V524" s="28">
        <f>V516+Q524</f>
        <v>36.641744765712019</v>
      </c>
      <c r="W524" s="28">
        <f>W516+R524</f>
        <v>36.551859607582038</v>
      </c>
      <c r="X524" s="28">
        <f>X516+S524</f>
        <v>40.189360910417783</v>
      </c>
    </row>
    <row r="525" spans="1:24" x14ac:dyDescent="0.2">
      <c r="A525" s="1">
        <v>245</v>
      </c>
      <c r="B525" s="1" t="s">
        <v>129</v>
      </c>
      <c r="C525" s="2">
        <v>36405</v>
      </c>
      <c r="D525" s="26">
        <v>3</v>
      </c>
      <c r="E525" s="26">
        <v>105</v>
      </c>
      <c r="F525" s="27">
        <v>3355000</v>
      </c>
      <c r="G525" s="26">
        <v>3378200</v>
      </c>
      <c r="H525" s="25">
        <v>13</v>
      </c>
      <c r="I525" s="6" t="s">
        <v>178</v>
      </c>
      <c r="J525" s="24">
        <v>25</v>
      </c>
      <c r="K525" s="9">
        <f>H524</f>
        <v>14</v>
      </c>
      <c r="L525" s="6" t="s">
        <v>178</v>
      </c>
      <c r="M525" s="23">
        <f>J524</f>
        <v>28</v>
      </c>
      <c r="N525" s="22">
        <f>IF(H525=K525,M525-J525,60-(J525-M525))</f>
        <v>63</v>
      </c>
      <c r="O525" s="30">
        <f>(G525-F525)/N525</f>
        <v>368.25396825396825</v>
      </c>
      <c r="P525" s="29">
        <f>($G525-$F525)/7.48/($AF$410*$E525/$AE$43)*12</f>
        <v>1.4969115543308305</v>
      </c>
      <c r="Q525" s="29">
        <f>($G525-$F525)/7.48/($AF$410*$E525/$AE$43)*12</f>
        <v>1.4969115543308305</v>
      </c>
      <c r="R525" s="29">
        <f>($G525-$F525)/7.48/($AF$410*$E525/$AE$43)*12</f>
        <v>1.4969115543308305</v>
      </c>
      <c r="S525" s="29">
        <f>($G525-$F525)/7.48/($AF$410*$E525/$AE$43)*12</f>
        <v>1.4969115543308305</v>
      </c>
      <c r="U525" s="28">
        <f>U517+P525</f>
        <v>39.528054410020914</v>
      </c>
      <c r="V525" s="28">
        <f>V517+Q525</f>
        <v>35.923812559975936</v>
      </c>
      <c r="W525" s="28">
        <f>W517+R525</f>
        <v>39.57503983358886</v>
      </c>
      <c r="X525" s="28">
        <f>X517+S525</f>
        <v>35.970797983543882</v>
      </c>
    </row>
    <row r="526" spans="1:24" x14ac:dyDescent="0.2">
      <c r="A526" s="1">
        <v>245</v>
      </c>
      <c r="B526" s="1" t="s">
        <v>129</v>
      </c>
      <c r="C526" s="2">
        <v>36405</v>
      </c>
      <c r="D526" s="26">
        <v>4</v>
      </c>
      <c r="E526" s="26">
        <v>105</v>
      </c>
      <c r="F526" s="27">
        <v>3331700</v>
      </c>
      <c r="G526" s="26">
        <f>F525</f>
        <v>3355000</v>
      </c>
      <c r="H526" s="25">
        <v>12</v>
      </c>
      <c r="I526" s="6" t="s">
        <v>178</v>
      </c>
      <c r="J526" s="24">
        <v>30</v>
      </c>
      <c r="K526" s="9">
        <f>H525</f>
        <v>13</v>
      </c>
      <c r="L526" s="6" t="s">
        <v>178</v>
      </c>
      <c r="M526" s="23">
        <f>J525</f>
        <v>25</v>
      </c>
      <c r="N526" s="22">
        <f>IF(H526=K526,M526-J526,60-(J526-M526))</f>
        <v>55</v>
      </c>
      <c r="O526" s="30">
        <f>(G526-F526)/N526</f>
        <v>423.63636363636363</v>
      </c>
      <c r="P526" s="29">
        <f>($G526-$F526)/7.48/($AF$411*$E526/$AE$43)*12</f>
        <v>1.574952509749556</v>
      </c>
      <c r="Q526" s="29">
        <f>($G526-$F526)/7.48/($AF$411*$E526/$AE$43)*12</f>
        <v>1.574952509749556</v>
      </c>
      <c r="R526" s="29">
        <f>($G526-$F526)/7.48/($AF$411*$E526/$AE$43)*12</f>
        <v>1.574952509749556</v>
      </c>
      <c r="S526" s="29">
        <f>($G526-$F526)/7.48/($AF$411*$E526/$AE$43)*12</f>
        <v>1.574952509749556</v>
      </c>
      <c r="U526" s="28">
        <f>U518+P526</f>
        <v>37.76480752146427</v>
      </c>
      <c r="V526" s="28">
        <f>V518+Q526</f>
        <v>41.767628255616849</v>
      </c>
      <c r="W526" s="28">
        <f>W518+R526</f>
        <v>41.950019395760492</v>
      </c>
      <c r="X526" s="28">
        <f>X518+S526</f>
        <v>38.858841846471698</v>
      </c>
    </row>
    <row r="527" spans="1:24" x14ac:dyDescent="0.2">
      <c r="A527" s="1">
        <v>245</v>
      </c>
      <c r="B527" s="1" t="s">
        <v>129</v>
      </c>
      <c r="C527" s="2">
        <v>36405</v>
      </c>
      <c r="D527" s="26" t="s">
        <v>180</v>
      </c>
      <c r="E527" s="26">
        <v>105</v>
      </c>
      <c r="F527" s="27">
        <v>3323200</v>
      </c>
      <c r="G527" s="26">
        <f>F526</f>
        <v>3331700</v>
      </c>
      <c r="H527" s="25">
        <v>12</v>
      </c>
      <c r="I527" s="6" t="s">
        <v>178</v>
      </c>
      <c r="J527" s="24">
        <v>10</v>
      </c>
      <c r="K527" s="9">
        <f>H526</f>
        <v>12</v>
      </c>
      <c r="L527" s="6" t="s">
        <v>178</v>
      </c>
      <c r="M527" s="23">
        <f>J526</f>
        <v>30</v>
      </c>
      <c r="N527" s="22">
        <f>IF(H527=K527,M527-J527,60-(J527-M527))</f>
        <v>20</v>
      </c>
      <c r="O527" s="21"/>
      <c r="U527" s="6" t="s">
        <v>177</v>
      </c>
      <c r="V527" s="10">
        <f>AVERAGE(W523,U523,W524,V524,X525,V525,X526,U526)</f>
        <v>37.01768630899813</v>
      </c>
      <c r="W527" s="6" t="s">
        <v>176</v>
      </c>
      <c r="X527" s="10">
        <f>AVERAGE(V523,X523,X524,U524,U525,W525,W526,V526)</f>
        <v>40.680998680108026</v>
      </c>
    </row>
    <row r="528" spans="1:24" ht="13.5" thickBot="1" x14ac:dyDescent="0.25">
      <c r="A528" s="20"/>
      <c r="B528" s="20"/>
      <c r="C528" s="20"/>
      <c r="D528" s="18"/>
      <c r="E528" s="18"/>
      <c r="F528" s="19"/>
      <c r="G528" s="18"/>
      <c r="H528" s="17"/>
      <c r="I528" s="12"/>
      <c r="J528" s="16"/>
      <c r="K528" s="15"/>
      <c r="L528" s="12"/>
      <c r="M528" s="14"/>
      <c r="N528" s="12" t="s">
        <v>175</v>
      </c>
      <c r="O528" s="13">
        <f>(G525-F526)/(SUM(N525:N526))</f>
        <v>394.06779661016947</v>
      </c>
      <c r="P528" s="12" t="s">
        <v>174</v>
      </c>
      <c r="Q528" s="12"/>
      <c r="R528" s="11">
        <f>AVERAGE(P523:S526)</f>
        <v>1.5098927762459531</v>
      </c>
      <c r="S528" s="12"/>
      <c r="T528" s="12"/>
      <c r="U528" s="12" t="s">
        <v>173</v>
      </c>
      <c r="V528" s="12"/>
      <c r="W528" s="12"/>
      <c r="X528" s="11">
        <f>AVERAGE(U523:X526)</f>
        <v>38.849342494553078</v>
      </c>
    </row>
    <row r="529" spans="1:24" x14ac:dyDescent="0.2">
      <c r="D529" s="26"/>
      <c r="E529" s="26"/>
      <c r="F529" s="38"/>
      <c r="G529" s="37"/>
      <c r="H529" s="25"/>
      <c r="I529" s="6"/>
      <c r="J529" s="36"/>
      <c r="K529" s="35"/>
      <c r="M529" s="34"/>
      <c r="N529" s="33"/>
      <c r="O529" s="32"/>
      <c r="P529" s="31"/>
      <c r="Q529" s="31"/>
      <c r="R529" s="31"/>
      <c r="S529" s="31"/>
      <c r="T529" s="31"/>
    </row>
    <row r="530" spans="1:24" x14ac:dyDescent="0.2">
      <c r="A530" s="1">
        <v>250</v>
      </c>
      <c r="B530" s="1" t="s">
        <v>10</v>
      </c>
      <c r="C530" s="2">
        <v>36410</v>
      </c>
      <c r="D530" s="26" t="s">
        <v>180</v>
      </c>
      <c r="E530" s="26">
        <v>52</v>
      </c>
      <c r="F530" s="27">
        <v>3436200</v>
      </c>
      <c r="G530" s="26">
        <f>F531</f>
        <v>3443500</v>
      </c>
      <c r="H530" s="9">
        <v>8</v>
      </c>
      <c r="I530" s="6" t="s">
        <v>178</v>
      </c>
      <c r="J530" s="24">
        <v>20</v>
      </c>
      <c r="K530" s="9">
        <f>H531</f>
        <v>8</v>
      </c>
      <c r="L530" s="6" t="s">
        <v>178</v>
      </c>
      <c r="M530" s="24">
        <f>J531</f>
        <v>38</v>
      </c>
      <c r="N530" s="22">
        <f>IF(H530=K530,M530-J530,60-(J530-M530))</f>
        <v>18</v>
      </c>
      <c r="O530" s="30">
        <f>(G530-F530)/N530</f>
        <v>405.55555555555554</v>
      </c>
      <c r="P530" s="6"/>
      <c r="Q530" s="6"/>
      <c r="R530" s="6"/>
      <c r="S530" s="6"/>
      <c r="U530" s="6"/>
      <c r="V530" s="6"/>
      <c r="W530" s="6"/>
      <c r="X530" s="6"/>
    </row>
    <row r="531" spans="1:24" x14ac:dyDescent="0.2">
      <c r="A531" s="1">
        <v>250</v>
      </c>
      <c r="B531" s="1" t="s">
        <v>10</v>
      </c>
      <c r="C531" s="2">
        <v>36410</v>
      </c>
      <c r="D531" s="26">
        <v>1</v>
      </c>
      <c r="E531" s="26">
        <v>52</v>
      </c>
      <c r="F531" s="27">
        <v>3443500</v>
      </c>
      <c r="G531" s="26">
        <f>F532</f>
        <v>3452000</v>
      </c>
      <c r="H531" s="25">
        <v>8</v>
      </c>
      <c r="I531" s="6" t="s">
        <v>178</v>
      </c>
      <c r="J531" s="24">
        <v>38</v>
      </c>
      <c r="K531" s="9">
        <f>H532</f>
        <v>9</v>
      </c>
      <c r="L531" s="6" t="s">
        <v>178</v>
      </c>
      <c r="M531" s="23">
        <f>J532</f>
        <v>20</v>
      </c>
      <c r="N531" s="22">
        <f>IF(H531=K531,M531-J531,60-(J531-M531))</f>
        <v>42</v>
      </c>
      <c r="O531" s="30">
        <f>(G531-F531)/N531</f>
        <v>202.38095238095238</v>
      </c>
      <c r="P531" s="29">
        <f>($G531-$F531)/7.48/($AF$408*$E531/$AE$43)*12</f>
        <v>1.1601560869523593</v>
      </c>
      <c r="Q531" s="29"/>
      <c r="R531" s="29">
        <f>($G531-$F531)/7.48/($AF$408*$E531/$AE$43)*12</f>
        <v>1.1601560869523593</v>
      </c>
      <c r="S531" s="29"/>
      <c r="U531" s="28">
        <f>U523+P531</f>
        <v>38.37319279404565</v>
      </c>
      <c r="V531" s="28">
        <f>V523+Q531</f>
        <v>41.077543896931481</v>
      </c>
      <c r="W531" s="28">
        <f>W523+R531</f>
        <v>38.376745567094261</v>
      </c>
      <c r="X531" s="28">
        <f>X523+S531</f>
        <v>41.081096669980099</v>
      </c>
    </row>
    <row r="532" spans="1:24" x14ac:dyDescent="0.2">
      <c r="A532" s="1">
        <v>250</v>
      </c>
      <c r="B532" s="1" t="s">
        <v>10</v>
      </c>
      <c r="C532" s="2">
        <v>36410</v>
      </c>
      <c r="D532" s="26">
        <v>2</v>
      </c>
      <c r="E532" s="26">
        <v>48</v>
      </c>
      <c r="F532" s="27">
        <v>3452000</v>
      </c>
      <c r="G532" s="26">
        <f>F533</f>
        <v>3459600</v>
      </c>
      <c r="H532" s="25">
        <v>9</v>
      </c>
      <c r="I532" s="6" t="s">
        <v>178</v>
      </c>
      <c r="J532" s="24">
        <v>20</v>
      </c>
      <c r="K532" s="9">
        <f>H533</f>
        <v>10</v>
      </c>
      <c r="L532" s="6" t="s">
        <v>178</v>
      </c>
      <c r="M532" s="23">
        <f>J533</f>
        <v>5</v>
      </c>
      <c r="N532" s="22">
        <f>IF(H532=K532,M532-J532,60-(J532-M532))</f>
        <v>45</v>
      </c>
      <c r="O532" s="30">
        <f>(G532-F532)/N532</f>
        <v>168.88888888888889</v>
      </c>
      <c r="P532" s="29"/>
      <c r="Q532" s="29">
        <f>($G532-$F532)/7.48/($AF$409*$E532/$AE$43)*12</f>
        <v>1.0726790771875023</v>
      </c>
      <c r="R532" s="29">
        <f>($G532-$F532)/7.48/($AF$409*$E532/$AE$43)*12</f>
        <v>1.0726790771875023</v>
      </c>
      <c r="S532" s="29"/>
      <c r="U532" s="28">
        <f>U524+P532</f>
        <v>40.279246068547764</v>
      </c>
      <c r="V532" s="28">
        <f>V524+Q532</f>
        <v>37.714423842899521</v>
      </c>
      <c r="W532" s="28">
        <f>W524+R532</f>
        <v>37.62453868476954</v>
      </c>
      <c r="X532" s="28">
        <f>X524+S532</f>
        <v>40.189360910417783</v>
      </c>
    </row>
    <row r="533" spans="1:24" x14ac:dyDescent="0.2">
      <c r="A533" s="1">
        <v>250</v>
      </c>
      <c r="B533" s="1" t="s">
        <v>10</v>
      </c>
      <c r="C533" s="2">
        <v>36410</v>
      </c>
      <c r="D533" s="26">
        <v>3</v>
      </c>
      <c r="E533" s="26">
        <v>53</v>
      </c>
      <c r="F533" s="27">
        <v>3459600</v>
      </c>
      <c r="G533" s="26">
        <f>F534</f>
        <v>3468000</v>
      </c>
      <c r="H533" s="25">
        <v>10</v>
      </c>
      <c r="I533" s="6" t="s">
        <v>178</v>
      </c>
      <c r="J533" s="24">
        <v>5</v>
      </c>
      <c r="K533" s="9">
        <f>H534</f>
        <v>10</v>
      </c>
      <c r="L533" s="6" t="s">
        <v>178</v>
      </c>
      <c r="M533" s="23">
        <f>J534</f>
        <v>44</v>
      </c>
      <c r="N533" s="22">
        <f>IF(H533=K533,M533-J533,60-(J533-M533))</f>
        <v>39</v>
      </c>
      <c r="O533" s="30">
        <f>(G533-F533)/N533</f>
        <v>215.38461538461539</v>
      </c>
      <c r="P533" s="29"/>
      <c r="Q533" s="29">
        <f>($G533-$F533)/7.48/($AF$410*$E533/$AE$43)*12</f>
        <v>1.073744299707053</v>
      </c>
      <c r="R533" s="29"/>
      <c r="S533" s="29">
        <f>($G533-$F533)/7.48/($AF$410*$E533/$AE$43)*12</f>
        <v>1.073744299707053</v>
      </c>
      <c r="U533" s="28">
        <f>U525+P533</f>
        <v>39.528054410020914</v>
      </c>
      <c r="V533" s="28">
        <f>V525+Q533</f>
        <v>36.997556859682987</v>
      </c>
      <c r="W533" s="28">
        <f>W525+R533</f>
        <v>39.57503983358886</v>
      </c>
      <c r="X533" s="28">
        <f>X525+S533</f>
        <v>37.044542283250934</v>
      </c>
    </row>
    <row r="534" spans="1:24" x14ac:dyDescent="0.2">
      <c r="A534" s="1">
        <v>250</v>
      </c>
      <c r="B534" s="1" t="s">
        <v>10</v>
      </c>
      <c r="C534" s="2">
        <v>36410</v>
      </c>
      <c r="D534" s="26">
        <v>4</v>
      </c>
      <c r="E534" s="26">
        <v>57</v>
      </c>
      <c r="F534" s="27">
        <v>3468000</v>
      </c>
      <c r="G534" s="26">
        <f>F535</f>
        <v>3477800</v>
      </c>
      <c r="H534" s="25">
        <v>10</v>
      </c>
      <c r="I534" s="6" t="s">
        <v>178</v>
      </c>
      <c r="J534" s="24">
        <v>44</v>
      </c>
      <c r="K534" s="9">
        <f>H535</f>
        <v>11</v>
      </c>
      <c r="L534" s="6" t="s">
        <v>178</v>
      </c>
      <c r="M534" s="23">
        <f>J535</f>
        <v>28</v>
      </c>
      <c r="N534" s="22">
        <f>IF(H534=K534,M534-J534,60-(J534-M534))</f>
        <v>44</v>
      </c>
      <c r="O534" s="30">
        <f>(G534-F534)/N534</f>
        <v>222.72727272727272</v>
      </c>
      <c r="P534" s="29">
        <f>($G534-$F534)/7.48/($AF$411*$E534/$AE$43)*12</f>
        <v>1.2202591164312122</v>
      </c>
      <c r="Q534" s="29"/>
      <c r="R534" s="29"/>
      <c r="S534" s="29">
        <f>($G534-$F534)/7.48/($AF$411*$E534/$AE$43)*12</f>
        <v>1.2202591164312122</v>
      </c>
      <c r="U534" s="28">
        <f>U526+P534</f>
        <v>38.985066637895486</v>
      </c>
      <c r="V534" s="28">
        <f>V526+Q534</f>
        <v>41.767628255616849</v>
      </c>
      <c r="W534" s="28">
        <f>W526+R534</f>
        <v>41.950019395760492</v>
      </c>
      <c r="X534" s="28">
        <f>X526+S534</f>
        <v>40.079100962902913</v>
      </c>
    </row>
    <row r="535" spans="1:24" x14ac:dyDescent="0.2">
      <c r="A535" s="1">
        <v>250</v>
      </c>
      <c r="B535" s="1" t="s">
        <v>10</v>
      </c>
      <c r="C535" s="2">
        <v>36410</v>
      </c>
      <c r="D535" s="26" t="s">
        <v>179</v>
      </c>
      <c r="E535" s="26">
        <v>57</v>
      </c>
      <c r="F535" s="27">
        <v>3477800</v>
      </c>
      <c r="G535" s="26">
        <v>3481000</v>
      </c>
      <c r="H535" s="25">
        <v>11</v>
      </c>
      <c r="I535" s="6" t="s">
        <v>178</v>
      </c>
      <c r="J535" s="24">
        <v>28</v>
      </c>
      <c r="K535" s="9">
        <v>11</v>
      </c>
      <c r="L535" s="6" t="s">
        <v>178</v>
      </c>
      <c r="M535" s="23">
        <v>41</v>
      </c>
      <c r="N535" s="22">
        <f>IF(H535=K535,M535-J535,60-(J535-M535))</f>
        <v>13</v>
      </c>
      <c r="O535" s="21"/>
      <c r="U535" s="6" t="s">
        <v>177</v>
      </c>
      <c r="V535" s="10">
        <f>AVERAGE(W531,U531,W532,V532,X533,V533,X534,U534)</f>
        <v>38.149395954067664</v>
      </c>
      <c r="W535" s="6" t="s">
        <v>176</v>
      </c>
      <c r="X535" s="10">
        <f>AVERAGE(V531,X531,X532,U532,U533,W533,W534,V534)</f>
        <v>40.680998680108026</v>
      </c>
    </row>
    <row r="536" spans="1:24" ht="13.5" thickBot="1" x14ac:dyDescent="0.25">
      <c r="A536" s="20"/>
      <c r="B536" s="20"/>
      <c r="C536" s="20"/>
      <c r="D536" s="18"/>
      <c r="E536" s="18"/>
      <c r="F536" s="19"/>
      <c r="G536" s="18"/>
      <c r="H536" s="17"/>
      <c r="I536" s="12"/>
      <c r="J536" s="16"/>
      <c r="K536" s="15"/>
      <c r="L536" s="12"/>
      <c r="M536" s="14"/>
      <c r="N536" s="12" t="s">
        <v>175</v>
      </c>
      <c r="O536" s="13">
        <f>(G532-F531)/(SUM(N531:N532))</f>
        <v>185.05747126436782</v>
      </c>
      <c r="P536" s="12" t="s">
        <v>174</v>
      </c>
      <c r="Q536" s="12"/>
      <c r="R536" s="11">
        <f>AVERAGE(P531:S534)</f>
        <v>1.1317096450695316</v>
      </c>
      <c r="S536" s="12"/>
      <c r="T536" s="12"/>
      <c r="U536" s="12" t="s">
        <v>173</v>
      </c>
      <c r="V536" s="12"/>
      <c r="W536" s="12"/>
      <c r="X536" s="11">
        <f>AVERAGE(U531:X534)</f>
        <v>39.415197317087845</v>
      </c>
    </row>
    <row r="539" spans="1:24" x14ac:dyDescent="0.2">
      <c r="U539" s="10">
        <f>U531-(P115+P123)</f>
        <v>36.750042446714659</v>
      </c>
      <c r="V539" s="10">
        <f>V531-(Q115+Q123)</f>
        <v>39.454393549600489</v>
      </c>
      <c r="W539" s="10">
        <f>W531-(R115+R123)</f>
        <v>36.75359521976327</v>
      </c>
      <c r="X539" s="10">
        <f>X531-(S115+S123)</f>
        <v>39.457946322649107</v>
      </c>
    </row>
    <row r="540" spans="1:24" x14ac:dyDescent="0.2">
      <c r="U540" s="10">
        <f>U532-(P116+P124)</f>
        <v>38.717812464461296</v>
      </c>
      <c r="V540" s="10">
        <f>V532-(Q116+Q124)</f>
        <v>36.152990238813054</v>
      </c>
      <c r="W540" s="10">
        <f>W532-(R116+R124)</f>
        <v>36.063105080683073</v>
      </c>
      <c r="X540" s="10">
        <f>X532-(S116+S124)</f>
        <v>38.627927306331316</v>
      </c>
    </row>
    <row r="541" spans="1:24" x14ac:dyDescent="0.2">
      <c r="U541" s="10">
        <f>U533-(P117+P125)</f>
        <v>37.901561072430844</v>
      </c>
      <c r="V541" s="10">
        <f>V533-(Q117+Q125)</f>
        <v>35.371063522092918</v>
      </c>
      <c r="W541" s="10">
        <f>W533-(R117+R125)</f>
        <v>37.948546495998791</v>
      </c>
      <c r="X541" s="10">
        <f>X533-(S117+S125)</f>
        <v>35.418048945660864</v>
      </c>
    </row>
    <row r="542" spans="1:24" x14ac:dyDescent="0.2">
      <c r="U542" s="10">
        <f>U534-(P118+P126)</f>
        <v>37.454491405431277</v>
      </c>
      <c r="V542" s="10">
        <f>V534-(Q118+Q126)</f>
        <v>40.23705302315264</v>
      </c>
      <c r="W542" s="10">
        <f>W534-(R118+R126)</f>
        <v>40.419444163296284</v>
      </c>
      <c r="X542" s="10">
        <f>X534-(S118+S126)</f>
        <v>38.548525730438705</v>
      </c>
    </row>
    <row r="544" spans="1:24" x14ac:dyDescent="0.2">
      <c r="U544" s="10">
        <f>(U531-SUM(P11,P19,P27,P35,P43,P51,P59,P67,P75,P83,P91,P99,P107,P115))*25.4</f>
        <v>747.94314248452338</v>
      </c>
      <c r="V544" s="10">
        <f>(V531-SUM(Q11,Q19,Q27,Q35,Q43,Q51,Q59,Q67,Q75,Q83,Q91,Q99,Q107,Q115))*25.4</f>
        <v>816.63366049782348</v>
      </c>
      <c r="W544" s="10">
        <f>(W531-SUM(R11,R19,R27,R35,R43,R51,R59,R67,R75,R83,R91,R99,R107,R115))*25.4</f>
        <v>748.03338291995806</v>
      </c>
      <c r="X544" s="10">
        <f>(X531-SUM(S11,S19,S27,S35,S43,S51,S59,S67,S75,S83,S91,S99,S107,S115))*25.4</f>
        <v>816.72390093325839</v>
      </c>
    </row>
    <row r="545" spans="21:24" x14ac:dyDescent="0.2">
      <c r="U545" s="10">
        <f>(U532-SUM(P12,P20,P28,P36,P44,P52,P60,P68,P76,P84,P92,P100,P108,P116))*25.4</f>
        <v>787.44351428767152</v>
      </c>
      <c r="V545" s="10">
        <f>(V532-SUM(Q12,Q20,Q28,Q36,Q44,Q52,Q60,Q68,Q76,Q84,Q92,Q100,Q108,Q116))*25.4</f>
        <v>722.29702975620614</v>
      </c>
      <c r="W545" s="10">
        <f>(W532-SUM(R12,R20,R28,R36,R44,R52,R60,R68,R76,R84,R92,R100,R108,R116))*25.4</f>
        <v>720.01394673970458</v>
      </c>
      <c r="X545" s="10">
        <f>(X532-SUM(S12,S20,S28,S36,S44,S52,S60,S68,S76,S84,S92,S100,S108,S116))*25.4</f>
        <v>785.16043127116995</v>
      </c>
    </row>
    <row r="546" spans="21:24" x14ac:dyDescent="0.2">
      <c r="U546" s="10">
        <f>(U533-SUM(P13,P21,P29,P37,P45,P53,P61,P69,P77,P85,P93,P101,P109,P117))*25.4</f>
        <v>788.4778891936985</v>
      </c>
      <c r="V546" s="10">
        <f>(V533-SUM(Q13,Q21,Q29,Q37,Q45,Q53,Q61,Q69,Q77,Q85,Q93,Q101,Q109,Q117))*25.4</f>
        <v>724.20325141511512</v>
      </c>
      <c r="W546" s="10">
        <f>(W533-SUM(R13,R21,R29,R37,R45,R53,R61,R69,R77,R85,R93,R101,R109,R117))*25.4</f>
        <v>789.67131895232433</v>
      </c>
      <c r="X546" s="10">
        <f>(X533-SUM(S13,S21,S29,S37,S45,S53,S61,S69,S77,S85,S93,S101,S109,S117))*25.4</f>
        <v>725.39668117374094</v>
      </c>
    </row>
    <row r="547" spans="21:24" x14ac:dyDescent="0.2">
      <c r="U547" s="10">
        <f>(U534-SUM(P14,P22,P30,P38,P46,P54,P62,P70,P78,P86,P94,P102,P110,P118))*25.4</f>
        <v>774.49343642930887</v>
      </c>
      <c r="V547" s="10">
        <f>(V534-SUM(Q14,Q22,Q30,Q38,Q46,Q54,Q62,Q70,Q78,Q86,Q94,Q102,Q110,Q118))*25.4</f>
        <v>845.17050151943147</v>
      </c>
      <c r="W547" s="10">
        <f>(W534-SUM(R14,R22,R30,R38,R46,R54,R62,R70,R78,R86,R94,R102,R110,R118))*25.4</f>
        <v>849.80323647908006</v>
      </c>
      <c r="X547" s="10">
        <f>(X534-SUM(S14,S22,S30,S38,S46,S54,S62,S70,S78,S86,S94,S102,S110,S118))*25.4</f>
        <v>802.2819082844976</v>
      </c>
    </row>
    <row r="549" spans="21:24" x14ac:dyDescent="0.2">
      <c r="U549" s="10">
        <f>(U531-P99-P107)*25.4</f>
        <v>933.45107814655228</v>
      </c>
      <c r="V549" s="10">
        <f>(V531-Q99-Q107)*25.4</f>
        <v>1002.1415961598524</v>
      </c>
      <c r="W549" s="10">
        <f>(W531-R99-R107)*25.4</f>
        <v>933.54131858198696</v>
      </c>
      <c r="X549" s="10">
        <f>(X531-S99-S107)*25.4</f>
        <v>1002.2318365952873</v>
      </c>
    </row>
    <row r="550" spans="21:24" x14ac:dyDescent="0.2">
      <c r="U550" s="10">
        <f>(U532-P100-P108)*25.4</f>
        <v>983.43243659731684</v>
      </c>
      <c r="V550" s="10">
        <f>(V532-Q100-Q108)*25.4</f>
        <v>918.28595206585146</v>
      </c>
      <c r="W550" s="10">
        <f>(W532-R100-R108)*25.4</f>
        <v>916.00286904935001</v>
      </c>
      <c r="X550" s="10">
        <f>(X532-S100-S108)*25.4</f>
        <v>981.14935358081539</v>
      </c>
    </row>
    <row r="551" spans="21:24" x14ac:dyDescent="0.2">
      <c r="U551" s="10">
        <f>(U533-P101-P109)*25.4</f>
        <v>962.69965123974316</v>
      </c>
      <c r="V551" s="10">
        <f>(V533-Q101-Q109)*25.4</f>
        <v>898.42501346115989</v>
      </c>
      <c r="W551" s="10">
        <f>(W533-R101-R109)*25.4</f>
        <v>963.8930809983691</v>
      </c>
      <c r="X551" s="10">
        <f>(X533-S101-S109)*25.4</f>
        <v>899.61844321978572</v>
      </c>
    </row>
    <row r="552" spans="21:24" x14ac:dyDescent="0.2">
      <c r="U552" s="10">
        <f>(U534-P102-P110)*25.4</f>
        <v>951.34408169795461</v>
      </c>
      <c r="V552" s="10">
        <f>(V534-Q102-Q110)*25.4</f>
        <v>1022.0211467880772</v>
      </c>
      <c r="W552" s="10">
        <f>(W534-R102-R110)*25.4</f>
        <v>1026.6538817477258</v>
      </c>
      <c r="X552" s="10">
        <f>(X534-S102-S110)*25.4</f>
        <v>979.13255355314323</v>
      </c>
    </row>
  </sheetData>
  <mergeCells count="11">
    <mergeCell ref="F6:G6"/>
    <mergeCell ref="H6:M6"/>
    <mergeCell ref="AB9:AE9"/>
    <mergeCell ref="AF9:AG9"/>
    <mergeCell ref="H7:J7"/>
    <mergeCell ref="K7:M7"/>
    <mergeCell ref="P6:S6"/>
    <mergeCell ref="AB405:AE405"/>
    <mergeCell ref="AF405:AG405"/>
    <mergeCell ref="AB46:AE46"/>
    <mergeCell ref="AF46:AG46"/>
  </mergeCells>
  <pageMargins left="0.75" right="0.75" top="1" bottom="1" header="0.5" footer="0.5"/>
  <pageSetup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AE7CD-E85F-44EE-A1F2-1A693982288D}">
  <dimension ref="A1:H219"/>
  <sheetViews>
    <sheetView zoomScale="75" workbookViewId="0">
      <selection activeCell="K68" sqref="K68"/>
    </sheetView>
  </sheetViews>
  <sheetFormatPr defaultRowHeight="12.75" x14ac:dyDescent="0.2"/>
  <cols>
    <col min="1" max="2" width="9.140625" style="1"/>
    <col min="3" max="3" width="11.140625" style="1" bestFit="1" customWidth="1"/>
    <col min="4" max="16384" width="9.140625" style="1"/>
  </cols>
  <sheetData>
    <row r="1" spans="1:6" x14ac:dyDescent="0.2">
      <c r="A1" s="7" t="s">
        <v>172</v>
      </c>
      <c r="B1" s="7" t="s">
        <v>171</v>
      </c>
      <c r="C1" s="7" t="s">
        <v>170</v>
      </c>
      <c r="D1" s="7" t="s">
        <v>169</v>
      </c>
      <c r="E1" s="7" t="s">
        <v>168</v>
      </c>
      <c r="F1" s="7"/>
    </row>
    <row r="2" spans="1:6" x14ac:dyDescent="0.2">
      <c r="E2" s="1" t="s">
        <v>167</v>
      </c>
    </row>
    <row r="3" spans="1:6" x14ac:dyDescent="0.2">
      <c r="E3" s="1" t="s">
        <v>166</v>
      </c>
    </row>
    <row r="4" spans="1:6" x14ac:dyDescent="0.2">
      <c r="A4" s="1">
        <v>85</v>
      </c>
      <c r="B4" s="1" t="s">
        <v>1</v>
      </c>
      <c r="C4" s="2">
        <v>36245</v>
      </c>
      <c r="E4" s="1" t="s">
        <v>165</v>
      </c>
    </row>
    <row r="5" spans="1:6" x14ac:dyDescent="0.2">
      <c r="A5" s="1">
        <v>88</v>
      </c>
      <c r="B5" s="1" t="s">
        <v>14</v>
      </c>
      <c r="C5" s="2">
        <v>36248</v>
      </c>
      <c r="E5" s="1" t="s">
        <v>164</v>
      </c>
    </row>
    <row r="6" spans="1:6" x14ac:dyDescent="0.2">
      <c r="A6" s="1">
        <v>91</v>
      </c>
      <c r="B6" s="1" t="s">
        <v>129</v>
      </c>
      <c r="C6" s="2">
        <v>36251</v>
      </c>
      <c r="E6" s="1" t="s">
        <v>163</v>
      </c>
    </row>
    <row r="7" spans="1:6" x14ac:dyDescent="0.2">
      <c r="A7" s="1">
        <v>91</v>
      </c>
      <c r="B7" s="1" t="s">
        <v>129</v>
      </c>
      <c r="C7" s="2">
        <v>36251</v>
      </c>
      <c r="D7" s="1" t="s">
        <v>162</v>
      </c>
      <c r="E7" s="1" t="s">
        <v>17</v>
      </c>
    </row>
    <row r="8" spans="1:6" x14ac:dyDescent="0.2">
      <c r="A8" s="1">
        <v>92</v>
      </c>
      <c r="B8" s="1" t="s">
        <v>1</v>
      </c>
      <c r="C8" s="2">
        <v>36252</v>
      </c>
      <c r="D8" s="1" t="s">
        <v>162</v>
      </c>
      <c r="E8" s="1" t="s">
        <v>17</v>
      </c>
    </row>
    <row r="9" spans="1:6" x14ac:dyDescent="0.2">
      <c r="A9" s="1">
        <v>94</v>
      </c>
      <c r="B9" s="1" t="s">
        <v>21</v>
      </c>
      <c r="C9" s="2">
        <v>36254</v>
      </c>
      <c r="D9" s="1" t="s">
        <v>24</v>
      </c>
      <c r="E9" s="1" t="s">
        <v>17</v>
      </c>
    </row>
    <row r="10" spans="1:6" x14ac:dyDescent="0.2">
      <c r="A10" s="1">
        <v>97</v>
      </c>
      <c r="B10" s="1" t="s">
        <v>6</v>
      </c>
      <c r="C10" s="2">
        <v>36257</v>
      </c>
      <c r="E10" s="1" t="s">
        <v>161</v>
      </c>
    </row>
    <row r="11" spans="1:6" x14ac:dyDescent="0.2">
      <c r="A11" s="1">
        <v>97</v>
      </c>
      <c r="B11" s="1" t="s">
        <v>6</v>
      </c>
      <c r="C11" s="2">
        <v>36257</v>
      </c>
      <c r="E11" s="1" t="s">
        <v>160</v>
      </c>
    </row>
    <row r="12" spans="1:6" x14ac:dyDescent="0.2">
      <c r="A12" s="1">
        <v>97</v>
      </c>
      <c r="B12" s="1" t="s">
        <v>6</v>
      </c>
      <c r="C12" s="2">
        <v>36257</v>
      </c>
      <c r="E12" s="1" t="s">
        <v>159</v>
      </c>
    </row>
    <row r="13" spans="1:6" x14ac:dyDescent="0.2">
      <c r="A13" s="1">
        <v>99</v>
      </c>
      <c r="B13" s="1" t="s">
        <v>1</v>
      </c>
      <c r="C13" s="2">
        <v>36259</v>
      </c>
      <c r="E13" s="1" t="s">
        <v>158</v>
      </c>
    </row>
    <row r="14" spans="1:6" x14ac:dyDescent="0.2">
      <c r="A14" s="1">
        <v>100</v>
      </c>
      <c r="B14" s="1" t="s">
        <v>16</v>
      </c>
      <c r="C14" s="2">
        <v>36260</v>
      </c>
      <c r="E14" s="1" t="s">
        <v>157</v>
      </c>
    </row>
    <row r="15" spans="1:6" x14ac:dyDescent="0.2">
      <c r="A15" s="1">
        <v>106</v>
      </c>
      <c r="B15" s="1" t="s">
        <v>1</v>
      </c>
      <c r="C15" s="2">
        <v>36266</v>
      </c>
      <c r="E15" s="1" t="s">
        <v>156</v>
      </c>
    </row>
    <row r="16" spans="1:6" x14ac:dyDescent="0.2">
      <c r="A16" s="1">
        <v>106</v>
      </c>
      <c r="B16" s="1" t="s">
        <v>1</v>
      </c>
      <c r="C16" s="2">
        <v>36266</v>
      </c>
      <c r="D16" s="1" t="s">
        <v>155</v>
      </c>
      <c r="E16" s="1" t="s">
        <v>131</v>
      </c>
    </row>
    <row r="17" spans="1:5" x14ac:dyDescent="0.2">
      <c r="A17" s="1">
        <v>106</v>
      </c>
      <c r="B17" s="1" t="s">
        <v>1</v>
      </c>
      <c r="C17" s="2">
        <v>36266</v>
      </c>
      <c r="E17" s="1" t="s">
        <v>154</v>
      </c>
    </row>
    <row r="18" spans="1:5" x14ac:dyDescent="0.2">
      <c r="A18" s="1">
        <v>109</v>
      </c>
      <c r="B18" s="1" t="s">
        <v>14</v>
      </c>
      <c r="C18" s="2">
        <v>36269</v>
      </c>
      <c r="D18" s="4" t="s">
        <v>153</v>
      </c>
      <c r="E18" s="1" t="s">
        <v>131</v>
      </c>
    </row>
    <row r="19" spans="1:5" x14ac:dyDescent="0.2">
      <c r="A19" s="1">
        <v>110</v>
      </c>
      <c r="B19" s="1" t="s">
        <v>10</v>
      </c>
      <c r="C19" s="2">
        <v>36270</v>
      </c>
      <c r="D19" s="4" t="s">
        <v>152</v>
      </c>
      <c r="E19" s="1" t="s">
        <v>131</v>
      </c>
    </row>
    <row r="20" spans="1:5" x14ac:dyDescent="0.2">
      <c r="A20" s="1">
        <v>111</v>
      </c>
      <c r="B20" s="1" t="s">
        <v>6</v>
      </c>
      <c r="C20" s="2">
        <v>36271</v>
      </c>
      <c r="E20" s="1" t="s">
        <v>151</v>
      </c>
    </row>
    <row r="21" spans="1:5" x14ac:dyDescent="0.2">
      <c r="A21" s="1">
        <v>111</v>
      </c>
      <c r="B21" s="1" t="s">
        <v>6</v>
      </c>
      <c r="C21" s="2">
        <v>36271</v>
      </c>
      <c r="D21" s="4" t="s">
        <v>150</v>
      </c>
      <c r="E21" s="1" t="s">
        <v>131</v>
      </c>
    </row>
    <row r="22" spans="1:5" x14ac:dyDescent="0.2">
      <c r="A22" s="1">
        <v>113</v>
      </c>
      <c r="B22" s="1" t="s">
        <v>1</v>
      </c>
      <c r="C22" s="2">
        <v>36273</v>
      </c>
      <c r="D22" s="4" t="s">
        <v>149</v>
      </c>
      <c r="E22" s="1" t="s">
        <v>131</v>
      </c>
    </row>
    <row r="23" spans="1:5" x14ac:dyDescent="0.2">
      <c r="A23" s="1">
        <v>113</v>
      </c>
      <c r="B23" s="1" t="s">
        <v>1</v>
      </c>
      <c r="C23" s="2">
        <v>36273</v>
      </c>
      <c r="E23" s="1" t="s">
        <v>148</v>
      </c>
    </row>
    <row r="24" spans="1:5" x14ac:dyDescent="0.2">
      <c r="A24" s="1">
        <v>113</v>
      </c>
      <c r="B24" s="1" t="s">
        <v>1</v>
      </c>
      <c r="C24" s="2">
        <v>36273</v>
      </c>
      <c r="E24" s="1" t="s">
        <v>147</v>
      </c>
    </row>
    <row r="25" spans="1:5" x14ac:dyDescent="0.2">
      <c r="A25" s="6">
        <v>116</v>
      </c>
      <c r="B25" s="6" t="s">
        <v>14</v>
      </c>
      <c r="C25" s="5">
        <v>36276</v>
      </c>
      <c r="D25" s="4" t="s">
        <v>114</v>
      </c>
      <c r="E25" s="1" t="s">
        <v>131</v>
      </c>
    </row>
    <row r="26" spans="1:5" x14ac:dyDescent="0.2">
      <c r="A26" s="6">
        <v>118</v>
      </c>
      <c r="B26" s="6" t="s">
        <v>6</v>
      </c>
      <c r="C26" s="5">
        <v>36278</v>
      </c>
      <c r="D26" s="4" t="s">
        <v>146</v>
      </c>
      <c r="E26" s="1" t="s">
        <v>131</v>
      </c>
    </row>
    <row r="27" spans="1:5" x14ac:dyDescent="0.2">
      <c r="A27" s="6">
        <v>118</v>
      </c>
      <c r="B27" s="6" t="s">
        <v>6</v>
      </c>
      <c r="C27" s="5">
        <v>36278</v>
      </c>
      <c r="D27" s="4" t="s">
        <v>145</v>
      </c>
      <c r="E27" s="1" t="s">
        <v>131</v>
      </c>
    </row>
    <row r="28" spans="1:5" x14ac:dyDescent="0.2">
      <c r="A28" s="6">
        <v>118</v>
      </c>
      <c r="B28" s="6" t="s">
        <v>6</v>
      </c>
      <c r="C28" s="5">
        <v>36278</v>
      </c>
      <c r="E28" s="1" t="s">
        <v>132</v>
      </c>
    </row>
    <row r="29" spans="1:5" x14ac:dyDescent="0.2">
      <c r="A29" s="6">
        <v>118</v>
      </c>
      <c r="B29" s="6" t="s">
        <v>6</v>
      </c>
      <c r="C29" s="5">
        <v>36278</v>
      </c>
      <c r="E29" s="1" t="s">
        <v>144</v>
      </c>
    </row>
    <row r="30" spans="1:5" x14ac:dyDescent="0.2">
      <c r="A30" s="6">
        <v>119</v>
      </c>
      <c r="B30" s="6" t="s">
        <v>129</v>
      </c>
      <c r="C30" s="5">
        <v>36279</v>
      </c>
      <c r="D30" s="4" t="s">
        <v>143</v>
      </c>
      <c r="E30" s="1" t="s">
        <v>131</v>
      </c>
    </row>
    <row r="31" spans="1:5" x14ac:dyDescent="0.2">
      <c r="A31" s="6">
        <v>120</v>
      </c>
      <c r="B31" s="6" t="s">
        <v>1</v>
      </c>
      <c r="C31" s="5">
        <v>36280</v>
      </c>
      <c r="D31" s="4" t="s">
        <v>141</v>
      </c>
      <c r="E31" s="1" t="s">
        <v>131</v>
      </c>
    </row>
    <row r="32" spans="1:5" x14ac:dyDescent="0.2">
      <c r="A32" s="1">
        <v>121</v>
      </c>
      <c r="B32" s="1" t="s">
        <v>16</v>
      </c>
      <c r="C32" s="2">
        <v>36281</v>
      </c>
      <c r="E32" s="1" t="s">
        <v>142</v>
      </c>
    </row>
    <row r="33" spans="1:5" x14ac:dyDescent="0.2">
      <c r="A33" s="1">
        <v>124</v>
      </c>
      <c r="B33" s="1" t="s">
        <v>10</v>
      </c>
      <c r="C33" s="2">
        <v>36284</v>
      </c>
      <c r="D33" s="4" t="s">
        <v>141</v>
      </c>
      <c r="E33" s="1" t="s">
        <v>131</v>
      </c>
    </row>
    <row r="34" spans="1:5" x14ac:dyDescent="0.2">
      <c r="A34" s="1">
        <v>125</v>
      </c>
      <c r="B34" s="1" t="s">
        <v>6</v>
      </c>
      <c r="C34" s="2">
        <v>36285</v>
      </c>
      <c r="E34" s="1" t="s">
        <v>132</v>
      </c>
    </row>
    <row r="35" spans="1:5" x14ac:dyDescent="0.2">
      <c r="A35" s="1">
        <v>127</v>
      </c>
      <c r="B35" s="1" t="s">
        <v>1</v>
      </c>
      <c r="C35" s="2">
        <v>36287</v>
      </c>
      <c r="E35" s="1" t="s">
        <v>132</v>
      </c>
    </row>
    <row r="36" spans="1:5" x14ac:dyDescent="0.2">
      <c r="A36" s="1">
        <v>127</v>
      </c>
      <c r="B36" s="1" t="s">
        <v>1</v>
      </c>
      <c r="C36" s="2">
        <v>36287</v>
      </c>
      <c r="E36" s="1" t="s">
        <v>140</v>
      </c>
    </row>
    <row r="37" spans="1:5" x14ac:dyDescent="0.2">
      <c r="A37" s="1">
        <v>133</v>
      </c>
      <c r="B37" s="1" t="s">
        <v>129</v>
      </c>
      <c r="C37" s="2">
        <v>36293</v>
      </c>
      <c r="E37" s="1" t="s">
        <v>139</v>
      </c>
    </row>
    <row r="38" spans="1:5" x14ac:dyDescent="0.2">
      <c r="A38" s="1">
        <v>134</v>
      </c>
      <c r="B38" s="1" t="s">
        <v>1</v>
      </c>
      <c r="C38" s="2">
        <v>36294</v>
      </c>
      <c r="E38" s="1" t="s">
        <v>138</v>
      </c>
    </row>
    <row r="39" spans="1:5" x14ac:dyDescent="0.2">
      <c r="A39" s="1">
        <v>134</v>
      </c>
      <c r="B39" s="1" t="s">
        <v>1</v>
      </c>
      <c r="C39" s="2">
        <v>36294</v>
      </c>
      <c r="E39" s="1" t="s">
        <v>137</v>
      </c>
    </row>
    <row r="40" spans="1:5" x14ac:dyDescent="0.2">
      <c r="A40" s="1">
        <v>137</v>
      </c>
      <c r="B40" s="1" t="s">
        <v>14</v>
      </c>
      <c r="C40" s="2">
        <v>36297</v>
      </c>
      <c r="E40" s="1" t="s">
        <v>136</v>
      </c>
    </row>
    <row r="41" spans="1:5" x14ac:dyDescent="0.2">
      <c r="A41" s="1">
        <v>137</v>
      </c>
      <c r="B41" s="1" t="s">
        <v>14</v>
      </c>
      <c r="C41" s="2">
        <v>36297</v>
      </c>
      <c r="E41" s="1" t="s">
        <v>135</v>
      </c>
    </row>
    <row r="42" spans="1:5" x14ac:dyDescent="0.2">
      <c r="A42" s="1">
        <v>138</v>
      </c>
      <c r="B42" s="1" t="s">
        <v>10</v>
      </c>
      <c r="C42" s="2">
        <v>36298</v>
      </c>
      <c r="E42" s="1" t="s">
        <v>132</v>
      </c>
    </row>
    <row r="43" spans="1:5" x14ac:dyDescent="0.2">
      <c r="A43" s="1">
        <v>144</v>
      </c>
      <c r="B43" s="1" t="s">
        <v>14</v>
      </c>
      <c r="C43" s="2">
        <v>36304</v>
      </c>
      <c r="E43" s="1" t="s">
        <v>8</v>
      </c>
    </row>
    <row r="44" spans="1:5" x14ac:dyDescent="0.2">
      <c r="A44" s="1">
        <v>148</v>
      </c>
      <c r="B44" s="1" t="s">
        <v>1</v>
      </c>
      <c r="C44" s="2">
        <v>36308</v>
      </c>
      <c r="D44" s="1" t="s">
        <v>42</v>
      </c>
      <c r="E44" s="1" t="s">
        <v>131</v>
      </c>
    </row>
    <row r="45" spans="1:5" x14ac:dyDescent="0.2">
      <c r="A45" s="1">
        <v>148</v>
      </c>
      <c r="B45" s="1" t="s">
        <v>1</v>
      </c>
      <c r="C45" s="2">
        <v>36308</v>
      </c>
      <c r="E45" s="1" t="s">
        <v>134</v>
      </c>
    </row>
    <row r="46" spans="1:5" x14ac:dyDescent="0.2">
      <c r="A46" s="1">
        <v>152</v>
      </c>
      <c r="B46" s="1" t="s">
        <v>10</v>
      </c>
      <c r="C46" s="2">
        <v>36312</v>
      </c>
      <c r="E46" s="1" t="s">
        <v>8</v>
      </c>
    </row>
    <row r="47" spans="1:5" x14ac:dyDescent="0.2">
      <c r="A47" s="1">
        <v>154</v>
      </c>
      <c r="B47" s="1" t="s">
        <v>129</v>
      </c>
      <c r="C47" s="2">
        <v>36314</v>
      </c>
      <c r="E47" s="1" t="s">
        <v>8</v>
      </c>
    </row>
    <row r="48" spans="1:5" x14ac:dyDescent="0.2">
      <c r="A48" s="1">
        <v>154</v>
      </c>
      <c r="B48" s="1" t="s">
        <v>129</v>
      </c>
      <c r="C48" s="2">
        <v>36314</v>
      </c>
      <c r="E48" s="1" t="s">
        <v>132</v>
      </c>
    </row>
    <row r="49" spans="1:5" x14ac:dyDescent="0.2">
      <c r="A49" s="1">
        <v>158</v>
      </c>
      <c r="B49" s="1" t="s">
        <v>14</v>
      </c>
      <c r="C49" s="2">
        <v>36318</v>
      </c>
      <c r="E49" s="1" t="s">
        <v>8</v>
      </c>
    </row>
    <row r="50" spans="1:5" x14ac:dyDescent="0.2">
      <c r="A50" s="1">
        <v>158</v>
      </c>
      <c r="B50" s="1" t="s">
        <v>14</v>
      </c>
      <c r="C50" s="2">
        <v>36318</v>
      </c>
      <c r="D50" s="1" t="s">
        <v>133</v>
      </c>
      <c r="E50" s="1" t="s">
        <v>131</v>
      </c>
    </row>
    <row r="51" spans="1:5" x14ac:dyDescent="0.2">
      <c r="A51" s="1">
        <v>160</v>
      </c>
      <c r="B51" s="1" t="s">
        <v>6</v>
      </c>
      <c r="C51" s="2">
        <v>36320</v>
      </c>
      <c r="E51" s="1" t="s">
        <v>132</v>
      </c>
    </row>
    <row r="52" spans="1:5" x14ac:dyDescent="0.2">
      <c r="A52" s="1">
        <v>161</v>
      </c>
      <c r="B52" s="1" t="s">
        <v>4</v>
      </c>
      <c r="C52" s="2">
        <v>36321</v>
      </c>
      <c r="E52" s="1" t="s">
        <v>8</v>
      </c>
    </row>
    <row r="53" spans="1:5" x14ac:dyDescent="0.2">
      <c r="A53" s="1">
        <v>162</v>
      </c>
      <c r="B53" s="1" t="s">
        <v>1</v>
      </c>
      <c r="C53" s="2">
        <v>36322</v>
      </c>
      <c r="D53" s="1" t="s">
        <v>42</v>
      </c>
      <c r="E53" s="1" t="s">
        <v>131</v>
      </c>
    </row>
    <row r="54" spans="1:5" x14ac:dyDescent="0.2">
      <c r="A54" s="1">
        <v>162</v>
      </c>
      <c r="B54" s="1" t="s">
        <v>1</v>
      </c>
      <c r="C54" s="2">
        <v>36322</v>
      </c>
      <c r="E54" s="1" t="s">
        <v>130</v>
      </c>
    </row>
    <row r="55" spans="1:5" x14ac:dyDescent="0.2">
      <c r="A55" s="1">
        <v>165</v>
      </c>
      <c r="B55" s="1" t="s">
        <v>14</v>
      </c>
      <c r="C55" s="2">
        <v>36325</v>
      </c>
      <c r="E55" s="1" t="s">
        <v>8</v>
      </c>
    </row>
    <row r="56" spans="1:5" x14ac:dyDescent="0.2">
      <c r="A56" s="1">
        <v>165</v>
      </c>
      <c r="B56" s="1" t="s">
        <v>14</v>
      </c>
      <c r="C56" s="2">
        <v>36325</v>
      </c>
      <c r="E56" s="1" t="s">
        <v>125</v>
      </c>
    </row>
    <row r="57" spans="1:5" x14ac:dyDescent="0.2">
      <c r="A57" s="1">
        <v>166</v>
      </c>
      <c r="B57" s="1" t="s">
        <v>10</v>
      </c>
      <c r="C57" s="2">
        <v>36326</v>
      </c>
      <c r="E57" s="1" t="s">
        <v>89</v>
      </c>
    </row>
    <row r="58" spans="1:5" x14ac:dyDescent="0.2">
      <c r="A58" s="1">
        <v>166</v>
      </c>
      <c r="B58" s="1" t="s">
        <v>10</v>
      </c>
      <c r="C58" s="2">
        <v>36326</v>
      </c>
      <c r="D58" s="1" t="s">
        <v>68</v>
      </c>
      <c r="E58" s="1" t="s">
        <v>107</v>
      </c>
    </row>
    <row r="59" spans="1:5" x14ac:dyDescent="0.2">
      <c r="A59" s="1">
        <v>167</v>
      </c>
      <c r="B59" s="1" t="s">
        <v>6</v>
      </c>
      <c r="C59" s="2">
        <v>36327</v>
      </c>
      <c r="E59" s="1" t="s">
        <v>125</v>
      </c>
    </row>
    <row r="60" spans="1:5" x14ac:dyDescent="0.2">
      <c r="A60" s="1">
        <v>167</v>
      </c>
      <c r="B60" s="1" t="s">
        <v>6</v>
      </c>
      <c r="C60" s="2">
        <v>36327</v>
      </c>
      <c r="D60" s="1" t="s">
        <v>37</v>
      </c>
      <c r="E60" s="1" t="s">
        <v>104</v>
      </c>
    </row>
    <row r="61" spans="1:5" x14ac:dyDescent="0.2">
      <c r="A61" s="1">
        <v>168</v>
      </c>
      <c r="B61" s="1" t="s">
        <v>129</v>
      </c>
      <c r="C61" s="2">
        <v>36328</v>
      </c>
      <c r="E61" s="1" t="s">
        <v>8</v>
      </c>
    </row>
    <row r="62" spans="1:5" x14ac:dyDescent="0.2">
      <c r="A62" s="1">
        <v>168</v>
      </c>
      <c r="B62" s="1" t="s">
        <v>129</v>
      </c>
      <c r="C62" s="2">
        <v>36328</v>
      </c>
      <c r="E62" s="1" t="s">
        <v>89</v>
      </c>
    </row>
    <row r="63" spans="1:5" x14ac:dyDescent="0.2">
      <c r="A63" s="1">
        <v>168</v>
      </c>
      <c r="B63" s="1" t="s">
        <v>129</v>
      </c>
      <c r="C63" s="2">
        <v>36328</v>
      </c>
      <c r="D63" s="1" t="s">
        <v>128</v>
      </c>
      <c r="E63" s="1" t="s">
        <v>127</v>
      </c>
    </row>
    <row r="64" spans="1:5" x14ac:dyDescent="0.2">
      <c r="A64" s="1">
        <v>170</v>
      </c>
      <c r="B64" s="1" t="s">
        <v>16</v>
      </c>
      <c r="C64" s="2">
        <v>36330</v>
      </c>
      <c r="D64" s="1" t="s">
        <v>126</v>
      </c>
      <c r="E64" s="1" t="s">
        <v>107</v>
      </c>
    </row>
    <row r="65" spans="1:5" x14ac:dyDescent="0.2">
      <c r="A65" s="1">
        <v>170</v>
      </c>
      <c r="B65" s="1" t="s">
        <v>16</v>
      </c>
      <c r="C65" s="2">
        <v>36330</v>
      </c>
      <c r="E65" s="1" t="s">
        <v>125</v>
      </c>
    </row>
    <row r="66" spans="1:5" x14ac:dyDescent="0.2">
      <c r="A66" s="1">
        <v>170</v>
      </c>
      <c r="B66" s="1" t="s">
        <v>16</v>
      </c>
      <c r="C66" s="2">
        <v>36330</v>
      </c>
      <c r="D66" s="1" t="s">
        <v>124</v>
      </c>
      <c r="E66" s="1" t="s">
        <v>104</v>
      </c>
    </row>
    <row r="67" spans="1:5" x14ac:dyDescent="0.2">
      <c r="A67" s="1">
        <v>172</v>
      </c>
      <c r="B67" s="1" t="s">
        <v>14</v>
      </c>
      <c r="C67" s="2">
        <v>36332</v>
      </c>
      <c r="E67" s="1" t="s">
        <v>89</v>
      </c>
    </row>
    <row r="68" spans="1:5" x14ac:dyDescent="0.2">
      <c r="A68" s="1">
        <v>172</v>
      </c>
      <c r="B68" s="1" t="s">
        <v>14</v>
      </c>
      <c r="C68" s="2">
        <v>36332</v>
      </c>
      <c r="E68" s="1" t="s">
        <v>123</v>
      </c>
    </row>
    <row r="69" spans="1:5" x14ac:dyDescent="0.2">
      <c r="A69" s="1">
        <v>173</v>
      </c>
      <c r="B69" s="1" t="s">
        <v>35</v>
      </c>
      <c r="C69" s="2">
        <v>36333</v>
      </c>
      <c r="E69" s="1" t="s">
        <v>73</v>
      </c>
    </row>
    <row r="70" spans="1:5" x14ac:dyDescent="0.2">
      <c r="A70" s="1">
        <v>174</v>
      </c>
      <c r="B70" s="1" t="s">
        <v>6</v>
      </c>
      <c r="C70" s="2">
        <v>36334</v>
      </c>
      <c r="E70" s="1" t="s">
        <v>89</v>
      </c>
    </row>
    <row r="71" spans="1:5" x14ac:dyDescent="0.2">
      <c r="A71" s="1">
        <v>174</v>
      </c>
      <c r="B71" s="1" t="s">
        <v>6</v>
      </c>
      <c r="C71" s="2">
        <v>36334</v>
      </c>
      <c r="D71" s="1" t="s">
        <v>122</v>
      </c>
      <c r="E71" s="1" t="s">
        <v>107</v>
      </c>
    </row>
    <row r="72" spans="1:5" x14ac:dyDescent="0.2">
      <c r="A72" s="1">
        <v>175</v>
      </c>
      <c r="B72" s="1" t="s">
        <v>4</v>
      </c>
      <c r="C72" s="2">
        <v>36335</v>
      </c>
      <c r="E72" s="1" t="s">
        <v>73</v>
      </c>
    </row>
    <row r="73" spans="1:5" x14ac:dyDescent="0.2">
      <c r="A73" s="1">
        <v>175</v>
      </c>
      <c r="B73" s="1" t="s">
        <v>4</v>
      </c>
      <c r="C73" s="2">
        <v>36335</v>
      </c>
      <c r="D73" s="1" t="s">
        <v>121</v>
      </c>
      <c r="E73" s="1" t="s">
        <v>104</v>
      </c>
    </row>
    <row r="74" spans="1:5" x14ac:dyDescent="0.2">
      <c r="A74" s="1">
        <v>175</v>
      </c>
      <c r="B74" s="1" t="s">
        <v>4</v>
      </c>
      <c r="C74" s="2">
        <v>36335</v>
      </c>
      <c r="E74" s="1" t="s">
        <v>102</v>
      </c>
    </row>
    <row r="75" spans="1:5" x14ac:dyDescent="0.2">
      <c r="A75" s="1">
        <v>176</v>
      </c>
      <c r="B75" s="1" t="s">
        <v>1</v>
      </c>
      <c r="C75" s="2">
        <v>36336</v>
      </c>
      <c r="E75" s="1" t="s">
        <v>89</v>
      </c>
    </row>
    <row r="76" spans="1:5" x14ac:dyDescent="0.2">
      <c r="A76" s="1">
        <v>176</v>
      </c>
      <c r="B76" s="1" t="s">
        <v>1</v>
      </c>
      <c r="C76" s="2">
        <v>36336</v>
      </c>
      <c r="D76" s="1" t="s">
        <v>64</v>
      </c>
      <c r="E76" s="1" t="s">
        <v>107</v>
      </c>
    </row>
    <row r="77" spans="1:5" x14ac:dyDescent="0.2">
      <c r="A77" s="1">
        <v>176</v>
      </c>
      <c r="B77" s="1" t="s">
        <v>1</v>
      </c>
      <c r="C77" s="2">
        <v>36336</v>
      </c>
      <c r="E77" s="1" t="s">
        <v>120</v>
      </c>
    </row>
    <row r="78" spans="1:5" x14ac:dyDescent="0.2">
      <c r="A78" s="1">
        <v>177</v>
      </c>
      <c r="B78" s="1" t="s">
        <v>16</v>
      </c>
      <c r="C78" s="2">
        <v>36337</v>
      </c>
      <c r="E78" s="1" t="s">
        <v>73</v>
      </c>
    </row>
    <row r="79" spans="1:5" x14ac:dyDescent="0.2">
      <c r="A79" s="1">
        <v>177</v>
      </c>
      <c r="B79" s="1" t="s">
        <v>16</v>
      </c>
      <c r="C79" s="2">
        <v>36337</v>
      </c>
      <c r="D79" s="1" t="s">
        <v>76</v>
      </c>
      <c r="E79" s="1" t="s">
        <v>104</v>
      </c>
    </row>
    <row r="80" spans="1:5" x14ac:dyDescent="0.2">
      <c r="A80" s="1">
        <v>177</v>
      </c>
      <c r="B80" s="1" t="s">
        <v>16</v>
      </c>
      <c r="C80" s="2">
        <v>36337</v>
      </c>
      <c r="E80" s="1" t="s">
        <v>119</v>
      </c>
    </row>
    <row r="81" spans="1:5" x14ac:dyDescent="0.2">
      <c r="A81" s="1">
        <v>179</v>
      </c>
      <c r="B81" s="1" t="s">
        <v>14</v>
      </c>
      <c r="C81" s="2">
        <v>36339</v>
      </c>
      <c r="E81" s="1" t="s">
        <v>89</v>
      </c>
    </row>
    <row r="82" spans="1:5" x14ac:dyDescent="0.2">
      <c r="A82" s="1">
        <v>180</v>
      </c>
      <c r="B82" s="1" t="s">
        <v>35</v>
      </c>
      <c r="C82" s="2">
        <v>36340</v>
      </c>
      <c r="E82" s="1" t="s">
        <v>73</v>
      </c>
    </row>
    <row r="83" spans="1:5" x14ac:dyDescent="0.2">
      <c r="A83" s="1">
        <v>180</v>
      </c>
      <c r="B83" s="1" t="s">
        <v>35</v>
      </c>
      <c r="C83" s="2">
        <v>36340</v>
      </c>
      <c r="E83" s="1" t="s">
        <v>118</v>
      </c>
    </row>
    <row r="84" spans="1:5" x14ac:dyDescent="0.2">
      <c r="A84" s="1">
        <v>181</v>
      </c>
      <c r="B84" s="1" t="s">
        <v>6</v>
      </c>
      <c r="C84" s="2">
        <v>36341</v>
      </c>
      <c r="E84" s="1" t="s">
        <v>89</v>
      </c>
    </row>
    <row r="85" spans="1:5" x14ac:dyDescent="0.2">
      <c r="A85" s="1">
        <v>181</v>
      </c>
      <c r="B85" s="1" t="s">
        <v>6</v>
      </c>
      <c r="C85" s="2">
        <v>36341</v>
      </c>
      <c r="D85" s="1" t="s">
        <v>117</v>
      </c>
      <c r="E85" s="1" t="s">
        <v>107</v>
      </c>
    </row>
    <row r="86" spans="1:5" x14ac:dyDescent="0.2">
      <c r="A86" s="1">
        <v>181</v>
      </c>
      <c r="B86" s="1" t="s">
        <v>6</v>
      </c>
      <c r="C86" s="2">
        <v>36341</v>
      </c>
      <c r="D86" s="1" t="s">
        <v>116</v>
      </c>
      <c r="E86" s="1" t="s">
        <v>115</v>
      </c>
    </row>
    <row r="87" spans="1:5" x14ac:dyDescent="0.2">
      <c r="A87" s="1">
        <v>182</v>
      </c>
      <c r="B87" s="1" t="s">
        <v>4</v>
      </c>
      <c r="C87" s="2">
        <v>36342</v>
      </c>
      <c r="E87" s="1" t="s">
        <v>73</v>
      </c>
    </row>
    <row r="88" spans="1:5" x14ac:dyDescent="0.2">
      <c r="A88" s="1">
        <v>182</v>
      </c>
      <c r="B88" s="1" t="s">
        <v>4</v>
      </c>
      <c r="C88" s="2">
        <v>36342</v>
      </c>
      <c r="D88" s="1" t="s">
        <v>114</v>
      </c>
      <c r="E88" s="1" t="s">
        <v>104</v>
      </c>
    </row>
    <row r="89" spans="1:5" x14ac:dyDescent="0.2">
      <c r="A89" s="1">
        <v>183</v>
      </c>
      <c r="B89" s="1" t="s">
        <v>1</v>
      </c>
      <c r="C89" s="2">
        <v>36343</v>
      </c>
      <c r="E89" s="1" t="s">
        <v>102</v>
      </c>
    </row>
    <row r="90" spans="1:5" x14ac:dyDescent="0.2">
      <c r="A90" s="1">
        <v>183</v>
      </c>
      <c r="B90" s="1" t="s">
        <v>1</v>
      </c>
      <c r="C90" s="2">
        <v>36343</v>
      </c>
      <c r="E90" s="1" t="s">
        <v>113</v>
      </c>
    </row>
    <row r="91" spans="1:5" x14ac:dyDescent="0.2">
      <c r="A91" s="1">
        <v>183</v>
      </c>
      <c r="B91" s="1" t="s">
        <v>1</v>
      </c>
      <c r="C91" s="2">
        <v>36343</v>
      </c>
      <c r="D91" s="1" t="s">
        <v>112</v>
      </c>
      <c r="E91" s="1" t="s">
        <v>107</v>
      </c>
    </row>
    <row r="92" spans="1:5" x14ac:dyDescent="0.2">
      <c r="A92" s="1">
        <v>184</v>
      </c>
      <c r="B92" s="1" t="s">
        <v>16</v>
      </c>
      <c r="C92" s="2">
        <v>36344</v>
      </c>
      <c r="E92" s="1" t="s">
        <v>73</v>
      </c>
    </row>
    <row r="93" spans="1:5" x14ac:dyDescent="0.2">
      <c r="A93" s="1">
        <v>184</v>
      </c>
      <c r="B93" s="1" t="s">
        <v>16</v>
      </c>
      <c r="C93" s="2">
        <v>36344</v>
      </c>
      <c r="D93" s="1" t="s">
        <v>112</v>
      </c>
      <c r="E93" s="1" t="s">
        <v>104</v>
      </c>
    </row>
    <row r="94" spans="1:5" x14ac:dyDescent="0.2">
      <c r="A94" s="1">
        <v>185</v>
      </c>
      <c r="B94" s="1" t="s">
        <v>21</v>
      </c>
      <c r="C94" s="2">
        <v>36345</v>
      </c>
      <c r="E94" s="1" t="s">
        <v>89</v>
      </c>
    </row>
    <row r="95" spans="1:5" x14ac:dyDescent="0.2">
      <c r="A95" s="1">
        <v>186</v>
      </c>
      <c r="B95" s="1" t="s">
        <v>14</v>
      </c>
      <c r="C95" s="2">
        <v>36346</v>
      </c>
      <c r="E95" s="1" t="s">
        <v>73</v>
      </c>
    </row>
    <row r="96" spans="1:5" x14ac:dyDescent="0.2">
      <c r="A96" s="1">
        <v>186</v>
      </c>
      <c r="B96" s="1" t="s">
        <v>14</v>
      </c>
      <c r="C96" s="2">
        <v>36346</v>
      </c>
      <c r="E96" s="1" t="s">
        <v>111</v>
      </c>
    </row>
    <row r="97" spans="1:5" x14ac:dyDescent="0.2">
      <c r="A97" s="1">
        <v>187</v>
      </c>
      <c r="B97" s="1" t="s">
        <v>35</v>
      </c>
      <c r="C97" s="2">
        <v>36347</v>
      </c>
      <c r="E97" s="1" t="s">
        <v>110</v>
      </c>
    </row>
    <row r="98" spans="1:5" x14ac:dyDescent="0.2">
      <c r="A98" s="1">
        <v>187</v>
      </c>
      <c r="B98" s="1" t="s">
        <v>35</v>
      </c>
      <c r="C98" s="2">
        <v>36347</v>
      </c>
      <c r="E98" s="1" t="s">
        <v>109</v>
      </c>
    </row>
    <row r="99" spans="1:5" x14ac:dyDescent="0.2">
      <c r="A99" s="1">
        <v>187</v>
      </c>
      <c r="B99" s="1" t="s">
        <v>35</v>
      </c>
      <c r="C99" s="2">
        <v>36347</v>
      </c>
      <c r="E99" s="1" t="s">
        <v>89</v>
      </c>
    </row>
    <row r="100" spans="1:5" x14ac:dyDescent="0.2">
      <c r="A100" s="1">
        <v>187</v>
      </c>
      <c r="B100" s="1" t="s">
        <v>35</v>
      </c>
      <c r="C100" s="2">
        <v>36347</v>
      </c>
      <c r="D100" s="1" t="s">
        <v>108</v>
      </c>
      <c r="E100" s="1" t="s">
        <v>107</v>
      </c>
    </row>
    <row r="101" spans="1:5" x14ac:dyDescent="0.2">
      <c r="A101" s="1">
        <v>187</v>
      </c>
      <c r="B101" s="1" t="s">
        <v>35</v>
      </c>
      <c r="C101" s="2">
        <v>36347</v>
      </c>
      <c r="E101" s="1" t="s">
        <v>106</v>
      </c>
    </row>
    <row r="102" spans="1:5" x14ac:dyDescent="0.2">
      <c r="A102" s="1">
        <v>187</v>
      </c>
      <c r="B102" s="1" t="s">
        <v>35</v>
      </c>
      <c r="C102" s="2">
        <v>36347</v>
      </c>
      <c r="D102" s="1" t="s">
        <v>18</v>
      </c>
      <c r="E102" s="1" t="s">
        <v>17</v>
      </c>
    </row>
    <row r="103" spans="1:5" x14ac:dyDescent="0.2">
      <c r="A103" s="1">
        <v>188</v>
      </c>
      <c r="B103" s="1" t="s">
        <v>6</v>
      </c>
      <c r="C103" s="2">
        <v>36348</v>
      </c>
      <c r="E103" s="1" t="s">
        <v>73</v>
      </c>
    </row>
    <row r="104" spans="1:5" x14ac:dyDescent="0.2">
      <c r="A104" s="1">
        <v>188</v>
      </c>
      <c r="B104" s="1" t="s">
        <v>6</v>
      </c>
      <c r="C104" s="2">
        <v>36348</v>
      </c>
      <c r="D104" s="1" t="s">
        <v>105</v>
      </c>
      <c r="E104" s="1" t="s">
        <v>104</v>
      </c>
    </row>
    <row r="105" spans="1:5" x14ac:dyDescent="0.2">
      <c r="A105" s="1">
        <v>188</v>
      </c>
      <c r="B105" s="1" t="s">
        <v>6</v>
      </c>
      <c r="C105" s="2">
        <v>36348</v>
      </c>
      <c r="D105" s="1" t="s">
        <v>103</v>
      </c>
      <c r="E105" s="1" t="s">
        <v>17</v>
      </c>
    </row>
    <row r="106" spans="1:5" x14ac:dyDescent="0.2">
      <c r="A106" s="1">
        <v>189</v>
      </c>
      <c r="B106" s="1" t="s">
        <v>4</v>
      </c>
      <c r="C106" s="2">
        <v>36349</v>
      </c>
      <c r="E106" s="1" t="s">
        <v>89</v>
      </c>
    </row>
    <row r="107" spans="1:5" x14ac:dyDescent="0.2">
      <c r="A107" s="1">
        <v>190</v>
      </c>
      <c r="B107" s="1" t="s">
        <v>1</v>
      </c>
      <c r="C107" s="2">
        <v>36350</v>
      </c>
      <c r="E107" s="1" t="s">
        <v>102</v>
      </c>
    </row>
    <row r="108" spans="1:5" x14ac:dyDescent="0.2">
      <c r="A108" s="1">
        <v>190</v>
      </c>
      <c r="B108" s="1" t="s">
        <v>1</v>
      </c>
      <c r="C108" s="2">
        <v>36350</v>
      </c>
      <c r="E108" s="1" t="s">
        <v>73</v>
      </c>
    </row>
    <row r="109" spans="1:5" x14ac:dyDescent="0.2">
      <c r="A109" s="1">
        <v>191</v>
      </c>
      <c r="B109" s="1" t="s">
        <v>16</v>
      </c>
      <c r="C109" s="2">
        <v>36351</v>
      </c>
      <c r="E109" s="1" t="s">
        <v>89</v>
      </c>
    </row>
    <row r="110" spans="1:5" x14ac:dyDescent="0.2">
      <c r="A110" s="1">
        <v>193</v>
      </c>
      <c r="B110" s="1" t="s">
        <v>14</v>
      </c>
      <c r="C110" s="2">
        <v>36353</v>
      </c>
      <c r="E110" s="1" t="s">
        <v>8</v>
      </c>
    </row>
    <row r="111" spans="1:5" x14ac:dyDescent="0.2">
      <c r="A111" s="1">
        <v>193</v>
      </c>
      <c r="B111" s="1" t="s">
        <v>14</v>
      </c>
      <c r="C111" s="2">
        <v>36353</v>
      </c>
      <c r="D111" s="1" t="s">
        <v>101</v>
      </c>
      <c r="E111" s="1" t="s">
        <v>100</v>
      </c>
    </row>
    <row r="112" spans="1:5" x14ac:dyDescent="0.2">
      <c r="A112" s="1">
        <v>193</v>
      </c>
      <c r="B112" s="1" t="s">
        <v>14</v>
      </c>
      <c r="C112" s="2">
        <v>36353</v>
      </c>
      <c r="E112" s="1" t="s">
        <v>89</v>
      </c>
    </row>
    <row r="113" spans="1:5" x14ac:dyDescent="0.2">
      <c r="A113" s="1">
        <v>194</v>
      </c>
      <c r="B113" s="1" t="s">
        <v>35</v>
      </c>
      <c r="C113" s="2">
        <v>36354</v>
      </c>
      <c r="E113" s="1" t="s">
        <v>73</v>
      </c>
    </row>
    <row r="114" spans="1:5" x14ac:dyDescent="0.2">
      <c r="A114" s="1">
        <v>195</v>
      </c>
      <c r="B114" s="1" t="s">
        <v>6</v>
      </c>
      <c r="C114" s="2">
        <v>36355</v>
      </c>
      <c r="D114" s="1" t="s">
        <v>99</v>
      </c>
      <c r="E114" s="1" t="s">
        <v>17</v>
      </c>
    </row>
    <row r="115" spans="1:5" x14ac:dyDescent="0.2">
      <c r="A115" s="1">
        <v>196</v>
      </c>
      <c r="B115" s="1" t="s">
        <v>4</v>
      </c>
      <c r="C115" s="2">
        <v>36356</v>
      </c>
      <c r="E115" s="1" t="s">
        <v>89</v>
      </c>
    </row>
    <row r="116" spans="1:5" x14ac:dyDescent="0.2">
      <c r="A116" s="1">
        <v>197</v>
      </c>
      <c r="B116" s="1" t="s">
        <v>1</v>
      </c>
      <c r="C116" s="2">
        <v>36357</v>
      </c>
      <c r="D116" s="1" t="s">
        <v>98</v>
      </c>
      <c r="E116" s="1" t="s">
        <v>97</v>
      </c>
    </row>
    <row r="117" spans="1:5" x14ac:dyDescent="0.2">
      <c r="A117" s="1">
        <v>197</v>
      </c>
      <c r="B117" s="1" t="s">
        <v>1</v>
      </c>
      <c r="C117" s="2">
        <v>36357</v>
      </c>
      <c r="E117" s="1" t="s">
        <v>96</v>
      </c>
    </row>
    <row r="118" spans="1:5" x14ac:dyDescent="0.2">
      <c r="A118" s="1">
        <v>198</v>
      </c>
      <c r="B118" s="1" t="s">
        <v>16</v>
      </c>
      <c r="C118" s="2">
        <v>36358</v>
      </c>
      <c r="E118" s="1" t="s">
        <v>95</v>
      </c>
    </row>
    <row r="119" spans="1:5" x14ac:dyDescent="0.2">
      <c r="A119" s="1">
        <v>200</v>
      </c>
      <c r="B119" s="1" t="s">
        <v>14</v>
      </c>
      <c r="C119" s="2">
        <v>36360</v>
      </c>
      <c r="E119" s="1" t="s">
        <v>94</v>
      </c>
    </row>
    <row r="120" spans="1:5" x14ac:dyDescent="0.2">
      <c r="A120" s="1">
        <v>200</v>
      </c>
      <c r="B120" s="1" t="s">
        <v>14</v>
      </c>
      <c r="C120" s="2">
        <v>36360</v>
      </c>
      <c r="E120" s="1" t="s">
        <v>89</v>
      </c>
    </row>
    <row r="121" spans="1:5" x14ac:dyDescent="0.2">
      <c r="A121" s="1">
        <v>201</v>
      </c>
      <c r="B121" s="1" t="s">
        <v>35</v>
      </c>
      <c r="C121" s="2">
        <v>36361</v>
      </c>
      <c r="E121" s="1" t="s">
        <v>73</v>
      </c>
    </row>
    <row r="122" spans="1:5" x14ac:dyDescent="0.2">
      <c r="A122" s="1">
        <v>202</v>
      </c>
      <c r="B122" s="1" t="s">
        <v>6</v>
      </c>
      <c r="C122" s="2">
        <v>36362</v>
      </c>
      <c r="E122" s="3" t="s">
        <v>93</v>
      </c>
    </row>
    <row r="123" spans="1:5" x14ac:dyDescent="0.2">
      <c r="A123" s="1">
        <v>202</v>
      </c>
      <c r="B123" s="1" t="s">
        <v>6</v>
      </c>
      <c r="C123" s="2">
        <v>36362</v>
      </c>
      <c r="E123" s="1" t="s">
        <v>92</v>
      </c>
    </row>
    <row r="124" spans="1:5" x14ac:dyDescent="0.2">
      <c r="A124" s="1">
        <v>203</v>
      </c>
      <c r="B124" s="1" t="s">
        <v>4</v>
      </c>
      <c r="C124" s="2">
        <v>36363</v>
      </c>
      <c r="E124" s="1" t="s">
        <v>91</v>
      </c>
    </row>
    <row r="125" spans="1:5" x14ac:dyDescent="0.2">
      <c r="A125" s="1">
        <v>203</v>
      </c>
      <c r="B125" s="1" t="s">
        <v>4</v>
      </c>
      <c r="C125" s="2">
        <v>36363</v>
      </c>
      <c r="D125" s="1" t="s">
        <v>68</v>
      </c>
      <c r="E125" s="1" t="s">
        <v>90</v>
      </c>
    </row>
    <row r="126" spans="1:5" x14ac:dyDescent="0.2">
      <c r="A126" s="1">
        <v>204</v>
      </c>
      <c r="B126" s="1" t="s">
        <v>1</v>
      </c>
      <c r="C126" s="2">
        <v>36364</v>
      </c>
      <c r="E126" s="1" t="s">
        <v>89</v>
      </c>
    </row>
    <row r="127" spans="1:5" x14ac:dyDescent="0.2">
      <c r="A127" s="1">
        <v>204</v>
      </c>
      <c r="B127" s="1" t="s">
        <v>1</v>
      </c>
      <c r="C127" s="2">
        <v>36364</v>
      </c>
      <c r="D127" s="1" t="s">
        <v>88</v>
      </c>
      <c r="E127" s="3" t="s">
        <v>87</v>
      </c>
    </row>
    <row r="128" spans="1:5" x14ac:dyDescent="0.2">
      <c r="A128" s="1">
        <v>205</v>
      </c>
      <c r="B128" s="1" t="s">
        <v>16</v>
      </c>
      <c r="C128" s="2">
        <v>36365</v>
      </c>
      <c r="E128" s="1" t="s">
        <v>73</v>
      </c>
    </row>
    <row r="129" spans="1:8" x14ac:dyDescent="0.2">
      <c r="A129" s="1">
        <v>207</v>
      </c>
      <c r="B129" s="1" t="s">
        <v>14</v>
      </c>
      <c r="C129" s="2">
        <v>36367</v>
      </c>
      <c r="E129" s="1" t="s">
        <v>8</v>
      </c>
    </row>
    <row r="130" spans="1:8" x14ac:dyDescent="0.2">
      <c r="A130" s="1">
        <v>208</v>
      </c>
      <c r="B130" s="1" t="s">
        <v>10</v>
      </c>
      <c r="C130" s="2">
        <v>36368</v>
      </c>
      <c r="E130" s="1" t="s">
        <v>86</v>
      </c>
    </row>
    <row r="131" spans="1:8" x14ac:dyDescent="0.2">
      <c r="A131" s="1">
        <v>208</v>
      </c>
      <c r="B131" s="1" t="s">
        <v>10</v>
      </c>
      <c r="C131" s="2">
        <v>36368</v>
      </c>
      <c r="D131" s="1" t="s">
        <v>76</v>
      </c>
      <c r="E131" s="1" t="s">
        <v>36</v>
      </c>
    </row>
    <row r="132" spans="1:8" x14ac:dyDescent="0.2">
      <c r="A132" s="1">
        <v>209</v>
      </c>
      <c r="B132" s="1" t="s">
        <v>6</v>
      </c>
      <c r="C132" s="2">
        <v>36369</v>
      </c>
      <c r="E132" s="1" t="s">
        <v>51</v>
      </c>
    </row>
    <row r="133" spans="1:8" x14ac:dyDescent="0.2">
      <c r="A133" s="1">
        <v>210</v>
      </c>
      <c r="B133" s="1" t="s">
        <v>4</v>
      </c>
      <c r="C133" s="2">
        <v>36370</v>
      </c>
      <c r="D133" s="1" t="s">
        <v>85</v>
      </c>
      <c r="E133" s="3" t="s">
        <v>84</v>
      </c>
    </row>
    <row r="134" spans="1:8" x14ac:dyDescent="0.2">
      <c r="A134" s="1">
        <v>211</v>
      </c>
      <c r="B134" s="1" t="s">
        <v>1</v>
      </c>
      <c r="C134" s="2">
        <v>36371</v>
      </c>
      <c r="E134" s="1" t="s">
        <v>8</v>
      </c>
    </row>
    <row r="135" spans="1:8" x14ac:dyDescent="0.2">
      <c r="A135" s="1">
        <v>211</v>
      </c>
      <c r="B135" s="1" t="s">
        <v>1</v>
      </c>
      <c r="C135" s="2">
        <v>36371</v>
      </c>
      <c r="E135" s="1" t="s">
        <v>51</v>
      </c>
    </row>
    <row r="136" spans="1:8" x14ac:dyDescent="0.2">
      <c r="A136" s="1">
        <v>211</v>
      </c>
      <c r="B136" s="1" t="s">
        <v>1</v>
      </c>
      <c r="C136" s="2">
        <v>36371</v>
      </c>
      <c r="E136" s="1" t="s">
        <v>83</v>
      </c>
    </row>
    <row r="137" spans="1:8" x14ac:dyDescent="0.2">
      <c r="C137" s="2"/>
      <c r="E137" s="1" t="s">
        <v>82</v>
      </c>
      <c r="F137" s="1" t="s">
        <v>81</v>
      </c>
      <c r="H137" s="1" t="s">
        <v>77</v>
      </c>
    </row>
    <row r="138" spans="1:8" x14ac:dyDescent="0.2">
      <c r="C138" s="2"/>
      <c r="E138" s="1" t="s">
        <v>80</v>
      </c>
      <c r="F138" s="1" t="s">
        <v>78</v>
      </c>
      <c r="H138" s="1" t="s">
        <v>77</v>
      </c>
    </row>
    <row r="139" spans="1:8" x14ac:dyDescent="0.2">
      <c r="C139" s="2"/>
      <c r="E139" s="1" t="s">
        <v>79</v>
      </c>
      <c r="F139" s="1" t="s">
        <v>78</v>
      </c>
      <c r="H139" s="1" t="s">
        <v>77</v>
      </c>
    </row>
    <row r="140" spans="1:8" x14ac:dyDescent="0.2">
      <c r="A140" s="1">
        <v>214</v>
      </c>
      <c r="B140" s="1" t="s">
        <v>14</v>
      </c>
      <c r="C140" s="2">
        <v>36374</v>
      </c>
      <c r="D140" s="1" t="s">
        <v>76</v>
      </c>
      <c r="E140" s="1" t="s">
        <v>71</v>
      </c>
    </row>
    <row r="141" spans="1:8" x14ac:dyDescent="0.2">
      <c r="A141" s="1">
        <v>214</v>
      </c>
      <c r="B141" s="1" t="s">
        <v>14</v>
      </c>
      <c r="C141" s="2">
        <v>36374</v>
      </c>
      <c r="E141" s="1" t="s">
        <v>51</v>
      </c>
    </row>
    <row r="142" spans="1:8" x14ac:dyDescent="0.2">
      <c r="A142" s="1">
        <v>215</v>
      </c>
      <c r="B142" s="1" t="s">
        <v>35</v>
      </c>
      <c r="C142" s="2">
        <v>36375</v>
      </c>
      <c r="D142" s="1" t="s">
        <v>75</v>
      </c>
      <c r="E142" s="3" t="s">
        <v>74</v>
      </c>
    </row>
    <row r="143" spans="1:8" x14ac:dyDescent="0.2">
      <c r="A143" s="1">
        <v>215</v>
      </c>
      <c r="B143" s="1" t="s">
        <v>35</v>
      </c>
      <c r="C143" s="2">
        <v>36375</v>
      </c>
      <c r="E143" s="1" t="s">
        <v>73</v>
      </c>
    </row>
    <row r="144" spans="1:8" x14ac:dyDescent="0.2">
      <c r="A144" s="1">
        <v>216</v>
      </c>
      <c r="B144" s="1" t="s">
        <v>6</v>
      </c>
      <c r="C144" s="2">
        <v>36376</v>
      </c>
      <c r="E144" s="1" t="s">
        <v>8</v>
      </c>
    </row>
    <row r="145" spans="1:5" x14ac:dyDescent="0.2">
      <c r="A145" s="1">
        <v>216</v>
      </c>
      <c r="B145" s="1" t="s">
        <v>6</v>
      </c>
      <c r="C145" s="2">
        <v>36376</v>
      </c>
      <c r="E145" s="1" t="s">
        <v>51</v>
      </c>
    </row>
    <row r="146" spans="1:5" x14ac:dyDescent="0.2">
      <c r="A146" s="1">
        <v>216</v>
      </c>
      <c r="B146" s="1" t="s">
        <v>6</v>
      </c>
      <c r="C146" s="2">
        <v>36376</v>
      </c>
      <c r="D146" s="1" t="s">
        <v>72</v>
      </c>
      <c r="E146" s="1" t="s">
        <v>71</v>
      </c>
    </row>
    <row r="147" spans="1:5" x14ac:dyDescent="0.2">
      <c r="A147" s="1">
        <v>216</v>
      </c>
      <c r="B147" s="1" t="s">
        <v>6</v>
      </c>
      <c r="C147" s="2">
        <v>36376</v>
      </c>
      <c r="D147" s="1" t="s">
        <v>70</v>
      </c>
      <c r="E147" s="1" t="s">
        <v>69</v>
      </c>
    </row>
    <row r="148" spans="1:5" x14ac:dyDescent="0.2">
      <c r="A148" s="1">
        <v>217</v>
      </c>
      <c r="B148" s="1" t="s">
        <v>4</v>
      </c>
      <c r="C148" s="2">
        <v>36377</v>
      </c>
      <c r="D148" s="1" t="s">
        <v>68</v>
      </c>
      <c r="E148" s="3" t="s">
        <v>67</v>
      </c>
    </row>
    <row r="149" spans="1:5" x14ac:dyDescent="0.2">
      <c r="A149" s="1">
        <v>217</v>
      </c>
      <c r="B149" s="1" t="s">
        <v>4</v>
      </c>
      <c r="C149" s="2">
        <v>36377</v>
      </c>
      <c r="E149" s="1" t="s">
        <v>62</v>
      </c>
    </row>
    <row r="150" spans="1:5" x14ac:dyDescent="0.2">
      <c r="A150" s="1">
        <v>218</v>
      </c>
      <c r="B150" s="1" t="s">
        <v>1</v>
      </c>
      <c r="C150" s="2">
        <v>36378</v>
      </c>
      <c r="E150" s="1" t="s">
        <v>8</v>
      </c>
    </row>
    <row r="151" spans="1:5" x14ac:dyDescent="0.2">
      <c r="A151" s="1">
        <v>218</v>
      </c>
      <c r="B151" s="1" t="s">
        <v>1</v>
      </c>
      <c r="C151" s="2">
        <v>36378</v>
      </c>
      <c r="E151" s="1" t="s">
        <v>51</v>
      </c>
    </row>
    <row r="152" spans="1:5" x14ac:dyDescent="0.2">
      <c r="A152" s="1">
        <v>218</v>
      </c>
      <c r="B152" s="1" t="s">
        <v>1</v>
      </c>
      <c r="C152" s="2">
        <v>36378</v>
      </c>
      <c r="E152" s="1" t="s">
        <v>66</v>
      </c>
    </row>
    <row r="153" spans="1:5" x14ac:dyDescent="0.2">
      <c r="A153" s="1">
        <v>221</v>
      </c>
      <c r="B153" s="1" t="s">
        <v>14</v>
      </c>
      <c r="C153" s="2">
        <v>36381</v>
      </c>
      <c r="E153" s="1" t="s">
        <v>8</v>
      </c>
    </row>
    <row r="154" spans="1:5" x14ac:dyDescent="0.2">
      <c r="A154" s="1">
        <v>221</v>
      </c>
      <c r="B154" s="1" t="s">
        <v>14</v>
      </c>
      <c r="C154" s="2">
        <v>36381</v>
      </c>
      <c r="E154" s="1" t="s">
        <v>65</v>
      </c>
    </row>
    <row r="155" spans="1:5" x14ac:dyDescent="0.2">
      <c r="A155" s="1">
        <v>221</v>
      </c>
      <c r="B155" s="1" t="s">
        <v>14</v>
      </c>
      <c r="C155" s="2">
        <v>36381</v>
      </c>
      <c r="D155" s="1" t="s">
        <v>64</v>
      </c>
      <c r="E155" s="1" t="s">
        <v>41</v>
      </c>
    </row>
    <row r="156" spans="1:5" x14ac:dyDescent="0.2">
      <c r="A156" s="1">
        <v>221</v>
      </c>
      <c r="B156" s="1" t="s">
        <v>14</v>
      </c>
      <c r="C156" s="2">
        <v>36381</v>
      </c>
      <c r="E156" s="1" t="s">
        <v>63</v>
      </c>
    </row>
    <row r="157" spans="1:5" x14ac:dyDescent="0.2">
      <c r="A157" s="1">
        <v>222</v>
      </c>
      <c r="B157" s="1" t="s">
        <v>35</v>
      </c>
      <c r="C157" s="2">
        <v>36382</v>
      </c>
      <c r="E157" s="1" t="s">
        <v>62</v>
      </c>
    </row>
    <row r="158" spans="1:5" x14ac:dyDescent="0.2">
      <c r="A158" s="1">
        <v>223</v>
      </c>
      <c r="B158" s="1" t="s">
        <v>6</v>
      </c>
      <c r="C158" s="2">
        <v>36383</v>
      </c>
      <c r="D158" s="1" t="s">
        <v>61</v>
      </c>
      <c r="E158" s="1" t="s">
        <v>60</v>
      </c>
    </row>
    <row r="159" spans="1:5" x14ac:dyDescent="0.2">
      <c r="A159" s="1">
        <v>223</v>
      </c>
      <c r="B159" s="1" t="s">
        <v>6</v>
      </c>
      <c r="C159" s="2">
        <v>36383</v>
      </c>
      <c r="D159" s="1" t="s">
        <v>59</v>
      </c>
      <c r="E159" s="1" t="s">
        <v>58</v>
      </c>
    </row>
    <row r="160" spans="1:5" x14ac:dyDescent="0.2">
      <c r="A160" s="1">
        <v>223</v>
      </c>
      <c r="B160" s="1" t="s">
        <v>6</v>
      </c>
      <c r="C160" s="2">
        <v>36383</v>
      </c>
      <c r="E160" s="1" t="s">
        <v>57</v>
      </c>
    </row>
    <row r="161" spans="1:5" x14ac:dyDescent="0.2">
      <c r="A161" s="1">
        <v>223</v>
      </c>
      <c r="B161" s="1" t="s">
        <v>6</v>
      </c>
      <c r="C161" s="2">
        <v>36383</v>
      </c>
      <c r="D161" s="1" t="s">
        <v>56</v>
      </c>
      <c r="E161" s="1" t="s">
        <v>55</v>
      </c>
    </row>
    <row r="162" spans="1:5" x14ac:dyDescent="0.2">
      <c r="A162" s="1">
        <v>224</v>
      </c>
      <c r="B162" s="1" t="s">
        <v>4</v>
      </c>
      <c r="C162" s="2">
        <v>36384</v>
      </c>
      <c r="E162" s="1" t="s">
        <v>51</v>
      </c>
    </row>
    <row r="163" spans="1:5" x14ac:dyDescent="0.2">
      <c r="A163" s="1">
        <v>225</v>
      </c>
      <c r="B163" s="1" t="s">
        <v>1</v>
      </c>
      <c r="C163" s="2">
        <v>36385</v>
      </c>
      <c r="E163" s="1" t="s">
        <v>8</v>
      </c>
    </row>
    <row r="164" spans="1:5" x14ac:dyDescent="0.2">
      <c r="A164" s="1">
        <v>225</v>
      </c>
      <c r="B164" s="1" t="s">
        <v>1</v>
      </c>
      <c r="C164" s="2">
        <v>36385</v>
      </c>
      <c r="E164" s="1" t="s">
        <v>51</v>
      </c>
    </row>
    <row r="165" spans="1:5" x14ac:dyDescent="0.2">
      <c r="A165" s="1">
        <v>225</v>
      </c>
      <c r="B165" s="1" t="s">
        <v>1</v>
      </c>
      <c r="C165" s="2">
        <v>36385</v>
      </c>
      <c r="D165" s="1" t="s">
        <v>54</v>
      </c>
      <c r="E165" s="1" t="s">
        <v>41</v>
      </c>
    </row>
    <row r="166" spans="1:5" x14ac:dyDescent="0.2">
      <c r="A166" s="1">
        <v>227</v>
      </c>
      <c r="B166" s="1" t="s">
        <v>21</v>
      </c>
      <c r="C166" s="2">
        <v>36387</v>
      </c>
      <c r="E166" s="1" t="s">
        <v>53</v>
      </c>
    </row>
    <row r="167" spans="1:5" x14ac:dyDescent="0.2">
      <c r="A167" s="1">
        <v>228</v>
      </c>
      <c r="B167" s="1" t="s">
        <v>14</v>
      </c>
      <c r="C167" s="2">
        <v>36388</v>
      </c>
      <c r="E167" s="1" t="s">
        <v>47</v>
      </c>
    </row>
    <row r="168" spans="1:5" x14ac:dyDescent="0.2">
      <c r="A168" s="1">
        <v>228</v>
      </c>
      <c r="B168" s="1" t="s">
        <v>14</v>
      </c>
      <c r="C168" s="2">
        <v>36388</v>
      </c>
      <c r="E168" s="1" t="s">
        <v>51</v>
      </c>
    </row>
    <row r="169" spans="1:5" x14ac:dyDescent="0.2">
      <c r="A169" s="1">
        <v>228</v>
      </c>
      <c r="B169" s="1" t="s">
        <v>14</v>
      </c>
      <c r="C169" s="2">
        <v>36388</v>
      </c>
      <c r="D169" s="1" t="s">
        <v>37</v>
      </c>
      <c r="E169" s="1" t="s">
        <v>52</v>
      </c>
    </row>
    <row r="170" spans="1:5" x14ac:dyDescent="0.2">
      <c r="A170" s="1">
        <v>229</v>
      </c>
      <c r="B170" s="1" t="s">
        <v>35</v>
      </c>
      <c r="C170" s="2">
        <v>36389</v>
      </c>
      <c r="E170" s="1" t="s">
        <v>51</v>
      </c>
    </row>
    <row r="171" spans="1:5" x14ac:dyDescent="0.2">
      <c r="A171" s="1">
        <v>230</v>
      </c>
      <c r="B171" s="1" t="s">
        <v>6</v>
      </c>
      <c r="C171" s="2">
        <v>36390</v>
      </c>
      <c r="E171" s="1" t="s">
        <v>51</v>
      </c>
    </row>
    <row r="172" spans="1:5" x14ac:dyDescent="0.2">
      <c r="A172" s="1">
        <v>231</v>
      </c>
      <c r="B172" s="1" t="s">
        <v>4</v>
      </c>
      <c r="C172" s="2">
        <v>36391</v>
      </c>
      <c r="E172" s="1" t="s">
        <v>51</v>
      </c>
    </row>
    <row r="173" spans="1:5" x14ac:dyDescent="0.2">
      <c r="A173" s="1">
        <v>231</v>
      </c>
      <c r="B173" s="1" t="s">
        <v>4</v>
      </c>
      <c r="C173" s="2">
        <v>36391</v>
      </c>
      <c r="D173" s="1" t="s">
        <v>50</v>
      </c>
      <c r="E173" s="1" t="s">
        <v>41</v>
      </c>
    </row>
    <row r="174" spans="1:5" x14ac:dyDescent="0.2">
      <c r="A174" s="1">
        <v>231</v>
      </c>
      <c r="B174" s="1" t="s">
        <v>4</v>
      </c>
      <c r="C174" s="2">
        <v>36391</v>
      </c>
      <c r="E174" s="1" t="s">
        <v>49</v>
      </c>
    </row>
    <row r="175" spans="1:5" x14ac:dyDescent="0.2">
      <c r="A175" s="1">
        <v>232</v>
      </c>
      <c r="B175" s="1" t="s">
        <v>1</v>
      </c>
      <c r="C175" s="2">
        <v>36392</v>
      </c>
      <c r="E175" s="1" t="s">
        <v>48</v>
      </c>
    </row>
    <row r="176" spans="1:5" x14ac:dyDescent="0.2">
      <c r="A176" s="1">
        <v>232</v>
      </c>
      <c r="B176" s="1" t="s">
        <v>1</v>
      </c>
      <c r="C176" s="2">
        <v>36392</v>
      </c>
      <c r="E176" s="1" t="s">
        <v>47</v>
      </c>
    </row>
    <row r="177" spans="1:5" x14ac:dyDescent="0.2">
      <c r="A177" s="1">
        <v>232</v>
      </c>
      <c r="B177" s="1" t="s">
        <v>1</v>
      </c>
      <c r="C177" s="2">
        <v>36392</v>
      </c>
      <c r="E177" s="1" t="s">
        <v>46</v>
      </c>
    </row>
    <row r="178" spans="1:5" x14ac:dyDescent="0.2">
      <c r="A178" s="1">
        <v>235</v>
      </c>
      <c r="B178" s="1" t="s">
        <v>14</v>
      </c>
      <c r="C178" s="2">
        <v>36395</v>
      </c>
      <c r="D178" s="1" t="s">
        <v>45</v>
      </c>
      <c r="E178" s="1" t="s">
        <v>41</v>
      </c>
    </row>
    <row r="179" spans="1:5" x14ac:dyDescent="0.2">
      <c r="A179" s="1">
        <v>236</v>
      </c>
      <c r="B179" s="1" t="s">
        <v>35</v>
      </c>
      <c r="C179" s="2">
        <v>36396</v>
      </c>
      <c r="E179" s="1" t="s">
        <v>44</v>
      </c>
    </row>
    <row r="180" spans="1:5" x14ac:dyDescent="0.2">
      <c r="A180" s="1">
        <v>238</v>
      </c>
      <c r="B180" s="1" t="s">
        <v>4</v>
      </c>
      <c r="C180" s="2">
        <v>36398</v>
      </c>
      <c r="E180" s="1" t="s">
        <v>43</v>
      </c>
    </row>
    <row r="181" spans="1:5" x14ac:dyDescent="0.2">
      <c r="A181" s="1">
        <v>238</v>
      </c>
      <c r="B181" s="1" t="s">
        <v>4</v>
      </c>
      <c r="C181" s="2">
        <v>36398</v>
      </c>
      <c r="D181" s="1" t="s">
        <v>42</v>
      </c>
      <c r="E181" s="1" t="s">
        <v>41</v>
      </c>
    </row>
    <row r="182" spans="1:5" x14ac:dyDescent="0.2">
      <c r="A182" s="1">
        <v>239</v>
      </c>
      <c r="B182" s="1" t="s">
        <v>1</v>
      </c>
      <c r="C182" s="2">
        <v>36399</v>
      </c>
      <c r="E182" s="1" t="s">
        <v>40</v>
      </c>
    </row>
    <row r="183" spans="1:5" x14ac:dyDescent="0.2">
      <c r="A183" s="1">
        <v>239</v>
      </c>
      <c r="B183" s="1" t="s">
        <v>1</v>
      </c>
      <c r="C183" s="2">
        <v>36399</v>
      </c>
      <c r="D183" s="1" t="s">
        <v>24</v>
      </c>
      <c r="E183" s="1" t="s">
        <v>17</v>
      </c>
    </row>
    <row r="184" spans="1:5" x14ac:dyDescent="0.2">
      <c r="A184" s="1">
        <v>240</v>
      </c>
      <c r="B184" s="1" t="s">
        <v>16</v>
      </c>
      <c r="C184" s="2">
        <v>36400</v>
      </c>
      <c r="D184" s="1" t="s">
        <v>39</v>
      </c>
      <c r="E184" s="1" t="s">
        <v>17</v>
      </c>
    </row>
    <row r="185" spans="1:5" x14ac:dyDescent="0.2">
      <c r="A185" s="1">
        <v>241</v>
      </c>
      <c r="B185" s="1" t="s">
        <v>21</v>
      </c>
      <c r="C185" s="2">
        <v>36401</v>
      </c>
      <c r="D185" s="1" t="s">
        <v>38</v>
      </c>
      <c r="E185" s="1" t="s">
        <v>17</v>
      </c>
    </row>
    <row r="186" spans="1:5" x14ac:dyDescent="0.2">
      <c r="A186" s="1">
        <v>242</v>
      </c>
      <c r="B186" s="1" t="s">
        <v>14</v>
      </c>
      <c r="C186" s="2">
        <v>36402</v>
      </c>
      <c r="D186" s="1" t="s">
        <v>33</v>
      </c>
      <c r="E186" s="1" t="s">
        <v>32</v>
      </c>
    </row>
    <row r="187" spans="1:5" x14ac:dyDescent="0.2">
      <c r="A187" s="1">
        <v>242</v>
      </c>
      <c r="B187" s="1" t="s">
        <v>14</v>
      </c>
      <c r="C187" s="2">
        <v>36402</v>
      </c>
      <c r="D187" s="1" t="s">
        <v>37</v>
      </c>
      <c r="E187" s="1" t="s">
        <v>36</v>
      </c>
    </row>
    <row r="188" spans="1:5" x14ac:dyDescent="0.2">
      <c r="A188" s="1">
        <v>243</v>
      </c>
      <c r="B188" s="1" t="s">
        <v>35</v>
      </c>
      <c r="C188" s="2">
        <v>36403</v>
      </c>
      <c r="D188" s="1" t="s">
        <v>33</v>
      </c>
      <c r="E188" s="1" t="s">
        <v>32</v>
      </c>
    </row>
    <row r="189" spans="1:5" x14ac:dyDescent="0.2">
      <c r="A189" s="1">
        <v>244</v>
      </c>
      <c r="B189" s="1" t="s">
        <v>6</v>
      </c>
      <c r="C189" s="2">
        <v>36404</v>
      </c>
      <c r="D189" s="1" t="s">
        <v>33</v>
      </c>
      <c r="E189" s="1" t="s">
        <v>34</v>
      </c>
    </row>
    <row r="190" spans="1:5" x14ac:dyDescent="0.2">
      <c r="A190" s="1">
        <v>244</v>
      </c>
      <c r="B190" s="1" t="s">
        <v>6</v>
      </c>
      <c r="C190" s="2">
        <v>36404</v>
      </c>
      <c r="D190" s="1" t="s">
        <v>33</v>
      </c>
      <c r="E190" s="1" t="s">
        <v>32</v>
      </c>
    </row>
    <row r="191" spans="1:5" x14ac:dyDescent="0.2">
      <c r="A191" s="1">
        <v>245</v>
      </c>
      <c r="B191" s="1" t="s">
        <v>4</v>
      </c>
      <c r="C191" s="2">
        <v>36405</v>
      </c>
      <c r="D191" s="1" t="s">
        <v>31</v>
      </c>
      <c r="E191" s="1" t="s">
        <v>30</v>
      </c>
    </row>
    <row r="192" spans="1:5" x14ac:dyDescent="0.2">
      <c r="A192" s="1">
        <v>245</v>
      </c>
      <c r="B192" s="1" t="s">
        <v>4</v>
      </c>
      <c r="C192" s="2">
        <v>36405</v>
      </c>
      <c r="E192" s="1" t="s">
        <v>26</v>
      </c>
    </row>
    <row r="193" spans="1:5" x14ac:dyDescent="0.2">
      <c r="A193" s="1">
        <v>246</v>
      </c>
      <c r="B193" s="1" t="s">
        <v>1</v>
      </c>
      <c r="C193" s="2">
        <v>36406</v>
      </c>
      <c r="E193" s="1" t="s">
        <v>8</v>
      </c>
    </row>
    <row r="194" spans="1:5" x14ac:dyDescent="0.2">
      <c r="A194" s="1">
        <v>246</v>
      </c>
      <c r="B194" s="1" t="s">
        <v>1</v>
      </c>
      <c r="C194" s="2">
        <v>36406</v>
      </c>
      <c r="E194" s="1" t="s">
        <v>29</v>
      </c>
    </row>
    <row r="195" spans="1:5" x14ac:dyDescent="0.2">
      <c r="A195" s="1">
        <v>250</v>
      </c>
      <c r="B195" s="1" t="s">
        <v>10</v>
      </c>
      <c r="C195" s="2">
        <v>36410</v>
      </c>
      <c r="D195" s="1" t="s">
        <v>28</v>
      </c>
      <c r="E195" s="1" t="s">
        <v>27</v>
      </c>
    </row>
    <row r="196" spans="1:5" x14ac:dyDescent="0.2">
      <c r="A196" s="1">
        <v>250</v>
      </c>
      <c r="B196" s="1" t="s">
        <v>10</v>
      </c>
      <c r="C196" s="2">
        <v>36410</v>
      </c>
      <c r="E196" s="1" t="s">
        <v>26</v>
      </c>
    </row>
    <row r="197" spans="1:5" x14ac:dyDescent="0.2">
      <c r="A197" s="1">
        <v>251</v>
      </c>
      <c r="B197" s="1" t="s">
        <v>6</v>
      </c>
      <c r="C197" s="2">
        <v>36411</v>
      </c>
      <c r="E197" s="1" t="s">
        <v>25</v>
      </c>
    </row>
    <row r="198" spans="1:5" x14ac:dyDescent="0.2">
      <c r="A198" s="1">
        <v>253</v>
      </c>
      <c r="B198" s="1" t="s">
        <v>1</v>
      </c>
      <c r="C198" s="2">
        <v>36413</v>
      </c>
      <c r="E198" s="1" t="s">
        <v>8</v>
      </c>
    </row>
    <row r="199" spans="1:5" x14ac:dyDescent="0.2">
      <c r="A199" s="1">
        <v>256</v>
      </c>
      <c r="B199" s="1" t="s">
        <v>14</v>
      </c>
      <c r="C199" s="2">
        <v>36416</v>
      </c>
      <c r="E199" s="1" t="s">
        <v>25</v>
      </c>
    </row>
    <row r="200" spans="1:5" x14ac:dyDescent="0.2">
      <c r="A200" s="1">
        <v>258</v>
      </c>
      <c r="B200" s="1" t="s">
        <v>6</v>
      </c>
      <c r="C200" s="2">
        <v>36418</v>
      </c>
      <c r="D200" s="1" t="s">
        <v>24</v>
      </c>
      <c r="E200" s="1" t="s">
        <v>17</v>
      </c>
    </row>
    <row r="201" spans="1:5" x14ac:dyDescent="0.2">
      <c r="A201" s="1">
        <v>258</v>
      </c>
      <c r="B201" s="1" t="s">
        <v>6</v>
      </c>
      <c r="C201" s="2">
        <v>36418</v>
      </c>
      <c r="E201" s="1" t="s">
        <v>23</v>
      </c>
    </row>
    <row r="202" spans="1:5" x14ac:dyDescent="0.2">
      <c r="A202" s="1">
        <v>259</v>
      </c>
      <c r="B202" s="1" t="s">
        <v>4</v>
      </c>
      <c r="C202" s="2">
        <v>36419</v>
      </c>
      <c r="E202" s="1" t="s">
        <v>22</v>
      </c>
    </row>
    <row r="203" spans="1:5" x14ac:dyDescent="0.2">
      <c r="A203" s="1">
        <v>260</v>
      </c>
      <c r="B203" s="1" t="s">
        <v>1</v>
      </c>
      <c r="C203" s="2">
        <v>36420</v>
      </c>
      <c r="E203" s="1" t="s">
        <v>8</v>
      </c>
    </row>
    <row r="204" spans="1:5" x14ac:dyDescent="0.2">
      <c r="A204" s="1">
        <v>262</v>
      </c>
      <c r="B204" s="1" t="s">
        <v>21</v>
      </c>
      <c r="C204" s="2">
        <v>36422</v>
      </c>
      <c r="D204" s="1" t="s">
        <v>20</v>
      </c>
      <c r="E204" s="1" t="s">
        <v>17</v>
      </c>
    </row>
    <row r="205" spans="1:5" x14ac:dyDescent="0.2">
      <c r="A205" s="1">
        <v>265</v>
      </c>
      <c r="B205" s="1" t="s">
        <v>6</v>
      </c>
      <c r="C205" s="2">
        <v>36425</v>
      </c>
      <c r="E205" s="1" t="s">
        <v>19</v>
      </c>
    </row>
    <row r="206" spans="1:5" x14ac:dyDescent="0.2">
      <c r="A206" s="1">
        <v>265</v>
      </c>
      <c r="B206" s="1" t="s">
        <v>6</v>
      </c>
      <c r="C206" s="2">
        <v>36425</v>
      </c>
      <c r="D206" s="1" t="s">
        <v>18</v>
      </c>
      <c r="E206" s="1" t="s">
        <v>17</v>
      </c>
    </row>
    <row r="207" spans="1:5" x14ac:dyDescent="0.2">
      <c r="A207" s="1">
        <v>268</v>
      </c>
      <c r="B207" s="1" t="s">
        <v>16</v>
      </c>
      <c r="C207" s="2">
        <v>36428</v>
      </c>
      <c r="E207" s="1" t="s">
        <v>8</v>
      </c>
    </row>
    <row r="208" spans="1:5" x14ac:dyDescent="0.2">
      <c r="A208" s="1">
        <v>268</v>
      </c>
      <c r="B208" s="1" t="s">
        <v>16</v>
      </c>
      <c r="C208" s="2">
        <v>36428</v>
      </c>
      <c r="E208" s="1" t="s">
        <v>15</v>
      </c>
    </row>
    <row r="209" spans="1:5" x14ac:dyDescent="0.2">
      <c r="A209" s="1">
        <v>270</v>
      </c>
      <c r="B209" s="1" t="s">
        <v>14</v>
      </c>
      <c r="C209" s="2">
        <v>36430</v>
      </c>
      <c r="E209" s="1" t="s">
        <v>9</v>
      </c>
    </row>
    <row r="210" spans="1:5" x14ac:dyDescent="0.2">
      <c r="A210" s="1">
        <v>272</v>
      </c>
      <c r="B210" s="1" t="s">
        <v>6</v>
      </c>
      <c r="C210" s="2">
        <v>36432</v>
      </c>
      <c r="E210" s="1" t="s">
        <v>13</v>
      </c>
    </row>
    <row r="211" spans="1:5" x14ac:dyDescent="0.2">
      <c r="A211" s="1">
        <v>274</v>
      </c>
      <c r="B211" s="1" t="s">
        <v>1</v>
      </c>
      <c r="C211" s="2">
        <v>36434</v>
      </c>
      <c r="E211" s="1" t="s">
        <v>12</v>
      </c>
    </row>
    <row r="212" spans="1:5" x14ac:dyDescent="0.2">
      <c r="A212" s="1">
        <v>274</v>
      </c>
      <c r="B212" s="1" t="s">
        <v>1</v>
      </c>
      <c r="C212" s="2">
        <v>36434</v>
      </c>
      <c r="E212" s="1" t="s">
        <v>11</v>
      </c>
    </row>
    <row r="213" spans="1:5" x14ac:dyDescent="0.2">
      <c r="A213" s="1">
        <v>278</v>
      </c>
      <c r="B213" s="1" t="s">
        <v>10</v>
      </c>
      <c r="C213" s="2">
        <v>36438</v>
      </c>
      <c r="E213" s="1" t="s">
        <v>9</v>
      </c>
    </row>
    <row r="214" spans="1:5" x14ac:dyDescent="0.2">
      <c r="A214" s="1">
        <v>281</v>
      </c>
      <c r="B214" s="1" t="s">
        <v>1</v>
      </c>
      <c r="C214" s="2">
        <v>36441</v>
      </c>
      <c r="E214" s="1" t="s">
        <v>8</v>
      </c>
    </row>
    <row r="215" spans="1:5" x14ac:dyDescent="0.2">
      <c r="A215" s="1">
        <v>281</v>
      </c>
      <c r="B215" s="1" t="s">
        <v>1</v>
      </c>
      <c r="C215" s="2">
        <v>36441</v>
      </c>
      <c r="E215" s="1" t="s">
        <v>7</v>
      </c>
    </row>
    <row r="216" spans="1:5" x14ac:dyDescent="0.2">
      <c r="A216" s="1">
        <v>286</v>
      </c>
      <c r="B216" s="1" t="s">
        <v>6</v>
      </c>
      <c r="C216" s="2">
        <v>36446</v>
      </c>
      <c r="E216" s="1" t="s">
        <v>5</v>
      </c>
    </row>
    <row r="217" spans="1:5" x14ac:dyDescent="0.2">
      <c r="A217" s="1">
        <v>287</v>
      </c>
      <c r="B217" s="1" t="s">
        <v>4</v>
      </c>
      <c r="C217" s="2">
        <v>36447</v>
      </c>
      <c r="E217" s="1" t="s">
        <v>3</v>
      </c>
    </row>
    <row r="218" spans="1:5" x14ac:dyDescent="0.2">
      <c r="A218" s="1">
        <v>288</v>
      </c>
      <c r="B218" s="1" t="s">
        <v>1</v>
      </c>
      <c r="C218" s="2">
        <v>36448</v>
      </c>
      <c r="E218" s="1" t="s">
        <v>2</v>
      </c>
    </row>
    <row r="219" spans="1:5" x14ac:dyDescent="0.2">
      <c r="A219" s="1">
        <v>288</v>
      </c>
      <c r="B219" s="1" t="s">
        <v>1</v>
      </c>
      <c r="C219" s="2">
        <v>36448</v>
      </c>
      <c r="E219" s="1" t="s">
        <v>0</v>
      </c>
    </row>
  </sheetData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C14DC-7EF4-4BB0-8C70-AD942F1DFE45}">
  <dimension ref="A1:J69"/>
  <sheetViews>
    <sheetView workbookViewId="0">
      <selection activeCell="F3" sqref="F3:F50"/>
    </sheetView>
  </sheetViews>
  <sheetFormatPr defaultRowHeight="15" x14ac:dyDescent="0.25"/>
  <cols>
    <col min="2" max="2" width="10" bestFit="1" customWidth="1"/>
    <col min="3" max="3" width="11.7109375" bestFit="1" customWidth="1"/>
    <col min="4" max="6" width="11.7109375" customWidth="1"/>
    <col min="9" max="9" width="14.5703125" bestFit="1" customWidth="1"/>
    <col min="10" max="10" width="15.140625" bestFit="1" customWidth="1"/>
  </cols>
  <sheetData>
    <row r="1" spans="1:10" x14ac:dyDescent="0.25">
      <c r="A1" s="86" t="s">
        <v>226</v>
      </c>
      <c r="B1" s="86"/>
      <c r="E1" t="s">
        <v>228</v>
      </c>
      <c r="H1" t="s">
        <v>227</v>
      </c>
    </row>
    <row r="2" spans="1:10" x14ac:dyDescent="0.25">
      <c r="A2" t="s">
        <v>172</v>
      </c>
      <c r="B2" t="s">
        <v>222</v>
      </c>
      <c r="C2" t="s">
        <v>218</v>
      </c>
      <c r="E2" t="s">
        <v>172</v>
      </c>
      <c r="F2" t="s">
        <v>218</v>
      </c>
      <c r="H2" t="s">
        <v>172</v>
      </c>
      <c r="I2" t="s">
        <v>224</v>
      </c>
      <c r="J2" t="s">
        <v>223</v>
      </c>
    </row>
    <row r="3" spans="1:10" x14ac:dyDescent="0.25">
      <c r="A3">
        <v>106</v>
      </c>
      <c r="B3">
        <v>0.14000000000000001</v>
      </c>
      <c r="C3">
        <f>B3*25.4</f>
        <v>3.556</v>
      </c>
      <c r="E3">
        <v>106</v>
      </c>
      <c r="F3" cm="1">
        <f t="array" ref="F3:F50">SUMIFS(C3:C66,A3:A66,E3:E50)</f>
        <v>17.018000000000001</v>
      </c>
      <c r="H3">
        <v>148</v>
      </c>
      <c r="I3">
        <v>26.9</v>
      </c>
      <c r="J3">
        <f>I3*1.12</f>
        <v>30.128</v>
      </c>
    </row>
    <row r="4" spans="1:10" x14ac:dyDescent="0.25">
      <c r="A4">
        <v>106</v>
      </c>
      <c r="B4">
        <v>0.53</v>
      </c>
      <c r="C4">
        <f>B4*25.4</f>
        <v>13.462</v>
      </c>
      <c r="E4">
        <v>109</v>
      </c>
      <c r="F4">
        <v>12.7</v>
      </c>
      <c r="H4">
        <v>148</v>
      </c>
      <c r="J4">
        <f>I4*1.12</f>
        <v>0</v>
      </c>
    </row>
    <row r="5" spans="1:10" x14ac:dyDescent="0.25">
      <c r="A5">
        <v>109</v>
      </c>
      <c r="B5">
        <v>0.5</v>
      </c>
      <c r="C5">
        <f>B5*25.4</f>
        <v>12.7</v>
      </c>
      <c r="E5">
        <v>110</v>
      </c>
      <c r="F5">
        <v>5.8419999999999996</v>
      </c>
      <c r="H5">
        <v>162</v>
      </c>
      <c r="I5">
        <v>37.700000000000003</v>
      </c>
      <c r="J5">
        <f>I5*1.12</f>
        <v>42.224000000000004</v>
      </c>
    </row>
    <row r="6" spans="1:10" x14ac:dyDescent="0.25">
      <c r="A6">
        <v>110</v>
      </c>
      <c r="B6">
        <v>0.23</v>
      </c>
      <c r="C6">
        <f>B6*25.4</f>
        <v>5.8419999999999996</v>
      </c>
      <c r="E6">
        <v>111</v>
      </c>
      <c r="F6">
        <v>14.224</v>
      </c>
      <c r="H6">
        <v>162</v>
      </c>
      <c r="J6">
        <f>I6*1.12</f>
        <v>0</v>
      </c>
    </row>
    <row r="7" spans="1:10" x14ac:dyDescent="0.25">
      <c r="A7">
        <v>111</v>
      </c>
      <c r="B7">
        <v>0.56000000000000005</v>
      </c>
      <c r="C7">
        <f>B7*25.4</f>
        <v>14.224</v>
      </c>
      <c r="E7">
        <v>113</v>
      </c>
      <c r="F7">
        <v>10.921999999999999</v>
      </c>
      <c r="H7">
        <v>176</v>
      </c>
      <c r="J7">
        <f>I7*1.12</f>
        <v>0</v>
      </c>
    </row>
    <row r="8" spans="1:10" x14ac:dyDescent="0.25">
      <c r="A8">
        <v>113</v>
      </c>
      <c r="B8">
        <v>0.43</v>
      </c>
      <c r="C8">
        <f>B8*25.4</f>
        <v>10.921999999999999</v>
      </c>
      <c r="E8">
        <v>116</v>
      </c>
      <c r="F8">
        <v>28.448</v>
      </c>
      <c r="H8">
        <v>176</v>
      </c>
      <c r="J8">
        <f>I8*1.12</f>
        <v>0</v>
      </c>
    </row>
    <row r="9" spans="1:10" x14ac:dyDescent="0.25">
      <c r="A9">
        <v>116</v>
      </c>
      <c r="B9">
        <v>1.1200000000000001</v>
      </c>
      <c r="C9">
        <f>B9*25.4</f>
        <v>28.448</v>
      </c>
      <c r="E9">
        <v>118</v>
      </c>
      <c r="F9">
        <v>30.225999999999996</v>
      </c>
      <c r="H9">
        <v>177</v>
      </c>
      <c r="J9">
        <f>I9*1.12</f>
        <v>0</v>
      </c>
    </row>
    <row r="10" spans="1:10" x14ac:dyDescent="0.25">
      <c r="A10">
        <v>118</v>
      </c>
      <c r="B10">
        <v>0.37</v>
      </c>
      <c r="C10">
        <f>B10*25.4</f>
        <v>9.3979999999999997</v>
      </c>
      <c r="E10">
        <v>119</v>
      </c>
      <c r="F10">
        <v>22.352</v>
      </c>
      <c r="H10">
        <v>177</v>
      </c>
      <c r="I10">
        <v>61.9</v>
      </c>
      <c r="J10">
        <f>I10*1.12</f>
        <v>69.328000000000003</v>
      </c>
    </row>
    <row r="11" spans="1:10" x14ac:dyDescent="0.25">
      <c r="A11">
        <v>118</v>
      </c>
      <c r="B11">
        <v>0.82</v>
      </c>
      <c r="C11">
        <f>B11*25.4</f>
        <v>20.827999999999996</v>
      </c>
      <c r="E11">
        <v>120</v>
      </c>
      <c r="F11">
        <v>21.59</v>
      </c>
      <c r="H11">
        <v>197</v>
      </c>
      <c r="J11">
        <f>I11*1.12</f>
        <v>0</v>
      </c>
    </row>
    <row r="12" spans="1:10" x14ac:dyDescent="0.25">
      <c r="A12">
        <v>119</v>
      </c>
      <c r="B12">
        <v>0.88</v>
      </c>
      <c r="C12">
        <f>B12*25.4</f>
        <v>22.352</v>
      </c>
      <c r="E12">
        <v>124</v>
      </c>
      <c r="F12">
        <v>22.352</v>
      </c>
      <c r="H12">
        <v>197</v>
      </c>
      <c r="I12">
        <v>43</v>
      </c>
      <c r="J12">
        <f>I12*1.12</f>
        <v>48.160000000000004</v>
      </c>
    </row>
    <row r="13" spans="1:10" x14ac:dyDescent="0.25">
      <c r="A13">
        <v>120</v>
      </c>
      <c r="B13">
        <v>0.85</v>
      </c>
      <c r="C13">
        <f>B13*25.4</f>
        <v>21.59</v>
      </c>
      <c r="E13">
        <v>148</v>
      </c>
      <c r="F13">
        <v>27.177999999999997</v>
      </c>
    </row>
    <row r="14" spans="1:10" x14ac:dyDescent="0.25">
      <c r="A14">
        <v>124</v>
      </c>
      <c r="B14">
        <v>0.88</v>
      </c>
      <c r="C14">
        <f>B14*25.4</f>
        <v>22.352</v>
      </c>
      <c r="E14">
        <v>158</v>
      </c>
      <c r="F14">
        <v>21.59</v>
      </c>
    </row>
    <row r="15" spans="1:10" x14ac:dyDescent="0.25">
      <c r="A15">
        <v>148</v>
      </c>
      <c r="B15">
        <v>0.75</v>
      </c>
      <c r="C15">
        <f>B15*25.4</f>
        <v>19.049999999999997</v>
      </c>
      <c r="E15">
        <v>162</v>
      </c>
      <c r="F15">
        <v>26.669999999999995</v>
      </c>
    </row>
    <row r="16" spans="1:10" x14ac:dyDescent="0.25">
      <c r="A16">
        <v>148</v>
      </c>
      <c r="B16">
        <v>0.32</v>
      </c>
      <c r="C16">
        <f>B16*25.4</f>
        <v>8.1280000000000001</v>
      </c>
      <c r="E16">
        <v>166</v>
      </c>
      <c r="F16">
        <v>0</v>
      </c>
    </row>
    <row r="17" spans="1:6" x14ac:dyDescent="0.25">
      <c r="A17">
        <v>148</v>
      </c>
      <c r="C17">
        <f>B17*25.4</f>
        <v>0</v>
      </c>
      <c r="E17">
        <v>167</v>
      </c>
      <c r="F17">
        <v>26.669999999999998</v>
      </c>
    </row>
    <row r="18" spans="1:6" x14ac:dyDescent="0.25">
      <c r="A18">
        <v>158</v>
      </c>
      <c r="B18">
        <v>0.85</v>
      </c>
      <c r="C18">
        <f>B18*25.4</f>
        <v>21.59</v>
      </c>
      <c r="E18">
        <v>168</v>
      </c>
      <c r="F18">
        <v>0</v>
      </c>
    </row>
    <row r="19" spans="1:6" x14ac:dyDescent="0.25">
      <c r="A19">
        <v>162</v>
      </c>
      <c r="B19">
        <v>0.75</v>
      </c>
      <c r="C19">
        <f>B19*25.4</f>
        <v>19.049999999999997</v>
      </c>
      <c r="E19">
        <v>170</v>
      </c>
      <c r="F19">
        <v>27.686</v>
      </c>
    </row>
    <row r="20" spans="1:6" x14ac:dyDescent="0.25">
      <c r="A20">
        <v>162</v>
      </c>
      <c r="B20">
        <v>0.3</v>
      </c>
      <c r="C20">
        <f>B20*25.4</f>
        <v>7.6199999999999992</v>
      </c>
      <c r="E20">
        <v>174</v>
      </c>
      <c r="F20">
        <v>0</v>
      </c>
    </row>
    <row r="21" spans="1:6" x14ac:dyDescent="0.25">
      <c r="A21">
        <v>162</v>
      </c>
      <c r="C21">
        <f>B21*25.4</f>
        <v>0</v>
      </c>
      <c r="E21">
        <v>175</v>
      </c>
      <c r="F21">
        <v>25.145999999999997</v>
      </c>
    </row>
    <row r="22" spans="1:6" x14ac:dyDescent="0.25">
      <c r="A22">
        <v>166</v>
      </c>
      <c r="C22">
        <f>B22*25.4</f>
        <v>0</v>
      </c>
      <c r="E22">
        <v>176</v>
      </c>
      <c r="F22">
        <v>0</v>
      </c>
    </row>
    <row r="23" spans="1:6" x14ac:dyDescent="0.25">
      <c r="A23">
        <v>167</v>
      </c>
      <c r="B23">
        <v>1.05</v>
      </c>
      <c r="C23">
        <f>B23*25.4</f>
        <v>26.669999999999998</v>
      </c>
      <c r="E23">
        <v>177</v>
      </c>
      <c r="F23">
        <v>27.177999999999997</v>
      </c>
    </row>
    <row r="24" spans="1:6" x14ac:dyDescent="0.25">
      <c r="A24">
        <v>168</v>
      </c>
      <c r="C24">
        <f>B24*25.4</f>
        <v>0</v>
      </c>
      <c r="E24">
        <v>181</v>
      </c>
      <c r="F24">
        <v>0</v>
      </c>
    </row>
    <row r="25" spans="1:6" x14ac:dyDescent="0.25">
      <c r="A25">
        <v>170</v>
      </c>
      <c r="B25">
        <v>1.0900000000000001</v>
      </c>
      <c r="C25">
        <f>B25*25.4</f>
        <v>27.686</v>
      </c>
      <c r="E25">
        <v>182</v>
      </c>
      <c r="F25">
        <v>22.605999999999998</v>
      </c>
    </row>
    <row r="26" spans="1:6" x14ac:dyDescent="0.25">
      <c r="A26">
        <v>174</v>
      </c>
      <c r="C26">
        <f>B26*25.4</f>
        <v>0</v>
      </c>
      <c r="E26">
        <v>183</v>
      </c>
      <c r="F26">
        <v>0</v>
      </c>
    </row>
    <row r="27" spans="1:6" x14ac:dyDescent="0.25">
      <c r="A27">
        <v>175</v>
      </c>
      <c r="B27">
        <v>0.99</v>
      </c>
      <c r="C27">
        <f>B27*25.4</f>
        <v>25.145999999999997</v>
      </c>
      <c r="E27">
        <v>184</v>
      </c>
      <c r="F27">
        <v>26.923999999999999</v>
      </c>
    </row>
    <row r="28" spans="1:6" x14ac:dyDescent="0.25">
      <c r="A28">
        <v>176</v>
      </c>
      <c r="C28">
        <f>B28*25.4</f>
        <v>0</v>
      </c>
      <c r="E28">
        <v>187</v>
      </c>
      <c r="F28">
        <v>12.7</v>
      </c>
    </row>
    <row r="29" spans="1:6" x14ac:dyDescent="0.25">
      <c r="A29">
        <v>176</v>
      </c>
      <c r="C29">
        <f>B29*25.4</f>
        <v>0</v>
      </c>
      <c r="E29">
        <v>188</v>
      </c>
      <c r="F29">
        <v>38.607999999999997</v>
      </c>
    </row>
    <row r="30" spans="1:6" x14ac:dyDescent="0.25">
      <c r="A30">
        <v>176</v>
      </c>
      <c r="C30">
        <f>B30*25.4</f>
        <v>0</v>
      </c>
      <c r="E30">
        <v>193</v>
      </c>
      <c r="F30">
        <v>30.479999999999997</v>
      </c>
    </row>
    <row r="31" spans="1:6" x14ac:dyDescent="0.25">
      <c r="A31">
        <v>177</v>
      </c>
      <c r="B31">
        <v>0.76</v>
      </c>
      <c r="C31">
        <f>B31*25.4</f>
        <v>19.303999999999998</v>
      </c>
      <c r="E31">
        <v>195</v>
      </c>
      <c r="F31">
        <v>25.4</v>
      </c>
    </row>
    <row r="32" spans="1:6" x14ac:dyDescent="0.25">
      <c r="A32">
        <v>177</v>
      </c>
      <c r="C32">
        <f>B32*25.4</f>
        <v>0</v>
      </c>
      <c r="E32">
        <v>197</v>
      </c>
      <c r="F32">
        <v>7.1120000000000001</v>
      </c>
    </row>
    <row r="33" spans="1:6" x14ac:dyDescent="0.25">
      <c r="A33">
        <v>177</v>
      </c>
      <c r="B33">
        <v>0.31</v>
      </c>
      <c r="C33">
        <f>B33*25.4</f>
        <v>7.8739999999999997</v>
      </c>
      <c r="E33">
        <v>203</v>
      </c>
      <c r="F33">
        <v>29.717999999999996</v>
      </c>
    </row>
    <row r="34" spans="1:6" x14ac:dyDescent="0.25">
      <c r="A34">
        <v>181</v>
      </c>
      <c r="C34">
        <f>B34*25.4</f>
        <v>0</v>
      </c>
      <c r="E34">
        <v>204</v>
      </c>
      <c r="F34">
        <v>11.683999999999999</v>
      </c>
    </row>
    <row r="35" spans="1:6" x14ac:dyDescent="0.25">
      <c r="A35">
        <v>182</v>
      </c>
      <c r="B35">
        <v>0.89</v>
      </c>
      <c r="C35">
        <f>B35*25.4</f>
        <v>22.605999999999998</v>
      </c>
      <c r="E35">
        <v>208</v>
      </c>
      <c r="F35">
        <v>30.225999999999996</v>
      </c>
    </row>
    <row r="36" spans="1:6" x14ac:dyDescent="0.25">
      <c r="A36">
        <v>183</v>
      </c>
      <c r="C36">
        <f>B36*25.4</f>
        <v>0</v>
      </c>
      <c r="E36">
        <v>210</v>
      </c>
      <c r="F36">
        <v>38.862000000000002</v>
      </c>
    </row>
    <row r="37" spans="1:6" x14ac:dyDescent="0.25">
      <c r="A37">
        <v>184</v>
      </c>
      <c r="B37">
        <v>1.06</v>
      </c>
      <c r="C37">
        <f>B37*25.4</f>
        <v>26.923999999999999</v>
      </c>
      <c r="E37">
        <v>214</v>
      </c>
      <c r="F37">
        <v>0</v>
      </c>
    </row>
    <row r="38" spans="1:6" x14ac:dyDescent="0.25">
      <c r="A38">
        <v>187</v>
      </c>
      <c r="C38">
        <f>B38*25.4</f>
        <v>0</v>
      </c>
      <c r="E38">
        <v>215</v>
      </c>
      <c r="F38">
        <v>26.923999999999999</v>
      </c>
    </row>
    <row r="39" spans="1:6" x14ac:dyDescent="0.25">
      <c r="A39">
        <v>187</v>
      </c>
      <c r="B39">
        <v>0.5</v>
      </c>
      <c r="C39">
        <f>B39*25.4</f>
        <v>12.7</v>
      </c>
      <c r="E39">
        <v>216</v>
      </c>
      <c r="F39">
        <v>8.8899999999999988</v>
      </c>
    </row>
    <row r="40" spans="1:6" x14ac:dyDescent="0.25">
      <c r="A40">
        <v>188</v>
      </c>
      <c r="B40">
        <v>0.52</v>
      </c>
      <c r="C40">
        <f>B40*25.4</f>
        <v>13.208</v>
      </c>
      <c r="E40">
        <v>217</v>
      </c>
      <c r="F40">
        <v>33.019999999999996</v>
      </c>
    </row>
    <row r="41" spans="1:6" x14ac:dyDescent="0.25">
      <c r="A41">
        <v>188</v>
      </c>
      <c r="B41">
        <v>1</v>
      </c>
      <c r="C41">
        <f>B41*25.4</f>
        <v>25.4</v>
      </c>
      <c r="E41">
        <v>221</v>
      </c>
      <c r="F41">
        <v>27.686</v>
      </c>
    </row>
    <row r="42" spans="1:6" x14ac:dyDescent="0.25">
      <c r="A42">
        <v>193</v>
      </c>
      <c r="B42">
        <v>1.2</v>
      </c>
      <c r="C42">
        <f>B42*25.4</f>
        <v>30.479999999999997</v>
      </c>
      <c r="E42">
        <v>223</v>
      </c>
      <c r="F42">
        <v>42.671999999999997</v>
      </c>
    </row>
    <row r="43" spans="1:6" x14ac:dyDescent="0.25">
      <c r="A43">
        <v>195</v>
      </c>
      <c r="B43">
        <v>1</v>
      </c>
      <c r="C43">
        <f>B43*25.4</f>
        <v>25.4</v>
      </c>
      <c r="E43">
        <v>225</v>
      </c>
      <c r="F43">
        <v>38.862000000000002</v>
      </c>
    </row>
    <row r="44" spans="1:6" x14ac:dyDescent="0.25">
      <c r="A44">
        <v>197</v>
      </c>
      <c r="C44">
        <f>B44*25.4</f>
        <v>0</v>
      </c>
      <c r="E44">
        <v>228</v>
      </c>
      <c r="F44">
        <v>28.955999999999996</v>
      </c>
    </row>
    <row r="45" spans="1:6" x14ac:dyDescent="0.25">
      <c r="A45">
        <v>197</v>
      </c>
      <c r="B45">
        <v>0.28000000000000003</v>
      </c>
      <c r="C45">
        <f>B45*25.4</f>
        <v>7.1120000000000001</v>
      </c>
      <c r="E45">
        <v>231</v>
      </c>
      <c r="F45">
        <v>26.161999999999999</v>
      </c>
    </row>
    <row r="46" spans="1:6" x14ac:dyDescent="0.25">
      <c r="A46">
        <v>203</v>
      </c>
      <c r="B46">
        <v>1.17</v>
      </c>
      <c r="C46">
        <f>B46*25.4</f>
        <v>29.717999999999996</v>
      </c>
      <c r="E46">
        <v>235</v>
      </c>
      <c r="F46">
        <v>35.305999999999997</v>
      </c>
    </row>
    <row r="47" spans="1:6" x14ac:dyDescent="0.25">
      <c r="A47">
        <v>204</v>
      </c>
      <c r="B47">
        <v>0.46</v>
      </c>
      <c r="C47">
        <f>B47*25.4</f>
        <v>11.683999999999999</v>
      </c>
      <c r="E47">
        <v>238</v>
      </c>
      <c r="F47">
        <v>24.383999999999997</v>
      </c>
    </row>
    <row r="48" spans="1:6" x14ac:dyDescent="0.25">
      <c r="A48">
        <v>208</v>
      </c>
      <c r="B48">
        <v>1.19</v>
      </c>
      <c r="C48">
        <f>B48*25.4</f>
        <v>30.225999999999996</v>
      </c>
      <c r="E48">
        <v>242</v>
      </c>
      <c r="F48">
        <v>27.94</v>
      </c>
    </row>
    <row r="49" spans="1:6" x14ac:dyDescent="0.25">
      <c r="A49">
        <v>210</v>
      </c>
      <c r="B49">
        <v>1.53</v>
      </c>
      <c r="C49">
        <f>B49*25.4</f>
        <v>38.862000000000002</v>
      </c>
      <c r="E49">
        <v>245</v>
      </c>
      <c r="F49">
        <v>39.369999999999997</v>
      </c>
    </row>
    <row r="50" spans="1:6" x14ac:dyDescent="0.25">
      <c r="A50">
        <v>214</v>
      </c>
      <c r="C50">
        <f>B50*25.4</f>
        <v>0</v>
      </c>
      <c r="E50">
        <v>250</v>
      </c>
      <c r="F50">
        <v>0</v>
      </c>
    </row>
    <row r="51" spans="1:6" x14ac:dyDescent="0.25">
      <c r="A51">
        <v>215</v>
      </c>
      <c r="B51">
        <v>1.06</v>
      </c>
      <c r="C51">
        <f>B51*25.4</f>
        <v>26.923999999999999</v>
      </c>
    </row>
    <row r="52" spans="1:6" x14ac:dyDescent="0.25">
      <c r="A52">
        <v>216</v>
      </c>
      <c r="C52">
        <f>B52*25.4</f>
        <v>0</v>
      </c>
    </row>
    <row r="53" spans="1:6" x14ac:dyDescent="0.25">
      <c r="A53">
        <v>216</v>
      </c>
      <c r="B53">
        <v>0.35</v>
      </c>
      <c r="C53">
        <f>B53*25.4</f>
        <v>8.8899999999999988</v>
      </c>
    </row>
    <row r="54" spans="1:6" x14ac:dyDescent="0.25">
      <c r="A54">
        <v>217</v>
      </c>
      <c r="B54">
        <v>1.3</v>
      </c>
      <c r="C54">
        <f>B54*25.4</f>
        <v>33.019999999999996</v>
      </c>
    </row>
    <row r="55" spans="1:6" x14ac:dyDescent="0.25">
      <c r="A55">
        <v>221</v>
      </c>
      <c r="B55">
        <v>1.0900000000000001</v>
      </c>
      <c r="C55">
        <f>B55*25.4</f>
        <v>27.686</v>
      </c>
    </row>
    <row r="56" spans="1:6" x14ac:dyDescent="0.25">
      <c r="A56">
        <v>223</v>
      </c>
      <c r="B56">
        <v>1.1200000000000001</v>
      </c>
      <c r="C56">
        <f>B56*25.4</f>
        <v>28.448</v>
      </c>
    </row>
    <row r="57" spans="1:6" x14ac:dyDescent="0.25">
      <c r="A57">
        <v>223</v>
      </c>
      <c r="B57">
        <v>0.56000000000000005</v>
      </c>
      <c r="C57">
        <f>B57*25.4</f>
        <v>14.224</v>
      </c>
    </row>
    <row r="58" spans="1:6" x14ac:dyDescent="0.25">
      <c r="A58">
        <v>223</v>
      </c>
      <c r="C58">
        <f>B58*25.4</f>
        <v>0</v>
      </c>
    </row>
    <row r="59" spans="1:6" x14ac:dyDescent="0.25">
      <c r="A59">
        <v>225</v>
      </c>
      <c r="B59">
        <v>1.53</v>
      </c>
      <c r="C59">
        <f>B59*25.4</f>
        <v>38.862000000000002</v>
      </c>
    </row>
    <row r="60" spans="1:6" x14ac:dyDescent="0.25">
      <c r="A60">
        <v>228</v>
      </c>
      <c r="B60">
        <v>1.1399999999999999</v>
      </c>
      <c r="C60">
        <f>B60*25.4</f>
        <v>28.955999999999996</v>
      </c>
    </row>
    <row r="61" spans="1:6" x14ac:dyDescent="0.25">
      <c r="A61">
        <v>231</v>
      </c>
      <c r="B61">
        <v>1.03</v>
      </c>
      <c r="C61">
        <f>B61*25.4</f>
        <v>26.161999999999999</v>
      </c>
    </row>
    <row r="62" spans="1:6" x14ac:dyDescent="0.25">
      <c r="A62">
        <v>235</v>
      </c>
      <c r="B62">
        <v>1.39</v>
      </c>
      <c r="C62">
        <f>B62*25.4</f>
        <v>35.305999999999997</v>
      </c>
    </row>
    <row r="63" spans="1:6" x14ac:dyDescent="0.25">
      <c r="A63">
        <v>238</v>
      </c>
      <c r="B63">
        <v>0.96</v>
      </c>
      <c r="C63">
        <f>B63*25.4</f>
        <v>24.383999999999997</v>
      </c>
    </row>
    <row r="64" spans="1:6" x14ac:dyDescent="0.25">
      <c r="A64">
        <v>242</v>
      </c>
      <c r="B64">
        <v>1.1000000000000001</v>
      </c>
      <c r="C64">
        <f>B64*25.4</f>
        <v>27.94</v>
      </c>
    </row>
    <row r="65" spans="1:3" x14ac:dyDescent="0.25">
      <c r="A65">
        <v>245</v>
      </c>
      <c r="B65">
        <v>1.55</v>
      </c>
      <c r="C65">
        <f>B65*25.4</f>
        <v>39.369999999999997</v>
      </c>
    </row>
    <row r="66" spans="1:3" x14ac:dyDescent="0.25">
      <c r="A66">
        <v>250</v>
      </c>
      <c r="C66">
        <f>B66*25.4</f>
        <v>0</v>
      </c>
    </row>
    <row r="67" spans="1:3" x14ac:dyDescent="0.25">
      <c r="B67">
        <f>SUM(B3:B66)</f>
        <v>39.460000000000008</v>
      </c>
      <c r="C67">
        <f>SUM(C3:C66)</f>
        <v>1002.284</v>
      </c>
    </row>
    <row r="69" spans="1:3" x14ac:dyDescent="0.25">
      <c r="C69">
        <f>SUM(C15:C66)</f>
        <v>816.61000000000024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6871D-6B38-44AD-8C97-E7F989059E79}">
  <dimension ref="A1:J69"/>
  <sheetViews>
    <sheetView workbookViewId="0">
      <selection activeCell="F3" sqref="F3:F50"/>
    </sheetView>
  </sheetViews>
  <sheetFormatPr defaultRowHeight="15" x14ac:dyDescent="0.25"/>
  <cols>
    <col min="2" max="2" width="10" bestFit="1" customWidth="1"/>
    <col min="3" max="3" width="11.7109375" bestFit="1" customWidth="1"/>
    <col min="4" max="6" width="11.7109375" customWidth="1"/>
    <col min="9" max="9" width="14.5703125" bestFit="1" customWidth="1"/>
    <col min="10" max="10" width="15.140625" bestFit="1" customWidth="1"/>
  </cols>
  <sheetData>
    <row r="1" spans="1:10" x14ac:dyDescent="0.25">
      <c r="A1" s="86" t="s">
        <v>226</v>
      </c>
      <c r="E1" t="s">
        <v>228</v>
      </c>
      <c r="H1" t="s">
        <v>227</v>
      </c>
    </row>
    <row r="2" spans="1:10" x14ac:dyDescent="0.25">
      <c r="A2" t="s">
        <v>172</v>
      </c>
      <c r="B2" t="s">
        <v>222</v>
      </c>
      <c r="C2" t="s">
        <v>218</v>
      </c>
      <c r="D2" s="87"/>
      <c r="E2" t="s">
        <v>172</v>
      </c>
      <c r="F2" t="s">
        <v>218</v>
      </c>
      <c r="G2" s="87"/>
      <c r="H2" t="s">
        <v>172</v>
      </c>
      <c r="I2" t="s">
        <v>224</v>
      </c>
      <c r="J2" t="s">
        <v>223</v>
      </c>
    </row>
    <row r="3" spans="1:10" x14ac:dyDescent="0.25">
      <c r="A3">
        <v>106</v>
      </c>
      <c r="B3">
        <v>0.14000000000000001</v>
      </c>
      <c r="C3" s="87">
        <f>B3*25.4</f>
        <v>3.556</v>
      </c>
      <c r="D3" s="87"/>
      <c r="E3">
        <v>106</v>
      </c>
      <c r="F3" cm="1">
        <f t="array" ref="F3:F50">SUMIFS(C3:C66,A3:A66,E3:E50)</f>
        <v>18.287999999999997</v>
      </c>
      <c r="G3" s="87"/>
      <c r="H3">
        <v>148</v>
      </c>
      <c r="J3">
        <f>I3*1.12</f>
        <v>0</v>
      </c>
    </row>
    <row r="4" spans="1:10" x14ac:dyDescent="0.25">
      <c r="A4">
        <v>106</v>
      </c>
      <c r="B4">
        <v>0.57999999999999996</v>
      </c>
      <c r="C4" s="87">
        <f>B4*25.4</f>
        <v>14.731999999999998</v>
      </c>
      <c r="D4" s="87"/>
      <c r="E4">
        <v>109</v>
      </c>
      <c r="F4">
        <v>12.7</v>
      </c>
      <c r="G4" s="87"/>
      <c r="H4">
        <v>148</v>
      </c>
      <c r="I4">
        <v>10.3</v>
      </c>
      <c r="J4">
        <f>I4*1.12</f>
        <v>11.536000000000001</v>
      </c>
    </row>
    <row r="5" spans="1:10" x14ac:dyDescent="0.25">
      <c r="A5">
        <v>109</v>
      </c>
      <c r="B5">
        <v>0.5</v>
      </c>
      <c r="C5" s="87">
        <f>B5*25.4</f>
        <v>12.7</v>
      </c>
      <c r="D5" s="87"/>
      <c r="E5">
        <v>110</v>
      </c>
      <c r="F5">
        <v>8.8899999999999988</v>
      </c>
      <c r="G5" s="87"/>
      <c r="H5">
        <v>162</v>
      </c>
      <c r="J5">
        <f>I5*1.12</f>
        <v>0</v>
      </c>
    </row>
    <row r="6" spans="1:10" x14ac:dyDescent="0.25">
      <c r="A6">
        <v>110</v>
      </c>
      <c r="B6">
        <v>0.35</v>
      </c>
      <c r="C6" s="87">
        <f>B6*25.4</f>
        <v>8.8899999999999988</v>
      </c>
      <c r="D6" s="87"/>
      <c r="E6">
        <v>111</v>
      </c>
      <c r="F6">
        <v>16.763999999999999</v>
      </c>
      <c r="G6" s="87"/>
      <c r="H6">
        <v>162</v>
      </c>
      <c r="I6">
        <v>20.6</v>
      </c>
      <c r="J6">
        <f>I6*1.12</f>
        <v>23.072000000000003</v>
      </c>
    </row>
    <row r="7" spans="1:10" x14ac:dyDescent="0.25">
      <c r="A7">
        <v>111</v>
      </c>
      <c r="B7">
        <v>0.66</v>
      </c>
      <c r="C7" s="87">
        <f>B7*25.4</f>
        <v>16.763999999999999</v>
      </c>
      <c r="D7" s="87"/>
      <c r="E7">
        <v>113</v>
      </c>
      <c r="F7">
        <v>11.683999999999999</v>
      </c>
      <c r="G7" s="87"/>
      <c r="H7">
        <v>176</v>
      </c>
      <c r="J7">
        <f>I7*1.12</f>
        <v>0</v>
      </c>
    </row>
    <row r="8" spans="1:10" x14ac:dyDescent="0.25">
      <c r="A8">
        <v>113</v>
      </c>
      <c r="B8">
        <v>0.46</v>
      </c>
      <c r="C8" s="87">
        <f>B8*25.4</f>
        <v>11.683999999999999</v>
      </c>
      <c r="D8" s="87"/>
      <c r="E8">
        <v>116</v>
      </c>
      <c r="F8">
        <v>23.114000000000001</v>
      </c>
      <c r="G8" s="87"/>
      <c r="H8">
        <v>176</v>
      </c>
      <c r="J8">
        <f>I8*1.12</f>
        <v>0</v>
      </c>
    </row>
    <row r="9" spans="1:10" x14ac:dyDescent="0.25">
      <c r="A9">
        <v>116</v>
      </c>
      <c r="B9">
        <v>0.91</v>
      </c>
      <c r="C9" s="87">
        <f>B9*25.4</f>
        <v>23.114000000000001</v>
      </c>
      <c r="D9" s="87"/>
      <c r="E9">
        <v>118</v>
      </c>
      <c r="F9">
        <v>30.48</v>
      </c>
      <c r="G9" s="87"/>
      <c r="H9">
        <v>177</v>
      </c>
      <c r="I9">
        <v>21.5</v>
      </c>
      <c r="J9">
        <f>I9*1.12</f>
        <v>24.080000000000002</v>
      </c>
    </row>
    <row r="10" spans="1:10" x14ac:dyDescent="0.25">
      <c r="A10">
        <v>118</v>
      </c>
      <c r="B10">
        <v>0.28999999999999998</v>
      </c>
      <c r="C10" s="87">
        <f>B10*25.4</f>
        <v>7.3659999999999988</v>
      </c>
      <c r="D10" s="87"/>
      <c r="E10">
        <v>119</v>
      </c>
      <c r="F10">
        <v>29.971999999999998</v>
      </c>
      <c r="G10" s="87"/>
      <c r="H10">
        <v>177</v>
      </c>
      <c r="J10">
        <f>I10*1.12</f>
        <v>0</v>
      </c>
    </row>
    <row r="11" spans="1:10" x14ac:dyDescent="0.25">
      <c r="A11">
        <v>118</v>
      </c>
      <c r="B11">
        <v>0.91</v>
      </c>
      <c r="C11" s="87">
        <f>B11*25.4</f>
        <v>23.114000000000001</v>
      </c>
      <c r="D11" s="87"/>
      <c r="E11">
        <v>120</v>
      </c>
      <c r="F11">
        <v>22.097999999999999</v>
      </c>
      <c r="G11" s="87"/>
      <c r="H11">
        <v>197</v>
      </c>
      <c r="I11">
        <v>15.5</v>
      </c>
      <c r="J11">
        <f>I11*1.12</f>
        <v>17.360000000000003</v>
      </c>
    </row>
    <row r="12" spans="1:10" x14ac:dyDescent="0.25">
      <c r="A12">
        <v>119</v>
      </c>
      <c r="B12">
        <v>1.18</v>
      </c>
      <c r="C12" s="87">
        <f>B12*25.4</f>
        <v>29.971999999999998</v>
      </c>
      <c r="D12" s="87"/>
      <c r="E12">
        <v>124</v>
      </c>
      <c r="F12">
        <v>21.843999999999998</v>
      </c>
      <c r="G12" s="87"/>
      <c r="H12">
        <v>197</v>
      </c>
      <c r="J12">
        <f>I12*1.12</f>
        <v>0</v>
      </c>
    </row>
    <row r="13" spans="1:10" x14ac:dyDescent="0.25">
      <c r="A13">
        <v>120</v>
      </c>
      <c r="B13">
        <v>0.87</v>
      </c>
      <c r="C13" s="87">
        <f>B13*25.4</f>
        <v>22.097999999999999</v>
      </c>
      <c r="D13" s="87"/>
      <c r="E13">
        <v>148</v>
      </c>
      <c r="F13">
        <v>24.383999999999997</v>
      </c>
      <c r="G13" s="87"/>
    </row>
    <row r="14" spans="1:10" x14ac:dyDescent="0.25">
      <c r="A14">
        <v>124</v>
      </c>
      <c r="B14">
        <v>0.86</v>
      </c>
      <c r="C14" s="87">
        <f>B14*25.4</f>
        <v>21.843999999999998</v>
      </c>
      <c r="D14" s="87"/>
      <c r="E14">
        <v>158</v>
      </c>
      <c r="F14">
        <v>20.065999999999999</v>
      </c>
      <c r="G14" s="87"/>
    </row>
    <row r="15" spans="1:10" x14ac:dyDescent="0.25">
      <c r="A15">
        <v>148</v>
      </c>
      <c r="B15">
        <v>0.7</v>
      </c>
      <c r="C15" s="87">
        <f>B15*25.4</f>
        <v>17.779999999999998</v>
      </c>
      <c r="D15" s="87"/>
      <c r="E15">
        <v>162</v>
      </c>
      <c r="F15">
        <v>24.891999999999999</v>
      </c>
      <c r="G15" s="87"/>
    </row>
    <row r="16" spans="1:10" x14ac:dyDescent="0.25">
      <c r="A16">
        <v>148</v>
      </c>
      <c r="C16" s="87">
        <f>B16*25.4</f>
        <v>0</v>
      </c>
      <c r="D16" s="87"/>
      <c r="E16">
        <v>166</v>
      </c>
      <c r="F16">
        <v>0</v>
      </c>
      <c r="G16" s="87"/>
    </row>
    <row r="17" spans="1:7" x14ac:dyDescent="0.25">
      <c r="A17">
        <v>148</v>
      </c>
      <c r="B17">
        <v>0.26</v>
      </c>
      <c r="C17" s="87">
        <f>B17*25.4</f>
        <v>6.6040000000000001</v>
      </c>
      <c r="D17" s="87"/>
      <c r="E17">
        <v>167</v>
      </c>
      <c r="F17">
        <v>28.448</v>
      </c>
      <c r="G17" s="87"/>
    </row>
    <row r="18" spans="1:7" x14ac:dyDescent="0.25">
      <c r="A18">
        <v>158</v>
      </c>
      <c r="B18">
        <v>0.79</v>
      </c>
      <c r="C18" s="87">
        <f>B18*25.4</f>
        <v>20.065999999999999</v>
      </c>
      <c r="D18" s="87"/>
      <c r="E18">
        <v>168</v>
      </c>
      <c r="F18">
        <v>0</v>
      </c>
      <c r="G18" s="87"/>
    </row>
    <row r="19" spans="1:7" x14ac:dyDescent="0.25">
      <c r="A19">
        <v>162</v>
      </c>
      <c r="B19">
        <v>0.71</v>
      </c>
      <c r="C19" s="87">
        <f>B19*25.4</f>
        <v>18.033999999999999</v>
      </c>
      <c r="D19" s="87"/>
      <c r="E19">
        <v>170</v>
      </c>
      <c r="F19">
        <v>28.448</v>
      </c>
      <c r="G19" s="87"/>
    </row>
    <row r="20" spans="1:7" x14ac:dyDescent="0.25">
      <c r="A20">
        <v>162</v>
      </c>
      <c r="C20" s="87">
        <f>B20*25.4</f>
        <v>0</v>
      </c>
      <c r="D20" s="87"/>
      <c r="E20">
        <v>174</v>
      </c>
      <c r="F20">
        <v>0</v>
      </c>
      <c r="G20" s="87"/>
    </row>
    <row r="21" spans="1:7" x14ac:dyDescent="0.25">
      <c r="A21">
        <v>162</v>
      </c>
      <c r="B21">
        <v>0.27</v>
      </c>
      <c r="C21" s="87">
        <f>B21*25.4</f>
        <v>6.8579999999999997</v>
      </c>
      <c r="D21" s="87"/>
      <c r="E21">
        <v>175</v>
      </c>
      <c r="F21">
        <v>27.178000000000001</v>
      </c>
      <c r="G21" s="87"/>
    </row>
    <row r="22" spans="1:7" x14ac:dyDescent="0.25">
      <c r="A22">
        <v>116</v>
      </c>
      <c r="C22" s="87">
        <f>B22*25.4</f>
        <v>0</v>
      </c>
      <c r="D22" s="87"/>
      <c r="E22">
        <v>176</v>
      </c>
      <c r="F22">
        <v>0</v>
      </c>
      <c r="G22" s="87"/>
    </row>
    <row r="23" spans="1:7" x14ac:dyDescent="0.25">
      <c r="A23">
        <v>167</v>
      </c>
      <c r="B23">
        <v>1.1200000000000001</v>
      </c>
      <c r="C23" s="87">
        <f>B23*25.4</f>
        <v>28.448</v>
      </c>
      <c r="D23" s="87"/>
      <c r="E23">
        <v>177</v>
      </c>
      <c r="F23">
        <v>28.701999999999998</v>
      </c>
      <c r="G23" s="87"/>
    </row>
    <row r="24" spans="1:7" x14ac:dyDescent="0.25">
      <c r="A24">
        <v>168</v>
      </c>
      <c r="C24" s="87">
        <f>B24*25.4</f>
        <v>0</v>
      </c>
      <c r="D24" s="87"/>
      <c r="E24">
        <v>181</v>
      </c>
      <c r="F24">
        <v>0</v>
      </c>
      <c r="G24" s="87"/>
    </row>
    <row r="25" spans="1:7" x14ac:dyDescent="0.25">
      <c r="A25">
        <v>170</v>
      </c>
      <c r="B25">
        <v>1.1200000000000001</v>
      </c>
      <c r="C25" s="87">
        <f>B25*25.4</f>
        <v>28.448</v>
      </c>
      <c r="D25" s="87"/>
      <c r="E25">
        <v>182</v>
      </c>
      <c r="F25">
        <v>25.907999999999998</v>
      </c>
      <c r="G25" s="87"/>
    </row>
    <row r="26" spans="1:7" x14ac:dyDescent="0.25">
      <c r="A26">
        <v>174</v>
      </c>
      <c r="B26">
        <v>0</v>
      </c>
      <c r="C26" s="87">
        <f>B26*25.4</f>
        <v>0</v>
      </c>
      <c r="D26" s="87"/>
      <c r="E26">
        <v>183</v>
      </c>
      <c r="F26">
        <v>0</v>
      </c>
      <c r="G26" s="87"/>
    </row>
    <row r="27" spans="1:7" x14ac:dyDescent="0.25">
      <c r="A27">
        <v>175</v>
      </c>
      <c r="B27">
        <v>1.07</v>
      </c>
      <c r="C27" s="87">
        <f>B27*25.4</f>
        <v>27.178000000000001</v>
      </c>
      <c r="D27" s="87"/>
      <c r="E27">
        <v>184</v>
      </c>
      <c r="F27">
        <v>22.605999999999998</v>
      </c>
      <c r="G27" s="87"/>
    </row>
    <row r="28" spans="1:7" x14ac:dyDescent="0.25">
      <c r="A28">
        <v>176</v>
      </c>
      <c r="C28" s="87">
        <f>B28*25.4</f>
        <v>0</v>
      </c>
      <c r="D28" s="87"/>
      <c r="E28">
        <v>187</v>
      </c>
      <c r="F28">
        <v>12.7</v>
      </c>
      <c r="G28" s="87"/>
    </row>
    <row r="29" spans="1:7" x14ac:dyDescent="0.25">
      <c r="A29">
        <v>176</v>
      </c>
      <c r="C29" s="87">
        <f>B29*25.4</f>
        <v>0</v>
      </c>
      <c r="D29" s="87"/>
      <c r="E29">
        <v>188</v>
      </c>
      <c r="F29">
        <v>41.402000000000001</v>
      </c>
      <c r="G29" s="87"/>
    </row>
    <row r="30" spans="1:7" x14ac:dyDescent="0.25">
      <c r="A30">
        <v>176</v>
      </c>
      <c r="C30" s="87">
        <f>B30*25.4</f>
        <v>0</v>
      </c>
      <c r="D30" s="87"/>
      <c r="E30">
        <v>193</v>
      </c>
      <c r="F30">
        <v>27.178000000000001</v>
      </c>
      <c r="G30" s="87"/>
    </row>
    <row r="31" spans="1:7" x14ac:dyDescent="0.25">
      <c r="A31">
        <v>177</v>
      </c>
      <c r="B31">
        <v>0.86</v>
      </c>
      <c r="C31" s="87">
        <f>B31*25.4</f>
        <v>21.843999999999998</v>
      </c>
      <c r="D31" s="87"/>
      <c r="E31">
        <v>195</v>
      </c>
      <c r="F31">
        <v>25.4</v>
      </c>
      <c r="G31" s="87"/>
    </row>
    <row r="32" spans="1:7" x14ac:dyDescent="0.25">
      <c r="A32">
        <v>177</v>
      </c>
      <c r="B32">
        <v>0.27</v>
      </c>
      <c r="C32" s="87">
        <f>B32*25.4</f>
        <v>6.8579999999999997</v>
      </c>
      <c r="D32" s="87"/>
      <c r="E32">
        <v>197</v>
      </c>
      <c r="F32">
        <v>7.3659999999999988</v>
      </c>
      <c r="G32" s="87"/>
    </row>
    <row r="33" spans="1:7" x14ac:dyDescent="0.25">
      <c r="A33">
        <v>177</v>
      </c>
      <c r="C33" s="87">
        <f>B33*25.4</f>
        <v>0</v>
      </c>
      <c r="D33" s="87"/>
      <c r="E33">
        <v>203</v>
      </c>
      <c r="F33">
        <v>29.209999999999997</v>
      </c>
      <c r="G33" s="87"/>
    </row>
    <row r="34" spans="1:7" x14ac:dyDescent="0.25">
      <c r="A34">
        <v>181</v>
      </c>
      <c r="C34" s="87">
        <f>B34*25.4</f>
        <v>0</v>
      </c>
      <c r="D34" s="87"/>
      <c r="E34">
        <v>204</v>
      </c>
      <c r="F34">
        <v>12.191999999999998</v>
      </c>
      <c r="G34" s="87"/>
    </row>
    <row r="35" spans="1:7" x14ac:dyDescent="0.25">
      <c r="A35">
        <v>182</v>
      </c>
      <c r="B35">
        <v>1.02</v>
      </c>
      <c r="C35" s="87">
        <f>B35*25.4</f>
        <v>25.907999999999998</v>
      </c>
      <c r="D35" s="87"/>
      <c r="E35">
        <v>208</v>
      </c>
      <c r="F35">
        <v>25.4</v>
      </c>
      <c r="G35" s="87"/>
    </row>
    <row r="36" spans="1:7" x14ac:dyDescent="0.25">
      <c r="A36">
        <v>183</v>
      </c>
      <c r="C36" s="87">
        <f>B36*25.4</f>
        <v>0</v>
      </c>
      <c r="D36" s="87"/>
      <c r="E36">
        <v>210</v>
      </c>
      <c r="F36">
        <v>37.337999999999994</v>
      </c>
      <c r="G36" s="87"/>
    </row>
    <row r="37" spans="1:7" x14ac:dyDescent="0.25">
      <c r="A37">
        <v>184</v>
      </c>
      <c r="B37">
        <v>0.89</v>
      </c>
      <c r="C37" s="87">
        <f>B37*25.4</f>
        <v>22.605999999999998</v>
      </c>
      <c r="D37" s="87"/>
      <c r="E37">
        <v>214</v>
      </c>
      <c r="F37">
        <v>0</v>
      </c>
      <c r="G37" s="87"/>
    </row>
    <row r="38" spans="1:7" x14ac:dyDescent="0.25">
      <c r="A38">
        <v>187</v>
      </c>
      <c r="C38" s="87">
        <f>B38*25.4</f>
        <v>0</v>
      </c>
      <c r="D38" s="87"/>
      <c r="E38">
        <v>215</v>
      </c>
      <c r="F38">
        <v>25.145999999999997</v>
      </c>
      <c r="G38" s="87"/>
    </row>
    <row r="39" spans="1:7" x14ac:dyDescent="0.25">
      <c r="A39">
        <v>187</v>
      </c>
      <c r="B39">
        <v>0.5</v>
      </c>
      <c r="C39" s="87">
        <f>B39*25.4</f>
        <v>12.7</v>
      </c>
      <c r="D39" s="87"/>
      <c r="E39">
        <v>216</v>
      </c>
      <c r="F39">
        <v>8.8899999999999988</v>
      </c>
      <c r="G39" s="87"/>
    </row>
    <row r="40" spans="1:7" x14ac:dyDescent="0.25">
      <c r="A40">
        <v>188</v>
      </c>
      <c r="B40">
        <v>0.63</v>
      </c>
      <c r="C40" s="87">
        <f>B40*25.4</f>
        <v>16.001999999999999</v>
      </c>
      <c r="D40" s="87"/>
      <c r="E40">
        <v>217</v>
      </c>
      <c r="F40">
        <v>27.686</v>
      </c>
      <c r="G40" s="87"/>
    </row>
    <row r="41" spans="1:7" x14ac:dyDescent="0.25">
      <c r="A41">
        <v>188</v>
      </c>
      <c r="B41">
        <v>1</v>
      </c>
      <c r="C41" s="87">
        <f>B41*25.4</f>
        <v>25.4</v>
      </c>
      <c r="D41" s="87"/>
      <c r="E41">
        <v>221</v>
      </c>
      <c r="F41">
        <v>25.654</v>
      </c>
      <c r="G41" s="87"/>
    </row>
    <row r="42" spans="1:7" x14ac:dyDescent="0.25">
      <c r="A42">
        <v>193</v>
      </c>
      <c r="B42">
        <v>1.07</v>
      </c>
      <c r="C42" s="87">
        <f>B42*25.4</f>
        <v>27.178000000000001</v>
      </c>
      <c r="D42" s="87"/>
      <c r="E42">
        <v>223</v>
      </c>
      <c r="F42">
        <v>40.893999999999998</v>
      </c>
      <c r="G42" s="87"/>
    </row>
    <row r="43" spans="1:7" x14ac:dyDescent="0.25">
      <c r="A43">
        <v>195</v>
      </c>
      <c r="B43">
        <v>1</v>
      </c>
      <c r="C43" s="87">
        <f>B43*25.4</f>
        <v>25.4</v>
      </c>
      <c r="D43" s="87"/>
      <c r="E43">
        <v>225</v>
      </c>
      <c r="F43">
        <v>36.067999999999998</v>
      </c>
      <c r="G43" s="87"/>
    </row>
    <row r="44" spans="1:7" x14ac:dyDescent="0.25">
      <c r="A44">
        <v>197</v>
      </c>
      <c r="B44">
        <v>0.28999999999999998</v>
      </c>
      <c r="C44" s="87">
        <f>B44*25.4</f>
        <v>7.3659999999999988</v>
      </c>
      <c r="D44" s="87"/>
      <c r="E44">
        <v>228</v>
      </c>
      <c r="F44">
        <v>26.923999999999999</v>
      </c>
      <c r="G44" s="87"/>
    </row>
    <row r="45" spans="1:7" x14ac:dyDescent="0.25">
      <c r="A45">
        <v>197</v>
      </c>
      <c r="C45" s="87">
        <f>B45*25.4</f>
        <v>0</v>
      </c>
      <c r="D45" s="87"/>
      <c r="E45">
        <v>231</v>
      </c>
      <c r="F45">
        <v>24.637999999999998</v>
      </c>
      <c r="G45" s="87"/>
    </row>
    <row r="46" spans="1:7" x14ac:dyDescent="0.25">
      <c r="A46">
        <v>203</v>
      </c>
      <c r="B46">
        <v>1.1499999999999999</v>
      </c>
      <c r="C46" s="87">
        <f>B46*25.4</f>
        <v>29.209999999999997</v>
      </c>
      <c r="D46" s="87"/>
      <c r="E46">
        <v>235</v>
      </c>
      <c r="F46">
        <v>34.036000000000001</v>
      </c>
      <c r="G46" s="87"/>
    </row>
    <row r="47" spans="1:7" x14ac:dyDescent="0.25">
      <c r="A47">
        <v>204</v>
      </c>
      <c r="B47">
        <v>0.48</v>
      </c>
      <c r="C47" s="87">
        <f>B47*25.4</f>
        <v>12.191999999999998</v>
      </c>
      <c r="D47" s="87"/>
      <c r="E47">
        <v>238</v>
      </c>
      <c r="F47">
        <v>24.637999999999998</v>
      </c>
      <c r="G47" s="87"/>
    </row>
    <row r="48" spans="1:7" x14ac:dyDescent="0.25">
      <c r="A48">
        <v>208</v>
      </c>
      <c r="B48">
        <v>1</v>
      </c>
      <c r="C48" s="87">
        <f>B48*25.4</f>
        <v>25.4</v>
      </c>
      <c r="D48" s="87"/>
      <c r="E48">
        <v>242</v>
      </c>
      <c r="F48">
        <v>25.654</v>
      </c>
      <c r="G48" s="87"/>
    </row>
    <row r="49" spans="1:7" x14ac:dyDescent="0.25">
      <c r="A49">
        <v>210</v>
      </c>
      <c r="B49">
        <v>1.47</v>
      </c>
      <c r="C49" s="87">
        <f>B49*25.4</f>
        <v>37.337999999999994</v>
      </c>
      <c r="D49" s="87"/>
      <c r="E49">
        <v>245</v>
      </c>
      <c r="F49">
        <v>35.813999999999993</v>
      </c>
      <c r="G49" s="87"/>
    </row>
    <row r="50" spans="1:7" x14ac:dyDescent="0.25">
      <c r="A50">
        <v>214</v>
      </c>
      <c r="C50" s="87">
        <f>B50*25.4</f>
        <v>0</v>
      </c>
      <c r="D50" s="87"/>
      <c r="E50">
        <v>250</v>
      </c>
      <c r="F50">
        <v>0</v>
      </c>
      <c r="G50" s="87"/>
    </row>
    <row r="51" spans="1:7" x14ac:dyDescent="0.25">
      <c r="A51">
        <v>215</v>
      </c>
      <c r="B51">
        <v>0.99</v>
      </c>
      <c r="C51" s="87">
        <f>B51*25.4</f>
        <v>25.145999999999997</v>
      </c>
      <c r="D51" s="87"/>
      <c r="F51" s="87"/>
      <c r="G51" s="87"/>
    </row>
    <row r="52" spans="1:7" x14ac:dyDescent="0.25">
      <c r="A52">
        <v>216</v>
      </c>
      <c r="C52" s="87">
        <f>B52*25.4</f>
        <v>0</v>
      </c>
      <c r="D52" s="87"/>
      <c r="F52" s="87"/>
      <c r="G52" s="87"/>
    </row>
    <row r="53" spans="1:7" x14ac:dyDescent="0.25">
      <c r="A53">
        <v>216</v>
      </c>
      <c r="B53">
        <v>0.35</v>
      </c>
      <c r="C53" s="87">
        <f>B53*25.4</f>
        <v>8.8899999999999988</v>
      </c>
      <c r="D53" s="87"/>
      <c r="F53" s="87"/>
      <c r="G53" s="87"/>
    </row>
    <row r="54" spans="1:7" x14ac:dyDescent="0.25">
      <c r="A54">
        <v>217</v>
      </c>
      <c r="B54">
        <v>1.0900000000000001</v>
      </c>
      <c r="C54" s="87">
        <f>B54*25.4</f>
        <v>27.686</v>
      </c>
      <c r="D54" s="87"/>
      <c r="F54" s="87"/>
      <c r="G54" s="87"/>
    </row>
    <row r="55" spans="1:7" x14ac:dyDescent="0.25">
      <c r="A55">
        <v>221</v>
      </c>
      <c r="B55">
        <v>1.01</v>
      </c>
      <c r="C55" s="87">
        <f>B55*25.4</f>
        <v>25.654</v>
      </c>
      <c r="D55" s="87"/>
      <c r="F55" s="87"/>
      <c r="G55" s="87"/>
    </row>
    <row r="56" spans="1:7" x14ac:dyDescent="0.25">
      <c r="A56">
        <v>223</v>
      </c>
      <c r="B56">
        <v>1.08</v>
      </c>
      <c r="C56" s="87">
        <f>B56*25.4</f>
        <v>27.431999999999999</v>
      </c>
      <c r="D56" s="87"/>
      <c r="F56" s="87"/>
      <c r="G56" s="87"/>
    </row>
    <row r="57" spans="1:7" x14ac:dyDescent="0.25">
      <c r="A57">
        <v>223</v>
      </c>
      <c r="B57">
        <v>0.53</v>
      </c>
      <c r="C57" s="87">
        <f>B57*25.4</f>
        <v>13.462</v>
      </c>
      <c r="D57" s="87"/>
      <c r="F57" s="87"/>
      <c r="G57" s="87"/>
    </row>
    <row r="58" spans="1:7" x14ac:dyDescent="0.25">
      <c r="A58">
        <v>223</v>
      </c>
      <c r="C58" s="87">
        <f>B58*25.4</f>
        <v>0</v>
      </c>
      <c r="D58" s="87"/>
      <c r="F58" s="87"/>
      <c r="G58" s="87"/>
    </row>
    <row r="59" spans="1:7" x14ac:dyDescent="0.25">
      <c r="A59">
        <v>225</v>
      </c>
      <c r="B59">
        <v>1.42</v>
      </c>
      <c r="C59" s="87">
        <f>B59*25.4</f>
        <v>36.067999999999998</v>
      </c>
      <c r="D59" s="87"/>
      <c r="F59" s="87"/>
      <c r="G59" s="87"/>
    </row>
    <row r="60" spans="1:7" x14ac:dyDescent="0.25">
      <c r="A60">
        <v>228</v>
      </c>
      <c r="B60">
        <v>1.06</v>
      </c>
      <c r="C60" s="87">
        <f>B60*25.4</f>
        <v>26.923999999999999</v>
      </c>
      <c r="D60" s="87"/>
      <c r="F60" s="87"/>
      <c r="G60" s="87"/>
    </row>
    <row r="61" spans="1:7" x14ac:dyDescent="0.25">
      <c r="A61">
        <v>231</v>
      </c>
      <c r="B61">
        <v>0.97</v>
      </c>
      <c r="C61" s="87">
        <f>B61*25.4</f>
        <v>24.637999999999998</v>
      </c>
      <c r="D61" s="87"/>
      <c r="F61" s="87"/>
      <c r="G61" s="87"/>
    </row>
    <row r="62" spans="1:7" x14ac:dyDescent="0.25">
      <c r="A62">
        <v>235</v>
      </c>
      <c r="B62">
        <v>1.34</v>
      </c>
      <c r="C62" s="87">
        <f>B62*25.4</f>
        <v>34.036000000000001</v>
      </c>
      <c r="D62" s="87"/>
      <c r="F62" s="87"/>
      <c r="G62" s="87"/>
    </row>
    <row r="63" spans="1:7" x14ac:dyDescent="0.25">
      <c r="A63">
        <v>238</v>
      </c>
      <c r="B63">
        <v>0.97</v>
      </c>
      <c r="C63" s="87">
        <f>B63*25.4</f>
        <v>24.637999999999998</v>
      </c>
      <c r="D63" s="87"/>
      <c r="F63" s="87"/>
      <c r="G63" s="87"/>
    </row>
    <row r="64" spans="1:7" x14ac:dyDescent="0.25">
      <c r="A64">
        <v>242</v>
      </c>
      <c r="B64">
        <v>1.01</v>
      </c>
      <c r="C64" s="87">
        <f>B64*25.4</f>
        <v>25.654</v>
      </c>
      <c r="D64" s="87"/>
      <c r="F64" s="87"/>
      <c r="G64" s="87"/>
    </row>
    <row r="65" spans="1:7" x14ac:dyDescent="0.25">
      <c r="A65">
        <v>245</v>
      </c>
      <c r="B65">
        <v>1.41</v>
      </c>
      <c r="C65" s="87">
        <f>B65*25.4</f>
        <v>35.813999999999993</v>
      </c>
      <c r="D65" s="87"/>
      <c r="F65" s="87"/>
      <c r="G65" s="87"/>
    </row>
    <row r="66" spans="1:7" x14ac:dyDescent="0.25">
      <c r="A66">
        <v>250</v>
      </c>
      <c r="C66" s="87">
        <f>B66*25.4</f>
        <v>0</v>
      </c>
      <c r="D66" s="87"/>
      <c r="F66" s="87"/>
    </row>
    <row r="67" spans="1:7" x14ac:dyDescent="0.25">
      <c r="B67">
        <f>SUM(B3:B66)</f>
        <v>38.61</v>
      </c>
      <c r="C67" s="87">
        <f>SUM(C3:C66)</f>
        <v>980.69399999999996</v>
      </c>
    </row>
    <row r="68" spans="1:7" x14ac:dyDescent="0.25">
      <c r="D68" s="87"/>
      <c r="F68" s="87"/>
    </row>
    <row r="69" spans="1:7" x14ac:dyDescent="0.25">
      <c r="C69" s="87">
        <f>SUM(C15:C66)</f>
        <v>784.8599999999999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4C9F8-AA81-4E72-890B-0E9809C0B97F}">
  <dimension ref="A1:J69"/>
  <sheetViews>
    <sheetView workbookViewId="0">
      <selection activeCell="F3" sqref="F3:F50"/>
    </sheetView>
  </sheetViews>
  <sheetFormatPr defaultRowHeight="15" x14ac:dyDescent="0.25"/>
  <cols>
    <col min="2" max="2" width="10" bestFit="1" customWidth="1"/>
    <col min="3" max="3" width="11.7109375" bestFit="1" customWidth="1"/>
    <col min="4" max="6" width="11.7109375" customWidth="1"/>
    <col min="9" max="9" width="14.5703125" bestFit="1" customWidth="1"/>
    <col min="10" max="10" width="15.140625" bestFit="1" customWidth="1"/>
  </cols>
  <sheetData>
    <row r="1" spans="1:10" x14ac:dyDescent="0.25">
      <c r="A1" s="86" t="s">
        <v>226</v>
      </c>
      <c r="E1" t="s">
        <v>228</v>
      </c>
      <c r="H1" t="s">
        <v>227</v>
      </c>
    </row>
    <row r="2" spans="1:10" x14ac:dyDescent="0.25">
      <c r="A2" t="s">
        <v>172</v>
      </c>
      <c r="B2" t="s">
        <v>222</v>
      </c>
      <c r="C2" t="s">
        <v>218</v>
      </c>
      <c r="E2" t="s">
        <v>172</v>
      </c>
      <c r="F2" t="s">
        <v>218</v>
      </c>
      <c r="H2" t="s">
        <v>172</v>
      </c>
      <c r="I2" t="s">
        <v>224</v>
      </c>
      <c r="J2" t="s">
        <v>223</v>
      </c>
    </row>
    <row r="3" spans="1:10" x14ac:dyDescent="0.25">
      <c r="A3">
        <v>106</v>
      </c>
      <c r="B3">
        <v>0.14000000000000001</v>
      </c>
      <c r="C3">
        <f>B3*25.4</f>
        <v>3.556</v>
      </c>
      <c r="E3">
        <v>106</v>
      </c>
      <c r="F3" cm="1">
        <f t="array" ref="F3:F50">SUMIFS(C3:C66,A3:A66,E3:E50)</f>
        <v>15.494</v>
      </c>
      <c r="H3">
        <v>148</v>
      </c>
      <c r="I3">
        <v>25.8</v>
      </c>
      <c r="J3">
        <f>I3*1.12</f>
        <v>28.896000000000004</v>
      </c>
    </row>
    <row r="4" spans="1:10" x14ac:dyDescent="0.25">
      <c r="A4">
        <v>106</v>
      </c>
      <c r="B4">
        <v>0.47</v>
      </c>
      <c r="C4">
        <f>B4*25.4</f>
        <v>11.937999999999999</v>
      </c>
      <c r="E4">
        <v>109</v>
      </c>
      <c r="F4">
        <v>12.7</v>
      </c>
      <c r="H4">
        <v>148</v>
      </c>
      <c r="J4">
        <f>I4*1.12</f>
        <v>0</v>
      </c>
    </row>
    <row r="5" spans="1:10" x14ac:dyDescent="0.25">
      <c r="A5">
        <v>109</v>
      </c>
      <c r="B5">
        <v>0.5</v>
      </c>
      <c r="C5">
        <f>B5*25.4</f>
        <v>12.7</v>
      </c>
      <c r="E5">
        <v>110</v>
      </c>
      <c r="F5">
        <v>5.5880000000000001</v>
      </c>
      <c r="H5">
        <v>162</v>
      </c>
      <c r="I5">
        <v>41.2</v>
      </c>
      <c r="J5">
        <f>I5*1.12</f>
        <v>46.144000000000005</v>
      </c>
    </row>
    <row r="6" spans="1:10" x14ac:dyDescent="0.25">
      <c r="A6">
        <v>110</v>
      </c>
      <c r="B6">
        <v>0.22</v>
      </c>
      <c r="C6">
        <f>B6*25.4</f>
        <v>5.5880000000000001</v>
      </c>
      <c r="E6">
        <v>111</v>
      </c>
      <c r="F6">
        <v>11.683999999999999</v>
      </c>
      <c r="H6">
        <v>162</v>
      </c>
      <c r="J6">
        <f>I6*1.12</f>
        <v>0</v>
      </c>
    </row>
    <row r="7" spans="1:10" x14ac:dyDescent="0.25">
      <c r="A7">
        <v>111</v>
      </c>
      <c r="B7">
        <v>0.46</v>
      </c>
      <c r="C7">
        <f>B7*25.4</f>
        <v>11.683999999999999</v>
      </c>
      <c r="E7">
        <v>113</v>
      </c>
      <c r="F7">
        <v>11.937999999999999</v>
      </c>
      <c r="H7">
        <v>176</v>
      </c>
      <c r="I7">
        <v>61.9</v>
      </c>
      <c r="J7">
        <f>I7*1.12</f>
        <v>69.328000000000003</v>
      </c>
    </row>
    <row r="8" spans="1:10" x14ac:dyDescent="0.25">
      <c r="A8">
        <v>113</v>
      </c>
      <c r="B8">
        <v>0.47</v>
      </c>
      <c r="C8">
        <f>B8*25.4</f>
        <v>11.937999999999999</v>
      </c>
      <c r="E8">
        <v>116</v>
      </c>
      <c r="F8">
        <v>22.352</v>
      </c>
      <c r="H8">
        <v>176</v>
      </c>
      <c r="J8">
        <f>I8*1.12</f>
        <v>0</v>
      </c>
    </row>
    <row r="9" spans="1:10" x14ac:dyDescent="0.25">
      <c r="A9">
        <v>116</v>
      </c>
      <c r="B9">
        <v>0.88</v>
      </c>
      <c r="C9">
        <f>B9*25.4</f>
        <v>22.352</v>
      </c>
      <c r="E9">
        <v>118</v>
      </c>
      <c r="F9">
        <v>28.448</v>
      </c>
      <c r="H9">
        <v>177</v>
      </c>
      <c r="J9">
        <f>I9*1.12</f>
        <v>0</v>
      </c>
    </row>
    <row r="10" spans="1:10" x14ac:dyDescent="0.25">
      <c r="A10">
        <v>118</v>
      </c>
      <c r="B10">
        <v>0.27</v>
      </c>
      <c r="C10">
        <f>B10*25.4</f>
        <v>6.8579999999999997</v>
      </c>
      <c r="E10">
        <v>119</v>
      </c>
      <c r="F10">
        <v>21.081999999999997</v>
      </c>
      <c r="H10">
        <v>177</v>
      </c>
      <c r="J10">
        <f>I10*1.12</f>
        <v>0</v>
      </c>
    </row>
    <row r="11" spans="1:10" x14ac:dyDescent="0.25">
      <c r="A11">
        <v>118</v>
      </c>
      <c r="B11">
        <v>0.85</v>
      </c>
      <c r="C11">
        <f>B11*25.4</f>
        <v>21.59</v>
      </c>
      <c r="E11">
        <v>120</v>
      </c>
      <c r="F11">
        <v>21.843999999999998</v>
      </c>
      <c r="H11">
        <v>197</v>
      </c>
      <c r="J11">
        <f>I11*1.12</f>
        <v>0</v>
      </c>
    </row>
    <row r="12" spans="1:10" x14ac:dyDescent="0.25">
      <c r="A12">
        <v>119</v>
      </c>
      <c r="B12">
        <v>0.83</v>
      </c>
      <c r="C12">
        <f>B12*25.4</f>
        <v>21.081999999999997</v>
      </c>
      <c r="E12">
        <v>124</v>
      </c>
      <c r="F12">
        <v>23.114000000000001</v>
      </c>
      <c r="H12">
        <v>197</v>
      </c>
      <c r="I12">
        <v>41.2</v>
      </c>
      <c r="J12">
        <f>I12*1.12</f>
        <v>46.144000000000005</v>
      </c>
    </row>
    <row r="13" spans="1:10" x14ac:dyDescent="0.25">
      <c r="A13">
        <v>120</v>
      </c>
      <c r="B13">
        <v>0.86</v>
      </c>
      <c r="C13">
        <f>B13*25.4</f>
        <v>21.843999999999998</v>
      </c>
      <c r="E13">
        <v>148</v>
      </c>
      <c r="F13">
        <v>25.4</v>
      </c>
    </row>
    <row r="14" spans="1:10" x14ac:dyDescent="0.25">
      <c r="A14">
        <v>124</v>
      </c>
      <c r="B14">
        <v>0.91</v>
      </c>
      <c r="C14">
        <f>B14*25.4</f>
        <v>23.114000000000001</v>
      </c>
      <c r="E14">
        <v>158</v>
      </c>
      <c r="F14">
        <v>20.574000000000002</v>
      </c>
    </row>
    <row r="15" spans="1:10" x14ac:dyDescent="0.25">
      <c r="A15">
        <v>148</v>
      </c>
      <c r="B15">
        <v>0.72</v>
      </c>
      <c r="C15">
        <f>B15*25.4</f>
        <v>18.287999999999997</v>
      </c>
      <c r="E15">
        <v>162</v>
      </c>
      <c r="F15">
        <v>25.4</v>
      </c>
    </row>
    <row r="16" spans="1:10" x14ac:dyDescent="0.25">
      <c r="A16">
        <v>148</v>
      </c>
      <c r="B16">
        <v>0.28000000000000003</v>
      </c>
      <c r="C16">
        <f>B16*25.4</f>
        <v>7.1120000000000001</v>
      </c>
      <c r="E16">
        <v>166</v>
      </c>
      <c r="F16">
        <v>30.225999999999996</v>
      </c>
    </row>
    <row r="17" spans="1:6" x14ac:dyDescent="0.25">
      <c r="A17">
        <v>148</v>
      </c>
      <c r="C17">
        <f>B17*25.4</f>
        <v>0</v>
      </c>
      <c r="E17">
        <v>167</v>
      </c>
      <c r="F17">
        <v>0</v>
      </c>
    </row>
    <row r="18" spans="1:6" x14ac:dyDescent="0.25">
      <c r="A18">
        <v>158</v>
      </c>
      <c r="B18">
        <v>0.81</v>
      </c>
      <c r="C18">
        <f>B18*25.4</f>
        <v>20.574000000000002</v>
      </c>
      <c r="E18">
        <v>168</v>
      </c>
      <c r="F18">
        <v>0</v>
      </c>
    </row>
    <row r="19" spans="1:6" x14ac:dyDescent="0.25">
      <c r="A19">
        <v>162</v>
      </c>
      <c r="B19">
        <v>0.72</v>
      </c>
      <c r="C19">
        <f>B19*25.4</f>
        <v>18.287999999999997</v>
      </c>
      <c r="E19">
        <v>170</v>
      </c>
      <c r="F19">
        <v>23.622</v>
      </c>
    </row>
    <row r="20" spans="1:6" x14ac:dyDescent="0.25">
      <c r="A20">
        <v>162</v>
      </c>
      <c r="B20">
        <v>0.28000000000000003</v>
      </c>
      <c r="C20">
        <f>B20*25.4</f>
        <v>7.1120000000000001</v>
      </c>
      <c r="E20">
        <v>174</v>
      </c>
      <c r="F20">
        <v>20.32</v>
      </c>
    </row>
    <row r="21" spans="1:6" x14ac:dyDescent="0.25">
      <c r="A21">
        <v>162</v>
      </c>
      <c r="C21">
        <f>B21*25.4</f>
        <v>0</v>
      </c>
      <c r="E21">
        <v>175</v>
      </c>
      <c r="F21">
        <v>0</v>
      </c>
    </row>
    <row r="22" spans="1:6" x14ac:dyDescent="0.25">
      <c r="A22">
        <v>166</v>
      </c>
      <c r="B22">
        <v>1.19</v>
      </c>
      <c r="C22">
        <f>B22*25.4</f>
        <v>30.225999999999996</v>
      </c>
      <c r="E22">
        <v>176</v>
      </c>
      <c r="F22">
        <v>27.177999999999997</v>
      </c>
    </row>
    <row r="23" spans="1:6" x14ac:dyDescent="0.25">
      <c r="A23">
        <v>167</v>
      </c>
      <c r="C23">
        <f>B23*25.4</f>
        <v>0</v>
      </c>
      <c r="E23">
        <v>177</v>
      </c>
      <c r="F23">
        <v>0</v>
      </c>
    </row>
    <row r="24" spans="1:6" x14ac:dyDescent="0.25">
      <c r="A24">
        <v>168</v>
      </c>
      <c r="C24">
        <f>B24*25.4</f>
        <v>0</v>
      </c>
      <c r="E24">
        <v>181</v>
      </c>
      <c r="F24">
        <v>23.114000000000001</v>
      </c>
    </row>
    <row r="25" spans="1:6" x14ac:dyDescent="0.25">
      <c r="A25">
        <v>170</v>
      </c>
      <c r="B25">
        <v>0.93</v>
      </c>
      <c r="C25">
        <f>B25*25.4</f>
        <v>23.622</v>
      </c>
      <c r="E25">
        <v>182</v>
      </c>
      <c r="F25">
        <v>0</v>
      </c>
    </row>
    <row r="26" spans="1:6" x14ac:dyDescent="0.25">
      <c r="A26">
        <v>174</v>
      </c>
      <c r="B26">
        <v>0.8</v>
      </c>
      <c r="C26">
        <f>B26*25.4</f>
        <v>20.32</v>
      </c>
      <c r="E26">
        <v>183</v>
      </c>
      <c r="F26">
        <v>23.367999999999999</v>
      </c>
    </row>
    <row r="27" spans="1:6" x14ac:dyDescent="0.25">
      <c r="A27">
        <v>175</v>
      </c>
      <c r="C27">
        <f>B27*25.4</f>
        <v>0</v>
      </c>
      <c r="E27">
        <v>184</v>
      </c>
      <c r="F27">
        <v>0</v>
      </c>
    </row>
    <row r="28" spans="1:6" x14ac:dyDescent="0.25">
      <c r="A28">
        <v>176</v>
      </c>
      <c r="B28">
        <v>0.71</v>
      </c>
      <c r="C28">
        <f>B28*25.4</f>
        <v>18.033999999999999</v>
      </c>
      <c r="E28">
        <v>187</v>
      </c>
      <c r="F28">
        <v>35.305999999999997</v>
      </c>
    </row>
    <row r="29" spans="1:6" x14ac:dyDescent="0.25">
      <c r="A29">
        <v>176</v>
      </c>
      <c r="B29">
        <v>0.36</v>
      </c>
      <c r="C29">
        <f>B29*25.4</f>
        <v>9.1439999999999984</v>
      </c>
      <c r="E29">
        <v>188</v>
      </c>
      <c r="F29">
        <v>25.4</v>
      </c>
    </row>
    <row r="30" spans="1:6" x14ac:dyDescent="0.25">
      <c r="A30">
        <v>176</v>
      </c>
      <c r="C30">
        <f>B30*25.4</f>
        <v>0</v>
      </c>
      <c r="E30">
        <v>193</v>
      </c>
      <c r="F30">
        <v>0</v>
      </c>
    </row>
    <row r="31" spans="1:6" x14ac:dyDescent="0.25">
      <c r="A31">
        <v>177</v>
      </c>
      <c r="C31">
        <f>B31*25.4</f>
        <v>0</v>
      </c>
      <c r="E31">
        <v>195</v>
      </c>
      <c r="F31">
        <v>25.4</v>
      </c>
    </row>
    <row r="32" spans="1:6" x14ac:dyDescent="0.25">
      <c r="A32">
        <v>177</v>
      </c>
      <c r="C32">
        <f>B32*25.4</f>
        <v>0</v>
      </c>
      <c r="E32">
        <v>197</v>
      </c>
      <c r="F32">
        <v>6.8579999999999997</v>
      </c>
    </row>
    <row r="33" spans="1:6" x14ac:dyDescent="0.25">
      <c r="A33">
        <v>177</v>
      </c>
      <c r="C33">
        <f>B33*25.4</f>
        <v>0</v>
      </c>
      <c r="E33">
        <v>203</v>
      </c>
      <c r="F33">
        <v>29.209999999999997</v>
      </c>
    </row>
    <row r="34" spans="1:6" x14ac:dyDescent="0.25">
      <c r="A34">
        <v>181</v>
      </c>
      <c r="B34">
        <v>0.91</v>
      </c>
      <c r="C34">
        <f>B34*25.4</f>
        <v>23.114000000000001</v>
      </c>
      <c r="E34">
        <v>204</v>
      </c>
      <c r="F34">
        <v>11.43</v>
      </c>
    </row>
    <row r="35" spans="1:6" x14ac:dyDescent="0.25">
      <c r="A35">
        <v>182</v>
      </c>
      <c r="C35">
        <f>B35*25.4</f>
        <v>0</v>
      </c>
      <c r="E35">
        <v>208</v>
      </c>
      <c r="F35">
        <v>0</v>
      </c>
    </row>
    <row r="36" spans="1:6" x14ac:dyDescent="0.25">
      <c r="A36">
        <v>183</v>
      </c>
      <c r="B36">
        <v>0.92</v>
      </c>
      <c r="C36">
        <f>B36*25.4</f>
        <v>23.367999999999999</v>
      </c>
      <c r="E36">
        <v>210</v>
      </c>
      <c r="F36">
        <v>37.337999999999994</v>
      </c>
    </row>
    <row r="37" spans="1:6" x14ac:dyDescent="0.25">
      <c r="A37">
        <v>184</v>
      </c>
      <c r="C37">
        <f>B37*25.4</f>
        <v>0</v>
      </c>
      <c r="E37">
        <v>214</v>
      </c>
      <c r="F37">
        <v>25.907999999999998</v>
      </c>
    </row>
    <row r="38" spans="1:6" x14ac:dyDescent="0.25">
      <c r="A38">
        <v>187</v>
      </c>
      <c r="B38">
        <v>0.89</v>
      </c>
      <c r="C38">
        <f>B38*25.4</f>
        <v>22.605999999999998</v>
      </c>
      <c r="E38">
        <v>215</v>
      </c>
      <c r="F38">
        <v>24.13</v>
      </c>
    </row>
    <row r="39" spans="1:6" x14ac:dyDescent="0.25">
      <c r="A39">
        <v>187</v>
      </c>
      <c r="B39">
        <v>0.5</v>
      </c>
      <c r="C39">
        <f>B39*25.4</f>
        <v>12.7</v>
      </c>
      <c r="E39">
        <v>216</v>
      </c>
      <c r="F39">
        <v>38.353999999999992</v>
      </c>
    </row>
    <row r="40" spans="1:6" x14ac:dyDescent="0.25">
      <c r="A40">
        <v>188</v>
      </c>
      <c r="C40">
        <f>B40*25.4</f>
        <v>0</v>
      </c>
      <c r="E40">
        <v>217</v>
      </c>
      <c r="F40">
        <v>30.225999999999996</v>
      </c>
    </row>
    <row r="41" spans="1:6" x14ac:dyDescent="0.25">
      <c r="A41">
        <v>188</v>
      </c>
      <c r="B41">
        <v>1</v>
      </c>
      <c r="C41">
        <f>B41*25.4</f>
        <v>25.4</v>
      </c>
      <c r="E41">
        <v>221</v>
      </c>
      <c r="F41">
        <v>26.161999999999999</v>
      </c>
    </row>
    <row r="42" spans="1:6" x14ac:dyDescent="0.25">
      <c r="A42">
        <v>193</v>
      </c>
      <c r="C42">
        <f>B42*25.4</f>
        <v>0</v>
      </c>
      <c r="E42">
        <v>223</v>
      </c>
      <c r="F42">
        <v>0</v>
      </c>
    </row>
    <row r="43" spans="1:6" x14ac:dyDescent="0.25">
      <c r="A43">
        <v>195</v>
      </c>
      <c r="B43">
        <v>1</v>
      </c>
      <c r="C43">
        <f>B43*25.4</f>
        <v>25.4</v>
      </c>
      <c r="E43">
        <v>225</v>
      </c>
      <c r="F43">
        <v>35.305999999999997</v>
      </c>
    </row>
    <row r="44" spans="1:6" x14ac:dyDescent="0.25">
      <c r="A44">
        <v>197</v>
      </c>
      <c r="C44">
        <f>B44*25.4</f>
        <v>0</v>
      </c>
      <c r="E44">
        <v>228</v>
      </c>
      <c r="F44">
        <v>0</v>
      </c>
    </row>
    <row r="45" spans="1:6" x14ac:dyDescent="0.25">
      <c r="A45">
        <v>197</v>
      </c>
      <c r="B45">
        <v>0.27</v>
      </c>
      <c r="C45">
        <f>B45*25.4</f>
        <v>6.8579999999999997</v>
      </c>
      <c r="E45">
        <v>231</v>
      </c>
      <c r="F45">
        <v>25.907999999999998</v>
      </c>
    </row>
    <row r="46" spans="1:6" x14ac:dyDescent="0.25">
      <c r="A46">
        <v>203</v>
      </c>
      <c r="B46">
        <v>1.1499999999999999</v>
      </c>
      <c r="C46">
        <f>B46*25.4</f>
        <v>29.209999999999997</v>
      </c>
      <c r="E46">
        <v>235</v>
      </c>
      <c r="F46">
        <v>38.099999999999994</v>
      </c>
    </row>
    <row r="47" spans="1:6" x14ac:dyDescent="0.25">
      <c r="A47">
        <v>204</v>
      </c>
      <c r="B47">
        <v>0.45</v>
      </c>
      <c r="C47">
        <f>B47*25.4</f>
        <v>11.43</v>
      </c>
      <c r="E47">
        <v>238</v>
      </c>
      <c r="F47">
        <v>25.654</v>
      </c>
    </row>
    <row r="48" spans="1:6" x14ac:dyDescent="0.25">
      <c r="A48">
        <v>208</v>
      </c>
      <c r="C48">
        <f>B48*25.4</f>
        <v>0</v>
      </c>
      <c r="E48">
        <v>242</v>
      </c>
      <c r="F48">
        <v>0</v>
      </c>
    </row>
    <row r="49" spans="1:6" x14ac:dyDescent="0.25">
      <c r="A49">
        <v>210</v>
      </c>
      <c r="B49">
        <v>1.47</v>
      </c>
      <c r="C49">
        <f>B49*25.4</f>
        <v>37.337999999999994</v>
      </c>
      <c r="E49">
        <v>245</v>
      </c>
      <c r="F49">
        <v>38.099999999999994</v>
      </c>
    </row>
    <row r="50" spans="1:6" x14ac:dyDescent="0.25">
      <c r="A50">
        <v>214</v>
      </c>
      <c r="B50">
        <v>1.02</v>
      </c>
      <c r="C50">
        <f>B50*25.4</f>
        <v>25.907999999999998</v>
      </c>
      <c r="E50">
        <v>250</v>
      </c>
      <c r="F50">
        <v>27.178000000000001</v>
      </c>
    </row>
    <row r="51" spans="1:6" x14ac:dyDescent="0.25">
      <c r="A51">
        <v>215</v>
      </c>
      <c r="B51">
        <v>0.95</v>
      </c>
      <c r="C51">
        <f>B51*25.4</f>
        <v>24.13</v>
      </c>
    </row>
    <row r="52" spans="1:6" x14ac:dyDescent="0.25">
      <c r="A52">
        <v>216</v>
      </c>
      <c r="B52">
        <v>1.1599999999999999</v>
      </c>
      <c r="C52">
        <f>B52*25.4</f>
        <v>29.463999999999995</v>
      </c>
    </row>
    <row r="53" spans="1:6" x14ac:dyDescent="0.25">
      <c r="A53">
        <v>216</v>
      </c>
      <c r="B53">
        <v>0.35</v>
      </c>
      <c r="C53">
        <f>B53*25.4</f>
        <v>8.8899999999999988</v>
      </c>
    </row>
    <row r="54" spans="1:6" x14ac:dyDescent="0.25">
      <c r="A54">
        <v>217</v>
      </c>
      <c r="B54">
        <v>1.19</v>
      </c>
      <c r="C54">
        <f>B54*25.4</f>
        <v>30.225999999999996</v>
      </c>
    </row>
    <row r="55" spans="1:6" x14ac:dyDescent="0.25">
      <c r="A55">
        <v>221</v>
      </c>
      <c r="B55">
        <v>1.03</v>
      </c>
      <c r="C55">
        <f>B55*25.4</f>
        <v>26.161999999999999</v>
      </c>
    </row>
    <row r="56" spans="1:6" x14ac:dyDescent="0.25">
      <c r="A56">
        <v>223</v>
      </c>
      <c r="C56">
        <f>B56*25.4</f>
        <v>0</v>
      </c>
    </row>
    <row r="57" spans="1:6" x14ac:dyDescent="0.25">
      <c r="A57">
        <v>223</v>
      </c>
      <c r="C57">
        <f>B57*25.4</f>
        <v>0</v>
      </c>
    </row>
    <row r="58" spans="1:6" x14ac:dyDescent="0.25">
      <c r="A58">
        <v>223</v>
      </c>
      <c r="C58">
        <f>B58*25.4</f>
        <v>0</v>
      </c>
    </row>
    <row r="59" spans="1:6" x14ac:dyDescent="0.25">
      <c r="A59">
        <v>225</v>
      </c>
      <c r="B59">
        <v>1.39</v>
      </c>
      <c r="C59">
        <f>B59*25.4</f>
        <v>35.305999999999997</v>
      </c>
    </row>
    <row r="60" spans="1:6" x14ac:dyDescent="0.25">
      <c r="A60">
        <v>228</v>
      </c>
      <c r="C60">
        <f>B60*25.4</f>
        <v>0</v>
      </c>
    </row>
    <row r="61" spans="1:6" x14ac:dyDescent="0.25">
      <c r="A61">
        <v>231</v>
      </c>
      <c r="B61">
        <v>1.02</v>
      </c>
      <c r="C61">
        <f>B61*25.4</f>
        <v>25.907999999999998</v>
      </c>
    </row>
    <row r="62" spans="1:6" x14ac:dyDescent="0.25">
      <c r="A62">
        <v>235</v>
      </c>
      <c r="B62">
        <v>1.5</v>
      </c>
      <c r="C62">
        <f>B62*25.4</f>
        <v>38.099999999999994</v>
      </c>
    </row>
    <row r="63" spans="1:6" x14ac:dyDescent="0.25">
      <c r="A63">
        <v>238</v>
      </c>
      <c r="B63">
        <v>1.01</v>
      </c>
      <c r="C63">
        <f>B63*25.4</f>
        <v>25.654</v>
      </c>
    </row>
    <row r="64" spans="1:6" x14ac:dyDescent="0.25">
      <c r="A64">
        <v>242</v>
      </c>
      <c r="C64">
        <f>B64*25.4</f>
        <v>0</v>
      </c>
    </row>
    <row r="65" spans="1:6" x14ac:dyDescent="0.25">
      <c r="A65">
        <v>245</v>
      </c>
      <c r="B65">
        <v>1.5</v>
      </c>
      <c r="C65">
        <f>B65*25.4</f>
        <v>38.099999999999994</v>
      </c>
    </row>
    <row r="66" spans="1:6" x14ac:dyDescent="0.25">
      <c r="A66">
        <v>250</v>
      </c>
      <c r="B66">
        <v>1.07</v>
      </c>
      <c r="C66">
        <f>B66*25.4</f>
        <v>27.178000000000001</v>
      </c>
      <c r="D66" s="87"/>
      <c r="F66" s="87"/>
    </row>
    <row r="67" spans="1:6" x14ac:dyDescent="0.25">
      <c r="B67">
        <f>SUM(B3:B66)</f>
        <v>35.409999999999997</v>
      </c>
      <c r="C67" s="87">
        <f>SUM(C3:C66)</f>
        <v>899.41399999999987</v>
      </c>
    </row>
    <row r="69" spans="1:6" x14ac:dyDescent="0.25">
      <c r="C69">
        <f>SUM(C15:C66)</f>
        <v>725.17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E7FD6-7C58-4CB8-95F7-C30DBBC80994}">
  <dimension ref="A1:J69"/>
  <sheetViews>
    <sheetView workbookViewId="0">
      <selection activeCell="F3" sqref="F3:F50"/>
    </sheetView>
  </sheetViews>
  <sheetFormatPr defaultRowHeight="15" x14ac:dyDescent="0.25"/>
  <cols>
    <col min="2" max="2" width="10" customWidth="1"/>
    <col min="3" max="3" width="11.7109375" bestFit="1" customWidth="1"/>
    <col min="4" max="6" width="11.7109375" customWidth="1"/>
    <col min="9" max="9" width="14.5703125" bestFit="1" customWidth="1"/>
    <col min="10" max="10" width="15.140625" bestFit="1" customWidth="1"/>
  </cols>
  <sheetData>
    <row r="1" spans="1:10" x14ac:dyDescent="0.25">
      <c r="A1" s="86" t="s">
        <v>226</v>
      </c>
      <c r="E1" t="s">
        <v>228</v>
      </c>
      <c r="H1" t="s">
        <v>227</v>
      </c>
    </row>
    <row r="2" spans="1:10" x14ac:dyDescent="0.25">
      <c r="A2" t="s">
        <v>172</v>
      </c>
      <c r="B2" t="s">
        <v>225</v>
      </c>
      <c r="C2" t="s">
        <v>218</v>
      </c>
      <c r="E2" t="s">
        <v>172</v>
      </c>
      <c r="F2" t="s">
        <v>218</v>
      </c>
      <c r="H2" t="s">
        <v>172</v>
      </c>
      <c r="I2" t="s">
        <v>224</v>
      </c>
      <c r="J2" t="s">
        <v>223</v>
      </c>
    </row>
    <row r="3" spans="1:10" x14ac:dyDescent="0.25">
      <c r="A3">
        <v>106</v>
      </c>
      <c r="B3">
        <v>0.13</v>
      </c>
      <c r="C3">
        <f>B3*25.4</f>
        <v>3.302</v>
      </c>
      <c r="E3">
        <v>106</v>
      </c>
      <c r="F3" cm="1">
        <f t="array" ref="F3:F50">SUMIFS(C3:C66,A3:A66,E3:E50)</f>
        <v>14.223999999999998</v>
      </c>
      <c r="H3">
        <v>148</v>
      </c>
      <c r="J3">
        <f>I3*1.12</f>
        <v>0</v>
      </c>
    </row>
    <row r="4" spans="1:10" x14ac:dyDescent="0.25">
      <c r="A4">
        <v>106</v>
      </c>
      <c r="B4">
        <v>0.43</v>
      </c>
      <c r="C4">
        <f>B4*25.4</f>
        <v>10.921999999999999</v>
      </c>
      <c r="E4">
        <v>109</v>
      </c>
      <c r="F4">
        <v>12.7</v>
      </c>
      <c r="H4">
        <v>148</v>
      </c>
      <c r="I4">
        <v>10.8</v>
      </c>
      <c r="J4">
        <f>I4*1.12</f>
        <v>12.096000000000002</v>
      </c>
    </row>
    <row r="5" spans="1:10" x14ac:dyDescent="0.25">
      <c r="A5">
        <v>109</v>
      </c>
      <c r="B5">
        <v>0.5</v>
      </c>
      <c r="C5">
        <f>B5*25.4</f>
        <v>12.7</v>
      </c>
      <c r="E5">
        <v>110</v>
      </c>
      <c r="F5">
        <v>5.5880000000000001</v>
      </c>
      <c r="H5">
        <v>162</v>
      </c>
      <c r="J5">
        <f>I5*1.12</f>
        <v>0</v>
      </c>
    </row>
    <row r="6" spans="1:10" x14ac:dyDescent="0.25">
      <c r="A6">
        <v>110</v>
      </c>
      <c r="B6">
        <v>0.22</v>
      </c>
      <c r="C6">
        <f>B6*25.4</f>
        <v>5.5880000000000001</v>
      </c>
      <c r="E6">
        <v>111</v>
      </c>
      <c r="F6">
        <v>11.683999999999999</v>
      </c>
      <c r="H6">
        <v>162</v>
      </c>
      <c r="I6">
        <v>21.5</v>
      </c>
      <c r="J6">
        <f>I6*1.12</f>
        <v>24.080000000000002</v>
      </c>
    </row>
    <row r="7" spans="1:10" x14ac:dyDescent="0.25">
      <c r="A7">
        <v>111</v>
      </c>
      <c r="B7">
        <v>0.46</v>
      </c>
      <c r="C7">
        <f>B7*25.4</f>
        <v>11.683999999999999</v>
      </c>
      <c r="E7">
        <v>113</v>
      </c>
      <c r="F7">
        <v>11.43</v>
      </c>
      <c r="H7">
        <v>176</v>
      </c>
      <c r="J7">
        <f>I7*1.12</f>
        <v>0</v>
      </c>
    </row>
    <row r="8" spans="1:10" x14ac:dyDescent="0.25">
      <c r="A8">
        <v>113</v>
      </c>
      <c r="B8">
        <v>0.45</v>
      </c>
      <c r="C8">
        <f>B8*25.4</f>
        <v>11.43</v>
      </c>
      <c r="E8">
        <v>116</v>
      </c>
      <c r="F8">
        <v>22.352</v>
      </c>
      <c r="H8">
        <v>176</v>
      </c>
      <c r="I8">
        <v>21.5</v>
      </c>
      <c r="J8">
        <f>I8*1.12</f>
        <v>24.080000000000002</v>
      </c>
    </row>
    <row r="9" spans="1:10" x14ac:dyDescent="0.25">
      <c r="A9">
        <v>116</v>
      </c>
      <c r="B9">
        <v>0.88</v>
      </c>
      <c r="C9">
        <f>B9*25.4</f>
        <v>22.352</v>
      </c>
      <c r="E9">
        <v>118</v>
      </c>
      <c r="F9">
        <v>31.241999999999997</v>
      </c>
      <c r="H9">
        <v>177</v>
      </c>
      <c r="J9">
        <f>I9*1.12</f>
        <v>0</v>
      </c>
    </row>
    <row r="10" spans="1:10" x14ac:dyDescent="0.25">
      <c r="A10">
        <v>118</v>
      </c>
      <c r="B10">
        <v>0.3</v>
      </c>
      <c r="C10">
        <f>B10*25.4</f>
        <v>7.6199999999999992</v>
      </c>
      <c r="E10">
        <v>119</v>
      </c>
      <c r="F10">
        <v>24.13</v>
      </c>
      <c r="H10">
        <v>177</v>
      </c>
      <c r="J10">
        <f>I10*1.12</f>
        <v>0</v>
      </c>
    </row>
    <row r="11" spans="1:10" x14ac:dyDescent="0.25">
      <c r="A11">
        <v>118</v>
      </c>
      <c r="B11">
        <v>0.93</v>
      </c>
      <c r="C11">
        <f>B11*25.4</f>
        <v>23.622</v>
      </c>
      <c r="E11">
        <v>120</v>
      </c>
      <c r="F11">
        <v>22.86</v>
      </c>
      <c r="H11">
        <v>197</v>
      </c>
      <c r="I11">
        <v>16.100000000000001</v>
      </c>
      <c r="J11">
        <f>I11*1.12</f>
        <v>18.032000000000004</v>
      </c>
    </row>
    <row r="12" spans="1:10" x14ac:dyDescent="0.25">
      <c r="A12">
        <v>119</v>
      </c>
      <c r="B12">
        <v>0.95</v>
      </c>
      <c r="C12">
        <f>B12*25.4</f>
        <v>24.13</v>
      </c>
      <c r="E12">
        <v>124</v>
      </c>
      <c r="F12">
        <v>20.574000000000002</v>
      </c>
      <c r="H12">
        <v>197</v>
      </c>
      <c r="J12">
        <f>I12*1.12</f>
        <v>0</v>
      </c>
    </row>
    <row r="13" spans="1:10" x14ac:dyDescent="0.25">
      <c r="A13">
        <v>120</v>
      </c>
      <c r="B13">
        <v>0.9</v>
      </c>
      <c r="C13">
        <f>B13*25.4</f>
        <v>22.86</v>
      </c>
      <c r="E13">
        <v>148</v>
      </c>
      <c r="F13">
        <v>26.669999999999995</v>
      </c>
    </row>
    <row r="14" spans="1:10" x14ac:dyDescent="0.25">
      <c r="A14">
        <v>124</v>
      </c>
      <c r="B14">
        <v>0.81</v>
      </c>
      <c r="C14">
        <f>B14*25.4</f>
        <v>20.574000000000002</v>
      </c>
      <c r="E14">
        <v>158</v>
      </c>
      <c r="F14">
        <v>23.367999999999999</v>
      </c>
    </row>
    <row r="15" spans="1:10" x14ac:dyDescent="0.25">
      <c r="A15">
        <v>148</v>
      </c>
      <c r="B15">
        <v>0.72</v>
      </c>
      <c r="C15">
        <f>B15*25.4</f>
        <v>18.287999999999997</v>
      </c>
      <c r="E15">
        <v>162</v>
      </c>
      <c r="F15">
        <v>27.431999999999999</v>
      </c>
    </row>
    <row r="16" spans="1:10" x14ac:dyDescent="0.25">
      <c r="A16">
        <v>148</v>
      </c>
      <c r="C16">
        <f>B16*25.4</f>
        <v>0</v>
      </c>
      <c r="E16">
        <v>166</v>
      </c>
      <c r="F16">
        <v>31.495999999999999</v>
      </c>
    </row>
    <row r="17" spans="1:6" x14ac:dyDescent="0.25">
      <c r="A17">
        <v>148</v>
      </c>
      <c r="B17">
        <v>0.33</v>
      </c>
      <c r="C17">
        <f>B17*25.4</f>
        <v>8.3819999999999997</v>
      </c>
      <c r="E17">
        <v>167</v>
      </c>
      <c r="F17">
        <v>0</v>
      </c>
    </row>
    <row r="18" spans="1:6" x14ac:dyDescent="0.25">
      <c r="A18">
        <v>158</v>
      </c>
      <c r="B18">
        <v>0.92</v>
      </c>
      <c r="C18">
        <f>B18*25.4</f>
        <v>23.367999999999999</v>
      </c>
      <c r="E18">
        <v>168</v>
      </c>
      <c r="F18">
        <v>4.8259999999999996</v>
      </c>
    </row>
    <row r="19" spans="1:6" x14ac:dyDescent="0.25">
      <c r="A19">
        <v>162</v>
      </c>
      <c r="B19">
        <v>0.77</v>
      </c>
      <c r="C19">
        <f>B19*25.4</f>
        <v>19.558</v>
      </c>
      <c r="E19">
        <v>170</v>
      </c>
      <c r="F19">
        <v>17.779999999999998</v>
      </c>
    </row>
    <row r="20" spans="1:6" x14ac:dyDescent="0.25">
      <c r="A20">
        <v>162</v>
      </c>
      <c r="C20">
        <f>B20*25.4</f>
        <v>0</v>
      </c>
      <c r="E20">
        <v>174</v>
      </c>
      <c r="F20">
        <v>21.59</v>
      </c>
    </row>
    <row r="21" spans="1:6" x14ac:dyDescent="0.25">
      <c r="A21">
        <v>162</v>
      </c>
      <c r="B21">
        <v>0.31</v>
      </c>
      <c r="C21">
        <f>B21*25.4</f>
        <v>7.8739999999999997</v>
      </c>
      <c r="E21">
        <v>175</v>
      </c>
      <c r="F21">
        <v>0</v>
      </c>
    </row>
    <row r="22" spans="1:6" x14ac:dyDescent="0.25">
      <c r="A22">
        <v>166</v>
      </c>
      <c r="B22">
        <v>1.24</v>
      </c>
      <c r="C22">
        <f>B22*25.4</f>
        <v>31.495999999999999</v>
      </c>
      <c r="E22">
        <v>176</v>
      </c>
      <c r="F22">
        <v>27.686</v>
      </c>
    </row>
    <row r="23" spans="1:6" x14ac:dyDescent="0.25">
      <c r="A23">
        <v>167</v>
      </c>
      <c r="C23">
        <f>B23*25.4</f>
        <v>0</v>
      </c>
      <c r="E23">
        <v>177</v>
      </c>
      <c r="F23">
        <v>0</v>
      </c>
    </row>
    <row r="24" spans="1:6" x14ac:dyDescent="0.25">
      <c r="A24">
        <v>168</v>
      </c>
      <c r="B24">
        <v>0.19</v>
      </c>
      <c r="C24">
        <f>B24*25.4</f>
        <v>4.8259999999999996</v>
      </c>
      <c r="E24">
        <v>181</v>
      </c>
      <c r="F24">
        <v>23.114000000000001</v>
      </c>
    </row>
    <row r="25" spans="1:6" x14ac:dyDescent="0.25">
      <c r="A25">
        <v>170</v>
      </c>
      <c r="B25">
        <v>0.7</v>
      </c>
      <c r="C25">
        <f>B25*25.4</f>
        <v>17.779999999999998</v>
      </c>
      <c r="E25">
        <v>182</v>
      </c>
      <c r="F25">
        <v>0</v>
      </c>
    </row>
    <row r="26" spans="1:6" x14ac:dyDescent="0.25">
      <c r="A26">
        <v>174</v>
      </c>
      <c r="B26">
        <v>0.85</v>
      </c>
      <c r="C26">
        <f>B26*25.4</f>
        <v>21.59</v>
      </c>
      <c r="E26">
        <v>183</v>
      </c>
      <c r="F26">
        <v>25.654</v>
      </c>
    </row>
    <row r="27" spans="1:6" x14ac:dyDescent="0.25">
      <c r="A27">
        <v>175</v>
      </c>
      <c r="C27">
        <f>B27*25.4</f>
        <v>0</v>
      </c>
      <c r="E27">
        <v>184</v>
      </c>
      <c r="F27">
        <v>0</v>
      </c>
    </row>
    <row r="28" spans="1:6" x14ac:dyDescent="0.25">
      <c r="A28">
        <v>176</v>
      </c>
      <c r="B28">
        <v>0.79</v>
      </c>
      <c r="C28">
        <f>B28*25.4</f>
        <v>20.065999999999999</v>
      </c>
      <c r="E28">
        <v>187</v>
      </c>
      <c r="F28">
        <v>37.083999999999996</v>
      </c>
    </row>
    <row r="29" spans="1:6" x14ac:dyDescent="0.25">
      <c r="A29">
        <v>176</v>
      </c>
      <c r="C29">
        <f>B29*25.4</f>
        <v>0</v>
      </c>
      <c r="E29">
        <v>188</v>
      </c>
      <c r="F29">
        <v>25.4</v>
      </c>
    </row>
    <row r="30" spans="1:6" x14ac:dyDescent="0.25">
      <c r="A30">
        <v>176</v>
      </c>
      <c r="B30">
        <v>0.3</v>
      </c>
      <c r="C30">
        <f>B30*25.4</f>
        <v>7.6199999999999992</v>
      </c>
      <c r="E30">
        <v>193</v>
      </c>
      <c r="F30">
        <v>0</v>
      </c>
    </row>
    <row r="31" spans="1:6" x14ac:dyDescent="0.25">
      <c r="A31">
        <v>177</v>
      </c>
      <c r="C31">
        <f>B31*25.4</f>
        <v>0</v>
      </c>
      <c r="E31">
        <v>195</v>
      </c>
      <c r="F31">
        <v>25.4</v>
      </c>
    </row>
    <row r="32" spans="1:6" x14ac:dyDescent="0.25">
      <c r="A32">
        <v>177</v>
      </c>
      <c r="C32">
        <f>B32*25.4</f>
        <v>0</v>
      </c>
      <c r="E32">
        <v>197</v>
      </c>
      <c r="F32">
        <v>6.0959999999999992</v>
      </c>
    </row>
    <row r="33" spans="1:6" x14ac:dyDescent="0.25">
      <c r="A33">
        <v>177</v>
      </c>
      <c r="C33">
        <f>B33*25.4</f>
        <v>0</v>
      </c>
      <c r="E33">
        <v>203</v>
      </c>
      <c r="F33">
        <v>34.798000000000002</v>
      </c>
    </row>
    <row r="34" spans="1:6" x14ac:dyDescent="0.25">
      <c r="A34">
        <v>181</v>
      </c>
      <c r="B34">
        <v>0.91</v>
      </c>
      <c r="C34">
        <f>B34*25.4</f>
        <v>23.114000000000001</v>
      </c>
      <c r="E34">
        <v>204</v>
      </c>
      <c r="F34">
        <v>11.683999999999999</v>
      </c>
    </row>
    <row r="35" spans="1:6" x14ac:dyDescent="0.25">
      <c r="A35">
        <v>182</v>
      </c>
      <c r="C35">
        <f>B35*25.4</f>
        <v>0</v>
      </c>
      <c r="E35">
        <v>208</v>
      </c>
      <c r="F35">
        <v>0</v>
      </c>
    </row>
    <row r="36" spans="1:6" x14ac:dyDescent="0.25">
      <c r="A36">
        <v>183</v>
      </c>
      <c r="B36">
        <v>1.01</v>
      </c>
      <c r="C36">
        <f>B36*25.4</f>
        <v>25.654</v>
      </c>
      <c r="E36">
        <v>210</v>
      </c>
      <c r="F36">
        <v>38.353999999999999</v>
      </c>
    </row>
    <row r="37" spans="1:6" x14ac:dyDescent="0.25">
      <c r="A37">
        <v>184</v>
      </c>
      <c r="C37">
        <f>B37*25.4</f>
        <v>0</v>
      </c>
      <c r="E37">
        <v>214</v>
      </c>
      <c r="F37">
        <v>32.257999999999996</v>
      </c>
    </row>
    <row r="38" spans="1:6" x14ac:dyDescent="0.25">
      <c r="A38">
        <v>187</v>
      </c>
      <c r="B38">
        <v>0.96</v>
      </c>
      <c r="C38">
        <f>B38*25.4</f>
        <v>24.383999999999997</v>
      </c>
      <c r="E38">
        <v>215</v>
      </c>
      <c r="F38">
        <v>25.654</v>
      </c>
    </row>
    <row r="39" spans="1:6" x14ac:dyDescent="0.25">
      <c r="A39">
        <v>187</v>
      </c>
      <c r="B39">
        <v>0.5</v>
      </c>
      <c r="C39">
        <f>B39*25.4</f>
        <v>12.7</v>
      </c>
      <c r="E39">
        <v>216</v>
      </c>
      <c r="F39">
        <v>38.861999999999995</v>
      </c>
    </row>
    <row r="40" spans="1:6" x14ac:dyDescent="0.25">
      <c r="A40">
        <v>188</v>
      </c>
      <c r="C40">
        <f>B40*25.4</f>
        <v>0</v>
      </c>
      <c r="E40">
        <v>217</v>
      </c>
      <c r="F40">
        <v>32.512</v>
      </c>
    </row>
    <row r="41" spans="1:6" x14ac:dyDescent="0.25">
      <c r="A41">
        <v>188</v>
      </c>
      <c r="B41">
        <v>1</v>
      </c>
      <c r="C41">
        <f>B41*25.4</f>
        <v>25.4</v>
      </c>
      <c r="E41">
        <v>221</v>
      </c>
      <c r="F41">
        <v>29.209999999999997</v>
      </c>
    </row>
    <row r="42" spans="1:6" x14ac:dyDescent="0.25">
      <c r="A42">
        <v>193</v>
      </c>
      <c r="C42">
        <f>B42*25.4</f>
        <v>0</v>
      </c>
      <c r="E42">
        <v>223</v>
      </c>
      <c r="F42">
        <v>28.955999999999996</v>
      </c>
    </row>
    <row r="43" spans="1:6" x14ac:dyDescent="0.25">
      <c r="A43">
        <v>195</v>
      </c>
      <c r="B43">
        <v>1</v>
      </c>
      <c r="C43">
        <f>B43*25.4</f>
        <v>25.4</v>
      </c>
      <c r="E43">
        <v>225</v>
      </c>
      <c r="F43">
        <v>41.91</v>
      </c>
    </row>
    <row r="44" spans="1:6" x14ac:dyDescent="0.25">
      <c r="A44">
        <v>197</v>
      </c>
      <c r="B44">
        <v>0.24</v>
      </c>
      <c r="C44">
        <f>B44*25.4</f>
        <v>6.0959999999999992</v>
      </c>
      <c r="E44">
        <v>228</v>
      </c>
      <c r="F44">
        <v>0</v>
      </c>
    </row>
    <row r="45" spans="1:6" x14ac:dyDescent="0.25">
      <c r="A45">
        <v>197</v>
      </c>
      <c r="C45">
        <f>B45*25.4</f>
        <v>0</v>
      </c>
      <c r="E45">
        <v>231</v>
      </c>
      <c r="F45">
        <v>29.971999999999998</v>
      </c>
    </row>
    <row r="46" spans="1:6" x14ac:dyDescent="0.25">
      <c r="A46">
        <v>203</v>
      </c>
      <c r="B46">
        <v>1.37</v>
      </c>
      <c r="C46">
        <f>B46*25.4</f>
        <v>34.798000000000002</v>
      </c>
      <c r="E46">
        <v>235</v>
      </c>
      <c r="F46">
        <v>35.051999999999992</v>
      </c>
    </row>
    <row r="47" spans="1:6" x14ac:dyDescent="0.25">
      <c r="A47">
        <v>204</v>
      </c>
      <c r="B47">
        <v>0.46</v>
      </c>
      <c r="C47">
        <f>B47*25.4</f>
        <v>11.683999999999999</v>
      </c>
      <c r="E47">
        <v>238</v>
      </c>
      <c r="F47">
        <v>29.209999999999997</v>
      </c>
    </row>
    <row r="48" spans="1:6" x14ac:dyDescent="0.25">
      <c r="A48">
        <v>208</v>
      </c>
      <c r="C48">
        <f>B48*25.4</f>
        <v>0</v>
      </c>
      <c r="E48">
        <v>242</v>
      </c>
      <c r="F48">
        <v>0</v>
      </c>
    </row>
    <row r="49" spans="1:6" x14ac:dyDescent="0.25">
      <c r="A49">
        <v>210</v>
      </c>
      <c r="B49">
        <v>1.51</v>
      </c>
      <c r="C49">
        <f>B49*25.4</f>
        <v>38.353999999999999</v>
      </c>
      <c r="E49">
        <v>245</v>
      </c>
      <c r="F49">
        <v>39.878</v>
      </c>
    </row>
    <row r="50" spans="1:6" x14ac:dyDescent="0.25">
      <c r="A50">
        <v>214</v>
      </c>
      <c r="B50">
        <v>1.27</v>
      </c>
      <c r="C50">
        <f>B50*25.4</f>
        <v>32.257999999999996</v>
      </c>
      <c r="E50">
        <v>250</v>
      </c>
      <c r="F50">
        <v>30.987999999999996</v>
      </c>
    </row>
    <row r="51" spans="1:6" x14ac:dyDescent="0.25">
      <c r="A51">
        <v>215</v>
      </c>
      <c r="B51">
        <v>1.01</v>
      </c>
      <c r="C51">
        <f>B51*25.4</f>
        <v>25.654</v>
      </c>
    </row>
    <row r="52" spans="1:6" x14ac:dyDescent="0.25">
      <c r="A52">
        <v>216</v>
      </c>
      <c r="B52">
        <v>1.18</v>
      </c>
      <c r="C52">
        <f>B52*25.4</f>
        <v>29.971999999999998</v>
      </c>
    </row>
    <row r="53" spans="1:6" x14ac:dyDescent="0.25">
      <c r="A53">
        <v>216</v>
      </c>
      <c r="B53">
        <v>0.35</v>
      </c>
      <c r="C53">
        <f>B53*25.4</f>
        <v>8.8899999999999988</v>
      </c>
    </row>
    <row r="54" spans="1:6" x14ac:dyDescent="0.25">
      <c r="A54">
        <v>217</v>
      </c>
      <c r="B54">
        <v>1.28</v>
      </c>
      <c r="C54">
        <f>B54*25.4</f>
        <v>32.512</v>
      </c>
    </row>
    <row r="55" spans="1:6" x14ac:dyDescent="0.25">
      <c r="A55">
        <v>221</v>
      </c>
      <c r="B55">
        <v>1.1499999999999999</v>
      </c>
      <c r="C55">
        <f>B55*25.4</f>
        <v>29.209999999999997</v>
      </c>
    </row>
    <row r="56" spans="1:6" x14ac:dyDescent="0.25">
      <c r="A56">
        <v>223</v>
      </c>
      <c r="B56">
        <v>1.1399999999999999</v>
      </c>
      <c r="C56">
        <f>B56*25.4</f>
        <v>28.955999999999996</v>
      </c>
    </row>
    <row r="57" spans="1:6" x14ac:dyDescent="0.25">
      <c r="A57">
        <v>223</v>
      </c>
      <c r="C57">
        <f>B57*25.4</f>
        <v>0</v>
      </c>
    </row>
    <row r="58" spans="1:6" x14ac:dyDescent="0.25">
      <c r="A58">
        <v>223</v>
      </c>
      <c r="C58">
        <f>B58*25.4</f>
        <v>0</v>
      </c>
    </row>
    <row r="59" spans="1:6" x14ac:dyDescent="0.25">
      <c r="A59">
        <v>225</v>
      </c>
      <c r="B59">
        <v>1.65</v>
      </c>
      <c r="C59">
        <f>B59*25.4</f>
        <v>41.91</v>
      </c>
    </row>
    <row r="60" spans="1:6" x14ac:dyDescent="0.25">
      <c r="A60">
        <v>228</v>
      </c>
      <c r="C60">
        <f>B60*25.4</f>
        <v>0</v>
      </c>
    </row>
    <row r="61" spans="1:6" x14ac:dyDescent="0.25">
      <c r="A61">
        <v>231</v>
      </c>
      <c r="B61">
        <v>1.18</v>
      </c>
      <c r="C61">
        <f>B61*25.4</f>
        <v>29.971999999999998</v>
      </c>
    </row>
    <row r="62" spans="1:6" x14ac:dyDescent="0.25">
      <c r="A62">
        <v>235</v>
      </c>
      <c r="B62">
        <v>1.38</v>
      </c>
      <c r="C62">
        <f>B62*25.4</f>
        <v>35.051999999999992</v>
      </c>
    </row>
    <row r="63" spans="1:6" x14ac:dyDescent="0.25">
      <c r="A63">
        <v>238</v>
      </c>
      <c r="B63">
        <v>1.1499999999999999</v>
      </c>
      <c r="C63">
        <f>B63*25.4</f>
        <v>29.209999999999997</v>
      </c>
    </row>
    <row r="64" spans="1:6" x14ac:dyDescent="0.25">
      <c r="A64">
        <v>242</v>
      </c>
      <c r="C64">
        <f>B64*25.4</f>
        <v>0</v>
      </c>
    </row>
    <row r="65" spans="1:6" x14ac:dyDescent="0.25">
      <c r="A65">
        <v>245</v>
      </c>
      <c r="B65">
        <v>1.57</v>
      </c>
      <c r="C65">
        <f>B65*25.4</f>
        <v>39.878</v>
      </c>
    </row>
    <row r="66" spans="1:6" x14ac:dyDescent="0.25">
      <c r="A66">
        <v>250</v>
      </c>
      <c r="B66">
        <v>1.22</v>
      </c>
      <c r="C66">
        <f>B66*25.4</f>
        <v>30.987999999999996</v>
      </c>
      <c r="D66" s="87"/>
      <c r="F66" s="87"/>
    </row>
    <row r="67" spans="1:6" x14ac:dyDescent="0.25">
      <c r="B67">
        <f>SUM(B3:B66)</f>
        <v>38.57</v>
      </c>
      <c r="C67" s="87">
        <f>SUM(C3:C66)</f>
        <v>979.678</v>
      </c>
    </row>
    <row r="69" spans="1:6" x14ac:dyDescent="0.25">
      <c r="C69">
        <f>SUM(C15:C66)</f>
        <v>802.89399999999989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B407A-4C3B-47AE-BEC8-6FE3BD5A2146}">
  <dimension ref="A1:J69"/>
  <sheetViews>
    <sheetView workbookViewId="0">
      <selection activeCell="F3" sqref="F3:F50"/>
    </sheetView>
  </sheetViews>
  <sheetFormatPr defaultRowHeight="15" x14ac:dyDescent="0.25"/>
  <cols>
    <col min="2" max="2" width="10" bestFit="1" customWidth="1"/>
    <col min="3" max="3" width="11.7109375" bestFit="1" customWidth="1"/>
    <col min="4" max="6" width="11.7109375" customWidth="1"/>
    <col min="9" max="9" width="14.5703125" bestFit="1" customWidth="1"/>
    <col min="10" max="10" width="15.140625" bestFit="1" customWidth="1"/>
  </cols>
  <sheetData>
    <row r="1" spans="1:10" x14ac:dyDescent="0.25">
      <c r="A1" s="86" t="s">
        <v>226</v>
      </c>
      <c r="E1" t="s">
        <v>228</v>
      </c>
      <c r="H1" t="s">
        <v>227</v>
      </c>
    </row>
    <row r="2" spans="1:10" x14ac:dyDescent="0.25">
      <c r="A2" t="s">
        <v>172</v>
      </c>
      <c r="B2" t="s">
        <v>222</v>
      </c>
      <c r="C2" t="s">
        <v>218</v>
      </c>
      <c r="E2" t="s">
        <v>172</v>
      </c>
      <c r="F2" t="s">
        <v>218</v>
      </c>
      <c r="H2" t="s">
        <v>172</v>
      </c>
      <c r="I2" t="s">
        <v>224</v>
      </c>
      <c r="J2" t="s">
        <v>223</v>
      </c>
    </row>
    <row r="3" spans="1:10" x14ac:dyDescent="0.25">
      <c r="A3">
        <v>106</v>
      </c>
      <c r="B3">
        <v>0.14000000000000001</v>
      </c>
      <c r="C3">
        <f>B3*25.4</f>
        <v>3.556</v>
      </c>
      <c r="E3">
        <v>106</v>
      </c>
      <c r="F3" cm="1">
        <f t="array" ref="F3:F50">SUMIFS(C3:C66,A3:A66,E3:E50)</f>
        <v>17.018000000000001</v>
      </c>
      <c r="H3">
        <v>148</v>
      </c>
      <c r="I3">
        <v>26.9</v>
      </c>
      <c r="J3">
        <f>I3*1.12</f>
        <v>30.128</v>
      </c>
    </row>
    <row r="4" spans="1:10" x14ac:dyDescent="0.25">
      <c r="A4">
        <v>106</v>
      </c>
      <c r="B4">
        <v>0.53</v>
      </c>
      <c r="C4">
        <f>B4*25.4</f>
        <v>13.462</v>
      </c>
      <c r="E4">
        <v>109</v>
      </c>
      <c r="F4">
        <v>12.7</v>
      </c>
      <c r="H4">
        <v>148</v>
      </c>
      <c r="J4">
        <f>I4*1.12</f>
        <v>0</v>
      </c>
    </row>
    <row r="5" spans="1:10" x14ac:dyDescent="0.25">
      <c r="A5">
        <v>109</v>
      </c>
      <c r="B5">
        <v>0.5</v>
      </c>
      <c r="C5">
        <f>B5*25.4</f>
        <v>12.7</v>
      </c>
      <c r="E5">
        <v>110</v>
      </c>
      <c r="F5">
        <v>5.8419999999999996</v>
      </c>
      <c r="H5">
        <v>162</v>
      </c>
      <c r="I5">
        <v>37.700000000000003</v>
      </c>
      <c r="J5">
        <f>I5*1.12</f>
        <v>42.224000000000004</v>
      </c>
    </row>
    <row r="6" spans="1:10" x14ac:dyDescent="0.25">
      <c r="A6">
        <v>110</v>
      </c>
      <c r="B6">
        <v>0.23</v>
      </c>
      <c r="C6">
        <f>B6*25.4</f>
        <v>5.8419999999999996</v>
      </c>
      <c r="E6">
        <v>111</v>
      </c>
      <c r="F6">
        <v>14.224</v>
      </c>
      <c r="H6">
        <v>162</v>
      </c>
      <c r="J6">
        <f>I6*1.12</f>
        <v>0</v>
      </c>
    </row>
    <row r="7" spans="1:10" x14ac:dyDescent="0.25">
      <c r="A7">
        <v>111</v>
      </c>
      <c r="B7">
        <v>0.56000000000000005</v>
      </c>
      <c r="C7">
        <f>B7*25.4</f>
        <v>14.224</v>
      </c>
      <c r="E7">
        <v>113</v>
      </c>
      <c r="F7">
        <v>10.921999999999999</v>
      </c>
      <c r="H7">
        <v>176</v>
      </c>
      <c r="J7">
        <f>I7*1.12</f>
        <v>0</v>
      </c>
    </row>
    <row r="8" spans="1:10" x14ac:dyDescent="0.25">
      <c r="A8">
        <v>113</v>
      </c>
      <c r="B8">
        <v>0.43</v>
      </c>
      <c r="C8">
        <f>B8*25.4</f>
        <v>10.921999999999999</v>
      </c>
      <c r="E8">
        <v>116</v>
      </c>
      <c r="F8">
        <v>28.448</v>
      </c>
      <c r="H8">
        <v>176</v>
      </c>
      <c r="J8">
        <f>I8*1.12</f>
        <v>0</v>
      </c>
    </row>
    <row r="9" spans="1:10" x14ac:dyDescent="0.25">
      <c r="A9">
        <v>116</v>
      </c>
      <c r="B9">
        <v>1.1200000000000001</v>
      </c>
      <c r="C9">
        <f>B9*25.4</f>
        <v>28.448</v>
      </c>
      <c r="E9">
        <v>118</v>
      </c>
      <c r="F9">
        <v>30.225999999999996</v>
      </c>
      <c r="H9">
        <v>177</v>
      </c>
      <c r="J9">
        <f>I9*1.12</f>
        <v>0</v>
      </c>
    </row>
    <row r="10" spans="1:10" x14ac:dyDescent="0.25">
      <c r="A10">
        <v>118</v>
      </c>
      <c r="B10">
        <v>0.37</v>
      </c>
      <c r="C10">
        <f>B10*25.4</f>
        <v>9.3979999999999997</v>
      </c>
      <c r="E10">
        <v>119</v>
      </c>
      <c r="F10">
        <v>22.352</v>
      </c>
      <c r="H10">
        <v>177</v>
      </c>
      <c r="I10">
        <v>61.9</v>
      </c>
      <c r="J10">
        <f>I10*1.12</f>
        <v>69.328000000000003</v>
      </c>
    </row>
    <row r="11" spans="1:10" x14ac:dyDescent="0.25">
      <c r="A11">
        <v>118</v>
      </c>
      <c r="B11">
        <v>0.82</v>
      </c>
      <c r="C11">
        <f>B11*25.4</f>
        <v>20.827999999999996</v>
      </c>
      <c r="E11">
        <v>120</v>
      </c>
      <c r="F11">
        <v>21.59</v>
      </c>
      <c r="H11">
        <v>197</v>
      </c>
      <c r="J11">
        <f>I11*1.12</f>
        <v>0</v>
      </c>
    </row>
    <row r="12" spans="1:10" x14ac:dyDescent="0.25">
      <c r="A12">
        <v>119</v>
      </c>
      <c r="B12">
        <v>0.88</v>
      </c>
      <c r="C12">
        <f>B12*25.4</f>
        <v>22.352</v>
      </c>
      <c r="E12">
        <v>124</v>
      </c>
      <c r="F12">
        <v>22.352</v>
      </c>
      <c r="H12">
        <v>197</v>
      </c>
      <c r="I12">
        <v>43</v>
      </c>
      <c r="J12">
        <f>I12*1.12</f>
        <v>48.160000000000004</v>
      </c>
    </row>
    <row r="13" spans="1:10" x14ac:dyDescent="0.25">
      <c r="A13">
        <v>120</v>
      </c>
      <c r="B13">
        <v>0.85</v>
      </c>
      <c r="C13">
        <f>B13*25.4</f>
        <v>21.59</v>
      </c>
      <c r="E13">
        <v>148</v>
      </c>
      <c r="F13">
        <v>27.177999999999997</v>
      </c>
    </row>
    <row r="14" spans="1:10" x14ac:dyDescent="0.25">
      <c r="A14">
        <v>124</v>
      </c>
      <c r="B14">
        <v>0.88</v>
      </c>
      <c r="C14">
        <f>B14*25.4</f>
        <v>22.352</v>
      </c>
      <c r="E14">
        <v>158</v>
      </c>
      <c r="F14">
        <v>21.59</v>
      </c>
    </row>
    <row r="15" spans="1:10" x14ac:dyDescent="0.25">
      <c r="A15">
        <v>148</v>
      </c>
      <c r="B15">
        <v>0.75</v>
      </c>
      <c r="C15">
        <f>B15*25.4</f>
        <v>19.049999999999997</v>
      </c>
      <c r="E15">
        <v>162</v>
      </c>
      <c r="F15">
        <v>26.669999999999995</v>
      </c>
    </row>
    <row r="16" spans="1:10" x14ac:dyDescent="0.25">
      <c r="A16">
        <v>148</v>
      </c>
      <c r="B16">
        <v>0.32</v>
      </c>
      <c r="C16">
        <f>B16*25.4</f>
        <v>8.1280000000000001</v>
      </c>
      <c r="E16">
        <v>166</v>
      </c>
      <c r="F16">
        <v>0</v>
      </c>
    </row>
    <row r="17" spans="1:6" x14ac:dyDescent="0.25">
      <c r="A17">
        <v>148</v>
      </c>
      <c r="C17">
        <f>B17*25.4</f>
        <v>0</v>
      </c>
      <c r="E17">
        <v>167</v>
      </c>
      <c r="F17">
        <v>26.669999999999998</v>
      </c>
    </row>
    <row r="18" spans="1:6" x14ac:dyDescent="0.25">
      <c r="A18">
        <v>158</v>
      </c>
      <c r="B18">
        <v>0.85</v>
      </c>
      <c r="C18">
        <f>B18*25.4</f>
        <v>21.59</v>
      </c>
      <c r="E18">
        <v>168</v>
      </c>
      <c r="F18">
        <v>0</v>
      </c>
    </row>
    <row r="19" spans="1:6" x14ac:dyDescent="0.25">
      <c r="A19">
        <v>162</v>
      </c>
      <c r="B19">
        <v>0.75</v>
      </c>
      <c r="C19">
        <f>B19*25.4</f>
        <v>19.049999999999997</v>
      </c>
      <c r="E19">
        <v>170</v>
      </c>
      <c r="F19">
        <v>27.686</v>
      </c>
    </row>
    <row r="20" spans="1:6" x14ac:dyDescent="0.25">
      <c r="A20">
        <v>162</v>
      </c>
      <c r="B20">
        <v>0.3</v>
      </c>
      <c r="C20">
        <f>B20*25.4</f>
        <v>7.6199999999999992</v>
      </c>
      <c r="E20">
        <v>174</v>
      </c>
      <c r="F20">
        <v>0</v>
      </c>
    </row>
    <row r="21" spans="1:6" x14ac:dyDescent="0.25">
      <c r="A21">
        <v>162</v>
      </c>
      <c r="C21">
        <f>B21*25.4</f>
        <v>0</v>
      </c>
      <c r="E21">
        <v>175</v>
      </c>
      <c r="F21">
        <v>25.145999999999997</v>
      </c>
    </row>
    <row r="22" spans="1:6" x14ac:dyDescent="0.25">
      <c r="A22">
        <v>166</v>
      </c>
      <c r="C22">
        <f>B22*25.4</f>
        <v>0</v>
      </c>
      <c r="E22">
        <v>176</v>
      </c>
      <c r="F22">
        <v>0</v>
      </c>
    </row>
    <row r="23" spans="1:6" x14ac:dyDescent="0.25">
      <c r="A23">
        <v>167</v>
      </c>
      <c r="B23">
        <v>1.05</v>
      </c>
      <c r="C23">
        <f>B23*25.4</f>
        <v>26.669999999999998</v>
      </c>
      <c r="E23">
        <v>177</v>
      </c>
      <c r="F23">
        <v>27.177999999999997</v>
      </c>
    </row>
    <row r="24" spans="1:6" x14ac:dyDescent="0.25">
      <c r="A24">
        <v>168</v>
      </c>
      <c r="C24">
        <f>B24*25.4</f>
        <v>0</v>
      </c>
      <c r="E24">
        <v>181</v>
      </c>
      <c r="F24">
        <v>0</v>
      </c>
    </row>
    <row r="25" spans="1:6" x14ac:dyDescent="0.25">
      <c r="A25">
        <v>170</v>
      </c>
      <c r="B25">
        <v>1.0900000000000001</v>
      </c>
      <c r="C25">
        <f>B25*25.4</f>
        <v>27.686</v>
      </c>
      <c r="E25">
        <v>182</v>
      </c>
      <c r="F25">
        <v>22.605999999999998</v>
      </c>
    </row>
    <row r="26" spans="1:6" x14ac:dyDescent="0.25">
      <c r="A26">
        <v>174</v>
      </c>
      <c r="C26">
        <f>B26*25.4</f>
        <v>0</v>
      </c>
      <c r="E26">
        <v>183</v>
      </c>
      <c r="F26">
        <v>0</v>
      </c>
    </row>
    <row r="27" spans="1:6" x14ac:dyDescent="0.25">
      <c r="A27">
        <v>175</v>
      </c>
      <c r="B27">
        <v>0.99</v>
      </c>
      <c r="C27">
        <f>B27*25.4</f>
        <v>25.145999999999997</v>
      </c>
      <c r="E27">
        <v>184</v>
      </c>
      <c r="F27">
        <v>26.923999999999999</v>
      </c>
    </row>
    <row r="28" spans="1:6" x14ac:dyDescent="0.25">
      <c r="A28">
        <v>176</v>
      </c>
      <c r="C28">
        <f>B28*25.4</f>
        <v>0</v>
      </c>
      <c r="E28">
        <v>187</v>
      </c>
      <c r="F28">
        <v>12.7</v>
      </c>
    </row>
    <row r="29" spans="1:6" x14ac:dyDescent="0.25">
      <c r="A29">
        <v>176</v>
      </c>
      <c r="C29">
        <f>B29*25.4</f>
        <v>0</v>
      </c>
      <c r="E29">
        <v>188</v>
      </c>
      <c r="F29">
        <v>38.607999999999997</v>
      </c>
    </row>
    <row r="30" spans="1:6" x14ac:dyDescent="0.25">
      <c r="A30">
        <v>176</v>
      </c>
      <c r="C30">
        <f>B30*25.4</f>
        <v>0</v>
      </c>
      <c r="E30">
        <v>193</v>
      </c>
      <c r="F30">
        <v>0</v>
      </c>
    </row>
    <row r="31" spans="1:6" x14ac:dyDescent="0.25">
      <c r="A31">
        <v>177</v>
      </c>
      <c r="B31">
        <v>0.76</v>
      </c>
      <c r="C31">
        <f>B31*25.4</f>
        <v>19.303999999999998</v>
      </c>
      <c r="E31">
        <v>195</v>
      </c>
      <c r="F31">
        <v>25.4</v>
      </c>
    </row>
    <row r="32" spans="1:6" x14ac:dyDescent="0.25">
      <c r="A32">
        <v>177</v>
      </c>
      <c r="C32">
        <f>B32*25.4</f>
        <v>0</v>
      </c>
      <c r="E32">
        <v>197</v>
      </c>
      <c r="F32">
        <v>7.1120000000000001</v>
      </c>
    </row>
    <row r="33" spans="1:6" x14ac:dyDescent="0.25">
      <c r="A33">
        <v>177</v>
      </c>
      <c r="B33">
        <v>0.31</v>
      </c>
      <c r="C33">
        <f>B33*25.4</f>
        <v>7.8739999999999997</v>
      </c>
      <c r="E33">
        <v>203</v>
      </c>
      <c r="F33">
        <v>29.717999999999996</v>
      </c>
    </row>
    <row r="34" spans="1:6" x14ac:dyDescent="0.25">
      <c r="A34">
        <v>181</v>
      </c>
      <c r="C34">
        <f>B34*25.4</f>
        <v>0</v>
      </c>
      <c r="E34">
        <v>204</v>
      </c>
      <c r="F34">
        <v>11.683999999999999</v>
      </c>
    </row>
    <row r="35" spans="1:6" x14ac:dyDescent="0.25">
      <c r="A35">
        <v>182</v>
      </c>
      <c r="B35">
        <v>0.89</v>
      </c>
      <c r="C35">
        <f>B35*25.4</f>
        <v>22.605999999999998</v>
      </c>
      <c r="E35">
        <v>208</v>
      </c>
      <c r="F35">
        <v>0</v>
      </c>
    </row>
    <row r="36" spans="1:6" x14ac:dyDescent="0.25">
      <c r="A36">
        <v>183</v>
      </c>
      <c r="C36">
        <f>B36*25.4</f>
        <v>0</v>
      </c>
      <c r="E36">
        <v>210</v>
      </c>
      <c r="F36">
        <v>38.862000000000002</v>
      </c>
    </row>
    <row r="37" spans="1:6" x14ac:dyDescent="0.25">
      <c r="A37">
        <v>184</v>
      </c>
      <c r="B37">
        <v>1.06</v>
      </c>
      <c r="C37">
        <f>B37*25.4</f>
        <v>26.923999999999999</v>
      </c>
      <c r="E37">
        <v>214</v>
      </c>
      <c r="F37">
        <v>28.448</v>
      </c>
    </row>
    <row r="38" spans="1:6" x14ac:dyDescent="0.25">
      <c r="A38">
        <v>187</v>
      </c>
      <c r="C38">
        <f>B38*25.4</f>
        <v>0</v>
      </c>
      <c r="E38">
        <v>215</v>
      </c>
      <c r="F38">
        <v>26.923999999999999</v>
      </c>
    </row>
    <row r="39" spans="1:6" x14ac:dyDescent="0.25">
      <c r="A39">
        <v>187</v>
      </c>
      <c r="B39">
        <v>0.5</v>
      </c>
      <c r="C39">
        <f>B39*25.4</f>
        <v>12.7</v>
      </c>
      <c r="E39">
        <v>216</v>
      </c>
      <c r="F39">
        <v>42.926000000000002</v>
      </c>
    </row>
    <row r="40" spans="1:6" x14ac:dyDescent="0.25">
      <c r="A40">
        <v>188</v>
      </c>
      <c r="B40">
        <v>0.52</v>
      </c>
      <c r="C40">
        <f>B40*25.4</f>
        <v>13.208</v>
      </c>
      <c r="E40">
        <v>217</v>
      </c>
      <c r="F40">
        <v>33.019999999999996</v>
      </c>
    </row>
    <row r="41" spans="1:6" x14ac:dyDescent="0.25">
      <c r="A41">
        <v>188</v>
      </c>
      <c r="B41">
        <v>1</v>
      </c>
      <c r="C41">
        <f>B41*25.4</f>
        <v>25.4</v>
      </c>
      <c r="E41">
        <v>221</v>
      </c>
      <c r="F41">
        <v>27.686</v>
      </c>
    </row>
    <row r="42" spans="1:6" x14ac:dyDescent="0.25">
      <c r="A42">
        <v>193</v>
      </c>
      <c r="C42">
        <f>B42*25.4</f>
        <v>0</v>
      </c>
      <c r="E42">
        <v>223</v>
      </c>
      <c r="F42">
        <v>0</v>
      </c>
    </row>
    <row r="43" spans="1:6" x14ac:dyDescent="0.25">
      <c r="A43">
        <v>195</v>
      </c>
      <c r="B43">
        <v>1</v>
      </c>
      <c r="C43">
        <f>B43*25.4</f>
        <v>25.4</v>
      </c>
      <c r="E43">
        <v>225</v>
      </c>
      <c r="F43">
        <v>38.862000000000002</v>
      </c>
    </row>
    <row r="44" spans="1:6" x14ac:dyDescent="0.25">
      <c r="A44">
        <v>197</v>
      </c>
      <c r="C44">
        <f>B44*25.4</f>
        <v>0</v>
      </c>
      <c r="E44">
        <v>228</v>
      </c>
      <c r="F44">
        <v>0</v>
      </c>
    </row>
    <row r="45" spans="1:6" x14ac:dyDescent="0.25">
      <c r="A45">
        <v>197</v>
      </c>
      <c r="B45">
        <v>0.28000000000000003</v>
      </c>
      <c r="C45">
        <f>B45*25.4</f>
        <v>7.1120000000000001</v>
      </c>
      <c r="E45">
        <v>231</v>
      </c>
      <c r="F45">
        <v>26.161999999999999</v>
      </c>
    </row>
    <row r="46" spans="1:6" x14ac:dyDescent="0.25">
      <c r="A46">
        <v>203</v>
      </c>
      <c r="B46">
        <v>1.17</v>
      </c>
      <c r="C46">
        <f>B46*25.4</f>
        <v>29.717999999999996</v>
      </c>
      <c r="E46">
        <v>235</v>
      </c>
      <c r="F46">
        <v>35.305999999999997</v>
      </c>
    </row>
    <row r="47" spans="1:6" x14ac:dyDescent="0.25">
      <c r="A47">
        <v>204</v>
      </c>
      <c r="B47">
        <v>0.46</v>
      </c>
      <c r="C47">
        <f>B47*25.4</f>
        <v>11.683999999999999</v>
      </c>
      <c r="E47">
        <v>238</v>
      </c>
      <c r="F47">
        <v>24.383999999999997</v>
      </c>
    </row>
    <row r="48" spans="1:6" x14ac:dyDescent="0.25">
      <c r="A48">
        <v>208</v>
      </c>
      <c r="C48">
        <f>B48*25.4</f>
        <v>0</v>
      </c>
      <c r="E48">
        <v>242</v>
      </c>
      <c r="F48">
        <v>0</v>
      </c>
    </row>
    <row r="49" spans="1:6" x14ac:dyDescent="0.25">
      <c r="A49">
        <v>210</v>
      </c>
      <c r="B49">
        <v>1.53</v>
      </c>
      <c r="C49">
        <f>B49*25.4</f>
        <v>38.862000000000002</v>
      </c>
      <c r="E49">
        <v>245</v>
      </c>
      <c r="F49">
        <v>39.369999999999997</v>
      </c>
    </row>
    <row r="50" spans="1:6" x14ac:dyDescent="0.25">
      <c r="A50">
        <v>214</v>
      </c>
      <c r="B50">
        <v>1.1200000000000001</v>
      </c>
      <c r="C50">
        <f>B50*25.4</f>
        <v>28.448</v>
      </c>
      <c r="E50">
        <v>250</v>
      </c>
      <c r="F50">
        <v>29.463999999999995</v>
      </c>
    </row>
    <row r="51" spans="1:6" x14ac:dyDescent="0.25">
      <c r="A51">
        <v>215</v>
      </c>
      <c r="B51">
        <v>1.06</v>
      </c>
      <c r="C51">
        <f>B51*25.4</f>
        <v>26.923999999999999</v>
      </c>
    </row>
    <row r="52" spans="1:6" x14ac:dyDescent="0.25">
      <c r="A52">
        <v>216</v>
      </c>
      <c r="B52">
        <v>1.34</v>
      </c>
      <c r="C52">
        <f>B52*25.4</f>
        <v>34.036000000000001</v>
      </c>
    </row>
    <row r="53" spans="1:6" x14ac:dyDescent="0.25">
      <c r="A53">
        <v>216</v>
      </c>
      <c r="B53">
        <v>0.35</v>
      </c>
      <c r="C53">
        <f>B53*25.4</f>
        <v>8.8899999999999988</v>
      </c>
    </row>
    <row r="54" spans="1:6" x14ac:dyDescent="0.25">
      <c r="A54">
        <v>217</v>
      </c>
      <c r="B54">
        <v>1.3</v>
      </c>
      <c r="C54">
        <f>B54*25.4</f>
        <v>33.019999999999996</v>
      </c>
    </row>
    <row r="55" spans="1:6" x14ac:dyDescent="0.25">
      <c r="A55">
        <v>221</v>
      </c>
      <c r="B55">
        <v>1.0900000000000001</v>
      </c>
      <c r="C55">
        <f>B55*25.4</f>
        <v>27.686</v>
      </c>
    </row>
    <row r="56" spans="1:6" x14ac:dyDescent="0.25">
      <c r="A56">
        <v>223</v>
      </c>
      <c r="B56">
        <v>0</v>
      </c>
      <c r="C56">
        <f>B56*25.4</f>
        <v>0</v>
      </c>
    </row>
    <row r="57" spans="1:6" x14ac:dyDescent="0.25">
      <c r="A57">
        <v>223</v>
      </c>
      <c r="B57">
        <v>0</v>
      </c>
      <c r="C57">
        <f>B57*25.4</f>
        <v>0</v>
      </c>
    </row>
    <row r="58" spans="1:6" x14ac:dyDescent="0.25">
      <c r="A58">
        <v>223</v>
      </c>
      <c r="C58">
        <f>B58*25.4</f>
        <v>0</v>
      </c>
    </row>
    <row r="59" spans="1:6" x14ac:dyDescent="0.25">
      <c r="A59">
        <v>225</v>
      </c>
      <c r="B59">
        <v>1.53</v>
      </c>
      <c r="C59">
        <f>B59*25.4</f>
        <v>38.862000000000002</v>
      </c>
    </row>
    <row r="60" spans="1:6" x14ac:dyDescent="0.25">
      <c r="A60">
        <v>228</v>
      </c>
      <c r="B60">
        <v>0</v>
      </c>
      <c r="C60">
        <f>B60*25.4</f>
        <v>0</v>
      </c>
    </row>
    <row r="61" spans="1:6" x14ac:dyDescent="0.25">
      <c r="A61">
        <v>231</v>
      </c>
      <c r="B61">
        <v>1.03</v>
      </c>
      <c r="C61">
        <f>B61*25.4</f>
        <v>26.161999999999999</v>
      </c>
    </row>
    <row r="62" spans="1:6" x14ac:dyDescent="0.25">
      <c r="A62">
        <v>235</v>
      </c>
      <c r="B62">
        <v>1.39</v>
      </c>
      <c r="C62">
        <f>B62*25.4</f>
        <v>35.305999999999997</v>
      </c>
    </row>
    <row r="63" spans="1:6" x14ac:dyDescent="0.25">
      <c r="A63">
        <v>238</v>
      </c>
      <c r="B63">
        <v>0.96</v>
      </c>
      <c r="C63">
        <f>B63*25.4</f>
        <v>24.383999999999997</v>
      </c>
    </row>
    <row r="64" spans="1:6" x14ac:dyDescent="0.25">
      <c r="A64">
        <v>242</v>
      </c>
      <c r="B64">
        <v>0</v>
      </c>
      <c r="C64">
        <f>B64*25.4</f>
        <v>0</v>
      </c>
    </row>
    <row r="65" spans="1:6" x14ac:dyDescent="0.25">
      <c r="A65">
        <v>245</v>
      </c>
      <c r="B65">
        <v>1.55</v>
      </c>
      <c r="C65">
        <f>B65*25.4</f>
        <v>39.369999999999997</v>
      </c>
    </row>
    <row r="66" spans="1:6" x14ac:dyDescent="0.25">
      <c r="A66">
        <v>250</v>
      </c>
      <c r="B66">
        <v>1.1599999999999999</v>
      </c>
      <c r="C66">
        <f>B66*25.4</f>
        <v>29.463999999999995</v>
      </c>
      <c r="D66" s="87"/>
      <c r="F66" s="87"/>
    </row>
    <row r="67" spans="1:6" x14ac:dyDescent="0.25">
      <c r="B67">
        <f>SUM(B3:B66)</f>
        <v>36.769999999999996</v>
      </c>
      <c r="C67" s="87">
        <f>SUM(C3:C66)</f>
        <v>933.95799999999986</v>
      </c>
    </row>
    <row r="69" spans="1:6" x14ac:dyDescent="0.25">
      <c r="C69">
        <f>SUM(C15:C66)</f>
        <v>748.28399999999999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E4EFC-9DFC-427C-A720-13480D032D60}">
  <dimension ref="A1:J69"/>
  <sheetViews>
    <sheetView workbookViewId="0">
      <selection activeCell="F3" sqref="F3:F50"/>
    </sheetView>
  </sheetViews>
  <sheetFormatPr defaultRowHeight="15" x14ac:dyDescent="0.25"/>
  <cols>
    <col min="2" max="2" width="10" bestFit="1" customWidth="1"/>
    <col min="3" max="3" width="11.7109375" bestFit="1" customWidth="1"/>
    <col min="4" max="6" width="11.7109375" customWidth="1"/>
    <col min="9" max="9" width="14.5703125" bestFit="1" customWidth="1"/>
    <col min="10" max="10" width="15.140625" bestFit="1" customWidth="1"/>
  </cols>
  <sheetData>
    <row r="1" spans="1:10" x14ac:dyDescent="0.25">
      <c r="A1" s="86" t="s">
        <v>226</v>
      </c>
      <c r="E1" t="s">
        <v>228</v>
      </c>
      <c r="H1" t="s">
        <v>227</v>
      </c>
    </row>
    <row r="2" spans="1:10" x14ac:dyDescent="0.25">
      <c r="A2" t="s">
        <v>172</v>
      </c>
      <c r="B2" t="s">
        <v>222</v>
      </c>
      <c r="C2" t="s">
        <v>218</v>
      </c>
      <c r="E2" t="s">
        <v>172</v>
      </c>
      <c r="F2" t="s">
        <v>218</v>
      </c>
      <c r="H2" t="s">
        <v>172</v>
      </c>
      <c r="I2" t="s">
        <v>224</v>
      </c>
      <c r="J2" t="s">
        <v>223</v>
      </c>
    </row>
    <row r="3" spans="1:10" x14ac:dyDescent="0.25">
      <c r="A3">
        <v>106</v>
      </c>
      <c r="B3">
        <v>0.14000000000000001</v>
      </c>
      <c r="C3">
        <f>B3*25.4</f>
        <v>3.556</v>
      </c>
      <c r="E3">
        <v>106</v>
      </c>
      <c r="F3" cm="1">
        <f t="array" ref="F3:F50">SUMIFS(C3:C66,A3:A66,E3:E50)</f>
        <v>18.287999999999997</v>
      </c>
      <c r="H3">
        <v>148</v>
      </c>
      <c r="J3">
        <f>I3*1.12</f>
        <v>0</v>
      </c>
    </row>
    <row r="4" spans="1:10" x14ac:dyDescent="0.25">
      <c r="A4">
        <v>106</v>
      </c>
      <c r="B4">
        <v>0.57999999999999996</v>
      </c>
      <c r="C4">
        <f>B4*25.4</f>
        <v>14.731999999999998</v>
      </c>
      <c r="E4">
        <v>109</v>
      </c>
      <c r="F4">
        <v>12.7</v>
      </c>
      <c r="H4">
        <v>148</v>
      </c>
      <c r="I4">
        <v>10.3</v>
      </c>
      <c r="J4">
        <f>I4*1.12</f>
        <v>11.536000000000001</v>
      </c>
    </row>
    <row r="5" spans="1:10" x14ac:dyDescent="0.25">
      <c r="A5">
        <v>109</v>
      </c>
      <c r="B5">
        <v>0.5</v>
      </c>
      <c r="C5">
        <f>B5*25.4</f>
        <v>12.7</v>
      </c>
      <c r="E5">
        <v>110</v>
      </c>
      <c r="F5">
        <v>8.8899999999999988</v>
      </c>
      <c r="H5">
        <v>162</v>
      </c>
      <c r="J5">
        <f>I5*1.12</f>
        <v>0</v>
      </c>
    </row>
    <row r="6" spans="1:10" x14ac:dyDescent="0.25">
      <c r="A6">
        <v>110</v>
      </c>
      <c r="B6">
        <v>0.35</v>
      </c>
      <c r="C6">
        <f>B6*25.4</f>
        <v>8.8899999999999988</v>
      </c>
      <c r="E6">
        <v>111</v>
      </c>
      <c r="F6">
        <v>16.763999999999999</v>
      </c>
      <c r="H6">
        <v>162</v>
      </c>
      <c r="I6">
        <v>20.6</v>
      </c>
      <c r="J6">
        <f>I6*1.12</f>
        <v>23.072000000000003</v>
      </c>
    </row>
    <row r="7" spans="1:10" x14ac:dyDescent="0.25">
      <c r="A7">
        <v>111</v>
      </c>
      <c r="B7">
        <v>0.66</v>
      </c>
      <c r="C7">
        <f>B7*25.4</f>
        <v>16.763999999999999</v>
      </c>
      <c r="E7">
        <v>113</v>
      </c>
      <c r="F7">
        <v>11.683999999999999</v>
      </c>
      <c r="H7">
        <v>176</v>
      </c>
      <c r="J7">
        <f>I7*1.12</f>
        <v>0</v>
      </c>
    </row>
    <row r="8" spans="1:10" x14ac:dyDescent="0.25">
      <c r="A8">
        <v>113</v>
      </c>
      <c r="B8">
        <v>0.46</v>
      </c>
      <c r="C8">
        <f>B8*25.4</f>
        <v>11.683999999999999</v>
      </c>
      <c r="E8">
        <v>116</v>
      </c>
      <c r="F8">
        <v>23.114000000000001</v>
      </c>
      <c r="H8">
        <v>176</v>
      </c>
      <c r="J8">
        <f>I8*1.12</f>
        <v>0</v>
      </c>
    </row>
    <row r="9" spans="1:10" x14ac:dyDescent="0.25">
      <c r="A9">
        <v>116</v>
      </c>
      <c r="B9">
        <v>0.91</v>
      </c>
      <c r="C9">
        <f>B9*25.4</f>
        <v>23.114000000000001</v>
      </c>
      <c r="E9">
        <v>118</v>
      </c>
      <c r="F9">
        <v>30.48</v>
      </c>
      <c r="H9">
        <v>177</v>
      </c>
      <c r="I9">
        <v>21.5</v>
      </c>
      <c r="J9">
        <f>I9*1.12</f>
        <v>24.080000000000002</v>
      </c>
    </row>
    <row r="10" spans="1:10" x14ac:dyDescent="0.25">
      <c r="A10">
        <v>118</v>
      </c>
      <c r="B10">
        <v>0.28999999999999998</v>
      </c>
      <c r="C10">
        <f>B10*25.4</f>
        <v>7.3659999999999988</v>
      </c>
      <c r="E10">
        <v>119</v>
      </c>
      <c r="F10">
        <v>29.971999999999998</v>
      </c>
      <c r="H10">
        <v>177</v>
      </c>
      <c r="J10">
        <f>I10*1.12</f>
        <v>0</v>
      </c>
    </row>
    <row r="11" spans="1:10" x14ac:dyDescent="0.25">
      <c r="A11">
        <v>118</v>
      </c>
      <c r="B11">
        <v>0.91</v>
      </c>
      <c r="C11">
        <f>B11*25.4</f>
        <v>23.114000000000001</v>
      </c>
      <c r="E11">
        <v>120</v>
      </c>
      <c r="F11">
        <v>22.097999999999999</v>
      </c>
      <c r="H11">
        <v>197</v>
      </c>
      <c r="I11">
        <v>15.5</v>
      </c>
      <c r="J11">
        <f>I11*1.12</f>
        <v>17.360000000000003</v>
      </c>
    </row>
    <row r="12" spans="1:10" x14ac:dyDescent="0.25">
      <c r="A12">
        <v>119</v>
      </c>
      <c r="B12">
        <v>1.18</v>
      </c>
      <c r="C12">
        <f>B12*25.4</f>
        <v>29.971999999999998</v>
      </c>
      <c r="E12">
        <v>124</v>
      </c>
      <c r="F12">
        <v>21.843999999999998</v>
      </c>
      <c r="H12">
        <v>197</v>
      </c>
      <c r="J12">
        <f>I12*1.12</f>
        <v>0</v>
      </c>
    </row>
    <row r="13" spans="1:10" x14ac:dyDescent="0.25">
      <c r="A13">
        <v>120</v>
      </c>
      <c r="B13">
        <v>0.87</v>
      </c>
      <c r="C13">
        <f>B13*25.4</f>
        <v>22.097999999999999</v>
      </c>
      <c r="E13">
        <v>148</v>
      </c>
      <c r="F13">
        <v>24.383999999999997</v>
      </c>
    </row>
    <row r="14" spans="1:10" x14ac:dyDescent="0.25">
      <c r="A14">
        <v>124</v>
      </c>
      <c r="B14">
        <v>0.86</v>
      </c>
      <c r="C14">
        <f>B14*25.4</f>
        <v>21.843999999999998</v>
      </c>
      <c r="E14">
        <v>158</v>
      </c>
      <c r="F14">
        <v>20.065999999999999</v>
      </c>
    </row>
    <row r="15" spans="1:10" x14ac:dyDescent="0.25">
      <c r="A15">
        <v>148</v>
      </c>
      <c r="B15">
        <v>0.7</v>
      </c>
      <c r="C15">
        <f>B15*25.4</f>
        <v>17.779999999999998</v>
      </c>
      <c r="E15">
        <v>162</v>
      </c>
      <c r="F15">
        <v>24.891999999999999</v>
      </c>
    </row>
    <row r="16" spans="1:10" x14ac:dyDescent="0.25">
      <c r="A16">
        <v>148</v>
      </c>
      <c r="C16">
        <f>B16*25.4</f>
        <v>0</v>
      </c>
      <c r="E16">
        <v>166</v>
      </c>
      <c r="F16">
        <v>0</v>
      </c>
    </row>
    <row r="17" spans="1:6" x14ac:dyDescent="0.25">
      <c r="A17">
        <v>148</v>
      </c>
      <c r="B17">
        <v>0.26</v>
      </c>
      <c r="C17">
        <f>B17*25.4</f>
        <v>6.6040000000000001</v>
      </c>
      <c r="E17">
        <v>167</v>
      </c>
      <c r="F17">
        <v>28.448</v>
      </c>
    </row>
    <row r="18" spans="1:6" x14ac:dyDescent="0.25">
      <c r="A18">
        <v>158</v>
      </c>
      <c r="B18">
        <v>0.79</v>
      </c>
      <c r="C18">
        <f>B18*25.4</f>
        <v>20.065999999999999</v>
      </c>
      <c r="E18">
        <v>168</v>
      </c>
      <c r="F18">
        <v>0</v>
      </c>
    </row>
    <row r="19" spans="1:6" x14ac:dyDescent="0.25">
      <c r="A19">
        <v>162</v>
      </c>
      <c r="B19">
        <v>0.71</v>
      </c>
      <c r="C19">
        <f>B19*25.4</f>
        <v>18.033999999999999</v>
      </c>
      <c r="E19">
        <v>170</v>
      </c>
      <c r="F19">
        <v>28.448</v>
      </c>
    </row>
    <row r="20" spans="1:6" x14ac:dyDescent="0.25">
      <c r="A20">
        <v>162</v>
      </c>
      <c r="C20">
        <f>B20*25.4</f>
        <v>0</v>
      </c>
      <c r="E20">
        <v>174</v>
      </c>
      <c r="F20">
        <v>0</v>
      </c>
    </row>
    <row r="21" spans="1:6" x14ac:dyDescent="0.25">
      <c r="A21">
        <v>162</v>
      </c>
      <c r="B21">
        <v>0.27</v>
      </c>
      <c r="C21">
        <f>B21*25.4</f>
        <v>6.8579999999999997</v>
      </c>
      <c r="E21">
        <v>175</v>
      </c>
      <c r="F21">
        <v>27.178000000000001</v>
      </c>
    </row>
    <row r="22" spans="1:6" x14ac:dyDescent="0.25">
      <c r="A22">
        <v>166</v>
      </c>
      <c r="C22">
        <f>B22*25.4</f>
        <v>0</v>
      </c>
      <c r="E22">
        <v>176</v>
      </c>
      <c r="F22">
        <v>0</v>
      </c>
    </row>
    <row r="23" spans="1:6" x14ac:dyDescent="0.25">
      <c r="A23">
        <v>167</v>
      </c>
      <c r="B23">
        <v>1.1200000000000001</v>
      </c>
      <c r="C23">
        <f>B23*25.4</f>
        <v>28.448</v>
      </c>
      <c r="E23">
        <v>177</v>
      </c>
      <c r="F23">
        <v>28.701999999999998</v>
      </c>
    </row>
    <row r="24" spans="1:6" x14ac:dyDescent="0.25">
      <c r="A24">
        <v>168</v>
      </c>
      <c r="C24">
        <f>B24*25.4</f>
        <v>0</v>
      </c>
      <c r="E24">
        <v>181</v>
      </c>
      <c r="F24">
        <v>0</v>
      </c>
    </row>
    <row r="25" spans="1:6" x14ac:dyDescent="0.25">
      <c r="A25">
        <v>170</v>
      </c>
      <c r="B25">
        <v>1.1200000000000001</v>
      </c>
      <c r="C25">
        <f>B25*25.4</f>
        <v>28.448</v>
      </c>
      <c r="E25">
        <v>182</v>
      </c>
      <c r="F25">
        <v>25.907999999999998</v>
      </c>
    </row>
    <row r="26" spans="1:6" x14ac:dyDescent="0.25">
      <c r="A26">
        <v>174</v>
      </c>
      <c r="B26">
        <v>0</v>
      </c>
      <c r="C26">
        <f>B26*25.4</f>
        <v>0</v>
      </c>
      <c r="E26">
        <v>183</v>
      </c>
      <c r="F26">
        <v>0</v>
      </c>
    </row>
    <row r="27" spans="1:6" x14ac:dyDescent="0.25">
      <c r="A27">
        <v>175</v>
      </c>
      <c r="B27">
        <v>1.07</v>
      </c>
      <c r="C27">
        <f>B27*25.4</f>
        <v>27.178000000000001</v>
      </c>
      <c r="E27">
        <v>184</v>
      </c>
      <c r="F27">
        <v>22.605999999999998</v>
      </c>
    </row>
    <row r="28" spans="1:6" x14ac:dyDescent="0.25">
      <c r="A28">
        <v>176</v>
      </c>
      <c r="C28">
        <f>B28*25.4</f>
        <v>0</v>
      </c>
      <c r="E28">
        <v>187</v>
      </c>
      <c r="F28">
        <v>12.7</v>
      </c>
    </row>
    <row r="29" spans="1:6" x14ac:dyDescent="0.25">
      <c r="A29">
        <v>176</v>
      </c>
      <c r="C29">
        <f>B29*25.4</f>
        <v>0</v>
      </c>
      <c r="E29">
        <v>188</v>
      </c>
      <c r="F29">
        <v>41.402000000000001</v>
      </c>
    </row>
    <row r="30" spans="1:6" x14ac:dyDescent="0.25">
      <c r="A30">
        <v>176</v>
      </c>
      <c r="C30">
        <f>B30*25.4</f>
        <v>0</v>
      </c>
      <c r="E30">
        <v>193</v>
      </c>
      <c r="F30">
        <v>0</v>
      </c>
    </row>
    <row r="31" spans="1:6" x14ac:dyDescent="0.25">
      <c r="A31">
        <v>177</v>
      </c>
      <c r="B31">
        <v>0.86</v>
      </c>
      <c r="C31">
        <f>B31*25.4</f>
        <v>21.843999999999998</v>
      </c>
      <c r="E31">
        <v>195</v>
      </c>
      <c r="F31">
        <v>25.4</v>
      </c>
    </row>
    <row r="32" spans="1:6" x14ac:dyDescent="0.25">
      <c r="A32">
        <v>177</v>
      </c>
      <c r="B32">
        <v>0.27</v>
      </c>
      <c r="C32">
        <f>B32*25.4</f>
        <v>6.8579999999999997</v>
      </c>
      <c r="E32">
        <v>197</v>
      </c>
      <c r="F32">
        <v>7.3659999999999988</v>
      </c>
    </row>
    <row r="33" spans="1:6" x14ac:dyDescent="0.25">
      <c r="A33">
        <v>177</v>
      </c>
      <c r="C33">
        <f>B33*25.4</f>
        <v>0</v>
      </c>
      <c r="E33">
        <v>203</v>
      </c>
      <c r="F33">
        <v>29.209999999999997</v>
      </c>
    </row>
    <row r="34" spans="1:6" x14ac:dyDescent="0.25">
      <c r="A34">
        <v>181</v>
      </c>
      <c r="C34">
        <f>B34*25.4</f>
        <v>0</v>
      </c>
      <c r="E34">
        <v>204</v>
      </c>
      <c r="F34">
        <v>12.191999999999998</v>
      </c>
    </row>
    <row r="35" spans="1:6" x14ac:dyDescent="0.25">
      <c r="A35">
        <v>182</v>
      </c>
      <c r="B35">
        <v>1.02</v>
      </c>
      <c r="C35">
        <f>B35*25.4</f>
        <v>25.907999999999998</v>
      </c>
      <c r="E35">
        <v>208</v>
      </c>
      <c r="F35">
        <v>0</v>
      </c>
    </row>
    <row r="36" spans="1:6" x14ac:dyDescent="0.25">
      <c r="A36">
        <v>183</v>
      </c>
      <c r="C36">
        <f>B36*25.4</f>
        <v>0</v>
      </c>
      <c r="E36">
        <v>210</v>
      </c>
      <c r="F36">
        <v>37.337999999999994</v>
      </c>
    </row>
    <row r="37" spans="1:6" x14ac:dyDescent="0.25">
      <c r="A37">
        <v>184</v>
      </c>
      <c r="B37">
        <v>0.89</v>
      </c>
      <c r="C37">
        <f>B37*25.4</f>
        <v>22.605999999999998</v>
      </c>
      <c r="E37">
        <v>214</v>
      </c>
      <c r="F37">
        <v>26.416</v>
      </c>
    </row>
    <row r="38" spans="1:6" x14ac:dyDescent="0.25">
      <c r="A38">
        <v>187</v>
      </c>
      <c r="C38">
        <f>B38*25.4</f>
        <v>0</v>
      </c>
      <c r="E38">
        <v>215</v>
      </c>
      <c r="F38">
        <v>25.145999999999997</v>
      </c>
    </row>
    <row r="39" spans="1:6" x14ac:dyDescent="0.25">
      <c r="A39">
        <v>187</v>
      </c>
      <c r="B39">
        <v>0.5</v>
      </c>
      <c r="C39">
        <f>B39*25.4</f>
        <v>12.7</v>
      </c>
      <c r="E39">
        <v>216</v>
      </c>
      <c r="F39">
        <v>36.067999999999998</v>
      </c>
    </row>
    <row r="40" spans="1:6" x14ac:dyDescent="0.25">
      <c r="A40">
        <v>188</v>
      </c>
      <c r="B40">
        <v>0.63</v>
      </c>
      <c r="C40">
        <f>B40*25.4</f>
        <v>16.001999999999999</v>
      </c>
      <c r="E40">
        <v>217</v>
      </c>
      <c r="F40">
        <v>27.686</v>
      </c>
    </row>
    <row r="41" spans="1:6" x14ac:dyDescent="0.25">
      <c r="A41">
        <v>188</v>
      </c>
      <c r="B41">
        <v>1</v>
      </c>
      <c r="C41">
        <f>B41*25.4</f>
        <v>25.4</v>
      </c>
      <c r="E41">
        <v>221</v>
      </c>
      <c r="F41">
        <v>25.654</v>
      </c>
    </row>
    <row r="42" spans="1:6" x14ac:dyDescent="0.25">
      <c r="A42">
        <v>193</v>
      </c>
      <c r="C42">
        <f>B42*25.4</f>
        <v>0</v>
      </c>
      <c r="E42">
        <v>223</v>
      </c>
      <c r="F42">
        <v>0</v>
      </c>
    </row>
    <row r="43" spans="1:6" x14ac:dyDescent="0.25">
      <c r="A43">
        <v>195</v>
      </c>
      <c r="B43">
        <v>1</v>
      </c>
      <c r="C43">
        <f>B43*25.4</f>
        <v>25.4</v>
      </c>
      <c r="E43">
        <v>225</v>
      </c>
      <c r="F43">
        <v>36.067999999999998</v>
      </c>
    </row>
    <row r="44" spans="1:6" x14ac:dyDescent="0.25">
      <c r="A44">
        <v>197</v>
      </c>
      <c r="B44">
        <v>0.28999999999999998</v>
      </c>
      <c r="C44">
        <f>B44*25.4</f>
        <v>7.3659999999999988</v>
      </c>
      <c r="E44">
        <v>228</v>
      </c>
      <c r="F44">
        <v>0</v>
      </c>
    </row>
    <row r="45" spans="1:6" x14ac:dyDescent="0.25">
      <c r="A45">
        <v>197</v>
      </c>
      <c r="C45">
        <f>B45*25.4</f>
        <v>0</v>
      </c>
      <c r="E45">
        <v>231</v>
      </c>
      <c r="F45">
        <v>24.637999999999998</v>
      </c>
    </row>
    <row r="46" spans="1:6" x14ac:dyDescent="0.25">
      <c r="A46">
        <v>203</v>
      </c>
      <c r="B46">
        <v>1.1499999999999999</v>
      </c>
      <c r="C46">
        <f>B46*25.4</f>
        <v>29.209999999999997</v>
      </c>
      <c r="E46">
        <v>235</v>
      </c>
      <c r="F46">
        <v>34.036000000000001</v>
      </c>
    </row>
    <row r="47" spans="1:6" x14ac:dyDescent="0.25">
      <c r="A47">
        <v>204</v>
      </c>
      <c r="B47">
        <v>0.48</v>
      </c>
      <c r="C47">
        <f>B47*25.4</f>
        <v>12.191999999999998</v>
      </c>
      <c r="E47">
        <v>238</v>
      </c>
      <c r="F47">
        <v>24.637999999999998</v>
      </c>
    </row>
    <row r="48" spans="1:6" x14ac:dyDescent="0.25">
      <c r="A48">
        <v>208</v>
      </c>
      <c r="C48">
        <f>B48*25.4</f>
        <v>0</v>
      </c>
      <c r="E48">
        <v>242</v>
      </c>
      <c r="F48">
        <v>0</v>
      </c>
    </row>
    <row r="49" spans="1:6" x14ac:dyDescent="0.25">
      <c r="A49">
        <v>210</v>
      </c>
      <c r="B49">
        <v>1.47</v>
      </c>
      <c r="C49">
        <f>B49*25.4</f>
        <v>37.337999999999994</v>
      </c>
      <c r="E49">
        <v>245</v>
      </c>
      <c r="F49">
        <v>35.813999999999993</v>
      </c>
    </row>
    <row r="50" spans="1:6" x14ac:dyDescent="0.25">
      <c r="A50">
        <v>214</v>
      </c>
      <c r="B50">
        <v>1.04</v>
      </c>
      <c r="C50">
        <f>B50*25.4</f>
        <v>26.416</v>
      </c>
      <c r="E50">
        <v>250</v>
      </c>
      <c r="F50">
        <v>27.178000000000001</v>
      </c>
    </row>
    <row r="51" spans="1:6" x14ac:dyDescent="0.25">
      <c r="A51">
        <v>215</v>
      </c>
      <c r="B51">
        <v>0.99</v>
      </c>
      <c r="C51">
        <f>B51*25.4</f>
        <v>25.145999999999997</v>
      </c>
    </row>
    <row r="52" spans="1:6" x14ac:dyDescent="0.25">
      <c r="A52">
        <v>216</v>
      </c>
      <c r="B52">
        <v>1.07</v>
      </c>
      <c r="C52">
        <f>B52*25.4</f>
        <v>27.178000000000001</v>
      </c>
    </row>
    <row r="53" spans="1:6" x14ac:dyDescent="0.25">
      <c r="A53">
        <v>216</v>
      </c>
      <c r="B53">
        <v>0.35</v>
      </c>
      <c r="C53">
        <f>B53*25.4</f>
        <v>8.8899999999999988</v>
      </c>
    </row>
    <row r="54" spans="1:6" x14ac:dyDescent="0.25">
      <c r="A54">
        <v>217</v>
      </c>
      <c r="B54">
        <v>1.0900000000000001</v>
      </c>
      <c r="C54">
        <f>B54*25.4</f>
        <v>27.686</v>
      </c>
    </row>
    <row r="55" spans="1:6" x14ac:dyDescent="0.25">
      <c r="A55">
        <v>221</v>
      </c>
      <c r="B55">
        <v>1.01</v>
      </c>
      <c r="C55">
        <f>B55*25.4</f>
        <v>25.654</v>
      </c>
    </row>
    <row r="56" spans="1:6" x14ac:dyDescent="0.25">
      <c r="A56">
        <v>223</v>
      </c>
      <c r="C56">
        <f>B56*25.4</f>
        <v>0</v>
      </c>
    </row>
    <row r="57" spans="1:6" x14ac:dyDescent="0.25">
      <c r="A57">
        <v>223</v>
      </c>
      <c r="C57">
        <f>B57*25.4</f>
        <v>0</v>
      </c>
    </row>
    <row r="58" spans="1:6" x14ac:dyDescent="0.25">
      <c r="A58">
        <v>223</v>
      </c>
      <c r="C58">
        <f>B58*25.4</f>
        <v>0</v>
      </c>
    </row>
    <row r="59" spans="1:6" x14ac:dyDescent="0.25">
      <c r="A59">
        <v>225</v>
      </c>
      <c r="B59">
        <v>1.42</v>
      </c>
      <c r="C59">
        <f>B59*25.4</f>
        <v>36.067999999999998</v>
      </c>
    </row>
    <row r="60" spans="1:6" x14ac:dyDescent="0.25">
      <c r="A60">
        <v>228</v>
      </c>
      <c r="C60">
        <f>B60*25.4</f>
        <v>0</v>
      </c>
    </row>
    <row r="61" spans="1:6" x14ac:dyDescent="0.25">
      <c r="A61">
        <v>231</v>
      </c>
      <c r="B61">
        <v>0.97</v>
      </c>
      <c r="C61">
        <f>B61*25.4</f>
        <v>24.637999999999998</v>
      </c>
    </row>
    <row r="62" spans="1:6" x14ac:dyDescent="0.25">
      <c r="A62">
        <v>235</v>
      </c>
      <c r="B62">
        <v>1.34</v>
      </c>
      <c r="C62">
        <f>B62*25.4</f>
        <v>34.036000000000001</v>
      </c>
    </row>
    <row r="63" spans="1:6" x14ac:dyDescent="0.25">
      <c r="A63">
        <v>238</v>
      </c>
      <c r="B63">
        <v>0.97</v>
      </c>
      <c r="C63">
        <f>B63*25.4</f>
        <v>24.637999999999998</v>
      </c>
    </row>
    <row r="64" spans="1:6" x14ac:dyDescent="0.25">
      <c r="A64">
        <v>242</v>
      </c>
      <c r="C64">
        <f>B64*25.4</f>
        <v>0</v>
      </c>
    </row>
    <row r="65" spans="1:6" x14ac:dyDescent="0.25">
      <c r="A65">
        <v>245</v>
      </c>
      <c r="B65">
        <v>1.41</v>
      </c>
      <c r="C65">
        <f>B65*25.4</f>
        <v>35.813999999999993</v>
      </c>
    </row>
    <row r="66" spans="1:6" x14ac:dyDescent="0.25">
      <c r="A66">
        <v>250</v>
      </c>
      <c r="B66">
        <v>1.07</v>
      </c>
      <c r="C66">
        <f>B66*25.4</f>
        <v>27.178000000000001</v>
      </c>
      <c r="D66" s="87"/>
      <c r="F66" s="87"/>
    </row>
    <row r="67" spans="1:6" x14ac:dyDescent="0.25">
      <c r="B67">
        <f>SUM(B3:B66)</f>
        <v>36.04</v>
      </c>
      <c r="C67" s="87">
        <f>SUM(C3:C66)</f>
        <v>915.41600000000005</v>
      </c>
    </row>
    <row r="69" spans="1:6" x14ac:dyDescent="0.25">
      <c r="C69">
        <f>SUM(C15:C66)</f>
        <v>719.58199999999999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B5328-E396-4C60-8D55-AA904EAF0FA5}">
  <dimension ref="A1:J69"/>
  <sheetViews>
    <sheetView workbookViewId="0">
      <selection activeCell="F3" sqref="F3:F50"/>
    </sheetView>
  </sheetViews>
  <sheetFormatPr defaultRowHeight="15" x14ac:dyDescent="0.25"/>
  <cols>
    <col min="2" max="2" width="10" bestFit="1" customWidth="1"/>
    <col min="3" max="6" width="11.7109375" customWidth="1"/>
    <col min="8" max="8" width="9.140625" customWidth="1"/>
    <col min="9" max="9" width="14.5703125" bestFit="1" customWidth="1"/>
    <col min="10" max="10" width="15.140625" bestFit="1" customWidth="1"/>
  </cols>
  <sheetData>
    <row r="1" spans="1:10" x14ac:dyDescent="0.25">
      <c r="A1" s="86" t="s">
        <v>226</v>
      </c>
      <c r="E1" t="s">
        <v>228</v>
      </c>
      <c r="H1" t="s">
        <v>227</v>
      </c>
    </row>
    <row r="2" spans="1:10" x14ac:dyDescent="0.25">
      <c r="A2" t="s">
        <v>172</v>
      </c>
      <c r="B2" t="s">
        <v>222</v>
      </c>
      <c r="C2" t="s">
        <v>218</v>
      </c>
      <c r="E2" t="s">
        <v>172</v>
      </c>
      <c r="F2" t="s">
        <v>218</v>
      </c>
      <c r="H2" t="s">
        <v>172</v>
      </c>
      <c r="I2" t="s">
        <v>224</v>
      </c>
      <c r="J2" t="s">
        <v>223</v>
      </c>
    </row>
    <row r="3" spans="1:10" x14ac:dyDescent="0.25">
      <c r="A3">
        <v>106</v>
      </c>
      <c r="B3">
        <v>0.14000000000000001</v>
      </c>
      <c r="C3">
        <f>B3*25.4</f>
        <v>3.556</v>
      </c>
      <c r="E3">
        <v>106</v>
      </c>
      <c r="F3" cm="1">
        <f t="array" ref="F3:F50">SUMIFS(C3:C66,A3:A66,E3:E50)</f>
        <v>15.494</v>
      </c>
      <c r="H3">
        <v>148</v>
      </c>
      <c r="I3">
        <v>25.8</v>
      </c>
      <c r="J3">
        <f>I3*1.12</f>
        <v>28.896000000000004</v>
      </c>
    </row>
    <row r="4" spans="1:10" x14ac:dyDescent="0.25">
      <c r="A4">
        <v>106</v>
      </c>
      <c r="B4">
        <v>0.47</v>
      </c>
      <c r="C4">
        <f>B4*25.4</f>
        <v>11.937999999999999</v>
      </c>
      <c r="E4">
        <v>109</v>
      </c>
      <c r="F4">
        <v>12.7</v>
      </c>
      <c r="H4">
        <v>148</v>
      </c>
      <c r="J4">
        <f>I4*1.12</f>
        <v>0</v>
      </c>
    </row>
    <row r="5" spans="1:10" x14ac:dyDescent="0.25">
      <c r="A5">
        <v>109</v>
      </c>
      <c r="B5">
        <v>0.5</v>
      </c>
      <c r="C5">
        <f>B5*25.4</f>
        <v>12.7</v>
      </c>
      <c r="E5">
        <v>110</v>
      </c>
      <c r="F5">
        <v>5.5880000000000001</v>
      </c>
      <c r="H5">
        <v>162</v>
      </c>
      <c r="I5">
        <v>41.2</v>
      </c>
      <c r="J5">
        <f>I5*1.12</f>
        <v>46.144000000000005</v>
      </c>
    </row>
    <row r="6" spans="1:10" x14ac:dyDescent="0.25">
      <c r="A6">
        <v>110</v>
      </c>
      <c r="B6">
        <v>0.22</v>
      </c>
      <c r="C6">
        <f>B6*25.4</f>
        <v>5.5880000000000001</v>
      </c>
      <c r="E6">
        <v>111</v>
      </c>
      <c r="F6">
        <v>11.683999999999999</v>
      </c>
      <c r="H6">
        <v>162</v>
      </c>
      <c r="J6">
        <f>I6*1.12</f>
        <v>0</v>
      </c>
    </row>
    <row r="7" spans="1:10" x14ac:dyDescent="0.25">
      <c r="A7">
        <v>111</v>
      </c>
      <c r="B7">
        <v>0.46</v>
      </c>
      <c r="C7">
        <f>B7*25.4</f>
        <v>11.683999999999999</v>
      </c>
      <c r="E7">
        <v>113</v>
      </c>
      <c r="F7">
        <v>11.937999999999999</v>
      </c>
      <c r="H7">
        <v>176</v>
      </c>
      <c r="I7">
        <v>61.9</v>
      </c>
      <c r="J7">
        <f>I7*1.12</f>
        <v>69.328000000000003</v>
      </c>
    </row>
    <row r="8" spans="1:10" x14ac:dyDescent="0.25">
      <c r="A8">
        <v>113</v>
      </c>
      <c r="B8">
        <v>0.47</v>
      </c>
      <c r="C8">
        <f>B8*25.4</f>
        <v>11.937999999999999</v>
      </c>
      <c r="E8">
        <v>116</v>
      </c>
      <c r="F8">
        <v>22.352</v>
      </c>
      <c r="H8">
        <v>176</v>
      </c>
      <c r="J8">
        <f>I8*1.12</f>
        <v>0</v>
      </c>
    </row>
    <row r="9" spans="1:10" x14ac:dyDescent="0.25">
      <c r="A9">
        <v>116</v>
      </c>
      <c r="B9">
        <v>0.88</v>
      </c>
      <c r="C9">
        <f>B9*25.4</f>
        <v>22.352</v>
      </c>
      <c r="E9">
        <v>118</v>
      </c>
      <c r="F9">
        <v>28.448</v>
      </c>
      <c r="H9">
        <v>177</v>
      </c>
      <c r="J9">
        <f>I9*1.12</f>
        <v>0</v>
      </c>
    </row>
    <row r="10" spans="1:10" x14ac:dyDescent="0.25">
      <c r="A10">
        <v>118</v>
      </c>
      <c r="B10">
        <v>0.27</v>
      </c>
      <c r="C10">
        <f>B10*25.4</f>
        <v>6.8579999999999997</v>
      </c>
      <c r="E10">
        <v>119</v>
      </c>
      <c r="F10">
        <v>21.081999999999997</v>
      </c>
      <c r="H10">
        <v>177</v>
      </c>
      <c r="J10">
        <f>I10*1.12</f>
        <v>0</v>
      </c>
    </row>
    <row r="11" spans="1:10" x14ac:dyDescent="0.25">
      <c r="A11">
        <v>118</v>
      </c>
      <c r="B11">
        <v>0.85</v>
      </c>
      <c r="C11">
        <f>B11*25.4</f>
        <v>21.59</v>
      </c>
      <c r="E11">
        <v>120</v>
      </c>
      <c r="F11">
        <v>21.843999999999998</v>
      </c>
      <c r="H11">
        <v>197</v>
      </c>
      <c r="J11">
        <f>I11*1.12</f>
        <v>0</v>
      </c>
    </row>
    <row r="12" spans="1:10" x14ac:dyDescent="0.25">
      <c r="A12">
        <v>119</v>
      </c>
      <c r="B12">
        <v>0.83</v>
      </c>
      <c r="C12">
        <f>B12*25.4</f>
        <v>21.081999999999997</v>
      </c>
      <c r="E12">
        <v>124</v>
      </c>
      <c r="F12">
        <v>23.114000000000001</v>
      </c>
      <c r="H12">
        <v>197</v>
      </c>
      <c r="I12">
        <v>41.2</v>
      </c>
      <c r="J12">
        <f>I12*1.12</f>
        <v>46.144000000000005</v>
      </c>
    </row>
    <row r="13" spans="1:10" x14ac:dyDescent="0.25">
      <c r="A13">
        <v>120</v>
      </c>
      <c r="B13">
        <v>0.86</v>
      </c>
      <c r="C13">
        <f>B13*25.4</f>
        <v>21.843999999999998</v>
      </c>
      <c r="E13">
        <v>148</v>
      </c>
      <c r="F13">
        <v>25.4</v>
      </c>
    </row>
    <row r="14" spans="1:10" x14ac:dyDescent="0.25">
      <c r="A14">
        <v>124</v>
      </c>
      <c r="B14">
        <v>0.91</v>
      </c>
      <c r="C14">
        <f>B14*25.4</f>
        <v>23.114000000000001</v>
      </c>
      <c r="E14">
        <v>158</v>
      </c>
      <c r="F14">
        <v>20.574000000000002</v>
      </c>
    </row>
    <row r="15" spans="1:10" x14ac:dyDescent="0.25">
      <c r="A15">
        <v>148</v>
      </c>
      <c r="B15">
        <v>0.72</v>
      </c>
      <c r="C15">
        <f>B15*25.4</f>
        <v>18.287999999999997</v>
      </c>
      <c r="E15">
        <v>162</v>
      </c>
      <c r="F15">
        <v>25.4</v>
      </c>
    </row>
    <row r="16" spans="1:10" x14ac:dyDescent="0.25">
      <c r="A16">
        <v>148</v>
      </c>
      <c r="B16">
        <v>0.28000000000000003</v>
      </c>
      <c r="C16">
        <f>B16*25.4</f>
        <v>7.1120000000000001</v>
      </c>
      <c r="E16">
        <v>166</v>
      </c>
      <c r="F16">
        <v>30.225999999999996</v>
      </c>
    </row>
    <row r="17" spans="1:6" x14ac:dyDescent="0.25">
      <c r="A17">
        <v>148</v>
      </c>
      <c r="C17">
        <f>B17*25.4</f>
        <v>0</v>
      </c>
      <c r="E17">
        <v>167</v>
      </c>
      <c r="F17">
        <v>0</v>
      </c>
    </row>
    <row r="18" spans="1:6" x14ac:dyDescent="0.25">
      <c r="A18">
        <v>158</v>
      </c>
      <c r="B18">
        <v>0.81</v>
      </c>
      <c r="C18">
        <f>B18*25.4</f>
        <v>20.574000000000002</v>
      </c>
      <c r="E18">
        <v>168</v>
      </c>
      <c r="F18">
        <v>0</v>
      </c>
    </row>
    <row r="19" spans="1:6" x14ac:dyDescent="0.25">
      <c r="A19">
        <v>162</v>
      </c>
      <c r="B19">
        <v>0.72</v>
      </c>
      <c r="C19">
        <f>B19*25.4</f>
        <v>18.287999999999997</v>
      </c>
      <c r="E19">
        <v>170</v>
      </c>
      <c r="F19">
        <v>23.622</v>
      </c>
    </row>
    <row r="20" spans="1:6" x14ac:dyDescent="0.25">
      <c r="A20">
        <v>162</v>
      </c>
      <c r="B20">
        <v>0.28000000000000003</v>
      </c>
      <c r="C20">
        <f>B20*25.4</f>
        <v>7.1120000000000001</v>
      </c>
      <c r="E20">
        <v>174</v>
      </c>
      <c r="F20">
        <v>20.32</v>
      </c>
    </row>
    <row r="21" spans="1:6" x14ac:dyDescent="0.25">
      <c r="A21">
        <v>162</v>
      </c>
      <c r="C21">
        <f>B21*25.4</f>
        <v>0</v>
      </c>
      <c r="E21">
        <v>175</v>
      </c>
      <c r="F21">
        <v>0</v>
      </c>
    </row>
    <row r="22" spans="1:6" x14ac:dyDescent="0.25">
      <c r="A22">
        <v>166</v>
      </c>
      <c r="B22">
        <v>1.19</v>
      </c>
      <c r="C22">
        <f>B22*25.4</f>
        <v>30.225999999999996</v>
      </c>
      <c r="E22">
        <v>176</v>
      </c>
      <c r="F22">
        <v>27.177999999999997</v>
      </c>
    </row>
    <row r="23" spans="1:6" x14ac:dyDescent="0.25">
      <c r="A23">
        <v>167</v>
      </c>
      <c r="C23">
        <f>B23*25.4</f>
        <v>0</v>
      </c>
      <c r="E23">
        <v>177</v>
      </c>
      <c r="F23">
        <v>0</v>
      </c>
    </row>
    <row r="24" spans="1:6" x14ac:dyDescent="0.25">
      <c r="A24">
        <v>168</v>
      </c>
      <c r="C24">
        <f>B24*25.4</f>
        <v>0</v>
      </c>
      <c r="E24">
        <v>181</v>
      </c>
      <c r="F24">
        <v>23.114000000000001</v>
      </c>
    </row>
    <row r="25" spans="1:6" x14ac:dyDescent="0.25">
      <c r="A25">
        <v>170</v>
      </c>
      <c r="B25">
        <v>0.93</v>
      </c>
      <c r="C25">
        <f>B25*25.4</f>
        <v>23.622</v>
      </c>
      <c r="E25">
        <v>182</v>
      </c>
      <c r="F25">
        <v>0</v>
      </c>
    </row>
    <row r="26" spans="1:6" x14ac:dyDescent="0.25">
      <c r="A26">
        <v>174</v>
      </c>
      <c r="B26">
        <v>0.8</v>
      </c>
      <c r="C26">
        <f>B26*25.4</f>
        <v>20.32</v>
      </c>
      <c r="E26">
        <v>183</v>
      </c>
      <c r="F26">
        <v>23.367999999999999</v>
      </c>
    </row>
    <row r="27" spans="1:6" x14ac:dyDescent="0.25">
      <c r="A27">
        <v>175</v>
      </c>
      <c r="C27">
        <f>B27*25.4</f>
        <v>0</v>
      </c>
      <c r="E27">
        <v>184</v>
      </c>
      <c r="F27">
        <v>0</v>
      </c>
    </row>
    <row r="28" spans="1:6" x14ac:dyDescent="0.25">
      <c r="A28">
        <v>176</v>
      </c>
      <c r="B28">
        <v>0.71</v>
      </c>
      <c r="C28">
        <f>B28*25.4</f>
        <v>18.033999999999999</v>
      </c>
      <c r="E28">
        <v>187</v>
      </c>
      <c r="F28">
        <v>35.305999999999997</v>
      </c>
    </row>
    <row r="29" spans="1:6" x14ac:dyDescent="0.25">
      <c r="A29">
        <v>176</v>
      </c>
      <c r="B29">
        <v>0.36</v>
      </c>
      <c r="C29">
        <f>B29*25.4</f>
        <v>9.1439999999999984</v>
      </c>
      <c r="E29">
        <v>188</v>
      </c>
      <c r="F29">
        <v>25.4</v>
      </c>
    </row>
    <row r="30" spans="1:6" x14ac:dyDescent="0.25">
      <c r="A30">
        <v>176</v>
      </c>
      <c r="C30">
        <f>B30*25.4</f>
        <v>0</v>
      </c>
      <c r="E30">
        <v>193</v>
      </c>
      <c r="F30">
        <v>28.194000000000003</v>
      </c>
    </row>
    <row r="31" spans="1:6" x14ac:dyDescent="0.25">
      <c r="A31">
        <v>177</v>
      </c>
      <c r="C31">
        <f>B31*25.4</f>
        <v>0</v>
      </c>
      <c r="E31">
        <v>195</v>
      </c>
      <c r="F31">
        <v>25.4</v>
      </c>
    </row>
    <row r="32" spans="1:6" x14ac:dyDescent="0.25">
      <c r="A32">
        <v>177</v>
      </c>
      <c r="C32">
        <f>B32*25.4</f>
        <v>0</v>
      </c>
      <c r="E32">
        <v>197</v>
      </c>
      <c r="F32">
        <v>6.8579999999999997</v>
      </c>
    </row>
    <row r="33" spans="1:6" x14ac:dyDescent="0.25">
      <c r="A33">
        <v>177</v>
      </c>
      <c r="C33">
        <f>B33*25.4</f>
        <v>0</v>
      </c>
      <c r="E33">
        <v>203</v>
      </c>
      <c r="F33">
        <v>29.209999999999997</v>
      </c>
    </row>
    <row r="34" spans="1:6" x14ac:dyDescent="0.25">
      <c r="A34">
        <v>181</v>
      </c>
      <c r="B34">
        <v>0.91</v>
      </c>
      <c r="C34">
        <f>B34*25.4</f>
        <v>23.114000000000001</v>
      </c>
      <c r="E34">
        <v>204</v>
      </c>
      <c r="F34">
        <v>11.43</v>
      </c>
    </row>
    <row r="35" spans="1:6" x14ac:dyDescent="0.25">
      <c r="A35">
        <v>182</v>
      </c>
      <c r="C35">
        <f>B35*25.4</f>
        <v>0</v>
      </c>
      <c r="E35">
        <v>208</v>
      </c>
      <c r="F35">
        <v>28.448</v>
      </c>
    </row>
    <row r="36" spans="1:6" x14ac:dyDescent="0.25">
      <c r="A36">
        <v>183</v>
      </c>
      <c r="B36">
        <v>0.92</v>
      </c>
      <c r="C36">
        <f>B36*25.4</f>
        <v>23.367999999999999</v>
      </c>
      <c r="E36">
        <v>210</v>
      </c>
      <c r="F36">
        <v>37.337999999999994</v>
      </c>
    </row>
    <row r="37" spans="1:6" x14ac:dyDescent="0.25">
      <c r="A37">
        <v>184</v>
      </c>
      <c r="C37">
        <f>B37*25.4</f>
        <v>0</v>
      </c>
      <c r="E37">
        <v>214</v>
      </c>
      <c r="F37">
        <v>0</v>
      </c>
    </row>
    <row r="38" spans="1:6" x14ac:dyDescent="0.25">
      <c r="A38">
        <v>187</v>
      </c>
      <c r="B38">
        <v>0.89</v>
      </c>
      <c r="C38">
        <f>B38*25.4</f>
        <v>22.605999999999998</v>
      </c>
      <c r="E38">
        <v>215</v>
      </c>
      <c r="F38">
        <v>24.13</v>
      </c>
    </row>
    <row r="39" spans="1:6" x14ac:dyDescent="0.25">
      <c r="A39">
        <v>187</v>
      </c>
      <c r="B39">
        <v>0.5</v>
      </c>
      <c r="C39">
        <f>B39*25.4</f>
        <v>12.7</v>
      </c>
      <c r="E39">
        <v>216</v>
      </c>
      <c r="F39">
        <v>8.8899999999999988</v>
      </c>
    </row>
    <row r="40" spans="1:6" x14ac:dyDescent="0.25">
      <c r="A40">
        <v>188</v>
      </c>
      <c r="C40">
        <f>B40*25.4</f>
        <v>0</v>
      </c>
      <c r="E40">
        <v>217</v>
      </c>
      <c r="F40">
        <v>30.225999999999996</v>
      </c>
    </row>
    <row r="41" spans="1:6" x14ac:dyDescent="0.25">
      <c r="A41">
        <v>188</v>
      </c>
      <c r="B41">
        <v>1</v>
      </c>
      <c r="C41">
        <f>B41*25.4</f>
        <v>25.4</v>
      </c>
      <c r="E41">
        <v>221</v>
      </c>
      <c r="F41">
        <v>26.161999999999999</v>
      </c>
    </row>
    <row r="42" spans="1:6" x14ac:dyDescent="0.25">
      <c r="A42">
        <v>193</v>
      </c>
      <c r="B42">
        <v>1.1100000000000001</v>
      </c>
      <c r="C42">
        <f>B42*25.4</f>
        <v>28.194000000000003</v>
      </c>
      <c r="E42">
        <v>223</v>
      </c>
      <c r="F42">
        <v>40.64</v>
      </c>
    </row>
    <row r="43" spans="1:6" x14ac:dyDescent="0.25">
      <c r="A43">
        <v>195</v>
      </c>
      <c r="B43">
        <v>1</v>
      </c>
      <c r="C43">
        <f>B43*25.4</f>
        <v>25.4</v>
      </c>
      <c r="E43">
        <v>225</v>
      </c>
      <c r="F43">
        <v>35.305999999999997</v>
      </c>
    </row>
    <row r="44" spans="1:6" x14ac:dyDescent="0.25">
      <c r="A44">
        <v>197</v>
      </c>
      <c r="C44">
        <f>B44*25.4</f>
        <v>0</v>
      </c>
      <c r="E44">
        <v>228</v>
      </c>
      <c r="F44">
        <v>24.891999999999999</v>
      </c>
    </row>
    <row r="45" spans="1:6" x14ac:dyDescent="0.25">
      <c r="A45">
        <v>197</v>
      </c>
      <c r="B45">
        <v>0.27</v>
      </c>
      <c r="C45">
        <f>B45*25.4</f>
        <v>6.8579999999999997</v>
      </c>
      <c r="E45">
        <v>231</v>
      </c>
      <c r="F45">
        <v>25.907999999999998</v>
      </c>
    </row>
    <row r="46" spans="1:6" x14ac:dyDescent="0.25">
      <c r="A46">
        <v>203</v>
      </c>
      <c r="B46">
        <v>1.1499999999999999</v>
      </c>
      <c r="C46">
        <f>B46*25.4</f>
        <v>29.209999999999997</v>
      </c>
      <c r="E46">
        <v>235</v>
      </c>
      <c r="F46">
        <v>38.099999999999994</v>
      </c>
    </row>
    <row r="47" spans="1:6" x14ac:dyDescent="0.25">
      <c r="A47">
        <v>204</v>
      </c>
      <c r="B47">
        <v>0.45</v>
      </c>
      <c r="C47">
        <f>B47*25.4</f>
        <v>11.43</v>
      </c>
      <c r="E47">
        <v>238</v>
      </c>
      <c r="F47">
        <v>25.654</v>
      </c>
    </row>
    <row r="48" spans="1:6" x14ac:dyDescent="0.25">
      <c r="A48">
        <v>208</v>
      </c>
      <c r="B48">
        <v>1.1200000000000001</v>
      </c>
      <c r="C48">
        <f>B48*25.4</f>
        <v>28.448</v>
      </c>
      <c r="E48">
        <v>242</v>
      </c>
      <c r="F48">
        <v>24.891999999999999</v>
      </c>
    </row>
    <row r="49" spans="1:6" x14ac:dyDescent="0.25">
      <c r="A49">
        <v>210</v>
      </c>
      <c r="B49">
        <v>1.47</v>
      </c>
      <c r="C49">
        <f>B49*25.4</f>
        <v>37.337999999999994</v>
      </c>
      <c r="E49">
        <v>245</v>
      </c>
      <c r="F49">
        <v>38.099999999999994</v>
      </c>
    </row>
    <row r="50" spans="1:6" x14ac:dyDescent="0.25">
      <c r="A50">
        <v>214</v>
      </c>
      <c r="C50">
        <f>B50*25.4</f>
        <v>0</v>
      </c>
      <c r="E50">
        <v>250</v>
      </c>
      <c r="F50">
        <v>0</v>
      </c>
    </row>
    <row r="51" spans="1:6" x14ac:dyDescent="0.25">
      <c r="A51">
        <v>215</v>
      </c>
      <c r="B51">
        <v>0.95</v>
      </c>
      <c r="C51">
        <f>B51*25.4</f>
        <v>24.13</v>
      </c>
    </row>
    <row r="52" spans="1:6" x14ac:dyDescent="0.25">
      <c r="A52">
        <v>216</v>
      </c>
      <c r="C52">
        <f>B52*25.4</f>
        <v>0</v>
      </c>
    </row>
    <row r="53" spans="1:6" x14ac:dyDescent="0.25">
      <c r="A53">
        <v>216</v>
      </c>
      <c r="B53">
        <v>0.35</v>
      </c>
      <c r="C53">
        <f>B53*25.4</f>
        <v>8.8899999999999988</v>
      </c>
    </row>
    <row r="54" spans="1:6" x14ac:dyDescent="0.25">
      <c r="A54">
        <v>217</v>
      </c>
      <c r="B54">
        <v>1.19</v>
      </c>
      <c r="C54">
        <f>B54*25.4</f>
        <v>30.225999999999996</v>
      </c>
    </row>
    <row r="55" spans="1:6" x14ac:dyDescent="0.25">
      <c r="A55">
        <v>221</v>
      </c>
      <c r="B55">
        <v>1.03</v>
      </c>
      <c r="C55">
        <f>B55*25.4</f>
        <v>26.161999999999999</v>
      </c>
    </row>
    <row r="56" spans="1:6" x14ac:dyDescent="0.25">
      <c r="A56">
        <v>223</v>
      </c>
      <c r="B56">
        <v>1.04</v>
      </c>
      <c r="C56">
        <f>B56*25.4</f>
        <v>26.416</v>
      </c>
    </row>
    <row r="57" spans="1:6" x14ac:dyDescent="0.25">
      <c r="A57">
        <v>223</v>
      </c>
      <c r="B57">
        <v>0.56000000000000005</v>
      </c>
      <c r="C57">
        <f>B57*25.4</f>
        <v>14.224</v>
      </c>
    </row>
    <row r="58" spans="1:6" x14ac:dyDescent="0.25">
      <c r="A58">
        <v>223</v>
      </c>
      <c r="C58">
        <f>B58*25.4</f>
        <v>0</v>
      </c>
    </row>
    <row r="59" spans="1:6" x14ac:dyDescent="0.25">
      <c r="A59">
        <v>225</v>
      </c>
      <c r="B59">
        <v>1.39</v>
      </c>
      <c r="C59">
        <f>B59*25.4</f>
        <v>35.305999999999997</v>
      </c>
    </row>
    <row r="60" spans="1:6" x14ac:dyDescent="0.25">
      <c r="A60">
        <v>228</v>
      </c>
      <c r="B60">
        <v>0.98</v>
      </c>
      <c r="C60">
        <f>B60*25.4</f>
        <v>24.891999999999999</v>
      </c>
    </row>
    <row r="61" spans="1:6" x14ac:dyDescent="0.25">
      <c r="A61">
        <v>231</v>
      </c>
      <c r="B61">
        <v>1.02</v>
      </c>
      <c r="C61">
        <f>B61*25.4</f>
        <v>25.907999999999998</v>
      </c>
    </row>
    <row r="62" spans="1:6" x14ac:dyDescent="0.25">
      <c r="A62">
        <v>235</v>
      </c>
      <c r="B62">
        <v>1.5</v>
      </c>
      <c r="C62">
        <f>B62*25.4</f>
        <v>38.099999999999994</v>
      </c>
    </row>
    <row r="63" spans="1:6" x14ac:dyDescent="0.25">
      <c r="A63">
        <v>238</v>
      </c>
      <c r="B63">
        <v>1.01</v>
      </c>
      <c r="C63">
        <f>B63*25.4</f>
        <v>25.654</v>
      </c>
    </row>
    <row r="64" spans="1:6" x14ac:dyDescent="0.25">
      <c r="A64">
        <v>242</v>
      </c>
      <c r="B64">
        <v>0.98</v>
      </c>
      <c r="C64">
        <f>B64*25.4</f>
        <v>24.891999999999999</v>
      </c>
    </row>
    <row r="65" spans="1:6" x14ac:dyDescent="0.25">
      <c r="A65">
        <v>245</v>
      </c>
      <c r="B65">
        <v>1.5</v>
      </c>
      <c r="C65">
        <f>B65*25.4</f>
        <v>38.099999999999994</v>
      </c>
    </row>
    <row r="66" spans="1:6" x14ac:dyDescent="0.25">
      <c r="A66">
        <v>250</v>
      </c>
      <c r="C66">
        <f>B66*25.4</f>
        <v>0</v>
      </c>
      <c r="D66" s="87"/>
      <c r="F66" s="87"/>
    </row>
    <row r="67" spans="1:6" x14ac:dyDescent="0.25">
      <c r="B67">
        <f>SUM(B3:B66)</f>
        <v>37.949999999999996</v>
      </c>
      <c r="C67" s="87">
        <f>SUM(C3:C66)</f>
        <v>963.93000000000006</v>
      </c>
    </row>
    <row r="69" spans="1:6" x14ac:dyDescent="0.25">
      <c r="C69">
        <f>SUM(C15:C66)</f>
        <v>789.68600000000026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57A2E-1ED1-4999-BCA5-1CC5A0D8A2FF}">
  <dimension ref="A1:J69"/>
  <sheetViews>
    <sheetView workbookViewId="0">
      <selection activeCell="F3" sqref="F3:F50"/>
    </sheetView>
  </sheetViews>
  <sheetFormatPr defaultRowHeight="15" x14ac:dyDescent="0.25"/>
  <cols>
    <col min="2" max="2" width="10" customWidth="1"/>
    <col min="3" max="3" width="11.7109375" bestFit="1" customWidth="1"/>
    <col min="4" max="6" width="11.7109375" customWidth="1"/>
    <col min="9" max="9" width="14.5703125" bestFit="1" customWidth="1"/>
    <col min="10" max="10" width="15.140625" bestFit="1" customWidth="1"/>
  </cols>
  <sheetData>
    <row r="1" spans="1:10" x14ac:dyDescent="0.25">
      <c r="A1" s="86" t="s">
        <v>226</v>
      </c>
      <c r="E1" t="s">
        <v>228</v>
      </c>
      <c r="H1" t="s">
        <v>227</v>
      </c>
    </row>
    <row r="2" spans="1:10" x14ac:dyDescent="0.25">
      <c r="A2" t="s">
        <v>172</v>
      </c>
      <c r="B2" t="s">
        <v>225</v>
      </c>
      <c r="C2" t="s">
        <v>218</v>
      </c>
      <c r="E2" t="s">
        <v>172</v>
      </c>
      <c r="F2" t="s">
        <v>218</v>
      </c>
      <c r="H2" t="s">
        <v>172</v>
      </c>
      <c r="I2" t="s">
        <v>224</v>
      </c>
      <c r="J2" t="s">
        <v>223</v>
      </c>
    </row>
    <row r="3" spans="1:10" x14ac:dyDescent="0.25">
      <c r="A3">
        <v>106</v>
      </c>
      <c r="B3">
        <v>0.13</v>
      </c>
      <c r="C3">
        <f>B3*25.4</f>
        <v>3.302</v>
      </c>
      <c r="E3">
        <v>106</v>
      </c>
      <c r="F3" cm="1">
        <f t="array" ref="F3:F50">SUMIFS(C3:C66,A3:A66,E3:E50)</f>
        <v>14.223999999999998</v>
      </c>
      <c r="H3">
        <v>148</v>
      </c>
      <c r="J3">
        <f>I3*1.12</f>
        <v>0</v>
      </c>
    </row>
    <row r="4" spans="1:10" x14ac:dyDescent="0.25">
      <c r="A4">
        <v>106</v>
      </c>
      <c r="B4">
        <v>0.43</v>
      </c>
      <c r="C4">
        <f>B4*25.4</f>
        <v>10.921999999999999</v>
      </c>
      <c r="E4">
        <v>109</v>
      </c>
      <c r="F4">
        <v>12.7</v>
      </c>
      <c r="H4">
        <v>148</v>
      </c>
      <c r="I4">
        <v>10.8</v>
      </c>
      <c r="J4">
        <f>I4*1.12</f>
        <v>12.096000000000002</v>
      </c>
    </row>
    <row r="5" spans="1:10" x14ac:dyDescent="0.25">
      <c r="A5">
        <v>109</v>
      </c>
      <c r="B5">
        <v>0.5</v>
      </c>
      <c r="C5">
        <f>B5*25.4</f>
        <v>12.7</v>
      </c>
      <c r="E5">
        <v>110</v>
      </c>
      <c r="F5">
        <v>5.5880000000000001</v>
      </c>
      <c r="H5">
        <v>162</v>
      </c>
      <c r="J5">
        <f>I5*1.12</f>
        <v>0</v>
      </c>
    </row>
    <row r="6" spans="1:10" x14ac:dyDescent="0.25">
      <c r="A6">
        <v>110</v>
      </c>
      <c r="B6">
        <v>0.22</v>
      </c>
      <c r="C6">
        <f>B6*25.4</f>
        <v>5.5880000000000001</v>
      </c>
      <c r="E6">
        <v>111</v>
      </c>
      <c r="F6">
        <v>11.683999999999999</v>
      </c>
      <c r="H6">
        <v>162</v>
      </c>
      <c r="I6">
        <v>21.5</v>
      </c>
      <c r="J6">
        <f>I6*1.12</f>
        <v>24.080000000000002</v>
      </c>
    </row>
    <row r="7" spans="1:10" x14ac:dyDescent="0.25">
      <c r="A7">
        <v>111</v>
      </c>
      <c r="B7">
        <v>0.46</v>
      </c>
      <c r="C7">
        <f>B7*25.4</f>
        <v>11.683999999999999</v>
      </c>
      <c r="E7">
        <v>113</v>
      </c>
      <c r="F7">
        <v>11.43</v>
      </c>
      <c r="H7">
        <v>176</v>
      </c>
      <c r="J7">
        <f>I7*1.12</f>
        <v>0</v>
      </c>
    </row>
    <row r="8" spans="1:10" x14ac:dyDescent="0.25">
      <c r="A8">
        <v>113</v>
      </c>
      <c r="B8">
        <v>0.45</v>
      </c>
      <c r="C8">
        <f>B8*25.4</f>
        <v>11.43</v>
      </c>
      <c r="E8">
        <v>116</v>
      </c>
      <c r="F8">
        <v>22.352</v>
      </c>
      <c r="H8">
        <v>176</v>
      </c>
      <c r="I8">
        <v>21.5</v>
      </c>
      <c r="J8">
        <f>I8*1.12</f>
        <v>24.080000000000002</v>
      </c>
    </row>
    <row r="9" spans="1:10" x14ac:dyDescent="0.25">
      <c r="A9">
        <v>116</v>
      </c>
      <c r="B9">
        <v>0.88</v>
      </c>
      <c r="C9">
        <f>B9*25.4</f>
        <v>22.352</v>
      </c>
      <c r="E9">
        <v>118</v>
      </c>
      <c r="F9">
        <v>31.241999999999997</v>
      </c>
      <c r="H9">
        <v>177</v>
      </c>
      <c r="J9">
        <f>I9*1.12</f>
        <v>0</v>
      </c>
    </row>
    <row r="10" spans="1:10" x14ac:dyDescent="0.25">
      <c r="A10">
        <v>118</v>
      </c>
      <c r="B10">
        <v>0.3</v>
      </c>
      <c r="C10">
        <f>B10*25.4</f>
        <v>7.6199999999999992</v>
      </c>
      <c r="E10">
        <v>119</v>
      </c>
      <c r="F10">
        <v>24.13</v>
      </c>
      <c r="H10">
        <v>177</v>
      </c>
      <c r="J10">
        <f>I10*1.12</f>
        <v>0</v>
      </c>
    </row>
    <row r="11" spans="1:10" x14ac:dyDescent="0.25">
      <c r="A11">
        <v>118</v>
      </c>
      <c r="B11">
        <v>0.93</v>
      </c>
      <c r="C11">
        <f>B11*25.4</f>
        <v>23.622</v>
      </c>
      <c r="E11">
        <v>120</v>
      </c>
      <c r="F11">
        <v>22.86</v>
      </c>
      <c r="H11">
        <v>197</v>
      </c>
      <c r="I11">
        <v>16.100000000000001</v>
      </c>
      <c r="J11">
        <f>I11*1.12</f>
        <v>18.032000000000004</v>
      </c>
    </row>
    <row r="12" spans="1:10" x14ac:dyDescent="0.25">
      <c r="A12">
        <v>119</v>
      </c>
      <c r="B12">
        <v>0.95</v>
      </c>
      <c r="C12">
        <f>B12*25.4</f>
        <v>24.13</v>
      </c>
      <c r="E12">
        <v>124</v>
      </c>
      <c r="F12">
        <v>20.574000000000002</v>
      </c>
      <c r="H12">
        <v>197</v>
      </c>
      <c r="J12">
        <f>I12*1.12</f>
        <v>0</v>
      </c>
    </row>
    <row r="13" spans="1:10" x14ac:dyDescent="0.25">
      <c r="A13">
        <v>120</v>
      </c>
      <c r="B13">
        <v>0.9</v>
      </c>
      <c r="C13">
        <f>B13*25.4</f>
        <v>22.86</v>
      </c>
      <c r="E13">
        <v>148</v>
      </c>
      <c r="F13">
        <v>26.669999999999995</v>
      </c>
    </row>
    <row r="14" spans="1:10" x14ac:dyDescent="0.25">
      <c r="A14">
        <v>124</v>
      </c>
      <c r="B14">
        <v>0.81</v>
      </c>
      <c r="C14">
        <f>B14*25.4</f>
        <v>20.574000000000002</v>
      </c>
      <c r="E14">
        <v>158</v>
      </c>
      <c r="F14">
        <v>23.367999999999999</v>
      </c>
    </row>
    <row r="15" spans="1:10" x14ac:dyDescent="0.25">
      <c r="A15">
        <v>148</v>
      </c>
      <c r="B15">
        <v>0.72</v>
      </c>
      <c r="C15">
        <f>B15*25.4</f>
        <v>18.287999999999997</v>
      </c>
      <c r="E15">
        <v>162</v>
      </c>
      <c r="F15">
        <v>27.431999999999999</v>
      </c>
    </row>
    <row r="16" spans="1:10" x14ac:dyDescent="0.25">
      <c r="A16">
        <v>148</v>
      </c>
      <c r="C16">
        <f>B16*25.4</f>
        <v>0</v>
      </c>
      <c r="E16">
        <v>166</v>
      </c>
      <c r="F16">
        <v>31.495999999999999</v>
      </c>
    </row>
    <row r="17" spans="1:6" x14ac:dyDescent="0.25">
      <c r="A17">
        <v>148</v>
      </c>
      <c r="B17">
        <v>0.33</v>
      </c>
      <c r="C17">
        <f>B17*25.4</f>
        <v>8.3819999999999997</v>
      </c>
      <c r="E17">
        <v>167</v>
      </c>
      <c r="F17">
        <v>0</v>
      </c>
    </row>
    <row r="18" spans="1:6" x14ac:dyDescent="0.25">
      <c r="A18">
        <v>158</v>
      </c>
      <c r="B18">
        <v>0.92</v>
      </c>
      <c r="C18">
        <f>B18*25.4</f>
        <v>23.367999999999999</v>
      </c>
      <c r="E18">
        <v>168</v>
      </c>
      <c r="F18">
        <v>4.8259999999999996</v>
      </c>
    </row>
    <row r="19" spans="1:6" x14ac:dyDescent="0.25">
      <c r="A19">
        <v>162</v>
      </c>
      <c r="B19">
        <v>0.77</v>
      </c>
      <c r="C19">
        <f>B19*25.4</f>
        <v>19.558</v>
      </c>
      <c r="E19">
        <v>170</v>
      </c>
      <c r="F19">
        <v>17.779999999999998</v>
      </c>
    </row>
    <row r="20" spans="1:6" x14ac:dyDescent="0.25">
      <c r="A20">
        <v>162</v>
      </c>
      <c r="C20">
        <f>B20*25.4</f>
        <v>0</v>
      </c>
      <c r="E20">
        <v>174</v>
      </c>
      <c r="F20">
        <v>21.59</v>
      </c>
    </row>
    <row r="21" spans="1:6" x14ac:dyDescent="0.25">
      <c r="A21">
        <v>162</v>
      </c>
      <c r="B21">
        <v>0.31</v>
      </c>
      <c r="C21">
        <f>B21*25.4</f>
        <v>7.8739999999999997</v>
      </c>
      <c r="E21">
        <v>175</v>
      </c>
      <c r="F21">
        <v>0</v>
      </c>
    </row>
    <row r="22" spans="1:6" x14ac:dyDescent="0.25">
      <c r="A22">
        <v>166</v>
      </c>
      <c r="B22">
        <v>1.24</v>
      </c>
      <c r="C22">
        <f>B22*25.4</f>
        <v>31.495999999999999</v>
      </c>
      <c r="E22">
        <v>176</v>
      </c>
      <c r="F22">
        <v>27.686</v>
      </c>
    </row>
    <row r="23" spans="1:6" x14ac:dyDescent="0.25">
      <c r="A23">
        <v>167</v>
      </c>
      <c r="C23">
        <f>B23*25.4</f>
        <v>0</v>
      </c>
      <c r="E23">
        <v>177</v>
      </c>
      <c r="F23">
        <v>0</v>
      </c>
    </row>
    <row r="24" spans="1:6" x14ac:dyDescent="0.25">
      <c r="A24">
        <v>168</v>
      </c>
      <c r="B24">
        <v>0.19</v>
      </c>
      <c r="C24">
        <f>B24*25.4</f>
        <v>4.8259999999999996</v>
      </c>
      <c r="E24">
        <v>181</v>
      </c>
      <c r="F24">
        <v>23.114000000000001</v>
      </c>
    </row>
    <row r="25" spans="1:6" x14ac:dyDescent="0.25">
      <c r="A25">
        <v>170</v>
      </c>
      <c r="B25">
        <v>0.7</v>
      </c>
      <c r="C25">
        <f>B25*25.4</f>
        <v>17.779999999999998</v>
      </c>
      <c r="E25">
        <v>182</v>
      </c>
      <c r="F25">
        <v>0</v>
      </c>
    </row>
    <row r="26" spans="1:6" x14ac:dyDescent="0.25">
      <c r="A26">
        <v>174</v>
      </c>
      <c r="B26">
        <v>0.85</v>
      </c>
      <c r="C26">
        <f>B26*25.4</f>
        <v>21.59</v>
      </c>
      <c r="E26">
        <v>183</v>
      </c>
      <c r="F26">
        <v>25.654</v>
      </c>
    </row>
    <row r="27" spans="1:6" x14ac:dyDescent="0.25">
      <c r="A27">
        <v>175</v>
      </c>
      <c r="C27">
        <f>B27*25.4</f>
        <v>0</v>
      </c>
      <c r="E27">
        <v>184</v>
      </c>
      <c r="F27">
        <v>0</v>
      </c>
    </row>
    <row r="28" spans="1:6" x14ac:dyDescent="0.25">
      <c r="A28">
        <v>176</v>
      </c>
      <c r="B28">
        <v>0.79</v>
      </c>
      <c r="C28">
        <f>B28*25.4</f>
        <v>20.065999999999999</v>
      </c>
      <c r="E28">
        <v>187</v>
      </c>
      <c r="F28">
        <v>37.083999999999996</v>
      </c>
    </row>
    <row r="29" spans="1:6" x14ac:dyDescent="0.25">
      <c r="A29">
        <v>176</v>
      </c>
      <c r="C29">
        <f>B29*25.4</f>
        <v>0</v>
      </c>
      <c r="E29">
        <v>188</v>
      </c>
      <c r="F29">
        <v>25.4</v>
      </c>
    </row>
    <row r="30" spans="1:6" x14ac:dyDescent="0.25">
      <c r="A30">
        <v>176</v>
      </c>
      <c r="B30">
        <v>0.3</v>
      </c>
      <c r="C30">
        <f>B30*25.4</f>
        <v>7.6199999999999992</v>
      </c>
      <c r="E30">
        <v>193</v>
      </c>
      <c r="F30">
        <v>30.225999999999996</v>
      </c>
    </row>
    <row r="31" spans="1:6" x14ac:dyDescent="0.25">
      <c r="A31">
        <v>177</v>
      </c>
      <c r="C31">
        <f>B31*25.4</f>
        <v>0</v>
      </c>
      <c r="E31">
        <v>195</v>
      </c>
      <c r="F31">
        <v>25.4</v>
      </c>
    </row>
    <row r="32" spans="1:6" x14ac:dyDescent="0.25">
      <c r="A32">
        <v>177</v>
      </c>
      <c r="C32">
        <f>B32*25.4</f>
        <v>0</v>
      </c>
      <c r="E32">
        <v>197</v>
      </c>
      <c r="F32">
        <v>6.0959999999999992</v>
      </c>
    </row>
    <row r="33" spans="1:6" x14ac:dyDescent="0.25">
      <c r="A33">
        <v>177</v>
      </c>
      <c r="C33">
        <f>B33*25.4</f>
        <v>0</v>
      </c>
      <c r="E33">
        <v>203</v>
      </c>
      <c r="F33">
        <v>34.798000000000002</v>
      </c>
    </row>
    <row r="34" spans="1:6" x14ac:dyDescent="0.25">
      <c r="A34">
        <v>181</v>
      </c>
      <c r="B34">
        <v>0.91</v>
      </c>
      <c r="C34">
        <f>B34*25.4</f>
        <v>23.114000000000001</v>
      </c>
      <c r="E34">
        <v>204</v>
      </c>
      <c r="F34">
        <v>11.683999999999999</v>
      </c>
    </row>
    <row r="35" spans="1:6" x14ac:dyDescent="0.25">
      <c r="A35">
        <v>182</v>
      </c>
      <c r="C35">
        <f>B35*25.4</f>
        <v>0</v>
      </c>
      <c r="E35">
        <v>208</v>
      </c>
      <c r="F35">
        <v>28.701999999999995</v>
      </c>
    </row>
    <row r="36" spans="1:6" x14ac:dyDescent="0.25">
      <c r="A36">
        <v>183</v>
      </c>
      <c r="B36">
        <v>1.01</v>
      </c>
      <c r="C36">
        <f>B36*25.4</f>
        <v>25.654</v>
      </c>
      <c r="E36">
        <v>210</v>
      </c>
      <c r="F36">
        <v>38.353999999999999</v>
      </c>
    </row>
    <row r="37" spans="1:6" x14ac:dyDescent="0.25">
      <c r="A37">
        <v>184</v>
      </c>
      <c r="C37">
        <f>B37*25.4</f>
        <v>0</v>
      </c>
      <c r="E37">
        <v>214</v>
      </c>
      <c r="F37">
        <v>0</v>
      </c>
    </row>
    <row r="38" spans="1:6" x14ac:dyDescent="0.25">
      <c r="A38">
        <v>187</v>
      </c>
      <c r="B38">
        <v>0.96</v>
      </c>
      <c r="C38">
        <f>B38*25.4</f>
        <v>24.383999999999997</v>
      </c>
      <c r="E38">
        <v>215</v>
      </c>
      <c r="F38">
        <v>25.654</v>
      </c>
    </row>
    <row r="39" spans="1:6" x14ac:dyDescent="0.25">
      <c r="A39">
        <v>187</v>
      </c>
      <c r="B39">
        <v>0.5</v>
      </c>
      <c r="C39">
        <f>B39*25.4</f>
        <v>12.7</v>
      </c>
      <c r="E39">
        <v>216</v>
      </c>
      <c r="F39">
        <v>8.8899999999999988</v>
      </c>
    </row>
    <row r="40" spans="1:6" x14ac:dyDescent="0.25">
      <c r="A40">
        <v>188</v>
      </c>
      <c r="C40">
        <f>B40*25.4</f>
        <v>0</v>
      </c>
      <c r="E40">
        <v>217</v>
      </c>
      <c r="F40">
        <v>32.512</v>
      </c>
    </row>
    <row r="41" spans="1:6" x14ac:dyDescent="0.25">
      <c r="A41">
        <v>188</v>
      </c>
      <c r="B41">
        <v>1</v>
      </c>
      <c r="C41">
        <f>B41*25.4</f>
        <v>25.4</v>
      </c>
      <c r="E41">
        <v>221</v>
      </c>
      <c r="F41">
        <v>29.209999999999997</v>
      </c>
    </row>
    <row r="42" spans="1:6" x14ac:dyDescent="0.25">
      <c r="A42">
        <v>193</v>
      </c>
      <c r="B42">
        <v>1.19</v>
      </c>
      <c r="C42">
        <f>B42*25.4</f>
        <v>30.225999999999996</v>
      </c>
      <c r="E42">
        <v>223</v>
      </c>
      <c r="F42">
        <v>49.53</v>
      </c>
    </row>
    <row r="43" spans="1:6" x14ac:dyDescent="0.25">
      <c r="A43">
        <v>195</v>
      </c>
      <c r="B43">
        <v>1</v>
      </c>
      <c r="C43">
        <f>B43*25.4</f>
        <v>25.4</v>
      </c>
      <c r="E43">
        <v>225</v>
      </c>
      <c r="F43">
        <v>41.91</v>
      </c>
    </row>
    <row r="44" spans="1:6" x14ac:dyDescent="0.25">
      <c r="A44">
        <v>197</v>
      </c>
      <c r="B44">
        <v>0.24</v>
      </c>
      <c r="C44">
        <f>B44*25.4</f>
        <v>6.0959999999999992</v>
      </c>
      <c r="E44">
        <v>228</v>
      </c>
      <c r="F44">
        <v>29.717999999999996</v>
      </c>
    </row>
    <row r="45" spans="1:6" x14ac:dyDescent="0.25">
      <c r="A45">
        <v>197</v>
      </c>
      <c r="C45">
        <f>B45*25.4</f>
        <v>0</v>
      </c>
      <c r="E45">
        <v>231</v>
      </c>
      <c r="F45">
        <v>29.971999999999998</v>
      </c>
    </row>
    <row r="46" spans="1:6" x14ac:dyDescent="0.25">
      <c r="A46">
        <v>203</v>
      </c>
      <c r="B46">
        <v>1.37</v>
      </c>
      <c r="C46">
        <f>B46*25.4</f>
        <v>34.798000000000002</v>
      </c>
      <c r="E46">
        <v>235</v>
      </c>
      <c r="F46">
        <v>35.051999999999992</v>
      </c>
    </row>
    <row r="47" spans="1:6" x14ac:dyDescent="0.25">
      <c r="A47">
        <v>204</v>
      </c>
      <c r="B47">
        <v>0.46</v>
      </c>
      <c r="C47">
        <f>B47*25.4</f>
        <v>11.683999999999999</v>
      </c>
      <c r="E47">
        <v>238</v>
      </c>
      <c r="F47">
        <v>29.209999999999997</v>
      </c>
    </row>
    <row r="48" spans="1:6" x14ac:dyDescent="0.25">
      <c r="A48">
        <v>208</v>
      </c>
      <c r="B48">
        <v>1.1299999999999999</v>
      </c>
      <c r="C48">
        <f>B48*25.4</f>
        <v>28.701999999999995</v>
      </c>
      <c r="E48">
        <v>242</v>
      </c>
      <c r="F48">
        <v>31.495999999999999</v>
      </c>
    </row>
    <row r="49" spans="1:6" x14ac:dyDescent="0.25">
      <c r="A49">
        <v>210</v>
      </c>
      <c r="B49">
        <v>1.51</v>
      </c>
      <c r="C49">
        <f>B49*25.4</f>
        <v>38.353999999999999</v>
      </c>
      <c r="E49">
        <v>245</v>
      </c>
      <c r="F49">
        <v>39.878</v>
      </c>
    </row>
    <row r="50" spans="1:6" x14ac:dyDescent="0.25">
      <c r="A50">
        <v>214</v>
      </c>
      <c r="C50">
        <f>B50*25.4</f>
        <v>0</v>
      </c>
      <c r="E50">
        <v>250</v>
      </c>
      <c r="F50">
        <v>0</v>
      </c>
    </row>
    <row r="51" spans="1:6" x14ac:dyDescent="0.25">
      <c r="A51">
        <v>215</v>
      </c>
      <c r="B51">
        <v>1.01</v>
      </c>
      <c r="C51">
        <f>B51*25.4</f>
        <v>25.654</v>
      </c>
    </row>
    <row r="52" spans="1:6" x14ac:dyDescent="0.25">
      <c r="A52">
        <v>216</v>
      </c>
      <c r="C52">
        <f>B52*25.4</f>
        <v>0</v>
      </c>
    </row>
    <row r="53" spans="1:6" x14ac:dyDescent="0.25">
      <c r="A53">
        <v>216</v>
      </c>
      <c r="B53">
        <v>0.35</v>
      </c>
      <c r="C53">
        <f>B53*25.4</f>
        <v>8.8899999999999988</v>
      </c>
    </row>
    <row r="54" spans="1:6" x14ac:dyDescent="0.25">
      <c r="A54">
        <v>217</v>
      </c>
      <c r="B54">
        <v>1.28</v>
      </c>
      <c r="C54">
        <f>B54*25.4</f>
        <v>32.512</v>
      </c>
    </row>
    <row r="55" spans="1:6" x14ac:dyDescent="0.25">
      <c r="A55">
        <v>221</v>
      </c>
      <c r="B55">
        <v>1.1499999999999999</v>
      </c>
      <c r="C55">
        <f>B55*25.4</f>
        <v>29.209999999999997</v>
      </c>
    </row>
    <row r="56" spans="1:6" x14ac:dyDescent="0.25">
      <c r="A56">
        <v>223</v>
      </c>
      <c r="C56">
        <f>B56*25.4</f>
        <v>0</v>
      </c>
    </row>
    <row r="57" spans="1:6" x14ac:dyDescent="0.25">
      <c r="A57">
        <v>223</v>
      </c>
      <c r="B57">
        <v>0.59</v>
      </c>
      <c r="C57">
        <f>B57*25.4</f>
        <v>14.985999999999999</v>
      </c>
    </row>
    <row r="58" spans="1:6" x14ac:dyDescent="0.25">
      <c r="A58">
        <v>223</v>
      </c>
      <c r="B58">
        <v>1.36</v>
      </c>
      <c r="C58">
        <f>B58*25.4</f>
        <v>34.544000000000004</v>
      </c>
    </row>
    <row r="59" spans="1:6" x14ac:dyDescent="0.25">
      <c r="A59">
        <v>225</v>
      </c>
      <c r="B59">
        <v>1.65</v>
      </c>
      <c r="C59">
        <f>B59*25.4</f>
        <v>41.91</v>
      </c>
    </row>
    <row r="60" spans="1:6" x14ac:dyDescent="0.25">
      <c r="A60">
        <v>228</v>
      </c>
      <c r="B60">
        <v>1.17</v>
      </c>
      <c r="C60">
        <f>B60*25.4</f>
        <v>29.717999999999996</v>
      </c>
    </row>
    <row r="61" spans="1:6" x14ac:dyDescent="0.25">
      <c r="A61">
        <v>231</v>
      </c>
      <c r="B61">
        <v>1.18</v>
      </c>
      <c r="C61">
        <f>B61*25.4</f>
        <v>29.971999999999998</v>
      </c>
    </row>
    <row r="62" spans="1:6" x14ac:dyDescent="0.25">
      <c r="A62">
        <v>235</v>
      </c>
      <c r="B62">
        <v>1.38</v>
      </c>
      <c r="C62">
        <f>B62*25.4</f>
        <v>35.051999999999992</v>
      </c>
    </row>
    <row r="63" spans="1:6" x14ac:dyDescent="0.25">
      <c r="A63">
        <v>238</v>
      </c>
      <c r="B63">
        <v>1.1499999999999999</v>
      </c>
      <c r="C63">
        <f>B63*25.4</f>
        <v>29.209999999999997</v>
      </c>
    </row>
    <row r="64" spans="1:6" x14ac:dyDescent="0.25">
      <c r="A64">
        <v>242</v>
      </c>
      <c r="B64">
        <v>1.24</v>
      </c>
      <c r="C64">
        <f>B64*25.4</f>
        <v>31.495999999999999</v>
      </c>
    </row>
    <row r="65" spans="1:6" x14ac:dyDescent="0.25">
      <c r="A65">
        <v>245</v>
      </c>
      <c r="B65">
        <v>1.57</v>
      </c>
      <c r="C65">
        <f>B65*25.4</f>
        <v>39.878</v>
      </c>
    </row>
    <row r="66" spans="1:6" x14ac:dyDescent="0.25">
      <c r="A66">
        <v>250</v>
      </c>
      <c r="C66">
        <f>B66*25.4</f>
        <v>0</v>
      </c>
      <c r="D66" s="87"/>
      <c r="F66" s="87"/>
    </row>
    <row r="67" spans="1:6" x14ac:dyDescent="0.25">
      <c r="B67">
        <f>SUM(B3:B66)</f>
        <v>40.440000000000005</v>
      </c>
      <c r="C67" s="87">
        <f>SUM(C3:C66)</f>
        <v>1027.1759999999997</v>
      </c>
    </row>
    <row r="69" spans="1:6" x14ac:dyDescent="0.25">
      <c r="C69">
        <f>SUM(C15:C66)</f>
        <v>850.39199999999994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370F7-3BC8-420B-A028-76AEF2455BF6}">
  <dimension ref="A1:J70"/>
  <sheetViews>
    <sheetView workbookViewId="0">
      <selection activeCell="F3" sqref="F3:F50"/>
    </sheetView>
  </sheetViews>
  <sheetFormatPr defaultRowHeight="15" x14ac:dyDescent="0.25"/>
  <cols>
    <col min="2" max="2" width="10" customWidth="1"/>
    <col min="3" max="3" width="11.7109375" bestFit="1" customWidth="1"/>
    <col min="4" max="6" width="11.7109375" customWidth="1"/>
    <col min="9" max="9" width="14.5703125" bestFit="1" customWidth="1"/>
    <col min="10" max="10" width="15.140625" bestFit="1" customWidth="1"/>
  </cols>
  <sheetData>
    <row r="1" spans="1:10" x14ac:dyDescent="0.25">
      <c r="A1" s="86" t="s">
        <v>226</v>
      </c>
      <c r="E1" t="s">
        <v>228</v>
      </c>
      <c r="H1" t="s">
        <v>227</v>
      </c>
    </row>
    <row r="2" spans="1:10" x14ac:dyDescent="0.25">
      <c r="A2" t="s">
        <v>172</v>
      </c>
      <c r="B2" t="s">
        <v>225</v>
      </c>
      <c r="C2" t="s">
        <v>218</v>
      </c>
      <c r="E2" t="s">
        <v>172</v>
      </c>
      <c r="F2" t="s">
        <v>218</v>
      </c>
      <c r="H2" t="s">
        <v>172</v>
      </c>
      <c r="I2" t="s">
        <v>224</v>
      </c>
      <c r="J2" t="s">
        <v>223</v>
      </c>
    </row>
    <row r="3" spans="1:10" x14ac:dyDescent="0.25">
      <c r="A3">
        <v>106</v>
      </c>
      <c r="B3">
        <v>0.14000000000000001</v>
      </c>
      <c r="C3">
        <f>B3*25.4</f>
        <v>3.556</v>
      </c>
      <c r="E3">
        <v>106</v>
      </c>
      <c r="F3" cm="1">
        <f t="array" ref="F3:F50">SUMIFS(C3:C66,A3:A66,E3:E50)</f>
        <v>17.018000000000001</v>
      </c>
      <c r="H3">
        <v>148</v>
      </c>
      <c r="I3">
        <v>6.4</v>
      </c>
      <c r="J3">
        <f>I3*1.12</f>
        <v>7.168000000000001</v>
      </c>
    </row>
    <row r="4" spans="1:10" x14ac:dyDescent="0.25">
      <c r="A4">
        <v>106</v>
      </c>
      <c r="B4">
        <v>0.53</v>
      </c>
      <c r="C4">
        <f>B4*25.4</f>
        <v>13.462</v>
      </c>
      <c r="E4">
        <v>109</v>
      </c>
      <c r="F4">
        <v>12.7</v>
      </c>
      <c r="H4">
        <v>148</v>
      </c>
      <c r="J4">
        <f>I4*1.12</f>
        <v>0</v>
      </c>
    </row>
    <row r="5" spans="1:10" x14ac:dyDescent="0.25">
      <c r="A5">
        <v>109</v>
      </c>
      <c r="B5">
        <v>0.5</v>
      </c>
      <c r="C5">
        <f>B5*25.4</f>
        <v>12.7</v>
      </c>
      <c r="E5">
        <v>110</v>
      </c>
      <c r="F5">
        <v>5.8419999999999996</v>
      </c>
      <c r="H5">
        <v>162</v>
      </c>
      <c r="I5">
        <v>25.6</v>
      </c>
      <c r="J5">
        <f>I5*1.12</f>
        <v>28.672000000000004</v>
      </c>
    </row>
    <row r="6" spans="1:10" x14ac:dyDescent="0.25">
      <c r="A6">
        <v>110</v>
      </c>
      <c r="B6">
        <v>0.23</v>
      </c>
      <c r="C6">
        <f>B6*25.4</f>
        <v>5.8419999999999996</v>
      </c>
      <c r="E6">
        <v>111</v>
      </c>
      <c r="F6">
        <v>14.224</v>
      </c>
      <c r="H6">
        <v>162</v>
      </c>
      <c r="J6">
        <f>I6*1.12</f>
        <v>0</v>
      </c>
    </row>
    <row r="7" spans="1:10" x14ac:dyDescent="0.25">
      <c r="A7">
        <v>111</v>
      </c>
      <c r="B7">
        <v>0.56000000000000005</v>
      </c>
      <c r="C7">
        <f>B7*25.4</f>
        <v>14.224</v>
      </c>
      <c r="E7">
        <v>113</v>
      </c>
      <c r="F7">
        <v>10.921999999999999</v>
      </c>
      <c r="H7">
        <v>176</v>
      </c>
      <c r="J7">
        <f>I7*1.12</f>
        <v>0</v>
      </c>
    </row>
    <row r="8" spans="1:10" x14ac:dyDescent="0.25">
      <c r="A8">
        <v>113</v>
      </c>
      <c r="B8">
        <v>0.43</v>
      </c>
      <c r="C8">
        <f>B8*25.4</f>
        <v>10.921999999999999</v>
      </c>
      <c r="E8">
        <v>116</v>
      </c>
      <c r="F8">
        <v>28.448</v>
      </c>
      <c r="H8">
        <v>176</v>
      </c>
      <c r="J8">
        <f>I8*1.12</f>
        <v>0</v>
      </c>
    </row>
    <row r="9" spans="1:10" x14ac:dyDescent="0.25">
      <c r="A9">
        <v>116</v>
      </c>
      <c r="B9">
        <v>1.1200000000000001</v>
      </c>
      <c r="C9">
        <f>B9*25.4</f>
        <v>28.448</v>
      </c>
      <c r="E9">
        <v>118</v>
      </c>
      <c r="F9">
        <v>30.225999999999996</v>
      </c>
      <c r="H9">
        <v>177</v>
      </c>
      <c r="I9">
        <v>19.2</v>
      </c>
      <c r="J9">
        <f>I9*1.12</f>
        <v>21.504000000000001</v>
      </c>
    </row>
    <row r="10" spans="1:10" x14ac:dyDescent="0.25">
      <c r="A10">
        <v>118</v>
      </c>
      <c r="B10">
        <v>0.37</v>
      </c>
      <c r="C10">
        <f>B10*25.4</f>
        <v>9.3979999999999997</v>
      </c>
      <c r="E10">
        <v>119</v>
      </c>
      <c r="F10">
        <v>22.352</v>
      </c>
      <c r="H10">
        <v>177</v>
      </c>
      <c r="J10">
        <f>I10*1.12</f>
        <v>0</v>
      </c>
    </row>
    <row r="11" spans="1:10" x14ac:dyDescent="0.25">
      <c r="A11">
        <v>118</v>
      </c>
      <c r="B11">
        <v>0.82</v>
      </c>
      <c r="C11">
        <f>B11*25.4</f>
        <v>20.827999999999996</v>
      </c>
      <c r="E11">
        <v>120</v>
      </c>
      <c r="F11">
        <v>21.59</v>
      </c>
      <c r="H11">
        <v>197</v>
      </c>
      <c r="I11">
        <v>19.2</v>
      </c>
      <c r="J11">
        <f>I11*1.12</f>
        <v>21.504000000000001</v>
      </c>
    </row>
    <row r="12" spans="1:10" x14ac:dyDescent="0.25">
      <c r="A12">
        <v>119</v>
      </c>
      <c r="B12">
        <v>0.88</v>
      </c>
      <c r="C12">
        <f>B12*25.4</f>
        <v>22.352</v>
      </c>
      <c r="E12">
        <v>124</v>
      </c>
      <c r="F12">
        <v>22.352</v>
      </c>
      <c r="H12">
        <v>197</v>
      </c>
      <c r="J12">
        <f>I12*1.12</f>
        <v>0</v>
      </c>
    </row>
    <row r="13" spans="1:10" x14ac:dyDescent="0.25">
      <c r="A13">
        <v>120</v>
      </c>
      <c r="B13">
        <v>0.85</v>
      </c>
      <c r="C13">
        <f>B13*25.4</f>
        <v>21.59</v>
      </c>
      <c r="E13">
        <v>148</v>
      </c>
      <c r="F13">
        <v>26.923999999999996</v>
      </c>
    </row>
    <row r="14" spans="1:10" x14ac:dyDescent="0.25">
      <c r="A14">
        <v>124</v>
      </c>
      <c r="B14">
        <v>0.88</v>
      </c>
      <c r="C14">
        <f>B14*25.4</f>
        <v>22.352</v>
      </c>
      <c r="E14">
        <v>158</v>
      </c>
      <c r="F14">
        <v>21.59</v>
      </c>
    </row>
    <row r="15" spans="1:10" x14ac:dyDescent="0.25">
      <c r="A15">
        <v>148</v>
      </c>
      <c r="B15">
        <v>0.75</v>
      </c>
      <c r="C15">
        <f>B15*25.4</f>
        <v>19.049999999999997</v>
      </c>
      <c r="E15">
        <v>162</v>
      </c>
      <c r="F15">
        <v>26.161999999999999</v>
      </c>
    </row>
    <row r="16" spans="1:10" x14ac:dyDescent="0.25">
      <c r="A16">
        <v>148</v>
      </c>
      <c r="C16">
        <f>B16*25.4</f>
        <v>0</v>
      </c>
      <c r="E16">
        <v>166</v>
      </c>
      <c r="F16">
        <v>0</v>
      </c>
    </row>
    <row r="17" spans="1:6" x14ac:dyDescent="0.25">
      <c r="A17">
        <v>148</v>
      </c>
      <c r="B17">
        <v>0.31</v>
      </c>
      <c r="C17">
        <f>B17*25.4</f>
        <v>7.8739999999999997</v>
      </c>
      <c r="E17">
        <v>167</v>
      </c>
      <c r="F17">
        <v>26.669999999999998</v>
      </c>
    </row>
    <row r="18" spans="1:6" x14ac:dyDescent="0.25">
      <c r="A18">
        <v>158</v>
      </c>
      <c r="B18">
        <v>0.85</v>
      </c>
      <c r="C18">
        <f>B18*25.4</f>
        <v>21.59</v>
      </c>
      <c r="E18">
        <v>168</v>
      </c>
      <c r="F18">
        <v>0</v>
      </c>
    </row>
    <row r="19" spans="1:6" x14ac:dyDescent="0.25">
      <c r="A19">
        <v>162</v>
      </c>
      <c r="B19">
        <v>0.75</v>
      </c>
      <c r="C19">
        <f>B19*25.4</f>
        <v>19.049999999999997</v>
      </c>
      <c r="E19">
        <v>170</v>
      </c>
      <c r="F19">
        <v>27.686</v>
      </c>
    </row>
    <row r="20" spans="1:6" x14ac:dyDescent="0.25">
      <c r="A20">
        <v>162</v>
      </c>
      <c r="C20">
        <f>B20*25.4</f>
        <v>0</v>
      </c>
      <c r="E20">
        <v>174</v>
      </c>
      <c r="F20">
        <v>0</v>
      </c>
    </row>
    <row r="21" spans="1:6" x14ac:dyDescent="0.25">
      <c r="A21">
        <v>162</v>
      </c>
      <c r="B21">
        <v>0.28000000000000003</v>
      </c>
      <c r="C21">
        <f>B21*25.4</f>
        <v>7.1120000000000001</v>
      </c>
      <c r="E21">
        <v>175</v>
      </c>
      <c r="F21">
        <v>25.145999999999997</v>
      </c>
    </row>
    <row r="22" spans="1:6" x14ac:dyDescent="0.25">
      <c r="A22">
        <v>166</v>
      </c>
      <c r="C22">
        <f>B22*25.4</f>
        <v>0</v>
      </c>
      <c r="E22">
        <v>176</v>
      </c>
      <c r="F22">
        <v>0</v>
      </c>
    </row>
    <row r="23" spans="1:6" x14ac:dyDescent="0.25">
      <c r="A23">
        <v>167</v>
      </c>
      <c r="B23">
        <v>1.05</v>
      </c>
      <c r="C23">
        <f>B23*25.4</f>
        <v>26.669999999999998</v>
      </c>
      <c r="E23">
        <v>177</v>
      </c>
      <c r="F23">
        <v>27.177999999999997</v>
      </c>
    </row>
    <row r="24" spans="1:6" x14ac:dyDescent="0.25">
      <c r="A24">
        <v>168</v>
      </c>
      <c r="C24">
        <f>B24*25.4</f>
        <v>0</v>
      </c>
      <c r="E24">
        <v>181</v>
      </c>
      <c r="F24">
        <v>0</v>
      </c>
    </row>
    <row r="25" spans="1:6" x14ac:dyDescent="0.25">
      <c r="A25">
        <v>170</v>
      </c>
      <c r="B25">
        <v>1.0900000000000001</v>
      </c>
      <c r="C25">
        <f>B25*25.4</f>
        <v>27.686</v>
      </c>
      <c r="E25">
        <v>182</v>
      </c>
      <c r="F25">
        <v>22.605999999999998</v>
      </c>
    </row>
    <row r="26" spans="1:6" x14ac:dyDescent="0.25">
      <c r="A26">
        <v>174</v>
      </c>
      <c r="C26">
        <f>B26*25.4</f>
        <v>0</v>
      </c>
      <c r="E26">
        <v>183</v>
      </c>
      <c r="F26">
        <v>0</v>
      </c>
    </row>
    <row r="27" spans="1:6" x14ac:dyDescent="0.25">
      <c r="A27">
        <v>175</v>
      </c>
      <c r="B27">
        <v>0.99</v>
      </c>
      <c r="C27">
        <f>B27*25.4</f>
        <v>25.145999999999997</v>
      </c>
      <c r="E27">
        <v>184</v>
      </c>
      <c r="F27">
        <v>26.923999999999999</v>
      </c>
    </row>
    <row r="28" spans="1:6" x14ac:dyDescent="0.25">
      <c r="A28">
        <v>176</v>
      </c>
      <c r="C28">
        <f>B28*25.4</f>
        <v>0</v>
      </c>
      <c r="E28">
        <v>187</v>
      </c>
      <c r="F28">
        <v>12.7</v>
      </c>
    </row>
    <row r="29" spans="1:6" x14ac:dyDescent="0.25">
      <c r="A29">
        <v>176</v>
      </c>
      <c r="C29">
        <f>B29*25.4</f>
        <v>0</v>
      </c>
      <c r="E29">
        <v>188</v>
      </c>
      <c r="F29">
        <v>38.607999999999997</v>
      </c>
    </row>
    <row r="30" spans="1:6" x14ac:dyDescent="0.25">
      <c r="A30">
        <v>176</v>
      </c>
      <c r="C30">
        <f>B30*25.4</f>
        <v>0</v>
      </c>
      <c r="E30">
        <v>193</v>
      </c>
      <c r="F30">
        <v>30.479999999999997</v>
      </c>
    </row>
    <row r="31" spans="1:6" x14ac:dyDescent="0.25">
      <c r="A31">
        <v>177</v>
      </c>
      <c r="B31">
        <v>0.76</v>
      </c>
      <c r="C31">
        <f>B31*25.4</f>
        <v>19.303999999999998</v>
      </c>
      <c r="E31">
        <v>195</v>
      </c>
      <c r="F31">
        <v>25.4</v>
      </c>
    </row>
    <row r="32" spans="1:6" x14ac:dyDescent="0.25">
      <c r="A32">
        <v>177</v>
      </c>
      <c r="B32">
        <v>0.31</v>
      </c>
      <c r="C32">
        <f>B32*25.4</f>
        <v>7.8739999999999997</v>
      </c>
      <c r="E32">
        <v>197</v>
      </c>
      <c r="F32">
        <v>7.6199999999999992</v>
      </c>
    </row>
    <row r="33" spans="1:6" x14ac:dyDescent="0.25">
      <c r="A33">
        <v>177</v>
      </c>
      <c r="C33">
        <f>B33*25.4</f>
        <v>0</v>
      </c>
      <c r="E33">
        <v>203</v>
      </c>
      <c r="F33">
        <v>29.717999999999996</v>
      </c>
    </row>
    <row r="34" spans="1:6" x14ac:dyDescent="0.25">
      <c r="A34">
        <v>181</v>
      </c>
      <c r="C34">
        <f>B34*25.4</f>
        <v>0</v>
      </c>
      <c r="E34">
        <v>204</v>
      </c>
      <c r="F34">
        <v>11.683999999999999</v>
      </c>
    </row>
    <row r="35" spans="1:6" x14ac:dyDescent="0.25">
      <c r="A35">
        <v>182</v>
      </c>
      <c r="B35">
        <v>0.89</v>
      </c>
      <c r="C35">
        <f>B35*25.4</f>
        <v>22.605999999999998</v>
      </c>
      <c r="E35">
        <v>208</v>
      </c>
      <c r="F35">
        <v>30.225999999999996</v>
      </c>
    </row>
    <row r="36" spans="1:6" x14ac:dyDescent="0.25">
      <c r="A36">
        <v>183</v>
      </c>
      <c r="C36">
        <f>B36*25.4</f>
        <v>0</v>
      </c>
      <c r="E36">
        <v>210</v>
      </c>
      <c r="F36">
        <v>38.862000000000002</v>
      </c>
    </row>
    <row r="37" spans="1:6" x14ac:dyDescent="0.25">
      <c r="A37">
        <v>184</v>
      </c>
      <c r="B37">
        <v>1.06</v>
      </c>
      <c r="C37">
        <f>B37*25.4</f>
        <v>26.923999999999999</v>
      </c>
      <c r="E37">
        <v>214</v>
      </c>
      <c r="F37">
        <v>0</v>
      </c>
    </row>
    <row r="38" spans="1:6" x14ac:dyDescent="0.25">
      <c r="A38">
        <v>187</v>
      </c>
      <c r="C38">
        <f>B38*25.4</f>
        <v>0</v>
      </c>
      <c r="E38">
        <v>215</v>
      </c>
      <c r="F38">
        <v>26.923999999999999</v>
      </c>
    </row>
    <row r="39" spans="1:6" x14ac:dyDescent="0.25">
      <c r="A39">
        <v>187</v>
      </c>
      <c r="B39">
        <v>0.5</v>
      </c>
      <c r="C39">
        <f>B39*25.4</f>
        <v>12.7</v>
      </c>
      <c r="E39">
        <v>216</v>
      </c>
      <c r="F39">
        <v>8.8899999999999988</v>
      </c>
    </row>
    <row r="40" spans="1:6" x14ac:dyDescent="0.25">
      <c r="A40">
        <v>188</v>
      </c>
      <c r="B40">
        <v>0.52</v>
      </c>
      <c r="C40">
        <f>B40*25.4</f>
        <v>13.208</v>
      </c>
      <c r="E40">
        <v>217</v>
      </c>
      <c r="F40">
        <v>33.019999999999996</v>
      </c>
    </row>
    <row r="41" spans="1:6" x14ac:dyDescent="0.25">
      <c r="A41">
        <v>188</v>
      </c>
      <c r="B41">
        <v>1</v>
      </c>
      <c r="C41">
        <f>B41*25.4</f>
        <v>25.4</v>
      </c>
      <c r="E41">
        <v>221</v>
      </c>
      <c r="F41">
        <v>27.686</v>
      </c>
    </row>
    <row r="42" spans="1:6" x14ac:dyDescent="0.25">
      <c r="A42">
        <v>193</v>
      </c>
      <c r="B42">
        <v>1.2</v>
      </c>
      <c r="C42">
        <f>B42*25.4</f>
        <v>30.479999999999997</v>
      </c>
      <c r="E42">
        <v>223</v>
      </c>
      <c r="F42">
        <v>42.671999999999997</v>
      </c>
    </row>
    <row r="43" spans="1:6" x14ac:dyDescent="0.25">
      <c r="A43">
        <v>195</v>
      </c>
      <c r="B43">
        <v>1</v>
      </c>
      <c r="C43">
        <f>B43*25.4</f>
        <v>25.4</v>
      </c>
      <c r="E43">
        <v>225</v>
      </c>
      <c r="F43">
        <v>38.862000000000002</v>
      </c>
    </row>
    <row r="44" spans="1:6" x14ac:dyDescent="0.25">
      <c r="A44">
        <v>197</v>
      </c>
      <c r="B44">
        <v>0.3</v>
      </c>
      <c r="C44">
        <f>B44*25.4</f>
        <v>7.6199999999999992</v>
      </c>
      <c r="E44">
        <v>228</v>
      </c>
      <c r="F44">
        <v>28.955999999999996</v>
      </c>
    </row>
    <row r="45" spans="1:6" x14ac:dyDescent="0.25">
      <c r="A45">
        <v>197</v>
      </c>
      <c r="C45">
        <f>B45*25.4</f>
        <v>0</v>
      </c>
      <c r="E45">
        <v>231</v>
      </c>
      <c r="F45">
        <v>26.161999999999999</v>
      </c>
    </row>
    <row r="46" spans="1:6" x14ac:dyDescent="0.25">
      <c r="A46">
        <v>203</v>
      </c>
      <c r="B46">
        <v>1.17</v>
      </c>
      <c r="C46">
        <f>B46*25.4</f>
        <v>29.717999999999996</v>
      </c>
      <c r="E46">
        <v>235</v>
      </c>
      <c r="F46">
        <v>35.305999999999997</v>
      </c>
    </row>
    <row r="47" spans="1:6" x14ac:dyDescent="0.25">
      <c r="A47">
        <v>204</v>
      </c>
      <c r="B47">
        <v>0.46</v>
      </c>
      <c r="C47">
        <f>B47*25.4</f>
        <v>11.683999999999999</v>
      </c>
      <c r="E47">
        <v>238</v>
      </c>
      <c r="F47">
        <v>24.383999999999997</v>
      </c>
    </row>
    <row r="48" spans="1:6" x14ac:dyDescent="0.25">
      <c r="A48">
        <v>208</v>
      </c>
      <c r="B48">
        <v>1.19</v>
      </c>
      <c r="C48">
        <f>B48*25.4</f>
        <v>30.225999999999996</v>
      </c>
      <c r="E48">
        <v>242</v>
      </c>
      <c r="F48">
        <v>28.194000000000003</v>
      </c>
    </row>
    <row r="49" spans="1:6" x14ac:dyDescent="0.25">
      <c r="A49">
        <v>210</v>
      </c>
      <c r="B49">
        <v>1.53</v>
      </c>
      <c r="C49">
        <f>B49*25.4</f>
        <v>38.862000000000002</v>
      </c>
      <c r="E49">
        <v>245</v>
      </c>
      <c r="F49">
        <v>39.369999999999997</v>
      </c>
    </row>
    <row r="50" spans="1:6" x14ac:dyDescent="0.25">
      <c r="A50">
        <v>214</v>
      </c>
      <c r="C50">
        <f>B50*25.4</f>
        <v>0</v>
      </c>
      <c r="E50">
        <v>250</v>
      </c>
      <c r="F50">
        <v>0</v>
      </c>
    </row>
    <row r="51" spans="1:6" x14ac:dyDescent="0.25">
      <c r="A51">
        <v>215</v>
      </c>
      <c r="B51">
        <v>1.06</v>
      </c>
      <c r="C51">
        <f>B51*25.4</f>
        <v>26.923999999999999</v>
      </c>
    </row>
    <row r="52" spans="1:6" x14ac:dyDescent="0.25">
      <c r="A52">
        <v>216</v>
      </c>
      <c r="C52">
        <f>B52*25.4</f>
        <v>0</v>
      </c>
    </row>
    <row r="53" spans="1:6" x14ac:dyDescent="0.25">
      <c r="A53">
        <v>216</v>
      </c>
      <c r="B53">
        <v>0.35</v>
      </c>
      <c r="C53">
        <f>B53*25.4</f>
        <v>8.8899999999999988</v>
      </c>
    </row>
    <row r="54" spans="1:6" x14ac:dyDescent="0.25">
      <c r="A54">
        <v>217</v>
      </c>
      <c r="B54">
        <v>1.3</v>
      </c>
      <c r="C54">
        <f>B54*25.4</f>
        <v>33.019999999999996</v>
      </c>
    </row>
    <row r="55" spans="1:6" x14ac:dyDescent="0.25">
      <c r="A55">
        <v>221</v>
      </c>
      <c r="B55">
        <v>1.0900000000000001</v>
      </c>
      <c r="C55">
        <f>B55*25.4</f>
        <v>27.686</v>
      </c>
    </row>
    <row r="56" spans="1:6" x14ac:dyDescent="0.25">
      <c r="A56">
        <v>223</v>
      </c>
      <c r="B56">
        <v>1.1200000000000001</v>
      </c>
      <c r="C56">
        <f>B56*25.4</f>
        <v>28.448</v>
      </c>
    </row>
    <row r="57" spans="1:6" x14ac:dyDescent="0.25">
      <c r="A57">
        <v>223</v>
      </c>
      <c r="B57">
        <v>0.56000000000000005</v>
      </c>
      <c r="C57">
        <f>B57*25.4</f>
        <v>14.224</v>
      </c>
    </row>
    <row r="58" spans="1:6" x14ac:dyDescent="0.25">
      <c r="A58">
        <v>223</v>
      </c>
      <c r="C58">
        <f>B58*25.4</f>
        <v>0</v>
      </c>
    </row>
    <row r="59" spans="1:6" x14ac:dyDescent="0.25">
      <c r="A59">
        <v>225</v>
      </c>
      <c r="B59">
        <v>1.53</v>
      </c>
      <c r="C59">
        <f>B59*25.4</f>
        <v>38.862000000000002</v>
      </c>
    </row>
    <row r="60" spans="1:6" x14ac:dyDescent="0.25">
      <c r="A60">
        <v>228</v>
      </c>
      <c r="B60">
        <v>1.1399999999999999</v>
      </c>
      <c r="C60">
        <f>B60*25.4</f>
        <v>28.955999999999996</v>
      </c>
    </row>
    <row r="61" spans="1:6" x14ac:dyDescent="0.25">
      <c r="A61">
        <v>231</v>
      </c>
      <c r="B61">
        <v>1.03</v>
      </c>
      <c r="C61">
        <f>B61*25.4</f>
        <v>26.161999999999999</v>
      </c>
    </row>
    <row r="62" spans="1:6" x14ac:dyDescent="0.25">
      <c r="A62">
        <v>235</v>
      </c>
      <c r="B62">
        <v>1.39</v>
      </c>
      <c r="C62">
        <f>B62*25.4</f>
        <v>35.305999999999997</v>
      </c>
    </row>
    <row r="63" spans="1:6" x14ac:dyDescent="0.25">
      <c r="A63">
        <v>238</v>
      </c>
      <c r="B63">
        <v>0.96</v>
      </c>
      <c r="C63">
        <f>B63*25.4</f>
        <v>24.383999999999997</v>
      </c>
    </row>
    <row r="64" spans="1:6" x14ac:dyDescent="0.25">
      <c r="A64">
        <v>242</v>
      </c>
      <c r="B64">
        <v>1.1100000000000001</v>
      </c>
      <c r="C64">
        <f>B64*25.4</f>
        <v>28.194000000000003</v>
      </c>
    </row>
    <row r="65" spans="1:6" x14ac:dyDescent="0.25">
      <c r="A65">
        <v>245</v>
      </c>
      <c r="B65">
        <v>1.55</v>
      </c>
      <c r="C65">
        <f>B65*25.4</f>
        <v>39.369999999999997</v>
      </c>
    </row>
    <row r="66" spans="1:6" x14ac:dyDescent="0.25">
      <c r="A66">
        <v>250</v>
      </c>
      <c r="C66">
        <f>B66*25.4</f>
        <v>0</v>
      </c>
      <c r="D66" s="87"/>
      <c r="F66" s="87"/>
    </row>
    <row r="67" spans="1:6" x14ac:dyDescent="0.25">
      <c r="B67">
        <f>SUM(B3:B66)</f>
        <v>39.46</v>
      </c>
      <c r="C67" s="87">
        <f>SUM(C3:C66)</f>
        <v>1002.284</v>
      </c>
    </row>
    <row r="70" spans="1:6" x14ac:dyDescent="0.25">
      <c r="C70">
        <f>SUM(C15:C66)</f>
        <v>816.61000000000013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73DA9-96C9-4AE2-A6FC-3065F78266E2}">
  <dimension ref="A1:J69"/>
  <sheetViews>
    <sheetView workbookViewId="0">
      <selection activeCell="F3" sqref="F3:F50"/>
    </sheetView>
  </sheetViews>
  <sheetFormatPr defaultRowHeight="15" x14ac:dyDescent="0.25"/>
  <cols>
    <col min="2" max="2" width="10" customWidth="1"/>
    <col min="3" max="3" width="11.7109375" bestFit="1" customWidth="1"/>
    <col min="4" max="6" width="11.7109375" customWidth="1"/>
    <col min="9" max="9" width="14.5703125" bestFit="1" customWidth="1"/>
    <col min="10" max="10" width="15.140625" bestFit="1" customWidth="1"/>
  </cols>
  <sheetData>
    <row r="1" spans="1:10" x14ac:dyDescent="0.25">
      <c r="A1" s="86" t="s">
        <v>226</v>
      </c>
      <c r="E1" t="s">
        <v>228</v>
      </c>
      <c r="H1" t="s">
        <v>227</v>
      </c>
    </row>
    <row r="2" spans="1:10" x14ac:dyDescent="0.25">
      <c r="A2" t="s">
        <v>172</v>
      </c>
      <c r="B2" t="s">
        <v>225</v>
      </c>
      <c r="C2" t="s">
        <v>218</v>
      </c>
      <c r="E2" t="s">
        <v>172</v>
      </c>
      <c r="F2" t="s">
        <v>218</v>
      </c>
      <c r="H2" t="s">
        <v>172</v>
      </c>
      <c r="I2" t="s">
        <v>224</v>
      </c>
      <c r="J2" t="s">
        <v>223</v>
      </c>
    </row>
    <row r="3" spans="1:10" x14ac:dyDescent="0.25">
      <c r="A3">
        <v>106</v>
      </c>
      <c r="B3">
        <v>0.14000000000000001</v>
      </c>
      <c r="C3">
        <f>B3*25.4</f>
        <v>3.556</v>
      </c>
      <c r="E3">
        <v>106</v>
      </c>
      <c r="F3" cm="1">
        <f t="array" ref="F3:F50">SUMIFS(C3:C66,A3:A66,E3:E50)</f>
        <v>18.287999999999997</v>
      </c>
      <c r="H3">
        <v>148</v>
      </c>
      <c r="I3">
        <v>24.5</v>
      </c>
      <c r="J3">
        <f>I3*1.12</f>
        <v>27.44</v>
      </c>
    </row>
    <row r="4" spans="1:10" x14ac:dyDescent="0.25">
      <c r="A4">
        <v>106</v>
      </c>
      <c r="B4">
        <v>0.57999999999999996</v>
      </c>
      <c r="C4">
        <f>B4*25.4</f>
        <v>14.731999999999998</v>
      </c>
      <c r="E4">
        <v>109</v>
      </c>
      <c r="F4">
        <v>12.7</v>
      </c>
      <c r="H4">
        <v>148</v>
      </c>
      <c r="J4">
        <f>I4*1.12</f>
        <v>0</v>
      </c>
    </row>
    <row r="5" spans="1:10" x14ac:dyDescent="0.25">
      <c r="A5">
        <v>109</v>
      </c>
      <c r="B5">
        <v>0.5</v>
      </c>
      <c r="C5">
        <f>B5*25.4</f>
        <v>12.7</v>
      </c>
      <c r="E5">
        <v>110</v>
      </c>
      <c r="F5">
        <v>8.8899999999999988</v>
      </c>
      <c r="H5">
        <v>162</v>
      </c>
      <c r="I5">
        <v>36.700000000000003</v>
      </c>
      <c r="J5">
        <f>I5*1.12</f>
        <v>41.104000000000006</v>
      </c>
    </row>
    <row r="6" spans="1:10" x14ac:dyDescent="0.25">
      <c r="A6">
        <v>110</v>
      </c>
      <c r="B6">
        <v>0.35</v>
      </c>
      <c r="C6">
        <f>B6*25.4</f>
        <v>8.8899999999999988</v>
      </c>
      <c r="E6">
        <v>111</v>
      </c>
      <c r="F6">
        <v>16.763999999999999</v>
      </c>
      <c r="H6">
        <v>162</v>
      </c>
      <c r="J6">
        <f>I6*1.12</f>
        <v>0</v>
      </c>
    </row>
    <row r="7" spans="1:10" x14ac:dyDescent="0.25">
      <c r="A7">
        <v>111</v>
      </c>
      <c r="B7">
        <v>0.66</v>
      </c>
      <c r="C7">
        <f>B7*25.4</f>
        <v>16.763999999999999</v>
      </c>
      <c r="E7">
        <v>113</v>
      </c>
      <c r="F7">
        <v>11.683999999999999</v>
      </c>
      <c r="H7">
        <v>176</v>
      </c>
      <c r="J7">
        <f>I7*1.12</f>
        <v>0</v>
      </c>
    </row>
    <row r="8" spans="1:10" x14ac:dyDescent="0.25">
      <c r="A8">
        <v>113</v>
      </c>
      <c r="B8">
        <v>0.46</v>
      </c>
      <c r="C8">
        <f>B8*25.4</f>
        <v>11.683999999999999</v>
      </c>
      <c r="E8">
        <v>116</v>
      </c>
      <c r="F8">
        <v>23.114000000000001</v>
      </c>
      <c r="H8">
        <v>176</v>
      </c>
      <c r="J8">
        <f>I8*1.12</f>
        <v>0</v>
      </c>
    </row>
    <row r="9" spans="1:10" x14ac:dyDescent="0.25">
      <c r="A9">
        <v>116</v>
      </c>
      <c r="B9">
        <v>0.91</v>
      </c>
      <c r="C9">
        <f>B9*25.4</f>
        <v>23.114000000000001</v>
      </c>
      <c r="E9">
        <v>118</v>
      </c>
      <c r="F9">
        <v>30.48</v>
      </c>
      <c r="H9">
        <v>177</v>
      </c>
      <c r="J9">
        <f>I9*1.12</f>
        <v>0</v>
      </c>
    </row>
    <row r="10" spans="1:10" x14ac:dyDescent="0.25">
      <c r="A10">
        <v>118</v>
      </c>
      <c r="B10">
        <v>0.28999999999999998</v>
      </c>
      <c r="C10">
        <f>B10*25.4</f>
        <v>7.3659999999999988</v>
      </c>
      <c r="E10">
        <v>119</v>
      </c>
      <c r="F10">
        <v>29.971999999999998</v>
      </c>
      <c r="H10">
        <v>177</v>
      </c>
      <c r="I10">
        <v>61.2</v>
      </c>
      <c r="J10">
        <f>I10*1.12</f>
        <v>68.544000000000011</v>
      </c>
    </row>
    <row r="11" spans="1:10" x14ac:dyDescent="0.25">
      <c r="A11">
        <v>118</v>
      </c>
      <c r="B11">
        <v>0.91</v>
      </c>
      <c r="C11">
        <f>B11*25.4</f>
        <v>23.114000000000001</v>
      </c>
      <c r="E11">
        <v>120</v>
      </c>
      <c r="F11">
        <v>22.097999999999999</v>
      </c>
      <c r="H11">
        <v>197</v>
      </c>
      <c r="J11">
        <f>I11*1.12</f>
        <v>0</v>
      </c>
    </row>
    <row r="12" spans="1:10" x14ac:dyDescent="0.25">
      <c r="A12">
        <v>119</v>
      </c>
      <c r="B12">
        <v>1.18</v>
      </c>
      <c r="C12">
        <f>B12*25.4</f>
        <v>29.971999999999998</v>
      </c>
      <c r="E12">
        <v>124</v>
      </c>
      <c r="F12">
        <v>21.843999999999998</v>
      </c>
      <c r="H12">
        <v>197</v>
      </c>
      <c r="I12">
        <v>36.700000000000003</v>
      </c>
      <c r="J12">
        <f>I12*1.12</f>
        <v>41.104000000000006</v>
      </c>
    </row>
    <row r="13" spans="1:10" x14ac:dyDescent="0.25">
      <c r="A13">
        <v>120</v>
      </c>
      <c r="B13">
        <v>0.87</v>
      </c>
      <c r="C13">
        <f>B13*25.4</f>
        <v>22.097999999999999</v>
      </c>
      <c r="E13">
        <v>148</v>
      </c>
      <c r="F13">
        <v>25.907999999999998</v>
      </c>
    </row>
    <row r="14" spans="1:10" x14ac:dyDescent="0.25">
      <c r="A14">
        <v>124</v>
      </c>
      <c r="B14">
        <v>0.86</v>
      </c>
      <c r="C14">
        <f>B14*25.4</f>
        <v>21.843999999999998</v>
      </c>
      <c r="E14">
        <v>158</v>
      </c>
      <c r="F14">
        <v>20.065999999999999</v>
      </c>
    </row>
    <row r="15" spans="1:10" x14ac:dyDescent="0.25">
      <c r="A15">
        <v>148</v>
      </c>
      <c r="B15">
        <v>0.7</v>
      </c>
      <c r="C15">
        <f>B15*25.4</f>
        <v>17.779999999999998</v>
      </c>
      <c r="E15">
        <v>162</v>
      </c>
      <c r="F15">
        <v>24.891999999999999</v>
      </c>
    </row>
    <row r="16" spans="1:10" x14ac:dyDescent="0.25">
      <c r="A16">
        <v>148</v>
      </c>
      <c r="B16">
        <v>0.32</v>
      </c>
      <c r="C16">
        <f>B16*25.4</f>
        <v>8.1280000000000001</v>
      </c>
      <c r="E16">
        <v>166</v>
      </c>
      <c r="F16">
        <v>0</v>
      </c>
    </row>
    <row r="17" spans="1:6" x14ac:dyDescent="0.25">
      <c r="A17">
        <v>148</v>
      </c>
      <c r="C17">
        <f>B17*25.4</f>
        <v>0</v>
      </c>
      <c r="E17">
        <v>167</v>
      </c>
      <c r="F17">
        <v>28.448</v>
      </c>
    </row>
    <row r="18" spans="1:6" x14ac:dyDescent="0.25">
      <c r="A18">
        <v>158</v>
      </c>
      <c r="B18">
        <v>0.79</v>
      </c>
      <c r="C18">
        <f>B18*25.4</f>
        <v>20.065999999999999</v>
      </c>
      <c r="E18">
        <v>168</v>
      </c>
      <c r="F18">
        <v>0</v>
      </c>
    </row>
    <row r="19" spans="1:6" x14ac:dyDescent="0.25">
      <c r="A19">
        <v>162</v>
      </c>
      <c r="B19">
        <v>0.71</v>
      </c>
      <c r="C19">
        <f>B19*25.4</f>
        <v>18.033999999999999</v>
      </c>
      <c r="E19">
        <v>170</v>
      </c>
      <c r="F19">
        <v>28.448</v>
      </c>
    </row>
    <row r="20" spans="1:6" x14ac:dyDescent="0.25">
      <c r="A20">
        <v>162</v>
      </c>
      <c r="B20">
        <v>0.27</v>
      </c>
      <c r="C20">
        <f>B20*25.4</f>
        <v>6.8579999999999997</v>
      </c>
      <c r="E20">
        <v>174</v>
      </c>
      <c r="F20">
        <v>0</v>
      </c>
    </row>
    <row r="21" spans="1:6" x14ac:dyDescent="0.25">
      <c r="A21">
        <v>162</v>
      </c>
      <c r="C21">
        <f>B21*25.4</f>
        <v>0</v>
      </c>
      <c r="E21">
        <v>175</v>
      </c>
      <c r="F21">
        <v>27.178000000000001</v>
      </c>
    </row>
    <row r="22" spans="1:6" x14ac:dyDescent="0.25">
      <c r="A22">
        <v>166</v>
      </c>
      <c r="C22">
        <f>B22*25.4</f>
        <v>0</v>
      </c>
      <c r="E22">
        <v>176</v>
      </c>
      <c r="F22">
        <v>0</v>
      </c>
    </row>
    <row r="23" spans="1:6" x14ac:dyDescent="0.25">
      <c r="A23">
        <v>167</v>
      </c>
      <c r="B23">
        <v>1.1200000000000001</v>
      </c>
      <c r="C23">
        <f>B23*25.4</f>
        <v>28.448</v>
      </c>
      <c r="E23">
        <v>177</v>
      </c>
      <c r="F23">
        <v>29.717999999999996</v>
      </c>
    </row>
    <row r="24" spans="1:6" x14ac:dyDescent="0.25">
      <c r="A24">
        <v>168</v>
      </c>
      <c r="C24">
        <f>B24*25.4</f>
        <v>0</v>
      </c>
      <c r="E24">
        <v>181</v>
      </c>
      <c r="F24">
        <v>0</v>
      </c>
    </row>
    <row r="25" spans="1:6" x14ac:dyDescent="0.25">
      <c r="A25">
        <v>170</v>
      </c>
      <c r="B25">
        <v>1.1200000000000001</v>
      </c>
      <c r="C25">
        <f>B25*25.4</f>
        <v>28.448</v>
      </c>
      <c r="E25">
        <v>182</v>
      </c>
      <c r="F25">
        <v>25.907999999999998</v>
      </c>
    </row>
    <row r="26" spans="1:6" x14ac:dyDescent="0.25">
      <c r="A26">
        <v>174</v>
      </c>
      <c r="C26">
        <f>B26*25.4</f>
        <v>0</v>
      </c>
      <c r="E26">
        <v>183</v>
      </c>
      <c r="F26">
        <v>0</v>
      </c>
    </row>
    <row r="27" spans="1:6" x14ac:dyDescent="0.25">
      <c r="A27">
        <v>175</v>
      </c>
      <c r="B27">
        <v>1.07</v>
      </c>
      <c r="C27">
        <f>B27*25.4</f>
        <v>27.178000000000001</v>
      </c>
      <c r="E27">
        <v>184</v>
      </c>
      <c r="F27">
        <v>22.605999999999998</v>
      </c>
    </row>
    <row r="28" spans="1:6" x14ac:dyDescent="0.25">
      <c r="A28">
        <v>176</v>
      </c>
      <c r="C28">
        <f>B28*25.4</f>
        <v>0</v>
      </c>
      <c r="E28">
        <v>187</v>
      </c>
      <c r="F28">
        <v>12.7</v>
      </c>
    </row>
    <row r="29" spans="1:6" x14ac:dyDescent="0.25">
      <c r="A29">
        <v>176</v>
      </c>
      <c r="C29">
        <f>B29*25.4</f>
        <v>0</v>
      </c>
      <c r="E29">
        <v>188</v>
      </c>
      <c r="F29">
        <v>41.402000000000001</v>
      </c>
    </row>
    <row r="30" spans="1:6" x14ac:dyDescent="0.25">
      <c r="A30">
        <v>176</v>
      </c>
      <c r="C30">
        <f>B30*25.4</f>
        <v>0</v>
      </c>
      <c r="E30">
        <v>193</v>
      </c>
      <c r="F30">
        <v>0</v>
      </c>
    </row>
    <row r="31" spans="1:6" x14ac:dyDescent="0.25">
      <c r="A31">
        <v>177</v>
      </c>
      <c r="B31">
        <v>0.86</v>
      </c>
      <c r="C31">
        <f>B31*25.4</f>
        <v>21.843999999999998</v>
      </c>
      <c r="E31">
        <v>195</v>
      </c>
      <c r="F31">
        <v>25.4</v>
      </c>
    </row>
    <row r="32" spans="1:6" x14ac:dyDescent="0.25">
      <c r="A32">
        <v>177</v>
      </c>
      <c r="C32">
        <f>B32*25.4</f>
        <v>0</v>
      </c>
      <c r="E32">
        <v>197</v>
      </c>
      <c r="F32">
        <v>7.1120000000000001</v>
      </c>
    </row>
    <row r="33" spans="1:6" x14ac:dyDescent="0.25">
      <c r="A33">
        <v>177</v>
      </c>
      <c r="B33">
        <v>0.31</v>
      </c>
      <c r="C33">
        <f>B33*25.4</f>
        <v>7.8739999999999997</v>
      </c>
      <c r="E33">
        <v>203</v>
      </c>
      <c r="F33">
        <v>29.209999999999997</v>
      </c>
    </row>
    <row r="34" spans="1:6" x14ac:dyDescent="0.25">
      <c r="A34">
        <v>181</v>
      </c>
      <c r="C34">
        <f>B34*25.4</f>
        <v>0</v>
      </c>
      <c r="E34">
        <v>204</v>
      </c>
      <c r="F34">
        <v>12.191999999999998</v>
      </c>
    </row>
    <row r="35" spans="1:6" x14ac:dyDescent="0.25">
      <c r="A35">
        <v>182</v>
      </c>
      <c r="B35">
        <v>1.02</v>
      </c>
      <c r="C35">
        <f>B35*25.4</f>
        <v>25.907999999999998</v>
      </c>
      <c r="E35">
        <v>208</v>
      </c>
      <c r="F35">
        <v>0</v>
      </c>
    </row>
    <row r="36" spans="1:6" x14ac:dyDescent="0.25">
      <c r="A36">
        <v>183</v>
      </c>
      <c r="C36">
        <f>B36*25.4</f>
        <v>0</v>
      </c>
      <c r="E36">
        <v>210</v>
      </c>
      <c r="F36">
        <v>37.337999999999994</v>
      </c>
    </row>
    <row r="37" spans="1:6" x14ac:dyDescent="0.25">
      <c r="A37">
        <v>184</v>
      </c>
      <c r="B37">
        <v>0.89</v>
      </c>
      <c r="C37">
        <f>B37*25.4</f>
        <v>22.605999999999998</v>
      </c>
      <c r="E37">
        <v>214</v>
      </c>
      <c r="F37">
        <v>26.416</v>
      </c>
    </row>
    <row r="38" spans="1:6" x14ac:dyDescent="0.25">
      <c r="A38">
        <v>187</v>
      </c>
      <c r="C38">
        <f>B38*25.4</f>
        <v>0</v>
      </c>
      <c r="E38">
        <v>215</v>
      </c>
      <c r="F38">
        <v>25.145999999999997</v>
      </c>
    </row>
    <row r="39" spans="1:6" x14ac:dyDescent="0.25">
      <c r="A39">
        <v>187</v>
      </c>
      <c r="B39">
        <v>0.5</v>
      </c>
      <c r="C39">
        <f>B39*25.4</f>
        <v>12.7</v>
      </c>
      <c r="E39">
        <v>216</v>
      </c>
      <c r="F39">
        <v>36.067999999999998</v>
      </c>
    </row>
    <row r="40" spans="1:6" x14ac:dyDescent="0.25">
      <c r="A40">
        <v>188</v>
      </c>
      <c r="B40">
        <v>0.63</v>
      </c>
      <c r="C40">
        <f>B40*25.4</f>
        <v>16.001999999999999</v>
      </c>
      <c r="E40">
        <v>217</v>
      </c>
      <c r="F40">
        <v>27.686</v>
      </c>
    </row>
    <row r="41" spans="1:6" x14ac:dyDescent="0.25">
      <c r="A41">
        <v>188</v>
      </c>
      <c r="B41">
        <v>1</v>
      </c>
      <c r="C41">
        <f>B41*25.4</f>
        <v>25.4</v>
      </c>
      <c r="E41">
        <v>221</v>
      </c>
      <c r="F41">
        <v>25.654</v>
      </c>
    </row>
    <row r="42" spans="1:6" x14ac:dyDescent="0.25">
      <c r="A42">
        <v>193</v>
      </c>
      <c r="C42">
        <f>B42*25.4</f>
        <v>0</v>
      </c>
      <c r="E42">
        <v>223</v>
      </c>
      <c r="F42">
        <v>0</v>
      </c>
    </row>
    <row r="43" spans="1:6" x14ac:dyDescent="0.25">
      <c r="A43">
        <v>195</v>
      </c>
      <c r="B43">
        <v>1</v>
      </c>
      <c r="C43">
        <f>B43*25.4</f>
        <v>25.4</v>
      </c>
      <c r="E43">
        <v>225</v>
      </c>
      <c r="F43">
        <v>35.559999999999995</v>
      </c>
    </row>
    <row r="44" spans="1:6" x14ac:dyDescent="0.25">
      <c r="A44">
        <v>197</v>
      </c>
      <c r="C44">
        <f>B44*25.4</f>
        <v>0</v>
      </c>
      <c r="E44">
        <v>228</v>
      </c>
      <c r="F44">
        <v>0</v>
      </c>
    </row>
    <row r="45" spans="1:6" x14ac:dyDescent="0.25">
      <c r="A45">
        <v>197</v>
      </c>
      <c r="B45">
        <v>0.28000000000000003</v>
      </c>
      <c r="C45">
        <f>B45*25.4</f>
        <v>7.1120000000000001</v>
      </c>
      <c r="E45">
        <v>231</v>
      </c>
      <c r="F45">
        <v>24.637999999999998</v>
      </c>
    </row>
    <row r="46" spans="1:6" x14ac:dyDescent="0.25">
      <c r="A46">
        <v>203</v>
      </c>
      <c r="B46">
        <v>1.1499999999999999</v>
      </c>
      <c r="C46">
        <f>B46*25.4</f>
        <v>29.209999999999997</v>
      </c>
      <c r="E46">
        <v>235</v>
      </c>
      <c r="F46">
        <v>34.036000000000001</v>
      </c>
    </row>
    <row r="47" spans="1:6" x14ac:dyDescent="0.25">
      <c r="A47">
        <v>204</v>
      </c>
      <c r="B47">
        <v>0.48</v>
      </c>
      <c r="C47">
        <f>B47*25.4</f>
        <v>12.191999999999998</v>
      </c>
      <c r="E47">
        <v>238</v>
      </c>
      <c r="F47">
        <v>24.637999999999998</v>
      </c>
    </row>
    <row r="48" spans="1:6" x14ac:dyDescent="0.25">
      <c r="A48">
        <v>208</v>
      </c>
      <c r="C48">
        <f>B48*25.4</f>
        <v>0</v>
      </c>
      <c r="E48">
        <v>242</v>
      </c>
      <c r="F48">
        <v>0</v>
      </c>
    </row>
    <row r="49" spans="1:6" x14ac:dyDescent="0.25">
      <c r="A49">
        <v>210</v>
      </c>
      <c r="B49">
        <v>1.47</v>
      </c>
      <c r="C49">
        <f>B49*25.4</f>
        <v>37.337999999999994</v>
      </c>
      <c r="E49">
        <v>245</v>
      </c>
      <c r="F49">
        <v>35.813999999999993</v>
      </c>
    </row>
    <row r="50" spans="1:6" x14ac:dyDescent="0.25">
      <c r="A50">
        <v>214</v>
      </c>
      <c r="B50">
        <v>1.04</v>
      </c>
      <c r="C50">
        <f>B50*25.4</f>
        <v>26.416</v>
      </c>
      <c r="E50">
        <v>250</v>
      </c>
      <c r="F50">
        <v>27.178000000000001</v>
      </c>
    </row>
    <row r="51" spans="1:6" x14ac:dyDescent="0.25">
      <c r="A51">
        <v>215</v>
      </c>
      <c r="B51">
        <v>0.99</v>
      </c>
      <c r="C51">
        <f>B51*25.4</f>
        <v>25.145999999999997</v>
      </c>
    </row>
    <row r="52" spans="1:6" x14ac:dyDescent="0.25">
      <c r="A52">
        <v>216</v>
      </c>
      <c r="B52">
        <v>1.07</v>
      </c>
      <c r="C52">
        <f>B52*25.4</f>
        <v>27.178000000000001</v>
      </c>
    </row>
    <row r="53" spans="1:6" x14ac:dyDescent="0.25">
      <c r="A53">
        <v>216</v>
      </c>
      <c r="B53">
        <v>0.35</v>
      </c>
      <c r="C53">
        <f>B53*25.4</f>
        <v>8.8899999999999988</v>
      </c>
    </row>
    <row r="54" spans="1:6" x14ac:dyDescent="0.25">
      <c r="A54">
        <v>217</v>
      </c>
      <c r="B54">
        <v>1.0900000000000001</v>
      </c>
      <c r="C54">
        <f>B54*25.4</f>
        <v>27.686</v>
      </c>
    </row>
    <row r="55" spans="1:6" x14ac:dyDescent="0.25">
      <c r="A55">
        <v>221</v>
      </c>
      <c r="B55">
        <v>1.01</v>
      </c>
      <c r="C55">
        <f>B55*25.4</f>
        <v>25.654</v>
      </c>
    </row>
    <row r="56" spans="1:6" x14ac:dyDescent="0.25">
      <c r="A56">
        <v>223</v>
      </c>
      <c r="C56">
        <f>B56*25.4</f>
        <v>0</v>
      </c>
    </row>
    <row r="57" spans="1:6" x14ac:dyDescent="0.25">
      <c r="A57">
        <v>223</v>
      </c>
      <c r="C57">
        <f>B57*25.4</f>
        <v>0</v>
      </c>
    </row>
    <row r="58" spans="1:6" x14ac:dyDescent="0.25">
      <c r="A58">
        <v>223</v>
      </c>
      <c r="C58">
        <f>B58*25.4</f>
        <v>0</v>
      </c>
    </row>
    <row r="59" spans="1:6" x14ac:dyDescent="0.25">
      <c r="A59">
        <v>225</v>
      </c>
      <c r="B59">
        <v>1.4</v>
      </c>
      <c r="C59">
        <f>B59*25.4</f>
        <v>35.559999999999995</v>
      </c>
    </row>
    <row r="60" spans="1:6" x14ac:dyDescent="0.25">
      <c r="A60">
        <v>228</v>
      </c>
      <c r="C60">
        <f>B60*25.4</f>
        <v>0</v>
      </c>
    </row>
    <row r="61" spans="1:6" x14ac:dyDescent="0.25">
      <c r="A61">
        <v>231</v>
      </c>
      <c r="B61">
        <v>0.97</v>
      </c>
      <c r="C61">
        <f>B61*25.4</f>
        <v>24.637999999999998</v>
      </c>
    </row>
    <row r="62" spans="1:6" x14ac:dyDescent="0.25">
      <c r="A62">
        <v>235</v>
      </c>
      <c r="B62">
        <v>1.34</v>
      </c>
      <c r="C62">
        <f>B62*25.4</f>
        <v>34.036000000000001</v>
      </c>
    </row>
    <row r="63" spans="1:6" x14ac:dyDescent="0.25">
      <c r="A63">
        <v>238</v>
      </c>
      <c r="B63">
        <v>0.97</v>
      </c>
      <c r="C63">
        <f>B63*25.4</f>
        <v>24.637999999999998</v>
      </c>
    </row>
    <row r="64" spans="1:6" x14ac:dyDescent="0.25">
      <c r="A64">
        <v>242</v>
      </c>
      <c r="C64">
        <f>B64*25.4</f>
        <v>0</v>
      </c>
    </row>
    <row r="65" spans="1:6" x14ac:dyDescent="0.25">
      <c r="A65">
        <v>245</v>
      </c>
      <c r="B65">
        <v>1.41</v>
      </c>
      <c r="C65">
        <f>B65*25.4</f>
        <v>35.813999999999993</v>
      </c>
    </row>
    <row r="66" spans="1:6" x14ac:dyDescent="0.25">
      <c r="A66">
        <v>250</v>
      </c>
      <c r="B66">
        <v>1.07</v>
      </c>
      <c r="C66">
        <f>B66*25.4</f>
        <v>27.178000000000001</v>
      </c>
      <c r="D66" s="87"/>
      <c r="F66" s="87"/>
    </row>
    <row r="67" spans="1:6" x14ac:dyDescent="0.25">
      <c r="B67">
        <f>SUM(B3:B66)</f>
        <v>36.11</v>
      </c>
      <c r="C67" s="87">
        <f>SUM(C3:C66)</f>
        <v>917.19400000000007</v>
      </c>
    </row>
    <row r="69" spans="1:6" x14ac:dyDescent="0.25">
      <c r="C69">
        <f>SUM(C15:C66)</f>
        <v>721.36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972F1-FDA2-4975-A085-D935B2A7EF51}">
  <dimension ref="A1:J69"/>
  <sheetViews>
    <sheetView workbookViewId="0">
      <selection activeCell="F3" sqref="F3:F50"/>
    </sheetView>
  </sheetViews>
  <sheetFormatPr defaultRowHeight="15" x14ac:dyDescent="0.25"/>
  <cols>
    <col min="2" max="2" width="10" customWidth="1"/>
    <col min="3" max="3" width="11.7109375" bestFit="1" customWidth="1"/>
    <col min="4" max="6" width="11.7109375" customWidth="1"/>
    <col min="9" max="9" width="14.5703125" bestFit="1" customWidth="1"/>
    <col min="10" max="10" width="15.140625" bestFit="1" customWidth="1"/>
  </cols>
  <sheetData>
    <row r="1" spans="1:10" x14ac:dyDescent="0.25">
      <c r="A1" s="86" t="s">
        <v>226</v>
      </c>
      <c r="E1" t="s">
        <v>228</v>
      </c>
      <c r="H1" t="s">
        <v>227</v>
      </c>
    </row>
    <row r="2" spans="1:10" x14ac:dyDescent="0.25">
      <c r="A2" t="s">
        <v>172</v>
      </c>
      <c r="B2" t="s">
        <v>225</v>
      </c>
      <c r="C2" t="s">
        <v>218</v>
      </c>
      <c r="E2" t="s">
        <v>172</v>
      </c>
      <c r="F2" t="s">
        <v>218</v>
      </c>
      <c r="H2" t="s">
        <v>172</v>
      </c>
      <c r="I2" t="s">
        <v>224</v>
      </c>
      <c r="J2" t="s">
        <v>223</v>
      </c>
    </row>
    <row r="3" spans="1:10" x14ac:dyDescent="0.25">
      <c r="A3">
        <v>106</v>
      </c>
      <c r="B3">
        <v>0.14000000000000001</v>
      </c>
      <c r="C3">
        <f>B3*25.4</f>
        <v>3.556</v>
      </c>
      <c r="E3">
        <v>106</v>
      </c>
      <c r="F3" cm="1">
        <f t="array" ref="F3:F50">SUMIFS(C3:C66,A3:A66,E3:E50)</f>
        <v>15.494</v>
      </c>
      <c r="H3">
        <v>148</v>
      </c>
      <c r="J3">
        <f>I3*1.12</f>
        <v>0</v>
      </c>
    </row>
    <row r="4" spans="1:10" x14ac:dyDescent="0.25">
      <c r="A4">
        <v>106</v>
      </c>
      <c r="B4">
        <v>0.47</v>
      </c>
      <c r="C4">
        <f>B4*25.4</f>
        <v>11.937999999999999</v>
      </c>
      <c r="E4">
        <v>109</v>
      </c>
      <c r="F4">
        <v>12.7</v>
      </c>
      <c r="H4">
        <v>148</v>
      </c>
      <c r="I4">
        <v>6.1</v>
      </c>
      <c r="J4">
        <f>I4*1.12</f>
        <v>6.8319999999999999</v>
      </c>
    </row>
    <row r="5" spans="1:10" x14ac:dyDescent="0.25">
      <c r="A5">
        <v>109</v>
      </c>
      <c r="B5">
        <v>0.5</v>
      </c>
      <c r="C5">
        <f>B5*25.4</f>
        <v>12.7</v>
      </c>
      <c r="E5">
        <v>110</v>
      </c>
      <c r="F5">
        <v>5.5880000000000001</v>
      </c>
      <c r="H5">
        <v>162</v>
      </c>
      <c r="J5">
        <f>I5*1.12</f>
        <v>0</v>
      </c>
    </row>
    <row r="6" spans="1:10" x14ac:dyDescent="0.25">
      <c r="A6">
        <v>110</v>
      </c>
      <c r="B6">
        <v>0.22</v>
      </c>
      <c r="C6">
        <f>B6*25.4</f>
        <v>5.5880000000000001</v>
      </c>
      <c r="E6">
        <v>111</v>
      </c>
      <c r="F6">
        <v>11.683999999999999</v>
      </c>
      <c r="H6">
        <v>162</v>
      </c>
      <c r="I6">
        <v>24.5</v>
      </c>
      <c r="J6">
        <f>I6*1.12</f>
        <v>27.44</v>
      </c>
    </row>
    <row r="7" spans="1:10" x14ac:dyDescent="0.25">
      <c r="A7">
        <v>111</v>
      </c>
      <c r="B7">
        <v>0.46</v>
      </c>
      <c r="C7">
        <f>B7*25.4</f>
        <v>11.683999999999999</v>
      </c>
      <c r="E7">
        <v>113</v>
      </c>
      <c r="F7">
        <v>11.937999999999999</v>
      </c>
      <c r="H7">
        <v>176</v>
      </c>
      <c r="J7">
        <f>I7*1.12</f>
        <v>0</v>
      </c>
    </row>
    <row r="8" spans="1:10" x14ac:dyDescent="0.25">
      <c r="A8">
        <v>113</v>
      </c>
      <c r="B8">
        <v>0.47</v>
      </c>
      <c r="C8">
        <f>B8*25.4</f>
        <v>11.937999999999999</v>
      </c>
      <c r="E8">
        <v>116</v>
      </c>
      <c r="F8">
        <v>22.352</v>
      </c>
      <c r="H8">
        <v>176</v>
      </c>
      <c r="I8">
        <v>24.5</v>
      </c>
      <c r="J8">
        <f>I8*1.12</f>
        <v>27.44</v>
      </c>
    </row>
    <row r="9" spans="1:10" x14ac:dyDescent="0.25">
      <c r="A9">
        <v>116</v>
      </c>
      <c r="B9">
        <v>0.88</v>
      </c>
      <c r="C9">
        <f>B9*25.4</f>
        <v>22.352</v>
      </c>
      <c r="E9">
        <v>118</v>
      </c>
      <c r="F9">
        <v>28.448</v>
      </c>
      <c r="H9">
        <v>177</v>
      </c>
      <c r="J9">
        <f>I9*1.12</f>
        <v>0</v>
      </c>
    </row>
    <row r="10" spans="1:10" x14ac:dyDescent="0.25">
      <c r="A10">
        <v>118</v>
      </c>
      <c r="B10">
        <v>0.27</v>
      </c>
      <c r="C10">
        <f>B10*25.4</f>
        <v>6.8579999999999997</v>
      </c>
      <c r="E10">
        <v>119</v>
      </c>
      <c r="F10">
        <v>21.081999999999997</v>
      </c>
      <c r="H10">
        <v>177</v>
      </c>
      <c r="J10">
        <f>I10*1.12</f>
        <v>0</v>
      </c>
    </row>
    <row r="11" spans="1:10" x14ac:dyDescent="0.25">
      <c r="A11">
        <v>118</v>
      </c>
      <c r="B11">
        <v>0.85</v>
      </c>
      <c r="C11">
        <f>B11*25.4</f>
        <v>21.59</v>
      </c>
      <c r="E11">
        <v>120</v>
      </c>
      <c r="F11">
        <v>21.843999999999998</v>
      </c>
      <c r="H11">
        <v>197</v>
      </c>
      <c r="I11">
        <v>18.399999999999999</v>
      </c>
      <c r="J11">
        <f>I11*1.12</f>
        <v>20.608000000000001</v>
      </c>
    </row>
    <row r="12" spans="1:10" x14ac:dyDescent="0.25">
      <c r="A12">
        <v>119</v>
      </c>
      <c r="B12">
        <v>0.83</v>
      </c>
      <c r="C12">
        <f>B12*25.4</f>
        <v>21.081999999999997</v>
      </c>
      <c r="E12">
        <v>124</v>
      </c>
      <c r="F12">
        <v>23.114000000000001</v>
      </c>
      <c r="H12">
        <v>197</v>
      </c>
      <c r="J12">
        <f>I12*1.12</f>
        <v>0</v>
      </c>
    </row>
    <row r="13" spans="1:10" x14ac:dyDescent="0.25">
      <c r="A13">
        <v>120</v>
      </c>
      <c r="B13">
        <v>0.86</v>
      </c>
      <c r="C13">
        <f>B13*25.4</f>
        <v>21.843999999999998</v>
      </c>
      <c r="E13">
        <v>148</v>
      </c>
      <c r="F13">
        <v>25.907999999999994</v>
      </c>
    </row>
    <row r="14" spans="1:10" x14ac:dyDescent="0.25">
      <c r="A14">
        <v>124</v>
      </c>
      <c r="B14">
        <v>0.91</v>
      </c>
      <c r="C14">
        <f>B14*25.4</f>
        <v>23.114000000000001</v>
      </c>
      <c r="E14">
        <v>158</v>
      </c>
      <c r="F14">
        <v>20.574000000000002</v>
      </c>
    </row>
    <row r="15" spans="1:10" x14ac:dyDescent="0.25">
      <c r="A15">
        <v>148</v>
      </c>
      <c r="B15">
        <v>0.72</v>
      </c>
      <c r="C15">
        <f>B15*25.4</f>
        <v>18.287999999999997</v>
      </c>
      <c r="E15">
        <v>162</v>
      </c>
      <c r="F15">
        <v>25.4</v>
      </c>
    </row>
    <row r="16" spans="1:10" x14ac:dyDescent="0.25">
      <c r="A16">
        <v>148</v>
      </c>
      <c r="C16">
        <f>B16*25.4</f>
        <v>0</v>
      </c>
      <c r="E16">
        <v>166</v>
      </c>
      <c r="F16">
        <v>30.225999999999996</v>
      </c>
    </row>
    <row r="17" spans="1:6" x14ac:dyDescent="0.25">
      <c r="A17">
        <v>148</v>
      </c>
      <c r="B17">
        <v>0.3</v>
      </c>
      <c r="C17">
        <f>B17*25.4</f>
        <v>7.6199999999999992</v>
      </c>
      <c r="E17">
        <v>167</v>
      </c>
      <c r="F17">
        <v>0</v>
      </c>
    </row>
    <row r="18" spans="1:6" x14ac:dyDescent="0.25">
      <c r="A18">
        <v>158</v>
      </c>
      <c r="B18">
        <v>0.81</v>
      </c>
      <c r="C18">
        <f>B18*25.4</f>
        <v>20.574000000000002</v>
      </c>
      <c r="E18">
        <v>168</v>
      </c>
      <c r="F18">
        <v>0</v>
      </c>
    </row>
    <row r="19" spans="1:6" x14ac:dyDescent="0.25">
      <c r="A19">
        <v>162</v>
      </c>
      <c r="B19">
        <v>0.72</v>
      </c>
      <c r="C19">
        <f>B19*25.4</f>
        <v>18.287999999999997</v>
      </c>
      <c r="E19">
        <v>170</v>
      </c>
      <c r="F19">
        <v>23.622</v>
      </c>
    </row>
    <row r="20" spans="1:6" x14ac:dyDescent="0.25">
      <c r="A20">
        <v>162</v>
      </c>
      <c r="C20">
        <f>B20*25.4</f>
        <v>0</v>
      </c>
      <c r="E20">
        <v>174</v>
      </c>
      <c r="F20">
        <v>20.32</v>
      </c>
    </row>
    <row r="21" spans="1:6" x14ac:dyDescent="0.25">
      <c r="A21">
        <v>162</v>
      </c>
      <c r="B21">
        <v>0.28000000000000003</v>
      </c>
      <c r="C21">
        <f>B21*25.4</f>
        <v>7.1120000000000001</v>
      </c>
      <c r="E21">
        <v>175</v>
      </c>
      <c r="F21">
        <v>0</v>
      </c>
    </row>
    <row r="22" spans="1:6" x14ac:dyDescent="0.25">
      <c r="A22">
        <v>166</v>
      </c>
      <c r="B22">
        <v>1.19</v>
      </c>
      <c r="C22">
        <f>B22*25.4</f>
        <v>30.225999999999996</v>
      </c>
      <c r="E22">
        <v>176</v>
      </c>
      <c r="F22">
        <v>25.146000000000001</v>
      </c>
    </row>
    <row r="23" spans="1:6" x14ac:dyDescent="0.25">
      <c r="A23">
        <v>167</v>
      </c>
      <c r="C23">
        <f>B23*25.4</f>
        <v>0</v>
      </c>
      <c r="E23">
        <v>177</v>
      </c>
      <c r="F23">
        <v>0</v>
      </c>
    </row>
    <row r="24" spans="1:6" x14ac:dyDescent="0.25">
      <c r="A24">
        <v>168</v>
      </c>
      <c r="C24">
        <f>B24*25.4</f>
        <v>0</v>
      </c>
      <c r="E24">
        <v>181</v>
      </c>
      <c r="F24">
        <v>23.114000000000001</v>
      </c>
    </row>
    <row r="25" spans="1:6" x14ac:dyDescent="0.25">
      <c r="A25">
        <v>170</v>
      </c>
      <c r="B25">
        <v>0.93</v>
      </c>
      <c r="C25">
        <f>B25*25.4</f>
        <v>23.622</v>
      </c>
      <c r="E25">
        <v>182</v>
      </c>
      <c r="F25">
        <v>0</v>
      </c>
    </row>
    <row r="26" spans="1:6" x14ac:dyDescent="0.25">
      <c r="A26">
        <v>174</v>
      </c>
      <c r="B26">
        <v>0.8</v>
      </c>
      <c r="C26">
        <f>B26*25.4</f>
        <v>20.32</v>
      </c>
      <c r="E26">
        <v>183</v>
      </c>
      <c r="F26">
        <v>23.367999999999999</v>
      </c>
    </row>
    <row r="27" spans="1:6" x14ac:dyDescent="0.25">
      <c r="A27">
        <v>175</v>
      </c>
      <c r="C27">
        <f>B27*25.4</f>
        <v>0</v>
      </c>
      <c r="E27">
        <v>184</v>
      </c>
      <c r="F27">
        <v>0</v>
      </c>
    </row>
    <row r="28" spans="1:6" x14ac:dyDescent="0.25">
      <c r="A28">
        <v>176</v>
      </c>
      <c r="B28">
        <v>0.71</v>
      </c>
      <c r="C28">
        <f>B28*25.4</f>
        <v>18.033999999999999</v>
      </c>
      <c r="E28">
        <v>187</v>
      </c>
      <c r="F28">
        <v>35.305999999999997</v>
      </c>
    </row>
    <row r="29" spans="1:6" x14ac:dyDescent="0.25">
      <c r="A29">
        <v>176</v>
      </c>
      <c r="C29">
        <f>B29*25.4</f>
        <v>0</v>
      </c>
      <c r="E29">
        <v>188</v>
      </c>
      <c r="F29">
        <v>25.4</v>
      </c>
    </row>
    <row r="30" spans="1:6" x14ac:dyDescent="0.25">
      <c r="A30">
        <v>176</v>
      </c>
      <c r="B30">
        <v>0.28000000000000003</v>
      </c>
      <c r="C30">
        <f>B30*25.4</f>
        <v>7.1120000000000001</v>
      </c>
      <c r="E30">
        <v>193</v>
      </c>
      <c r="F30">
        <v>0</v>
      </c>
    </row>
    <row r="31" spans="1:6" x14ac:dyDescent="0.25">
      <c r="A31">
        <v>177</v>
      </c>
      <c r="C31">
        <f>B31*25.4</f>
        <v>0</v>
      </c>
      <c r="E31">
        <v>195</v>
      </c>
      <c r="F31">
        <v>25.4</v>
      </c>
    </row>
    <row r="32" spans="1:6" x14ac:dyDescent="0.25">
      <c r="A32">
        <v>177</v>
      </c>
      <c r="C32">
        <f>B32*25.4</f>
        <v>0</v>
      </c>
      <c r="E32">
        <v>197</v>
      </c>
      <c r="F32">
        <v>7.1120000000000001</v>
      </c>
    </row>
    <row r="33" spans="1:6" x14ac:dyDescent="0.25">
      <c r="A33">
        <v>177</v>
      </c>
      <c r="C33">
        <f>B33*25.4</f>
        <v>0</v>
      </c>
      <c r="E33">
        <v>203</v>
      </c>
      <c r="F33">
        <v>29.209999999999997</v>
      </c>
    </row>
    <row r="34" spans="1:6" x14ac:dyDescent="0.25">
      <c r="A34">
        <v>181</v>
      </c>
      <c r="B34">
        <v>0.91</v>
      </c>
      <c r="C34">
        <f>B34*25.4</f>
        <v>23.114000000000001</v>
      </c>
      <c r="E34">
        <v>204</v>
      </c>
      <c r="F34">
        <v>11.43</v>
      </c>
    </row>
    <row r="35" spans="1:6" x14ac:dyDescent="0.25">
      <c r="A35">
        <v>182</v>
      </c>
      <c r="C35">
        <f>B35*25.4</f>
        <v>0</v>
      </c>
      <c r="E35">
        <v>208</v>
      </c>
      <c r="F35">
        <v>0</v>
      </c>
    </row>
    <row r="36" spans="1:6" x14ac:dyDescent="0.25">
      <c r="A36">
        <v>183</v>
      </c>
      <c r="B36">
        <v>0.92</v>
      </c>
      <c r="C36">
        <f>B36*25.4</f>
        <v>23.367999999999999</v>
      </c>
      <c r="E36">
        <v>210</v>
      </c>
      <c r="F36">
        <v>37.337999999999994</v>
      </c>
    </row>
    <row r="37" spans="1:6" x14ac:dyDescent="0.25">
      <c r="A37">
        <v>184</v>
      </c>
      <c r="C37">
        <f>B37*25.4</f>
        <v>0</v>
      </c>
      <c r="E37">
        <v>214</v>
      </c>
      <c r="F37">
        <v>25.907999999999998</v>
      </c>
    </row>
    <row r="38" spans="1:6" x14ac:dyDescent="0.25">
      <c r="A38">
        <v>187</v>
      </c>
      <c r="B38">
        <v>0.89</v>
      </c>
      <c r="C38">
        <f>B38*25.4</f>
        <v>22.605999999999998</v>
      </c>
      <c r="E38">
        <v>215</v>
      </c>
      <c r="F38">
        <v>24.13</v>
      </c>
    </row>
    <row r="39" spans="1:6" x14ac:dyDescent="0.25">
      <c r="A39">
        <v>187</v>
      </c>
      <c r="B39">
        <v>0.5</v>
      </c>
      <c r="C39">
        <f>B39*25.4</f>
        <v>12.7</v>
      </c>
      <c r="E39">
        <v>216</v>
      </c>
      <c r="F39">
        <v>38.353999999999992</v>
      </c>
    </row>
    <row r="40" spans="1:6" x14ac:dyDescent="0.25">
      <c r="A40">
        <v>188</v>
      </c>
      <c r="C40">
        <f>B40*25.4</f>
        <v>0</v>
      </c>
      <c r="E40">
        <v>217</v>
      </c>
      <c r="F40">
        <v>30.225999999999996</v>
      </c>
    </row>
    <row r="41" spans="1:6" x14ac:dyDescent="0.25">
      <c r="A41">
        <v>188</v>
      </c>
      <c r="B41">
        <v>1</v>
      </c>
      <c r="C41">
        <f>B41*25.4</f>
        <v>25.4</v>
      </c>
      <c r="E41">
        <v>221</v>
      </c>
      <c r="F41">
        <v>26.161999999999999</v>
      </c>
    </row>
    <row r="42" spans="1:6" x14ac:dyDescent="0.25">
      <c r="A42">
        <v>193</v>
      </c>
      <c r="C42">
        <f>B42*25.4</f>
        <v>0</v>
      </c>
      <c r="E42">
        <v>223</v>
      </c>
      <c r="F42">
        <v>0</v>
      </c>
    </row>
    <row r="43" spans="1:6" x14ac:dyDescent="0.25">
      <c r="A43">
        <v>195</v>
      </c>
      <c r="B43">
        <v>1</v>
      </c>
      <c r="C43">
        <f>B43*25.4</f>
        <v>25.4</v>
      </c>
      <c r="E43">
        <v>225</v>
      </c>
      <c r="F43">
        <v>35.305999999999997</v>
      </c>
    </row>
    <row r="44" spans="1:6" x14ac:dyDescent="0.25">
      <c r="A44">
        <v>197</v>
      </c>
      <c r="B44">
        <v>0.28000000000000003</v>
      </c>
      <c r="C44">
        <f>B44*25.4</f>
        <v>7.1120000000000001</v>
      </c>
      <c r="E44">
        <v>228</v>
      </c>
      <c r="F44">
        <v>0</v>
      </c>
    </row>
    <row r="45" spans="1:6" x14ac:dyDescent="0.25">
      <c r="A45">
        <v>197</v>
      </c>
      <c r="C45">
        <f>B45*25.4</f>
        <v>0</v>
      </c>
      <c r="E45">
        <v>231</v>
      </c>
      <c r="F45">
        <v>25.907999999999998</v>
      </c>
    </row>
    <row r="46" spans="1:6" x14ac:dyDescent="0.25">
      <c r="A46">
        <v>203</v>
      </c>
      <c r="B46">
        <v>1.1499999999999999</v>
      </c>
      <c r="C46">
        <f>B46*25.4</f>
        <v>29.209999999999997</v>
      </c>
      <c r="E46">
        <v>235</v>
      </c>
      <c r="F46">
        <v>38.099999999999994</v>
      </c>
    </row>
    <row r="47" spans="1:6" x14ac:dyDescent="0.25">
      <c r="A47">
        <v>204</v>
      </c>
      <c r="B47">
        <v>0.45</v>
      </c>
      <c r="C47">
        <f>B47*25.4</f>
        <v>11.43</v>
      </c>
      <c r="E47">
        <v>238</v>
      </c>
      <c r="F47">
        <v>25.654</v>
      </c>
    </row>
    <row r="48" spans="1:6" x14ac:dyDescent="0.25">
      <c r="A48">
        <v>208</v>
      </c>
      <c r="C48">
        <f>B48*25.4</f>
        <v>0</v>
      </c>
      <c r="E48">
        <v>242</v>
      </c>
      <c r="F48">
        <v>0</v>
      </c>
    </row>
    <row r="49" spans="1:6" x14ac:dyDescent="0.25">
      <c r="A49">
        <v>210</v>
      </c>
      <c r="B49">
        <v>1.47</v>
      </c>
      <c r="C49">
        <f>B49*25.4</f>
        <v>37.337999999999994</v>
      </c>
      <c r="E49">
        <v>245</v>
      </c>
      <c r="F49">
        <v>38.099999999999994</v>
      </c>
    </row>
    <row r="50" spans="1:6" x14ac:dyDescent="0.25">
      <c r="A50">
        <v>214</v>
      </c>
      <c r="B50">
        <v>1.02</v>
      </c>
      <c r="C50">
        <f>B50*25.4</f>
        <v>25.907999999999998</v>
      </c>
      <c r="E50">
        <v>250</v>
      </c>
      <c r="F50">
        <v>27.178000000000001</v>
      </c>
    </row>
    <row r="51" spans="1:6" x14ac:dyDescent="0.25">
      <c r="A51">
        <v>215</v>
      </c>
      <c r="B51">
        <v>0.95</v>
      </c>
      <c r="C51">
        <f>B51*25.4</f>
        <v>24.13</v>
      </c>
    </row>
    <row r="52" spans="1:6" x14ac:dyDescent="0.25">
      <c r="A52">
        <v>216</v>
      </c>
      <c r="B52">
        <v>1.1599999999999999</v>
      </c>
      <c r="C52">
        <f>B52*25.4</f>
        <v>29.463999999999995</v>
      </c>
    </row>
    <row r="53" spans="1:6" x14ac:dyDescent="0.25">
      <c r="A53">
        <v>216</v>
      </c>
      <c r="B53">
        <v>0.35</v>
      </c>
      <c r="C53">
        <f>B53*25.4</f>
        <v>8.8899999999999988</v>
      </c>
    </row>
    <row r="54" spans="1:6" x14ac:dyDescent="0.25">
      <c r="A54">
        <v>217</v>
      </c>
      <c r="B54">
        <v>1.19</v>
      </c>
      <c r="C54">
        <f>B54*25.4</f>
        <v>30.225999999999996</v>
      </c>
    </row>
    <row r="55" spans="1:6" x14ac:dyDescent="0.25">
      <c r="A55">
        <v>221</v>
      </c>
      <c r="B55">
        <v>1.03</v>
      </c>
      <c r="C55">
        <f>B55*25.4</f>
        <v>26.161999999999999</v>
      </c>
    </row>
    <row r="56" spans="1:6" x14ac:dyDescent="0.25">
      <c r="A56">
        <v>223</v>
      </c>
      <c r="C56">
        <f>B56*25.4</f>
        <v>0</v>
      </c>
    </row>
    <row r="57" spans="1:6" x14ac:dyDescent="0.25">
      <c r="A57">
        <v>223</v>
      </c>
      <c r="C57">
        <f>B57*25.4</f>
        <v>0</v>
      </c>
    </row>
    <row r="58" spans="1:6" x14ac:dyDescent="0.25">
      <c r="A58">
        <v>223</v>
      </c>
      <c r="C58">
        <f>B58*25.4</f>
        <v>0</v>
      </c>
    </row>
    <row r="59" spans="1:6" x14ac:dyDescent="0.25">
      <c r="A59">
        <v>225</v>
      </c>
      <c r="B59">
        <v>1.39</v>
      </c>
      <c r="C59">
        <f>B59*25.4</f>
        <v>35.305999999999997</v>
      </c>
    </row>
    <row r="60" spans="1:6" x14ac:dyDescent="0.25">
      <c r="A60">
        <v>228</v>
      </c>
      <c r="C60">
        <f>B60*25.4</f>
        <v>0</v>
      </c>
    </row>
    <row r="61" spans="1:6" x14ac:dyDescent="0.25">
      <c r="A61">
        <v>231</v>
      </c>
      <c r="B61">
        <v>1.02</v>
      </c>
      <c r="C61">
        <f>B61*25.4</f>
        <v>25.907999999999998</v>
      </c>
    </row>
    <row r="62" spans="1:6" x14ac:dyDescent="0.25">
      <c r="A62">
        <v>235</v>
      </c>
      <c r="B62">
        <v>1.5</v>
      </c>
      <c r="C62">
        <f>B62*25.4</f>
        <v>38.099999999999994</v>
      </c>
    </row>
    <row r="63" spans="1:6" x14ac:dyDescent="0.25">
      <c r="A63">
        <v>238</v>
      </c>
      <c r="B63">
        <v>1.01</v>
      </c>
      <c r="C63">
        <f>B63*25.4</f>
        <v>25.654</v>
      </c>
    </row>
    <row r="64" spans="1:6" x14ac:dyDescent="0.25">
      <c r="A64">
        <v>242</v>
      </c>
      <c r="C64">
        <f>B64*25.4</f>
        <v>0</v>
      </c>
    </row>
    <row r="65" spans="1:6" x14ac:dyDescent="0.25">
      <c r="A65">
        <v>245</v>
      </c>
      <c r="B65">
        <v>1.5</v>
      </c>
      <c r="C65">
        <f>B65*25.4</f>
        <v>38.099999999999994</v>
      </c>
    </row>
    <row r="66" spans="1:6" x14ac:dyDescent="0.25">
      <c r="A66">
        <v>250</v>
      </c>
      <c r="B66">
        <v>1.07</v>
      </c>
      <c r="C66">
        <f>B66*25.4</f>
        <v>27.178000000000001</v>
      </c>
      <c r="D66" s="87"/>
      <c r="F66" s="87"/>
    </row>
    <row r="67" spans="1:6" x14ac:dyDescent="0.25">
      <c r="B67">
        <f>SUM(B3:B66)</f>
        <v>35.36</v>
      </c>
      <c r="C67" s="87">
        <f>SUM(C3:C66)</f>
        <v>898.14399999999989</v>
      </c>
    </row>
    <row r="69" spans="1:6" x14ac:dyDescent="0.25">
      <c r="C69">
        <f>SUM(C15:C66)</f>
        <v>723.9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5006E-0976-4DAD-9A45-EBFCC4C1F3FF}">
  <dimension ref="A1:J69"/>
  <sheetViews>
    <sheetView workbookViewId="0">
      <selection activeCell="F3" sqref="F3:F50"/>
    </sheetView>
  </sheetViews>
  <sheetFormatPr defaultRowHeight="15" x14ac:dyDescent="0.25"/>
  <cols>
    <col min="2" max="2" width="10" customWidth="1"/>
    <col min="3" max="3" width="11.7109375" bestFit="1" customWidth="1"/>
    <col min="4" max="6" width="11.7109375" customWidth="1"/>
    <col min="9" max="9" width="14.5703125" bestFit="1" customWidth="1"/>
    <col min="10" max="10" width="15.140625" bestFit="1" customWidth="1"/>
  </cols>
  <sheetData>
    <row r="1" spans="1:10" x14ac:dyDescent="0.25">
      <c r="A1" s="86" t="s">
        <v>226</v>
      </c>
      <c r="E1" t="s">
        <v>228</v>
      </c>
      <c r="H1" t="s">
        <v>227</v>
      </c>
    </row>
    <row r="2" spans="1:10" x14ac:dyDescent="0.25">
      <c r="A2" t="s">
        <v>172</v>
      </c>
      <c r="B2" t="s">
        <v>225</v>
      </c>
      <c r="C2" t="s">
        <v>218</v>
      </c>
      <c r="E2" t="s">
        <v>172</v>
      </c>
      <c r="F2" t="s">
        <v>218</v>
      </c>
      <c r="H2" t="s">
        <v>172</v>
      </c>
      <c r="I2" t="s">
        <v>224</v>
      </c>
      <c r="J2" t="s">
        <v>223</v>
      </c>
    </row>
    <row r="3" spans="1:10" x14ac:dyDescent="0.25">
      <c r="A3">
        <v>106</v>
      </c>
      <c r="B3">
        <v>0.13</v>
      </c>
      <c r="C3">
        <f>B3*25.4</f>
        <v>3.302</v>
      </c>
      <c r="E3">
        <v>106</v>
      </c>
      <c r="F3" cm="1">
        <f t="array" ref="F3:F50">SUMIFS(C3:C66,A3:A66,E3:E50)</f>
        <v>14.223999999999998</v>
      </c>
      <c r="H3">
        <v>148</v>
      </c>
      <c r="I3">
        <v>25.6</v>
      </c>
      <c r="J3">
        <f>I3*1.12</f>
        <v>28.672000000000004</v>
      </c>
    </row>
    <row r="4" spans="1:10" x14ac:dyDescent="0.25">
      <c r="A4">
        <v>106</v>
      </c>
      <c r="B4">
        <v>0.43</v>
      </c>
      <c r="C4">
        <f>B4*25.4</f>
        <v>10.921999999999999</v>
      </c>
      <c r="E4">
        <v>109</v>
      </c>
      <c r="F4">
        <v>12.7</v>
      </c>
      <c r="H4">
        <v>148</v>
      </c>
      <c r="J4">
        <f>I4*1.12</f>
        <v>0</v>
      </c>
    </row>
    <row r="5" spans="1:10" x14ac:dyDescent="0.25">
      <c r="A5">
        <v>109</v>
      </c>
      <c r="B5">
        <v>0.5</v>
      </c>
      <c r="C5">
        <f>B5*25.4</f>
        <v>12.7</v>
      </c>
      <c r="E5">
        <v>110</v>
      </c>
      <c r="F5">
        <v>5.5880000000000001</v>
      </c>
      <c r="H5">
        <v>162</v>
      </c>
      <c r="I5">
        <v>38.299999999999997</v>
      </c>
      <c r="J5">
        <f>I5*1.12</f>
        <v>42.896000000000001</v>
      </c>
    </row>
    <row r="6" spans="1:10" x14ac:dyDescent="0.25">
      <c r="A6">
        <v>110</v>
      </c>
      <c r="B6">
        <v>0.22</v>
      </c>
      <c r="C6">
        <f>B6*25.4</f>
        <v>5.5880000000000001</v>
      </c>
      <c r="E6">
        <v>111</v>
      </c>
      <c r="F6">
        <v>11.683999999999999</v>
      </c>
      <c r="H6">
        <v>162</v>
      </c>
      <c r="J6">
        <f>I6*1.12</f>
        <v>0</v>
      </c>
    </row>
    <row r="7" spans="1:10" x14ac:dyDescent="0.25">
      <c r="A7">
        <v>111</v>
      </c>
      <c r="B7">
        <v>0.46</v>
      </c>
      <c r="C7">
        <f>B7*25.4</f>
        <v>11.683999999999999</v>
      </c>
      <c r="E7">
        <v>113</v>
      </c>
      <c r="F7">
        <v>11.43</v>
      </c>
      <c r="H7">
        <v>176</v>
      </c>
      <c r="I7">
        <v>63.9</v>
      </c>
      <c r="J7">
        <f>I7*1.12</f>
        <v>71.568000000000012</v>
      </c>
    </row>
    <row r="8" spans="1:10" x14ac:dyDescent="0.25">
      <c r="A8">
        <v>113</v>
      </c>
      <c r="B8">
        <v>0.45</v>
      </c>
      <c r="C8">
        <f>B8*25.4</f>
        <v>11.43</v>
      </c>
      <c r="E8">
        <v>116</v>
      </c>
      <c r="F8">
        <v>22.352</v>
      </c>
      <c r="H8">
        <v>176</v>
      </c>
      <c r="J8">
        <f>I8*1.12</f>
        <v>0</v>
      </c>
    </row>
    <row r="9" spans="1:10" x14ac:dyDescent="0.25">
      <c r="A9">
        <v>116</v>
      </c>
      <c r="B9">
        <v>0.88</v>
      </c>
      <c r="C9">
        <f>B9*25.4</f>
        <v>22.352</v>
      </c>
      <c r="E9">
        <v>118</v>
      </c>
      <c r="F9">
        <v>31.241999999999997</v>
      </c>
      <c r="H9">
        <v>177</v>
      </c>
      <c r="J9">
        <f>I9*1.12</f>
        <v>0</v>
      </c>
    </row>
    <row r="10" spans="1:10" x14ac:dyDescent="0.25">
      <c r="A10">
        <v>118</v>
      </c>
      <c r="B10">
        <v>0.3</v>
      </c>
      <c r="C10">
        <f>B10*25.4</f>
        <v>7.6199999999999992</v>
      </c>
      <c r="E10">
        <v>119</v>
      </c>
      <c r="F10">
        <v>24.13</v>
      </c>
      <c r="H10">
        <v>177</v>
      </c>
      <c r="J10">
        <f>I10*1.12</f>
        <v>0</v>
      </c>
    </row>
    <row r="11" spans="1:10" x14ac:dyDescent="0.25">
      <c r="A11">
        <v>118</v>
      </c>
      <c r="B11">
        <v>0.93</v>
      </c>
      <c r="C11">
        <f>B11*25.4</f>
        <v>23.622</v>
      </c>
      <c r="E11">
        <v>120</v>
      </c>
      <c r="F11">
        <v>22.86</v>
      </c>
      <c r="H11">
        <v>197</v>
      </c>
      <c r="J11">
        <f>I11*1.12</f>
        <v>0</v>
      </c>
    </row>
    <row r="12" spans="1:10" x14ac:dyDescent="0.25">
      <c r="A12">
        <v>119</v>
      </c>
      <c r="B12">
        <v>0.95</v>
      </c>
      <c r="C12">
        <f>B12*25.4</f>
        <v>24.13</v>
      </c>
      <c r="E12">
        <v>124</v>
      </c>
      <c r="F12">
        <v>20.574000000000002</v>
      </c>
      <c r="H12">
        <v>197</v>
      </c>
      <c r="I12">
        <v>44.7</v>
      </c>
      <c r="J12">
        <f>I12*1.12</f>
        <v>50.064000000000007</v>
      </c>
    </row>
    <row r="13" spans="1:10" x14ac:dyDescent="0.25">
      <c r="A13">
        <v>120</v>
      </c>
      <c r="B13">
        <v>0.9</v>
      </c>
      <c r="C13">
        <f>B13*25.4</f>
        <v>22.86</v>
      </c>
      <c r="E13">
        <v>148</v>
      </c>
      <c r="F13">
        <v>26.161999999999995</v>
      </c>
    </row>
    <row r="14" spans="1:10" x14ac:dyDescent="0.25">
      <c r="A14">
        <v>124</v>
      </c>
      <c r="B14">
        <v>0.81</v>
      </c>
      <c r="C14">
        <f>B14*25.4</f>
        <v>20.574000000000002</v>
      </c>
      <c r="E14">
        <v>158</v>
      </c>
      <c r="F14">
        <v>23.367999999999999</v>
      </c>
    </row>
    <row r="15" spans="1:10" x14ac:dyDescent="0.25">
      <c r="A15">
        <v>148</v>
      </c>
      <c r="B15">
        <v>0.72</v>
      </c>
      <c r="C15">
        <f>B15*25.4</f>
        <v>18.287999999999997</v>
      </c>
      <c r="E15">
        <v>162</v>
      </c>
      <c r="F15">
        <v>27.177999999999997</v>
      </c>
    </row>
    <row r="16" spans="1:10" x14ac:dyDescent="0.25">
      <c r="A16">
        <v>148</v>
      </c>
      <c r="B16">
        <v>0.31</v>
      </c>
      <c r="C16">
        <f>B16*25.4</f>
        <v>7.8739999999999997</v>
      </c>
      <c r="E16">
        <v>166</v>
      </c>
      <c r="F16">
        <v>31.495999999999999</v>
      </c>
    </row>
    <row r="17" spans="1:6" x14ac:dyDescent="0.25">
      <c r="A17">
        <v>148</v>
      </c>
      <c r="C17">
        <f>B17*25.4</f>
        <v>0</v>
      </c>
      <c r="E17">
        <v>167</v>
      </c>
      <c r="F17">
        <v>0</v>
      </c>
    </row>
    <row r="18" spans="1:6" x14ac:dyDescent="0.25">
      <c r="A18">
        <v>158</v>
      </c>
      <c r="B18">
        <v>0.92</v>
      </c>
      <c r="C18">
        <f>B18*25.4</f>
        <v>23.367999999999999</v>
      </c>
      <c r="E18">
        <v>168</v>
      </c>
      <c r="F18">
        <v>4.8259999999999996</v>
      </c>
    </row>
    <row r="19" spans="1:6" x14ac:dyDescent="0.25">
      <c r="A19">
        <v>162</v>
      </c>
      <c r="B19">
        <v>0.77</v>
      </c>
      <c r="C19">
        <f>B19*25.4</f>
        <v>19.558</v>
      </c>
      <c r="E19">
        <v>170</v>
      </c>
      <c r="F19">
        <v>17.779999999999998</v>
      </c>
    </row>
    <row r="20" spans="1:6" x14ac:dyDescent="0.25">
      <c r="A20">
        <v>162</v>
      </c>
      <c r="B20">
        <v>0.3</v>
      </c>
      <c r="C20">
        <f>B20*25.4</f>
        <v>7.6199999999999992</v>
      </c>
      <c r="E20">
        <v>174</v>
      </c>
      <c r="F20">
        <v>21.59</v>
      </c>
    </row>
    <row r="21" spans="1:6" x14ac:dyDescent="0.25">
      <c r="A21">
        <v>162</v>
      </c>
      <c r="C21">
        <f>B21*25.4</f>
        <v>0</v>
      </c>
      <c r="E21">
        <v>175</v>
      </c>
      <c r="F21">
        <v>0</v>
      </c>
    </row>
    <row r="22" spans="1:6" x14ac:dyDescent="0.25">
      <c r="A22">
        <v>166</v>
      </c>
      <c r="B22">
        <v>1.24</v>
      </c>
      <c r="C22">
        <f>B22*25.4</f>
        <v>31.495999999999999</v>
      </c>
      <c r="E22">
        <v>176</v>
      </c>
      <c r="F22">
        <v>28.193999999999999</v>
      </c>
    </row>
    <row r="23" spans="1:6" x14ac:dyDescent="0.25">
      <c r="A23">
        <v>167</v>
      </c>
      <c r="C23">
        <f>B23*25.4</f>
        <v>0</v>
      </c>
      <c r="E23">
        <v>177</v>
      </c>
      <c r="F23">
        <v>0</v>
      </c>
    </row>
    <row r="24" spans="1:6" x14ac:dyDescent="0.25">
      <c r="A24">
        <v>168</v>
      </c>
      <c r="B24">
        <v>0.19</v>
      </c>
      <c r="C24">
        <f>B24*25.4</f>
        <v>4.8259999999999996</v>
      </c>
      <c r="E24">
        <v>181</v>
      </c>
      <c r="F24">
        <v>23.114000000000001</v>
      </c>
    </row>
    <row r="25" spans="1:6" x14ac:dyDescent="0.25">
      <c r="A25">
        <v>170</v>
      </c>
      <c r="B25">
        <v>0.7</v>
      </c>
      <c r="C25">
        <f>B25*25.4</f>
        <v>17.779999999999998</v>
      </c>
      <c r="E25">
        <v>182</v>
      </c>
      <c r="F25">
        <v>0</v>
      </c>
    </row>
    <row r="26" spans="1:6" x14ac:dyDescent="0.25">
      <c r="A26">
        <v>174</v>
      </c>
      <c r="B26">
        <v>0.85</v>
      </c>
      <c r="C26">
        <f>B26*25.4</f>
        <v>21.59</v>
      </c>
      <c r="E26">
        <v>183</v>
      </c>
      <c r="F26">
        <v>25.654</v>
      </c>
    </row>
    <row r="27" spans="1:6" x14ac:dyDescent="0.25">
      <c r="A27">
        <v>175</v>
      </c>
      <c r="C27">
        <f>B27*25.4</f>
        <v>0</v>
      </c>
      <c r="E27">
        <v>184</v>
      </c>
      <c r="F27">
        <v>0</v>
      </c>
    </row>
    <row r="28" spans="1:6" x14ac:dyDescent="0.25">
      <c r="A28">
        <v>176</v>
      </c>
      <c r="B28">
        <v>0.79</v>
      </c>
      <c r="C28">
        <f>B28*25.4</f>
        <v>20.065999999999999</v>
      </c>
      <c r="E28">
        <v>187</v>
      </c>
      <c r="F28">
        <v>37.083999999999996</v>
      </c>
    </row>
    <row r="29" spans="1:6" x14ac:dyDescent="0.25">
      <c r="A29">
        <v>176</v>
      </c>
      <c r="B29">
        <v>0.32</v>
      </c>
      <c r="C29">
        <f>B29*25.4</f>
        <v>8.1280000000000001</v>
      </c>
      <c r="E29">
        <v>188</v>
      </c>
      <c r="F29">
        <v>25.4</v>
      </c>
    </row>
    <row r="30" spans="1:6" x14ac:dyDescent="0.25">
      <c r="A30">
        <v>176</v>
      </c>
      <c r="C30">
        <f>B30*25.4</f>
        <v>0</v>
      </c>
      <c r="E30">
        <v>193</v>
      </c>
      <c r="F30">
        <v>30.225999999999996</v>
      </c>
    </row>
    <row r="31" spans="1:6" x14ac:dyDescent="0.25">
      <c r="A31">
        <v>177</v>
      </c>
      <c r="C31">
        <f>B31*25.4</f>
        <v>0</v>
      </c>
      <c r="E31">
        <v>195</v>
      </c>
      <c r="F31">
        <v>25.4</v>
      </c>
    </row>
    <row r="32" spans="1:6" x14ac:dyDescent="0.25">
      <c r="A32">
        <v>177</v>
      </c>
      <c r="C32">
        <f>B32*25.4</f>
        <v>0</v>
      </c>
      <c r="E32">
        <v>197</v>
      </c>
      <c r="F32">
        <v>7.1120000000000001</v>
      </c>
    </row>
    <row r="33" spans="1:6" x14ac:dyDescent="0.25">
      <c r="A33">
        <v>177</v>
      </c>
      <c r="C33">
        <f>B33*25.4</f>
        <v>0</v>
      </c>
      <c r="E33">
        <v>203</v>
      </c>
      <c r="F33">
        <v>34.798000000000002</v>
      </c>
    </row>
    <row r="34" spans="1:6" x14ac:dyDescent="0.25">
      <c r="A34">
        <v>181</v>
      </c>
      <c r="B34">
        <v>0.91</v>
      </c>
      <c r="C34">
        <f>B34*25.4</f>
        <v>23.114000000000001</v>
      </c>
      <c r="E34">
        <v>204</v>
      </c>
      <c r="F34">
        <v>11.683999999999999</v>
      </c>
    </row>
    <row r="35" spans="1:6" x14ac:dyDescent="0.25">
      <c r="A35">
        <v>182</v>
      </c>
      <c r="C35">
        <f>B35*25.4</f>
        <v>0</v>
      </c>
      <c r="E35">
        <v>208</v>
      </c>
      <c r="F35">
        <v>28.701999999999995</v>
      </c>
    </row>
    <row r="36" spans="1:6" x14ac:dyDescent="0.25">
      <c r="A36">
        <v>183</v>
      </c>
      <c r="B36">
        <v>1.01</v>
      </c>
      <c r="C36">
        <f>B36*25.4</f>
        <v>25.654</v>
      </c>
      <c r="E36">
        <v>210</v>
      </c>
      <c r="F36">
        <v>38.353999999999999</v>
      </c>
    </row>
    <row r="37" spans="1:6" x14ac:dyDescent="0.25">
      <c r="A37">
        <v>184</v>
      </c>
      <c r="C37">
        <f>B37*25.4</f>
        <v>0</v>
      </c>
      <c r="E37">
        <v>214</v>
      </c>
      <c r="F37">
        <v>0</v>
      </c>
    </row>
    <row r="38" spans="1:6" x14ac:dyDescent="0.25">
      <c r="A38">
        <v>187</v>
      </c>
      <c r="B38">
        <v>0.96</v>
      </c>
      <c r="C38">
        <f>B38*25.4</f>
        <v>24.383999999999997</v>
      </c>
      <c r="E38">
        <v>215</v>
      </c>
      <c r="F38">
        <v>25.654</v>
      </c>
    </row>
    <row r="39" spans="1:6" x14ac:dyDescent="0.25">
      <c r="A39">
        <v>187</v>
      </c>
      <c r="B39">
        <v>0.5</v>
      </c>
      <c r="C39">
        <f>B39*25.4</f>
        <v>12.7</v>
      </c>
      <c r="E39">
        <v>216</v>
      </c>
      <c r="F39">
        <v>8.8899999999999988</v>
      </c>
    </row>
    <row r="40" spans="1:6" x14ac:dyDescent="0.25">
      <c r="A40">
        <v>188</v>
      </c>
      <c r="C40">
        <f>B40*25.4</f>
        <v>0</v>
      </c>
      <c r="E40">
        <v>217</v>
      </c>
      <c r="F40">
        <v>32.512</v>
      </c>
    </row>
    <row r="41" spans="1:6" x14ac:dyDescent="0.25">
      <c r="A41">
        <v>188</v>
      </c>
      <c r="B41">
        <v>1</v>
      </c>
      <c r="C41">
        <f>B41*25.4</f>
        <v>25.4</v>
      </c>
      <c r="E41">
        <v>221</v>
      </c>
      <c r="F41">
        <v>29.209999999999997</v>
      </c>
    </row>
    <row r="42" spans="1:6" x14ac:dyDescent="0.25">
      <c r="A42">
        <v>193</v>
      </c>
      <c r="B42">
        <v>1.19</v>
      </c>
      <c r="C42">
        <f>B42*25.4</f>
        <v>30.225999999999996</v>
      </c>
      <c r="E42">
        <v>223</v>
      </c>
      <c r="F42">
        <v>43.941999999999993</v>
      </c>
    </row>
    <row r="43" spans="1:6" x14ac:dyDescent="0.25">
      <c r="A43">
        <v>195</v>
      </c>
      <c r="B43">
        <v>1</v>
      </c>
      <c r="C43">
        <f>B43*25.4</f>
        <v>25.4</v>
      </c>
      <c r="E43">
        <v>225</v>
      </c>
      <c r="F43">
        <v>41.91</v>
      </c>
    </row>
    <row r="44" spans="1:6" x14ac:dyDescent="0.25">
      <c r="A44">
        <v>197</v>
      </c>
      <c r="C44">
        <f>B44*25.4</f>
        <v>0</v>
      </c>
      <c r="E44">
        <v>228</v>
      </c>
      <c r="F44">
        <v>29.717999999999996</v>
      </c>
    </row>
    <row r="45" spans="1:6" x14ac:dyDescent="0.25">
      <c r="A45">
        <v>197</v>
      </c>
      <c r="B45">
        <v>0.28000000000000003</v>
      </c>
      <c r="C45">
        <f>B45*25.4</f>
        <v>7.1120000000000001</v>
      </c>
      <c r="E45">
        <v>231</v>
      </c>
      <c r="F45">
        <v>29.971999999999998</v>
      </c>
    </row>
    <row r="46" spans="1:6" x14ac:dyDescent="0.25">
      <c r="A46">
        <v>203</v>
      </c>
      <c r="B46">
        <v>1.37</v>
      </c>
      <c r="C46">
        <f>B46*25.4</f>
        <v>34.798000000000002</v>
      </c>
      <c r="E46">
        <v>235</v>
      </c>
      <c r="F46">
        <v>35.051999999999992</v>
      </c>
    </row>
    <row r="47" spans="1:6" x14ac:dyDescent="0.25">
      <c r="A47">
        <v>204</v>
      </c>
      <c r="B47">
        <v>0.46</v>
      </c>
      <c r="C47">
        <f>B47*25.4</f>
        <v>11.683999999999999</v>
      </c>
      <c r="E47">
        <v>238</v>
      </c>
      <c r="F47">
        <v>29.209999999999997</v>
      </c>
    </row>
    <row r="48" spans="1:6" x14ac:dyDescent="0.25">
      <c r="A48">
        <v>208</v>
      </c>
      <c r="B48">
        <v>1.1299999999999999</v>
      </c>
      <c r="C48">
        <f>B48*25.4</f>
        <v>28.701999999999995</v>
      </c>
      <c r="E48">
        <v>242</v>
      </c>
      <c r="F48">
        <v>31.495999999999999</v>
      </c>
    </row>
    <row r="49" spans="1:6" x14ac:dyDescent="0.25">
      <c r="A49">
        <v>210</v>
      </c>
      <c r="B49">
        <v>1.51</v>
      </c>
      <c r="C49">
        <f>B49*25.4</f>
        <v>38.353999999999999</v>
      </c>
      <c r="E49">
        <v>245</v>
      </c>
      <c r="F49">
        <v>39.878</v>
      </c>
    </row>
    <row r="50" spans="1:6" x14ac:dyDescent="0.25">
      <c r="A50">
        <v>214</v>
      </c>
      <c r="C50">
        <f>B50*25.4</f>
        <v>0</v>
      </c>
      <c r="E50">
        <v>250</v>
      </c>
      <c r="F50">
        <v>0</v>
      </c>
    </row>
    <row r="51" spans="1:6" x14ac:dyDescent="0.25">
      <c r="A51">
        <v>215</v>
      </c>
      <c r="B51">
        <v>1.01</v>
      </c>
      <c r="C51">
        <f>B51*25.4</f>
        <v>25.654</v>
      </c>
    </row>
    <row r="52" spans="1:6" x14ac:dyDescent="0.25">
      <c r="A52">
        <v>216</v>
      </c>
      <c r="C52">
        <f>B52*25.4</f>
        <v>0</v>
      </c>
    </row>
    <row r="53" spans="1:6" x14ac:dyDescent="0.25">
      <c r="A53">
        <v>216</v>
      </c>
      <c r="B53">
        <v>0.35</v>
      </c>
      <c r="C53">
        <f>B53*25.4</f>
        <v>8.8899999999999988</v>
      </c>
    </row>
    <row r="54" spans="1:6" x14ac:dyDescent="0.25">
      <c r="A54">
        <v>217</v>
      </c>
      <c r="B54">
        <v>1.28</v>
      </c>
      <c r="C54">
        <f>B54*25.4</f>
        <v>32.512</v>
      </c>
    </row>
    <row r="55" spans="1:6" x14ac:dyDescent="0.25">
      <c r="A55">
        <v>221</v>
      </c>
      <c r="B55">
        <v>1.1499999999999999</v>
      </c>
      <c r="C55">
        <f>B55*25.4</f>
        <v>29.209999999999997</v>
      </c>
    </row>
    <row r="56" spans="1:6" x14ac:dyDescent="0.25">
      <c r="A56">
        <v>223</v>
      </c>
      <c r="B56">
        <v>1.1399999999999999</v>
      </c>
      <c r="C56">
        <f>B56*25.4</f>
        <v>28.955999999999996</v>
      </c>
    </row>
    <row r="57" spans="1:6" x14ac:dyDescent="0.25">
      <c r="A57">
        <v>223</v>
      </c>
      <c r="B57">
        <v>0.59</v>
      </c>
      <c r="C57">
        <f>B57*25.4</f>
        <v>14.985999999999999</v>
      </c>
    </row>
    <row r="58" spans="1:6" x14ac:dyDescent="0.25">
      <c r="A58">
        <v>223</v>
      </c>
      <c r="C58">
        <f>B58*25.4</f>
        <v>0</v>
      </c>
    </row>
    <row r="59" spans="1:6" x14ac:dyDescent="0.25">
      <c r="A59">
        <v>225</v>
      </c>
      <c r="B59">
        <v>1.65</v>
      </c>
      <c r="C59">
        <f>B59*25.4</f>
        <v>41.91</v>
      </c>
    </row>
    <row r="60" spans="1:6" x14ac:dyDescent="0.25">
      <c r="A60">
        <v>228</v>
      </c>
      <c r="B60">
        <v>1.17</v>
      </c>
      <c r="C60">
        <f>B60*25.4</f>
        <v>29.717999999999996</v>
      </c>
    </row>
    <row r="61" spans="1:6" x14ac:dyDescent="0.25">
      <c r="A61">
        <v>231</v>
      </c>
      <c r="B61">
        <v>1.18</v>
      </c>
      <c r="C61">
        <f>B61*25.4</f>
        <v>29.971999999999998</v>
      </c>
    </row>
    <row r="62" spans="1:6" x14ac:dyDescent="0.25">
      <c r="A62">
        <v>235</v>
      </c>
      <c r="B62">
        <v>1.38</v>
      </c>
      <c r="C62">
        <f>B62*25.4</f>
        <v>35.051999999999992</v>
      </c>
    </row>
    <row r="63" spans="1:6" x14ac:dyDescent="0.25">
      <c r="A63">
        <v>238</v>
      </c>
      <c r="B63">
        <v>1.1499999999999999</v>
      </c>
      <c r="C63">
        <f>B63*25.4</f>
        <v>29.209999999999997</v>
      </c>
    </row>
    <row r="64" spans="1:6" x14ac:dyDescent="0.25">
      <c r="A64">
        <v>242</v>
      </c>
      <c r="B64">
        <v>1.24</v>
      </c>
      <c r="C64">
        <f>B64*25.4</f>
        <v>31.495999999999999</v>
      </c>
    </row>
    <row r="65" spans="1:6" x14ac:dyDescent="0.25">
      <c r="A65">
        <v>245</v>
      </c>
      <c r="B65">
        <v>1.57</v>
      </c>
      <c r="C65">
        <f>B65*25.4</f>
        <v>39.878</v>
      </c>
    </row>
    <row r="66" spans="1:6" x14ac:dyDescent="0.25">
      <c r="A66">
        <v>250</v>
      </c>
      <c r="C66">
        <f>B66*25.4</f>
        <v>0</v>
      </c>
      <c r="D66" s="87"/>
      <c r="F66" s="87"/>
    </row>
    <row r="67" spans="1:6" x14ac:dyDescent="0.25">
      <c r="B67">
        <f>SUM(B3:B66)</f>
        <v>40.250000000000014</v>
      </c>
      <c r="C67" s="87">
        <f>SUM(C3:C66)</f>
        <v>1022.3499999999998</v>
      </c>
    </row>
    <row r="69" spans="1:6" x14ac:dyDescent="0.25">
      <c r="C69">
        <f>SUM(C15:C66)</f>
        <v>845.56599999999992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3369C-4333-477D-99AC-00A78C48A487}">
  <dimension ref="A1:J69"/>
  <sheetViews>
    <sheetView workbookViewId="0">
      <selection activeCell="F3" sqref="F3:F50"/>
    </sheetView>
  </sheetViews>
  <sheetFormatPr defaultRowHeight="15" x14ac:dyDescent="0.25"/>
  <cols>
    <col min="2" max="2" width="10" customWidth="1"/>
    <col min="3" max="3" width="11.7109375" bestFit="1" customWidth="1"/>
    <col min="4" max="6" width="11.7109375" customWidth="1"/>
    <col min="9" max="9" width="14.5703125" bestFit="1" customWidth="1"/>
    <col min="10" max="10" width="15.140625" bestFit="1" customWidth="1"/>
  </cols>
  <sheetData>
    <row r="1" spans="1:10" x14ac:dyDescent="0.25">
      <c r="A1" s="86" t="s">
        <v>226</v>
      </c>
      <c r="E1" t="s">
        <v>228</v>
      </c>
      <c r="H1" t="s">
        <v>227</v>
      </c>
    </row>
    <row r="2" spans="1:10" x14ac:dyDescent="0.25">
      <c r="A2" t="s">
        <v>172</v>
      </c>
      <c r="B2" t="s">
        <v>225</v>
      </c>
      <c r="C2" t="s">
        <v>218</v>
      </c>
      <c r="E2" t="s">
        <v>172</v>
      </c>
      <c r="F2" t="s">
        <v>218</v>
      </c>
      <c r="H2" t="s">
        <v>172</v>
      </c>
      <c r="I2" t="s">
        <v>224</v>
      </c>
      <c r="J2" t="s">
        <v>223</v>
      </c>
    </row>
    <row r="3" spans="1:10" x14ac:dyDescent="0.25">
      <c r="A3">
        <v>106</v>
      </c>
      <c r="B3">
        <v>0.14000000000000001</v>
      </c>
      <c r="C3">
        <f>B3*25.4</f>
        <v>3.556</v>
      </c>
      <c r="E3">
        <v>106</v>
      </c>
      <c r="F3" cm="1">
        <f t="array" ref="F3:F50">SUMIFS(C3:C66,A3:A66,E3:E50)</f>
        <v>17.018000000000001</v>
      </c>
      <c r="H3">
        <v>148</v>
      </c>
      <c r="I3">
        <v>6.4</v>
      </c>
      <c r="J3">
        <f>I3*1.12</f>
        <v>7.168000000000001</v>
      </c>
    </row>
    <row r="4" spans="1:10" x14ac:dyDescent="0.25">
      <c r="A4">
        <v>106</v>
      </c>
      <c r="B4">
        <v>0.53</v>
      </c>
      <c r="C4">
        <f>B4*25.4</f>
        <v>13.462</v>
      </c>
      <c r="E4">
        <v>109</v>
      </c>
      <c r="F4">
        <v>12.7</v>
      </c>
      <c r="H4">
        <v>148</v>
      </c>
      <c r="J4">
        <f>I4*1.12</f>
        <v>0</v>
      </c>
    </row>
    <row r="5" spans="1:10" x14ac:dyDescent="0.25">
      <c r="A5">
        <v>109</v>
      </c>
      <c r="B5">
        <v>0.5</v>
      </c>
      <c r="C5">
        <f>B5*25.4</f>
        <v>12.7</v>
      </c>
      <c r="E5">
        <v>110</v>
      </c>
      <c r="F5">
        <v>5.8419999999999996</v>
      </c>
      <c r="H5">
        <v>162</v>
      </c>
      <c r="I5">
        <v>25.6</v>
      </c>
      <c r="J5">
        <f>I5*1.12</f>
        <v>28.672000000000004</v>
      </c>
    </row>
    <row r="6" spans="1:10" x14ac:dyDescent="0.25">
      <c r="A6">
        <v>110</v>
      </c>
      <c r="B6">
        <v>0.23</v>
      </c>
      <c r="C6">
        <f>B6*25.4</f>
        <v>5.8419999999999996</v>
      </c>
      <c r="E6">
        <v>111</v>
      </c>
      <c r="F6">
        <v>14.224</v>
      </c>
      <c r="H6">
        <v>162</v>
      </c>
      <c r="J6">
        <f>I6*1.12</f>
        <v>0</v>
      </c>
    </row>
    <row r="7" spans="1:10" x14ac:dyDescent="0.25">
      <c r="A7">
        <v>111</v>
      </c>
      <c r="B7">
        <v>0.56000000000000005</v>
      </c>
      <c r="C7">
        <f>B7*25.4</f>
        <v>14.224</v>
      </c>
      <c r="E7">
        <v>113</v>
      </c>
      <c r="F7">
        <v>10.921999999999999</v>
      </c>
      <c r="H7">
        <v>176</v>
      </c>
      <c r="J7">
        <f>I7*1.12</f>
        <v>0</v>
      </c>
    </row>
    <row r="8" spans="1:10" x14ac:dyDescent="0.25">
      <c r="A8">
        <v>113</v>
      </c>
      <c r="B8">
        <v>0.43</v>
      </c>
      <c r="C8">
        <f>B8*25.4</f>
        <v>10.921999999999999</v>
      </c>
      <c r="E8">
        <v>116</v>
      </c>
      <c r="F8">
        <v>28.448</v>
      </c>
      <c r="H8">
        <v>176</v>
      </c>
      <c r="J8">
        <f>I8*1.12</f>
        <v>0</v>
      </c>
    </row>
    <row r="9" spans="1:10" x14ac:dyDescent="0.25">
      <c r="A9">
        <v>116</v>
      </c>
      <c r="B9">
        <v>1.1200000000000001</v>
      </c>
      <c r="C9">
        <f>B9*25.4</f>
        <v>28.448</v>
      </c>
      <c r="E9">
        <v>118</v>
      </c>
      <c r="F9">
        <v>30.225999999999996</v>
      </c>
      <c r="H9">
        <v>177</v>
      </c>
      <c r="I9">
        <v>19.2</v>
      </c>
      <c r="J9">
        <f>I9*1.12</f>
        <v>21.504000000000001</v>
      </c>
    </row>
    <row r="10" spans="1:10" x14ac:dyDescent="0.25">
      <c r="A10">
        <v>118</v>
      </c>
      <c r="B10">
        <v>0.37</v>
      </c>
      <c r="C10">
        <f>B10*25.4</f>
        <v>9.3979999999999997</v>
      </c>
      <c r="E10">
        <v>119</v>
      </c>
      <c r="F10">
        <v>22.352</v>
      </c>
      <c r="H10">
        <v>177</v>
      </c>
      <c r="J10">
        <f>I10*1.12</f>
        <v>0</v>
      </c>
    </row>
    <row r="11" spans="1:10" x14ac:dyDescent="0.25">
      <c r="A11">
        <v>118</v>
      </c>
      <c r="B11">
        <v>0.82</v>
      </c>
      <c r="C11">
        <f>B11*25.4</f>
        <v>20.827999999999996</v>
      </c>
      <c r="E11">
        <v>120</v>
      </c>
      <c r="F11">
        <v>21.59</v>
      </c>
      <c r="H11">
        <v>197</v>
      </c>
      <c r="I11">
        <v>19.2</v>
      </c>
      <c r="J11">
        <f>I11*1.12</f>
        <v>21.504000000000001</v>
      </c>
    </row>
    <row r="12" spans="1:10" x14ac:dyDescent="0.25">
      <c r="A12">
        <v>119</v>
      </c>
      <c r="B12">
        <v>0.88</v>
      </c>
      <c r="C12">
        <f>B12*25.4</f>
        <v>22.352</v>
      </c>
      <c r="E12">
        <v>124</v>
      </c>
      <c r="F12">
        <v>22.352</v>
      </c>
      <c r="H12">
        <v>197</v>
      </c>
      <c r="J12">
        <f>I12*1.12</f>
        <v>0</v>
      </c>
    </row>
    <row r="13" spans="1:10" x14ac:dyDescent="0.25">
      <c r="A13">
        <v>120</v>
      </c>
      <c r="B13">
        <v>0.85</v>
      </c>
      <c r="C13">
        <f>B13*25.4</f>
        <v>21.59</v>
      </c>
      <c r="E13">
        <v>148</v>
      </c>
      <c r="F13">
        <v>26.923999999999996</v>
      </c>
    </row>
    <row r="14" spans="1:10" x14ac:dyDescent="0.25">
      <c r="A14">
        <v>124</v>
      </c>
      <c r="B14">
        <v>0.88</v>
      </c>
      <c r="C14">
        <f>B14*25.4</f>
        <v>22.352</v>
      </c>
      <c r="E14">
        <v>158</v>
      </c>
      <c r="F14">
        <v>21.59</v>
      </c>
    </row>
    <row r="15" spans="1:10" x14ac:dyDescent="0.25">
      <c r="A15">
        <v>148</v>
      </c>
      <c r="B15">
        <v>0.75</v>
      </c>
      <c r="C15">
        <f>B15*25.4</f>
        <v>19.049999999999997</v>
      </c>
      <c r="E15">
        <v>162</v>
      </c>
      <c r="F15">
        <v>26.161999999999999</v>
      </c>
    </row>
    <row r="16" spans="1:10" x14ac:dyDescent="0.25">
      <c r="A16">
        <v>148</v>
      </c>
      <c r="C16">
        <f>B16*25.4</f>
        <v>0</v>
      </c>
      <c r="E16">
        <v>166</v>
      </c>
      <c r="F16">
        <v>0</v>
      </c>
    </row>
    <row r="17" spans="1:6" x14ac:dyDescent="0.25">
      <c r="A17">
        <v>148</v>
      </c>
      <c r="B17">
        <v>0.31</v>
      </c>
      <c r="C17">
        <f>B17*25.4</f>
        <v>7.8739999999999997</v>
      </c>
      <c r="E17">
        <v>167</v>
      </c>
      <c r="F17">
        <v>26.669999999999998</v>
      </c>
    </row>
    <row r="18" spans="1:6" x14ac:dyDescent="0.25">
      <c r="A18">
        <v>158</v>
      </c>
      <c r="B18">
        <v>0.85</v>
      </c>
      <c r="C18">
        <f>B18*25.4</f>
        <v>21.59</v>
      </c>
      <c r="E18">
        <v>168</v>
      </c>
      <c r="F18">
        <v>0</v>
      </c>
    </row>
    <row r="19" spans="1:6" x14ac:dyDescent="0.25">
      <c r="A19">
        <v>162</v>
      </c>
      <c r="B19">
        <v>0.75</v>
      </c>
      <c r="C19">
        <f>B19*25.4</f>
        <v>19.049999999999997</v>
      </c>
      <c r="E19">
        <v>170</v>
      </c>
      <c r="F19">
        <v>27.686</v>
      </c>
    </row>
    <row r="20" spans="1:6" x14ac:dyDescent="0.25">
      <c r="A20">
        <v>162</v>
      </c>
      <c r="C20">
        <f>B20*25.4</f>
        <v>0</v>
      </c>
      <c r="E20">
        <v>174</v>
      </c>
      <c r="F20">
        <v>0</v>
      </c>
    </row>
    <row r="21" spans="1:6" x14ac:dyDescent="0.25">
      <c r="A21">
        <v>162</v>
      </c>
      <c r="B21">
        <v>0.28000000000000003</v>
      </c>
      <c r="C21">
        <f>B21*25.4</f>
        <v>7.1120000000000001</v>
      </c>
      <c r="E21">
        <v>175</v>
      </c>
      <c r="F21">
        <v>25.145999999999997</v>
      </c>
    </row>
    <row r="22" spans="1:6" x14ac:dyDescent="0.25">
      <c r="A22">
        <v>166</v>
      </c>
      <c r="C22">
        <f>B22*25.4</f>
        <v>0</v>
      </c>
      <c r="E22">
        <v>176</v>
      </c>
      <c r="F22">
        <v>0</v>
      </c>
    </row>
    <row r="23" spans="1:6" x14ac:dyDescent="0.25">
      <c r="A23">
        <v>167</v>
      </c>
      <c r="B23">
        <v>1.05</v>
      </c>
      <c r="C23">
        <f>B23*25.4</f>
        <v>26.669999999999998</v>
      </c>
      <c r="E23">
        <v>177</v>
      </c>
      <c r="F23">
        <v>27.177999999999997</v>
      </c>
    </row>
    <row r="24" spans="1:6" x14ac:dyDescent="0.25">
      <c r="A24">
        <v>168</v>
      </c>
      <c r="C24">
        <f>B24*25.4</f>
        <v>0</v>
      </c>
      <c r="E24">
        <v>181</v>
      </c>
      <c r="F24">
        <v>0</v>
      </c>
    </row>
    <row r="25" spans="1:6" x14ac:dyDescent="0.25">
      <c r="A25">
        <v>170</v>
      </c>
      <c r="B25">
        <v>1.0900000000000001</v>
      </c>
      <c r="C25">
        <f>B25*25.4</f>
        <v>27.686</v>
      </c>
      <c r="E25">
        <v>182</v>
      </c>
      <c r="F25">
        <v>22.605999999999998</v>
      </c>
    </row>
    <row r="26" spans="1:6" x14ac:dyDescent="0.25">
      <c r="A26">
        <v>174</v>
      </c>
      <c r="C26">
        <f>B26*25.4</f>
        <v>0</v>
      </c>
      <c r="E26">
        <v>183</v>
      </c>
      <c r="F26">
        <v>0</v>
      </c>
    </row>
    <row r="27" spans="1:6" x14ac:dyDescent="0.25">
      <c r="A27">
        <v>175</v>
      </c>
      <c r="B27">
        <v>0.99</v>
      </c>
      <c r="C27">
        <f>B27*25.4</f>
        <v>25.145999999999997</v>
      </c>
      <c r="E27">
        <v>184</v>
      </c>
      <c r="F27">
        <v>26.923999999999999</v>
      </c>
    </row>
    <row r="28" spans="1:6" x14ac:dyDescent="0.25">
      <c r="A28">
        <v>176</v>
      </c>
      <c r="C28">
        <f>B28*25.4</f>
        <v>0</v>
      </c>
      <c r="E28">
        <v>187</v>
      </c>
      <c r="F28">
        <v>12.7</v>
      </c>
    </row>
    <row r="29" spans="1:6" x14ac:dyDescent="0.25">
      <c r="A29">
        <v>176</v>
      </c>
      <c r="C29">
        <f>B29*25.4</f>
        <v>0</v>
      </c>
      <c r="E29">
        <v>188</v>
      </c>
      <c r="F29">
        <v>38.607999999999997</v>
      </c>
    </row>
    <row r="30" spans="1:6" x14ac:dyDescent="0.25">
      <c r="A30">
        <v>176</v>
      </c>
      <c r="C30">
        <f>B30*25.4</f>
        <v>0</v>
      </c>
      <c r="E30">
        <v>193</v>
      </c>
      <c r="F30">
        <v>0</v>
      </c>
    </row>
    <row r="31" spans="1:6" x14ac:dyDescent="0.25">
      <c r="A31">
        <v>177</v>
      </c>
      <c r="B31">
        <v>0.76</v>
      </c>
      <c r="C31">
        <f>B31*25.4</f>
        <v>19.303999999999998</v>
      </c>
      <c r="E31">
        <v>195</v>
      </c>
      <c r="F31">
        <v>25.4</v>
      </c>
    </row>
    <row r="32" spans="1:6" x14ac:dyDescent="0.25">
      <c r="A32">
        <v>177</v>
      </c>
      <c r="B32">
        <v>0.31</v>
      </c>
      <c r="C32">
        <f>B32*25.4</f>
        <v>7.8739999999999997</v>
      </c>
      <c r="E32">
        <v>197</v>
      </c>
      <c r="F32">
        <v>7.6199999999999992</v>
      </c>
    </row>
    <row r="33" spans="1:6" x14ac:dyDescent="0.25">
      <c r="A33">
        <v>177</v>
      </c>
      <c r="C33">
        <f>B33*25.4</f>
        <v>0</v>
      </c>
      <c r="E33">
        <v>203</v>
      </c>
      <c r="F33">
        <v>29.717999999999996</v>
      </c>
    </row>
    <row r="34" spans="1:6" x14ac:dyDescent="0.25">
      <c r="A34">
        <v>181</v>
      </c>
      <c r="C34">
        <f>B34*25.4</f>
        <v>0</v>
      </c>
      <c r="E34">
        <v>204</v>
      </c>
      <c r="F34">
        <v>11.683999999999999</v>
      </c>
    </row>
    <row r="35" spans="1:6" x14ac:dyDescent="0.25">
      <c r="A35">
        <v>182</v>
      </c>
      <c r="B35">
        <v>0.89</v>
      </c>
      <c r="C35">
        <f>B35*25.4</f>
        <v>22.605999999999998</v>
      </c>
      <c r="E35">
        <v>208</v>
      </c>
      <c r="F35">
        <v>0</v>
      </c>
    </row>
    <row r="36" spans="1:6" x14ac:dyDescent="0.25">
      <c r="A36">
        <v>183</v>
      </c>
      <c r="C36">
        <f>B36*25.4</f>
        <v>0</v>
      </c>
      <c r="E36">
        <v>210</v>
      </c>
      <c r="F36">
        <v>38.862000000000002</v>
      </c>
    </row>
    <row r="37" spans="1:6" x14ac:dyDescent="0.25">
      <c r="A37">
        <v>184</v>
      </c>
      <c r="B37">
        <v>1.06</v>
      </c>
      <c r="C37">
        <f>B37*25.4</f>
        <v>26.923999999999999</v>
      </c>
      <c r="E37">
        <v>214</v>
      </c>
      <c r="F37">
        <v>28.448</v>
      </c>
    </row>
    <row r="38" spans="1:6" x14ac:dyDescent="0.25">
      <c r="A38">
        <v>187</v>
      </c>
      <c r="C38">
        <f>B38*25.4</f>
        <v>0</v>
      </c>
      <c r="E38">
        <v>215</v>
      </c>
      <c r="F38">
        <v>26.923999999999999</v>
      </c>
    </row>
    <row r="39" spans="1:6" x14ac:dyDescent="0.25">
      <c r="A39">
        <v>187</v>
      </c>
      <c r="B39">
        <v>0.5</v>
      </c>
      <c r="C39">
        <f>B39*25.4</f>
        <v>12.7</v>
      </c>
      <c r="E39">
        <v>216</v>
      </c>
      <c r="F39">
        <v>42.926000000000002</v>
      </c>
    </row>
    <row r="40" spans="1:6" x14ac:dyDescent="0.25">
      <c r="A40">
        <v>188</v>
      </c>
      <c r="B40">
        <v>0.52</v>
      </c>
      <c r="C40">
        <f>B40*25.4</f>
        <v>13.208</v>
      </c>
      <c r="E40">
        <v>217</v>
      </c>
      <c r="F40">
        <v>33.019999999999996</v>
      </c>
    </row>
    <row r="41" spans="1:6" x14ac:dyDescent="0.25">
      <c r="A41">
        <v>188</v>
      </c>
      <c r="B41">
        <v>1</v>
      </c>
      <c r="C41">
        <f>B41*25.4</f>
        <v>25.4</v>
      </c>
      <c r="E41">
        <v>221</v>
      </c>
      <c r="F41">
        <v>27.686</v>
      </c>
    </row>
    <row r="42" spans="1:6" x14ac:dyDescent="0.25">
      <c r="A42">
        <v>193</v>
      </c>
      <c r="C42">
        <f>B42*25.4</f>
        <v>0</v>
      </c>
      <c r="E42">
        <v>223</v>
      </c>
      <c r="F42">
        <v>0</v>
      </c>
    </row>
    <row r="43" spans="1:6" x14ac:dyDescent="0.25">
      <c r="A43">
        <v>195</v>
      </c>
      <c r="B43">
        <v>1</v>
      </c>
      <c r="C43">
        <f>B43*25.4</f>
        <v>25.4</v>
      </c>
      <c r="E43">
        <v>225</v>
      </c>
      <c r="F43">
        <v>38.862000000000002</v>
      </c>
    </row>
    <row r="44" spans="1:6" x14ac:dyDescent="0.25">
      <c r="A44">
        <v>197</v>
      </c>
      <c r="B44">
        <v>0.3</v>
      </c>
      <c r="C44">
        <f>B44*25.4</f>
        <v>7.6199999999999992</v>
      </c>
      <c r="E44">
        <v>228</v>
      </c>
      <c r="F44">
        <v>0</v>
      </c>
    </row>
    <row r="45" spans="1:6" x14ac:dyDescent="0.25">
      <c r="A45">
        <v>197</v>
      </c>
      <c r="C45">
        <f>B45*25.4</f>
        <v>0</v>
      </c>
      <c r="E45">
        <v>231</v>
      </c>
      <c r="F45">
        <v>26.161999999999999</v>
      </c>
    </row>
    <row r="46" spans="1:6" x14ac:dyDescent="0.25">
      <c r="A46">
        <v>203</v>
      </c>
      <c r="B46">
        <v>1.17</v>
      </c>
      <c r="C46">
        <f>B46*25.4</f>
        <v>29.717999999999996</v>
      </c>
      <c r="E46">
        <v>235</v>
      </c>
      <c r="F46">
        <v>35.305999999999997</v>
      </c>
    </row>
    <row r="47" spans="1:6" x14ac:dyDescent="0.25">
      <c r="A47">
        <v>204</v>
      </c>
      <c r="B47">
        <v>0.46</v>
      </c>
      <c r="C47">
        <f>B47*25.4</f>
        <v>11.683999999999999</v>
      </c>
      <c r="E47">
        <v>238</v>
      </c>
      <c r="F47">
        <v>24.383999999999997</v>
      </c>
    </row>
    <row r="48" spans="1:6" x14ac:dyDescent="0.25">
      <c r="A48">
        <v>208</v>
      </c>
      <c r="C48">
        <f>B48*25.4</f>
        <v>0</v>
      </c>
      <c r="E48">
        <v>242</v>
      </c>
      <c r="F48">
        <v>0</v>
      </c>
    </row>
    <row r="49" spans="1:6" x14ac:dyDescent="0.25">
      <c r="A49">
        <v>210</v>
      </c>
      <c r="B49">
        <v>1.53</v>
      </c>
      <c r="C49">
        <f>B49*25.4</f>
        <v>38.862000000000002</v>
      </c>
      <c r="E49">
        <v>245</v>
      </c>
      <c r="F49">
        <v>39.369999999999997</v>
      </c>
    </row>
    <row r="50" spans="1:6" x14ac:dyDescent="0.25">
      <c r="A50">
        <v>214</v>
      </c>
      <c r="B50">
        <v>1.1200000000000001</v>
      </c>
      <c r="C50">
        <f>B50*25.4</f>
        <v>28.448</v>
      </c>
      <c r="E50">
        <v>250</v>
      </c>
      <c r="F50">
        <v>29.463999999999995</v>
      </c>
    </row>
    <row r="51" spans="1:6" x14ac:dyDescent="0.25">
      <c r="A51">
        <v>215</v>
      </c>
      <c r="B51">
        <v>1.06</v>
      </c>
      <c r="C51">
        <f>B51*25.4</f>
        <v>26.923999999999999</v>
      </c>
    </row>
    <row r="52" spans="1:6" x14ac:dyDescent="0.25">
      <c r="A52">
        <v>216</v>
      </c>
      <c r="B52">
        <v>1.34</v>
      </c>
      <c r="C52">
        <f>B52*25.4</f>
        <v>34.036000000000001</v>
      </c>
    </row>
    <row r="53" spans="1:6" x14ac:dyDescent="0.25">
      <c r="A53">
        <v>216</v>
      </c>
      <c r="B53">
        <v>0.35</v>
      </c>
      <c r="C53">
        <f>B53*25.4</f>
        <v>8.8899999999999988</v>
      </c>
    </row>
    <row r="54" spans="1:6" x14ac:dyDescent="0.25">
      <c r="A54">
        <v>217</v>
      </c>
      <c r="B54">
        <v>1.3</v>
      </c>
      <c r="C54">
        <f>B54*25.4</f>
        <v>33.019999999999996</v>
      </c>
    </row>
    <row r="55" spans="1:6" x14ac:dyDescent="0.25">
      <c r="A55">
        <v>221</v>
      </c>
      <c r="B55">
        <v>1.0900000000000001</v>
      </c>
      <c r="C55">
        <f>B55*25.4</f>
        <v>27.686</v>
      </c>
    </row>
    <row r="56" spans="1:6" x14ac:dyDescent="0.25">
      <c r="A56">
        <v>223</v>
      </c>
      <c r="C56">
        <f>B56*25.4</f>
        <v>0</v>
      </c>
    </row>
    <row r="57" spans="1:6" x14ac:dyDescent="0.25">
      <c r="A57">
        <v>223</v>
      </c>
      <c r="C57">
        <f>B57*25.4</f>
        <v>0</v>
      </c>
    </row>
    <row r="58" spans="1:6" x14ac:dyDescent="0.25">
      <c r="A58">
        <v>223</v>
      </c>
      <c r="C58">
        <f>B58*25.4</f>
        <v>0</v>
      </c>
    </row>
    <row r="59" spans="1:6" x14ac:dyDescent="0.25">
      <c r="A59">
        <v>225</v>
      </c>
      <c r="B59">
        <v>1.53</v>
      </c>
      <c r="C59">
        <f>B59*25.4</f>
        <v>38.862000000000002</v>
      </c>
    </row>
    <row r="60" spans="1:6" x14ac:dyDescent="0.25">
      <c r="A60">
        <v>228</v>
      </c>
      <c r="C60">
        <f>B60*25.4</f>
        <v>0</v>
      </c>
    </row>
    <row r="61" spans="1:6" x14ac:dyDescent="0.25">
      <c r="A61">
        <v>231</v>
      </c>
      <c r="B61">
        <v>1.03</v>
      </c>
      <c r="C61">
        <f>B61*25.4</f>
        <v>26.161999999999999</v>
      </c>
    </row>
    <row r="62" spans="1:6" x14ac:dyDescent="0.25">
      <c r="A62">
        <v>235</v>
      </c>
      <c r="B62">
        <v>1.39</v>
      </c>
      <c r="C62">
        <f>B62*25.4</f>
        <v>35.305999999999997</v>
      </c>
    </row>
    <row r="63" spans="1:6" x14ac:dyDescent="0.25">
      <c r="A63">
        <v>238</v>
      </c>
      <c r="B63">
        <v>0.96</v>
      </c>
      <c r="C63">
        <f>B63*25.4</f>
        <v>24.383999999999997</v>
      </c>
    </row>
    <row r="64" spans="1:6" x14ac:dyDescent="0.25">
      <c r="A64">
        <v>242</v>
      </c>
      <c r="C64">
        <f>B64*25.4</f>
        <v>0</v>
      </c>
    </row>
    <row r="65" spans="1:6" x14ac:dyDescent="0.25">
      <c r="A65">
        <v>245</v>
      </c>
      <c r="B65">
        <v>1.55</v>
      </c>
      <c r="C65">
        <f>B65*25.4</f>
        <v>39.369999999999997</v>
      </c>
    </row>
    <row r="66" spans="1:6" x14ac:dyDescent="0.25">
      <c r="A66">
        <v>250</v>
      </c>
      <c r="B66">
        <v>1.1599999999999999</v>
      </c>
      <c r="C66">
        <f>B66*25.4</f>
        <v>29.463999999999995</v>
      </c>
      <c r="D66" s="87"/>
      <c r="F66" s="87"/>
    </row>
    <row r="67" spans="1:6" x14ac:dyDescent="0.25">
      <c r="B67">
        <f>SUM(B3:B66)</f>
        <v>36.76</v>
      </c>
      <c r="C67" s="87">
        <f>SUM(C3:C66)</f>
        <v>933.70399999999995</v>
      </c>
    </row>
    <row r="69" spans="1:6" x14ac:dyDescent="0.25">
      <c r="C69">
        <f>SUM(C15:C66)</f>
        <v>748.03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E3CF0-0DA4-4A7B-9015-DA9DC5C54423}">
  <dimension ref="A1:J69"/>
  <sheetViews>
    <sheetView workbookViewId="0">
      <selection activeCell="F3" sqref="F3:F50"/>
    </sheetView>
  </sheetViews>
  <sheetFormatPr defaultRowHeight="15" x14ac:dyDescent="0.25"/>
  <cols>
    <col min="2" max="2" width="10" customWidth="1"/>
    <col min="3" max="3" width="11.7109375" bestFit="1" customWidth="1"/>
    <col min="4" max="6" width="11.7109375" customWidth="1"/>
    <col min="9" max="9" width="14.5703125" bestFit="1" customWidth="1"/>
    <col min="10" max="10" width="15.140625" bestFit="1" customWidth="1"/>
  </cols>
  <sheetData>
    <row r="1" spans="1:10" x14ac:dyDescent="0.25">
      <c r="A1" s="86" t="s">
        <v>226</v>
      </c>
      <c r="E1" t="s">
        <v>228</v>
      </c>
      <c r="H1" t="s">
        <v>227</v>
      </c>
    </row>
    <row r="2" spans="1:10" x14ac:dyDescent="0.25">
      <c r="A2" t="s">
        <v>172</v>
      </c>
      <c r="B2" t="s">
        <v>225</v>
      </c>
      <c r="C2" t="s">
        <v>218</v>
      </c>
      <c r="E2" t="s">
        <v>172</v>
      </c>
      <c r="F2" t="s">
        <v>218</v>
      </c>
      <c r="H2" t="s">
        <v>172</v>
      </c>
      <c r="I2" t="s">
        <v>224</v>
      </c>
      <c r="J2" t="s">
        <v>223</v>
      </c>
    </row>
    <row r="3" spans="1:10" x14ac:dyDescent="0.25">
      <c r="A3">
        <v>106</v>
      </c>
      <c r="B3">
        <v>0.14000000000000001</v>
      </c>
      <c r="C3">
        <f>B3*25.4</f>
        <v>3.556</v>
      </c>
      <c r="E3">
        <v>106</v>
      </c>
      <c r="F3" cm="1">
        <f t="array" ref="F3:F50">SUMIFS(C3:C66,A3:A66,E3:E50)</f>
        <v>18.287999999999997</v>
      </c>
      <c r="H3">
        <v>148</v>
      </c>
      <c r="I3">
        <v>24.5</v>
      </c>
      <c r="J3">
        <f>I3*1.12</f>
        <v>27.44</v>
      </c>
    </row>
    <row r="4" spans="1:10" x14ac:dyDescent="0.25">
      <c r="A4">
        <v>106</v>
      </c>
      <c r="B4">
        <v>0.57999999999999996</v>
      </c>
      <c r="C4">
        <f>B4*25.4</f>
        <v>14.731999999999998</v>
      </c>
      <c r="E4">
        <v>109</v>
      </c>
      <c r="F4">
        <v>12.7</v>
      </c>
      <c r="H4">
        <v>148</v>
      </c>
      <c r="J4">
        <f>I4*1.12</f>
        <v>0</v>
      </c>
    </row>
    <row r="5" spans="1:10" x14ac:dyDescent="0.25">
      <c r="A5">
        <v>109</v>
      </c>
      <c r="B5">
        <v>0.5</v>
      </c>
      <c r="C5">
        <f>B5*25.4</f>
        <v>12.7</v>
      </c>
      <c r="E5">
        <v>110</v>
      </c>
      <c r="F5">
        <v>8.8899999999999988</v>
      </c>
      <c r="H5">
        <v>162</v>
      </c>
      <c r="I5">
        <v>36.700000000000003</v>
      </c>
      <c r="J5">
        <f>I5*1.12</f>
        <v>41.104000000000006</v>
      </c>
    </row>
    <row r="6" spans="1:10" x14ac:dyDescent="0.25">
      <c r="A6">
        <v>110</v>
      </c>
      <c r="B6">
        <v>0.35</v>
      </c>
      <c r="C6">
        <f>B6*25.4</f>
        <v>8.8899999999999988</v>
      </c>
      <c r="E6">
        <v>111</v>
      </c>
      <c r="F6">
        <v>16.763999999999999</v>
      </c>
      <c r="H6">
        <v>162</v>
      </c>
      <c r="J6">
        <f>I6*1.12</f>
        <v>0</v>
      </c>
    </row>
    <row r="7" spans="1:10" x14ac:dyDescent="0.25">
      <c r="A7">
        <v>111</v>
      </c>
      <c r="B7">
        <v>0.66</v>
      </c>
      <c r="C7">
        <f>B7*25.4</f>
        <v>16.763999999999999</v>
      </c>
      <c r="E7">
        <v>113</v>
      </c>
      <c r="F7">
        <v>11.683999999999999</v>
      </c>
      <c r="H7">
        <v>176</v>
      </c>
      <c r="J7">
        <f>I7*1.12</f>
        <v>0</v>
      </c>
    </row>
    <row r="8" spans="1:10" x14ac:dyDescent="0.25">
      <c r="A8">
        <v>113</v>
      </c>
      <c r="B8">
        <v>0.46</v>
      </c>
      <c r="C8">
        <f>B8*25.4</f>
        <v>11.683999999999999</v>
      </c>
      <c r="E8">
        <v>116</v>
      </c>
      <c r="F8">
        <v>23.114000000000001</v>
      </c>
      <c r="H8">
        <v>176</v>
      </c>
      <c r="J8">
        <f>I8*1.12</f>
        <v>0</v>
      </c>
    </row>
    <row r="9" spans="1:10" x14ac:dyDescent="0.25">
      <c r="A9">
        <v>116</v>
      </c>
      <c r="B9">
        <v>0.91</v>
      </c>
      <c r="C9">
        <f>B9*25.4</f>
        <v>23.114000000000001</v>
      </c>
      <c r="E9">
        <v>118</v>
      </c>
      <c r="F9">
        <v>30.48</v>
      </c>
      <c r="H9">
        <v>177</v>
      </c>
      <c r="J9">
        <f>I9*1.12</f>
        <v>0</v>
      </c>
    </row>
    <row r="10" spans="1:10" x14ac:dyDescent="0.25">
      <c r="A10">
        <v>118</v>
      </c>
      <c r="B10">
        <v>0.28999999999999998</v>
      </c>
      <c r="C10">
        <f>B10*25.4</f>
        <v>7.3659999999999988</v>
      </c>
      <c r="E10">
        <v>119</v>
      </c>
      <c r="F10">
        <v>29.971999999999998</v>
      </c>
      <c r="H10">
        <v>177</v>
      </c>
      <c r="I10">
        <v>61.2</v>
      </c>
      <c r="J10">
        <f>I10*1.12</f>
        <v>68.544000000000011</v>
      </c>
    </row>
    <row r="11" spans="1:10" x14ac:dyDescent="0.25">
      <c r="A11">
        <v>118</v>
      </c>
      <c r="B11">
        <v>0.91</v>
      </c>
      <c r="C11">
        <f>B11*25.4</f>
        <v>23.114000000000001</v>
      </c>
      <c r="E11">
        <v>120</v>
      </c>
      <c r="F11">
        <v>22.097999999999999</v>
      </c>
      <c r="H11">
        <v>197</v>
      </c>
      <c r="J11">
        <f>I11*1.12</f>
        <v>0</v>
      </c>
    </row>
    <row r="12" spans="1:10" x14ac:dyDescent="0.25">
      <c r="A12">
        <v>119</v>
      </c>
      <c r="B12">
        <v>1.18</v>
      </c>
      <c r="C12">
        <f>B12*25.4</f>
        <v>29.971999999999998</v>
      </c>
      <c r="E12">
        <v>124</v>
      </c>
      <c r="F12">
        <v>21.843999999999998</v>
      </c>
      <c r="H12">
        <v>197</v>
      </c>
      <c r="I12">
        <v>36.700000000000003</v>
      </c>
      <c r="J12">
        <f>I12*1.12</f>
        <v>41.104000000000006</v>
      </c>
    </row>
    <row r="13" spans="1:10" x14ac:dyDescent="0.25">
      <c r="A13">
        <v>120</v>
      </c>
      <c r="B13">
        <v>0.87</v>
      </c>
      <c r="C13">
        <f>B13*25.4</f>
        <v>22.097999999999999</v>
      </c>
      <c r="E13">
        <v>148</v>
      </c>
      <c r="F13">
        <v>25.907999999999998</v>
      </c>
    </row>
    <row r="14" spans="1:10" x14ac:dyDescent="0.25">
      <c r="A14">
        <v>124</v>
      </c>
      <c r="B14">
        <v>0.86</v>
      </c>
      <c r="C14">
        <f>B14*25.4</f>
        <v>21.843999999999998</v>
      </c>
      <c r="E14">
        <v>158</v>
      </c>
      <c r="F14">
        <v>20.065999999999999</v>
      </c>
    </row>
    <row r="15" spans="1:10" x14ac:dyDescent="0.25">
      <c r="A15">
        <v>148</v>
      </c>
      <c r="B15">
        <v>0.7</v>
      </c>
      <c r="C15">
        <f>B15*25.4</f>
        <v>17.779999999999998</v>
      </c>
      <c r="E15">
        <v>162</v>
      </c>
      <c r="F15">
        <v>24.891999999999999</v>
      </c>
    </row>
    <row r="16" spans="1:10" x14ac:dyDescent="0.25">
      <c r="A16">
        <v>148</v>
      </c>
      <c r="B16">
        <v>0.32</v>
      </c>
      <c r="C16">
        <f>B16*25.4</f>
        <v>8.1280000000000001</v>
      </c>
      <c r="E16">
        <v>166</v>
      </c>
      <c r="F16">
        <v>0</v>
      </c>
    </row>
    <row r="17" spans="1:6" x14ac:dyDescent="0.25">
      <c r="A17">
        <v>148</v>
      </c>
      <c r="C17">
        <f>B17*25.4</f>
        <v>0</v>
      </c>
      <c r="E17">
        <v>167</v>
      </c>
      <c r="F17">
        <v>28.448</v>
      </c>
    </row>
    <row r="18" spans="1:6" x14ac:dyDescent="0.25">
      <c r="A18">
        <v>158</v>
      </c>
      <c r="B18">
        <v>0.79</v>
      </c>
      <c r="C18">
        <f>B18*25.4</f>
        <v>20.065999999999999</v>
      </c>
      <c r="E18">
        <v>168</v>
      </c>
      <c r="F18">
        <v>0</v>
      </c>
    </row>
    <row r="19" spans="1:6" x14ac:dyDescent="0.25">
      <c r="A19">
        <v>162</v>
      </c>
      <c r="B19">
        <v>0.71</v>
      </c>
      <c r="C19">
        <f>B19*25.4</f>
        <v>18.033999999999999</v>
      </c>
      <c r="E19">
        <v>170</v>
      </c>
      <c r="F19">
        <v>28.448</v>
      </c>
    </row>
    <row r="20" spans="1:6" x14ac:dyDescent="0.25">
      <c r="A20">
        <v>162</v>
      </c>
      <c r="B20">
        <v>0.27</v>
      </c>
      <c r="C20">
        <f>B20*25.4</f>
        <v>6.8579999999999997</v>
      </c>
      <c r="E20">
        <v>174</v>
      </c>
      <c r="F20">
        <v>0</v>
      </c>
    </row>
    <row r="21" spans="1:6" x14ac:dyDescent="0.25">
      <c r="A21">
        <v>162</v>
      </c>
      <c r="C21">
        <f>B21*25.4</f>
        <v>0</v>
      </c>
      <c r="E21">
        <v>175</v>
      </c>
      <c r="F21">
        <v>27.178000000000001</v>
      </c>
    </row>
    <row r="22" spans="1:6" x14ac:dyDescent="0.25">
      <c r="A22">
        <v>166</v>
      </c>
      <c r="C22">
        <f>B22*25.4</f>
        <v>0</v>
      </c>
      <c r="E22">
        <v>176</v>
      </c>
      <c r="F22">
        <v>0</v>
      </c>
    </row>
    <row r="23" spans="1:6" x14ac:dyDescent="0.25">
      <c r="A23">
        <v>167</v>
      </c>
      <c r="B23">
        <v>1.1200000000000001</v>
      </c>
      <c r="C23">
        <f>B23*25.4</f>
        <v>28.448</v>
      </c>
      <c r="E23">
        <v>177</v>
      </c>
      <c r="F23">
        <v>29.717999999999996</v>
      </c>
    </row>
    <row r="24" spans="1:6" x14ac:dyDescent="0.25">
      <c r="A24">
        <v>168</v>
      </c>
      <c r="C24">
        <f>B24*25.4</f>
        <v>0</v>
      </c>
      <c r="E24">
        <v>181</v>
      </c>
      <c r="F24">
        <v>0</v>
      </c>
    </row>
    <row r="25" spans="1:6" x14ac:dyDescent="0.25">
      <c r="A25">
        <v>170</v>
      </c>
      <c r="B25">
        <v>1.1200000000000001</v>
      </c>
      <c r="C25">
        <f>B25*25.4</f>
        <v>28.448</v>
      </c>
      <c r="E25">
        <v>182</v>
      </c>
      <c r="F25">
        <v>25.907999999999998</v>
      </c>
    </row>
    <row r="26" spans="1:6" x14ac:dyDescent="0.25">
      <c r="A26">
        <v>174</v>
      </c>
      <c r="C26">
        <f>B26*25.4</f>
        <v>0</v>
      </c>
      <c r="E26">
        <v>183</v>
      </c>
      <c r="F26">
        <v>0</v>
      </c>
    </row>
    <row r="27" spans="1:6" x14ac:dyDescent="0.25">
      <c r="A27">
        <v>175</v>
      </c>
      <c r="B27">
        <v>1.07</v>
      </c>
      <c r="C27">
        <f>B27*25.4</f>
        <v>27.178000000000001</v>
      </c>
      <c r="E27">
        <v>184</v>
      </c>
      <c r="F27">
        <v>22.605999999999998</v>
      </c>
    </row>
    <row r="28" spans="1:6" x14ac:dyDescent="0.25">
      <c r="A28">
        <v>176</v>
      </c>
      <c r="C28">
        <f>B28*25.4</f>
        <v>0</v>
      </c>
      <c r="E28">
        <v>187</v>
      </c>
      <c r="F28">
        <v>12.7</v>
      </c>
    </row>
    <row r="29" spans="1:6" x14ac:dyDescent="0.25">
      <c r="A29">
        <v>176</v>
      </c>
      <c r="C29">
        <f>B29*25.4</f>
        <v>0</v>
      </c>
      <c r="E29">
        <v>188</v>
      </c>
      <c r="F29">
        <v>41.402000000000001</v>
      </c>
    </row>
    <row r="30" spans="1:6" x14ac:dyDescent="0.25">
      <c r="A30">
        <v>176</v>
      </c>
      <c r="C30">
        <f>B30*25.4</f>
        <v>0</v>
      </c>
      <c r="E30">
        <v>193</v>
      </c>
      <c r="F30">
        <v>27.178000000000001</v>
      </c>
    </row>
    <row r="31" spans="1:6" x14ac:dyDescent="0.25">
      <c r="A31">
        <v>177</v>
      </c>
      <c r="B31">
        <v>0.86</v>
      </c>
      <c r="C31">
        <f>B31*25.4</f>
        <v>21.843999999999998</v>
      </c>
      <c r="E31">
        <v>195</v>
      </c>
      <c r="F31">
        <v>25.4</v>
      </c>
    </row>
    <row r="32" spans="1:6" x14ac:dyDescent="0.25">
      <c r="A32">
        <v>177</v>
      </c>
      <c r="C32">
        <f>B32*25.4</f>
        <v>0</v>
      </c>
      <c r="E32">
        <v>197</v>
      </c>
      <c r="F32">
        <v>7.1120000000000001</v>
      </c>
    </row>
    <row r="33" spans="1:6" x14ac:dyDescent="0.25">
      <c r="A33">
        <v>177</v>
      </c>
      <c r="B33">
        <v>0.31</v>
      </c>
      <c r="C33">
        <f>B33*25.4</f>
        <v>7.8739999999999997</v>
      </c>
      <c r="E33">
        <v>203</v>
      </c>
      <c r="F33">
        <v>29.209999999999997</v>
      </c>
    </row>
    <row r="34" spans="1:6" x14ac:dyDescent="0.25">
      <c r="A34">
        <v>181</v>
      </c>
      <c r="C34">
        <f>B34*25.4</f>
        <v>0</v>
      </c>
      <c r="E34">
        <v>204</v>
      </c>
      <c r="F34">
        <v>12.191999999999998</v>
      </c>
    </row>
    <row r="35" spans="1:6" x14ac:dyDescent="0.25">
      <c r="A35">
        <v>182</v>
      </c>
      <c r="B35">
        <v>1.02</v>
      </c>
      <c r="C35">
        <f>B35*25.4</f>
        <v>25.907999999999998</v>
      </c>
      <c r="E35">
        <v>208</v>
      </c>
      <c r="F35">
        <v>25.4</v>
      </c>
    </row>
    <row r="36" spans="1:6" x14ac:dyDescent="0.25">
      <c r="A36">
        <v>183</v>
      </c>
      <c r="C36">
        <f>B36*25.4</f>
        <v>0</v>
      </c>
      <c r="E36">
        <v>210</v>
      </c>
      <c r="F36">
        <v>37.337999999999994</v>
      </c>
    </row>
    <row r="37" spans="1:6" x14ac:dyDescent="0.25">
      <c r="A37">
        <v>184</v>
      </c>
      <c r="B37">
        <v>0.89</v>
      </c>
      <c r="C37">
        <f>B37*25.4</f>
        <v>22.605999999999998</v>
      </c>
      <c r="E37">
        <v>214</v>
      </c>
      <c r="F37">
        <v>0</v>
      </c>
    </row>
    <row r="38" spans="1:6" x14ac:dyDescent="0.25">
      <c r="A38">
        <v>187</v>
      </c>
      <c r="C38">
        <f>B38*25.4</f>
        <v>0</v>
      </c>
      <c r="E38">
        <v>215</v>
      </c>
      <c r="F38">
        <v>25.145999999999997</v>
      </c>
    </row>
    <row r="39" spans="1:6" x14ac:dyDescent="0.25">
      <c r="A39">
        <v>187</v>
      </c>
      <c r="B39">
        <v>0.5</v>
      </c>
      <c r="C39">
        <f>B39*25.4</f>
        <v>12.7</v>
      </c>
      <c r="E39">
        <v>216</v>
      </c>
      <c r="F39">
        <v>8.8899999999999988</v>
      </c>
    </row>
    <row r="40" spans="1:6" x14ac:dyDescent="0.25">
      <c r="A40">
        <v>188</v>
      </c>
      <c r="B40">
        <v>0.63</v>
      </c>
      <c r="C40">
        <f>B40*25.4</f>
        <v>16.001999999999999</v>
      </c>
      <c r="E40">
        <v>217</v>
      </c>
      <c r="F40">
        <v>27.686</v>
      </c>
    </row>
    <row r="41" spans="1:6" x14ac:dyDescent="0.25">
      <c r="A41">
        <v>188</v>
      </c>
      <c r="B41">
        <v>1</v>
      </c>
      <c r="C41">
        <f>B41*25.4</f>
        <v>25.4</v>
      </c>
      <c r="E41">
        <v>221</v>
      </c>
      <c r="F41">
        <v>25.654</v>
      </c>
    </row>
    <row r="42" spans="1:6" x14ac:dyDescent="0.25">
      <c r="A42">
        <v>193</v>
      </c>
      <c r="B42">
        <v>1.07</v>
      </c>
      <c r="C42">
        <f>B42*25.4</f>
        <v>27.178000000000001</v>
      </c>
      <c r="E42">
        <v>223</v>
      </c>
      <c r="F42">
        <v>40.893999999999998</v>
      </c>
    </row>
    <row r="43" spans="1:6" x14ac:dyDescent="0.25">
      <c r="A43">
        <v>195</v>
      </c>
      <c r="B43">
        <v>1</v>
      </c>
      <c r="C43">
        <f>B43*25.4</f>
        <v>25.4</v>
      </c>
      <c r="E43">
        <v>225</v>
      </c>
      <c r="F43">
        <v>36.067999999999998</v>
      </c>
    </row>
    <row r="44" spans="1:6" x14ac:dyDescent="0.25">
      <c r="A44">
        <v>197</v>
      </c>
      <c r="C44">
        <f>B44*25.4</f>
        <v>0</v>
      </c>
      <c r="E44">
        <v>228</v>
      </c>
      <c r="F44">
        <v>26.923999999999999</v>
      </c>
    </row>
    <row r="45" spans="1:6" x14ac:dyDescent="0.25">
      <c r="A45">
        <v>197</v>
      </c>
      <c r="B45">
        <v>0.28000000000000003</v>
      </c>
      <c r="C45">
        <f>B45*25.4</f>
        <v>7.1120000000000001</v>
      </c>
      <c r="E45">
        <v>231</v>
      </c>
      <c r="F45">
        <v>24.637999999999998</v>
      </c>
    </row>
    <row r="46" spans="1:6" x14ac:dyDescent="0.25">
      <c r="A46">
        <v>203</v>
      </c>
      <c r="B46">
        <v>1.1499999999999999</v>
      </c>
      <c r="C46">
        <f>B46*25.4</f>
        <v>29.209999999999997</v>
      </c>
      <c r="E46">
        <v>235</v>
      </c>
      <c r="F46">
        <v>34.036000000000001</v>
      </c>
    </row>
    <row r="47" spans="1:6" x14ac:dyDescent="0.25">
      <c r="A47">
        <v>204</v>
      </c>
      <c r="B47">
        <v>0.48</v>
      </c>
      <c r="C47">
        <f>B47*25.4</f>
        <v>12.191999999999998</v>
      </c>
      <c r="E47">
        <v>238</v>
      </c>
      <c r="F47">
        <v>24.637999999999998</v>
      </c>
    </row>
    <row r="48" spans="1:6" x14ac:dyDescent="0.25">
      <c r="A48">
        <v>208</v>
      </c>
      <c r="B48">
        <v>1</v>
      </c>
      <c r="C48">
        <f>B48*25.4</f>
        <v>25.4</v>
      </c>
      <c r="E48">
        <v>242</v>
      </c>
      <c r="F48">
        <v>25.654</v>
      </c>
    </row>
    <row r="49" spans="1:6" x14ac:dyDescent="0.25">
      <c r="A49">
        <v>210</v>
      </c>
      <c r="B49">
        <v>1.47</v>
      </c>
      <c r="C49">
        <f>B49*25.4</f>
        <v>37.337999999999994</v>
      </c>
      <c r="E49">
        <v>245</v>
      </c>
      <c r="F49">
        <v>35.813999999999993</v>
      </c>
    </row>
    <row r="50" spans="1:6" x14ac:dyDescent="0.25">
      <c r="A50">
        <v>214</v>
      </c>
      <c r="C50">
        <f>B50*25.4</f>
        <v>0</v>
      </c>
      <c r="E50">
        <v>250</v>
      </c>
      <c r="F50">
        <v>0</v>
      </c>
    </row>
    <row r="51" spans="1:6" x14ac:dyDescent="0.25">
      <c r="A51">
        <v>215</v>
      </c>
      <c r="B51">
        <v>0.99</v>
      </c>
      <c r="C51">
        <f>B51*25.4</f>
        <v>25.145999999999997</v>
      </c>
    </row>
    <row r="52" spans="1:6" x14ac:dyDescent="0.25">
      <c r="A52">
        <v>216</v>
      </c>
      <c r="C52">
        <f>B52*25.4</f>
        <v>0</v>
      </c>
    </row>
    <row r="53" spans="1:6" x14ac:dyDescent="0.25">
      <c r="A53">
        <v>216</v>
      </c>
      <c r="B53">
        <v>0.35</v>
      </c>
      <c r="C53">
        <f>B53*25.4</f>
        <v>8.8899999999999988</v>
      </c>
    </row>
    <row r="54" spans="1:6" x14ac:dyDescent="0.25">
      <c r="A54">
        <v>217</v>
      </c>
      <c r="B54">
        <v>1.0900000000000001</v>
      </c>
      <c r="C54">
        <f>B54*25.4</f>
        <v>27.686</v>
      </c>
    </row>
    <row r="55" spans="1:6" x14ac:dyDescent="0.25">
      <c r="A55">
        <v>221</v>
      </c>
      <c r="B55">
        <v>1.01</v>
      </c>
      <c r="C55">
        <f>B55*25.4</f>
        <v>25.654</v>
      </c>
    </row>
    <row r="56" spans="1:6" x14ac:dyDescent="0.25">
      <c r="A56">
        <v>223</v>
      </c>
      <c r="B56">
        <v>1.08</v>
      </c>
      <c r="C56">
        <f>B56*25.4</f>
        <v>27.431999999999999</v>
      </c>
    </row>
    <row r="57" spans="1:6" x14ac:dyDescent="0.25">
      <c r="A57">
        <v>223</v>
      </c>
      <c r="B57">
        <v>0.53</v>
      </c>
      <c r="C57">
        <f>B57*25.4</f>
        <v>13.462</v>
      </c>
    </row>
    <row r="58" spans="1:6" x14ac:dyDescent="0.25">
      <c r="A58">
        <v>223</v>
      </c>
      <c r="C58">
        <f>B58*25.4</f>
        <v>0</v>
      </c>
    </row>
    <row r="59" spans="1:6" x14ac:dyDescent="0.25">
      <c r="A59">
        <v>225</v>
      </c>
      <c r="B59">
        <v>1.42</v>
      </c>
      <c r="C59">
        <f>B59*25.4</f>
        <v>36.067999999999998</v>
      </c>
    </row>
    <row r="60" spans="1:6" x14ac:dyDescent="0.25">
      <c r="A60">
        <v>228</v>
      </c>
      <c r="B60">
        <v>1.06</v>
      </c>
      <c r="C60">
        <f>B60*25.4</f>
        <v>26.923999999999999</v>
      </c>
    </row>
    <row r="61" spans="1:6" x14ac:dyDescent="0.25">
      <c r="A61">
        <v>231</v>
      </c>
      <c r="B61">
        <v>0.97</v>
      </c>
      <c r="C61">
        <f>B61*25.4</f>
        <v>24.637999999999998</v>
      </c>
    </row>
    <row r="62" spans="1:6" x14ac:dyDescent="0.25">
      <c r="A62">
        <v>235</v>
      </c>
      <c r="B62">
        <v>1.34</v>
      </c>
      <c r="C62">
        <f>B62*25.4</f>
        <v>34.036000000000001</v>
      </c>
    </row>
    <row r="63" spans="1:6" x14ac:dyDescent="0.25">
      <c r="A63">
        <v>238</v>
      </c>
      <c r="B63">
        <v>0.97</v>
      </c>
      <c r="C63">
        <f>B63*25.4</f>
        <v>24.637999999999998</v>
      </c>
    </row>
    <row r="64" spans="1:6" x14ac:dyDescent="0.25">
      <c r="A64">
        <v>242</v>
      </c>
      <c r="B64">
        <v>1.01</v>
      </c>
      <c r="C64">
        <f>B64*25.4</f>
        <v>25.654</v>
      </c>
    </row>
    <row r="65" spans="1:6" x14ac:dyDescent="0.25">
      <c r="A65">
        <v>245</v>
      </c>
      <c r="B65">
        <v>1.41</v>
      </c>
      <c r="C65">
        <f>B65*25.4</f>
        <v>35.813999999999993</v>
      </c>
    </row>
    <row r="66" spans="1:6" x14ac:dyDescent="0.25">
      <c r="A66">
        <v>250</v>
      </c>
      <c r="D66" s="87"/>
      <c r="F66" s="87"/>
    </row>
    <row r="67" spans="1:6" x14ac:dyDescent="0.25">
      <c r="B67">
        <f>SUM(B3:B66)</f>
        <v>38.700000000000003</v>
      </c>
      <c r="C67" s="87">
        <f>SUM(C3:C66)</f>
        <v>982.98</v>
      </c>
    </row>
    <row r="69" spans="1:6" x14ac:dyDescent="0.25">
      <c r="C69">
        <f>SUM(C15:C66)</f>
        <v>787.14599999999996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E7441-5570-4376-B541-CB92DAF4E44F}">
  <dimension ref="A1:J69"/>
  <sheetViews>
    <sheetView workbookViewId="0">
      <selection activeCell="F3" sqref="F3:F50"/>
    </sheetView>
  </sheetViews>
  <sheetFormatPr defaultRowHeight="15" x14ac:dyDescent="0.25"/>
  <cols>
    <col min="2" max="2" width="10" customWidth="1"/>
    <col min="3" max="3" width="11.7109375" bestFit="1" customWidth="1"/>
    <col min="4" max="6" width="11.7109375" customWidth="1"/>
    <col min="9" max="9" width="14.5703125" bestFit="1" customWidth="1"/>
    <col min="10" max="10" width="15.140625" bestFit="1" customWidth="1"/>
  </cols>
  <sheetData>
    <row r="1" spans="1:10" x14ac:dyDescent="0.25">
      <c r="A1" s="86" t="s">
        <v>226</v>
      </c>
      <c r="E1" t="s">
        <v>228</v>
      </c>
      <c r="H1" t="s">
        <v>227</v>
      </c>
    </row>
    <row r="2" spans="1:10" x14ac:dyDescent="0.25">
      <c r="A2" t="s">
        <v>172</v>
      </c>
      <c r="B2" t="s">
        <v>225</v>
      </c>
      <c r="C2" t="s">
        <v>218</v>
      </c>
      <c r="E2" t="s">
        <v>172</v>
      </c>
      <c r="F2" t="s">
        <v>218</v>
      </c>
      <c r="H2" t="s">
        <v>172</v>
      </c>
      <c r="I2" t="s">
        <v>224</v>
      </c>
      <c r="J2" t="s">
        <v>223</v>
      </c>
    </row>
    <row r="3" spans="1:10" x14ac:dyDescent="0.25">
      <c r="A3">
        <v>106</v>
      </c>
      <c r="B3">
        <v>0.14000000000000001</v>
      </c>
      <c r="C3">
        <f>B3*25.4</f>
        <v>3.556</v>
      </c>
      <c r="E3">
        <v>106</v>
      </c>
      <c r="F3" cm="1">
        <f t="array" ref="F3:F50">SUMIFS(C3:C66,A3:A66,E3:E50)</f>
        <v>15.494</v>
      </c>
      <c r="H3">
        <v>148</v>
      </c>
      <c r="J3">
        <f>I3*1.12</f>
        <v>0</v>
      </c>
    </row>
    <row r="4" spans="1:10" x14ac:dyDescent="0.25">
      <c r="A4">
        <v>106</v>
      </c>
      <c r="B4">
        <v>0.47</v>
      </c>
      <c r="C4">
        <f>B4*25.4</f>
        <v>11.937999999999999</v>
      </c>
      <c r="E4">
        <v>109</v>
      </c>
      <c r="F4">
        <v>12.7</v>
      </c>
      <c r="H4">
        <v>148</v>
      </c>
      <c r="I4">
        <v>6.1</v>
      </c>
      <c r="J4">
        <f>I4*1.12</f>
        <v>6.8319999999999999</v>
      </c>
    </row>
    <row r="5" spans="1:10" x14ac:dyDescent="0.25">
      <c r="A5">
        <v>109</v>
      </c>
      <c r="B5">
        <v>0.5</v>
      </c>
      <c r="C5">
        <f>B5*25.4</f>
        <v>12.7</v>
      </c>
      <c r="E5">
        <v>110</v>
      </c>
      <c r="F5">
        <v>5.5880000000000001</v>
      </c>
      <c r="H5">
        <v>162</v>
      </c>
      <c r="J5">
        <f>I5*1.12</f>
        <v>0</v>
      </c>
    </row>
    <row r="6" spans="1:10" x14ac:dyDescent="0.25">
      <c r="A6">
        <v>110</v>
      </c>
      <c r="B6">
        <v>0.22</v>
      </c>
      <c r="C6">
        <f>B6*25.4</f>
        <v>5.5880000000000001</v>
      </c>
      <c r="E6">
        <v>111</v>
      </c>
      <c r="F6">
        <v>11.683999999999999</v>
      </c>
      <c r="H6">
        <v>162</v>
      </c>
      <c r="I6">
        <v>24.5</v>
      </c>
      <c r="J6">
        <f>I6*1.12</f>
        <v>27.44</v>
      </c>
    </row>
    <row r="7" spans="1:10" x14ac:dyDescent="0.25">
      <c r="A7">
        <v>111</v>
      </c>
      <c r="B7">
        <v>0.46</v>
      </c>
      <c r="C7">
        <f>B7*25.4</f>
        <v>11.683999999999999</v>
      </c>
      <c r="E7">
        <v>113</v>
      </c>
      <c r="F7">
        <v>11.937999999999999</v>
      </c>
      <c r="H7">
        <v>176</v>
      </c>
      <c r="J7">
        <f>I7*1.12</f>
        <v>0</v>
      </c>
    </row>
    <row r="8" spans="1:10" x14ac:dyDescent="0.25">
      <c r="A8">
        <v>113</v>
      </c>
      <c r="B8">
        <v>0.47</v>
      </c>
      <c r="C8">
        <f>B8*25.4</f>
        <v>11.937999999999999</v>
      </c>
      <c r="E8">
        <v>116</v>
      </c>
      <c r="F8">
        <v>22.352</v>
      </c>
      <c r="H8">
        <v>176</v>
      </c>
      <c r="I8">
        <v>24.5</v>
      </c>
      <c r="J8">
        <f>I8*1.12</f>
        <v>27.44</v>
      </c>
    </row>
    <row r="9" spans="1:10" x14ac:dyDescent="0.25">
      <c r="A9">
        <v>116</v>
      </c>
      <c r="B9">
        <v>0.88</v>
      </c>
      <c r="C9">
        <f>B9*25.4</f>
        <v>22.352</v>
      </c>
      <c r="E9">
        <v>118</v>
      </c>
      <c r="F9">
        <v>28.448</v>
      </c>
      <c r="H9">
        <v>177</v>
      </c>
      <c r="J9">
        <f>I9*1.12</f>
        <v>0</v>
      </c>
    </row>
    <row r="10" spans="1:10" x14ac:dyDescent="0.25">
      <c r="A10">
        <v>118</v>
      </c>
      <c r="B10">
        <v>0.27</v>
      </c>
      <c r="C10">
        <f>B10*25.4</f>
        <v>6.8579999999999997</v>
      </c>
      <c r="E10">
        <v>119</v>
      </c>
      <c r="F10">
        <v>21.081999999999997</v>
      </c>
      <c r="H10">
        <v>177</v>
      </c>
      <c r="J10">
        <f>I10*1.12</f>
        <v>0</v>
      </c>
    </row>
    <row r="11" spans="1:10" x14ac:dyDescent="0.25">
      <c r="A11">
        <v>118</v>
      </c>
      <c r="B11">
        <v>0.85</v>
      </c>
      <c r="C11">
        <f>B11*25.4</f>
        <v>21.59</v>
      </c>
      <c r="E11">
        <v>120</v>
      </c>
      <c r="F11">
        <v>21.843999999999998</v>
      </c>
      <c r="H11">
        <v>197</v>
      </c>
      <c r="I11">
        <v>18.399999999999999</v>
      </c>
      <c r="J11">
        <f>I11*1.12</f>
        <v>20.608000000000001</v>
      </c>
    </row>
    <row r="12" spans="1:10" x14ac:dyDescent="0.25">
      <c r="A12">
        <v>119</v>
      </c>
      <c r="B12">
        <v>0.83</v>
      </c>
      <c r="C12">
        <f>B12*25.4</f>
        <v>21.081999999999997</v>
      </c>
      <c r="E12">
        <v>124</v>
      </c>
      <c r="F12">
        <v>23.114000000000001</v>
      </c>
      <c r="H12">
        <v>197</v>
      </c>
      <c r="J12">
        <f>I12*1.12</f>
        <v>0</v>
      </c>
    </row>
    <row r="13" spans="1:10" x14ac:dyDescent="0.25">
      <c r="A13">
        <v>120</v>
      </c>
      <c r="B13">
        <v>0.86</v>
      </c>
      <c r="C13">
        <f>B13*25.4</f>
        <v>21.843999999999998</v>
      </c>
      <c r="E13">
        <v>148</v>
      </c>
      <c r="F13">
        <v>25.907999999999994</v>
      </c>
    </row>
    <row r="14" spans="1:10" x14ac:dyDescent="0.25">
      <c r="A14">
        <v>124</v>
      </c>
      <c r="B14">
        <v>0.91</v>
      </c>
      <c r="C14">
        <f>B14*25.4</f>
        <v>23.114000000000001</v>
      </c>
      <c r="E14">
        <v>158</v>
      </c>
      <c r="F14">
        <v>20.574000000000002</v>
      </c>
    </row>
    <row r="15" spans="1:10" x14ac:dyDescent="0.25">
      <c r="A15">
        <v>148</v>
      </c>
      <c r="B15">
        <v>0.72</v>
      </c>
      <c r="C15">
        <f>B15*25.4</f>
        <v>18.287999999999997</v>
      </c>
      <c r="E15">
        <v>162</v>
      </c>
      <c r="F15">
        <v>25.4</v>
      </c>
    </row>
    <row r="16" spans="1:10" x14ac:dyDescent="0.25">
      <c r="A16">
        <v>148</v>
      </c>
      <c r="C16">
        <f>B16*25.4</f>
        <v>0</v>
      </c>
      <c r="E16">
        <v>166</v>
      </c>
      <c r="F16">
        <v>30.225999999999996</v>
      </c>
    </row>
    <row r="17" spans="1:6" x14ac:dyDescent="0.25">
      <c r="A17">
        <v>148</v>
      </c>
      <c r="B17">
        <v>0.3</v>
      </c>
      <c r="C17">
        <f>B17*25.4</f>
        <v>7.6199999999999992</v>
      </c>
      <c r="E17">
        <v>167</v>
      </c>
      <c r="F17">
        <v>0</v>
      </c>
    </row>
    <row r="18" spans="1:6" x14ac:dyDescent="0.25">
      <c r="A18">
        <v>158</v>
      </c>
      <c r="B18">
        <v>0.81</v>
      </c>
      <c r="C18">
        <f>B18*25.4</f>
        <v>20.574000000000002</v>
      </c>
      <c r="E18">
        <v>168</v>
      </c>
      <c r="F18">
        <v>0</v>
      </c>
    </row>
    <row r="19" spans="1:6" x14ac:dyDescent="0.25">
      <c r="A19">
        <v>162</v>
      </c>
      <c r="B19">
        <v>0.72</v>
      </c>
      <c r="C19">
        <f>B19*25.4</f>
        <v>18.287999999999997</v>
      </c>
      <c r="E19">
        <v>170</v>
      </c>
      <c r="F19">
        <v>23.622</v>
      </c>
    </row>
    <row r="20" spans="1:6" x14ac:dyDescent="0.25">
      <c r="A20">
        <v>162</v>
      </c>
      <c r="C20">
        <f>B20*25.4</f>
        <v>0</v>
      </c>
      <c r="E20">
        <v>174</v>
      </c>
      <c r="F20">
        <v>20.32</v>
      </c>
    </row>
    <row r="21" spans="1:6" x14ac:dyDescent="0.25">
      <c r="A21">
        <v>162</v>
      </c>
      <c r="B21">
        <v>0.28000000000000003</v>
      </c>
      <c r="C21">
        <f>B21*25.4</f>
        <v>7.1120000000000001</v>
      </c>
      <c r="E21">
        <v>175</v>
      </c>
      <c r="F21">
        <v>0</v>
      </c>
    </row>
    <row r="22" spans="1:6" x14ac:dyDescent="0.25">
      <c r="A22">
        <v>166</v>
      </c>
      <c r="B22">
        <v>1.19</v>
      </c>
      <c r="C22">
        <f>B22*25.4</f>
        <v>30.225999999999996</v>
      </c>
      <c r="E22">
        <v>176</v>
      </c>
      <c r="F22">
        <v>25.146000000000001</v>
      </c>
    </row>
    <row r="23" spans="1:6" x14ac:dyDescent="0.25">
      <c r="A23">
        <v>167</v>
      </c>
      <c r="C23">
        <f>B23*25.4</f>
        <v>0</v>
      </c>
      <c r="E23">
        <v>177</v>
      </c>
      <c r="F23">
        <v>0</v>
      </c>
    </row>
    <row r="24" spans="1:6" x14ac:dyDescent="0.25">
      <c r="A24">
        <v>168</v>
      </c>
      <c r="C24">
        <f>B24*25.4</f>
        <v>0</v>
      </c>
      <c r="E24">
        <v>181</v>
      </c>
      <c r="F24">
        <v>23.114000000000001</v>
      </c>
    </row>
    <row r="25" spans="1:6" x14ac:dyDescent="0.25">
      <c r="A25">
        <v>170</v>
      </c>
      <c r="B25">
        <v>0.93</v>
      </c>
      <c r="C25">
        <f>B25*25.4</f>
        <v>23.622</v>
      </c>
      <c r="E25">
        <v>182</v>
      </c>
      <c r="F25">
        <v>0</v>
      </c>
    </row>
    <row r="26" spans="1:6" x14ac:dyDescent="0.25">
      <c r="A26">
        <v>174</v>
      </c>
      <c r="B26">
        <v>0.8</v>
      </c>
      <c r="C26">
        <f>B26*25.4</f>
        <v>20.32</v>
      </c>
      <c r="E26">
        <v>183</v>
      </c>
      <c r="F26">
        <v>23.367999999999999</v>
      </c>
    </row>
    <row r="27" spans="1:6" x14ac:dyDescent="0.25">
      <c r="A27">
        <v>175</v>
      </c>
      <c r="C27">
        <f>B27*25.4</f>
        <v>0</v>
      </c>
      <c r="E27">
        <v>184</v>
      </c>
      <c r="F27">
        <v>0</v>
      </c>
    </row>
    <row r="28" spans="1:6" x14ac:dyDescent="0.25">
      <c r="A28">
        <v>176</v>
      </c>
      <c r="B28">
        <v>0.71</v>
      </c>
      <c r="C28">
        <f>B28*25.4</f>
        <v>18.033999999999999</v>
      </c>
      <c r="E28">
        <v>187</v>
      </c>
      <c r="F28">
        <v>35.305999999999997</v>
      </c>
    </row>
    <row r="29" spans="1:6" x14ac:dyDescent="0.25">
      <c r="A29">
        <v>176</v>
      </c>
      <c r="C29">
        <f>B29*25.4</f>
        <v>0</v>
      </c>
      <c r="E29">
        <v>188</v>
      </c>
      <c r="F29">
        <v>25.4</v>
      </c>
    </row>
    <row r="30" spans="1:6" x14ac:dyDescent="0.25">
      <c r="A30">
        <v>176</v>
      </c>
      <c r="B30">
        <v>0.28000000000000003</v>
      </c>
      <c r="C30">
        <f>B30*25.4</f>
        <v>7.1120000000000001</v>
      </c>
      <c r="E30">
        <v>193</v>
      </c>
      <c r="F30">
        <v>28.194000000000003</v>
      </c>
    </row>
    <row r="31" spans="1:6" x14ac:dyDescent="0.25">
      <c r="A31">
        <v>177</v>
      </c>
      <c r="C31">
        <f>B31*25.4</f>
        <v>0</v>
      </c>
      <c r="E31">
        <v>195</v>
      </c>
      <c r="F31">
        <v>25.4</v>
      </c>
    </row>
    <row r="32" spans="1:6" x14ac:dyDescent="0.25">
      <c r="A32">
        <v>177</v>
      </c>
      <c r="C32">
        <f>B32*25.4</f>
        <v>0</v>
      </c>
      <c r="E32">
        <v>197</v>
      </c>
      <c r="F32">
        <v>7.1120000000000001</v>
      </c>
    </row>
    <row r="33" spans="1:6" x14ac:dyDescent="0.25">
      <c r="A33">
        <v>177</v>
      </c>
      <c r="C33">
        <f>B33*25.4</f>
        <v>0</v>
      </c>
      <c r="E33">
        <v>203</v>
      </c>
      <c r="F33">
        <v>29.209999999999997</v>
      </c>
    </row>
    <row r="34" spans="1:6" x14ac:dyDescent="0.25">
      <c r="A34">
        <v>181</v>
      </c>
      <c r="B34">
        <v>0.91</v>
      </c>
      <c r="C34">
        <f>B34*25.4</f>
        <v>23.114000000000001</v>
      </c>
      <c r="E34">
        <v>204</v>
      </c>
      <c r="F34">
        <v>11.43</v>
      </c>
    </row>
    <row r="35" spans="1:6" x14ac:dyDescent="0.25">
      <c r="A35">
        <v>182</v>
      </c>
      <c r="C35">
        <f>B35*25.4</f>
        <v>0</v>
      </c>
      <c r="E35">
        <v>208</v>
      </c>
      <c r="F35">
        <v>28.448</v>
      </c>
    </row>
    <row r="36" spans="1:6" x14ac:dyDescent="0.25">
      <c r="A36">
        <v>183</v>
      </c>
      <c r="B36">
        <v>0.92</v>
      </c>
      <c r="C36">
        <f>B36*25.4</f>
        <v>23.367999999999999</v>
      </c>
      <c r="E36">
        <v>210</v>
      </c>
      <c r="F36">
        <v>37.337999999999994</v>
      </c>
    </row>
    <row r="37" spans="1:6" x14ac:dyDescent="0.25">
      <c r="A37">
        <v>184</v>
      </c>
      <c r="C37">
        <f>B37*25.4</f>
        <v>0</v>
      </c>
      <c r="E37">
        <v>214</v>
      </c>
      <c r="F37">
        <v>0</v>
      </c>
    </row>
    <row r="38" spans="1:6" x14ac:dyDescent="0.25">
      <c r="A38">
        <v>187</v>
      </c>
      <c r="B38">
        <v>0.89</v>
      </c>
      <c r="C38">
        <f>B38*25.4</f>
        <v>22.605999999999998</v>
      </c>
      <c r="E38">
        <v>215</v>
      </c>
      <c r="F38">
        <v>24.13</v>
      </c>
    </row>
    <row r="39" spans="1:6" x14ac:dyDescent="0.25">
      <c r="A39">
        <v>187</v>
      </c>
      <c r="B39">
        <v>0.5</v>
      </c>
      <c r="C39">
        <f>B39*25.4</f>
        <v>12.7</v>
      </c>
      <c r="E39">
        <v>216</v>
      </c>
      <c r="F39">
        <v>8.8899999999999988</v>
      </c>
    </row>
    <row r="40" spans="1:6" x14ac:dyDescent="0.25">
      <c r="A40">
        <v>188</v>
      </c>
      <c r="C40">
        <f>B40*25.4</f>
        <v>0</v>
      </c>
      <c r="E40">
        <v>217</v>
      </c>
      <c r="F40">
        <v>30.225999999999996</v>
      </c>
    </row>
    <row r="41" spans="1:6" x14ac:dyDescent="0.25">
      <c r="A41">
        <v>188</v>
      </c>
      <c r="B41">
        <v>1</v>
      </c>
      <c r="C41">
        <f>B41*25.4</f>
        <v>25.4</v>
      </c>
      <c r="E41">
        <v>221</v>
      </c>
      <c r="F41">
        <v>26.161999999999999</v>
      </c>
    </row>
    <row r="42" spans="1:6" x14ac:dyDescent="0.25">
      <c r="A42">
        <v>193</v>
      </c>
      <c r="B42">
        <v>1.1100000000000001</v>
      </c>
      <c r="C42">
        <f>B42*25.4</f>
        <v>28.194000000000003</v>
      </c>
      <c r="E42">
        <v>223</v>
      </c>
      <c r="F42">
        <v>40.64</v>
      </c>
    </row>
    <row r="43" spans="1:6" x14ac:dyDescent="0.25">
      <c r="A43">
        <v>195</v>
      </c>
      <c r="B43">
        <v>1</v>
      </c>
      <c r="C43">
        <f>B43*25.4</f>
        <v>25.4</v>
      </c>
      <c r="E43">
        <v>225</v>
      </c>
      <c r="F43">
        <v>35.305999999999997</v>
      </c>
    </row>
    <row r="44" spans="1:6" x14ac:dyDescent="0.25">
      <c r="A44">
        <v>197</v>
      </c>
      <c r="B44">
        <v>0.28000000000000003</v>
      </c>
      <c r="C44">
        <f>B44*25.4</f>
        <v>7.1120000000000001</v>
      </c>
      <c r="E44">
        <v>228</v>
      </c>
      <c r="F44">
        <v>24.891999999999999</v>
      </c>
    </row>
    <row r="45" spans="1:6" x14ac:dyDescent="0.25">
      <c r="A45">
        <v>197</v>
      </c>
      <c r="C45">
        <f>B45*25.4</f>
        <v>0</v>
      </c>
      <c r="E45">
        <v>231</v>
      </c>
      <c r="F45">
        <v>25.907999999999998</v>
      </c>
    </row>
    <row r="46" spans="1:6" x14ac:dyDescent="0.25">
      <c r="A46">
        <v>203</v>
      </c>
      <c r="B46">
        <v>1.1499999999999999</v>
      </c>
      <c r="C46">
        <f>B46*25.4</f>
        <v>29.209999999999997</v>
      </c>
      <c r="E46">
        <v>235</v>
      </c>
      <c r="F46">
        <v>38.099999999999994</v>
      </c>
    </row>
    <row r="47" spans="1:6" x14ac:dyDescent="0.25">
      <c r="A47">
        <v>204</v>
      </c>
      <c r="B47">
        <v>0.45</v>
      </c>
      <c r="C47">
        <f>B47*25.4</f>
        <v>11.43</v>
      </c>
      <c r="E47">
        <v>238</v>
      </c>
      <c r="F47">
        <v>25.654</v>
      </c>
    </row>
    <row r="48" spans="1:6" x14ac:dyDescent="0.25">
      <c r="A48">
        <v>208</v>
      </c>
      <c r="B48">
        <v>1.1200000000000001</v>
      </c>
      <c r="C48">
        <f>B48*25.4</f>
        <v>28.448</v>
      </c>
      <c r="E48">
        <v>242</v>
      </c>
      <c r="F48">
        <v>24.891999999999999</v>
      </c>
    </row>
    <row r="49" spans="1:6" x14ac:dyDescent="0.25">
      <c r="A49">
        <v>210</v>
      </c>
      <c r="B49">
        <v>1.47</v>
      </c>
      <c r="C49">
        <f>B49*25.4</f>
        <v>37.337999999999994</v>
      </c>
      <c r="E49">
        <v>245</v>
      </c>
      <c r="F49">
        <v>38.099999999999994</v>
      </c>
    </row>
    <row r="50" spans="1:6" x14ac:dyDescent="0.25">
      <c r="A50">
        <v>214</v>
      </c>
      <c r="C50">
        <f>B50*25.4</f>
        <v>0</v>
      </c>
      <c r="E50">
        <v>250</v>
      </c>
      <c r="F50">
        <v>0</v>
      </c>
    </row>
    <row r="51" spans="1:6" x14ac:dyDescent="0.25">
      <c r="A51">
        <v>215</v>
      </c>
      <c r="B51">
        <v>0.95</v>
      </c>
      <c r="C51">
        <f>B51*25.4</f>
        <v>24.13</v>
      </c>
    </row>
    <row r="52" spans="1:6" x14ac:dyDescent="0.25">
      <c r="A52">
        <v>216</v>
      </c>
      <c r="C52">
        <f>B52*25.4</f>
        <v>0</v>
      </c>
    </row>
    <row r="53" spans="1:6" x14ac:dyDescent="0.25">
      <c r="A53">
        <v>216</v>
      </c>
      <c r="B53">
        <v>0.35</v>
      </c>
      <c r="C53">
        <f>B53*25.4</f>
        <v>8.8899999999999988</v>
      </c>
    </row>
    <row r="54" spans="1:6" x14ac:dyDescent="0.25">
      <c r="A54">
        <v>217</v>
      </c>
      <c r="B54">
        <v>1.19</v>
      </c>
      <c r="C54">
        <f>B54*25.4</f>
        <v>30.225999999999996</v>
      </c>
    </row>
    <row r="55" spans="1:6" x14ac:dyDescent="0.25">
      <c r="A55">
        <v>221</v>
      </c>
      <c r="B55">
        <v>1.03</v>
      </c>
      <c r="C55">
        <f>B55*25.4</f>
        <v>26.161999999999999</v>
      </c>
    </row>
    <row r="56" spans="1:6" x14ac:dyDescent="0.25">
      <c r="A56">
        <v>223</v>
      </c>
      <c r="B56">
        <v>1.04</v>
      </c>
      <c r="C56">
        <f>B56*25.4</f>
        <v>26.416</v>
      </c>
    </row>
    <row r="57" spans="1:6" x14ac:dyDescent="0.25">
      <c r="A57">
        <v>223</v>
      </c>
      <c r="B57">
        <v>0.56000000000000005</v>
      </c>
      <c r="C57">
        <f>B57*25.4</f>
        <v>14.224</v>
      </c>
    </row>
    <row r="58" spans="1:6" x14ac:dyDescent="0.25">
      <c r="A58">
        <v>223</v>
      </c>
      <c r="C58">
        <f>B58*25.4</f>
        <v>0</v>
      </c>
    </row>
    <row r="59" spans="1:6" x14ac:dyDescent="0.25">
      <c r="A59">
        <v>225</v>
      </c>
      <c r="B59">
        <v>1.39</v>
      </c>
      <c r="C59">
        <f>B59*25.4</f>
        <v>35.305999999999997</v>
      </c>
    </row>
    <row r="60" spans="1:6" x14ac:dyDescent="0.25">
      <c r="A60">
        <v>228</v>
      </c>
      <c r="B60">
        <v>0.98</v>
      </c>
      <c r="C60">
        <f>B60*25.4</f>
        <v>24.891999999999999</v>
      </c>
    </row>
    <row r="61" spans="1:6" x14ac:dyDescent="0.25">
      <c r="A61">
        <v>231</v>
      </c>
      <c r="B61">
        <v>1.02</v>
      </c>
      <c r="C61">
        <f>B61*25.4</f>
        <v>25.907999999999998</v>
      </c>
    </row>
    <row r="62" spans="1:6" x14ac:dyDescent="0.25">
      <c r="A62">
        <v>235</v>
      </c>
      <c r="B62">
        <v>1.5</v>
      </c>
      <c r="C62">
        <f>B62*25.4</f>
        <v>38.099999999999994</v>
      </c>
    </row>
    <row r="63" spans="1:6" x14ac:dyDescent="0.25">
      <c r="A63">
        <v>238</v>
      </c>
      <c r="B63">
        <v>1.01</v>
      </c>
      <c r="C63">
        <f>B63*25.4</f>
        <v>25.654</v>
      </c>
    </row>
    <row r="64" spans="1:6" x14ac:dyDescent="0.25">
      <c r="A64">
        <v>242</v>
      </c>
      <c r="B64">
        <v>0.98</v>
      </c>
      <c r="C64">
        <f>B64*25.4</f>
        <v>24.891999999999999</v>
      </c>
    </row>
    <row r="65" spans="1:6" x14ac:dyDescent="0.25">
      <c r="A65">
        <v>245</v>
      </c>
      <c r="B65">
        <v>1.5</v>
      </c>
      <c r="C65">
        <f>B65*25.4</f>
        <v>38.099999999999994</v>
      </c>
    </row>
    <row r="66" spans="1:6" x14ac:dyDescent="0.25">
      <c r="A66">
        <v>250</v>
      </c>
      <c r="C66">
        <f>B66*25.4</f>
        <v>0</v>
      </c>
      <c r="D66" s="87"/>
      <c r="F66" s="87"/>
    </row>
    <row r="67" spans="1:6" x14ac:dyDescent="0.25">
      <c r="B67">
        <f>SUM(B3:B66)</f>
        <v>37.9</v>
      </c>
      <c r="C67" s="87">
        <f>SUM(C3:C66)</f>
        <v>962.6600000000002</v>
      </c>
    </row>
    <row r="69" spans="1:6" x14ac:dyDescent="0.25">
      <c r="C69">
        <f>SUM(C15:C66)</f>
        <v>788.41600000000028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F24AF-F007-4F02-93BD-EDB4B6722199}">
  <dimension ref="A1:J69"/>
  <sheetViews>
    <sheetView workbookViewId="0">
      <selection activeCell="F3" sqref="F3:F50"/>
    </sheetView>
  </sheetViews>
  <sheetFormatPr defaultRowHeight="15" x14ac:dyDescent="0.25"/>
  <cols>
    <col min="2" max="2" width="10" customWidth="1"/>
    <col min="3" max="3" width="11.7109375" bestFit="1" customWidth="1"/>
    <col min="4" max="6" width="11.7109375" customWidth="1"/>
    <col min="9" max="9" width="14.5703125" bestFit="1" customWidth="1"/>
    <col min="10" max="10" width="15.140625" bestFit="1" customWidth="1"/>
  </cols>
  <sheetData>
    <row r="1" spans="1:10" x14ac:dyDescent="0.25">
      <c r="A1" s="86" t="s">
        <v>226</v>
      </c>
      <c r="E1" t="s">
        <v>228</v>
      </c>
      <c r="H1" t="s">
        <v>227</v>
      </c>
    </row>
    <row r="2" spans="1:10" x14ac:dyDescent="0.25">
      <c r="A2" t="s">
        <v>172</v>
      </c>
      <c r="B2" t="s">
        <v>225</v>
      </c>
      <c r="C2" t="s">
        <v>218</v>
      </c>
      <c r="E2" t="s">
        <v>172</v>
      </c>
      <c r="F2" t="s">
        <v>218</v>
      </c>
      <c r="H2" t="s">
        <v>172</v>
      </c>
      <c r="I2" t="s">
        <v>224</v>
      </c>
      <c r="J2" t="s">
        <v>223</v>
      </c>
    </row>
    <row r="3" spans="1:10" x14ac:dyDescent="0.25">
      <c r="A3">
        <v>106</v>
      </c>
      <c r="B3">
        <v>0.13</v>
      </c>
      <c r="C3">
        <f>B3*25.4</f>
        <v>3.302</v>
      </c>
      <c r="E3">
        <v>106</v>
      </c>
      <c r="F3" cm="1">
        <f t="array" ref="F3:F50">SUMIFS(C3:C66,A3:A66,E3:E50)</f>
        <v>14.223999999999998</v>
      </c>
      <c r="H3">
        <v>148</v>
      </c>
      <c r="I3">
        <v>25.6</v>
      </c>
      <c r="J3">
        <f>I3*1.12</f>
        <v>28.672000000000004</v>
      </c>
    </row>
    <row r="4" spans="1:10" x14ac:dyDescent="0.25">
      <c r="A4">
        <v>106</v>
      </c>
      <c r="B4">
        <v>0.43</v>
      </c>
      <c r="C4">
        <f>B4*25.4</f>
        <v>10.921999999999999</v>
      </c>
      <c r="E4">
        <v>109</v>
      </c>
      <c r="F4">
        <v>12.7</v>
      </c>
      <c r="H4">
        <v>148</v>
      </c>
      <c r="J4">
        <f>I4*1.12</f>
        <v>0</v>
      </c>
    </row>
    <row r="5" spans="1:10" x14ac:dyDescent="0.25">
      <c r="A5">
        <v>109</v>
      </c>
      <c r="B5">
        <v>0.5</v>
      </c>
      <c r="C5">
        <f>B5*25.4</f>
        <v>12.7</v>
      </c>
      <c r="E5">
        <v>110</v>
      </c>
      <c r="F5">
        <v>5.5880000000000001</v>
      </c>
      <c r="H5">
        <v>162</v>
      </c>
      <c r="I5">
        <v>38.299999999999997</v>
      </c>
      <c r="J5">
        <f>I5*1.12</f>
        <v>42.896000000000001</v>
      </c>
    </row>
    <row r="6" spans="1:10" x14ac:dyDescent="0.25">
      <c r="A6">
        <v>110</v>
      </c>
      <c r="B6">
        <v>0.22</v>
      </c>
      <c r="C6">
        <f>B6*25.4</f>
        <v>5.5880000000000001</v>
      </c>
      <c r="E6">
        <v>111</v>
      </c>
      <c r="F6">
        <v>11.683999999999999</v>
      </c>
      <c r="H6">
        <v>162</v>
      </c>
      <c r="J6">
        <f>I6*1.12</f>
        <v>0</v>
      </c>
    </row>
    <row r="7" spans="1:10" x14ac:dyDescent="0.25">
      <c r="A7">
        <v>111</v>
      </c>
      <c r="B7">
        <v>0.46</v>
      </c>
      <c r="C7">
        <f>B7*25.4</f>
        <v>11.683999999999999</v>
      </c>
      <c r="E7">
        <v>113</v>
      </c>
      <c r="F7">
        <v>11.43</v>
      </c>
      <c r="H7">
        <v>176</v>
      </c>
      <c r="I7">
        <v>63.9</v>
      </c>
      <c r="J7">
        <f>I7*1.12</f>
        <v>71.568000000000012</v>
      </c>
    </row>
    <row r="8" spans="1:10" x14ac:dyDescent="0.25">
      <c r="A8">
        <v>113</v>
      </c>
      <c r="B8">
        <v>0.45</v>
      </c>
      <c r="C8">
        <f>B8*25.4</f>
        <v>11.43</v>
      </c>
      <c r="E8">
        <v>116</v>
      </c>
      <c r="F8">
        <v>22.352</v>
      </c>
      <c r="H8">
        <v>176</v>
      </c>
      <c r="J8">
        <f>I8*1.12</f>
        <v>0</v>
      </c>
    </row>
    <row r="9" spans="1:10" x14ac:dyDescent="0.25">
      <c r="A9">
        <v>116</v>
      </c>
      <c r="B9">
        <v>0.88</v>
      </c>
      <c r="C9">
        <f>B9*25.4</f>
        <v>22.352</v>
      </c>
      <c r="E9">
        <v>118</v>
      </c>
      <c r="F9">
        <v>31.241999999999997</v>
      </c>
      <c r="H9">
        <v>177</v>
      </c>
      <c r="J9">
        <f>I9*1.12</f>
        <v>0</v>
      </c>
    </row>
    <row r="10" spans="1:10" x14ac:dyDescent="0.25">
      <c r="A10">
        <v>118</v>
      </c>
      <c r="B10">
        <v>0.3</v>
      </c>
      <c r="C10">
        <f>B10*25.4</f>
        <v>7.6199999999999992</v>
      </c>
      <c r="E10">
        <v>119</v>
      </c>
      <c r="F10">
        <v>24.13</v>
      </c>
      <c r="H10">
        <v>177</v>
      </c>
      <c r="J10">
        <f>I10*1.12</f>
        <v>0</v>
      </c>
    </row>
    <row r="11" spans="1:10" x14ac:dyDescent="0.25">
      <c r="A11">
        <v>118</v>
      </c>
      <c r="B11">
        <v>0.93</v>
      </c>
      <c r="C11">
        <f>B11*25.4</f>
        <v>23.622</v>
      </c>
      <c r="E11">
        <v>120</v>
      </c>
      <c r="F11">
        <v>22.86</v>
      </c>
      <c r="H11">
        <v>197</v>
      </c>
      <c r="J11">
        <f>I11*1.12</f>
        <v>0</v>
      </c>
    </row>
    <row r="12" spans="1:10" x14ac:dyDescent="0.25">
      <c r="A12">
        <v>119</v>
      </c>
      <c r="B12">
        <v>0.95</v>
      </c>
      <c r="C12">
        <f>B12*25.4</f>
        <v>24.13</v>
      </c>
      <c r="E12">
        <v>124</v>
      </c>
      <c r="F12">
        <v>20.574000000000002</v>
      </c>
      <c r="H12">
        <v>197</v>
      </c>
      <c r="I12">
        <v>44.7</v>
      </c>
      <c r="J12">
        <f>I12*1.12</f>
        <v>50.064000000000007</v>
      </c>
    </row>
    <row r="13" spans="1:10" x14ac:dyDescent="0.25">
      <c r="A13">
        <v>120</v>
      </c>
      <c r="B13">
        <v>0.9</v>
      </c>
      <c r="C13">
        <f>B13*25.4</f>
        <v>22.86</v>
      </c>
      <c r="E13">
        <v>148</v>
      </c>
      <c r="F13">
        <v>26.161999999999995</v>
      </c>
    </row>
    <row r="14" spans="1:10" x14ac:dyDescent="0.25">
      <c r="A14">
        <v>124</v>
      </c>
      <c r="B14">
        <v>0.81</v>
      </c>
      <c r="C14">
        <f>B14*25.4</f>
        <v>20.574000000000002</v>
      </c>
      <c r="E14">
        <v>158</v>
      </c>
      <c r="F14">
        <v>23.367999999999999</v>
      </c>
    </row>
    <row r="15" spans="1:10" x14ac:dyDescent="0.25">
      <c r="A15">
        <v>148</v>
      </c>
      <c r="B15">
        <v>0.72</v>
      </c>
      <c r="C15">
        <f>B15*25.4</f>
        <v>18.287999999999997</v>
      </c>
      <c r="E15">
        <v>162</v>
      </c>
      <c r="F15">
        <v>27.177999999999997</v>
      </c>
    </row>
    <row r="16" spans="1:10" x14ac:dyDescent="0.25">
      <c r="A16">
        <v>148</v>
      </c>
      <c r="B16">
        <v>0.31</v>
      </c>
      <c r="C16">
        <f>B16*25.4</f>
        <v>7.8739999999999997</v>
      </c>
      <c r="E16">
        <v>166</v>
      </c>
      <c r="F16">
        <v>31.495999999999999</v>
      </c>
    </row>
    <row r="17" spans="1:6" x14ac:dyDescent="0.25">
      <c r="A17">
        <v>148</v>
      </c>
      <c r="C17">
        <f>B17*25.4</f>
        <v>0</v>
      </c>
      <c r="E17">
        <v>167</v>
      </c>
      <c r="F17">
        <v>0</v>
      </c>
    </row>
    <row r="18" spans="1:6" x14ac:dyDescent="0.25">
      <c r="A18">
        <v>158</v>
      </c>
      <c r="B18">
        <v>0.92</v>
      </c>
      <c r="C18">
        <f>B18*25.4</f>
        <v>23.367999999999999</v>
      </c>
      <c r="E18">
        <v>168</v>
      </c>
      <c r="F18">
        <v>4.8259999999999996</v>
      </c>
    </row>
    <row r="19" spans="1:6" x14ac:dyDescent="0.25">
      <c r="A19">
        <v>162</v>
      </c>
      <c r="B19">
        <v>0.77</v>
      </c>
      <c r="C19">
        <f>B19*25.4</f>
        <v>19.558</v>
      </c>
      <c r="E19">
        <v>170</v>
      </c>
      <c r="F19">
        <v>17.779999999999998</v>
      </c>
    </row>
    <row r="20" spans="1:6" x14ac:dyDescent="0.25">
      <c r="A20">
        <v>162</v>
      </c>
      <c r="B20">
        <v>0.3</v>
      </c>
      <c r="C20">
        <f>B20*25.4</f>
        <v>7.6199999999999992</v>
      </c>
      <c r="E20">
        <v>174</v>
      </c>
      <c r="F20">
        <v>21.59</v>
      </c>
    </row>
    <row r="21" spans="1:6" x14ac:dyDescent="0.25">
      <c r="A21">
        <v>162</v>
      </c>
      <c r="C21">
        <f>B21*25.4</f>
        <v>0</v>
      </c>
      <c r="E21">
        <v>175</v>
      </c>
      <c r="F21">
        <v>0</v>
      </c>
    </row>
    <row r="22" spans="1:6" x14ac:dyDescent="0.25">
      <c r="A22">
        <v>166</v>
      </c>
      <c r="B22">
        <v>1.24</v>
      </c>
      <c r="C22">
        <f>B22*25.4</f>
        <v>31.495999999999999</v>
      </c>
      <c r="E22">
        <v>176</v>
      </c>
      <c r="F22">
        <v>28.193999999999999</v>
      </c>
    </row>
    <row r="23" spans="1:6" x14ac:dyDescent="0.25">
      <c r="A23">
        <v>167</v>
      </c>
      <c r="C23">
        <f>B23*25.4</f>
        <v>0</v>
      </c>
      <c r="E23">
        <v>177</v>
      </c>
      <c r="F23">
        <v>0</v>
      </c>
    </row>
    <row r="24" spans="1:6" x14ac:dyDescent="0.25">
      <c r="A24">
        <v>168</v>
      </c>
      <c r="B24">
        <v>0.19</v>
      </c>
      <c r="C24">
        <f>B24*25.4</f>
        <v>4.8259999999999996</v>
      </c>
      <c r="E24">
        <v>181</v>
      </c>
      <c r="F24">
        <v>23.114000000000001</v>
      </c>
    </row>
    <row r="25" spans="1:6" x14ac:dyDescent="0.25">
      <c r="A25">
        <v>170</v>
      </c>
      <c r="B25">
        <v>0.7</v>
      </c>
      <c r="C25">
        <f>B25*25.4</f>
        <v>17.779999999999998</v>
      </c>
      <c r="E25">
        <v>182</v>
      </c>
      <c r="F25">
        <v>0</v>
      </c>
    </row>
    <row r="26" spans="1:6" x14ac:dyDescent="0.25">
      <c r="A26">
        <v>174</v>
      </c>
      <c r="B26">
        <v>0.85</v>
      </c>
      <c r="C26">
        <f>B26*25.4</f>
        <v>21.59</v>
      </c>
      <c r="E26">
        <v>183</v>
      </c>
      <c r="F26">
        <v>25.654</v>
      </c>
    </row>
    <row r="27" spans="1:6" x14ac:dyDescent="0.25">
      <c r="A27">
        <v>175</v>
      </c>
      <c r="C27">
        <f>B27*25.4</f>
        <v>0</v>
      </c>
      <c r="E27">
        <v>184</v>
      </c>
      <c r="F27">
        <v>0</v>
      </c>
    </row>
    <row r="28" spans="1:6" x14ac:dyDescent="0.25">
      <c r="A28">
        <v>176</v>
      </c>
      <c r="B28">
        <v>0.79</v>
      </c>
      <c r="C28">
        <f>B28*25.4</f>
        <v>20.065999999999999</v>
      </c>
      <c r="E28">
        <v>187</v>
      </c>
      <c r="F28">
        <v>37.083999999999996</v>
      </c>
    </row>
    <row r="29" spans="1:6" x14ac:dyDescent="0.25">
      <c r="A29">
        <v>176</v>
      </c>
      <c r="B29">
        <v>0.32</v>
      </c>
      <c r="C29">
        <f>B29*25.4</f>
        <v>8.1280000000000001</v>
      </c>
      <c r="E29">
        <v>188</v>
      </c>
      <c r="F29">
        <v>25.4</v>
      </c>
    </row>
    <row r="30" spans="1:6" x14ac:dyDescent="0.25">
      <c r="A30">
        <v>176</v>
      </c>
      <c r="C30">
        <f>B30*25.4</f>
        <v>0</v>
      </c>
      <c r="E30">
        <v>193</v>
      </c>
      <c r="F30">
        <v>0</v>
      </c>
    </row>
    <row r="31" spans="1:6" x14ac:dyDescent="0.25">
      <c r="A31">
        <v>177</v>
      </c>
      <c r="C31">
        <f>B31*25.4</f>
        <v>0</v>
      </c>
      <c r="E31">
        <v>195</v>
      </c>
      <c r="F31">
        <v>25.4</v>
      </c>
    </row>
    <row r="32" spans="1:6" x14ac:dyDescent="0.25">
      <c r="A32">
        <v>177</v>
      </c>
      <c r="C32">
        <f>B32*25.4</f>
        <v>0</v>
      </c>
      <c r="E32">
        <v>197</v>
      </c>
      <c r="F32">
        <v>7.1120000000000001</v>
      </c>
    </row>
    <row r="33" spans="1:6" x14ac:dyDescent="0.25">
      <c r="A33">
        <v>177</v>
      </c>
      <c r="C33">
        <f>B33*25.4</f>
        <v>0</v>
      </c>
      <c r="E33">
        <v>203</v>
      </c>
      <c r="F33">
        <v>34.798000000000002</v>
      </c>
    </row>
    <row r="34" spans="1:6" x14ac:dyDescent="0.25">
      <c r="A34">
        <v>181</v>
      </c>
      <c r="B34">
        <v>0.91</v>
      </c>
      <c r="C34">
        <f>B34*25.4</f>
        <v>23.114000000000001</v>
      </c>
      <c r="E34">
        <v>204</v>
      </c>
      <c r="F34">
        <v>11.683999999999999</v>
      </c>
    </row>
    <row r="35" spans="1:6" x14ac:dyDescent="0.25">
      <c r="A35">
        <v>182</v>
      </c>
      <c r="C35">
        <f>B35*25.4</f>
        <v>0</v>
      </c>
      <c r="E35">
        <v>208</v>
      </c>
      <c r="F35">
        <v>0</v>
      </c>
    </row>
    <row r="36" spans="1:6" x14ac:dyDescent="0.25">
      <c r="A36">
        <v>183</v>
      </c>
      <c r="B36">
        <v>1.01</v>
      </c>
      <c r="C36">
        <f>B36*25.4</f>
        <v>25.654</v>
      </c>
      <c r="E36">
        <v>210</v>
      </c>
      <c r="F36">
        <v>38.353999999999999</v>
      </c>
    </row>
    <row r="37" spans="1:6" x14ac:dyDescent="0.25">
      <c r="A37">
        <v>184</v>
      </c>
      <c r="C37">
        <f>B37*25.4</f>
        <v>0</v>
      </c>
      <c r="E37">
        <v>214</v>
      </c>
      <c r="F37">
        <v>32.257999999999996</v>
      </c>
    </row>
    <row r="38" spans="1:6" x14ac:dyDescent="0.25">
      <c r="A38">
        <v>187</v>
      </c>
      <c r="B38">
        <v>0.96</v>
      </c>
      <c r="C38">
        <f>B38*25.4</f>
        <v>24.383999999999997</v>
      </c>
      <c r="E38">
        <v>215</v>
      </c>
      <c r="F38">
        <v>25.654</v>
      </c>
    </row>
    <row r="39" spans="1:6" x14ac:dyDescent="0.25">
      <c r="A39">
        <v>187</v>
      </c>
      <c r="B39">
        <v>0.5</v>
      </c>
      <c r="C39">
        <f>B39*25.4</f>
        <v>12.7</v>
      </c>
      <c r="E39">
        <v>216</v>
      </c>
      <c r="F39">
        <v>38.861999999999995</v>
      </c>
    </row>
    <row r="40" spans="1:6" x14ac:dyDescent="0.25">
      <c r="A40">
        <v>188</v>
      </c>
      <c r="C40">
        <f>B40*25.4</f>
        <v>0</v>
      </c>
      <c r="E40">
        <v>217</v>
      </c>
      <c r="F40">
        <v>32.512</v>
      </c>
    </row>
    <row r="41" spans="1:6" x14ac:dyDescent="0.25">
      <c r="A41">
        <v>188</v>
      </c>
      <c r="B41">
        <v>1</v>
      </c>
      <c r="C41">
        <f>B41*25.4</f>
        <v>25.4</v>
      </c>
      <c r="E41">
        <v>221</v>
      </c>
      <c r="F41">
        <v>29.209999999999997</v>
      </c>
    </row>
    <row r="42" spans="1:6" x14ac:dyDescent="0.25">
      <c r="A42">
        <v>193</v>
      </c>
      <c r="C42">
        <f>B42*25.4</f>
        <v>0</v>
      </c>
      <c r="E42">
        <v>223</v>
      </c>
      <c r="F42">
        <v>0</v>
      </c>
    </row>
    <row r="43" spans="1:6" x14ac:dyDescent="0.25">
      <c r="A43">
        <v>195</v>
      </c>
      <c r="B43">
        <v>1</v>
      </c>
      <c r="C43">
        <f>B43*25.4</f>
        <v>25.4</v>
      </c>
      <c r="E43">
        <v>225</v>
      </c>
      <c r="F43">
        <v>41.91</v>
      </c>
    </row>
    <row r="44" spans="1:6" x14ac:dyDescent="0.25">
      <c r="A44">
        <v>197</v>
      </c>
      <c r="C44">
        <f>B44*25.4</f>
        <v>0</v>
      </c>
      <c r="E44">
        <v>228</v>
      </c>
      <c r="F44">
        <v>0</v>
      </c>
    </row>
    <row r="45" spans="1:6" x14ac:dyDescent="0.25">
      <c r="A45">
        <v>197</v>
      </c>
      <c r="B45">
        <v>0.28000000000000003</v>
      </c>
      <c r="C45">
        <f>B45*25.4</f>
        <v>7.1120000000000001</v>
      </c>
      <c r="E45">
        <v>231</v>
      </c>
      <c r="F45">
        <v>29.971999999999998</v>
      </c>
    </row>
    <row r="46" spans="1:6" x14ac:dyDescent="0.25">
      <c r="A46">
        <v>203</v>
      </c>
      <c r="B46">
        <v>1.37</v>
      </c>
      <c r="C46">
        <f>B46*25.4</f>
        <v>34.798000000000002</v>
      </c>
      <c r="E46">
        <v>235</v>
      </c>
      <c r="F46">
        <v>35.051999999999992</v>
      </c>
    </row>
    <row r="47" spans="1:6" x14ac:dyDescent="0.25">
      <c r="A47">
        <v>204</v>
      </c>
      <c r="B47">
        <v>0.46</v>
      </c>
      <c r="C47">
        <f>B47*25.4</f>
        <v>11.683999999999999</v>
      </c>
      <c r="E47">
        <v>238</v>
      </c>
      <c r="F47">
        <v>29.209999999999997</v>
      </c>
    </row>
    <row r="48" spans="1:6" x14ac:dyDescent="0.25">
      <c r="A48">
        <v>208</v>
      </c>
      <c r="C48">
        <f>B48*25.4</f>
        <v>0</v>
      </c>
      <c r="E48">
        <v>242</v>
      </c>
      <c r="F48">
        <v>0</v>
      </c>
    </row>
    <row r="49" spans="1:6" x14ac:dyDescent="0.25">
      <c r="A49">
        <v>210</v>
      </c>
      <c r="B49">
        <v>1.51</v>
      </c>
      <c r="C49">
        <f>B49*25.4</f>
        <v>38.353999999999999</v>
      </c>
      <c r="E49">
        <v>245</v>
      </c>
      <c r="F49">
        <v>39.878</v>
      </c>
    </row>
    <row r="50" spans="1:6" x14ac:dyDescent="0.25">
      <c r="A50">
        <v>214</v>
      </c>
      <c r="B50">
        <v>1.27</v>
      </c>
      <c r="C50">
        <f>B50*25.4</f>
        <v>32.257999999999996</v>
      </c>
      <c r="E50">
        <v>250</v>
      </c>
      <c r="F50">
        <v>30.987999999999996</v>
      </c>
    </row>
    <row r="51" spans="1:6" x14ac:dyDescent="0.25">
      <c r="A51">
        <v>215</v>
      </c>
      <c r="B51">
        <v>1.01</v>
      </c>
      <c r="C51">
        <f>B51*25.4</f>
        <v>25.654</v>
      </c>
    </row>
    <row r="52" spans="1:6" x14ac:dyDescent="0.25">
      <c r="A52">
        <v>216</v>
      </c>
      <c r="B52">
        <v>1.18</v>
      </c>
      <c r="C52">
        <f>B52*25.4</f>
        <v>29.971999999999998</v>
      </c>
    </row>
    <row r="53" spans="1:6" x14ac:dyDescent="0.25">
      <c r="A53">
        <v>216</v>
      </c>
      <c r="B53">
        <v>0.35</v>
      </c>
      <c r="C53">
        <f>B53*25.4</f>
        <v>8.8899999999999988</v>
      </c>
    </row>
    <row r="54" spans="1:6" x14ac:dyDescent="0.25">
      <c r="A54">
        <v>217</v>
      </c>
      <c r="B54">
        <v>1.28</v>
      </c>
      <c r="C54">
        <f>B54*25.4</f>
        <v>32.512</v>
      </c>
    </row>
    <row r="55" spans="1:6" x14ac:dyDescent="0.25">
      <c r="A55">
        <v>221</v>
      </c>
      <c r="B55">
        <v>1.1499999999999999</v>
      </c>
      <c r="C55">
        <f>B55*25.4</f>
        <v>29.209999999999997</v>
      </c>
    </row>
    <row r="56" spans="1:6" x14ac:dyDescent="0.25">
      <c r="A56">
        <v>223</v>
      </c>
      <c r="C56">
        <f>B56*25.4</f>
        <v>0</v>
      </c>
    </row>
    <row r="57" spans="1:6" x14ac:dyDescent="0.25">
      <c r="A57">
        <v>223</v>
      </c>
      <c r="C57">
        <f>B57*25.4</f>
        <v>0</v>
      </c>
    </row>
    <row r="58" spans="1:6" x14ac:dyDescent="0.25">
      <c r="A58">
        <v>223</v>
      </c>
      <c r="C58">
        <f>B58*25.4</f>
        <v>0</v>
      </c>
    </row>
    <row r="59" spans="1:6" x14ac:dyDescent="0.25">
      <c r="A59">
        <v>225</v>
      </c>
      <c r="B59">
        <v>1.65</v>
      </c>
      <c r="C59">
        <f>B59*25.4</f>
        <v>41.91</v>
      </c>
    </row>
    <row r="60" spans="1:6" x14ac:dyDescent="0.25">
      <c r="A60">
        <v>228</v>
      </c>
      <c r="C60">
        <f>B60*25.4</f>
        <v>0</v>
      </c>
    </row>
    <row r="61" spans="1:6" x14ac:dyDescent="0.25">
      <c r="A61">
        <v>231</v>
      </c>
      <c r="B61">
        <v>1.18</v>
      </c>
      <c r="C61">
        <f>B61*25.4</f>
        <v>29.971999999999998</v>
      </c>
    </row>
    <row r="62" spans="1:6" x14ac:dyDescent="0.25">
      <c r="A62">
        <v>235</v>
      </c>
      <c r="B62">
        <v>1.38</v>
      </c>
      <c r="C62">
        <f>B62*25.4</f>
        <v>35.051999999999992</v>
      </c>
    </row>
    <row r="63" spans="1:6" x14ac:dyDescent="0.25">
      <c r="A63">
        <v>238</v>
      </c>
      <c r="B63">
        <v>1.1499999999999999</v>
      </c>
      <c r="C63">
        <f>B63*25.4</f>
        <v>29.209999999999997</v>
      </c>
    </row>
    <row r="64" spans="1:6" x14ac:dyDescent="0.25">
      <c r="A64">
        <v>242</v>
      </c>
      <c r="C64">
        <f>B64*25.4</f>
        <v>0</v>
      </c>
    </row>
    <row r="65" spans="1:6" x14ac:dyDescent="0.25">
      <c r="A65">
        <v>245</v>
      </c>
      <c r="B65">
        <v>1.57</v>
      </c>
      <c r="C65">
        <f>B65*25.4</f>
        <v>39.878</v>
      </c>
    </row>
    <row r="66" spans="1:6" x14ac:dyDescent="0.25">
      <c r="A66">
        <v>250</v>
      </c>
      <c r="B66">
        <v>1.22</v>
      </c>
      <c r="C66">
        <f>B66*25.4</f>
        <v>30.987999999999996</v>
      </c>
      <c r="D66" s="87"/>
      <c r="F66" s="87"/>
    </row>
    <row r="67" spans="1:6" x14ac:dyDescent="0.25">
      <c r="B67">
        <f>SUM(B3:B66)</f>
        <v>37.460000000000008</v>
      </c>
      <c r="C67" s="87">
        <f>SUM(C3:C66)</f>
        <v>951.48399999999992</v>
      </c>
    </row>
    <row r="69" spans="1:6" x14ac:dyDescent="0.25">
      <c r="C69">
        <f>SUM(C15:C66)</f>
        <v>774.69999999999993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D4119-20AD-4A1E-A69F-88FF1DE7D516}">
  <dimension ref="A1:R49"/>
  <sheetViews>
    <sheetView tabSelected="1" workbookViewId="0"/>
  </sheetViews>
  <sheetFormatPr defaultRowHeight="15" x14ac:dyDescent="0.25"/>
  <sheetData>
    <row r="1" spans="1:18" x14ac:dyDescent="0.25">
      <c r="A1" t="s">
        <v>220</v>
      </c>
      <c r="B1" t="s">
        <v>172</v>
      </c>
      <c r="C1" t="s">
        <v>219</v>
      </c>
      <c r="D1" t="s">
        <v>229</v>
      </c>
      <c r="E1" t="s">
        <v>230</v>
      </c>
      <c r="F1" t="s">
        <v>231</v>
      </c>
      <c r="G1" t="s">
        <v>232</v>
      </c>
      <c r="H1" t="s">
        <v>233</v>
      </c>
      <c r="I1" t="s">
        <v>234</v>
      </c>
      <c r="J1" t="s">
        <v>235</v>
      </c>
      <c r="K1" t="s">
        <v>236</v>
      </c>
      <c r="L1" t="s">
        <v>237</v>
      </c>
      <c r="M1" t="s">
        <v>238</v>
      </c>
      <c r="N1" t="s">
        <v>239</v>
      </c>
      <c r="O1" t="s">
        <v>240</v>
      </c>
      <c r="P1" t="s">
        <v>241</v>
      </c>
      <c r="Q1" t="s">
        <v>242</v>
      </c>
      <c r="R1" t="s">
        <v>221</v>
      </c>
    </row>
    <row r="2" spans="1:18" x14ac:dyDescent="0.25">
      <c r="A2">
        <v>1999</v>
      </c>
      <c r="B2">
        <v>106</v>
      </c>
      <c r="C2" s="88">
        <v>17.018000000000001</v>
      </c>
      <c r="D2" s="88">
        <v>18.287999999999997</v>
      </c>
      <c r="E2" s="88">
        <v>15.494</v>
      </c>
      <c r="F2" s="88">
        <v>14.223999999999998</v>
      </c>
      <c r="G2" s="88">
        <v>17.018000000000001</v>
      </c>
      <c r="H2" s="88">
        <v>18.287999999999997</v>
      </c>
      <c r="I2" s="88">
        <v>15.494</v>
      </c>
      <c r="J2" s="88">
        <v>14.223999999999998</v>
      </c>
      <c r="K2" s="88">
        <v>17.018000000000001</v>
      </c>
      <c r="L2" s="88">
        <v>18.287999999999997</v>
      </c>
      <c r="M2" s="88">
        <v>15.494</v>
      </c>
      <c r="N2" s="88">
        <v>14.223999999999998</v>
      </c>
      <c r="O2" s="88">
        <v>17.018000000000001</v>
      </c>
      <c r="P2" s="88">
        <v>18.287999999999997</v>
      </c>
      <c r="Q2" s="88">
        <v>15.494</v>
      </c>
      <c r="R2" s="88">
        <v>14.223999999999998</v>
      </c>
    </row>
    <row r="3" spans="1:18" x14ac:dyDescent="0.25">
      <c r="A3">
        <v>1999</v>
      </c>
      <c r="B3">
        <v>109</v>
      </c>
      <c r="C3" s="88">
        <v>12.7</v>
      </c>
      <c r="D3" s="88">
        <v>12.7</v>
      </c>
      <c r="E3" s="88">
        <v>12.7</v>
      </c>
      <c r="F3" s="88">
        <v>12.7</v>
      </c>
      <c r="G3" s="88">
        <v>12.7</v>
      </c>
      <c r="H3" s="88">
        <v>12.7</v>
      </c>
      <c r="I3" s="88">
        <v>12.7</v>
      </c>
      <c r="J3" s="88">
        <v>12.7</v>
      </c>
      <c r="K3" s="88">
        <v>12.7</v>
      </c>
      <c r="L3" s="88">
        <v>12.7</v>
      </c>
      <c r="M3" s="88">
        <v>12.7</v>
      </c>
      <c r="N3" s="88">
        <v>12.7</v>
      </c>
      <c r="O3" s="88">
        <v>12.7</v>
      </c>
      <c r="P3" s="88">
        <v>12.7</v>
      </c>
      <c r="Q3" s="88">
        <v>12.7</v>
      </c>
      <c r="R3" s="88">
        <v>12.7</v>
      </c>
    </row>
    <row r="4" spans="1:18" x14ac:dyDescent="0.25">
      <c r="A4">
        <v>1999</v>
      </c>
      <c r="B4">
        <v>110</v>
      </c>
      <c r="C4" s="88">
        <v>5.8419999999999996</v>
      </c>
      <c r="D4" s="88">
        <v>8.8899999999999988</v>
      </c>
      <c r="E4" s="88">
        <v>5.5880000000000001</v>
      </c>
      <c r="F4" s="88">
        <v>5.5880000000000001</v>
      </c>
      <c r="G4" s="88">
        <v>5.8419999999999996</v>
      </c>
      <c r="H4" s="88">
        <v>8.8899999999999988</v>
      </c>
      <c r="I4" s="88">
        <v>5.5880000000000001</v>
      </c>
      <c r="J4" s="88">
        <v>5.5880000000000001</v>
      </c>
      <c r="K4" s="88">
        <v>5.8419999999999996</v>
      </c>
      <c r="L4" s="88">
        <v>8.8899999999999988</v>
      </c>
      <c r="M4" s="88">
        <v>5.5880000000000001</v>
      </c>
      <c r="N4" s="88">
        <v>5.5880000000000001</v>
      </c>
      <c r="O4" s="88">
        <v>5.8419999999999996</v>
      </c>
      <c r="P4" s="88">
        <v>8.8899999999999988</v>
      </c>
      <c r="Q4" s="88">
        <v>5.5880000000000001</v>
      </c>
      <c r="R4" s="88">
        <v>5.5880000000000001</v>
      </c>
    </row>
    <row r="5" spans="1:18" x14ac:dyDescent="0.25">
      <c r="A5">
        <v>1999</v>
      </c>
      <c r="B5">
        <v>111</v>
      </c>
      <c r="C5" s="88">
        <v>14.224</v>
      </c>
      <c r="D5" s="88">
        <v>16.763999999999999</v>
      </c>
      <c r="E5" s="88">
        <v>11.683999999999999</v>
      </c>
      <c r="F5" s="88">
        <v>11.683999999999999</v>
      </c>
      <c r="G5" s="88">
        <v>14.224</v>
      </c>
      <c r="H5" s="88">
        <v>16.763999999999999</v>
      </c>
      <c r="I5" s="88">
        <v>11.683999999999999</v>
      </c>
      <c r="J5" s="88">
        <v>11.683999999999999</v>
      </c>
      <c r="K5" s="88">
        <v>14.224</v>
      </c>
      <c r="L5" s="88">
        <v>16.763999999999999</v>
      </c>
      <c r="M5" s="88">
        <v>11.683999999999999</v>
      </c>
      <c r="N5" s="88">
        <v>11.683999999999999</v>
      </c>
      <c r="O5" s="88">
        <v>14.224</v>
      </c>
      <c r="P5" s="88">
        <v>16.763999999999999</v>
      </c>
      <c r="Q5" s="88">
        <v>11.683999999999999</v>
      </c>
      <c r="R5" s="88">
        <v>11.683999999999999</v>
      </c>
    </row>
    <row r="6" spans="1:18" x14ac:dyDescent="0.25">
      <c r="A6">
        <v>1999</v>
      </c>
      <c r="B6">
        <v>113</v>
      </c>
      <c r="C6" s="88">
        <v>10.921999999999999</v>
      </c>
      <c r="D6" s="88">
        <v>11.683999999999999</v>
      </c>
      <c r="E6" s="88">
        <v>11.937999999999999</v>
      </c>
      <c r="F6" s="88">
        <v>11.43</v>
      </c>
      <c r="G6" s="88">
        <v>10.921999999999999</v>
      </c>
      <c r="H6" s="88">
        <v>11.683999999999999</v>
      </c>
      <c r="I6" s="88">
        <v>11.937999999999999</v>
      </c>
      <c r="J6" s="88">
        <v>11.43</v>
      </c>
      <c r="K6" s="88">
        <v>10.921999999999999</v>
      </c>
      <c r="L6" s="88">
        <v>11.683999999999999</v>
      </c>
      <c r="M6" s="88">
        <v>11.937999999999999</v>
      </c>
      <c r="N6" s="88">
        <v>11.43</v>
      </c>
      <c r="O6" s="88">
        <v>10.921999999999999</v>
      </c>
      <c r="P6" s="88">
        <v>11.683999999999999</v>
      </c>
      <c r="Q6" s="88">
        <v>11.937999999999999</v>
      </c>
      <c r="R6" s="88">
        <v>11.43</v>
      </c>
    </row>
    <row r="7" spans="1:18" x14ac:dyDescent="0.25">
      <c r="A7">
        <v>1999</v>
      </c>
      <c r="B7">
        <v>116</v>
      </c>
      <c r="C7" s="88">
        <v>28.448</v>
      </c>
      <c r="D7" s="88">
        <v>23.114000000000001</v>
      </c>
      <c r="E7" s="88">
        <v>22.352</v>
      </c>
      <c r="F7" s="88">
        <v>22.352</v>
      </c>
      <c r="G7" s="88">
        <v>28.448</v>
      </c>
      <c r="H7" s="88">
        <v>23.114000000000001</v>
      </c>
      <c r="I7" s="88">
        <v>22.352</v>
      </c>
      <c r="J7" s="88">
        <v>22.352</v>
      </c>
      <c r="K7" s="88">
        <v>28.448</v>
      </c>
      <c r="L7" s="88">
        <v>23.114000000000001</v>
      </c>
      <c r="M7" s="88">
        <v>22.352</v>
      </c>
      <c r="N7" s="88">
        <v>22.352</v>
      </c>
      <c r="O7" s="88">
        <v>28.448</v>
      </c>
      <c r="P7" s="88">
        <v>23.114000000000001</v>
      </c>
      <c r="Q7" s="88">
        <v>22.352</v>
      </c>
      <c r="R7" s="88">
        <v>22.352</v>
      </c>
    </row>
    <row r="8" spans="1:18" x14ac:dyDescent="0.25">
      <c r="A8">
        <v>1999</v>
      </c>
      <c r="B8">
        <v>118</v>
      </c>
      <c r="C8" s="88">
        <v>30.225999999999996</v>
      </c>
      <c r="D8" s="88">
        <v>30.48</v>
      </c>
      <c r="E8" s="88">
        <v>28.448</v>
      </c>
      <c r="F8" s="88">
        <v>31.241999999999997</v>
      </c>
      <c r="G8" s="88">
        <v>30.225999999999996</v>
      </c>
      <c r="H8" s="88">
        <v>30.48</v>
      </c>
      <c r="I8" s="88">
        <v>28.448</v>
      </c>
      <c r="J8" s="88">
        <v>31.241999999999997</v>
      </c>
      <c r="K8" s="88">
        <v>30.225999999999996</v>
      </c>
      <c r="L8" s="88">
        <v>30.48</v>
      </c>
      <c r="M8" s="88">
        <v>28.448</v>
      </c>
      <c r="N8" s="88">
        <v>31.241999999999997</v>
      </c>
      <c r="O8" s="88">
        <v>30.225999999999996</v>
      </c>
      <c r="P8" s="88">
        <v>30.48</v>
      </c>
      <c r="Q8" s="88">
        <v>28.448</v>
      </c>
      <c r="R8" s="88">
        <v>31.241999999999997</v>
      </c>
    </row>
    <row r="9" spans="1:18" x14ac:dyDescent="0.25">
      <c r="A9">
        <v>1999</v>
      </c>
      <c r="B9">
        <v>119</v>
      </c>
      <c r="C9" s="88">
        <v>22.352</v>
      </c>
      <c r="D9" s="88">
        <v>29.971999999999998</v>
      </c>
      <c r="E9" s="88">
        <v>21.081999999999997</v>
      </c>
      <c r="F9" s="88">
        <v>24.13</v>
      </c>
      <c r="G9" s="88">
        <v>22.352</v>
      </c>
      <c r="H9" s="88">
        <v>29.971999999999998</v>
      </c>
      <c r="I9" s="88">
        <v>21.081999999999997</v>
      </c>
      <c r="J9" s="88">
        <v>24.13</v>
      </c>
      <c r="K9" s="88">
        <v>22.352</v>
      </c>
      <c r="L9" s="88">
        <v>29.971999999999998</v>
      </c>
      <c r="M9" s="88">
        <v>21.081999999999997</v>
      </c>
      <c r="N9" s="88">
        <v>24.13</v>
      </c>
      <c r="O9" s="88">
        <v>22.352</v>
      </c>
      <c r="P9" s="88">
        <v>29.971999999999998</v>
      </c>
      <c r="Q9" s="88">
        <v>21.081999999999997</v>
      </c>
      <c r="R9" s="88">
        <v>24.13</v>
      </c>
    </row>
    <row r="10" spans="1:18" x14ac:dyDescent="0.25">
      <c r="A10">
        <v>1999</v>
      </c>
      <c r="B10">
        <v>120</v>
      </c>
      <c r="C10" s="88">
        <v>21.59</v>
      </c>
      <c r="D10" s="88">
        <v>22.097999999999999</v>
      </c>
      <c r="E10" s="88">
        <v>21.843999999999998</v>
      </c>
      <c r="F10" s="88">
        <v>22.86</v>
      </c>
      <c r="G10" s="88">
        <v>21.59</v>
      </c>
      <c r="H10" s="88">
        <v>22.097999999999999</v>
      </c>
      <c r="I10" s="88">
        <v>21.843999999999998</v>
      </c>
      <c r="J10" s="88">
        <v>22.86</v>
      </c>
      <c r="K10" s="88">
        <v>21.59</v>
      </c>
      <c r="L10" s="88">
        <v>22.097999999999999</v>
      </c>
      <c r="M10" s="88">
        <v>21.843999999999998</v>
      </c>
      <c r="N10" s="88">
        <v>22.86</v>
      </c>
      <c r="O10" s="88">
        <v>21.59</v>
      </c>
      <c r="P10" s="88">
        <v>22.097999999999999</v>
      </c>
      <c r="Q10" s="88">
        <v>21.843999999999998</v>
      </c>
      <c r="R10" s="88">
        <v>22.86</v>
      </c>
    </row>
    <row r="11" spans="1:18" x14ac:dyDescent="0.25">
      <c r="A11">
        <v>1999</v>
      </c>
      <c r="B11">
        <v>124</v>
      </c>
      <c r="C11" s="88">
        <v>22.352</v>
      </c>
      <c r="D11" s="88">
        <v>21.843999999999998</v>
      </c>
      <c r="E11" s="88">
        <v>23.114000000000001</v>
      </c>
      <c r="F11" s="88">
        <v>20.574000000000002</v>
      </c>
      <c r="G11" s="88">
        <v>22.352</v>
      </c>
      <c r="H11" s="88">
        <v>21.843999999999998</v>
      </c>
      <c r="I11" s="88">
        <v>23.114000000000001</v>
      </c>
      <c r="J11" s="88">
        <v>20.574000000000002</v>
      </c>
      <c r="K11" s="88">
        <v>22.352</v>
      </c>
      <c r="L11" s="88">
        <v>21.843999999999998</v>
      </c>
      <c r="M11" s="88">
        <v>23.114000000000001</v>
      </c>
      <c r="N11" s="88">
        <v>20.574000000000002</v>
      </c>
      <c r="O11" s="88">
        <v>22.352</v>
      </c>
      <c r="P11" s="88">
        <v>21.843999999999998</v>
      </c>
      <c r="Q11" s="88">
        <v>23.114000000000001</v>
      </c>
      <c r="R11" s="88">
        <v>20.574000000000002</v>
      </c>
    </row>
    <row r="12" spans="1:18" x14ac:dyDescent="0.25">
      <c r="A12">
        <v>1999</v>
      </c>
      <c r="B12">
        <v>148</v>
      </c>
      <c r="C12" s="88">
        <v>27.177999999999997</v>
      </c>
      <c r="D12" s="88">
        <v>24.383999999999997</v>
      </c>
      <c r="E12" s="88">
        <v>25.4</v>
      </c>
      <c r="F12" s="88">
        <v>26.669999999999995</v>
      </c>
      <c r="G12" s="88">
        <v>27.177999999999997</v>
      </c>
      <c r="H12" s="88">
        <v>24.383999999999997</v>
      </c>
      <c r="I12" s="88">
        <v>25.4</v>
      </c>
      <c r="J12" s="88">
        <v>26.669999999999995</v>
      </c>
      <c r="K12" s="88">
        <v>26.923999999999996</v>
      </c>
      <c r="L12" s="88">
        <v>25.907999999999998</v>
      </c>
      <c r="M12" s="88">
        <v>25.907999999999994</v>
      </c>
      <c r="N12" s="88">
        <v>26.161999999999995</v>
      </c>
      <c r="O12" s="88">
        <v>26.923999999999996</v>
      </c>
      <c r="P12" s="88">
        <v>25.907999999999998</v>
      </c>
      <c r="Q12" s="88">
        <v>25.907999999999994</v>
      </c>
      <c r="R12" s="88">
        <v>26.161999999999995</v>
      </c>
    </row>
    <row r="13" spans="1:18" x14ac:dyDescent="0.25">
      <c r="A13">
        <v>1999</v>
      </c>
      <c r="B13">
        <v>158</v>
      </c>
      <c r="C13" s="88">
        <v>21.59</v>
      </c>
      <c r="D13" s="88">
        <v>20.065999999999999</v>
      </c>
      <c r="E13" s="88">
        <v>20.574000000000002</v>
      </c>
      <c r="F13" s="88">
        <v>23.367999999999999</v>
      </c>
      <c r="G13" s="88">
        <v>21.59</v>
      </c>
      <c r="H13" s="88">
        <v>20.065999999999999</v>
      </c>
      <c r="I13" s="88">
        <v>20.574000000000002</v>
      </c>
      <c r="J13" s="88">
        <v>23.367999999999999</v>
      </c>
      <c r="K13" s="88">
        <v>21.59</v>
      </c>
      <c r="L13" s="88">
        <v>20.065999999999999</v>
      </c>
      <c r="M13" s="88">
        <v>20.574000000000002</v>
      </c>
      <c r="N13" s="88">
        <v>23.367999999999999</v>
      </c>
      <c r="O13" s="88">
        <v>21.59</v>
      </c>
      <c r="P13" s="88">
        <v>20.065999999999999</v>
      </c>
      <c r="Q13" s="88">
        <v>20.574000000000002</v>
      </c>
      <c r="R13" s="88">
        <v>23.367999999999999</v>
      </c>
    </row>
    <row r="14" spans="1:18" x14ac:dyDescent="0.25">
      <c r="A14">
        <v>1999</v>
      </c>
      <c r="B14">
        <v>162</v>
      </c>
      <c r="C14" s="88">
        <v>26.669999999999995</v>
      </c>
      <c r="D14" s="88">
        <v>24.891999999999999</v>
      </c>
      <c r="E14" s="88">
        <v>25.4</v>
      </c>
      <c r="F14" s="88">
        <v>27.431999999999999</v>
      </c>
      <c r="G14" s="88">
        <v>26.669999999999995</v>
      </c>
      <c r="H14" s="88">
        <v>24.891999999999999</v>
      </c>
      <c r="I14" s="88">
        <v>25.4</v>
      </c>
      <c r="J14" s="88">
        <v>27.431999999999999</v>
      </c>
      <c r="K14" s="88">
        <v>26.161999999999999</v>
      </c>
      <c r="L14" s="88">
        <v>24.891999999999999</v>
      </c>
      <c r="M14" s="88">
        <v>25.4</v>
      </c>
      <c r="N14" s="88">
        <v>27.177999999999997</v>
      </c>
      <c r="O14" s="88">
        <v>26.161999999999999</v>
      </c>
      <c r="P14" s="88">
        <v>24.891999999999999</v>
      </c>
      <c r="Q14" s="88">
        <v>25.4</v>
      </c>
      <c r="R14" s="88">
        <v>27.177999999999997</v>
      </c>
    </row>
    <row r="15" spans="1:18" x14ac:dyDescent="0.25">
      <c r="A15">
        <v>1999</v>
      </c>
      <c r="B15">
        <v>166</v>
      </c>
      <c r="C15" s="88">
        <v>0</v>
      </c>
      <c r="D15" s="88">
        <v>0</v>
      </c>
      <c r="E15" s="88">
        <v>30.225999999999996</v>
      </c>
      <c r="F15" s="88">
        <v>31.495999999999999</v>
      </c>
      <c r="G15" s="88">
        <v>0</v>
      </c>
      <c r="H15" s="88">
        <v>0</v>
      </c>
      <c r="I15" s="88">
        <v>30.225999999999996</v>
      </c>
      <c r="J15" s="88">
        <v>31.495999999999999</v>
      </c>
      <c r="K15" s="88">
        <v>0</v>
      </c>
      <c r="L15" s="88">
        <v>0</v>
      </c>
      <c r="M15" s="88">
        <v>30.225999999999996</v>
      </c>
      <c r="N15" s="88">
        <v>31.495999999999999</v>
      </c>
      <c r="O15" s="88">
        <v>0</v>
      </c>
      <c r="P15" s="88">
        <v>0</v>
      </c>
      <c r="Q15" s="88">
        <v>30.225999999999996</v>
      </c>
      <c r="R15" s="88">
        <v>31.495999999999999</v>
      </c>
    </row>
    <row r="16" spans="1:18" x14ac:dyDescent="0.25">
      <c r="A16">
        <v>1999</v>
      </c>
      <c r="B16">
        <v>167</v>
      </c>
      <c r="C16" s="88">
        <v>26.669999999999998</v>
      </c>
      <c r="D16" s="88">
        <v>28.448</v>
      </c>
      <c r="E16" s="88">
        <v>0</v>
      </c>
      <c r="F16" s="88">
        <v>0</v>
      </c>
      <c r="G16" s="88">
        <v>26.669999999999998</v>
      </c>
      <c r="H16" s="88">
        <v>28.448</v>
      </c>
      <c r="I16" s="88">
        <v>0</v>
      </c>
      <c r="J16" s="88">
        <v>0</v>
      </c>
      <c r="K16" s="88">
        <v>26.669999999999998</v>
      </c>
      <c r="L16" s="88">
        <v>28.448</v>
      </c>
      <c r="M16" s="88">
        <v>0</v>
      </c>
      <c r="N16" s="88">
        <v>0</v>
      </c>
      <c r="O16" s="88">
        <v>26.669999999999998</v>
      </c>
      <c r="P16" s="88">
        <v>28.448</v>
      </c>
      <c r="Q16" s="88">
        <v>0</v>
      </c>
      <c r="R16" s="88">
        <v>0</v>
      </c>
    </row>
    <row r="17" spans="1:18" x14ac:dyDescent="0.25">
      <c r="A17">
        <v>1999</v>
      </c>
      <c r="B17">
        <v>168</v>
      </c>
      <c r="C17" s="88">
        <v>0</v>
      </c>
      <c r="D17" s="88">
        <v>0</v>
      </c>
      <c r="E17" s="88">
        <v>0</v>
      </c>
      <c r="F17" s="88">
        <v>4.8259999999999996</v>
      </c>
      <c r="G17" s="88">
        <v>0</v>
      </c>
      <c r="H17" s="88">
        <v>0</v>
      </c>
      <c r="I17" s="88">
        <v>0</v>
      </c>
      <c r="J17" s="88">
        <v>4.8259999999999996</v>
      </c>
      <c r="K17" s="88">
        <v>0</v>
      </c>
      <c r="L17" s="88">
        <v>0</v>
      </c>
      <c r="M17" s="88">
        <v>0</v>
      </c>
      <c r="N17" s="88">
        <v>4.8259999999999996</v>
      </c>
      <c r="O17" s="88">
        <v>0</v>
      </c>
      <c r="P17" s="88">
        <v>0</v>
      </c>
      <c r="Q17" s="88">
        <v>0</v>
      </c>
      <c r="R17" s="88">
        <v>4.8259999999999996</v>
      </c>
    </row>
    <row r="18" spans="1:18" x14ac:dyDescent="0.25">
      <c r="A18">
        <v>1999</v>
      </c>
      <c r="B18">
        <v>170</v>
      </c>
      <c r="C18" s="88">
        <v>27.686</v>
      </c>
      <c r="D18" s="88">
        <v>28.448</v>
      </c>
      <c r="E18" s="88">
        <v>23.622</v>
      </c>
      <c r="F18" s="88">
        <v>17.779999999999998</v>
      </c>
      <c r="G18" s="88">
        <v>27.686</v>
      </c>
      <c r="H18" s="88">
        <v>28.448</v>
      </c>
      <c r="I18" s="88">
        <v>23.622</v>
      </c>
      <c r="J18" s="88">
        <v>17.779999999999998</v>
      </c>
      <c r="K18" s="88">
        <v>27.686</v>
      </c>
      <c r="L18" s="88">
        <v>28.448</v>
      </c>
      <c r="M18" s="88">
        <v>23.622</v>
      </c>
      <c r="N18" s="88">
        <v>17.779999999999998</v>
      </c>
      <c r="O18" s="88">
        <v>27.686</v>
      </c>
      <c r="P18" s="88">
        <v>28.448</v>
      </c>
      <c r="Q18" s="88">
        <v>23.622</v>
      </c>
      <c r="R18" s="88">
        <v>17.779999999999998</v>
      </c>
    </row>
    <row r="19" spans="1:18" x14ac:dyDescent="0.25">
      <c r="A19">
        <v>1999</v>
      </c>
      <c r="B19">
        <v>174</v>
      </c>
      <c r="C19" s="88">
        <v>0</v>
      </c>
      <c r="D19" s="88">
        <v>0</v>
      </c>
      <c r="E19" s="88">
        <v>20.32</v>
      </c>
      <c r="F19" s="88">
        <v>21.59</v>
      </c>
      <c r="G19" s="88">
        <v>0</v>
      </c>
      <c r="H19" s="88">
        <v>0</v>
      </c>
      <c r="I19" s="88">
        <v>20.32</v>
      </c>
      <c r="J19" s="88">
        <v>21.59</v>
      </c>
      <c r="K19" s="88">
        <v>0</v>
      </c>
      <c r="L19" s="88">
        <v>0</v>
      </c>
      <c r="M19" s="88">
        <v>20.32</v>
      </c>
      <c r="N19" s="88">
        <v>21.59</v>
      </c>
      <c r="O19" s="88">
        <v>0</v>
      </c>
      <c r="P19" s="88">
        <v>0</v>
      </c>
      <c r="Q19" s="88">
        <v>20.32</v>
      </c>
      <c r="R19" s="88">
        <v>21.59</v>
      </c>
    </row>
    <row r="20" spans="1:18" x14ac:dyDescent="0.25">
      <c r="A20">
        <v>1999</v>
      </c>
      <c r="B20">
        <v>175</v>
      </c>
      <c r="C20" s="88">
        <v>25.145999999999997</v>
      </c>
      <c r="D20" s="88">
        <v>27.178000000000001</v>
      </c>
      <c r="E20" s="88">
        <v>0</v>
      </c>
      <c r="F20" s="88">
        <v>0</v>
      </c>
      <c r="G20" s="88">
        <v>25.145999999999997</v>
      </c>
      <c r="H20" s="88">
        <v>27.178000000000001</v>
      </c>
      <c r="I20" s="88">
        <v>0</v>
      </c>
      <c r="J20" s="88">
        <v>0</v>
      </c>
      <c r="K20" s="88">
        <v>25.145999999999997</v>
      </c>
      <c r="L20" s="88">
        <v>27.178000000000001</v>
      </c>
      <c r="M20" s="88">
        <v>0</v>
      </c>
      <c r="N20" s="88">
        <v>0</v>
      </c>
      <c r="O20" s="88">
        <v>25.145999999999997</v>
      </c>
      <c r="P20" s="88">
        <v>27.178000000000001</v>
      </c>
      <c r="Q20" s="88">
        <v>0</v>
      </c>
      <c r="R20" s="88">
        <v>0</v>
      </c>
    </row>
    <row r="21" spans="1:18" x14ac:dyDescent="0.25">
      <c r="A21">
        <v>1999</v>
      </c>
      <c r="B21">
        <v>176</v>
      </c>
      <c r="C21" s="88">
        <v>0</v>
      </c>
      <c r="D21" s="88">
        <v>0</v>
      </c>
      <c r="E21" s="88">
        <v>27.177999999999997</v>
      </c>
      <c r="F21" s="88">
        <v>27.686</v>
      </c>
      <c r="G21" s="88">
        <v>0</v>
      </c>
      <c r="H21" s="88">
        <v>0</v>
      </c>
      <c r="I21" s="88">
        <v>27.177999999999997</v>
      </c>
      <c r="J21" s="88">
        <v>27.686</v>
      </c>
      <c r="K21" s="88">
        <v>0</v>
      </c>
      <c r="L21" s="88">
        <v>0</v>
      </c>
      <c r="M21" s="88">
        <v>25.146000000000001</v>
      </c>
      <c r="N21" s="88">
        <v>28.193999999999999</v>
      </c>
      <c r="O21" s="88">
        <v>0</v>
      </c>
      <c r="P21" s="88">
        <v>0</v>
      </c>
      <c r="Q21" s="88">
        <v>25.146000000000001</v>
      </c>
      <c r="R21" s="88">
        <v>28.193999999999999</v>
      </c>
    </row>
    <row r="22" spans="1:18" x14ac:dyDescent="0.25">
      <c r="A22">
        <v>1999</v>
      </c>
      <c r="B22">
        <v>177</v>
      </c>
      <c r="C22" s="88">
        <v>27.177999999999997</v>
      </c>
      <c r="D22" s="88">
        <v>28.701999999999998</v>
      </c>
      <c r="E22" s="88">
        <v>0</v>
      </c>
      <c r="F22" s="88">
        <v>0</v>
      </c>
      <c r="G22" s="88">
        <v>27.177999999999997</v>
      </c>
      <c r="H22" s="88">
        <v>28.701999999999998</v>
      </c>
      <c r="I22" s="88">
        <v>0</v>
      </c>
      <c r="J22" s="88">
        <v>0</v>
      </c>
      <c r="K22" s="88">
        <v>27.177999999999997</v>
      </c>
      <c r="L22" s="88">
        <v>29.717999999999996</v>
      </c>
      <c r="M22" s="88">
        <v>0</v>
      </c>
      <c r="N22" s="88">
        <v>0</v>
      </c>
      <c r="O22" s="88">
        <v>27.177999999999997</v>
      </c>
      <c r="P22" s="88">
        <v>29.717999999999996</v>
      </c>
      <c r="Q22" s="88">
        <v>0</v>
      </c>
      <c r="R22" s="88">
        <v>0</v>
      </c>
    </row>
    <row r="23" spans="1:18" x14ac:dyDescent="0.25">
      <c r="A23">
        <v>1999</v>
      </c>
      <c r="B23">
        <v>181</v>
      </c>
      <c r="C23" s="88">
        <v>0</v>
      </c>
      <c r="D23" s="88">
        <v>0</v>
      </c>
      <c r="E23" s="88">
        <v>23.114000000000001</v>
      </c>
      <c r="F23" s="88">
        <v>23.114000000000001</v>
      </c>
      <c r="G23" s="88">
        <v>0</v>
      </c>
      <c r="H23" s="88">
        <v>0</v>
      </c>
      <c r="I23" s="88">
        <v>23.114000000000001</v>
      </c>
      <c r="J23" s="88">
        <v>23.114000000000001</v>
      </c>
      <c r="K23" s="88">
        <v>0</v>
      </c>
      <c r="L23" s="88">
        <v>0</v>
      </c>
      <c r="M23" s="88">
        <v>23.114000000000001</v>
      </c>
      <c r="N23" s="88">
        <v>23.114000000000001</v>
      </c>
      <c r="O23" s="88">
        <v>0</v>
      </c>
      <c r="P23" s="88">
        <v>0</v>
      </c>
      <c r="Q23" s="88">
        <v>23.114000000000001</v>
      </c>
      <c r="R23" s="88">
        <v>23.114000000000001</v>
      </c>
    </row>
    <row r="24" spans="1:18" x14ac:dyDescent="0.25">
      <c r="A24">
        <v>1999</v>
      </c>
      <c r="B24">
        <v>182</v>
      </c>
      <c r="C24" s="88">
        <v>22.605999999999998</v>
      </c>
      <c r="D24" s="88">
        <v>25.907999999999998</v>
      </c>
      <c r="E24" s="88">
        <v>0</v>
      </c>
      <c r="F24" s="88">
        <v>0</v>
      </c>
      <c r="G24" s="88">
        <v>22.605999999999998</v>
      </c>
      <c r="H24" s="88">
        <v>25.907999999999998</v>
      </c>
      <c r="I24" s="88">
        <v>0</v>
      </c>
      <c r="J24" s="88">
        <v>0</v>
      </c>
      <c r="K24" s="88">
        <v>22.605999999999998</v>
      </c>
      <c r="L24" s="88">
        <v>25.907999999999998</v>
      </c>
      <c r="M24" s="88">
        <v>0</v>
      </c>
      <c r="N24" s="88">
        <v>0</v>
      </c>
      <c r="O24" s="88">
        <v>22.605999999999998</v>
      </c>
      <c r="P24" s="88">
        <v>25.907999999999998</v>
      </c>
      <c r="Q24" s="88">
        <v>0</v>
      </c>
      <c r="R24" s="88">
        <v>0</v>
      </c>
    </row>
    <row r="25" spans="1:18" x14ac:dyDescent="0.25">
      <c r="A25">
        <v>1999</v>
      </c>
      <c r="B25">
        <v>183</v>
      </c>
      <c r="C25" s="88">
        <v>0</v>
      </c>
      <c r="D25" s="88">
        <v>0</v>
      </c>
      <c r="E25" s="88">
        <v>23.367999999999999</v>
      </c>
      <c r="F25" s="88">
        <v>25.654</v>
      </c>
      <c r="G25" s="88">
        <v>0</v>
      </c>
      <c r="H25" s="88">
        <v>0</v>
      </c>
      <c r="I25" s="88">
        <v>23.367999999999999</v>
      </c>
      <c r="J25" s="88">
        <v>25.654</v>
      </c>
      <c r="K25" s="88">
        <v>0</v>
      </c>
      <c r="L25" s="88">
        <v>0</v>
      </c>
      <c r="M25" s="88">
        <v>23.367999999999999</v>
      </c>
      <c r="N25" s="88">
        <v>25.654</v>
      </c>
      <c r="O25" s="88">
        <v>0</v>
      </c>
      <c r="P25" s="88">
        <v>0</v>
      </c>
      <c r="Q25" s="88">
        <v>23.367999999999999</v>
      </c>
      <c r="R25" s="88">
        <v>25.654</v>
      </c>
    </row>
    <row r="26" spans="1:18" x14ac:dyDescent="0.25">
      <c r="A26">
        <v>1999</v>
      </c>
      <c r="B26">
        <v>184</v>
      </c>
      <c r="C26" s="88">
        <v>26.923999999999999</v>
      </c>
      <c r="D26" s="88">
        <v>22.605999999999998</v>
      </c>
      <c r="E26" s="88">
        <v>0</v>
      </c>
      <c r="F26" s="88">
        <v>0</v>
      </c>
      <c r="G26" s="88">
        <v>26.923999999999999</v>
      </c>
      <c r="H26" s="88">
        <v>22.605999999999998</v>
      </c>
      <c r="I26" s="88">
        <v>0</v>
      </c>
      <c r="J26" s="88">
        <v>0</v>
      </c>
      <c r="K26" s="88">
        <v>26.923999999999999</v>
      </c>
      <c r="L26" s="88">
        <v>22.605999999999998</v>
      </c>
      <c r="M26" s="88">
        <v>0</v>
      </c>
      <c r="N26" s="88">
        <v>0</v>
      </c>
      <c r="O26" s="88">
        <v>26.923999999999999</v>
      </c>
      <c r="P26" s="88">
        <v>22.605999999999998</v>
      </c>
      <c r="Q26" s="88">
        <v>0</v>
      </c>
      <c r="R26" s="88">
        <v>0</v>
      </c>
    </row>
    <row r="27" spans="1:18" x14ac:dyDescent="0.25">
      <c r="A27">
        <v>1999</v>
      </c>
      <c r="B27">
        <v>187</v>
      </c>
      <c r="C27" s="88">
        <v>12.7</v>
      </c>
      <c r="D27" s="88">
        <v>12.7</v>
      </c>
      <c r="E27" s="88">
        <v>35.305999999999997</v>
      </c>
      <c r="F27" s="88">
        <v>37.083999999999996</v>
      </c>
      <c r="G27" s="88">
        <v>12.7</v>
      </c>
      <c r="H27" s="88">
        <v>12.7</v>
      </c>
      <c r="I27" s="88">
        <v>35.305999999999997</v>
      </c>
      <c r="J27" s="88">
        <v>37.083999999999996</v>
      </c>
      <c r="K27" s="88">
        <v>12.7</v>
      </c>
      <c r="L27" s="88">
        <v>12.7</v>
      </c>
      <c r="M27" s="88">
        <v>35.305999999999997</v>
      </c>
      <c r="N27" s="88">
        <v>37.083999999999996</v>
      </c>
      <c r="O27" s="88">
        <v>12.7</v>
      </c>
      <c r="P27" s="88">
        <v>12.7</v>
      </c>
      <c r="Q27" s="88">
        <v>35.305999999999997</v>
      </c>
      <c r="R27" s="88">
        <v>37.083999999999996</v>
      </c>
    </row>
    <row r="28" spans="1:18" x14ac:dyDescent="0.25">
      <c r="A28">
        <v>1999</v>
      </c>
      <c r="B28">
        <v>188</v>
      </c>
      <c r="C28" s="88">
        <v>38.607999999999997</v>
      </c>
      <c r="D28" s="88">
        <v>41.402000000000001</v>
      </c>
      <c r="E28" s="88">
        <v>25.4</v>
      </c>
      <c r="F28" s="88">
        <v>25.4</v>
      </c>
      <c r="G28" s="88">
        <v>38.607999999999997</v>
      </c>
      <c r="H28" s="88">
        <v>41.402000000000001</v>
      </c>
      <c r="I28" s="88">
        <v>25.4</v>
      </c>
      <c r="J28" s="88">
        <v>25.4</v>
      </c>
      <c r="K28" s="88">
        <v>38.607999999999997</v>
      </c>
      <c r="L28" s="88">
        <v>41.402000000000001</v>
      </c>
      <c r="M28" s="88">
        <v>25.4</v>
      </c>
      <c r="N28" s="88">
        <v>25.4</v>
      </c>
      <c r="O28" s="88">
        <v>38.607999999999997</v>
      </c>
      <c r="P28" s="88">
        <v>41.402000000000001</v>
      </c>
      <c r="Q28" s="88">
        <v>25.4</v>
      </c>
      <c r="R28" s="88">
        <v>25.4</v>
      </c>
    </row>
    <row r="29" spans="1:18" x14ac:dyDescent="0.25">
      <c r="A29">
        <v>1999</v>
      </c>
      <c r="B29">
        <v>193</v>
      </c>
      <c r="C29" s="88">
        <v>30.479999999999997</v>
      </c>
      <c r="D29" s="88">
        <v>27.178000000000001</v>
      </c>
      <c r="E29" s="88">
        <v>0</v>
      </c>
      <c r="F29" s="88">
        <v>0</v>
      </c>
      <c r="G29" s="88">
        <v>0</v>
      </c>
      <c r="H29" s="88">
        <v>0</v>
      </c>
      <c r="I29" s="88">
        <v>28.194000000000003</v>
      </c>
      <c r="J29" s="88">
        <v>30.225999999999996</v>
      </c>
      <c r="K29" s="88">
        <v>30.479999999999997</v>
      </c>
      <c r="L29" s="88">
        <v>0</v>
      </c>
      <c r="M29" s="88">
        <v>0</v>
      </c>
      <c r="N29" s="88">
        <v>30.225999999999996</v>
      </c>
      <c r="O29" s="88">
        <v>0</v>
      </c>
      <c r="P29" s="88">
        <v>27.178000000000001</v>
      </c>
      <c r="Q29" s="88">
        <v>28.194000000000003</v>
      </c>
      <c r="R29" s="88">
        <v>0</v>
      </c>
    </row>
    <row r="30" spans="1:18" x14ac:dyDescent="0.25">
      <c r="A30">
        <v>1999</v>
      </c>
      <c r="B30">
        <v>195</v>
      </c>
      <c r="C30" s="88">
        <v>25.4</v>
      </c>
      <c r="D30" s="88">
        <v>25.4</v>
      </c>
      <c r="E30" s="88">
        <v>25.4</v>
      </c>
      <c r="F30" s="88">
        <v>25.4</v>
      </c>
      <c r="G30" s="88">
        <v>25.4</v>
      </c>
      <c r="H30" s="88">
        <v>25.4</v>
      </c>
      <c r="I30" s="88">
        <v>25.4</v>
      </c>
      <c r="J30" s="88">
        <v>25.4</v>
      </c>
      <c r="K30" s="88">
        <v>25.4</v>
      </c>
      <c r="L30" s="88">
        <v>25.4</v>
      </c>
      <c r="M30" s="88">
        <v>25.4</v>
      </c>
      <c r="N30" s="88">
        <v>25.4</v>
      </c>
      <c r="O30" s="88">
        <v>25.4</v>
      </c>
      <c r="P30" s="88">
        <v>25.4</v>
      </c>
      <c r="Q30" s="88">
        <v>25.4</v>
      </c>
      <c r="R30" s="88">
        <v>25.4</v>
      </c>
    </row>
    <row r="31" spans="1:18" x14ac:dyDescent="0.25">
      <c r="A31">
        <v>1999</v>
      </c>
      <c r="B31">
        <v>197</v>
      </c>
      <c r="C31" s="88">
        <v>7.1120000000000001</v>
      </c>
      <c r="D31" s="88">
        <v>7.3659999999999988</v>
      </c>
      <c r="E31" s="88">
        <v>6.8579999999999997</v>
      </c>
      <c r="F31" s="88">
        <v>6.0959999999999992</v>
      </c>
      <c r="G31" s="88">
        <v>7.1120000000000001</v>
      </c>
      <c r="H31" s="88">
        <v>7.3659999999999988</v>
      </c>
      <c r="I31" s="88">
        <v>6.8579999999999997</v>
      </c>
      <c r="J31" s="88">
        <v>6.0959999999999992</v>
      </c>
      <c r="K31" s="88">
        <v>7.6199999999999992</v>
      </c>
      <c r="L31" s="88">
        <v>7.1120000000000001</v>
      </c>
      <c r="M31" s="88">
        <v>7.1120000000000001</v>
      </c>
      <c r="N31" s="88">
        <v>7.1120000000000001</v>
      </c>
      <c r="O31" s="88">
        <v>7.6199999999999992</v>
      </c>
      <c r="P31" s="88">
        <v>7.1120000000000001</v>
      </c>
      <c r="Q31" s="88">
        <v>7.1120000000000001</v>
      </c>
      <c r="R31" s="88">
        <v>7.1120000000000001</v>
      </c>
    </row>
    <row r="32" spans="1:18" x14ac:dyDescent="0.25">
      <c r="A32">
        <v>1999</v>
      </c>
      <c r="B32">
        <v>203</v>
      </c>
      <c r="C32" s="88">
        <v>29.717999999999996</v>
      </c>
      <c r="D32" s="88">
        <v>29.209999999999997</v>
      </c>
      <c r="E32" s="88">
        <v>29.209999999999997</v>
      </c>
      <c r="F32" s="88">
        <v>34.798000000000002</v>
      </c>
      <c r="G32" s="88">
        <v>29.717999999999996</v>
      </c>
      <c r="H32" s="88">
        <v>29.209999999999997</v>
      </c>
      <c r="I32" s="88">
        <v>29.209999999999997</v>
      </c>
      <c r="J32" s="88">
        <v>34.798000000000002</v>
      </c>
      <c r="K32" s="88">
        <v>29.717999999999996</v>
      </c>
      <c r="L32" s="88">
        <v>29.209999999999997</v>
      </c>
      <c r="M32" s="88">
        <v>29.209999999999997</v>
      </c>
      <c r="N32" s="88">
        <v>34.798000000000002</v>
      </c>
      <c r="O32" s="88">
        <v>29.717999999999996</v>
      </c>
      <c r="P32" s="88">
        <v>29.209999999999997</v>
      </c>
      <c r="Q32" s="88">
        <v>29.209999999999997</v>
      </c>
      <c r="R32" s="88">
        <v>34.798000000000002</v>
      </c>
    </row>
    <row r="33" spans="1:18" x14ac:dyDescent="0.25">
      <c r="A33">
        <v>1999</v>
      </c>
      <c r="B33">
        <v>204</v>
      </c>
      <c r="C33" s="88">
        <v>11.683999999999999</v>
      </c>
      <c r="D33" s="88">
        <v>12.191999999999998</v>
      </c>
      <c r="E33" s="88">
        <v>11.43</v>
      </c>
      <c r="F33" s="88">
        <v>11.683999999999999</v>
      </c>
      <c r="G33" s="88">
        <v>11.683999999999999</v>
      </c>
      <c r="H33" s="88">
        <v>12.191999999999998</v>
      </c>
      <c r="I33" s="88">
        <v>11.43</v>
      </c>
      <c r="J33" s="88">
        <v>11.683999999999999</v>
      </c>
      <c r="K33" s="88">
        <v>11.683999999999999</v>
      </c>
      <c r="L33" s="88">
        <v>12.191999999999998</v>
      </c>
      <c r="M33" s="88">
        <v>11.43</v>
      </c>
      <c r="N33" s="88">
        <v>11.683999999999999</v>
      </c>
      <c r="O33" s="88">
        <v>11.683999999999999</v>
      </c>
      <c r="P33" s="88">
        <v>12.191999999999998</v>
      </c>
      <c r="Q33" s="88">
        <v>11.43</v>
      </c>
      <c r="R33" s="88">
        <v>11.683999999999999</v>
      </c>
    </row>
    <row r="34" spans="1:18" x14ac:dyDescent="0.25">
      <c r="A34">
        <v>1999</v>
      </c>
      <c r="B34">
        <v>208</v>
      </c>
      <c r="C34" s="88">
        <v>30.225999999999996</v>
      </c>
      <c r="D34" s="88">
        <v>25.4</v>
      </c>
      <c r="E34" s="88">
        <v>0</v>
      </c>
      <c r="F34" s="88">
        <v>0</v>
      </c>
      <c r="G34" s="88">
        <v>0</v>
      </c>
      <c r="H34" s="88">
        <v>0</v>
      </c>
      <c r="I34" s="88">
        <v>28.448</v>
      </c>
      <c r="J34" s="88">
        <v>28.701999999999995</v>
      </c>
      <c r="K34" s="88">
        <v>30.225999999999996</v>
      </c>
      <c r="L34" s="88">
        <v>0</v>
      </c>
      <c r="M34" s="88">
        <v>0</v>
      </c>
      <c r="N34" s="88">
        <v>28.701999999999995</v>
      </c>
      <c r="O34" s="88">
        <v>0</v>
      </c>
      <c r="P34" s="88">
        <v>25.4</v>
      </c>
      <c r="Q34" s="88">
        <v>28.448</v>
      </c>
      <c r="R34" s="88">
        <v>0</v>
      </c>
    </row>
    <row r="35" spans="1:18" x14ac:dyDescent="0.25">
      <c r="A35">
        <v>1999</v>
      </c>
      <c r="B35">
        <v>210</v>
      </c>
      <c r="C35" s="88">
        <v>38.862000000000002</v>
      </c>
      <c r="D35" s="88">
        <v>37.337999999999994</v>
      </c>
      <c r="E35" s="88">
        <v>37.337999999999994</v>
      </c>
      <c r="F35" s="88">
        <v>38.353999999999999</v>
      </c>
      <c r="G35" s="88">
        <v>38.862000000000002</v>
      </c>
      <c r="H35" s="88">
        <v>37.337999999999994</v>
      </c>
      <c r="I35" s="88">
        <v>37.337999999999994</v>
      </c>
      <c r="J35" s="88">
        <v>38.353999999999999</v>
      </c>
      <c r="K35" s="88">
        <v>38.862000000000002</v>
      </c>
      <c r="L35" s="88">
        <v>37.337999999999994</v>
      </c>
      <c r="M35" s="88">
        <v>37.337999999999994</v>
      </c>
      <c r="N35" s="88">
        <v>38.353999999999999</v>
      </c>
      <c r="O35" s="88">
        <v>38.862000000000002</v>
      </c>
      <c r="P35" s="88">
        <v>37.337999999999994</v>
      </c>
      <c r="Q35" s="88">
        <v>37.337999999999994</v>
      </c>
      <c r="R35" s="88">
        <v>38.353999999999999</v>
      </c>
    </row>
    <row r="36" spans="1:18" x14ac:dyDescent="0.25">
      <c r="A36">
        <v>1999</v>
      </c>
      <c r="B36">
        <v>214</v>
      </c>
      <c r="C36" s="88">
        <v>0</v>
      </c>
      <c r="D36" s="88">
        <v>0</v>
      </c>
      <c r="E36" s="88">
        <v>25.907999999999998</v>
      </c>
      <c r="F36" s="88">
        <v>32.257999999999996</v>
      </c>
      <c r="G36" s="88">
        <v>28.448</v>
      </c>
      <c r="H36" s="88">
        <v>26.416</v>
      </c>
      <c r="I36" s="88">
        <v>0</v>
      </c>
      <c r="J36" s="88">
        <v>0</v>
      </c>
      <c r="K36" s="88">
        <v>0</v>
      </c>
      <c r="L36" s="88">
        <v>26.416</v>
      </c>
      <c r="M36" s="88">
        <v>25.907999999999998</v>
      </c>
      <c r="N36" s="88">
        <v>0</v>
      </c>
      <c r="O36" s="88">
        <v>28.448</v>
      </c>
      <c r="P36" s="88">
        <v>0</v>
      </c>
      <c r="Q36" s="88">
        <v>0</v>
      </c>
      <c r="R36" s="88">
        <v>32.257999999999996</v>
      </c>
    </row>
    <row r="37" spans="1:18" x14ac:dyDescent="0.25">
      <c r="A37">
        <v>1999</v>
      </c>
      <c r="B37">
        <v>215</v>
      </c>
      <c r="C37" s="88">
        <v>26.923999999999999</v>
      </c>
      <c r="D37" s="88">
        <v>25.145999999999997</v>
      </c>
      <c r="E37" s="88">
        <v>24.13</v>
      </c>
      <c r="F37" s="88">
        <v>25.654</v>
      </c>
      <c r="G37" s="88">
        <v>26.923999999999999</v>
      </c>
      <c r="H37" s="88">
        <v>25.145999999999997</v>
      </c>
      <c r="I37" s="88">
        <v>24.13</v>
      </c>
      <c r="J37" s="88">
        <v>25.654</v>
      </c>
      <c r="K37" s="88">
        <v>26.923999999999999</v>
      </c>
      <c r="L37" s="88">
        <v>25.145999999999997</v>
      </c>
      <c r="M37" s="88">
        <v>24.13</v>
      </c>
      <c r="N37" s="88">
        <v>25.654</v>
      </c>
      <c r="O37" s="88">
        <v>26.923999999999999</v>
      </c>
      <c r="P37" s="88">
        <v>25.145999999999997</v>
      </c>
      <c r="Q37" s="88">
        <v>24.13</v>
      </c>
      <c r="R37" s="88">
        <v>25.654</v>
      </c>
    </row>
    <row r="38" spans="1:18" x14ac:dyDescent="0.25">
      <c r="A38">
        <v>1999</v>
      </c>
      <c r="B38">
        <v>216</v>
      </c>
      <c r="C38" s="88">
        <v>8.8899999999999988</v>
      </c>
      <c r="D38" s="88">
        <v>8.8899999999999988</v>
      </c>
      <c r="E38" s="88">
        <v>38.353999999999992</v>
      </c>
      <c r="F38" s="88">
        <v>38.861999999999995</v>
      </c>
      <c r="G38" s="88">
        <v>42.926000000000002</v>
      </c>
      <c r="H38" s="88">
        <v>36.067999999999998</v>
      </c>
      <c r="I38" s="88">
        <v>8.8899999999999988</v>
      </c>
      <c r="J38" s="88">
        <v>8.8899999999999988</v>
      </c>
      <c r="K38" s="88">
        <v>8.8899999999999988</v>
      </c>
      <c r="L38" s="88">
        <v>36.067999999999998</v>
      </c>
      <c r="M38" s="88">
        <v>38.353999999999992</v>
      </c>
      <c r="N38" s="88">
        <v>8.8899999999999988</v>
      </c>
      <c r="O38" s="88">
        <v>42.926000000000002</v>
      </c>
      <c r="P38" s="88">
        <v>8.8899999999999988</v>
      </c>
      <c r="Q38" s="88">
        <v>8.8899999999999988</v>
      </c>
      <c r="R38" s="88">
        <v>38.861999999999995</v>
      </c>
    </row>
    <row r="39" spans="1:18" x14ac:dyDescent="0.25">
      <c r="A39">
        <v>1999</v>
      </c>
      <c r="B39">
        <v>217</v>
      </c>
      <c r="C39" s="88">
        <v>33.019999999999996</v>
      </c>
      <c r="D39" s="88">
        <v>27.686</v>
      </c>
      <c r="E39" s="88">
        <v>30.225999999999996</v>
      </c>
      <c r="F39" s="88">
        <v>32.512</v>
      </c>
      <c r="G39" s="88">
        <v>33.019999999999996</v>
      </c>
      <c r="H39" s="88">
        <v>27.686</v>
      </c>
      <c r="I39" s="88">
        <v>30.225999999999996</v>
      </c>
      <c r="J39" s="88">
        <v>32.512</v>
      </c>
      <c r="K39" s="88">
        <v>33.019999999999996</v>
      </c>
      <c r="L39" s="88">
        <v>27.686</v>
      </c>
      <c r="M39" s="88">
        <v>30.225999999999996</v>
      </c>
      <c r="N39" s="88">
        <v>32.512</v>
      </c>
      <c r="O39" s="88">
        <v>33.019999999999996</v>
      </c>
      <c r="P39" s="88">
        <v>27.686</v>
      </c>
      <c r="Q39" s="88">
        <v>30.225999999999996</v>
      </c>
      <c r="R39" s="88">
        <v>32.512</v>
      </c>
    </row>
    <row r="40" spans="1:18" x14ac:dyDescent="0.25">
      <c r="A40">
        <v>1999</v>
      </c>
      <c r="B40">
        <v>221</v>
      </c>
      <c r="C40" s="88">
        <v>27.686</v>
      </c>
      <c r="D40" s="88">
        <v>25.654</v>
      </c>
      <c r="E40" s="88">
        <v>26.161999999999999</v>
      </c>
      <c r="F40" s="88">
        <v>29.209999999999997</v>
      </c>
      <c r="G40" s="88">
        <v>27.686</v>
      </c>
      <c r="H40" s="88">
        <v>25.654</v>
      </c>
      <c r="I40" s="88">
        <v>26.161999999999999</v>
      </c>
      <c r="J40" s="88">
        <v>29.209999999999997</v>
      </c>
      <c r="K40" s="88">
        <v>27.686</v>
      </c>
      <c r="L40" s="88">
        <v>25.654</v>
      </c>
      <c r="M40" s="88">
        <v>26.161999999999999</v>
      </c>
      <c r="N40" s="88">
        <v>29.209999999999997</v>
      </c>
      <c r="O40" s="88">
        <v>27.686</v>
      </c>
      <c r="P40" s="88">
        <v>25.654</v>
      </c>
      <c r="Q40" s="88">
        <v>26.161999999999999</v>
      </c>
      <c r="R40" s="88">
        <v>29.209999999999997</v>
      </c>
    </row>
    <row r="41" spans="1:18" x14ac:dyDescent="0.25">
      <c r="A41">
        <v>1999</v>
      </c>
      <c r="B41">
        <v>223</v>
      </c>
      <c r="C41" s="88">
        <v>42.671999999999997</v>
      </c>
      <c r="D41" s="88">
        <v>40.893999999999998</v>
      </c>
      <c r="E41" s="88">
        <v>0</v>
      </c>
      <c r="F41" s="88">
        <v>28.955999999999996</v>
      </c>
      <c r="G41" s="88">
        <v>0</v>
      </c>
      <c r="H41" s="88">
        <v>0</v>
      </c>
      <c r="I41" s="88">
        <v>40.64</v>
      </c>
      <c r="J41" s="88">
        <v>49.53</v>
      </c>
      <c r="K41" s="88">
        <v>42.671999999999997</v>
      </c>
      <c r="L41" s="88">
        <v>0</v>
      </c>
      <c r="M41" s="88">
        <v>0</v>
      </c>
      <c r="N41" s="88">
        <v>43.941999999999993</v>
      </c>
      <c r="O41" s="88">
        <v>0</v>
      </c>
      <c r="P41" s="88">
        <v>40.893999999999998</v>
      </c>
      <c r="Q41" s="88">
        <v>40.64</v>
      </c>
      <c r="R41" s="88">
        <v>0</v>
      </c>
    </row>
    <row r="42" spans="1:18" x14ac:dyDescent="0.25">
      <c r="A42">
        <v>1999</v>
      </c>
      <c r="B42">
        <v>225</v>
      </c>
      <c r="C42" s="88">
        <v>38.862000000000002</v>
      </c>
      <c r="D42" s="88">
        <v>36.067999999999998</v>
      </c>
      <c r="E42" s="88">
        <v>35.305999999999997</v>
      </c>
      <c r="F42" s="88">
        <v>41.91</v>
      </c>
      <c r="G42" s="88">
        <v>38.862000000000002</v>
      </c>
      <c r="H42" s="88">
        <v>36.067999999999998</v>
      </c>
      <c r="I42" s="88">
        <v>35.305999999999997</v>
      </c>
      <c r="J42" s="88">
        <v>41.91</v>
      </c>
      <c r="K42" s="88">
        <v>38.862000000000002</v>
      </c>
      <c r="L42" s="88">
        <v>35.559999999999995</v>
      </c>
      <c r="M42" s="88">
        <v>35.305999999999997</v>
      </c>
      <c r="N42" s="88">
        <v>41.91</v>
      </c>
      <c r="O42" s="88">
        <v>38.862000000000002</v>
      </c>
      <c r="P42" s="88">
        <v>36.067999999999998</v>
      </c>
      <c r="Q42" s="88">
        <v>35.305999999999997</v>
      </c>
      <c r="R42" s="88">
        <v>41.91</v>
      </c>
    </row>
    <row r="43" spans="1:18" x14ac:dyDescent="0.25">
      <c r="A43">
        <v>1999</v>
      </c>
      <c r="B43">
        <v>228</v>
      </c>
      <c r="C43" s="88">
        <v>28.955999999999996</v>
      </c>
      <c r="D43" s="88">
        <v>26.923999999999999</v>
      </c>
      <c r="E43" s="88">
        <v>0</v>
      </c>
      <c r="F43" s="88">
        <v>0</v>
      </c>
      <c r="G43" s="88">
        <v>0</v>
      </c>
      <c r="H43" s="88">
        <v>0</v>
      </c>
      <c r="I43" s="88">
        <v>24.891999999999999</v>
      </c>
      <c r="J43" s="88">
        <v>29.717999999999996</v>
      </c>
      <c r="K43" s="88">
        <v>28.955999999999996</v>
      </c>
      <c r="L43" s="88">
        <v>0</v>
      </c>
      <c r="M43" s="88">
        <v>0</v>
      </c>
      <c r="N43" s="88">
        <v>29.717999999999996</v>
      </c>
      <c r="O43" s="88">
        <v>0</v>
      </c>
      <c r="P43" s="88">
        <v>26.923999999999999</v>
      </c>
      <c r="Q43" s="88">
        <v>24.891999999999999</v>
      </c>
      <c r="R43" s="88">
        <v>0</v>
      </c>
    </row>
    <row r="44" spans="1:18" x14ac:dyDescent="0.25">
      <c r="A44">
        <v>1999</v>
      </c>
      <c r="B44">
        <v>231</v>
      </c>
      <c r="C44" s="88">
        <v>26.161999999999999</v>
      </c>
      <c r="D44" s="88">
        <v>24.637999999999998</v>
      </c>
      <c r="E44" s="88">
        <v>25.907999999999998</v>
      </c>
      <c r="F44" s="88">
        <v>29.971999999999998</v>
      </c>
      <c r="G44" s="88">
        <v>26.161999999999999</v>
      </c>
      <c r="H44" s="88">
        <v>24.637999999999998</v>
      </c>
      <c r="I44" s="88">
        <v>25.907999999999998</v>
      </c>
      <c r="J44" s="88">
        <v>29.971999999999998</v>
      </c>
      <c r="K44" s="88">
        <v>26.161999999999999</v>
      </c>
      <c r="L44" s="88">
        <v>24.637999999999998</v>
      </c>
      <c r="M44" s="88">
        <v>25.907999999999998</v>
      </c>
      <c r="N44" s="88">
        <v>29.971999999999998</v>
      </c>
      <c r="O44" s="88">
        <v>26.161999999999999</v>
      </c>
      <c r="P44" s="88">
        <v>24.637999999999998</v>
      </c>
      <c r="Q44" s="88">
        <v>25.907999999999998</v>
      </c>
      <c r="R44" s="88">
        <v>29.971999999999998</v>
      </c>
    </row>
    <row r="45" spans="1:18" x14ac:dyDescent="0.25">
      <c r="A45">
        <v>1999</v>
      </c>
      <c r="B45">
        <v>235</v>
      </c>
      <c r="C45" s="88">
        <v>35.305999999999997</v>
      </c>
      <c r="D45" s="88">
        <v>34.036000000000001</v>
      </c>
      <c r="E45" s="88">
        <v>38.099999999999994</v>
      </c>
      <c r="F45" s="88">
        <v>35.051999999999992</v>
      </c>
      <c r="G45" s="88">
        <v>35.305999999999997</v>
      </c>
      <c r="H45" s="88">
        <v>34.036000000000001</v>
      </c>
      <c r="I45" s="88">
        <v>38.099999999999994</v>
      </c>
      <c r="J45" s="88">
        <v>35.051999999999992</v>
      </c>
      <c r="K45" s="88">
        <v>35.305999999999997</v>
      </c>
      <c r="L45" s="88">
        <v>34.036000000000001</v>
      </c>
      <c r="M45" s="88">
        <v>38.099999999999994</v>
      </c>
      <c r="N45" s="88">
        <v>35.051999999999992</v>
      </c>
      <c r="O45" s="88">
        <v>35.305999999999997</v>
      </c>
      <c r="P45" s="88">
        <v>34.036000000000001</v>
      </c>
      <c r="Q45" s="88">
        <v>38.099999999999994</v>
      </c>
      <c r="R45" s="88">
        <v>35.051999999999992</v>
      </c>
    </row>
    <row r="46" spans="1:18" x14ac:dyDescent="0.25">
      <c r="A46">
        <v>1999</v>
      </c>
      <c r="B46">
        <v>238</v>
      </c>
      <c r="C46" s="88">
        <v>24.383999999999997</v>
      </c>
      <c r="D46" s="88">
        <v>24.637999999999998</v>
      </c>
      <c r="E46" s="88">
        <v>25.654</v>
      </c>
      <c r="F46" s="88">
        <v>29.209999999999997</v>
      </c>
      <c r="G46" s="88">
        <v>24.383999999999997</v>
      </c>
      <c r="H46" s="88">
        <v>24.637999999999998</v>
      </c>
      <c r="I46" s="88">
        <v>25.654</v>
      </c>
      <c r="J46" s="88">
        <v>29.209999999999997</v>
      </c>
      <c r="K46" s="88">
        <v>24.383999999999997</v>
      </c>
      <c r="L46" s="88">
        <v>24.637999999999998</v>
      </c>
      <c r="M46" s="88">
        <v>25.654</v>
      </c>
      <c r="N46" s="88">
        <v>29.209999999999997</v>
      </c>
      <c r="O46" s="88">
        <v>24.383999999999997</v>
      </c>
      <c r="P46" s="88">
        <v>24.637999999999998</v>
      </c>
      <c r="Q46" s="88">
        <v>25.654</v>
      </c>
      <c r="R46" s="88">
        <v>29.209999999999997</v>
      </c>
    </row>
    <row r="47" spans="1:18" x14ac:dyDescent="0.25">
      <c r="A47">
        <v>1999</v>
      </c>
      <c r="B47">
        <v>242</v>
      </c>
      <c r="C47" s="88">
        <v>27.94</v>
      </c>
      <c r="D47" s="88">
        <v>25.654</v>
      </c>
      <c r="E47" s="88">
        <v>0</v>
      </c>
      <c r="F47" s="88">
        <v>0</v>
      </c>
      <c r="G47" s="88">
        <v>0</v>
      </c>
      <c r="H47" s="88">
        <v>0</v>
      </c>
      <c r="I47" s="88">
        <v>24.891999999999999</v>
      </c>
      <c r="J47" s="88">
        <v>31.495999999999999</v>
      </c>
      <c r="K47" s="88">
        <v>28.194000000000003</v>
      </c>
      <c r="L47" s="88">
        <v>0</v>
      </c>
      <c r="M47" s="88">
        <v>0</v>
      </c>
      <c r="N47" s="88">
        <v>31.495999999999999</v>
      </c>
      <c r="O47" s="88">
        <v>0</v>
      </c>
      <c r="P47" s="88">
        <v>25.654</v>
      </c>
      <c r="Q47" s="88">
        <v>24.891999999999999</v>
      </c>
      <c r="R47" s="88">
        <v>0</v>
      </c>
    </row>
    <row r="48" spans="1:18" x14ac:dyDescent="0.25">
      <c r="A48">
        <v>1999</v>
      </c>
      <c r="B48">
        <v>245</v>
      </c>
      <c r="C48" s="88">
        <v>39.369999999999997</v>
      </c>
      <c r="D48" s="88">
        <v>35.813999999999993</v>
      </c>
      <c r="E48" s="88">
        <v>38.099999999999994</v>
      </c>
      <c r="F48" s="88">
        <v>39.878</v>
      </c>
      <c r="G48" s="88">
        <v>39.369999999999997</v>
      </c>
      <c r="H48" s="88">
        <v>35.813999999999993</v>
      </c>
      <c r="I48" s="88">
        <v>38.099999999999994</v>
      </c>
      <c r="J48" s="88">
        <v>39.878</v>
      </c>
      <c r="K48" s="88">
        <v>39.369999999999997</v>
      </c>
      <c r="L48" s="88">
        <v>35.813999999999993</v>
      </c>
      <c r="M48" s="88">
        <v>38.099999999999994</v>
      </c>
      <c r="N48" s="88">
        <v>39.878</v>
      </c>
      <c r="O48" s="88">
        <v>39.369999999999997</v>
      </c>
      <c r="P48" s="88">
        <v>35.813999999999993</v>
      </c>
      <c r="Q48" s="88">
        <v>38.099999999999994</v>
      </c>
      <c r="R48" s="88">
        <v>39.878</v>
      </c>
    </row>
    <row r="49" spans="1:18" x14ac:dyDescent="0.25">
      <c r="A49">
        <v>1999</v>
      </c>
      <c r="B49">
        <v>250</v>
      </c>
      <c r="C49" s="88">
        <v>0</v>
      </c>
      <c r="D49" s="88">
        <v>0</v>
      </c>
      <c r="E49" s="88">
        <v>27.178000000000001</v>
      </c>
      <c r="F49" s="88">
        <v>30.987999999999996</v>
      </c>
      <c r="G49" s="88">
        <v>29.463999999999995</v>
      </c>
      <c r="H49" s="88">
        <v>27.178000000000001</v>
      </c>
      <c r="I49" s="88">
        <v>0</v>
      </c>
      <c r="J49" s="88">
        <v>0</v>
      </c>
      <c r="K49" s="88">
        <v>0</v>
      </c>
      <c r="L49" s="88">
        <v>27.178000000000001</v>
      </c>
      <c r="M49" s="88">
        <v>27.178000000000001</v>
      </c>
      <c r="N49" s="88">
        <v>0</v>
      </c>
      <c r="O49" s="88">
        <v>29.463999999999995</v>
      </c>
      <c r="P49" s="88">
        <v>0</v>
      </c>
      <c r="Q49" s="88">
        <v>0</v>
      </c>
      <c r="R49" s="88">
        <v>30.987999999999996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Irrigation</vt:lpstr>
      <vt:lpstr>Timeline</vt:lpstr>
      <vt:lpstr>p01</vt:lpstr>
      <vt:lpstr>p02</vt:lpstr>
      <vt:lpstr>p03</vt:lpstr>
      <vt:lpstr>p04</vt:lpstr>
      <vt:lpstr>p05</vt:lpstr>
      <vt:lpstr>p06</vt:lpstr>
      <vt:lpstr>p07</vt:lpstr>
      <vt:lpstr>p08</vt:lpstr>
      <vt:lpstr>p09</vt:lpstr>
      <vt:lpstr>p10</vt:lpstr>
      <vt:lpstr>p11</vt:lpstr>
      <vt:lpstr>p12</vt:lpstr>
      <vt:lpstr>p13</vt:lpstr>
      <vt:lpstr>p14</vt:lpstr>
      <vt:lpstr>p15</vt:lpstr>
      <vt:lpstr>p16</vt:lpstr>
      <vt:lpstr>IrrigationDF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Reviewer</dc:creator>
  <cp:lastModifiedBy>Reviewer</cp:lastModifiedBy>
  <dcterms:created xsi:type="dcterms:W3CDTF">2024-12-23T16:47:56Z</dcterms:created>
  <dcterms:modified xsi:type="dcterms:W3CDTF">2024-12-23T17:57:05Z</dcterms:modified>
</cp:coreProperties>
</file>