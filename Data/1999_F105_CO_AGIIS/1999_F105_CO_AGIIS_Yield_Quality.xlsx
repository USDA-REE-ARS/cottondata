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1999_F105_CO_AGIIS\"/>
    </mc:Choice>
  </mc:AlternateContent>
  <xr:revisionPtr revIDLastSave="0" documentId="13_ncr:1_{27C37EDD-8560-401D-853B-3B37D98F2C3D}" xr6:coauthVersionLast="47" xr6:coauthVersionMax="47" xr10:uidLastSave="{00000000-0000-0000-0000-000000000000}"/>
  <bookViews>
    <workbookView xWindow="16410" yWindow="-22920" windowWidth="17715" windowHeight="17625" xr2:uid="{5485CBB2-C13A-4C0B-BAC8-38661C175E52}"/>
  </bookViews>
  <sheets>
    <sheet name="Raw Scale" sheetId="1" r:id="rId1"/>
    <sheet name="Plot Scale" sheetId="2" r:id="rId2"/>
    <sheet name="Compare" sheetId="3" r:id="rId3"/>
    <sheet name="Raw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E12" i="4"/>
  <c r="F12" i="4"/>
  <c r="G12" i="4"/>
  <c r="M12" i="4"/>
  <c r="D13" i="4"/>
  <c r="E13" i="4"/>
  <c r="F13" i="4"/>
  <c r="G13" i="4"/>
  <c r="H13" i="4"/>
  <c r="I13" i="4"/>
  <c r="J13" i="4"/>
  <c r="K13" i="4"/>
  <c r="L13" i="4"/>
  <c r="D14" i="4"/>
  <c r="E14" i="4"/>
  <c r="F14" i="4"/>
  <c r="G14" i="4"/>
  <c r="H14" i="4"/>
  <c r="I14" i="4"/>
  <c r="N14" i="4" s="1"/>
  <c r="J14" i="4"/>
  <c r="O14" i="4" s="1"/>
  <c r="K14" i="4"/>
  <c r="P14" i="4" s="1"/>
  <c r="L14" i="4"/>
  <c r="M14" i="4"/>
  <c r="D15" i="4"/>
  <c r="E15" i="4"/>
  <c r="F15" i="4"/>
  <c r="G15" i="4"/>
  <c r="H15" i="4"/>
  <c r="I15" i="4"/>
  <c r="J15" i="4"/>
  <c r="K15" i="4"/>
  <c r="L15" i="4"/>
  <c r="D16" i="4"/>
  <c r="E16" i="4"/>
  <c r="F16" i="4"/>
  <c r="G16" i="4"/>
  <c r="H16" i="4"/>
  <c r="I16" i="4"/>
  <c r="J16" i="4"/>
  <c r="K16" i="4"/>
  <c r="L16" i="4"/>
  <c r="M16" i="4"/>
  <c r="N16" i="4"/>
  <c r="D17" i="4"/>
  <c r="E17" i="4"/>
  <c r="F17" i="4"/>
  <c r="G17" i="4"/>
  <c r="H17" i="4"/>
  <c r="I17" i="4"/>
  <c r="D18" i="4"/>
  <c r="E18" i="4"/>
  <c r="F18" i="4"/>
  <c r="G18" i="4"/>
  <c r="H18" i="4"/>
  <c r="I18" i="4"/>
  <c r="J18" i="4"/>
  <c r="K18" i="4"/>
  <c r="L18" i="4"/>
  <c r="M18" i="4"/>
  <c r="D19" i="4"/>
  <c r="L19" i="4" s="1"/>
  <c r="E19" i="4"/>
  <c r="F19" i="4"/>
  <c r="G19" i="4"/>
  <c r="H19" i="4"/>
  <c r="I19" i="4"/>
  <c r="N18" i="4" s="1"/>
  <c r="J19" i="4"/>
  <c r="O18" i="4" s="1"/>
  <c r="K19" i="4"/>
  <c r="P18" i="4" s="1"/>
  <c r="E20" i="4"/>
  <c r="F20" i="4"/>
  <c r="G20" i="4"/>
  <c r="H20" i="4"/>
  <c r="I20" i="4"/>
  <c r="J20" i="4"/>
  <c r="K20" i="4"/>
  <c r="L20" i="4"/>
  <c r="M20" i="4"/>
  <c r="E21" i="4"/>
  <c r="F21" i="4"/>
  <c r="G21" i="4"/>
  <c r="H21" i="4"/>
  <c r="I21" i="4"/>
  <c r="N20" i="4" s="1"/>
  <c r="J21" i="4"/>
  <c r="O20" i="4" s="1"/>
  <c r="K21" i="4"/>
  <c r="P20" i="4" s="1"/>
  <c r="L21" i="4"/>
  <c r="S21" i="4"/>
  <c r="E22" i="4"/>
  <c r="I22" i="4" s="1"/>
  <c r="F22" i="4"/>
  <c r="H22" i="4" s="1"/>
  <c r="J22" i="4" s="1"/>
  <c r="O22" i="4" s="1"/>
  <c r="G22" i="4"/>
  <c r="L22" i="4"/>
  <c r="M22" i="4"/>
  <c r="E23" i="4"/>
  <c r="F23" i="4"/>
  <c r="G23" i="4"/>
  <c r="H23" i="4"/>
  <c r="I23" i="4"/>
  <c r="J23" i="4"/>
  <c r="K23" i="4"/>
  <c r="L23" i="4"/>
  <c r="E24" i="4"/>
  <c r="F24" i="4"/>
  <c r="G24" i="4"/>
  <c r="H24" i="4"/>
  <c r="I24" i="4"/>
  <c r="J24" i="4"/>
  <c r="K24" i="4"/>
  <c r="L24" i="4"/>
  <c r="M24" i="4"/>
  <c r="E25" i="4"/>
  <c r="I25" i="4" s="1"/>
  <c r="K25" i="4" s="1"/>
  <c r="P24" i="4" s="1"/>
  <c r="F25" i="4"/>
  <c r="H25" i="4" s="1"/>
  <c r="J25" i="4" s="1"/>
  <c r="O24" i="4" s="1"/>
  <c r="G25" i="4"/>
  <c r="L25" i="4"/>
  <c r="E26" i="4"/>
  <c r="F26" i="4"/>
  <c r="G26" i="4"/>
  <c r="H26" i="4"/>
  <c r="I26" i="4"/>
  <c r="J26" i="4"/>
  <c r="K26" i="4"/>
  <c r="L26" i="4"/>
  <c r="M26" i="4"/>
  <c r="E27" i="4"/>
  <c r="F27" i="4"/>
  <c r="G27" i="4"/>
  <c r="H27" i="4"/>
  <c r="I27" i="4"/>
  <c r="N26" i="4" s="1"/>
  <c r="J27" i="4"/>
  <c r="O26" i="4" s="1"/>
  <c r="K27" i="4"/>
  <c r="P26" i="4" s="1"/>
  <c r="L27" i="4"/>
  <c r="E28" i="4"/>
  <c r="I28" i="4" s="1"/>
  <c r="F28" i="4"/>
  <c r="H28" i="4" s="1"/>
  <c r="J28" i="4" s="1"/>
  <c r="O28" i="4" s="1"/>
  <c r="G28" i="4"/>
  <c r="L28" i="4"/>
  <c r="M28" i="4"/>
  <c r="E29" i="4"/>
  <c r="F29" i="4"/>
  <c r="G29" i="4"/>
  <c r="H29" i="4"/>
  <c r="I29" i="4"/>
  <c r="J29" i="4"/>
  <c r="K29" i="4"/>
  <c r="L29" i="4"/>
  <c r="E30" i="4"/>
  <c r="F30" i="4"/>
  <c r="G30" i="4"/>
  <c r="H30" i="4"/>
  <c r="I30" i="4"/>
  <c r="J30" i="4"/>
  <c r="K30" i="4"/>
  <c r="L30" i="4"/>
  <c r="M30" i="4"/>
  <c r="N30" i="4"/>
  <c r="O30" i="4"/>
  <c r="P30" i="4"/>
  <c r="R30" i="4"/>
  <c r="E31" i="4"/>
  <c r="F31" i="4"/>
  <c r="G31" i="4"/>
  <c r="H31" i="4"/>
  <c r="I31" i="4"/>
  <c r="J31" i="4"/>
  <c r="K31" i="4"/>
  <c r="L31" i="4"/>
  <c r="E32" i="4"/>
  <c r="F32" i="4"/>
  <c r="G32" i="4"/>
  <c r="H32" i="4"/>
  <c r="I32" i="4"/>
  <c r="J32" i="4"/>
  <c r="K32" i="4"/>
  <c r="L32" i="4"/>
  <c r="M32" i="4"/>
  <c r="P32" i="4"/>
  <c r="R32" i="4"/>
  <c r="E33" i="4"/>
  <c r="F33" i="4"/>
  <c r="G33" i="4"/>
  <c r="H33" i="4"/>
  <c r="I33" i="4"/>
  <c r="N32" i="4" s="1"/>
  <c r="J33" i="4"/>
  <c r="O32" i="4" s="1"/>
  <c r="K33" i="4"/>
  <c r="L33" i="4"/>
  <c r="E34" i="4"/>
  <c r="F34" i="4"/>
  <c r="G34" i="4"/>
  <c r="H34" i="4"/>
  <c r="I34" i="4"/>
  <c r="J34" i="4"/>
  <c r="K34" i="4"/>
  <c r="L34" i="4"/>
  <c r="M34" i="4"/>
  <c r="E35" i="4"/>
  <c r="F35" i="4"/>
  <c r="G35" i="4"/>
  <c r="H35" i="4"/>
  <c r="I35" i="4"/>
  <c r="N34" i="4" s="1"/>
  <c r="J35" i="4"/>
  <c r="O34" i="4" s="1"/>
  <c r="K35" i="4"/>
  <c r="P34" i="4" s="1"/>
  <c r="L35" i="4"/>
  <c r="D36" i="4"/>
  <c r="J36" i="4" s="1"/>
  <c r="O36" i="4" s="1"/>
  <c r="E36" i="4"/>
  <c r="F36" i="4"/>
  <c r="G36" i="4"/>
  <c r="H36" i="4"/>
  <c r="I36" i="4"/>
  <c r="N36" i="4" s="1"/>
  <c r="M36" i="4"/>
  <c r="D37" i="4"/>
  <c r="E37" i="4"/>
  <c r="F37" i="4"/>
  <c r="G37" i="4"/>
  <c r="H37" i="4"/>
  <c r="I37" i="4"/>
  <c r="J37" i="4"/>
  <c r="K37" i="4"/>
  <c r="L37" i="4"/>
  <c r="D38" i="4"/>
  <c r="E38" i="4"/>
  <c r="F38" i="4"/>
  <c r="G38" i="4"/>
  <c r="H38" i="4"/>
  <c r="I38" i="4"/>
  <c r="J38" i="4"/>
  <c r="K38" i="4"/>
  <c r="L38" i="4"/>
  <c r="M38" i="4"/>
  <c r="D39" i="4"/>
  <c r="E39" i="4"/>
  <c r="F39" i="4"/>
  <c r="G39" i="4"/>
  <c r="I39" i="4" s="1"/>
  <c r="K39" i="4" s="1"/>
  <c r="P38" i="4" s="1"/>
  <c r="H39" i="4"/>
  <c r="D40" i="4"/>
  <c r="E40" i="4"/>
  <c r="F40" i="4"/>
  <c r="G40" i="4"/>
  <c r="H40" i="4"/>
  <c r="I40" i="4"/>
  <c r="J40" i="4"/>
  <c r="K40" i="4"/>
  <c r="L40" i="4"/>
  <c r="M40" i="4"/>
  <c r="D41" i="4"/>
  <c r="E41" i="4"/>
  <c r="F41" i="4"/>
  <c r="G41" i="4"/>
  <c r="H41" i="4"/>
  <c r="I41" i="4"/>
  <c r="N40" i="4" s="1"/>
  <c r="J41" i="4"/>
  <c r="O40" i="4" s="1"/>
  <c r="K41" i="4"/>
  <c r="P40" i="4" s="1"/>
  <c r="L41" i="4"/>
  <c r="D42" i="4"/>
  <c r="E42" i="4"/>
  <c r="F42" i="4"/>
  <c r="G42" i="4"/>
  <c r="I42" i="4" s="1"/>
  <c r="K42" i="4" s="1"/>
  <c r="H42" i="4"/>
  <c r="M42" i="4"/>
  <c r="D43" i="4"/>
  <c r="E43" i="4"/>
  <c r="F43" i="4"/>
  <c r="G43" i="4"/>
  <c r="H43" i="4"/>
  <c r="I43" i="4"/>
  <c r="N42" i="4" s="1"/>
  <c r="J43" i="4"/>
  <c r="O42" i="4" s="1"/>
  <c r="R42" i="4" s="1"/>
  <c r="K43" i="4"/>
  <c r="P42" i="4" s="1"/>
  <c r="L43" i="4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Y58" i="1"/>
  <c r="AA58" i="1" s="1"/>
  <c r="X58" i="1"/>
  <c r="Z58" i="1" s="1"/>
  <c r="W58" i="1"/>
  <c r="Y54" i="1"/>
  <c r="X56" i="1"/>
  <c r="Y56" i="1"/>
  <c r="X54" i="1"/>
  <c r="Y52" i="1"/>
  <c r="X52" i="1"/>
  <c r="Y50" i="1"/>
  <c r="X50" i="1"/>
  <c r="Y48" i="1"/>
  <c r="X48" i="1"/>
  <c r="Y46" i="1"/>
  <c r="X46" i="1"/>
  <c r="Y44" i="1"/>
  <c r="X44" i="1"/>
  <c r="Y42" i="1"/>
  <c r="X42" i="1"/>
  <c r="Y40" i="1"/>
  <c r="X40" i="1"/>
  <c r="Y38" i="1"/>
  <c r="X38" i="1"/>
  <c r="Y36" i="1"/>
  <c r="X36" i="1"/>
  <c r="Y34" i="1"/>
  <c r="X34" i="1"/>
  <c r="Y32" i="1"/>
  <c r="X32" i="1"/>
  <c r="Y30" i="1"/>
  <c r="X30" i="1"/>
  <c r="Y28" i="1"/>
  <c r="X28" i="1"/>
  <c r="Z28" i="1" s="1"/>
  <c r="W28" i="1"/>
  <c r="K34" i="1"/>
  <c r="M34" i="1" s="1"/>
  <c r="L32" i="1"/>
  <c r="L28" i="1"/>
  <c r="K28" i="1"/>
  <c r="K29" i="1"/>
  <c r="L29" i="1"/>
  <c r="M29" i="1" s="1"/>
  <c r="K30" i="1"/>
  <c r="L30" i="1"/>
  <c r="K31" i="1"/>
  <c r="L31" i="1"/>
  <c r="M31" i="1" s="1"/>
  <c r="K32" i="1"/>
  <c r="K33" i="1"/>
  <c r="M33" i="1" s="1"/>
  <c r="L33" i="1"/>
  <c r="L34" i="1"/>
  <c r="K35" i="1"/>
  <c r="L35" i="1"/>
  <c r="K36" i="1"/>
  <c r="M36" i="1" s="1"/>
  <c r="L36" i="1"/>
  <c r="K37" i="1"/>
  <c r="L37" i="1"/>
  <c r="M37" i="1" s="1"/>
  <c r="K38" i="1"/>
  <c r="M38" i="1" s="1"/>
  <c r="L38" i="1"/>
  <c r="K39" i="1"/>
  <c r="L39" i="1"/>
  <c r="K40" i="1"/>
  <c r="M40" i="1" s="1"/>
  <c r="L40" i="1"/>
  <c r="K41" i="1"/>
  <c r="L41" i="1"/>
  <c r="K42" i="1"/>
  <c r="L42" i="1"/>
  <c r="K43" i="1"/>
  <c r="L43" i="1"/>
  <c r="K44" i="1"/>
  <c r="M44" i="1" s="1"/>
  <c r="L44" i="1"/>
  <c r="K45" i="1"/>
  <c r="L45" i="1"/>
  <c r="K46" i="1"/>
  <c r="L46" i="1"/>
  <c r="K47" i="1"/>
  <c r="L47" i="1"/>
  <c r="K48" i="1"/>
  <c r="L48" i="1"/>
  <c r="K49" i="1"/>
  <c r="L49" i="1"/>
  <c r="M49" i="1" s="1"/>
  <c r="K50" i="1"/>
  <c r="L50" i="1"/>
  <c r="K51" i="1"/>
  <c r="L51" i="1"/>
  <c r="K52" i="1"/>
  <c r="M52" i="1" s="1"/>
  <c r="L52" i="1"/>
  <c r="K53" i="1"/>
  <c r="L53" i="1"/>
  <c r="K54" i="1"/>
  <c r="L54" i="1"/>
  <c r="M54" i="1" s="1"/>
  <c r="K55" i="1"/>
  <c r="L55" i="1"/>
  <c r="K56" i="1"/>
  <c r="L56" i="1"/>
  <c r="K57" i="1"/>
  <c r="L57" i="1"/>
  <c r="K59" i="1"/>
  <c r="L59" i="1"/>
  <c r="N22" i="4" l="1"/>
  <c r="K22" i="4"/>
  <c r="P22" i="4" s="1"/>
  <c r="R22" i="4" s="1"/>
  <c r="S18" i="4"/>
  <c r="R24" i="4"/>
  <c r="R36" i="4"/>
  <c r="S24" i="4"/>
  <c r="J39" i="4"/>
  <c r="O38" i="4" s="1"/>
  <c r="L39" i="4"/>
  <c r="R20" i="4"/>
  <c r="N24" i="4"/>
  <c r="N38" i="4"/>
  <c r="R34" i="4"/>
  <c r="S23" i="4"/>
  <c r="R14" i="4"/>
  <c r="J42" i="4"/>
  <c r="L42" i="4"/>
  <c r="K28" i="4"/>
  <c r="P28" i="4" s="1"/>
  <c r="R28" i="4" s="1"/>
  <c r="N28" i="4"/>
  <c r="S27" i="4"/>
  <c r="J17" i="4"/>
  <c r="O16" i="4" s="1"/>
  <c r="K17" i="4"/>
  <c r="P16" i="4" s="1"/>
  <c r="L17" i="4"/>
  <c r="R40" i="4"/>
  <c r="S26" i="4"/>
  <c r="S16" i="4"/>
  <c r="S19" i="4"/>
  <c r="R26" i="4"/>
  <c r="S13" i="4"/>
  <c r="S15" i="4"/>
  <c r="S22" i="4"/>
  <c r="L36" i="4"/>
  <c r="R18" i="4"/>
  <c r="K36" i="4"/>
  <c r="P36" i="4" s="1"/>
  <c r="H12" i="4"/>
  <c r="H45" i="4" s="1"/>
  <c r="I12" i="4"/>
  <c r="J12" i="4"/>
  <c r="L12" i="4"/>
  <c r="AA28" i="1"/>
  <c r="AB28" i="1" s="1"/>
  <c r="M48" i="1"/>
  <c r="M30" i="1"/>
  <c r="M51" i="1"/>
  <c r="M39" i="1"/>
  <c r="M32" i="1"/>
  <c r="M59" i="1"/>
  <c r="M46" i="1"/>
  <c r="M35" i="1"/>
  <c r="AB58" i="1"/>
  <c r="M47" i="1"/>
  <c r="M53" i="1"/>
  <c r="M50" i="1"/>
  <c r="M45" i="1"/>
  <c r="M42" i="1"/>
  <c r="M55" i="1"/>
  <c r="M41" i="1"/>
  <c r="M57" i="1"/>
  <c r="M43" i="1"/>
  <c r="M56" i="1"/>
  <c r="S14" i="4" l="1"/>
  <c r="S32" i="4" s="1"/>
  <c r="R16" i="4"/>
  <c r="R47" i="4" s="1"/>
  <c r="S20" i="4"/>
  <c r="S31" i="4" s="1"/>
  <c r="R46" i="4"/>
  <c r="S25" i="4"/>
  <c r="R38" i="4"/>
  <c r="O12" i="4"/>
  <c r="J45" i="4"/>
  <c r="K12" i="4"/>
  <c r="N12" i="4"/>
  <c r="I45" i="4"/>
  <c r="R48" i="4"/>
  <c r="S17" i="4"/>
  <c r="S33" i="4"/>
  <c r="W56" i="1"/>
  <c r="W54" i="1"/>
  <c r="W52" i="1"/>
  <c r="AA52" i="1" s="1"/>
  <c r="W50" i="1"/>
  <c r="W48" i="1"/>
  <c r="W46" i="1"/>
  <c r="W44" i="1"/>
  <c r="AA44" i="1" s="1"/>
  <c r="W42" i="1"/>
  <c r="W40" i="1"/>
  <c r="W38" i="1"/>
  <c r="Z38" i="1" s="1"/>
  <c r="W36" i="1"/>
  <c r="W34" i="1"/>
  <c r="W32" i="1"/>
  <c r="W30" i="1"/>
  <c r="A19" i="1"/>
  <c r="P12" i="4" l="1"/>
  <c r="K45" i="4"/>
  <c r="R12" i="4"/>
  <c r="R45" i="4" s="1"/>
  <c r="S12" i="4"/>
  <c r="S30" i="4" s="1"/>
  <c r="G28" i="1"/>
  <c r="V44" i="1"/>
  <c r="V38" i="1"/>
  <c r="V34" i="1"/>
  <c r="V28" i="1"/>
  <c r="V32" i="1"/>
  <c r="V54" i="1"/>
  <c r="V40" i="1"/>
  <c r="V48" i="1"/>
  <c r="V30" i="1"/>
  <c r="V50" i="1"/>
  <c r="V56" i="1"/>
  <c r="V36" i="1"/>
  <c r="V42" i="1"/>
  <c r="V52" i="1"/>
  <c r="V58" i="1"/>
  <c r="V46" i="1"/>
  <c r="AA30" i="1"/>
  <c r="Z30" i="1"/>
  <c r="AB30" i="1" s="1"/>
  <c r="G31" i="1"/>
  <c r="Z42" i="1"/>
  <c r="Z54" i="1"/>
  <c r="M28" i="1"/>
  <c r="Z44" i="1"/>
  <c r="AB44" i="1" s="1"/>
  <c r="Z32" i="1"/>
  <c r="AA38" i="1"/>
  <c r="Z48" i="1"/>
  <c r="Z34" i="1"/>
  <c r="Z50" i="1"/>
  <c r="Z40" i="1"/>
  <c r="Z36" i="1"/>
  <c r="Z52" i="1"/>
  <c r="AA36" i="1"/>
  <c r="Z56" i="1"/>
  <c r="AB38" i="1"/>
  <c r="Z46" i="1"/>
  <c r="AA46" i="1"/>
  <c r="G30" i="1"/>
  <c r="G53" i="1"/>
  <c r="G45" i="1"/>
  <c r="G37" i="1"/>
  <c r="G29" i="1"/>
  <c r="AA54" i="1"/>
  <c r="G52" i="1"/>
  <c r="G44" i="1"/>
  <c r="G36" i="1"/>
  <c r="AA32" i="1"/>
  <c r="AB32" i="1" s="1"/>
  <c r="AA40" i="1"/>
  <c r="AA48" i="1"/>
  <c r="G59" i="1"/>
  <c r="G51" i="1"/>
  <c r="G43" i="1"/>
  <c r="G35" i="1"/>
  <c r="AA56" i="1"/>
  <c r="G38" i="1"/>
  <c r="G58" i="1"/>
  <c r="G50" i="1"/>
  <c r="G42" i="1"/>
  <c r="G34" i="1"/>
  <c r="AA34" i="1"/>
  <c r="AA42" i="1"/>
  <c r="AB42" i="1" s="1"/>
  <c r="AA50" i="1"/>
  <c r="G57" i="1"/>
  <c r="G49" i="1"/>
  <c r="G41" i="1"/>
  <c r="G33" i="1"/>
  <c r="G46" i="1"/>
  <c r="G56" i="1"/>
  <c r="G48" i="1"/>
  <c r="G40" i="1"/>
  <c r="G32" i="1"/>
  <c r="G54" i="1"/>
  <c r="G55" i="1"/>
  <c r="G47" i="1"/>
  <c r="G39" i="1"/>
  <c r="AD28" i="1" l="1"/>
  <c r="AC28" i="1"/>
  <c r="N38" i="1"/>
  <c r="O38" i="1"/>
  <c r="O40" i="1"/>
  <c r="N40" i="1"/>
  <c r="O36" i="1"/>
  <c r="N36" i="1"/>
  <c r="P36" i="1" s="1"/>
  <c r="O48" i="1"/>
  <c r="N48" i="1"/>
  <c r="N31" i="1"/>
  <c r="O31" i="1"/>
  <c r="P31" i="1" s="1"/>
  <c r="N49" i="1"/>
  <c r="O49" i="1"/>
  <c r="N57" i="1"/>
  <c r="O57" i="1"/>
  <c r="O44" i="1"/>
  <c r="N44" i="1"/>
  <c r="O56" i="1"/>
  <c r="N56" i="1"/>
  <c r="P56" i="1" s="1"/>
  <c r="N52" i="1"/>
  <c r="O52" i="1"/>
  <c r="O51" i="1"/>
  <c r="N51" i="1"/>
  <c r="P51" i="1" s="1"/>
  <c r="O28" i="1"/>
  <c r="N28" i="1"/>
  <c r="AD58" i="1"/>
  <c r="AC58" i="1"/>
  <c r="AE58" i="1" s="1"/>
  <c r="O32" i="1"/>
  <c r="N32" i="1"/>
  <c r="N53" i="1"/>
  <c r="O53" i="1"/>
  <c r="P53" i="1" s="1"/>
  <c r="N30" i="1"/>
  <c r="P30" i="1" s="1"/>
  <c r="O30" i="1"/>
  <c r="O43" i="1"/>
  <c r="N43" i="1"/>
  <c r="P43" i="1" s="1"/>
  <c r="N39" i="1"/>
  <c r="O39" i="1"/>
  <c r="N46" i="1"/>
  <c r="O46" i="1"/>
  <c r="N47" i="1"/>
  <c r="O47" i="1"/>
  <c r="O59" i="1"/>
  <c r="N59" i="1"/>
  <c r="P59" i="1" s="1"/>
  <c r="N54" i="1"/>
  <c r="O54" i="1"/>
  <c r="N45" i="1"/>
  <c r="O45" i="1"/>
  <c r="AB40" i="1"/>
  <c r="O35" i="1"/>
  <c r="N35" i="1"/>
  <c r="N34" i="1"/>
  <c r="O34" i="1"/>
  <c r="N33" i="1"/>
  <c r="O33" i="1"/>
  <c r="O42" i="1"/>
  <c r="N42" i="1"/>
  <c r="N29" i="1"/>
  <c r="O29" i="1"/>
  <c r="O55" i="1"/>
  <c r="N55" i="1"/>
  <c r="N41" i="1"/>
  <c r="O41" i="1"/>
  <c r="N50" i="1"/>
  <c r="O50" i="1"/>
  <c r="O37" i="1"/>
  <c r="N37" i="1"/>
  <c r="AB54" i="1"/>
  <c r="AB34" i="1"/>
  <c r="AB48" i="1"/>
  <c r="AB56" i="1"/>
  <c r="AB46" i="1"/>
  <c r="AB36" i="1"/>
  <c r="AB50" i="1"/>
  <c r="AB52" i="1"/>
  <c r="P50" i="1" l="1"/>
  <c r="P39" i="1"/>
  <c r="P40" i="1"/>
  <c r="P34" i="1"/>
  <c r="P37" i="1"/>
  <c r="P29" i="1"/>
  <c r="P35" i="1"/>
  <c r="P47" i="1"/>
  <c r="P44" i="1"/>
  <c r="P48" i="1"/>
  <c r="AE28" i="1"/>
  <c r="P55" i="1"/>
  <c r="P54" i="1"/>
  <c r="P32" i="1"/>
  <c r="P57" i="1"/>
  <c r="AC52" i="1"/>
  <c r="AD52" i="1"/>
  <c r="AC48" i="1"/>
  <c r="AD48" i="1"/>
  <c r="P46" i="1"/>
  <c r="AC38" i="1"/>
  <c r="AD38" i="1"/>
  <c r="P33" i="1"/>
  <c r="AC54" i="1"/>
  <c r="AD54" i="1"/>
  <c r="P49" i="1"/>
  <c r="AC32" i="1"/>
  <c r="AE32" i="1" s="1"/>
  <c r="AD32" i="1"/>
  <c r="AC30" i="1"/>
  <c r="AD30" i="1"/>
  <c r="AC44" i="1"/>
  <c r="AD44" i="1"/>
  <c r="AC34" i="1"/>
  <c r="AD34" i="1"/>
  <c r="P45" i="1"/>
  <c r="AC56" i="1"/>
  <c r="AD56" i="1"/>
  <c r="P41" i="1"/>
  <c r="AC36" i="1"/>
  <c r="AD36" i="1"/>
  <c r="AE36" i="1" s="1"/>
  <c r="AC46" i="1"/>
  <c r="AD46" i="1"/>
  <c r="P52" i="1"/>
  <c r="AC50" i="1"/>
  <c r="AD50" i="1"/>
  <c r="AC40" i="1"/>
  <c r="AD40" i="1"/>
  <c r="AC42" i="1"/>
  <c r="AD42" i="1"/>
  <c r="P42" i="1"/>
  <c r="P28" i="1"/>
  <c r="P38" i="1"/>
  <c r="AE42" i="1" l="1"/>
  <c r="AE46" i="1"/>
  <c r="AE54" i="1"/>
  <c r="AE48" i="1"/>
  <c r="AE50" i="1"/>
  <c r="AE44" i="1"/>
  <c r="AE40" i="1"/>
  <c r="AE34" i="1"/>
  <c r="AE52" i="1"/>
  <c r="AE56" i="1"/>
  <c r="AE30" i="1"/>
  <c r="AE38" i="1"/>
</calcChain>
</file>

<file path=xl/sharedStrings.xml><?xml version="1.0" encoding="utf-8"?>
<sst xmlns="http://schemas.openxmlformats.org/spreadsheetml/2006/main" count="371" uniqueCount="169">
  <si>
    <t>Column</t>
  </si>
  <si>
    <t>Range</t>
  </si>
  <si>
    <t>Harvest</t>
  </si>
  <si>
    <t>1N</t>
  </si>
  <si>
    <t>2N</t>
  </si>
  <si>
    <t>3N</t>
  </si>
  <si>
    <t>1S</t>
  </si>
  <si>
    <t>2S</t>
  </si>
  <si>
    <t>3S</t>
  </si>
  <si>
    <t>4N</t>
  </si>
  <si>
    <t>4S</t>
  </si>
  <si>
    <t>5N</t>
  </si>
  <si>
    <t>5S</t>
  </si>
  <si>
    <t>6N</t>
  </si>
  <si>
    <t>6S</t>
  </si>
  <si>
    <t>7N</t>
  </si>
  <si>
    <t>7S</t>
  </si>
  <si>
    <t>8N</t>
  </si>
  <si>
    <t>8S</t>
  </si>
  <si>
    <t>9N</t>
  </si>
  <si>
    <t>9S</t>
  </si>
  <si>
    <t>10N</t>
  </si>
  <si>
    <t>10S</t>
  </si>
  <si>
    <t>11N</t>
  </si>
  <si>
    <t>11S</t>
  </si>
  <si>
    <t>12N</t>
  </si>
  <si>
    <t>12S</t>
  </si>
  <si>
    <t>13N</t>
  </si>
  <si>
    <t>13S</t>
  </si>
  <si>
    <t>14N</t>
  </si>
  <si>
    <t>14S</t>
  </si>
  <si>
    <t>15N</t>
  </si>
  <si>
    <t>15S</t>
  </si>
  <si>
    <t>16N</t>
  </si>
  <si>
    <t>16S</t>
  </si>
  <si>
    <t>HID</t>
  </si>
  <si>
    <t>Field wt</t>
  </si>
  <si>
    <t>HADAT</t>
  </si>
  <si>
    <t>(kg)</t>
  </si>
  <si>
    <t>WBWAH</t>
  </si>
  <si>
    <t>(kg/ha)</t>
  </si>
  <si>
    <t>Size of harvest area (2 40-inch rows by 22 m) (m2)</t>
  </si>
  <si>
    <t>Parameters</t>
  </si>
  <si>
    <t>m2 per ha</t>
  </si>
  <si>
    <t>Ginning</t>
  </si>
  <si>
    <t>Sample</t>
  </si>
  <si>
    <t>wt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</si>
  <si>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</si>
  <si>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</si>
  <si>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</si>
  <si>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</si>
  <si>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</si>
  <si>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</si>
  <si>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</si>
  <si>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</si>
  <si>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</si>
  <si>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</si>
  <si>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</si>
  <si>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Plot-scale calculations</t>
  </si>
  <si>
    <t>PID</t>
  </si>
  <si>
    <t>Column A - Column number from plot layout</t>
  </si>
  <si>
    <t>Column B - Range number from plot layout</t>
  </si>
  <si>
    <t>Column E - Harvest data (mm/dd/yyyy)</t>
  </si>
  <si>
    <t>Column G -  Wet bulk weight at harvest (fiber + seed + trash) (WBWAH, kg/ha)</t>
  </si>
  <si>
    <t>Column F - Field weight of bulk cotton (kg). Machine harvest 2 rows by 22 m</t>
  </si>
  <si>
    <t>Column H - Weight of bulk cotton subsample prior to ginning (g)</t>
  </si>
  <si>
    <t>Column I - Weight of fiber after ginning (g)</t>
  </si>
  <si>
    <t>Column K - Fiber fraction after ginning (FFRAC, g/g)</t>
  </si>
  <si>
    <t>Column L - Seed fraction after ginning (SFRAC, g/g)</t>
  </si>
  <si>
    <t>Column N - Wet fiber weight at harvest (WFWAH, kg/ha)</t>
  </si>
  <si>
    <t>Column O - Wet seed weight at harvest (WSWAH, kg/ha)</t>
  </si>
  <si>
    <t>Column P - Wet seed cotton weight at harvest (fiber + seed) (WSCWAH, kg/ha)</t>
  </si>
  <si>
    <t>HARM</t>
  </si>
  <si>
    <t>Column C - Harvest Area ID (HID)</t>
  </si>
  <si>
    <t>Column D - Harvest Method (HARM)</t>
  </si>
  <si>
    <t>Machine</t>
  </si>
  <si>
    <t>Column M - Trash fraction after ginning (TFRAC, g/g)</t>
  </si>
  <si>
    <t>Original</t>
  </si>
  <si>
    <t>Seed (kg/ha)</t>
  </si>
  <si>
    <t>Lint (kg/ha)</t>
  </si>
  <si>
    <t>Spreadsheet</t>
  </si>
  <si>
    <t>Column J - Weight of fuzzy seed after ginning (g)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</si>
  <si>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</si>
  <si>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</si>
  <si>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</si>
  <si>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</si>
  <si>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</si>
  <si>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</si>
  <si>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</si>
  <si>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</si>
  <si>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</si>
  <si>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</si>
  <si>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</si>
  <si>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</si>
  <si>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</si>
  <si>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</si>
  <si>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</si>
  <si>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</si>
  <si>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p01N</t>
  </si>
  <si>
    <t>p01S</t>
  </si>
  <si>
    <t>p02N</t>
  </si>
  <si>
    <t>p02S</t>
  </si>
  <si>
    <t>p03N</t>
  </si>
  <si>
    <t>p03S</t>
  </si>
  <si>
    <t>p04N</t>
  </si>
  <si>
    <t>p04S</t>
  </si>
  <si>
    <t>p05N</t>
  </si>
  <si>
    <t>p05S</t>
  </si>
  <si>
    <t>p06N</t>
  </si>
  <si>
    <t>p06S</t>
  </si>
  <si>
    <t>p07N</t>
  </si>
  <si>
    <t>p07S</t>
  </si>
  <si>
    <t>p08N</t>
  </si>
  <si>
    <t>p08S</t>
  </si>
  <si>
    <t>p09N</t>
  </si>
  <si>
    <t>p09S</t>
  </si>
  <si>
    <t>p10N</t>
  </si>
  <si>
    <t>p10S</t>
  </si>
  <si>
    <t>p11N</t>
  </si>
  <si>
    <t>p11S</t>
  </si>
  <si>
    <t>p12N</t>
  </si>
  <si>
    <t>p12S</t>
  </si>
  <si>
    <t>p13N</t>
  </si>
  <si>
    <t>p13S</t>
  </si>
  <si>
    <t>p14N</t>
  </si>
  <si>
    <t>p14S</t>
  </si>
  <si>
    <t>p15N</t>
  </si>
  <si>
    <t>p15S</t>
  </si>
  <si>
    <t>p16N</t>
  </si>
  <si>
    <t>p16S</t>
  </si>
  <si>
    <t>wn</t>
  </si>
  <si>
    <t>wN</t>
  </si>
  <si>
    <t>Wn</t>
  </si>
  <si>
    <t>WN</t>
  </si>
  <si>
    <t>average</t>
  </si>
  <si>
    <t>21/22</t>
  </si>
  <si>
    <t>bag 7 &amp;8</t>
  </si>
  <si>
    <t>19/20</t>
  </si>
  <si>
    <t>bag 5&amp;6</t>
  </si>
  <si>
    <t>17/18</t>
  </si>
  <si>
    <t>bag 3 &amp;4</t>
  </si>
  <si>
    <t>15/16</t>
  </si>
  <si>
    <t>bag 1 &amp;2</t>
  </si>
  <si>
    <t>Lint</t>
  </si>
  <si>
    <t>Plot#</t>
  </si>
  <si>
    <t>Assume35%</t>
  </si>
  <si>
    <t>Pure Lint wt (g)</t>
  </si>
  <si>
    <t>Seed wt (g)</t>
  </si>
  <si>
    <t>Sub sample wt (g)</t>
  </si>
  <si>
    <t>Total Sample wt(kg)</t>
  </si>
  <si>
    <t>South</t>
  </si>
  <si>
    <t>North</t>
  </si>
  <si>
    <t>Plot #</t>
  </si>
  <si>
    <t>Plot Averages</t>
  </si>
  <si>
    <t>Percent</t>
  </si>
  <si>
    <t xml:space="preserve">    Sample Row</t>
  </si>
  <si>
    <t>Calculated</t>
  </si>
  <si>
    <t>Two 44 m2 areas harvested per plot (north &amp; south)</t>
  </si>
  <si>
    <t>2 rows (2m) by 22 m lengths (44 sq m)</t>
  </si>
  <si>
    <t>Area Harvestd:</t>
  </si>
  <si>
    <t>2.92 kg</t>
  </si>
  <si>
    <t>Bucket wt:</t>
  </si>
  <si>
    <t>0.51 kg</t>
  </si>
  <si>
    <t>Bag wt :</t>
  </si>
  <si>
    <t>Date of Processing</t>
  </si>
  <si>
    <t>November 12 1999</t>
  </si>
  <si>
    <t>Date of Harvest</t>
  </si>
  <si>
    <t>Final Harvest/ Processing</t>
  </si>
  <si>
    <t>LiMIE Cotton 1999                      Final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</si>
</sst>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000"/>
    <numFmt numFmtId="166" formatCode="mm/dd/yyyy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14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0" borderId="0" xfId="0" applyNumberFormat="1"/>
    <xf numFmtId="165" fontId="0" fillId="2" borderId="0" xfId="0" applyNumberFormat="1" applyFill="1"/>
    <xf numFmtId="14" fontId="0" fillId="0" borderId="0" xfId="0" applyNumberFormat="1"/>
    <xf numFmtId="166" fontId="0" fillId="2" borderId="0" xfId="0" applyNumberFormat="1" applyFill="1"/>
    <xf numFmtId="0" fontId="0" fillId="0" borderId="1" xfId="0" quotePrefix="1" applyBorder="1" applyAlignment="1">
      <alignment horizontal="right"/>
    </xf>
    <xf numFmtId="167" fontId="0" fillId="0" borderId="0" xfId="1" applyNumberFormat="1" applyFont="1"/>
    <xf numFmtId="167" fontId="2" fillId="0" borderId="0" xfId="1" applyNumberFormat="1" applyFont="1"/>
    <xf numFmtId="49" fontId="0" fillId="2" borderId="0" xfId="0" applyNumberFormat="1" applyFill="1"/>
    <xf numFmtId="0" fontId="3" fillId="0" borderId="0" xfId="2"/>
    <xf numFmtId="0" fontId="4" fillId="0" borderId="0" xfId="2" applyFont="1"/>
    <xf numFmtId="167" fontId="3" fillId="0" borderId="0" xfId="2" applyNumberFormat="1"/>
    <xf numFmtId="167" fontId="0" fillId="0" borderId="0" xfId="3" applyNumberFormat="1" applyFont="1"/>
    <xf numFmtId="9" fontId="3" fillId="0" borderId="0" xfId="2" applyNumberFormat="1"/>
    <xf numFmtId="9" fontId="4" fillId="0" borderId="0" xfId="4" applyFont="1"/>
    <xf numFmtId="9" fontId="0" fillId="0" borderId="0" xfId="4" applyFont="1"/>
    <xf numFmtId="0" fontId="4" fillId="0" borderId="2" xfId="2" applyFont="1" applyBorder="1"/>
    <xf numFmtId="167" fontId="2" fillId="0" borderId="0" xfId="3" applyNumberFormat="1" applyFont="1"/>
    <xf numFmtId="9" fontId="2" fillId="0" borderId="0" xfId="4" applyFont="1"/>
    <xf numFmtId="0" fontId="2" fillId="0" borderId="2" xfId="2" applyFont="1" applyBorder="1"/>
    <xf numFmtId="0" fontId="4" fillId="0" borderId="2" xfId="2" quotePrefix="1" applyFont="1" applyBorder="1" applyAlignment="1">
      <alignment horizontal="left"/>
    </xf>
    <xf numFmtId="0" fontId="4" fillId="0" borderId="2" xfId="2" applyFont="1" applyBorder="1" applyAlignment="1">
      <alignment horizontal="left"/>
    </xf>
    <xf numFmtId="16" fontId="4" fillId="0" borderId="2" xfId="2" applyNumberFormat="1" applyFont="1" applyBorder="1"/>
    <xf numFmtId="0" fontId="4" fillId="0" borderId="3" xfId="2" applyFont="1" applyBorder="1"/>
    <xf numFmtId="0" fontId="4" fillId="0" borderId="3" xfId="2" quotePrefix="1" applyFont="1" applyBorder="1" applyAlignment="1">
      <alignment horizontal="left"/>
    </xf>
    <xf numFmtId="0" fontId="3" fillId="0" borderId="0" xfId="2" applyAlignment="1">
      <alignment horizontal="right"/>
    </xf>
    <xf numFmtId="0" fontId="3" fillId="0" borderId="1" xfId="2" quotePrefix="1" applyBorder="1" applyAlignment="1">
      <alignment horizontal="right"/>
    </xf>
    <xf numFmtId="0" fontId="4" fillId="0" borderId="1" xfId="2" applyFont="1" applyBorder="1" applyAlignment="1">
      <alignment horizontal="right"/>
    </xf>
    <xf numFmtId="0" fontId="3" fillId="0" borderId="4" xfId="2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4" fillId="0" borderId="6" xfId="2" quotePrefix="1" applyFont="1" applyBorder="1" applyAlignment="1">
      <alignment horizontal="right"/>
    </xf>
    <xf numFmtId="0" fontId="4" fillId="0" borderId="6" xfId="2" applyFont="1" applyBorder="1"/>
    <xf numFmtId="0" fontId="4" fillId="0" borderId="7" xfId="2" applyFont="1" applyBorder="1"/>
    <xf numFmtId="0" fontId="3" fillId="3" borderId="0" xfId="2" quotePrefix="1" applyFill="1" applyAlignment="1">
      <alignment horizontal="center"/>
    </xf>
    <xf numFmtId="0" fontId="4" fillId="0" borderId="0" xfId="2" applyFont="1" applyAlignment="1">
      <alignment horizontal="right"/>
    </xf>
    <xf numFmtId="0" fontId="4" fillId="0" borderId="8" xfId="2" applyFont="1" applyBorder="1"/>
    <xf numFmtId="0" fontId="4" fillId="0" borderId="9" xfId="2" quotePrefix="1" applyFont="1" applyBorder="1" applyAlignment="1">
      <alignment horizontal="left"/>
    </xf>
    <xf numFmtId="0" fontId="3" fillId="4" borderId="0" xfId="2" applyFill="1" applyAlignment="1">
      <alignment horizontal="center"/>
    </xf>
    <xf numFmtId="0" fontId="5" fillId="0" borderId="0" xfId="2" applyFont="1"/>
    <xf numFmtId="0" fontId="5" fillId="0" borderId="0" xfId="2" quotePrefix="1" applyFont="1" applyAlignment="1">
      <alignment horizontal="left"/>
    </xf>
    <xf numFmtId="0" fontId="5" fillId="0" borderId="0" xfId="2" applyFont="1" applyAlignment="1">
      <alignment horizontal="left"/>
    </xf>
  </cellXfs>
  <cellStyles count="5">
    <cellStyle name="Comma" xfId="1" builtinId="3"/>
    <cellStyle name="Comma 2" xfId="3" xr:uid="{B1C561A0-89BE-4D89-8C32-1BB2A5D16A28}"/>
    <cellStyle name="Normal" xfId="0" builtinId="0"/>
    <cellStyle name="Normal 2" xfId="2" xr:uid="{13735EA2-FD8C-47EA-BE47-7B22F4FE0C32}"/>
    <cellStyle name="Percent 2" xfId="4" xr:uid="{C5D9AEB1-8BBE-4FDC-908A-9AB128482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1:1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Compare!$N$2:$N$3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Compare!$N$2:$N$3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9F-4C7A-88DD-B4180AFF597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Compare!$C$5:$C$36</c:f>
              <c:numCache>
                <c:formatCode>_(* #,##0_);_(* \(#,##0\);_(* "-"??_);_(@_)</c:formatCode>
                <c:ptCount val="32"/>
                <c:pt idx="0">
                  <c:v>1211.5332121190984</c:v>
                </c:pt>
                <c:pt idx="1">
                  <c:v>1313.1449604474033</c:v>
                </c:pt>
                <c:pt idx="2">
                  <c:v>1360.1641147774778</c:v>
                </c:pt>
                <c:pt idx="3">
                  <c:v>1098.3951659392242</c:v>
                </c:pt>
                <c:pt idx="4">
                  <c:v>1156.362001113592</c:v>
                </c:pt>
                <c:pt idx="5">
                  <c:v>1319.4700820282728</c:v>
                </c:pt>
                <c:pt idx="6">
                  <c:v>1446.0731514336503</c:v>
                </c:pt>
                <c:pt idx="7">
                  <c:v>1512.1844234228763</c:v>
                </c:pt>
                <c:pt idx="8">
                  <c:v>1296.6009654062752</c:v>
                </c:pt>
                <c:pt idx="9">
                  <c:v>1304.0369925502048</c:v>
                </c:pt>
                <c:pt idx="10">
                  <c:v>1359.7643245292779</c:v>
                </c:pt>
                <c:pt idx="11">
                  <c:v>1391.7670584149178</c:v>
                </c:pt>
                <c:pt idx="12">
                  <c:v>1180.5215518134178</c:v>
                </c:pt>
                <c:pt idx="13">
                  <c:v>1076.8347697178133</c:v>
                </c:pt>
                <c:pt idx="14">
                  <c:v>1344.2063668744433</c:v>
                </c:pt>
                <c:pt idx="15">
                  <c:v>1418.8882541151193</c:v>
                </c:pt>
                <c:pt idx="16">
                  <c:v>1488.6073117936467</c:v>
                </c:pt>
                <c:pt idx="17">
                  <c:v>1632.0689468557202</c:v>
                </c:pt>
                <c:pt idx="18">
                  <c:v>1192.0471876877571</c:v>
                </c:pt>
                <c:pt idx="19">
                  <c:v>1347.7752753239677</c:v>
                </c:pt>
                <c:pt idx="20">
                  <c:v>1339.4094244330092</c:v>
                </c:pt>
                <c:pt idx="21">
                  <c:v>1378.5822462646122</c:v>
                </c:pt>
                <c:pt idx="22">
                  <c:v>1069.390402075227</c:v>
                </c:pt>
                <c:pt idx="23">
                  <c:v>1327.9636104943193</c:v>
                </c:pt>
                <c:pt idx="24">
                  <c:v>1227.6899640436568</c:v>
                </c:pt>
                <c:pt idx="25">
                  <c:v>1252.5060731244787</c:v>
                </c:pt>
                <c:pt idx="26">
                  <c:v>1175.5400674477182</c:v>
                </c:pt>
                <c:pt idx="27">
                  <c:v>1205.4998349262246</c:v>
                </c:pt>
                <c:pt idx="28">
                  <c:v>1415.417684308243</c:v>
                </c:pt>
                <c:pt idx="29">
                  <c:v>1311.2085376334057</c:v>
                </c:pt>
                <c:pt idx="30">
                  <c:v>614.35847516545289</c:v>
                </c:pt>
                <c:pt idx="31">
                  <c:v>1191.637240636659</c:v>
                </c:pt>
              </c:numCache>
            </c:numRef>
          </c:xVal>
          <c:yVal>
            <c:numRef>
              <c:f>'Raw Scale'!$N$28:$N$59</c:f>
              <c:numCache>
                <c:formatCode>0.0</c:formatCode>
                <c:ptCount val="32"/>
                <c:pt idx="0">
                  <c:v>1192.4539489361207</c:v>
                </c:pt>
                <c:pt idx="1">
                  <c:v>1292.4655122513811</c:v>
                </c:pt>
                <c:pt idx="2">
                  <c:v>1338.7442074581475</c:v>
                </c:pt>
                <c:pt idx="3">
                  <c:v>1081.0976042708899</c:v>
                </c:pt>
                <c:pt idx="4">
                  <c:v>1138.1515758992045</c:v>
                </c:pt>
                <c:pt idx="5">
                  <c:v>1298.6910256183787</c:v>
                </c:pt>
                <c:pt idx="6">
                  <c:v>1423.3003458992623</c:v>
                </c:pt>
                <c:pt idx="7">
                  <c:v>1488.3704954949571</c:v>
                </c:pt>
                <c:pt idx="8">
                  <c:v>1276.1820525652313</c:v>
                </c:pt>
                <c:pt idx="9">
                  <c:v>1283.500976919493</c:v>
                </c:pt>
                <c:pt idx="10">
                  <c:v>1338.350713119368</c:v>
                </c:pt>
                <c:pt idx="11">
                  <c:v>1369.8494669438167</c:v>
                </c:pt>
                <c:pt idx="12">
                  <c:v>1161.9306612336786</c:v>
                </c:pt>
                <c:pt idx="13">
                  <c:v>1059.8767418482412</c:v>
                </c:pt>
                <c:pt idx="14">
                  <c:v>1323.0377626716963</c:v>
                </c:pt>
                <c:pt idx="15">
                  <c:v>1396.5435571999203</c:v>
                </c:pt>
                <c:pt idx="16">
                  <c:v>1465.1646769622507</c:v>
                </c:pt>
                <c:pt idx="17">
                  <c:v>1606.3670736768902</c:v>
                </c:pt>
                <c:pt idx="18">
                  <c:v>1173.2747910312567</c:v>
                </c:pt>
                <c:pt idx="19">
                  <c:v>1326.5504678385507</c:v>
                </c:pt>
                <c:pt idx="20">
                  <c:v>1318.3163626309147</c:v>
                </c:pt>
                <c:pt idx="21">
                  <c:v>1356.8722896305239</c:v>
                </c:pt>
                <c:pt idx="22">
                  <c:v>1052.5496083417588</c:v>
                </c:pt>
                <c:pt idx="23">
                  <c:v>1307.0507977306293</c:v>
                </c:pt>
                <c:pt idx="24">
                  <c:v>1208.3562638224969</c:v>
                </c:pt>
                <c:pt idx="25">
                  <c:v>1232.7815680359045</c:v>
                </c:pt>
                <c:pt idx="26">
                  <c:v>1157.0276254406676</c:v>
                </c:pt>
                <c:pt idx="27">
                  <c:v>1186.5155855573078</c:v>
                </c:pt>
                <c:pt idx="28">
                  <c:v>1393.1276420356721</c:v>
                </c:pt>
                <c:pt idx="29">
                  <c:v>1290.5595842848481</c:v>
                </c:pt>
                <c:pt idx="31">
                  <c:v>1172.8712998392314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9F-4C7A-88DD-B4180AFF5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814376"/>
        <c:axId val="744814736"/>
      </c:scatterChart>
      <c:valAx>
        <c:axId val="74481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14736"/>
        <c:crosses val="autoZero"/>
        <c:crossBetween val="midCat"/>
      </c:valAx>
      <c:valAx>
        <c:axId val="7448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1205673758865248E-2"/>
              <c:y val="0.34037631963741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1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1:1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Compare!$N$25:$N$26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Compare!$N$25:$N$26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C-4EEF-BAFE-9AFE53806AE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Compare!$B$5:$B$36</c:f>
              <c:numCache>
                <c:formatCode>_(* #,##0_);_(* \(#,##0\);_(* "-"??_);_(@_)</c:formatCode>
                <c:ptCount val="32"/>
                <c:pt idx="0">
                  <c:v>1940.273825809755</c:v>
                </c:pt>
                <c:pt idx="1">
                  <c:v>2140.1934352350681</c:v>
                </c:pt>
                <c:pt idx="2">
                  <c:v>2078.5857936892608</c:v>
                </c:pt>
                <c:pt idx="3">
                  <c:v>1646.2775972689087</c:v>
                </c:pt>
                <c:pt idx="4">
                  <c:v>1801.8098118606531</c:v>
                </c:pt>
                <c:pt idx="5">
                  <c:v>2110.6494246793036</c:v>
                </c:pt>
                <c:pt idx="6">
                  <c:v>2246.4280236272671</c:v>
                </c:pt>
                <c:pt idx="7">
                  <c:v>2309.9269317841499</c:v>
                </c:pt>
                <c:pt idx="8">
                  <c:v>2047.4329321121356</c:v>
                </c:pt>
                <c:pt idx="9">
                  <c:v>2066.923912637244</c:v>
                </c:pt>
                <c:pt idx="10">
                  <c:v>2188.9029303737252</c:v>
                </c:pt>
                <c:pt idx="11">
                  <c:v>2149.122504922193</c:v>
                </c:pt>
                <c:pt idx="12">
                  <c:v>1868.3045894224665</c:v>
                </c:pt>
                <c:pt idx="13">
                  <c:v>1730.2834140638804</c:v>
                </c:pt>
                <c:pt idx="14">
                  <c:v>2091.3318753541644</c:v>
                </c:pt>
                <c:pt idx="15">
                  <c:v>2171.9515981550853</c:v>
                </c:pt>
                <c:pt idx="16">
                  <c:v>2351.7765552168275</c:v>
                </c:pt>
                <c:pt idx="17">
                  <c:v>2464.7119916559245</c:v>
                </c:pt>
                <c:pt idx="18">
                  <c:v>1926.0543557442384</c:v>
                </c:pt>
                <c:pt idx="19">
                  <c:v>2139.0009047748758</c:v>
                </c:pt>
                <c:pt idx="20">
                  <c:v>2040.8029225810199</c:v>
                </c:pt>
                <c:pt idx="21">
                  <c:v>2102.4357435937131</c:v>
                </c:pt>
                <c:pt idx="22">
                  <c:v>1834.8956490979831</c:v>
                </c:pt>
                <c:pt idx="23">
                  <c:v>2184.6965313557671</c:v>
                </c:pt>
                <c:pt idx="24">
                  <c:v>1903.1123715276669</c:v>
                </c:pt>
                <c:pt idx="25">
                  <c:v>1979.8319613823712</c:v>
                </c:pt>
                <c:pt idx="26">
                  <c:v>1869.3312900657265</c:v>
                </c:pt>
                <c:pt idx="27">
                  <c:v>1943.4071438850744</c:v>
                </c:pt>
                <c:pt idx="28">
                  <c:v>2174.7774918948685</c:v>
                </c:pt>
                <c:pt idx="29">
                  <c:v>2017.6147397505761</c:v>
                </c:pt>
                <c:pt idx="30">
                  <c:v>2326.3162096731794</c:v>
                </c:pt>
                <c:pt idx="31">
                  <c:v>1954.1850338495683</c:v>
                </c:pt>
              </c:numCache>
            </c:numRef>
          </c:xVal>
          <c:yVal>
            <c:numRef>
              <c:f>'Raw Scale'!$O$28:$O$59</c:f>
              <c:numCache>
                <c:formatCode>0.0</c:formatCode>
                <c:ptCount val="32"/>
                <c:pt idx="0">
                  <c:v>1909.7183324899163</c:v>
                </c:pt>
                <c:pt idx="1">
                  <c:v>2106.4896016093189</c:v>
                </c:pt>
                <c:pt idx="2">
                  <c:v>2045.8521591429731</c:v>
                </c:pt>
                <c:pt idx="3">
                  <c:v>1620.3519658158552</c:v>
                </c:pt>
                <c:pt idx="4">
                  <c:v>1773.4348541935562</c:v>
                </c:pt>
                <c:pt idx="5">
                  <c:v>2077.4108510623068</c:v>
                </c:pt>
                <c:pt idx="6">
                  <c:v>2211.0512043575459</c:v>
                </c:pt>
                <c:pt idx="7">
                  <c:v>2273.5501297088094</c:v>
                </c:pt>
                <c:pt idx="8">
                  <c:v>2015.1898938111567</c:v>
                </c:pt>
                <c:pt idx="9">
                  <c:v>2034.3739297610668</c:v>
                </c:pt>
                <c:pt idx="10">
                  <c:v>2154.4320180843747</c:v>
                </c:pt>
                <c:pt idx="11">
                  <c:v>2115.2780560257806</c:v>
                </c:pt>
                <c:pt idx="12">
                  <c:v>1838.8824699040022</c:v>
                </c:pt>
                <c:pt idx="13">
                  <c:v>1703.0348563620871</c:v>
                </c:pt>
                <c:pt idx="14">
                  <c:v>2058.3975151123668</c:v>
                </c:pt>
                <c:pt idx="15">
                  <c:v>2137.7476359794146</c:v>
                </c:pt>
                <c:pt idx="16">
                  <c:v>2314.7407039535701</c:v>
                </c:pt>
                <c:pt idx="17">
                  <c:v>2425.8976295826033</c:v>
                </c:pt>
                <c:pt idx="18">
                  <c:v>1895.7227910868487</c:v>
                </c:pt>
                <c:pt idx="19">
                  <c:v>2105.3158511563738</c:v>
                </c:pt>
                <c:pt idx="20">
                  <c:v>2008.6642938789564</c:v>
                </c:pt>
                <c:pt idx="21">
                  <c:v>2069.3265192851509</c:v>
                </c:pt>
                <c:pt idx="22">
                  <c:v>1805.9996546239995</c:v>
                </c:pt>
                <c:pt idx="23">
                  <c:v>2150.2918615706376</c:v>
                </c:pt>
                <c:pt idx="24">
                  <c:v>1873.1420979603022</c:v>
                </c:pt>
                <c:pt idx="25">
                  <c:v>1948.6535052976096</c:v>
                </c:pt>
                <c:pt idx="26">
                  <c:v>1839.8930020331954</c:v>
                </c:pt>
                <c:pt idx="27">
                  <c:v>1912.8023069734986</c:v>
                </c:pt>
                <c:pt idx="28">
                  <c:v>2140.5290274555787</c:v>
                </c:pt>
                <c:pt idx="29">
                  <c:v>1985.8412792820632</c:v>
                </c:pt>
                <c:pt idx="31">
                  <c:v>1923.4104663873702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C-4EEF-BAFE-9AFE53806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814376"/>
        <c:axId val="744814736"/>
      </c:scatterChart>
      <c:valAx>
        <c:axId val="74481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14736"/>
        <c:crosses val="autoZero"/>
        <c:crossBetween val="midCat"/>
      </c:valAx>
      <c:valAx>
        <c:axId val="7448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81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4</xdr:row>
      <xdr:rowOff>149542</xdr:rowOff>
    </xdr:from>
    <xdr:to>
      <xdr:col>11</xdr:col>
      <xdr:colOff>533400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9E76F-1AEC-6D07-7E1B-BE3AB9458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23</xdr:row>
      <xdr:rowOff>142875</xdr:rowOff>
    </xdr:from>
    <xdr:to>
      <xdr:col>11</xdr:col>
      <xdr:colOff>567690</xdr:colOff>
      <xdr:row>41</xdr:row>
      <xdr:rowOff>67628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CA5496-3E5C-4FC5-9E86-D76EFBB91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AE59"/>
  <sheetViews>
    <sheetView tabSelected="1" workbookViewId="0"/>
  </sheetViews>
  <sheetFormatPr defaultRowHeight="15" x14ac:dyDescent="0.25"/>
  <cols>
    <col min="5" max="5" width="10.5703125" bestFit="1" customWidth="1"/>
    <col min="20" max="20" width="10.5703125" bestFit="1" customWidth="1"/>
    <col min="21" max="21" width="8.85546875" customWidth="1"/>
  </cols>
  <sheetData>
    <row r="1" spans="1:1" x14ac:dyDescent="0.25">
      <c r="A1" t="s">
        <v>60</v>
      </c>
    </row>
    <row r="2" spans="1:1" x14ac:dyDescent="0.25">
      <c r="A2" t="s">
        <v>61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62</v>
      </c>
    </row>
    <row r="6" spans="1:1" x14ac:dyDescent="0.25">
      <c r="A6" t="s">
        <v>64</v>
      </c>
    </row>
    <row r="7" spans="1:1" x14ac:dyDescent="0.25">
      <c r="A7" t="s">
        <v>63</v>
      </c>
    </row>
    <row r="8" spans="1:1" x14ac:dyDescent="0.25">
      <c r="A8" t="s">
        <v>65</v>
      </c>
    </row>
    <row r="9" spans="1:1" x14ac:dyDescent="0.25">
      <c r="A9" t="s">
        <v>66</v>
      </c>
    </row>
    <row r="10" spans="1:1" x14ac:dyDescent="0.25">
      <c r="A10" t="s">
        <v>81</v>
      </c>
    </row>
    <row r="11" spans="1:1" x14ac:dyDescent="0.25">
      <c r="A11" t="s">
        <v>67</v>
      </c>
    </row>
    <row r="12" spans="1:1" x14ac:dyDescent="0.25">
      <c r="A12" t="s">
        <v>68</v>
      </c>
    </row>
    <row r="13" spans="1:1" x14ac:dyDescent="0.25">
      <c r="A13" t="s">
        <v>76</v>
      </c>
    </row>
    <row r="14" spans="1:1" x14ac:dyDescent="0.25">
      <c r="A14" t="s">
        <v>69</v>
      </c>
    </row>
    <row r="15" spans="1:1" x14ac:dyDescent="0.25">
      <c r="A15" t="s">
        <v>70</v>
      </c>
    </row>
    <row r="16" spans="1:1" x14ac:dyDescent="0.25">
      <c r="A16" t="s">
        <v>71</v>
      </c>
    </row>
    <row r="18" spans="1:31" x14ac:dyDescent="0.25">
      <c r="A18" t="s">
        <v>42</v>
      </c>
    </row>
    <row r="19" spans="1:31" x14ac:dyDescent="0.25">
      <c r="A19">
        <f>22*1.016*2</f>
        <v>44.704000000000001</v>
      </c>
      <c r="B19" t="s">
        <v>41</v>
      </c>
    </row>
    <row r="20" spans="1:31" x14ac:dyDescent="0.25">
      <c r="A20">
        <v>10000</v>
      </c>
      <c r="B20" t="s">
        <v>43</v>
      </c>
      <c r="R20" t="s">
        <v>58</v>
      </c>
    </row>
    <row r="22" spans="1:31" x14ac:dyDescent="0.25">
      <c r="C22" s="1"/>
      <c r="D22" s="1" t="s">
        <v>2</v>
      </c>
      <c r="E22" s="1" t="s">
        <v>2</v>
      </c>
      <c r="F22" t="s">
        <v>2</v>
      </c>
      <c r="G22" s="1" t="s">
        <v>2</v>
      </c>
      <c r="H22" t="s">
        <v>44</v>
      </c>
      <c r="I22" t="s">
        <v>44</v>
      </c>
      <c r="J22" t="s">
        <v>44</v>
      </c>
      <c r="K22" s="1" t="s">
        <v>44</v>
      </c>
      <c r="L22" s="1" t="s">
        <v>44</v>
      </c>
      <c r="M22" s="1" t="s">
        <v>44</v>
      </c>
      <c r="N22" s="1" t="s">
        <v>54</v>
      </c>
      <c r="O22" s="1" t="s">
        <v>54</v>
      </c>
      <c r="P22" s="1" t="s">
        <v>54</v>
      </c>
      <c r="S22" t="s">
        <v>2</v>
      </c>
      <c r="T22" t="s">
        <v>2</v>
      </c>
      <c r="U22" t="s">
        <v>2</v>
      </c>
      <c r="V22" t="s">
        <v>2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54</v>
      </c>
      <c r="AD22" t="s">
        <v>54</v>
      </c>
      <c r="AE22" t="s">
        <v>54</v>
      </c>
    </row>
    <row r="23" spans="1:31" x14ac:dyDescent="0.25">
      <c r="C23" s="1"/>
      <c r="D23" s="1"/>
      <c r="E23" s="1"/>
      <c r="G23" s="1"/>
      <c r="K23" s="1"/>
      <c r="L23" s="1"/>
      <c r="M23" s="1"/>
      <c r="N23" s="1"/>
      <c r="O23" s="1"/>
      <c r="P23" s="1"/>
    </row>
    <row r="24" spans="1:31" x14ac:dyDescent="0.25">
      <c r="C24" s="1"/>
      <c r="D24" s="1"/>
      <c r="E24" s="1"/>
      <c r="F24" t="s">
        <v>36</v>
      </c>
      <c r="G24" s="1"/>
      <c r="H24" t="s">
        <v>45</v>
      </c>
      <c r="I24" t="s">
        <v>48</v>
      </c>
      <c r="J24" t="s">
        <v>49</v>
      </c>
      <c r="K24" s="1"/>
      <c r="L24" s="1"/>
      <c r="M24" s="1"/>
      <c r="N24" s="1"/>
      <c r="O24" s="1"/>
      <c r="P24" s="1"/>
      <c r="U24" t="s">
        <v>36</v>
      </c>
      <c r="W24" t="s">
        <v>45</v>
      </c>
      <c r="X24" t="s">
        <v>48</v>
      </c>
      <c r="Y24" t="s">
        <v>49</v>
      </c>
    </row>
    <row r="25" spans="1:31" x14ac:dyDescent="0.25">
      <c r="A25" t="s">
        <v>0</v>
      </c>
      <c r="B25" t="s">
        <v>1</v>
      </c>
      <c r="C25" s="1" t="s">
        <v>35</v>
      </c>
      <c r="D25" s="1" t="s">
        <v>72</v>
      </c>
      <c r="E25" s="1" t="s">
        <v>37</v>
      </c>
      <c r="G25" s="1" t="s">
        <v>39</v>
      </c>
      <c r="H25" t="s">
        <v>46</v>
      </c>
      <c r="I25" t="s">
        <v>46</v>
      </c>
      <c r="J25" t="s">
        <v>46</v>
      </c>
      <c r="K25" s="1" t="s">
        <v>50</v>
      </c>
      <c r="L25" s="1" t="s">
        <v>51</v>
      </c>
      <c r="M25" s="1" t="s">
        <v>52</v>
      </c>
      <c r="N25" s="1" t="s">
        <v>55</v>
      </c>
      <c r="O25" s="1" t="s">
        <v>56</v>
      </c>
      <c r="P25" s="1" t="s">
        <v>57</v>
      </c>
      <c r="R25" t="s">
        <v>59</v>
      </c>
      <c r="S25" t="s">
        <v>72</v>
      </c>
      <c r="T25" t="s">
        <v>37</v>
      </c>
      <c r="V25" t="s">
        <v>39</v>
      </c>
      <c r="W25" t="s">
        <v>46</v>
      </c>
      <c r="X25" t="s">
        <v>46</v>
      </c>
      <c r="Y25" t="s">
        <v>46</v>
      </c>
      <c r="Z25" t="s">
        <v>50</v>
      </c>
      <c r="AA25" t="s">
        <v>51</v>
      </c>
      <c r="AB25" t="s">
        <v>52</v>
      </c>
      <c r="AC25" t="s">
        <v>55</v>
      </c>
      <c r="AD25" t="s">
        <v>56</v>
      </c>
      <c r="AE25" t="s">
        <v>57</v>
      </c>
    </row>
    <row r="26" spans="1:31" x14ac:dyDescent="0.25">
      <c r="C26" s="1"/>
      <c r="D26" s="1"/>
      <c r="E26" s="1"/>
      <c r="F26" t="s">
        <v>38</v>
      </c>
      <c r="G26" s="1" t="s">
        <v>40</v>
      </c>
      <c r="H26" t="s">
        <v>47</v>
      </c>
      <c r="I26" t="s">
        <v>47</v>
      </c>
      <c r="J26" t="s">
        <v>47</v>
      </c>
      <c r="K26" s="6" t="s">
        <v>53</v>
      </c>
      <c r="L26" s="6" t="s">
        <v>53</v>
      </c>
      <c r="M26" s="6" t="s">
        <v>53</v>
      </c>
      <c r="N26" s="6" t="s">
        <v>40</v>
      </c>
      <c r="O26" s="6" t="s">
        <v>40</v>
      </c>
      <c r="P26" s="6" t="s">
        <v>40</v>
      </c>
      <c r="V26" t="s">
        <v>40</v>
      </c>
      <c r="W26" t="s">
        <v>47</v>
      </c>
      <c r="X26" t="s">
        <v>47</v>
      </c>
      <c r="Y26" t="s">
        <v>47</v>
      </c>
      <c r="Z26" t="s">
        <v>53</v>
      </c>
      <c r="AA26" t="s">
        <v>53</v>
      </c>
      <c r="AB26" t="s">
        <v>53</v>
      </c>
      <c r="AC26" t="s">
        <v>40</v>
      </c>
      <c r="AD26" t="s">
        <v>40</v>
      </c>
      <c r="AE26" t="s">
        <v>40</v>
      </c>
    </row>
    <row r="27" spans="1:31" x14ac:dyDescent="0.25">
      <c r="A27" t="s">
        <v>0</v>
      </c>
      <c r="B27" t="s">
        <v>1</v>
      </c>
      <c r="C27" s="1" t="s">
        <v>35</v>
      </c>
      <c r="D27" s="1" t="s">
        <v>72</v>
      </c>
      <c r="E27" s="1" t="s">
        <v>37</v>
      </c>
      <c r="G27" s="1" t="s">
        <v>39</v>
      </c>
      <c r="K27" s="1" t="s">
        <v>50</v>
      </c>
      <c r="L27" s="1" t="s">
        <v>51</v>
      </c>
      <c r="M27" s="1" t="s">
        <v>52</v>
      </c>
      <c r="N27" s="1" t="s">
        <v>55</v>
      </c>
      <c r="O27" s="1" t="s">
        <v>56</v>
      </c>
      <c r="P27" s="1" t="s">
        <v>57</v>
      </c>
      <c r="S27" t="s">
        <v>72</v>
      </c>
      <c r="T27" t="s">
        <v>37</v>
      </c>
      <c r="V27" t="s">
        <v>39</v>
      </c>
      <c r="Z27" t="s">
        <v>50</v>
      </c>
      <c r="AA27" t="s">
        <v>51</v>
      </c>
      <c r="AB27" t="s">
        <v>52</v>
      </c>
      <c r="AC27" t="s">
        <v>55</v>
      </c>
      <c r="AD27" t="s">
        <v>56</v>
      </c>
      <c r="AE27" t="s">
        <v>57</v>
      </c>
    </row>
    <row r="28" spans="1:31" x14ac:dyDescent="0.25">
      <c r="A28">
        <v>1</v>
      </c>
      <c r="B28">
        <v>1</v>
      </c>
      <c r="C28" s="1" t="s">
        <v>98</v>
      </c>
      <c r="D28" s="1" t="s">
        <v>75</v>
      </c>
      <c r="E28" s="2">
        <v>36476</v>
      </c>
      <c r="F28" s="3">
        <v>15.68</v>
      </c>
      <c r="G28" s="5">
        <f>F28/$A$19*$A$20</f>
        <v>3507.5161059413031</v>
      </c>
      <c r="H28" s="3">
        <v>1146.98</v>
      </c>
      <c r="I28" s="3">
        <v>389.94</v>
      </c>
      <c r="J28" s="3">
        <v>624.49</v>
      </c>
      <c r="K28" s="8">
        <f>I28/H28</f>
        <v>0.33997105442117559</v>
      </c>
      <c r="L28" s="8">
        <f>J28/H28</f>
        <v>0.54446459397722713</v>
      </c>
      <c r="M28" s="8">
        <f>1-K28-L28</f>
        <v>0.11556435160159728</v>
      </c>
      <c r="N28" s="5">
        <f>G28*K28</f>
        <v>1192.4539489361207</v>
      </c>
      <c r="O28" s="5">
        <f>G28*L28</f>
        <v>1909.7183324899163</v>
      </c>
      <c r="P28" s="5">
        <f>N28+O28</f>
        <v>3102.172281426037</v>
      </c>
      <c r="R28">
        <v>1</v>
      </c>
      <c r="S28" t="s">
        <v>75</v>
      </c>
      <c r="T28" s="9">
        <v>36476</v>
      </c>
      <c r="U28" s="3">
        <f>SUM(F28:F29)</f>
        <v>32.909999999999997</v>
      </c>
      <c r="V28" s="4">
        <f>U28/(2*$A$19)*$A$20</f>
        <v>3680.8786685755185</v>
      </c>
      <c r="W28" s="3">
        <f>SUM(H28:H29)</f>
        <v>2285.5100000000002</v>
      </c>
      <c r="X28" s="3">
        <f>SUM(I28:I29)</f>
        <v>771.73</v>
      </c>
      <c r="Y28" s="3">
        <f>SUM(J28:J29)</f>
        <v>1246.74</v>
      </c>
      <c r="Z28" s="7">
        <f>X28/W28</f>
        <v>0.33766205354603568</v>
      </c>
      <c r="AA28" s="7">
        <f>Y28/W28</f>
        <v>0.54549750383940565</v>
      </c>
      <c r="AB28" s="7">
        <f>1-Z28-AA28</f>
        <v>0.11684044261455862</v>
      </c>
      <c r="AC28" s="4">
        <f>V28*Z28</f>
        <v>1242.8930500850072</v>
      </c>
      <c r="AD28" s="4">
        <f>V28*AA28</f>
        <v>2007.9101256436602</v>
      </c>
      <c r="AE28" s="4">
        <f>SUM(AC28:AD28)</f>
        <v>3250.8031757286672</v>
      </c>
    </row>
    <row r="29" spans="1:31" x14ac:dyDescent="0.25">
      <c r="A29">
        <v>1</v>
      </c>
      <c r="B29">
        <v>1</v>
      </c>
      <c r="C29" s="1" t="s">
        <v>99</v>
      </c>
      <c r="D29" s="1" t="s">
        <v>75</v>
      </c>
      <c r="E29" s="2">
        <v>36476</v>
      </c>
      <c r="F29" s="3">
        <v>17.23</v>
      </c>
      <c r="G29" s="5">
        <f t="shared" ref="G29:G59" si="0">F29/$A$19*$A$20</f>
        <v>3854.2412312097354</v>
      </c>
      <c r="H29" s="3">
        <v>1138.53</v>
      </c>
      <c r="I29" s="3">
        <v>381.79</v>
      </c>
      <c r="J29" s="3">
        <v>622.25</v>
      </c>
      <c r="K29" s="8">
        <f t="shared" ref="K29:K59" si="1">I29/H29</f>
        <v>0.33533591561048021</v>
      </c>
      <c r="L29" s="8">
        <f t="shared" ref="L29:L59" si="2">J29/H29</f>
        <v>0.5465380798046604</v>
      </c>
      <c r="M29" s="8">
        <f t="shared" ref="M29:M59" si="3">1-K29-L29</f>
        <v>0.11812600458485933</v>
      </c>
      <c r="N29" s="5">
        <f t="shared" ref="N29:N59" si="4">G29*K29</f>
        <v>1292.4655122513811</v>
      </c>
      <c r="O29" s="5">
        <f t="shared" ref="O29:O59" si="5">G29*L29</f>
        <v>2106.4896016093189</v>
      </c>
      <c r="P29" s="5">
        <f t="shared" ref="P29:P59" si="6">N29+O29</f>
        <v>3398.9551138607003</v>
      </c>
      <c r="U29" s="3"/>
      <c r="W29" s="3"/>
      <c r="X29" s="3"/>
      <c r="Y29" s="3"/>
      <c r="Z29" s="7"/>
      <c r="AA29" s="7"/>
      <c r="AB29" s="7"/>
      <c r="AC29" s="4"/>
      <c r="AD29" s="4"/>
      <c r="AE29" s="4"/>
    </row>
    <row r="30" spans="1:31" x14ac:dyDescent="0.25">
      <c r="A30">
        <v>2</v>
      </c>
      <c r="B30">
        <v>1</v>
      </c>
      <c r="C30" s="1" t="s">
        <v>100</v>
      </c>
      <c r="D30" s="1" t="s">
        <v>75</v>
      </c>
      <c r="E30" s="2">
        <v>36476</v>
      </c>
      <c r="F30" s="3">
        <v>16.38</v>
      </c>
      <c r="G30" s="5">
        <f t="shared" si="0"/>
        <v>3664.1016463851106</v>
      </c>
      <c r="H30" s="3">
        <v>1042.8400000000001</v>
      </c>
      <c r="I30" s="3">
        <v>381.02</v>
      </c>
      <c r="J30" s="3">
        <v>582.27</v>
      </c>
      <c r="K30" s="8">
        <f t="shared" si="1"/>
        <v>0.36536764987917603</v>
      </c>
      <c r="L30" s="8">
        <f t="shared" si="2"/>
        <v>0.55835027425108352</v>
      </c>
      <c r="M30" s="8">
        <f t="shared" si="3"/>
        <v>7.6282075869740451E-2</v>
      </c>
      <c r="N30" s="5">
        <f t="shared" si="4"/>
        <v>1338.7442074581475</v>
      </c>
      <c r="O30" s="5">
        <f t="shared" si="5"/>
        <v>2045.8521591429731</v>
      </c>
      <c r="P30" s="5">
        <f t="shared" si="6"/>
        <v>3384.5963666011203</v>
      </c>
      <c r="R30">
        <v>2</v>
      </c>
      <c r="S30" t="s">
        <v>75</v>
      </c>
      <c r="T30" s="9">
        <v>36476</v>
      </c>
      <c r="U30" s="3">
        <f>SUM(F30:F31)</f>
        <v>30.259999999999998</v>
      </c>
      <c r="V30" s="4">
        <f>U30/(2*$A$19)*$A$20</f>
        <v>3384.4846098783105</v>
      </c>
      <c r="W30" s="3">
        <f>SUM(H30:H31)</f>
        <v>2014.2800000000002</v>
      </c>
      <c r="X30" s="3">
        <f>SUM(I30:I31)</f>
        <v>719.27</v>
      </c>
      <c r="Y30" s="3">
        <f>SUM(J30:J31)</f>
        <v>1089.24</v>
      </c>
      <c r="Z30" s="7">
        <f>X30/W30</f>
        <v>0.35708541017137635</v>
      </c>
      <c r="AA30" s="7">
        <f>Y30/W30</f>
        <v>0.5407589808765414</v>
      </c>
      <c r="AB30" s="7">
        <f>1-Z30-AA30</f>
        <v>0.10215560895208231</v>
      </c>
      <c r="AC30" s="4">
        <f>V30*Z30</f>
        <v>1208.5500751371071</v>
      </c>
      <c r="AD30" s="4">
        <f>V30*AA30</f>
        <v>1830.190448430134</v>
      </c>
      <c r="AE30" s="4">
        <f>SUM(AC30:AD30)</f>
        <v>3038.7405235672413</v>
      </c>
    </row>
    <row r="31" spans="1:31" x14ac:dyDescent="0.25">
      <c r="A31">
        <v>2</v>
      </c>
      <c r="B31">
        <v>1</v>
      </c>
      <c r="C31" s="1" t="s">
        <v>101</v>
      </c>
      <c r="D31" s="1" t="s">
        <v>75</v>
      </c>
      <c r="E31" s="2">
        <v>36476</v>
      </c>
      <c r="F31" s="3">
        <v>13.879999999999999</v>
      </c>
      <c r="G31" s="5">
        <f>F31/$A$19*$A$20</f>
        <v>3104.8675733715104</v>
      </c>
      <c r="H31" s="3">
        <v>971.44</v>
      </c>
      <c r="I31" s="3">
        <v>338.25</v>
      </c>
      <c r="J31" s="3">
        <v>506.96999999999997</v>
      </c>
      <c r="K31" s="8">
        <f t="shared" si="1"/>
        <v>0.34819443300667047</v>
      </c>
      <c r="L31" s="8">
        <f t="shared" si="2"/>
        <v>0.52187474265008638</v>
      </c>
      <c r="M31" s="8">
        <f t="shared" si="3"/>
        <v>0.12993082434324321</v>
      </c>
      <c r="N31" s="5">
        <f t="shared" si="4"/>
        <v>1081.0976042708899</v>
      </c>
      <c r="O31" s="5">
        <f t="shared" si="5"/>
        <v>1620.3519658158552</v>
      </c>
      <c r="P31" s="5">
        <f t="shared" si="6"/>
        <v>2701.4495700867451</v>
      </c>
      <c r="U31" s="3"/>
      <c r="W31" s="3"/>
      <c r="X31" s="3"/>
      <c r="Y31" s="3"/>
      <c r="Z31" s="7"/>
      <c r="AA31" s="7"/>
      <c r="AB31" s="7"/>
      <c r="AC31" s="4"/>
      <c r="AD31" s="4"/>
      <c r="AE31" s="4"/>
    </row>
    <row r="32" spans="1:31" x14ac:dyDescent="0.25">
      <c r="A32">
        <v>3</v>
      </c>
      <c r="B32">
        <v>1</v>
      </c>
      <c r="C32" s="1" t="s">
        <v>102</v>
      </c>
      <c r="D32" s="1" t="s">
        <v>75</v>
      </c>
      <c r="E32" s="2">
        <v>36476</v>
      </c>
      <c r="F32" s="3">
        <v>14.81</v>
      </c>
      <c r="G32" s="5">
        <f t="shared" si="0"/>
        <v>3312.9026485325699</v>
      </c>
      <c r="H32" s="3">
        <v>1009.02</v>
      </c>
      <c r="I32" s="3">
        <v>346.65000000000003</v>
      </c>
      <c r="J32" s="3">
        <v>540.14</v>
      </c>
      <c r="K32" s="8">
        <f t="shared" si="1"/>
        <v>0.34355116846048644</v>
      </c>
      <c r="L32" s="8">
        <f>J32/H32</f>
        <v>0.53531149035698</v>
      </c>
      <c r="M32" s="8">
        <f t="shared" si="3"/>
        <v>0.12113734118253361</v>
      </c>
      <c r="N32" s="5">
        <f t="shared" si="4"/>
        <v>1138.1515758992045</v>
      </c>
      <c r="O32" s="5">
        <f t="shared" si="5"/>
        <v>1773.4348541935562</v>
      </c>
      <c r="P32" s="5">
        <f t="shared" si="6"/>
        <v>2911.5864300927606</v>
      </c>
      <c r="R32">
        <v>3</v>
      </c>
      <c r="S32" t="s">
        <v>75</v>
      </c>
      <c r="T32" s="9">
        <v>36476</v>
      </c>
      <c r="U32" s="3">
        <f>SUM(F32:F33)</f>
        <v>31.439999999999998</v>
      </c>
      <c r="V32" s="4">
        <f>U32/(2*$A$19)*$A$20</f>
        <v>3516.4638511095204</v>
      </c>
      <c r="W32" s="3">
        <f>SUM(H32:H33)</f>
        <v>1851.08</v>
      </c>
      <c r="X32" s="3">
        <f>SUM(I32:I33)</f>
        <v>640.62000000000012</v>
      </c>
      <c r="Y32" s="3">
        <f>SUM(J32:J33)</f>
        <v>1010.38</v>
      </c>
      <c r="Z32" s="7">
        <f>X32/W32</f>
        <v>0.34607904574626713</v>
      </c>
      <c r="AA32" s="7">
        <f>Y32/W32</f>
        <v>0.54583270307063991</v>
      </c>
      <c r="AB32" s="7">
        <f>1-Z32-AA32</f>
        <v>0.10808825118309295</v>
      </c>
      <c r="AC32" s="4">
        <f>V32*Z32</f>
        <v>1216.9744539932265</v>
      </c>
      <c r="AD32" s="4">
        <f>V32*AA32</f>
        <v>1919.4009691013018</v>
      </c>
      <c r="AE32" s="4">
        <f>SUM(AC32:AD32)</f>
        <v>3136.3754230945283</v>
      </c>
    </row>
    <row r="33" spans="1:31" x14ac:dyDescent="0.25">
      <c r="A33">
        <v>3</v>
      </c>
      <c r="B33">
        <v>1</v>
      </c>
      <c r="C33" s="1" t="s">
        <v>103</v>
      </c>
      <c r="D33" s="1" t="s">
        <v>75</v>
      </c>
      <c r="E33" s="2">
        <v>36476</v>
      </c>
      <c r="F33" s="3">
        <v>16.63</v>
      </c>
      <c r="G33" s="5">
        <f t="shared" si="0"/>
        <v>3720.025053686471</v>
      </c>
      <c r="H33" s="3">
        <v>842.06</v>
      </c>
      <c r="I33" s="3">
        <v>293.97000000000003</v>
      </c>
      <c r="J33" s="3">
        <v>470.24</v>
      </c>
      <c r="K33" s="8">
        <f t="shared" si="1"/>
        <v>0.34910813956250153</v>
      </c>
      <c r="L33" s="8">
        <f t="shared" si="2"/>
        <v>0.55844001615086813</v>
      </c>
      <c r="M33" s="8">
        <f t="shared" si="3"/>
        <v>9.2451844286630336E-2</v>
      </c>
      <c r="N33" s="5">
        <f t="shared" si="4"/>
        <v>1298.6910256183787</v>
      </c>
      <c r="O33" s="5">
        <f t="shared" si="5"/>
        <v>2077.4108510623068</v>
      </c>
      <c r="P33" s="5">
        <f t="shared" si="6"/>
        <v>3376.1018766806856</v>
      </c>
      <c r="U33" s="3"/>
      <c r="W33" s="3"/>
      <c r="X33" s="3"/>
      <c r="Y33" s="3"/>
      <c r="Z33" s="7"/>
      <c r="AA33" s="7"/>
      <c r="AB33" s="7"/>
      <c r="AC33" s="4"/>
      <c r="AD33" s="4"/>
      <c r="AE33" s="4"/>
    </row>
    <row r="34" spans="1:31" x14ac:dyDescent="0.25">
      <c r="A34">
        <v>4</v>
      </c>
      <c r="B34">
        <v>1</v>
      </c>
      <c r="C34" s="1" t="s">
        <v>104</v>
      </c>
      <c r="D34" s="1" t="s">
        <v>75</v>
      </c>
      <c r="E34" s="2">
        <v>36476</v>
      </c>
      <c r="F34" s="3">
        <v>18.05</v>
      </c>
      <c r="G34" s="5">
        <f t="shared" si="0"/>
        <v>4037.6700071581963</v>
      </c>
      <c r="H34" s="3">
        <v>1197.23</v>
      </c>
      <c r="I34" s="3">
        <v>422.03000000000003</v>
      </c>
      <c r="J34" s="3">
        <v>655.6099999999999</v>
      </c>
      <c r="K34" s="8">
        <f>I34/H34</f>
        <v>0.35250536655446324</v>
      </c>
      <c r="L34" s="8">
        <f t="shared" si="2"/>
        <v>0.54760572321107881</v>
      </c>
      <c r="M34" s="8">
        <f t="shared" si="3"/>
        <v>9.9888910234457895E-2</v>
      </c>
      <c r="N34" s="5">
        <f t="shared" si="4"/>
        <v>1423.3003458992623</v>
      </c>
      <c r="O34" s="5">
        <f t="shared" si="5"/>
        <v>2211.0512043575459</v>
      </c>
      <c r="P34" s="5">
        <f t="shared" si="6"/>
        <v>3634.351550256808</v>
      </c>
      <c r="R34">
        <v>4</v>
      </c>
      <c r="S34" t="s">
        <v>75</v>
      </c>
      <c r="T34" s="9">
        <v>36476</v>
      </c>
      <c r="U34" s="3">
        <f>SUM(F34:F35)</f>
        <v>36.89</v>
      </c>
      <c r="V34" s="4">
        <f>U34/(2*$A$19)*$A$20</f>
        <v>4126.0289906943444</v>
      </c>
      <c r="W34" s="3">
        <f>SUM(H34:H35)</f>
        <v>2065.41</v>
      </c>
      <c r="X34" s="3">
        <f>SUM(I34:I35)</f>
        <v>728.6400000000001</v>
      </c>
      <c r="Y34" s="3">
        <f>SUM(J34:J35)</f>
        <v>1123.9699999999998</v>
      </c>
      <c r="Z34" s="7">
        <f>X34/W34</f>
        <v>0.35278225630746446</v>
      </c>
      <c r="AA34" s="7">
        <f>Y34/W34</f>
        <v>0.544187352632165</v>
      </c>
      <c r="AB34" s="7">
        <f>1-Z34-AA34</f>
        <v>0.10303039106037049</v>
      </c>
      <c r="AC34" s="4">
        <f>V34*Z34</f>
        <v>1455.5898169271611</v>
      </c>
      <c r="AD34" s="4">
        <f>V34*AA34</f>
        <v>2245.3327933295191</v>
      </c>
      <c r="AE34" s="4">
        <f>SUM(AC34:AD34)</f>
        <v>3700.9226102566799</v>
      </c>
    </row>
    <row r="35" spans="1:31" x14ac:dyDescent="0.25">
      <c r="A35">
        <v>4</v>
      </c>
      <c r="B35">
        <v>1</v>
      </c>
      <c r="C35" s="1" t="s">
        <v>105</v>
      </c>
      <c r="D35" s="1" t="s">
        <v>75</v>
      </c>
      <c r="E35" s="2">
        <v>36476</v>
      </c>
      <c r="F35" s="3">
        <v>18.84</v>
      </c>
      <c r="G35" s="5">
        <f t="shared" si="0"/>
        <v>4214.3879742304944</v>
      </c>
      <c r="H35" s="3">
        <v>868.18000000000006</v>
      </c>
      <c r="I35" s="3">
        <v>306.61</v>
      </c>
      <c r="J35" s="3">
        <v>468.36</v>
      </c>
      <c r="K35" s="8">
        <f t="shared" si="1"/>
        <v>0.35316409039600083</v>
      </c>
      <c r="L35" s="8">
        <f t="shared" si="2"/>
        <v>0.539473381096086</v>
      </c>
      <c r="M35" s="8">
        <f>1-K35-L35</f>
        <v>0.10736252850791317</v>
      </c>
      <c r="N35" s="5">
        <f t="shared" si="4"/>
        <v>1488.3704954949571</v>
      </c>
      <c r="O35" s="5">
        <f>G35*L35</f>
        <v>2273.5501297088094</v>
      </c>
      <c r="P35" s="5">
        <f t="shared" si="6"/>
        <v>3761.9206252037666</v>
      </c>
      <c r="U35" s="3"/>
      <c r="W35" s="3"/>
      <c r="X35" s="3"/>
      <c r="Y35" s="3"/>
      <c r="Z35" s="7"/>
      <c r="AA35" s="7"/>
      <c r="AB35" s="7"/>
      <c r="AC35" s="4"/>
      <c r="AD35" s="4"/>
      <c r="AE35" s="4"/>
    </row>
    <row r="36" spans="1:31" x14ac:dyDescent="0.25">
      <c r="A36">
        <v>1</v>
      </c>
      <c r="B36">
        <v>2</v>
      </c>
      <c r="C36" s="1" t="s">
        <v>106</v>
      </c>
      <c r="D36" s="1" t="s">
        <v>75</v>
      </c>
      <c r="E36" s="2">
        <v>36476</v>
      </c>
      <c r="F36" s="3">
        <v>16.53</v>
      </c>
      <c r="G36" s="5">
        <f t="shared" si="0"/>
        <v>3697.6556907659269</v>
      </c>
      <c r="H36" s="3">
        <v>1116.44</v>
      </c>
      <c r="I36" s="3">
        <v>385.32</v>
      </c>
      <c r="J36" s="3">
        <v>608.44999999999993</v>
      </c>
      <c r="K36" s="8">
        <f t="shared" si="1"/>
        <v>0.34513274336283184</v>
      </c>
      <c r="L36" s="8">
        <f t="shared" si="2"/>
        <v>0.54499122209881401</v>
      </c>
      <c r="M36" s="8">
        <f t="shared" si="3"/>
        <v>0.10987603453835415</v>
      </c>
      <c r="N36" s="5">
        <f>G36*K36</f>
        <v>1276.1820525652313</v>
      </c>
      <c r="O36" s="5">
        <f t="shared" si="5"/>
        <v>2015.1898938111567</v>
      </c>
      <c r="P36" s="5">
        <f t="shared" si="6"/>
        <v>3291.3719463763882</v>
      </c>
      <c r="R36">
        <v>5</v>
      </c>
      <c r="S36" t="s">
        <v>75</v>
      </c>
      <c r="T36" s="9">
        <v>36476</v>
      </c>
      <c r="U36" s="3">
        <f>SUM(F36:F37)</f>
        <v>32.900000000000006</v>
      </c>
      <c r="V36" s="4">
        <f>U36/(2*$A$19)*$A$20</f>
        <v>3679.7602004294922</v>
      </c>
      <c r="W36" s="3">
        <f>SUM(H36:H37)</f>
        <v>1992.1200000000001</v>
      </c>
      <c r="X36" s="3">
        <f>SUM(I36:I37)</f>
        <v>692.25</v>
      </c>
      <c r="Y36" s="3">
        <f>SUM(J36:J37)</f>
        <v>1094.94</v>
      </c>
      <c r="Z36" s="7">
        <f>X36/W36</f>
        <v>0.34749412685982772</v>
      </c>
      <c r="AA36" s="7">
        <f>Y36/W36</f>
        <v>0.54963556412264325</v>
      </c>
      <c r="AB36" s="7">
        <f>1-Z36-AA36</f>
        <v>0.10287030901752903</v>
      </c>
      <c r="AC36" s="4">
        <f>V36*Z36</f>
        <v>1278.695057901791</v>
      </c>
      <c r="AD36" s="4">
        <f>V36*AA36</f>
        <v>2022.5270735991148</v>
      </c>
      <c r="AE36" s="4">
        <f>SUM(AC36:AD36)</f>
        <v>3301.2221315009056</v>
      </c>
    </row>
    <row r="37" spans="1:31" x14ac:dyDescent="0.25">
      <c r="A37">
        <v>1</v>
      </c>
      <c r="B37">
        <v>2</v>
      </c>
      <c r="C37" s="1" t="s">
        <v>107</v>
      </c>
      <c r="D37" s="1" t="s">
        <v>75</v>
      </c>
      <c r="E37" s="2">
        <v>36476</v>
      </c>
      <c r="F37" s="3">
        <v>16.37</v>
      </c>
      <c r="G37" s="5">
        <f t="shared" si="0"/>
        <v>3661.8647100930566</v>
      </c>
      <c r="H37" s="3">
        <v>875.68000000000006</v>
      </c>
      <c r="I37" s="3">
        <v>306.93</v>
      </c>
      <c r="J37" s="3">
        <v>486.49</v>
      </c>
      <c r="K37" s="8">
        <f t="shared" si="1"/>
        <v>0.35050475059382419</v>
      </c>
      <c r="L37" s="8">
        <f t="shared" si="2"/>
        <v>0.55555682441074361</v>
      </c>
      <c r="M37" s="8">
        <f t="shared" si="3"/>
        <v>9.3938424995432257E-2</v>
      </c>
      <c r="N37" s="5">
        <f t="shared" si="4"/>
        <v>1283.500976919493</v>
      </c>
      <c r="O37" s="5">
        <f t="shared" si="5"/>
        <v>2034.3739297610668</v>
      </c>
      <c r="P37" s="5">
        <f t="shared" si="6"/>
        <v>3317.8749066805599</v>
      </c>
      <c r="U37" s="3"/>
      <c r="W37" s="3"/>
      <c r="X37" s="3"/>
      <c r="Y37" s="3"/>
      <c r="Z37" s="7"/>
      <c r="AA37" s="7"/>
      <c r="AB37" s="7"/>
      <c r="AC37" s="4"/>
      <c r="AD37" s="4"/>
      <c r="AE37" s="4"/>
    </row>
    <row r="38" spans="1:31" x14ac:dyDescent="0.25">
      <c r="A38">
        <v>2</v>
      </c>
      <c r="B38">
        <v>2</v>
      </c>
      <c r="C38" s="1" t="s">
        <v>108</v>
      </c>
      <c r="D38" s="1" t="s">
        <v>75</v>
      </c>
      <c r="E38" s="2">
        <v>36476</v>
      </c>
      <c r="F38" s="3">
        <v>17.3</v>
      </c>
      <c r="G38" s="5">
        <f t="shared" si="0"/>
        <v>3869.8997852541161</v>
      </c>
      <c r="H38" s="3">
        <v>1026.18</v>
      </c>
      <c r="I38" s="3">
        <v>354.89</v>
      </c>
      <c r="J38" s="3">
        <v>571.29</v>
      </c>
      <c r="K38" s="8">
        <f t="shared" si="1"/>
        <v>0.34583601317507645</v>
      </c>
      <c r="L38" s="8">
        <f t="shared" si="2"/>
        <v>0.55671519616441556</v>
      </c>
      <c r="M38" s="8">
        <f t="shared" si="3"/>
        <v>9.7448790660508045E-2</v>
      </c>
      <c r="N38" s="5">
        <f t="shared" si="4"/>
        <v>1338.350713119368</v>
      </c>
      <c r="O38" s="5">
        <f t="shared" si="5"/>
        <v>2154.4320180843747</v>
      </c>
      <c r="P38" s="5">
        <f t="shared" si="6"/>
        <v>3492.7827312037425</v>
      </c>
      <c r="R38">
        <v>6</v>
      </c>
      <c r="S38" t="s">
        <v>75</v>
      </c>
      <c r="T38" s="9">
        <v>36476</v>
      </c>
      <c r="U38" s="3">
        <f>SUM(F38:F39)</f>
        <v>34.5</v>
      </c>
      <c r="V38" s="4">
        <f>U38/(2*$A$19)*$A$20</f>
        <v>3858.7151037938438</v>
      </c>
      <c r="W38" s="3">
        <f>SUM(H38:H39)</f>
        <v>2266.8500000000004</v>
      </c>
      <c r="X38" s="3">
        <f>SUM(I38:I39)</f>
        <v>796.61</v>
      </c>
      <c r="Y38" s="3">
        <f>SUM(J38:J39)</f>
        <v>1253.3799999999999</v>
      </c>
      <c r="Z38" s="7">
        <f>X38/W38</f>
        <v>0.35141716478814211</v>
      </c>
      <c r="AA38" s="7">
        <f>Y38/W38</f>
        <v>0.55291704347442472</v>
      </c>
      <c r="AB38" s="7">
        <f>1-Z38-AA38</f>
        <v>9.566579173743317E-2</v>
      </c>
      <c r="AC38" s="4">
        <f>V38*Z38</f>
        <v>1356.0187215004141</v>
      </c>
      <c r="AD38" s="4">
        <f>V38*AA38</f>
        <v>2133.5493467997999</v>
      </c>
      <c r="AE38" s="4">
        <f>SUM(AC38:AD38)</f>
        <v>3489.5680683002138</v>
      </c>
    </row>
    <row r="39" spans="1:31" x14ac:dyDescent="0.25">
      <c r="A39">
        <v>2</v>
      </c>
      <c r="B39">
        <v>2</v>
      </c>
      <c r="C39" s="1" t="s">
        <v>109</v>
      </c>
      <c r="D39" s="1" t="s">
        <v>75</v>
      </c>
      <c r="E39" s="2">
        <v>36476</v>
      </c>
      <c r="F39" s="3">
        <v>17.2</v>
      </c>
      <c r="G39" s="5">
        <f t="shared" si="0"/>
        <v>3847.5304223335716</v>
      </c>
      <c r="H39" s="3">
        <v>1240.67</v>
      </c>
      <c r="I39" s="3">
        <v>441.72</v>
      </c>
      <c r="J39" s="3">
        <v>682.08999999999992</v>
      </c>
      <c r="K39" s="8">
        <f t="shared" si="1"/>
        <v>0.35603343354800226</v>
      </c>
      <c r="L39" s="8">
        <f t="shared" si="2"/>
        <v>0.54977552451497969</v>
      </c>
      <c r="M39" s="8">
        <f t="shared" si="3"/>
        <v>9.4191041937018105E-2</v>
      </c>
      <c r="N39" s="5">
        <f>G39*K39</f>
        <v>1369.8494669438167</v>
      </c>
      <c r="O39" s="5">
        <f t="shared" si="5"/>
        <v>2115.2780560257806</v>
      </c>
      <c r="P39" s="5">
        <f t="shared" si="6"/>
        <v>3485.1275229695975</v>
      </c>
      <c r="U39" s="3"/>
      <c r="W39" s="3"/>
      <c r="X39" s="3"/>
      <c r="Y39" s="3"/>
      <c r="Z39" s="7"/>
      <c r="AA39" s="7"/>
      <c r="AB39" s="7"/>
      <c r="AC39" s="4"/>
      <c r="AD39" s="4"/>
      <c r="AE39" s="4"/>
    </row>
    <row r="40" spans="1:31" x14ac:dyDescent="0.25">
      <c r="A40">
        <v>3</v>
      </c>
      <c r="B40">
        <v>2</v>
      </c>
      <c r="C40" s="1" t="s">
        <v>110</v>
      </c>
      <c r="D40" s="1" t="s">
        <v>75</v>
      </c>
      <c r="E40" s="2">
        <v>36476</v>
      </c>
      <c r="F40" s="3">
        <v>14.92</v>
      </c>
      <c r="G40" s="5">
        <f t="shared" si="0"/>
        <v>3337.5089477451679</v>
      </c>
      <c r="H40" s="3">
        <v>965.58000000000015</v>
      </c>
      <c r="I40" s="3">
        <v>336.16</v>
      </c>
      <c r="J40" s="3">
        <v>532.01</v>
      </c>
      <c r="K40" s="8">
        <f t="shared" si="1"/>
        <v>0.3481430849851902</v>
      </c>
      <c r="L40" s="8">
        <f t="shared" si="2"/>
        <v>0.55097454379751021</v>
      </c>
      <c r="M40" s="8">
        <f t="shared" si="3"/>
        <v>0.10088237121729959</v>
      </c>
      <c r="N40" s="5">
        <f t="shared" si="4"/>
        <v>1161.9306612336786</v>
      </c>
      <c r="O40" s="5">
        <f t="shared" si="5"/>
        <v>1838.8824699040022</v>
      </c>
      <c r="P40" s="5">
        <f t="shared" si="6"/>
        <v>3000.813131137681</v>
      </c>
      <c r="R40">
        <v>7</v>
      </c>
      <c r="S40" t="s">
        <v>75</v>
      </c>
      <c r="T40" s="9">
        <v>36476</v>
      </c>
      <c r="U40" s="3">
        <f>SUM(F40:F41)</f>
        <v>28.97</v>
      </c>
      <c r="V40" s="4">
        <f>U40/(2*$A$19)*$A$20</f>
        <v>3240.2022190408015</v>
      </c>
      <c r="W40" s="3">
        <f>SUM(H40:H41)</f>
        <v>2169.36</v>
      </c>
      <c r="X40" s="3">
        <f>SUM(I40:I41)</f>
        <v>742.11</v>
      </c>
      <c r="Y40" s="3">
        <f>SUM(J40:J41)</f>
        <v>1184.3</v>
      </c>
      <c r="Z40" s="7">
        <f>X40/W40</f>
        <v>0.34208706715344617</v>
      </c>
      <c r="AA40" s="7">
        <f>Y40/W40</f>
        <v>0.545921377733525</v>
      </c>
      <c r="AB40" s="7">
        <f>1-Z40-AA40</f>
        <v>0.11199155511302883</v>
      </c>
      <c r="AC40" s="4">
        <f>V40*Z40</f>
        <v>1108.431274095756</v>
      </c>
      <c r="AD40" s="4">
        <f>V40*AA40</f>
        <v>1768.8956595539794</v>
      </c>
      <c r="AE40" s="4">
        <f>SUM(AC40:AD40)</f>
        <v>2877.3269336497351</v>
      </c>
    </row>
    <row r="41" spans="1:31" x14ac:dyDescent="0.25">
      <c r="A41">
        <v>3</v>
      </c>
      <c r="B41">
        <v>2</v>
      </c>
      <c r="C41" s="1" t="s">
        <v>111</v>
      </c>
      <c r="D41" s="1" t="s">
        <v>75</v>
      </c>
      <c r="E41" s="2">
        <v>36476</v>
      </c>
      <c r="F41" s="3">
        <v>14.05</v>
      </c>
      <c r="G41" s="5">
        <f t="shared" si="0"/>
        <v>3142.8954903364352</v>
      </c>
      <c r="H41" s="3">
        <v>1203.78</v>
      </c>
      <c r="I41" s="3">
        <v>405.95</v>
      </c>
      <c r="J41" s="3">
        <v>652.29</v>
      </c>
      <c r="K41" s="8">
        <f t="shared" si="1"/>
        <v>0.33722939407532937</v>
      </c>
      <c r="L41" s="8">
        <f t="shared" si="2"/>
        <v>0.54186811543637536</v>
      </c>
      <c r="M41" s="8">
        <f t="shared" si="3"/>
        <v>0.12090249048829527</v>
      </c>
      <c r="N41" s="5">
        <f t="shared" si="4"/>
        <v>1059.8767418482412</v>
      </c>
      <c r="O41" s="5">
        <f t="shared" si="5"/>
        <v>1703.0348563620871</v>
      </c>
      <c r="P41" s="5">
        <f t="shared" si="6"/>
        <v>2762.9115982103285</v>
      </c>
      <c r="U41" s="3"/>
      <c r="W41" s="3"/>
      <c r="X41" s="3"/>
      <c r="Y41" s="3"/>
      <c r="Z41" s="7"/>
      <c r="AA41" s="7"/>
      <c r="AB41" s="7"/>
      <c r="AC41" s="4"/>
      <c r="AD41" s="4"/>
      <c r="AE41" s="4"/>
    </row>
    <row r="42" spans="1:31" x14ac:dyDescent="0.25">
      <c r="A42">
        <v>4</v>
      </c>
      <c r="B42">
        <v>2</v>
      </c>
      <c r="C42" s="1" t="s">
        <v>112</v>
      </c>
      <c r="D42" s="1" t="s">
        <v>75</v>
      </c>
      <c r="E42" s="2">
        <v>36476</v>
      </c>
      <c r="F42" s="3">
        <v>16.89</v>
      </c>
      <c r="G42" s="5">
        <f t="shared" si="0"/>
        <v>3778.1853972798858</v>
      </c>
      <c r="H42" s="3">
        <v>1078.0800000000002</v>
      </c>
      <c r="I42" s="3">
        <v>377.52</v>
      </c>
      <c r="J42" s="3">
        <v>587.34999999999991</v>
      </c>
      <c r="K42" s="8">
        <f t="shared" si="1"/>
        <v>0.35017809439002667</v>
      </c>
      <c r="L42" s="8">
        <f t="shared" si="2"/>
        <v>0.54481114574057565</v>
      </c>
      <c r="M42" s="8">
        <f t="shared" si="3"/>
        <v>0.10501075986939767</v>
      </c>
      <c r="N42" s="5">
        <f t="shared" si="4"/>
        <v>1323.0377626716963</v>
      </c>
      <c r="O42" s="5">
        <f t="shared" si="5"/>
        <v>2058.3975151123668</v>
      </c>
      <c r="P42" s="5">
        <f t="shared" si="6"/>
        <v>3381.4352777840631</v>
      </c>
      <c r="R42">
        <v>8</v>
      </c>
      <c r="S42" t="s">
        <v>75</v>
      </c>
      <c r="T42" s="9">
        <v>36476</v>
      </c>
      <c r="U42" s="3">
        <f>SUM(F42:F43)</f>
        <v>34.61</v>
      </c>
      <c r="V42" s="4">
        <f>U42/(2*$A$19)*$A$20</f>
        <v>3871.0182534001428</v>
      </c>
      <c r="W42" s="3">
        <f>SUM(H42:H43)</f>
        <v>2249.2600000000002</v>
      </c>
      <c r="X42" s="3">
        <f>SUM(I42:I43)</f>
        <v>790.15</v>
      </c>
      <c r="Y42" s="3">
        <f>SUM(J42:J43)</f>
        <v>1218.98</v>
      </c>
      <c r="Z42" s="7">
        <f>X42/W42</f>
        <v>0.35129331424557403</v>
      </c>
      <c r="AA42" s="7">
        <f>Y42/W42</f>
        <v>0.54194712927807365</v>
      </c>
      <c r="AB42" s="7">
        <f>1-Z42-AA42</f>
        <v>0.10675955647635227</v>
      </c>
      <c r="AC42" s="4">
        <f>V42*Z42</f>
        <v>1359.8628317420496</v>
      </c>
      <c r="AD42" s="4">
        <f>V42*AA42</f>
        <v>2097.8872298132301</v>
      </c>
      <c r="AE42" s="4">
        <f>SUM(AC42:AD42)</f>
        <v>3457.7500615552799</v>
      </c>
    </row>
    <row r="43" spans="1:31" x14ac:dyDescent="0.25">
      <c r="A43">
        <v>4</v>
      </c>
      <c r="B43">
        <v>2</v>
      </c>
      <c r="C43" s="1" t="s">
        <v>113</v>
      </c>
      <c r="D43" s="1" t="s">
        <v>75</v>
      </c>
      <c r="E43" s="2">
        <v>36476</v>
      </c>
      <c r="F43" s="3">
        <v>17.72</v>
      </c>
      <c r="G43" s="5">
        <f t="shared" si="0"/>
        <v>3963.8511095204003</v>
      </c>
      <c r="H43" s="3">
        <v>1171.18</v>
      </c>
      <c r="I43" s="3">
        <v>412.63</v>
      </c>
      <c r="J43" s="3">
        <v>631.63</v>
      </c>
      <c r="K43" s="8">
        <f t="shared" si="1"/>
        <v>0.35231988251165491</v>
      </c>
      <c r="L43" s="8">
        <f t="shared" si="2"/>
        <v>0.53931078058026949</v>
      </c>
      <c r="M43" s="8">
        <f t="shared" si="3"/>
        <v>0.1083693369080756</v>
      </c>
      <c r="N43" s="5">
        <f t="shared" si="4"/>
        <v>1396.5435571999203</v>
      </c>
      <c r="O43" s="5">
        <f>G43*L43</f>
        <v>2137.7476359794146</v>
      </c>
      <c r="P43" s="5">
        <f t="shared" si="6"/>
        <v>3534.2911931793351</v>
      </c>
      <c r="U43" s="3"/>
      <c r="W43" s="3"/>
      <c r="X43" s="3"/>
      <c r="Y43" s="3"/>
      <c r="Z43" s="7"/>
      <c r="AA43" s="7"/>
      <c r="AB43" s="7"/>
      <c r="AC43" s="4"/>
      <c r="AD43" s="4"/>
      <c r="AE43" s="4"/>
    </row>
    <row r="44" spans="1:31" x14ac:dyDescent="0.25">
      <c r="A44">
        <v>1</v>
      </c>
      <c r="B44">
        <v>3</v>
      </c>
      <c r="C44" s="1" t="s">
        <v>114</v>
      </c>
      <c r="D44" s="1" t="s">
        <v>75</v>
      </c>
      <c r="E44" s="2">
        <v>36476</v>
      </c>
      <c r="F44" s="3">
        <v>18.47</v>
      </c>
      <c r="G44" s="5">
        <f t="shared" si="0"/>
        <v>4131.6213314244806</v>
      </c>
      <c r="H44" s="3">
        <v>843.31999999999994</v>
      </c>
      <c r="I44" s="3">
        <v>299.06</v>
      </c>
      <c r="J44" s="3">
        <v>472.47</v>
      </c>
      <c r="K44" s="8">
        <f t="shared" si="1"/>
        <v>0.3546222074657307</v>
      </c>
      <c r="L44" s="8">
        <f t="shared" si="2"/>
        <v>0.56024996442631514</v>
      </c>
      <c r="M44" s="8">
        <f t="shared" si="3"/>
        <v>8.5127828107954162E-2</v>
      </c>
      <c r="N44" s="5">
        <f t="shared" si="4"/>
        <v>1465.1646769622507</v>
      </c>
      <c r="O44" s="5">
        <f t="shared" si="5"/>
        <v>2314.7407039535701</v>
      </c>
      <c r="P44" s="5">
        <f>N44+O44</f>
        <v>3779.9053809158208</v>
      </c>
      <c r="R44">
        <v>9</v>
      </c>
      <c r="S44" t="s">
        <v>75</v>
      </c>
      <c r="T44" s="9">
        <v>36476</v>
      </c>
      <c r="U44" s="3">
        <f>SUM(F44:F45)</f>
        <v>38.04</v>
      </c>
      <c r="V44" s="4">
        <f>U44/(2*$A$19)*$A$20</f>
        <v>4254.6528274874727</v>
      </c>
      <c r="W44" s="3">
        <f>SUM(H44:H45)</f>
        <v>1767.22</v>
      </c>
      <c r="X44" s="3">
        <f>SUM(I44:I45)</f>
        <v>638.08000000000004</v>
      </c>
      <c r="Y44" s="3">
        <f>SUM(J44:J45)</f>
        <v>984.45</v>
      </c>
      <c r="Z44" s="7">
        <f>X44/W44</f>
        <v>0.3610642704360521</v>
      </c>
      <c r="AA44" s="7">
        <f>Y44/W44</f>
        <v>0.55706137323027127</v>
      </c>
      <c r="AB44" s="7">
        <f>1-Z44-AA44</f>
        <v>8.1874356333676679E-2</v>
      </c>
      <c r="AC44" s="4">
        <f>V44*Z44</f>
        <v>1536.2031191154506</v>
      </c>
      <c r="AD44" s="4">
        <f>V44*AA44</f>
        <v>2370.1027466982282</v>
      </c>
      <c r="AE44" s="4">
        <f>SUM(AC44:AD44)</f>
        <v>3906.3058658136788</v>
      </c>
    </row>
    <row r="45" spans="1:31" x14ac:dyDescent="0.25">
      <c r="A45">
        <v>1</v>
      </c>
      <c r="B45">
        <v>3</v>
      </c>
      <c r="C45" s="1" t="s">
        <v>115</v>
      </c>
      <c r="D45" s="1" t="s">
        <v>75</v>
      </c>
      <c r="E45" s="2">
        <v>36476</v>
      </c>
      <c r="F45" s="3">
        <v>19.57</v>
      </c>
      <c r="G45" s="5">
        <f t="shared" si="0"/>
        <v>4377.6843235504657</v>
      </c>
      <c r="H45" s="3">
        <v>923.90000000000009</v>
      </c>
      <c r="I45" s="3">
        <v>339.02000000000004</v>
      </c>
      <c r="J45" s="3">
        <v>511.97999999999996</v>
      </c>
      <c r="K45" s="8">
        <f t="shared" si="1"/>
        <v>0.36694447451022838</v>
      </c>
      <c r="L45" s="8">
        <f t="shared" si="2"/>
        <v>0.55415088213010055</v>
      </c>
      <c r="M45" s="8">
        <f t="shared" si="3"/>
        <v>7.8904643359671067E-2</v>
      </c>
      <c r="N45" s="5">
        <f t="shared" si="4"/>
        <v>1606.3670736768902</v>
      </c>
      <c r="O45" s="5">
        <f t="shared" si="5"/>
        <v>2425.8976295826033</v>
      </c>
      <c r="P45" s="5">
        <f t="shared" si="6"/>
        <v>4032.2647032594932</v>
      </c>
      <c r="U45" s="3"/>
      <c r="W45" s="3"/>
      <c r="X45" s="3"/>
      <c r="Y45" s="3"/>
      <c r="Z45" s="7"/>
      <c r="AA45" s="7"/>
      <c r="AB45" s="7"/>
      <c r="AC45" s="4"/>
      <c r="AD45" s="4"/>
      <c r="AE45" s="4"/>
    </row>
    <row r="46" spans="1:31" x14ac:dyDescent="0.25">
      <c r="A46">
        <v>2</v>
      </c>
      <c r="B46">
        <v>3</v>
      </c>
      <c r="C46" s="1" t="s">
        <v>116</v>
      </c>
      <c r="D46" s="1" t="s">
        <v>75</v>
      </c>
      <c r="E46" s="2">
        <v>36476</v>
      </c>
      <c r="F46" s="3">
        <v>15.86</v>
      </c>
      <c r="G46" s="5">
        <f t="shared" si="0"/>
        <v>3547.7809591982818</v>
      </c>
      <c r="H46" s="3">
        <v>826.1400000000001</v>
      </c>
      <c r="I46" s="3">
        <v>273.20999999999998</v>
      </c>
      <c r="J46" s="3">
        <v>441.44</v>
      </c>
      <c r="K46" s="8">
        <f t="shared" si="1"/>
        <v>0.33070665988815451</v>
      </c>
      <c r="L46" s="8">
        <f t="shared" si="2"/>
        <v>0.5343404265620838</v>
      </c>
      <c r="M46" s="8">
        <f t="shared" si="3"/>
        <v>0.13495291354976169</v>
      </c>
      <c r="N46" s="5">
        <f t="shared" si="4"/>
        <v>1173.2747910312567</v>
      </c>
      <c r="O46" s="5">
        <f t="shared" si="5"/>
        <v>1895.7227910868487</v>
      </c>
      <c r="P46" s="5">
        <f t="shared" si="6"/>
        <v>3068.9975821181051</v>
      </c>
      <c r="R46">
        <v>10</v>
      </c>
      <c r="S46" t="s">
        <v>75</v>
      </c>
      <c r="T46" s="9">
        <v>36476</v>
      </c>
      <c r="U46" s="3">
        <f>SUM(F46:F47)</f>
        <v>32.909999999999997</v>
      </c>
      <c r="V46" s="4">
        <f>U46/(2*$A$19)*$A$20</f>
        <v>3680.8786685755185</v>
      </c>
      <c r="W46" s="3">
        <f>SUM(H46:H47)</f>
        <v>1854.0200000000002</v>
      </c>
      <c r="X46" s="3">
        <f>SUM(I46:I47)</f>
        <v>630.72</v>
      </c>
      <c r="Y46" s="3">
        <f>SUM(J46:J47)</f>
        <v>1008.8299999999999</v>
      </c>
      <c r="Z46" s="7">
        <f>X46/W46</f>
        <v>0.34019050495679654</v>
      </c>
      <c r="AA46" s="7">
        <f>Y46/W46</f>
        <v>0.54413113127150725</v>
      </c>
      <c r="AB46" s="7">
        <f>1-Z46-AA46</f>
        <v>0.11567836377169616</v>
      </c>
      <c r="AC46" s="4">
        <f>V46*Z46</f>
        <v>1252.1999729474066</v>
      </c>
      <c r="AD46" s="4">
        <f>V46*AA46</f>
        <v>2002.8806740051564</v>
      </c>
      <c r="AE46" s="4">
        <f>SUM(AC46:AD46)</f>
        <v>3255.0806469525633</v>
      </c>
    </row>
    <row r="47" spans="1:31" x14ac:dyDescent="0.25">
      <c r="A47">
        <v>2</v>
      </c>
      <c r="B47">
        <v>3</v>
      </c>
      <c r="C47" s="1" t="s">
        <v>117</v>
      </c>
      <c r="D47" s="1" t="s">
        <v>75</v>
      </c>
      <c r="E47" s="2">
        <v>36476</v>
      </c>
      <c r="F47" s="3">
        <v>17.05</v>
      </c>
      <c r="G47" s="5">
        <f t="shared" si="0"/>
        <v>3813.9763779527557</v>
      </c>
      <c r="H47" s="3">
        <v>1027.8800000000001</v>
      </c>
      <c r="I47" s="3">
        <v>357.51</v>
      </c>
      <c r="J47" s="3">
        <v>567.39</v>
      </c>
      <c r="K47" s="8">
        <f t="shared" si="1"/>
        <v>0.34781297427715291</v>
      </c>
      <c r="L47" s="8">
        <f t="shared" si="2"/>
        <v>0.55200023349029059</v>
      </c>
      <c r="M47" s="8">
        <f t="shared" si="3"/>
        <v>0.10018679223255644</v>
      </c>
      <c r="N47" s="5">
        <f t="shared" si="4"/>
        <v>1326.5504678385507</v>
      </c>
      <c r="O47" s="5">
        <f t="shared" si="5"/>
        <v>2105.3158511563738</v>
      </c>
      <c r="P47" s="5">
        <f t="shared" si="6"/>
        <v>3431.8663189949248</v>
      </c>
      <c r="U47" s="3"/>
      <c r="W47" s="3"/>
      <c r="X47" s="3"/>
      <c r="Y47" s="3"/>
      <c r="Z47" s="7"/>
      <c r="AA47" s="7"/>
      <c r="AB47" s="7"/>
      <c r="AC47" s="4"/>
      <c r="AD47" s="4"/>
      <c r="AE47" s="4"/>
    </row>
    <row r="48" spans="1:31" x14ac:dyDescent="0.25">
      <c r="A48">
        <v>3</v>
      </c>
      <c r="B48">
        <v>3</v>
      </c>
      <c r="C48" s="1" t="s">
        <v>118</v>
      </c>
      <c r="D48" s="1" t="s">
        <v>75</v>
      </c>
      <c r="E48" s="2">
        <v>36476</v>
      </c>
      <c r="F48" s="3">
        <v>17.420000000000002</v>
      </c>
      <c r="G48" s="5">
        <f t="shared" si="0"/>
        <v>3896.743020758769</v>
      </c>
      <c r="H48" s="3">
        <v>877.68000000000006</v>
      </c>
      <c r="I48" s="3">
        <v>296.93</v>
      </c>
      <c r="J48" s="3">
        <v>452.42</v>
      </c>
      <c r="K48" s="8">
        <f t="shared" si="1"/>
        <v>0.3383123689727463</v>
      </c>
      <c r="L48" s="8">
        <f t="shared" si="2"/>
        <v>0.51547260960714614</v>
      </c>
      <c r="M48" s="8">
        <f t="shared" si="3"/>
        <v>0.14621502142010756</v>
      </c>
      <c r="N48" s="5">
        <f t="shared" si="4"/>
        <v>1318.3163626309147</v>
      </c>
      <c r="O48" s="5">
        <f t="shared" si="5"/>
        <v>2008.6642938789564</v>
      </c>
      <c r="P48" s="5">
        <f t="shared" si="6"/>
        <v>3326.9806565098711</v>
      </c>
      <c r="R48">
        <v>11</v>
      </c>
      <c r="S48" t="s">
        <v>75</v>
      </c>
      <c r="T48" s="9">
        <v>36476</v>
      </c>
      <c r="U48" s="3">
        <f>SUM(F48:F49)</f>
        <v>35.39</v>
      </c>
      <c r="V48" s="4">
        <f>U48/(2*$A$19)*$A$20</f>
        <v>3958.2587687902646</v>
      </c>
      <c r="W48" s="3">
        <f>SUM(H48:H49)</f>
        <v>1911.0400000000002</v>
      </c>
      <c r="X48" s="3">
        <f>SUM(I48:I49)</f>
        <v>645.74</v>
      </c>
      <c r="Y48" s="3">
        <f>SUM(J48:J49)</f>
        <v>984.37999999999988</v>
      </c>
      <c r="Z48" s="7">
        <f>X48/W48</f>
        <v>0.33789978231748158</v>
      </c>
      <c r="AA48" s="7">
        <f>Y48/W48</f>
        <v>0.51510172471533811</v>
      </c>
      <c r="AB48" s="7">
        <f>1-Z48-AA48</f>
        <v>0.14699849296718026</v>
      </c>
      <c r="AC48" s="4">
        <f>V48*Z48</f>
        <v>1337.4947763304931</v>
      </c>
      <c r="AD48" s="4">
        <f>V48*AA48</f>
        <v>2038.905918673476</v>
      </c>
      <c r="AE48" s="4">
        <f>SUM(AC48:AD48)</f>
        <v>3376.4006950039693</v>
      </c>
    </row>
    <row r="49" spans="1:31" x14ac:dyDescent="0.25">
      <c r="A49">
        <v>3</v>
      </c>
      <c r="B49">
        <v>3</v>
      </c>
      <c r="C49" s="1" t="s">
        <v>119</v>
      </c>
      <c r="D49" s="1" t="s">
        <v>75</v>
      </c>
      <c r="E49" s="2">
        <v>36476</v>
      </c>
      <c r="F49" s="3">
        <v>17.97</v>
      </c>
      <c r="G49" s="5">
        <f t="shared" si="0"/>
        <v>4019.7745168217607</v>
      </c>
      <c r="H49" s="3">
        <v>1033.3600000000001</v>
      </c>
      <c r="I49" s="3">
        <v>348.81</v>
      </c>
      <c r="J49" s="3">
        <v>531.95999999999992</v>
      </c>
      <c r="K49" s="8">
        <f t="shared" si="1"/>
        <v>0.33754935356506927</v>
      </c>
      <c r="L49" s="8">
        <f t="shared" si="2"/>
        <v>0.51478671518154362</v>
      </c>
      <c r="M49" s="8">
        <f t="shared" si="3"/>
        <v>0.14766393125338706</v>
      </c>
      <c r="N49" s="5">
        <f t="shared" si="4"/>
        <v>1356.8722896305239</v>
      </c>
      <c r="O49" s="5">
        <f t="shared" si="5"/>
        <v>2069.3265192851509</v>
      </c>
      <c r="P49" s="5">
        <f>N49+O49</f>
        <v>3426.1988089156748</v>
      </c>
      <c r="U49" s="3"/>
      <c r="W49" s="3"/>
      <c r="X49" s="3"/>
      <c r="Y49" s="3"/>
      <c r="Z49" s="7"/>
      <c r="AA49" s="7"/>
      <c r="AB49" s="7"/>
      <c r="AC49" s="4"/>
      <c r="AD49" s="4"/>
      <c r="AE49" s="4"/>
    </row>
    <row r="50" spans="1:31" x14ac:dyDescent="0.25">
      <c r="A50">
        <v>4</v>
      </c>
      <c r="B50">
        <v>3</v>
      </c>
      <c r="C50" s="1" t="s">
        <v>120</v>
      </c>
      <c r="D50" s="1" t="s">
        <v>75</v>
      </c>
      <c r="E50" s="2">
        <v>36476</v>
      </c>
      <c r="F50" s="3">
        <v>14.6</v>
      </c>
      <c r="G50" s="5">
        <f t="shared" si="0"/>
        <v>3265.9269863994273</v>
      </c>
      <c r="H50" s="3">
        <v>1125.6600000000001</v>
      </c>
      <c r="I50" s="3">
        <v>362.78000000000003</v>
      </c>
      <c r="J50" s="3">
        <v>622.46999999999991</v>
      </c>
      <c r="K50" s="8">
        <f t="shared" si="1"/>
        <v>0.32228203898157526</v>
      </c>
      <c r="L50" s="8">
        <f t="shared" si="2"/>
        <v>0.5529822504130909</v>
      </c>
      <c r="M50" s="8">
        <f t="shared" si="3"/>
        <v>0.12473571060533384</v>
      </c>
      <c r="N50" s="5">
        <f t="shared" si="4"/>
        <v>1052.5496083417588</v>
      </c>
      <c r="O50" s="5">
        <f t="shared" si="5"/>
        <v>1805.9996546239995</v>
      </c>
      <c r="P50" s="5">
        <f t="shared" si="6"/>
        <v>2858.5492629657583</v>
      </c>
      <c r="R50">
        <v>12</v>
      </c>
      <c r="S50" t="s">
        <v>75</v>
      </c>
      <c r="T50" s="9">
        <v>36476</v>
      </c>
      <c r="U50" s="3">
        <f>SUM(F50:F51)</f>
        <v>31.659999999999997</v>
      </c>
      <c r="V50" s="4">
        <f>U50/(2*$A$19)*$A$20</f>
        <v>3541.070150322118</v>
      </c>
      <c r="W50" s="3">
        <f>SUM(H50:H51)</f>
        <v>2179.91</v>
      </c>
      <c r="X50" s="3">
        <f>SUM(I50:I51)</f>
        <v>723.86</v>
      </c>
      <c r="Y50" s="3">
        <f>SUM(J50:J51)</f>
        <v>1216.5</v>
      </c>
      <c r="Z50" s="7">
        <f>X50/W50</f>
        <v>0.33205958044139439</v>
      </c>
      <c r="AA50" s="7">
        <f>Y50/W50</f>
        <v>0.55805056172043799</v>
      </c>
      <c r="AB50" s="7">
        <f>1-Z50-AA50</f>
        <v>0.10988985783816763</v>
      </c>
      <c r="AC50" s="4">
        <f>V50*Z50</f>
        <v>1175.846268429508</v>
      </c>
      <c r="AD50" s="4">
        <f>V50*AA50</f>
        <v>1976.0961864787337</v>
      </c>
      <c r="AE50" s="4">
        <f>SUM(AC50:AD50)</f>
        <v>3151.9424549082414</v>
      </c>
    </row>
    <row r="51" spans="1:31" x14ac:dyDescent="0.25">
      <c r="A51">
        <v>4</v>
      </c>
      <c r="B51">
        <v>3</v>
      </c>
      <c r="C51" s="1" t="s">
        <v>121</v>
      </c>
      <c r="D51" s="1" t="s">
        <v>75</v>
      </c>
      <c r="E51" s="2">
        <v>36476</v>
      </c>
      <c r="F51" s="3">
        <v>17.059999999999999</v>
      </c>
      <c r="G51" s="5">
        <f t="shared" si="0"/>
        <v>3816.2133142448101</v>
      </c>
      <c r="H51" s="3">
        <v>1054.25</v>
      </c>
      <c r="I51" s="3">
        <v>361.08</v>
      </c>
      <c r="J51" s="3">
        <v>594.03</v>
      </c>
      <c r="K51" s="8">
        <f t="shared" si="1"/>
        <v>0.34249940716148919</v>
      </c>
      <c r="L51" s="8">
        <f t="shared" si="2"/>
        <v>0.56346217690301159</v>
      </c>
      <c r="M51" s="8">
        <f t="shared" si="3"/>
        <v>9.403841593549922E-2</v>
      </c>
      <c r="N51" s="5">
        <f t="shared" si="4"/>
        <v>1307.0507977306293</v>
      </c>
      <c r="O51" s="5">
        <f t="shared" si="5"/>
        <v>2150.2918615706376</v>
      </c>
      <c r="P51" s="5">
        <f t="shared" si="6"/>
        <v>3457.3426593012668</v>
      </c>
      <c r="U51" s="3"/>
      <c r="W51" s="3"/>
      <c r="X51" s="3"/>
      <c r="Y51" s="3"/>
      <c r="Z51" s="7"/>
      <c r="AA51" s="7"/>
      <c r="AB51" s="7"/>
      <c r="AC51" s="4"/>
      <c r="AD51" s="4"/>
      <c r="AE51" s="4"/>
    </row>
    <row r="52" spans="1:31" x14ac:dyDescent="0.25">
      <c r="A52">
        <v>1</v>
      </c>
      <c r="B52">
        <v>4</v>
      </c>
      <c r="C52" s="1" t="s">
        <v>122</v>
      </c>
      <c r="D52" s="1" t="s">
        <v>75</v>
      </c>
      <c r="E52" s="2">
        <v>36476</v>
      </c>
      <c r="F52" s="3">
        <v>15.13</v>
      </c>
      <c r="G52" s="5">
        <f t="shared" si="0"/>
        <v>3384.4846098783109</v>
      </c>
      <c r="H52" s="3">
        <v>971.38000000000011</v>
      </c>
      <c r="I52" s="3">
        <v>346.81</v>
      </c>
      <c r="J52" s="3">
        <v>537.6099999999999</v>
      </c>
      <c r="K52" s="8">
        <f t="shared" si="1"/>
        <v>0.35702814552492329</v>
      </c>
      <c r="L52" s="8">
        <f t="shared" si="2"/>
        <v>0.55344973131009478</v>
      </c>
      <c r="M52" s="8">
        <f t="shared" si="3"/>
        <v>8.9522123164981871E-2</v>
      </c>
      <c r="N52" s="5">
        <f t="shared" si="4"/>
        <v>1208.3562638224969</v>
      </c>
      <c r="O52" s="5">
        <f t="shared" si="5"/>
        <v>1873.1420979603022</v>
      </c>
      <c r="P52" s="5">
        <f t="shared" si="6"/>
        <v>3081.4983617827993</v>
      </c>
      <c r="R52">
        <v>13</v>
      </c>
      <c r="S52" t="s">
        <v>75</v>
      </c>
      <c r="T52" s="9">
        <v>36476</v>
      </c>
      <c r="U52" s="3">
        <f>SUM(F52:F53)</f>
        <v>30.84</v>
      </c>
      <c r="V52" s="4">
        <f>U52/(2*$A$19)*$A$20</f>
        <v>3449.3557623478882</v>
      </c>
      <c r="W52" s="3">
        <f>SUM(H52:H53)</f>
        <v>2046.16</v>
      </c>
      <c r="X52" s="3">
        <f>SUM(I52:I53)</f>
        <v>723.84</v>
      </c>
      <c r="Y52" s="3">
        <f>SUM(J52:J53)</f>
        <v>1133.58</v>
      </c>
      <c r="Z52" s="7">
        <f>X52/W52</f>
        <v>0.35375532705164797</v>
      </c>
      <c r="AA52" s="7">
        <f>Y52/W52</f>
        <v>0.55400359698166313</v>
      </c>
      <c r="AB52" s="7">
        <f>1-Z52-AA52</f>
        <v>9.2241075966688846E-2</v>
      </c>
      <c r="AC52" s="4">
        <f>V52*Z52</f>
        <v>1220.2279758268637</v>
      </c>
      <c r="AD52" s="4">
        <f>V52*AA52</f>
        <v>1910.9554996101569</v>
      </c>
      <c r="AE52" s="4">
        <f>SUM(AC52:AD52)</f>
        <v>3131.1834754370207</v>
      </c>
    </row>
    <row r="53" spans="1:31" x14ac:dyDescent="0.25">
      <c r="A53">
        <v>1</v>
      </c>
      <c r="B53">
        <v>4</v>
      </c>
      <c r="C53" s="1" t="s">
        <v>123</v>
      </c>
      <c r="D53" s="1" t="s">
        <v>75</v>
      </c>
      <c r="E53" s="2">
        <v>36476</v>
      </c>
      <c r="F53" s="3">
        <v>15.709999999999999</v>
      </c>
      <c r="G53" s="5">
        <f t="shared" si="0"/>
        <v>3514.226914817466</v>
      </c>
      <c r="H53" s="3">
        <v>1074.78</v>
      </c>
      <c r="I53" s="3">
        <v>377.03000000000003</v>
      </c>
      <c r="J53" s="3">
        <v>595.96999999999991</v>
      </c>
      <c r="K53" s="8">
        <f t="shared" si="1"/>
        <v>0.35079737248553194</v>
      </c>
      <c r="L53" s="8">
        <f t="shared" si="2"/>
        <v>0.55450417759913651</v>
      </c>
      <c r="M53" s="8">
        <f t="shared" si="3"/>
        <v>9.4698449915331495E-2</v>
      </c>
      <c r="N53" s="5">
        <f t="shared" si="4"/>
        <v>1232.7815680359045</v>
      </c>
      <c r="O53" s="5">
        <f t="shared" si="5"/>
        <v>1948.6535052976096</v>
      </c>
      <c r="P53" s="5">
        <f t="shared" si="6"/>
        <v>3181.4350733335141</v>
      </c>
      <c r="U53" s="3"/>
      <c r="W53" s="3"/>
      <c r="X53" s="3"/>
      <c r="Y53" s="3"/>
      <c r="Z53" s="7"/>
      <c r="AA53" s="7"/>
      <c r="AB53" s="7"/>
      <c r="AC53" s="4"/>
      <c r="AD53" s="4"/>
      <c r="AE53" s="4"/>
    </row>
    <row r="54" spans="1:31" x14ac:dyDescent="0.25">
      <c r="A54">
        <v>2</v>
      </c>
      <c r="B54">
        <v>4</v>
      </c>
      <c r="C54" s="1" t="s">
        <v>124</v>
      </c>
      <c r="D54" s="1" t="s">
        <v>75</v>
      </c>
      <c r="E54" s="2">
        <v>36476</v>
      </c>
      <c r="F54" s="3">
        <v>14.66</v>
      </c>
      <c r="G54" s="5">
        <f t="shared" si="0"/>
        <v>3279.348604151754</v>
      </c>
      <c r="H54" s="3">
        <v>1188.53</v>
      </c>
      <c r="I54" s="3">
        <v>419.34000000000003</v>
      </c>
      <c r="J54" s="3">
        <v>666.82999999999993</v>
      </c>
      <c r="K54" s="8">
        <f t="shared" si="1"/>
        <v>0.35282239404979265</v>
      </c>
      <c r="L54" s="8">
        <f t="shared" si="2"/>
        <v>0.56105441175233262</v>
      </c>
      <c r="M54" s="8">
        <f t="shared" si="3"/>
        <v>8.6123194197874731E-2</v>
      </c>
      <c r="N54" s="5">
        <f t="shared" si="4"/>
        <v>1157.0276254406676</v>
      </c>
      <c r="O54" s="5">
        <f t="shared" si="5"/>
        <v>1839.8930020331954</v>
      </c>
      <c r="P54" s="5">
        <f t="shared" si="6"/>
        <v>2996.9206274738631</v>
      </c>
      <c r="R54">
        <v>14</v>
      </c>
      <c r="S54" t="s">
        <v>75</v>
      </c>
      <c r="T54" s="9">
        <v>36476</v>
      </c>
      <c r="U54" s="3">
        <f>SUM(F54:F55)</f>
        <v>30.630000000000003</v>
      </c>
      <c r="V54" s="4">
        <f>U54/(2*$A$19)*$A$20</f>
        <v>3425.8679312813174</v>
      </c>
      <c r="W54" s="3">
        <f>SUM(H54:H55)</f>
        <v>2262.4300000000003</v>
      </c>
      <c r="X54" s="3">
        <f>SUM(I54:I55)</f>
        <v>776.02</v>
      </c>
      <c r="Y54" s="3">
        <f>SUM(J54:J55)</f>
        <v>1241.8399999999999</v>
      </c>
      <c r="Z54" s="7">
        <f>X54/W54</f>
        <v>0.3430028774370919</v>
      </c>
      <c r="AA54" s="7">
        <f>Y54/W54</f>
        <v>0.54889654044545011</v>
      </c>
      <c r="AB54" s="7">
        <f>1-Z54-AA54</f>
        <v>0.10810058211745799</v>
      </c>
      <c r="AC54" s="4">
        <f>V54*Z54</f>
        <v>1175.0825581489494</v>
      </c>
      <c r="AD54" s="4">
        <f>V54*AA54</f>
        <v>1880.4470555033261</v>
      </c>
      <c r="AE54" s="4">
        <f>SUM(AC54:AD54)</f>
        <v>3055.5296136522757</v>
      </c>
    </row>
    <row r="55" spans="1:31" x14ac:dyDescent="0.25">
      <c r="A55">
        <v>2</v>
      </c>
      <c r="B55">
        <v>4</v>
      </c>
      <c r="C55" s="1" t="s">
        <v>125</v>
      </c>
      <c r="D55" s="1" t="s">
        <v>75</v>
      </c>
      <c r="E55" s="2">
        <v>36476</v>
      </c>
      <c r="F55" s="3">
        <v>15.97</v>
      </c>
      <c r="G55" s="5">
        <f t="shared" si="0"/>
        <v>3572.3872584108808</v>
      </c>
      <c r="H55" s="3">
        <v>1073.9000000000001</v>
      </c>
      <c r="I55" s="3">
        <v>356.68</v>
      </c>
      <c r="J55" s="3">
        <v>575.01</v>
      </c>
      <c r="K55" s="8">
        <f t="shared" si="1"/>
        <v>0.33213520811993663</v>
      </c>
      <c r="L55" s="8">
        <f t="shared" si="2"/>
        <v>0.53544091628643253</v>
      </c>
      <c r="M55" s="8">
        <f t="shared" si="3"/>
        <v>0.13242387559363078</v>
      </c>
      <c r="N55" s="5">
        <f t="shared" si="4"/>
        <v>1186.5155855573078</v>
      </c>
      <c r="O55" s="5">
        <f t="shared" si="5"/>
        <v>1912.8023069734986</v>
      </c>
      <c r="P55" s="5">
        <f t="shared" si="6"/>
        <v>3099.3178925308066</v>
      </c>
      <c r="U55" s="3"/>
      <c r="W55" s="3"/>
      <c r="X55" s="3"/>
      <c r="Y55" s="3"/>
      <c r="Z55" s="7"/>
      <c r="AA55" s="7"/>
      <c r="AB55" s="7"/>
      <c r="AC55" s="4"/>
      <c r="AD55" s="4"/>
      <c r="AE55" s="4"/>
    </row>
    <row r="56" spans="1:31" x14ac:dyDescent="0.25">
      <c r="A56">
        <v>3</v>
      </c>
      <c r="B56">
        <v>4</v>
      </c>
      <c r="C56" s="1" t="s">
        <v>126</v>
      </c>
      <c r="D56" s="1" t="s">
        <v>75</v>
      </c>
      <c r="E56" s="2">
        <v>36476</v>
      </c>
      <c r="F56" s="3">
        <v>17.18</v>
      </c>
      <c r="G56" s="5">
        <f t="shared" si="0"/>
        <v>3843.0565497494626</v>
      </c>
      <c r="H56" s="3">
        <v>904.87</v>
      </c>
      <c r="I56" s="3">
        <v>328.02</v>
      </c>
      <c r="J56" s="3">
        <v>504.00000000000006</v>
      </c>
      <c r="K56" s="8">
        <f t="shared" si="1"/>
        <v>0.36250511123144757</v>
      </c>
      <c r="L56" s="8">
        <f t="shared" si="2"/>
        <v>0.55698608639915137</v>
      </c>
      <c r="M56" s="8">
        <f t="shared" si="3"/>
        <v>8.0508802369401056E-2</v>
      </c>
      <c r="N56" s="5">
        <f t="shared" si="4"/>
        <v>1393.1276420356721</v>
      </c>
      <c r="O56" s="5">
        <f t="shared" si="5"/>
        <v>2140.5290274555787</v>
      </c>
      <c r="P56" s="5">
        <f t="shared" si="6"/>
        <v>3533.6566694912508</v>
      </c>
      <c r="R56">
        <v>15</v>
      </c>
      <c r="S56" t="s">
        <v>75</v>
      </c>
      <c r="T56" s="9">
        <v>36476</v>
      </c>
      <c r="U56" s="3">
        <f>SUM(F56:F57)</f>
        <v>33.15</v>
      </c>
      <c r="V56" s="4">
        <f>U56/(2*$A$19)*$A$20</f>
        <v>3707.721904080172</v>
      </c>
      <c r="W56" s="3">
        <f>SUM(H56:H57)</f>
        <v>1996.5500000000002</v>
      </c>
      <c r="X56" s="3">
        <f>SUM(I56:I57)</f>
        <v>722.4</v>
      </c>
      <c r="Y56" s="3">
        <f>SUM(J56:J57)</f>
        <v>1110.8499999999999</v>
      </c>
      <c r="Z56" s="7">
        <f>X56/W56</f>
        <v>0.36182414665297635</v>
      </c>
      <c r="AA56" s="7">
        <f>Y56/W56</f>
        <v>0.55638476371741241</v>
      </c>
      <c r="AB56" s="7">
        <f>1-Z56-AA56</f>
        <v>8.1791089629611236E-2</v>
      </c>
      <c r="AC56" s="4">
        <f>V56*Z56</f>
        <v>1341.5433139703568</v>
      </c>
      <c r="AD56" s="4">
        <f>V56*AA56</f>
        <v>2062.9199755315208</v>
      </c>
      <c r="AE56" s="4">
        <f>SUM(AC56:AD56)</f>
        <v>3404.4632895018776</v>
      </c>
    </row>
    <row r="57" spans="1:31" x14ac:dyDescent="0.25">
      <c r="A57">
        <v>3</v>
      </c>
      <c r="B57">
        <v>4</v>
      </c>
      <c r="C57" s="1" t="s">
        <v>127</v>
      </c>
      <c r="D57" s="1" t="s">
        <v>75</v>
      </c>
      <c r="E57" s="2">
        <v>36476</v>
      </c>
      <c r="F57" s="3">
        <v>15.97</v>
      </c>
      <c r="G57" s="5">
        <f t="shared" si="0"/>
        <v>3572.3872584108808</v>
      </c>
      <c r="H57" s="3">
        <v>1091.68</v>
      </c>
      <c r="I57" s="3">
        <v>394.38</v>
      </c>
      <c r="J57" s="3">
        <v>606.84999999999991</v>
      </c>
      <c r="K57" s="8">
        <f t="shared" si="1"/>
        <v>0.36125970980507105</v>
      </c>
      <c r="L57" s="8">
        <f t="shared" si="2"/>
        <v>0.55588634031950745</v>
      </c>
      <c r="M57" s="8">
        <f t="shared" si="3"/>
        <v>8.2853949875421495E-2</v>
      </c>
      <c r="N57" s="5">
        <f t="shared" si="4"/>
        <v>1290.5595842848481</v>
      </c>
      <c r="O57" s="5">
        <f t="shared" si="5"/>
        <v>1985.8412792820632</v>
      </c>
      <c r="P57" s="5">
        <f t="shared" si="6"/>
        <v>3276.4008635669115</v>
      </c>
      <c r="U57" s="3"/>
      <c r="W57" s="3"/>
      <c r="X57" s="3"/>
      <c r="Y57" s="3"/>
      <c r="Z57" s="7"/>
      <c r="AA57" s="7"/>
      <c r="AB57" s="7"/>
      <c r="AC57" s="4"/>
      <c r="AD57" s="4"/>
      <c r="AE57" s="4"/>
    </row>
    <row r="58" spans="1:31" x14ac:dyDescent="0.25">
      <c r="A58">
        <v>4</v>
      </c>
      <c r="B58">
        <v>4</v>
      </c>
      <c r="C58" s="1" t="s">
        <v>128</v>
      </c>
      <c r="D58" s="1" t="s">
        <v>75</v>
      </c>
      <c r="E58" s="2">
        <v>36476</v>
      </c>
      <c r="F58" s="3">
        <v>16.02</v>
      </c>
      <c r="G58" s="5">
        <f t="shared" si="0"/>
        <v>3583.5719398711526</v>
      </c>
      <c r="H58" s="3"/>
      <c r="I58" s="3"/>
      <c r="J58" s="3"/>
      <c r="K58" s="8"/>
      <c r="L58" s="8"/>
      <c r="M58" s="8"/>
      <c r="N58" s="5"/>
      <c r="O58" s="5"/>
      <c r="P58" s="5"/>
      <c r="R58">
        <v>16</v>
      </c>
      <c r="S58" t="s">
        <v>75</v>
      </c>
      <c r="T58" s="9">
        <v>36476</v>
      </c>
      <c r="U58" s="3">
        <f>SUM(F58:F59)</f>
        <v>31.96</v>
      </c>
      <c r="V58" s="4">
        <f>U58/(2*$A$19)*$A$20</f>
        <v>3574.6241947029348</v>
      </c>
      <c r="W58" s="3">
        <f>SUM(H58:H59)</f>
        <v>1100.8600000000001</v>
      </c>
      <c r="X58" s="3">
        <f>SUM(I58:I59)</f>
        <v>362.11</v>
      </c>
      <c r="Y58" s="3">
        <f>SUM(J58:J59)</f>
        <v>593.82999999999993</v>
      </c>
      <c r="Z58" s="7">
        <f>X58/W58</f>
        <v>0.32893374271024467</v>
      </c>
      <c r="AA58" s="7">
        <f>Y58/W58</f>
        <v>0.53942372327089716</v>
      </c>
      <c r="AB58" s="7">
        <f>1-Z58-AA58</f>
        <v>0.13164253401885817</v>
      </c>
      <c r="AC58" s="4">
        <f>V58*Z58</f>
        <v>1175.8145151462306</v>
      </c>
      <c r="AD58" s="4">
        <f>V58*AA58</f>
        <v>1928.2370924008894</v>
      </c>
      <c r="AE58" s="4">
        <f>SUM(AC58:AD58)</f>
        <v>3104.0516075471201</v>
      </c>
    </row>
    <row r="59" spans="1:31" x14ac:dyDescent="0.25">
      <c r="A59">
        <v>4</v>
      </c>
      <c r="B59">
        <v>4</v>
      </c>
      <c r="C59" s="1" t="s">
        <v>129</v>
      </c>
      <c r="D59" s="1" t="s">
        <v>75</v>
      </c>
      <c r="E59" s="2">
        <v>36476</v>
      </c>
      <c r="F59" s="3">
        <v>15.94</v>
      </c>
      <c r="G59" s="5">
        <f t="shared" si="0"/>
        <v>3565.676449534717</v>
      </c>
      <c r="H59" s="3">
        <v>1100.8600000000001</v>
      </c>
      <c r="I59" s="3">
        <v>362.11</v>
      </c>
      <c r="J59" s="3">
        <v>593.82999999999993</v>
      </c>
      <c r="K59" s="8">
        <f t="shared" si="1"/>
        <v>0.32893374271024467</v>
      </c>
      <c r="L59" s="8">
        <f t="shared" si="2"/>
        <v>0.53942372327089716</v>
      </c>
      <c r="M59" s="8">
        <f t="shared" si="3"/>
        <v>0.13164253401885817</v>
      </c>
      <c r="N59" s="5">
        <f t="shared" si="4"/>
        <v>1172.8712998392314</v>
      </c>
      <c r="O59" s="5">
        <f t="shared" si="5"/>
        <v>1923.4104663873702</v>
      </c>
      <c r="P59" s="5">
        <f t="shared" si="6"/>
        <v>3096.2817662266016</v>
      </c>
      <c r="U59" s="3"/>
      <c r="AD59" s="4"/>
    </row>
  </sheetData>
  <sortState xmlns:xlrd2="http://schemas.microsoft.com/office/spreadsheetml/2017/richdata2" ref="A28:D45">
    <sortCondition ref="D28:D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N22"/>
  <sheetViews>
    <sheetView workbookViewId="0"/>
  </sheetViews>
  <sheetFormatPr defaultRowHeight="15" x14ac:dyDescent="0.25"/>
  <cols>
    <col min="3" max="3" width="10.5703125" bestFit="1" customWidth="1"/>
  </cols>
  <sheetData>
    <row r="1" spans="1:14" x14ac:dyDescent="0.25">
      <c r="A1" s="1"/>
      <c r="B1" s="1" t="s">
        <v>2</v>
      </c>
      <c r="C1" s="1" t="s">
        <v>2</v>
      </c>
      <c r="D1" t="s">
        <v>2</v>
      </c>
      <c r="E1" s="1" t="s">
        <v>2</v>
      </c>
      <c r="F1" t="s">
        <v>44</v>
      </c>
      <c r="G1" t="s">
        <v>44</v>
      </c>
      <c r="H1" t="s">
        <v>44</v>
      </c>
      <c r="I1" s="1" t="s">
        <v>44</v>
      </c>
      <c r="J1" s="1" t="s">
        <v>44</v>
      </c>
      <c r="K1" s="1" t="s">
        <v>44</v>
      </c>
      <c r="L1" s="1" t="s">
        <v>54</v>
      </c>
      <c r="M1" s="1" t="s">
        <v>54</v>
      </c>
      <c r="N1" s="1" t="s">
        <v>54</v>
      </c>
    </row>
    <row r="2" spans="1:14" x14ac:dyDescent="0.25">
      <c r="A2" s="1"/>
      <c r="B2" s="1"/>
      <c r="C2" s="1"/>
      <c r="E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t="s">
        <v>36</v>
      </c>
      <c r="E3" s="1"/>
      <c r="F3" t="s">
        <v>45</v>
      </c>
      <c r="G3" t="s">
        <v>48</v>
      </c>
      <c r="H3" t="s">
        <v>49</v>
      </c>
      <c r="I3" s="1"/>
      <c r="J3" s="1"/>
      <c r="K3" s="1"/>
      <c r="L3" s="1"/>
      <c r="M3" s="1"/>
      <c r="N3" s="1"/>
    </row>
    <row r="4" spans="1:14" x14ac:dyDescent="0.25">
      <c r="A4" s="1" t="s">
        <v>59</v>
      </c>
      <c r="B4" s="1" t="s">
        <v>72</v>
      </c>
      <c r="C4" s="1" t="s">
        <v>37</v>
      </c>
      <c r="E4" s="1" t="s">
        <v>39</v>
      </c>
      <c r="F4" t="s">
        <v>46</v>
      </c>
      <c r="G4" t="s">
        <v>46</v>
      </c>
      <c r="H4" t="s">
        <v>46</v>
      </c>
      <c r="I4" s="1" t="s">
        <v>50</v>
      </c>
      <c r="J4" s="1" t="s">
        <v>51</v>
      </c>
      <c r="K4" s="1" t="s">
        <v>52</v>
      </c>
      <c r="L4" s="1" t="s">
        <v>55</v>
      </c>
      <c r="M4" s="1" t="s">
        <v>56</v>
      </c>
      <c r="N4" s="1" t="s">
        <v>57</v>
      </c>
    </row>
    <row r="5" spans="1:14" x14ac:dyDescent="0.25">
      <c r="A5" s="1"/>
      <c r="B5" s="5"/>
      <c r="C5" s="5"/>
      <c r="D5" s="4"/>
      <c r="E5" s="5" t="s">
        <v>40</v>
      </c>
      <c r="F5" s="7" t="s">
        <v>47</v>
      </c>
      <c r="G5" s="7" t="s">
        <v>47</v>
      </c>
      <c r="H5" s="7" t="s">
        <v>47</v>
      </c>
      <c r="I5" s="5" t="s">
        <v>53</v>
      </c>
      <c r="J5" s="5" t="s">
        <v>53</v>
      </c>
      <c r="K5" s="5" t="s">
        <v>53</v>
      </c>
      <c r="L5" s="1" t="s">
        <v>40</v>
      </c>
      <c r="M5" s="1" t="s">
        <v>40</v>
      </c>
      <c r="N5" s="1" t="s">
        <v>40</v>
      </c>
    </row>
    <row r="6" spans="1:14" x14ac:dyDescent="0.25">
      <c r="A6" s="1" t="s">
        <v>59</v>
      </c>
      <c r="B6" s="5" t="s">
        <v>72</v>
      </c>
      <c r="C6" s="5" t="s">
        <v>37</v>
      </c>
      <c r="D6" s="4"/>
      <c r="E6" s="5" t="s">
        <v>39</v>
      </c>
      <c r="F6" s="7"/>
      <c r="G6" s="7"/>
      <c r="H6" s="7"/>
      <c r="I6" s="1" t="s">
        <v>50</v>
      </c>
      <c r="J6" s="1" t="s">
        <v>51</v>
      </c>
      <c r="K6" s="1" t="s">
        <v>52</v>
      </c>
      <c r="L6" s="1" t="s">
        <v>55</v>
      </c>
      <c r="M6" s="1" t="s">
        <v>56</v>
      </c>
      <c r="N6" s="1" t="s">
        <v>57</v>
      </c>
    </row>
    <row r="7" spans="1:14" x14ac:dyDescent="0.25">
      <c r="A7" s="14" t="s">
        <v>82</v>
      </c>
      <c r="B7" s="5" t="s">
        <v>75</v>
      </c>
      <c r="C7" s="10">
        <v>36476</v>
      </c>
      <c r="D7" s="3">
        <v>32.909999999999997</v>
      </c>
      <c r="E7" s="5">
        <v>3680.8786685755185</v>
      </c>
      <c r="F7" s="3">
        <v>2285.5100000000002</v>
      </c>
      <c r="G7" s="3">
        <v>771.73</v>
      </c>
      <c r="H7" s="3">
        <v>1246.74</v>
      </c>
      <c r="I7" s="8">
        <v>0.33766205354603568</v>
      </c>
      <c r="J7" s="8">
        <v>0.54549750383940565</v>
      </c>
      <c r="K7" s="8">
        <v>0.11684044261455862</v>
      </c>
      <c r="L7" s="5">
        <v>1242.8930500850072</v>
      </c>
      <c r="M7" s="5">
        <v>2007.9101256436602</v>
      </c>
      <c r="N7" s="5">
        <v>3250.8031757286672</v>
      </c>
    </row>
    <row r="8" spans="1:14" x14ac:dyDescent="0.25">
      <c r="A8" s="14" t="s">
        <v>83</v>
      </c>
      <c r="B8" s="5" t="s">
        <v>75</v>
      </c>
      <c r="C8" s="10">
        <v>36476</v>
      </c>
      <c r="D8" s="3">
        <v>30.259999999999998</v>
      </c>
      <c r="E8" s="5">
        <v>3384.4846098783105</v>
      </c>
      <c r="F8" s="3">
        <v>2014.2800000000002</v>
      </c>
      <c r="G8" s="3">
        <v>719.27</v>
      </c>
      <c r="H8" s="3">
        <v>1089.24</v>
      </c>
      <c r="I8" s="8">
        <v>0.35708541017137635</v>
      </c>
      <c r="J8" s="8">
        <v>0.5407589808765414</v>
      </c>
      <c r="K8" s="8">
        <v>0.10215560895208231</v>
      </c>
      <c r="L8" s="5">
        <v>1208.5500751371071</v>
      </c>
      <c r="M8" s="5">
        <v>1830.190448430134</v>
      </c>
      <c r="N8" s="5">
        <v>3038.7405235672413</v>
      </c>
    </row>
    <row r="9" spans="1:14" x14ac:dyDescent="0.25">
      <c r="A9" s="14" t="s">
        <v>84</v>
      </c>
      <c r="B9" s="5" t="s">
        <v>75</v>
      </c>
      <c r="C9" s="10">
        <v>36476</v>
      </c>
      <c r="D9" s="3">
        <v>31.439999999999998</v>
      </c>
      <c r="E9" s="5">
        <v>3516.4638511095204</v>
      </c>
      <c r="F9" s="3">
        <v>1851.08</v>
      </c>
      <c r="G9" s="3">
        <v>640.62000000000012</v>
      </c>
      <c r="H9" s="3">
        <v>1010.38</v>
      </c>
      <c r="I9" s="8">
        <v>0.34607904574626713</v>
      </c>
      <c r="J9" s="8">
        <v>0.54583270307063991</v>
      </c>
      <c r="K9" s="8">
        <v>0.10808825118309295</v>
      </c>
      <c r="L9" s="5">
        <v>1216.9744539932265</v>
      </c>
      <c r="M9" s="5">
        <v>1919.4009691013018</v>
      </c>
      <c r="N9" s="5">
        <v>3136.3754230945283</v>
      </c>
    </row>
    <row r="10" spans="1:14" x14ac:dyDescent="0.25">
      <c r="A10" s="14" t="s">
        <v>85</v>
      </c>
      <c r="B10" s="5" t="s">
        <v>75</v>
      </c>
      <c r="C10" s="10">
        <v>36476</v>
      </c>
      <c r="D10" s="3">
        <v>36.89</v>
      </c>
      <c r="E10" s="5">
        <v>4126.0289906943444</v>
      </c>
      <c r="F10" s="3">
        <v>2065.41</v>
      </c>
      <c r="G10" s="3">
        <v>728.6400000000001</v>
      </c>
      <c r="H10" s="3">
        <v>1123.9699999999998</v>
      </c>
      <c r="I10" s="8">
        <v>0.35278225630746446</v>
      </c>
      <c r="J10" s="8">
        <v>0.544187352632165</v>
      </c>
      <c r="K10" s="8">
        <v>0.10303039106037049</v>
      </c>
      <c r="L10" s="5">
        <v>1455.5898169271611</v>
      </c>
      <c r="M10" s="5">
        <v>2245.3327933295191</v>
      </c>
      <c r="N10" s="5">
        <v>3700.9226102566799</v>
      </c>
    </row>
    <row r="11" spans="1:14" x14ac:dyDescent="0.25">
      <c r="A11" s="14" t="s">
        <v>86</v>
      </c>
      <c r="B11" s="1" t="s">
        <v>75</v>
      </c>
      <c r="C11" s="10">
        <v>36476</v>
      </c>
      <c r="D11" s="3">
        <v>32.900000000000006</v>
      </c>
      <c r="E11" s="5">
        <v>3679.7602004294922</v>
      </c>
      <c r="F11" s="3">
        <v>1992.1200000000001</v>
      </c>
      <c r="G11" s="3">
        <v>692.25</v>
      </c>
      <c r="H11" s="3">
        <v>1094.94</v>
      </c>
      <c r="I11" s="8">
        <v>0.34749412685982772</v>
      </c>
      <c r="J11" s="8">
        <v>0.54963556412264325</v>
      </c>
      <c r="K11" s="8">
        <v>0.10287030901752903</v>
      </c>
      <c r="L11" s="5">
        <v>1278.695057901791</v>
      </c>
      <c r="M11" s="5">
        <v>2022.5270735991148</v>
      </c>
      <c r="N11" s="5">
        <v>3301.2221315009056</v>
      </c>
    </row>
    <row r="12" spans="1:14" x14ac:dyDescent="0.25">
      <c r="A12" s="14" t="s">
        <v>87</v>
      </c>
      <c r="B12" s="1" t="s">
        <v>75</v>
      </c>
      <c r="C12" s="10">
        <v>36476</v>
      </c>
      <c r="D12" s="3">
        <v>34.5</v>
      </c>
      <c r="E12" s="5">
        <v>3858.7151037938438</v>
      </c>
      <c r="F12" s="3">
        <v>2266.8500000000004</v>
      </c>
      <c r="G12" s="3">
        <v>796.61</v>
      </c>
      <c r="H12" s="3">
        <v>1253.3799999999999</v>
      </c>
      <c r="I12" s="8">
        <v>0.35141716478814211</v>
      </c>
      <c r="J12" s="8">
        <v>0.55291704347442472</v>
      </c>
      <c r="K12" s="8">
        <v>9.566579173743317E-2</v>
      </c>
      <c r="L12" s="5">
        <v>1356.0187215004141</v>
      </c>
      <c r="M12" s="5">
        <v>2133.5493467997999</v>
      </c>
      <c r="N12" s="5">
        <v>3489.5680683002138</v>
      </c>
    </row>
    <row r="13" spans="1:14" x14ac:dyDescent="0.25">
      <c r="A13" s="14" t="s">
        <v>88</v>
      </c>
      <c r="B13" s="1" t="s">
        <v>75</v>
      </c>
      <c r="C13" s="10">
        <v>36476</v>
      </c>
      <c r="D13" s="3">
        <v>28.97</v>
      </c>
      <c r="E13" s="5">
        <v>3240.2022190408015</v>
      </c>
      <c r="F13" s="3">
        <v>2169.36</v>
      </c>
      <c r="G13" s="3">
        <v>742.11</v>
      </c>
      <c r="H13" s="3">
        <v>1184.3</v>
      </c>
      <c r="I13" s="8">
        <v>0.34208706715344617</v>
      </c>
      <c r="J13" s="8">
        <v>0.545921377733525</v>
      </c>
      <c r="K13" s="8">
        <v>0.11199155511302883</v>
      </c>
      <c r="L13" s="5">
        <v>1108.431274095756</v>
      </c>
      <c r="M13" s="5">
        <v>1768.8956595539794</v>
      </c>
      <c r="N13" s="5">
        <v>2877.3269336497351</v>
      </c>
    </row>
    <row r="14" spans="1:14" x14ac:dyDescent="0.25">
      <c r="A14" s="14" t="s">
        <v>89</v>
      </c>
      <c r="B14" s="1" t="s">
        <v>75</v>
      </c>
      <c r="C14" s="10">
        <v>36476</v>
      </c>
      <c r="D14" s="3">
        <v>34.61</v>
      </c>
      <c r="E14" s="5">
        <v>3871.0182534001428</v>
      </c>
      <c r="F14" s="3">
        <v>2249.2600000000002</v>
      </c>
      <c r="G14" s="3">
        <v>790.15</v>
      </c>
      <c r="H14" s="3">
        <v>1218.98</v>
      </c>
      <c r="I14" s="8">
        <v>0.35129331424557403</v>
      </c>
      <c r="J14" s="8">
        <v>0.54194712927807365</v>
      </c>
      <c r="K14" s="8">
        <v>0.10675955647635227</v>
      </c>
      <c r="L14" s="5">
        <v>1359.8628317420496</v>
      </c>
      <c r="M14" s="5">
        <v>2097.8872298132301</v>
      </c>
      <c r="N14" s="5">
        <v>3457.7500615552799</v>
      </c>
    </row>
    <row r="15" spans="1:14" x14ac:dyDescent="0.25">
      <c r="A15" s="14" t="s">
        <v>90</v>
      </c>
      <c r="B15" s="1" t="s">
        <v>75</v>
      </c>
      <c r="C15" s="10">
        <v>36476</v>
      </c>
      <c r="D15" s="3">
        <v>38.04</v>
      </c>
      <c r="E15" s="5">
        <v>4254.6528274874727</v>
      </c>
      <c r="F15" s="3">
        <v>1767.22</v>
      </c>
      <c r="G15" s="3">
        <v>638.08000000000004</v>
      </c>
      <c r="H15" s="3">
        <v>984.45</v>
      </c>
      <c r="I15" s="8">
        <v>0.3610642704360521</v>
      </c>
      <c r="J15" s="8">
        <v>0.55706137323027127</v>
      </c>
      <c r="K15" s="8">
        <v>8.1874356333676679E-2</v>
      </c>
      <c r="L15" s="5">
        <v>1536.2031191154506</v>
      </c>
      <c r="M15" s="5">
        <v>2370.1027466982282</v>
      </c>
      <c r="N15" s="5">
        <v>3906.3058658136788</v>
      </c>
    </row>
    <row r="16" spans="1:14" x14ac:dyDescent="0.25">
      <c r="A16" s="14" t="s">
        <v>91</v>
      </c>
      <c r="B16" s="1" t="s">
        <v>75</v>
      </c>
      <c r="C16" s="10">
        <v>36476</v>
      </c>
      <c r="D16" s="3">
        <v>32.909999999999997</v>
      </c>
      <c r="E16" s="5">
        <v>3680.8786685755185</v>
      </c>
      <c r="F16" s="3">
        <v>1854.0200000000002</v>
      </c>
      <c r="G16" s="3">
        <v>630.72</v>
      </c>
      <c r="H16" s="3">
        <v>1008.8299999999999</v>
      </c>
      <c r="I16" s="8">
        <v>0.34019050495679654</v>
      </c>
      <c r="J16" s="8">
        <v>0.54413113127150725</v>
      </c>
      <c r="K16" s="8">
        <v>0.11567836377169616</v>
      </c>
      <c r="L16" s="5">
        <v>1252.1999729474066</v>
      </c>
      <c r="M16" s="5">
        <v>2002.8806740051564</v>
      </c>
      <c r="N16" s="5">
        <v>3255.0806469525633</v>
      </c>
    </row>
    <row r="17" spans="1:14" x14ac:dyDescent="0.25">
      <c r="A17" s="14" t="s">
        <v>92</v>
      </c>
      <c r="B17" s="1" t="s">
        <v>75</v>
      </c>
      <c r="C17" s="10">
        <v>36476</v>
      </c>
      <c r="D17" s="3">
        <v>35.39</v>
      </c>
      <c r="E17" s="5">
        <v>3958.2587687902646</v>
      </c>
      <c r="F17" s="3">
        <v>1911.0400000000002</v>
      </c>
      <c r="G17" s="3">
        <v>645.74</v>
      </c>
      <c r="H17" s="3">
        <v>984.37999999999988</v>
      </c>
      <c r="I17" s="8">
        <v>0.33789978231748158</v>
      </c>
      <c r="J17" s="8">
        <v>0.51510172471533811</v>
      </c>
      <c r="K17" s="8">
        <v>0.14699849296718026</v>
      </c>
      <c r="L17" s="5">
        <v>1337.4947763304931</v>
      </c>
      <c r="M17" s="5">
        <v>2038.905918673476</v>
      </c>
      <c r="N17" s="5">
        <v>3376.4006950039693</v>
      </c>
    </row>
    <row r="18" spans="1:14" x14ac:dyDescent="0.25">
      <c r="A18" s="14" t="s">
        <v>93</v>
      </c>
      <c r="B18" s="1" t="s">
        <v>75</v>
      </c>
      <c r="C18" s="10">
        <v>36476</v>
      </c>
      <c r="D18" s="3">
        <v>31.659999999999997</v>
      </c>
      <c r="E18" s="5">
        <v>3541.070150322118</v>
      </c>
      <c r="F18" s="3">
        <v>2179.91</v>
      </c>
      <c r="G18" s="3">
        <v>723.86</v>
      </c>
      <c r="H18" s="3">
        <v>1216.5</v>
      </c>
      <c r="I18" s="8">
        <v>0.33205958044139439</v>
      </c>
      <c r="J18" s="8">
        <v>0.55805056172043799</v>
      </c>
      <c r="K18" s="8">
        <v>0.10988985783816763</v>
      </c>
      <c r="L18" s="5">
        <v>1175.846268429508</v>
      </c>
      <c r="M18" s="5">
        <v>1976.0961864787337</v>
      </c>
      <c r="N18" s="5">
        <v>3151.9424549082414</v>
      </c>
    </row>
    <row r="19" spans="1:14" x14ac:dyDescent="0.25">
      <c r="A19" s="14" t="s">
        <v>94</v>
      </c>
      <c r="B19" s="1" t="s">
        <v>75</v>
      </c>
      <c r="C19" s="10">
        <v>36476</v>
      </c>
      <c r="D19" s="3">
        <v>30.84</v>
      </c>
      <c r="E19" s="5">
        <v>3449.3557623478882</v>
      </c>
      <c r="F19" s="3">
        <v>2046.16</v>
      </c>
      <c r="G19" s="3">
        <v>723.84</v>
      </c>
      <c r="H19" s="3">
        <v>1133.58</v>
      </c>
      <c r="I19" s="8">
        <v>0.35375532705164797</v>
      </c>
      <c r="J19" s="8">
        <v>0.55400359698166313</v>
      </c>
      <c r="K19" s="8">
        <v>9.2241075966688846E-2</v>
      </c>
      <c r="L19" s="5">
        <v>1220.2279758268637</v>
      </c>
      <c r="M19" s="5">
        <v>1910.9554996101569</v>
      </c>
      <c r="N19" s="5">
        <v>3131.1834754370207</v>
      </c>
    </row>
    <row r="20" spans="1:14" x14ac:dyDescent="0.25">
      <c r="A20" s="14" t="s">
        <v>95</v>
      </c>
      <c r="B20" s="1" t="s">
        <v>75</v>
      </c>
      <c r="C20" s="10">
        <v>36476</v>
      </c>
      <c r="D20" s="3">
        <v>30.630000000000003</v>
      </c>
      <c r="E20" s="5">
        <v>3425.8679312813174</v>
      </c>
      <c r="F20" s="3">
        <v>2262.4300000000003</v>
      </c>
      <c r="G20" s="3">
        <v>776.02</v>
      </c>
      <c r="H20" s="3">
        <v>1241.8399999999999</v>
      </c>
      <c r="I20" s="8">
        <v>0.3430028774370919</v>
      </c>
      <c r="J20" s="8">
        <v>0.54889654044545011</v>
      </c>
      <c r="K20" s="8">
        <v>0.10810058211745799</v>
      </c>
      <c r="L20" s="5">
        <v>1175.0825581489494</v>
      </c>
      <c r="M20" s="5">
        <v>1880.4470555033261</v>
      </c>
      <c r="N20" s="5">
        <v>3055.5296136522757</v>
      </c>
    </row>
    <row r="21" spans="1:14" x14ac:dyDescent="0.25">
      <c r="A21" s="14" t="s">
        <v>96</v>
      </c>
      <c r="B21" s="1" t="s">
        <v>75</v>
      </c>
      <c r="C21" s="10">
        <v>36476</v>
      </c>
      <c r="D21" s="3">
        <v>33.15</v>
      </c>
      <c r="E21" s="5">
        <v>3707.721904080172</v>
      </c>
      <c r="F21" s="3">
        <v>1996.5500000000002</v>
      </c>
      <c r="G21" s="3">
        <v>722.4</v>
      </c>
      <c r="H21" s="3">
        <v>1110.8499999999999</v>
      </c>
      <c r="I21" s="8">
        <v>0.36182414665297635</v>
      </c>
      <c r="J21" s="8">
        <v>0.55638476371741241</v>
      </c>
      <c r="K21" s="8">
        <v>8.1791089629611236E-2</v>
      </c>
      <c r="L21" s="5">
        <v>1341.5433139703568</v>
      </c>
      <c r="M21" s="5">
        <v>2062.9199755315208</v>
      </c>
      <c r="N21" s="5">
        <v>3404.4632895018776</v>
      </c>
    </row>
    <row r="22" spans="1:14" x14ac:dyDescent="0.25">
      <c r="A22" s="14" t="s">
        <v>97</v>
      </c>
      <c r="B22" s="1" t="s">
        <v>75</v>
      </c>
      <c r="C22" s="10">
        <v>36476</v>
      </c>
      <c r="D22" s="3">
        <v>31.96</v>
      </c>
      <c r="E22" s="5">
        <v>3574.6241947029348</v>
      </c>
      <c r="F22" s="3">
        <v>1100.8600000000001</v>
      </c>
      <c r="G22" s="3">
        <v>362.11</v>
      </c>
      <c r="H22" s="3">
        <v>593.82999999999993</v>
      </c>
      <c r="I22" s="8">
        <v>0.32893374271024467</v>
      </c>
      <c r="J22" s="8">
        <v>0.53942372327089716</v>
      </c>
      <c r="K22" s="8">
        <v>0.13164253401885817</v>
      </c>
      <c r="L22" s="5">
        <v>1175.8145151462306</v>
      </c>
      <c r="M22" s="5">
        <v>1928.2370924008894</v>
      </c>
      <c r="N22" s="5">
        <v>3104.0516075471201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AA98-8EB4-4946-B5DF-4604489C86BA}">
  <dimension ref="A1:N36"/>
  <sheetViews>
    <sheetView workbookViewId="0">
      <selection activeCell="C4" sqref="C4"/>
    </sheetView>
  </sheetViews>
  <sheetFormatPr defaultRowHeight="15" x14ac:dyDescent="0.25"/>
  <sheetData>
    <row r="1" spans="1:14" x14ac:dyDescent="0.25">
      <c r="B1" t="s">
        <v>77</v>
      </c>
      <c r="C1" t="s">
        <v>77</v>
      </c>
    </row>
    <row r="2" spans="1:14" x14ac:dyDescent="0.25">
      <c r="B2" t="s">
        <v>80</v>
      </c>
      <c r="C2" t="s">
        <v>80</v>
      </c>
      <c r="N2">
        <v>0</v>
      </c>
    </row>
    <row r="3" spans="1:14" x14ac:dyDescent="0.25">
      <c r="N3">
        <v>3000</v>
      </c>
    </row>
    <row r="4" spans="1:14" x14ac:dyDescent="0.25">
      <c r="A4" t="s">
        <v>35</v>
      </c>
      <c r="B4" s="11" t="s">
        <v>78</v>
      </c>
      <c r="C4" s="11" t="s">
        <v>79</v>
      </c>
    </row>
    <row r="5" spans="1:14" x14ac:dyDescent="0.25">
      <c r="A5" t="s">
        <v>3</v>
      </c>
      <c r="B5" s="12">
        <v>1940.273825809755</v>
      </c>
      <c r="C5" s="12">
        <v>1211.5332121190984</v>
      </c>
    </row>
    <row r="6" spans="1:14" x14ac:dyDescent="0.25">
      <c r="A6" t="s">
        <v>6</v>
      </c>
      <c r="B6" s="12">
        <v>2140.1934352350681</v>
      </c>
      <c r="C6" s="12">
        <v>1313.1449604474033</v>
      </c>
    </row>
    <row r="7" spans="1:14" x14ac:dyDescent="0.25">
      <c r="A7" t="s">
        <v>4</v>
      </c>
      <c r="B7" s="12">
        <v>2078.5857936892608</v>
      </c>
      <c r="C7" s="12">
        <v>1360.1641147774778</v>
      </c>
    </row>
    <row r="8" spans="1:14" x14ac:dyDescent="0.25">
      <c r="A8" t="s">
        <v>7</v>
      </c>
      <c r="B8" s="12">
        <v>1646.2775972689087</v>
      </c>
      <c r="C8" s="12">
        <v>1098.3951659392242</v>
      </c>
    </row>
    <row r="9" spans="1:14" x14ac:dyDescent="0.25">
      <c r="A9" t="s">
        <v>5</v>
      </c>
      <c r="B9" s="12">
        <v>1801.8098118606531</v>
      </c>
      <c r="C9" s="12">
        <v>1156.362001113592</v>
      </c>
    </row>
    <row r="10" spans="1:14" x14ac:dyDescent="0.25">
      <c r="A10" t="s">
        <v>8</v>
      </c>
      <c r="B10" s="12">
        <v>2110.6494246793036</v>
      </c>
      <c r="C10" s="12">
        <v>1319.4700820282728</v>
      </c>
    </row>
    <row r="11" spans="1:14" x14ac:dyDescent="0.25">
      <c r="A11" t="s">
        <v>9</v>
      </c>
      <c r="B11" s="12">
        <v>2246.4280236272671</v>
      </c>
      <c r="C11" s="12">
        <v>1446.0731514336503</v>
      </c>
    </row>
    <row r="12" spans="1:14" x14ac:dyDescent="0.25">
      <c r="A12" t="s">
        <v>10</v>
      </c>
      <c r="B12" s="12">
        <v>2309.9269317841499</v>
      </c>
      <c r="C12" s="12">
        <v>1512.1844234228763</v>
      </c>
    </row>
    <row r="13" spans="1:14" x14ac:dyDescent="0.25">
      <c r="A13" t="s">
        <v>11</v>
      </c>
      <c r="B13" s="12">
        <v>2047.4329321121356</v>
      </c>
      <c r="C13" s="12">
        <v>1296.6009654062752</v>
      </c>
    </row>
    <row r="14" spans="1:14" x14ac:dyDescent="0.25">
      <c r="A14" t="s">
        <v>12</v>
      </c>
      <c r="B14" s="12">
        <v>2066.923912637244</v>
      </c>
      <c r="C14" s="12">
        <v>1304.0369925502048</v>
      </c>
    </row>
    <row r="15" spans="1:14" x14ac:dyDescent="0.25">
      <c r="A15" t="s">
        <v>13</v>
      </c>
      <c r="B15" s="12">
        <v>2188.9029303737252</v>
      </c>
      <c r="C15" s="12">
        <v>1359.7643245292779</v>
      </c>
    </row>
    <row r="16" spans="1:14" x14ac:dyDescent="0.25">
      <c r="A16" t="s">
        <v>14</v>
      </c>
      <c r="B16" s="12">
        <v>2149.122504922193</v>
      </c>
      <c r="C16" s="12">
        <v>1391.7670584149178</v>
      </c>
    </row>
    <row r="17" spans="1:14" x14ac:dyDescent="0.25">
      <c r="A17" t="s">
        <v>15</v>
      </c>
      <c r="B17" s="12">
        <v>1868.3045894224665</v>
      </c>
      <c r="C17" s="12">
        <v>1180.5215518134178</v>
      </c>
    </row>
    <row r="18" spans="1:14" x14ac:dyDescent="0.25">
      <c r="A18" t="s">
        <v>16</v>
      </c>
      <c r="B18" s="12">
        <v>1730.2834140638804</v>
      </c>
      <c r="C18" s="12">
        <v>1076.8347697178133</v>
      </c>
    </row>
    <row r="19" spans="1:14" x14ac:dyDescent="0.25">
      <c r="A19" t="s">
        <v>17</v>
      </c>
      <c r="B19" s="12">
        <v>2091.3318753541644</v>
      </c>
      <c r="C19" s="12">
        <v>1344.2063668744433</v>
      </c>
    </row>
    <row r="20" spans="1:14" x14ac:dyDescent="0.25">
      <c r="A20" t="s">
        <v>18</v>
      </c>
      <c r="B20" s="12">
        <v>2171.9515981550853</v>
      </c>
      <c r="C20" s="12">
        <v>1418.8882541151193</v>
      </c>
    </row>
    <row r="21" spans="1:14" x14ac:dyDescent="0.25">
      <c r="A21" t="s">
        <v>19</v>
      </c>
      <c r="B21" s="12">
        <v>2351.7765552168275</v>
      </c>
      <c r="C21" s="12">
        <v>1488.6073117936467</v>
      </c>
    </row>
    <row r="22" spans="1:14" x14ac:dyDescent="0.25">
      <c r="A22" t="s">
        <v>20</v>
      </c>
      <c r="B22" s="12">
        <v>2464.7119916559245</v>
      </c>
      <c r="C22" s="12">
        <v>1632.0689468557202</v>
      </c>
    </row>
    <row r="23" spans="1:14" x14ac:dyDescent="0.25">
      <c r="A23" t="s">
        <v>21</v>
      </c>
      <c r="B23" s="12">
        <v>1926.0543557442384</v>
      </c>
      <c r="C23" s="12">
        <v>1192.0471876877571</v>
      </c>
    </row>
    <row r="24" spans="1:14" x14ac:dyDescent="0.25">
      <c r="A24" t="s">
        <v>22</v>
      </c>
      <c r="B24" s="12">
        <v>2139.0009047748758</v>
      </c>
      <c r="C24" s="12">
        <v>1347.7752753239677</v>
      </c>
    </row>
    <row r="25" spans="1:14" x14ac:dyDescent="0.25">
      <c r="A25" t="s">
        <v>23</v>
      </c>
      <c r="B25" s="12">
        <v>2040.8029225810199</v>
      </c>
      <c r="C25" s="12">
        <v>1339.4094244330092</v>
      </c>
      <c r="N25">
        <v>0</v>
      </c>
    </row>
    <row r="26" spans="1:14" x14ac:dyDescent="0.25">
      <c r="A26" t="s">
        <v>24</v>
      </c>
      <c r="B26" s="12">
        <v>2102.4357435937131</v>
      </c>
      <c r="C26" s="12">
        <v>1378.5822462646122</v>
      </c>
      <c r="N26">
        <v>3000</v>
      </c>
    </row>
    <row r="27" spans="1:14" x14ac:dyDescent="0.25">
      <c r="A27" t="s">
        <v>25</v>
      </c>
      <c r="B27" s="12">
        <v>1834.8956490979831</v>
      </c>
      <c r="C27" s="12">
        <v>1069.390402075227</v>
      </c>
    </row>
    <row r="28" spans="1:14" x14ac:dyDescent="0.25">
      <c r="A28" t="s">
        <v>26</v>
      </c>
      <c r="B28" s="12">
        <v>2184.6965313557671</v>
      </c>
      <c r="C28" s="12">
        <v>1327.9636104943193</v>
      </c>
    </row>
    <row r="29" spans="1:14" x14ac:dyDescent="0.25">
      <c r="A29" t="s">
        <v>27</v>
      </c>
      <c r="B29" s="12">
        <v>1903.1123715276669</v>
      </c>
      <c r="C29" s="12">
        <v>1227.6899640436568</v>
      </c>
    </row>
    <row r="30" spans="1:14" x14ac:dyDescent="0.25">
      <c r="A30" t="s">
        <v>28</v>
      </c>
      <c r="B30" s="12">
        <v>1979.8319613823712</v>
      </c>
      <c r="C30" s="12">
        <v>1252.5060731244787</v>
      </c>
    </row>
    <row r="31" spans="1:14" x14ac:dyDescent="0.25">
      <c r="A31" t="s">
        <v>29</v>
      </c>
      <c r="B31" s="12">
        <v>1869.3312900657265</v>
      </c>
      <c r="C31" s="12">
        <v>1175.5400674477182</v>
      </c>
    </row>
    <row r="32" spans="1:14" x14ac:dyDescent="0.25">
      <c r="A32" t="s">
        <v>30</v>
      </c>
      <c r="B32" s="12">
        <v>1943.4071438850744</v>
      </c>
      <c r="C32" s="12">
        <v>1205.4998349262246</v>
      </c>
    </row>
    <row r="33" spans="1:3" x14ac:dyDescent="0.25">
      <c r="A33" t="s">
        <v>31</v>
      </c>
      <c r="B33" s="12">
        <v>2174.7774918948685</v>
      </c>
      <c r="C33" s="12">
        <v>1415.417684308243</v>
      </c>
    </row>
    <row r="34" spans="1:3" x14ac:dyDescent="0.25">
      <c r="A34" t="s">
        <v>32</v>
      </c>
      <c r="B34" s="12">
        <v>2017.6147397505761</v>
      </c>
      <c r="C34" s="12">
        <v>1311.2085376334057</v>
      </c>
    </row>
    <row r="35" spans="1:3" x14ac:dyDescent="0.25">
      <c r="A35" t="s">
        <v>33</v>
      </c>
      <c r="B35" s="13">
        <v>2326.3162096731794</v>
      </c>
      <c r="C35" s="13">
        <v>614.35847516545289</v>
      </c>
    </row>
    <row r="36" spans="1:3" x14ac:dyDescent="0.25">
      <c r="A36" t="s">
        <v>34</v>
      </c>
      <c r="B36" s="12">
        <v>1954.1850338495683</v>
      </c>
      <c r="C36" s="12">
        <v>1191.637240636659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D964-CE2E-42B2-8832-9F76AF57831E}">
  <dimension ref="A1:S73"/>
  <sheetViews>
    <sheetView workbookViewId="0">
      <selection activeCell="S30" sqref="S30:S33"/>
    </sheetView>
  </sheetViews>
  <sheetFormatPr defaultRowHeight="12.75" x14ac:dyDescent="0.2"/>
  <cols>
    <col min="1" max="1" width="19.140625" style="15" customWidth="1"/>
    <col min="2" max="3" width="9.140625" style="15"/>
    <col min="4" max="4" width="15.85546875" style="15" customWidth="1"/>
    <col min="5" max="5" width="15.5703125" style="15" customWidth="1"/>
    <col min="6" max="6" width="10.28515625" style="15" customWidth="1"/>
    <col min="7" max="7" width="13.42578125" style="15" customWidth="1"/>
    <col min="8" max="9" width="9.140625" style="15"/>
    <col min="10" max="10" width="13" style="15" customWidth="1"/>
    <col min="11" max="11" width="12.28515625" style="15" customWidth="1"/>
    <col min="12" max="14" width="9.140625" style="15"/>
    <col min="15" max="15" width="14.28515625" style="15" customWidth="1"/>
    <col min="16" max="16" width="13.28515625" style="15" customWidth="1"/>
    <col min="17" max="16384" width="9.140625" style="15"/>
  </cols>
  <sheetData>
    <row r="1" spans="1:19" ht="14.25" x14ac:dyDescent="0.2">
      <c r="A1" s="45" t="s">
        <v>168</v>
      </c>
      <c r="B1" s="45"/>
      <c r="C1" s="45"/>
      <c r="D1" s="46" t="s">
        <v>167</v>
      </c>
      <c r="E1" s="45"/>
      <c r="F1" s="45"/>
      <c r="G1" s="45"/>
    </row>
    <row r="2" spans="1:19" ht="14.25" x14ac:dyDescent="0.2">
      <c r="A2" s="46" t="s">
        <v>166</v>
      </c>
      <c r="B2" s="45" t="s">
        <v>165</v>
      </c>
      <c r="D2" s="45"/>
      <c r="E2" s="45"/>
      <c r="F2" s="45"/>
      <c r="G2" s="45"/>
    </row>
    <row r="3" spans="1:19" ht="14.25" x14ac:dyDescent="0.2">
      <c r="A3" s="47" t="s">
        <v>164</v>
      </c>
      <c r="B3" s="45"/>
      <c r="C3" s="45"/>
      <c r="D3" s="45"/>
      <c r="E3" s="45"/>
      <c r="F3" s="45"/>
      <c r="G3" s="45"/>
    </row>
    <row r="4" spans="1:19" ht="14.25" x14ac:dyDescent="0.2">
      <c r="A4" s="46" t="s">
        <v>163</v>
      </c>
      <c r="B4" s="45" t="s">
        <v>162</v>
      </c>
      <c r="C4" s="45"/>
      <c r="D4" s="45"/>
      <c r="E4" s="45"/>
      <c r="F4" s="45"/>
      <c r="G4" s="45"/>
    </row>
    <row r="5" spans="1:19" ht="14.25" x14ac:dyDescent="0.2">
      <c r="A5" s="45" t="s">
        <v>161</v>
      </c>
      <c r="B5" s="45" t="s">
        <v>160</v>
      </c>
      <c r="C5" s="45"/>
      <c r="D5" s="45"/>
      <c r="E5" s="45"/>
      <c r="F5" s="45"/>
      <c r="G5" s="45"/>
    </row>
    <row r="6" spans="1:19" ht="14.25" x14ac:dyDescent="0.2">
      <c r="A6" s="45" t="s">
        <v>159</v>
      </c>
      <c r="B6" s="46" t="s">
        <v>158</v>
      </c>
      <c r="C6" s="45"/>
      <c r="D6" s="45"/>
      <c r="E6" s="45"/>
      <c r="F6" s="45"/>
      <c r="G6" s="45"/>
    </row>
    <row r="7" spans="1:19" ht="14.25" x14ac:dyDescent="0.2">
      <c r="A7" s="45"/>
      <c r="B7" s="46" t="s">
        <v>157</v>
      </c>
      <c r="C7" s="45"/>
      <c r="D7" s="45"/>
      <c r="E7" s="45"/>
      <c r="F7" s="45"/>
      <c r="G7" s="45"/>
    </row>
    <row r="8" spans="1:19" ht="14.25" x14ac:dyDescent="0.2">
      <c r="A8" s="45"/>
      <c r="B8" s="45"/>
      <c r="C8" s="45"/>
      <c r="D8" s="45"/>
      <c r="E8" s="45"/>
      <c r="F8" s="45"/>
      <c r="G8" s="45"/>
    </row>
    <row r="9" spans="1:19" ht="13.5" thickBot="1" x14ac:dyDescent="0.25">
      <c r="A9" s="16"/>
      <c r="B9" s="16"/>
      <c r="C9" s="16"/>
      <c r="D9" s="16"/>
      <c r="E9" s="16"/>
      <c r="F9" s="16"/>
      <c r="G9" s="16"/>
      <c r="H9" s="44" t="s">
        <v>156</v>
      </c>
      <c r="I9" s="44"/>
      <c r="J9" s="44"/>
      <c r="K9" s="44"/>
    </row>
    <row r="10" spans="1:19" ht="13.5" thickBot="1" x14ac:dyDescent="0.25">
      <c r="A10" s="16"/>
      <c r="B10" s="43" t="s">
        <v>155</v>
      </c>
      <c r="C10" s="42"/>
      <c r="D10" s="41"/>
      <c r="E10" s="41"/>
      <c r="F10" s="41"/>
      <c r="G10" s="41"/>
      <c r="H10" s="31" t="s">
        <v>154</v>
      </c>
      <c r="I10" s="31" t="s">
        <v>154</v>
      </c>
      <c r="J10" s="31"/>
      <c r="K10" s="31"/>
      <c r="M10" s="40" t="s">
        <v>153</v>
      </c>
      <c r="N10" s="40"/>
      <c r="O10" s="40"/>
      <c r="P10" s="40"/>
    </row>
    <row r="11" spans="1:19" ht="15.75" thickBot="1" x14ac:dyDescent="0.3">
      <c r="A11" s="39" t="s">
        <v>152</v>
      </c>
      <c r="B11" s="38" t="s">
        <v>151</v>
      </c>
      <c r="C11" s="38" t="s">
        <v>150</v>
      </c>
      <c r="D11" s="37" t="s">
        <v>149</v>
      </c>
      <c r="E11" s="36" t="s">
        <v>148</v>
      </c>
      <c r="F11" s="36" t="s">
        <v>147</v>
      </c>
      <c r="G11" s="35" t="s">
        <v>146</v>
      </c>
      <c r="H11" s="34" t="s">
        <v>49</v>
      </c>
      <c r="I11" s="33" t="s">
        <v>143</v>
      </c>
      <c r="J11" s="32" t="s">
        <v>78</v>
      </c>
      <c r="K11" s="32" t="s">
        <v>79</v>
      </c>
      <c r="L11" s="18" t="s">
        <v>145</v>
      </c>
      <c r="M11" s="31" t="s">
        <v>144</v>
      </c>
      <c r="N11" s="31" t="s">
        <v>143</v>
      </c>
      <c r="O11" s="31" t="s">
        <v>78</v>
      </c>
      <c r="P11" s="31" t="s">
        <v>79</v>
      </c>
    </row>
    <row r="12" spans="1:19" ht="15" x14ac:dyDescent="0.25">
      <c r="A12" s="29">
        <v>1</v>
      </c>
      <c r="B12" s="29" t="s">
        <v>142</v>
      </c>
      <c r="C12" s="29"/>
      <c r="D12" s="30">
        <f>8.56 +7.12</f>
        <v>15.68</v>
      </c>
      <c r="E12" s="30">
        <f>1211.8-64.82</f>
        <v>1146.98</v>
      </c>
      <c r="F12" s="29">
        <f>648.44-23.95</f>
        <v>624.49</v>
      </c>
      <c r="G12" s="29">
        <f>454.76-64.82</f>
        <v>389.94</v>
      </c>
      <c r="H12" s="21">
        <f>F12/E12</f>
        <v>0.54446459397722713</v>
      </c>
      <c r="I12" s="20">
        <f>G12/E12</f>
        <v>0.33997105442117559</v>
      </c>
      <c r="J12" s="18">
        <f>D12*H12/44*10000</f>
        <v>1940.273825809755</v>
      </c>
      <c r="K12" s="18">
        <f>I12*D12/44*10000</f>
        <v>1211.5332121190984</v>
      </c>
      <c r="L12" s="18">
        <f>D12/44*10000*0.35</f>
        <v>1247.2727272727273</v>
      </c>
      <c r="M12" s="15">
        <f>A12</f>
        <v>1</v>
      </c>
      <c r="N12" s="19">
        <f>AVERAGE(I12:I13)</f>
        <v>0.33765348501582793</v>
      </c>
      <c r="O12" s="17">
        <f>AVERAGE(J12:J13)</f>
        <v>2040.2336305224117</v>
      </c>
      <c r="P12" s="17">
        <f>AVERAGE(K12:K13)</f>
        <v>1262.3390862832507</v>
      </c>
      <c r="R12" s="17">
        <f>SUM(O12:P12)</f>
        <v>3302.5727168056624</v>
      </c>
      <c r="S12" s="17">
        <f>SUM(O12:P12)</f>
        <v>3302.5727168056624</v>
      </c>
    </row>
    <row r="13" spans="1:19" ht="15" x14ac:dyDescent="0.25">
      <c r="A13" s="22">
        <v>1</v>
      </c>
      <c r="B13" s="22"/>
      <c r="C13" s="22" t="s">
        <v>141</v>
      </c>
      <c r="D13" s="22">
        <f>9.39+7.84</f>
        <v>17.23</v>
      </c>
      <c r="E13" s="22">
        <f>1203.35-64.82</f>
        <v>1138.53</v>
      </c>
      <c r="F13" s="22">
        <f>646.2-23.95</f>
        <v>622.25</v>
      </c>
      <c r="G13" s="22">
        <f>446.61-64.82</f>
        <v>381.79</v>
      </c>
      <c r="H13" s="21">
        <f>F13/E13</f>
        <v>0.5465380798046604</v>
      </c>
      <c r="I13" s="20">
        <f>G13/E13</f>
        <v>0.33533591561048021</v>
      </c>
      <c r="J13" s="18">
        <f>D13*H13/44*10000</f>
        <v>2140.1934352350681</v>
      </c>
      <c r="K13" s="18">
        <f>I13*D13/44*10000</f>
        <v>1313.1449604474033</v>
      </c>
      <c r="L13" s="18">
        <f>D13/44*10000*0.35</f>
        <v>1370.5681818181818</v>
      </c>
      <c r="N13" s="19"/>
      <c r="R13" s="17"/>
      <c r="S13" s="17">
        <f>SUM(O14:P14)</f>
        <v>3091.7113358374359</v>
      </c>
    </row>
    <row r="14" spans="1:19" ht="15" x14ac:dyDescent="0.25">
      <c r="A14" s="22">
        <v>2</v>
      </c>
      <c r="B14" s="28" t="s">
        <v>140</v>
      </c>
      <c r="C14" s="22"/>
      <c r="D14" s="27">
        <f>11+5.38</f>
        <v>16.38</v>
      </c>
      <c r="E14" s="22">
        <f>1107.66-64.82</f>
        <v>1042.8400000000001</v>
      </c>
      <c r="F14" s="22">
        <f>606.22-23.95</f>
        <v>582.27</v>
      </c>
      <c r="G14" s="22">
        <f>445.84-64.82</f>
        <v>381.02</v>
      </c>
      <c r="H14" s="21">
        <f>F14/E14</f>
        <v>0.55835027425108352</v>
      </c>
      <c r="I14" s="20">
        <f>G14/E14</f>
        <v>0.36536764987917603</v>
      </c>
      <c r="J14" s="18">
        <f>D14*H14/44*10000</f>
        <v>2078.5857936892608</v>
      </c>
      <c r="K14" s="18">
        <f>I14*D14/44*10000</f>
        <v>1360.1641147774778</v>
      </c>
      <c r="L14" s="18">
        <f>D14/44*10000*0.35</f>
        <v>1302.9545454545453</v>
      </c>
      <c r="M14" s="15">
        <f>A14</f>
        <v>2</v>
      </c>
      <c r="N14" s="19">
        <f>AVERAGE(I14:I15)</f>
        <v>0.35678104144292322</v>
      </c>
      <c r="O14" s="17">
        <f>AVERAGE(J14:J15)</f>
        <v>1862.4316954790847</v>
      </c>
      <c r="P14" s="17">
        <f>AVERAGE(K14:K15)</f>
        <v>1229.2796403583511</v>
      </c>
      <c r="R14" s="17">
        <f>SUM(O14:P14)</f>
        <v>3091.7113358374359</v>
      </c>
      <c r="S14" s="17">
        <f>SUM(O16:P16)</f>
        <v>3194.1456598409109</v>
      </c>
    </row>
    <row r="15" spans="1:19" ht="15" x14ac:dyDescent="0.25">
      <c r="A15" s="22">
        <v>2</v>
      </c>
      <c r="B15" s="22"/>
      <c r="C15" s="22" t="s">
        <v>139</v>
      </c>
      <c r="D15" s="22">
        <f>4.45+9.43</f>
        <v>13.879999999999999</v>
      </c>
      <c r="E15" s="22">
        <f>1036.26-64.82</f>
        <v>971.44</v>
      </c>
      <c r="F15" s="22">
        <f>530.92-23.95</f>
        <v>506.96999999999997</v>
      </c>
      <c r="G15" s="22">
        <f>403.07-64.82</f>
        <v>338.25</v>
      </c>
      <c r="H15" s="21">
        <f>F15/E15</f>
        <v>0.52187474265008638</v>
      </c>
      <c r="I15" s="20">
        <f>G15/E15</f>
        <v>0.34819443300667047</v>
      </c>
      <c r="J15" s="18">
        <f>D15*H15/44*10000</f>
        <v>1646.2775972689087</v>
      </c>
      <c r="K15" s="18">
        <f>I15*D15/44*10000</f>
        <v>1098.3951659392242</v>
      </c>
      <c r="L15" s="18">
        <f>D15/44*10000*0.35</f>
        <v>1104.090909090909</v>
      </c>
      <c r="N15" s="19"/>
      <c r="R15" s="17"/>
      <c r="S15" s="17">
        <f>SUM(O18:P18)</f>
        <v>3757.3062651339719</v>
      </c>
    </row>
    <row r="16" spans="1:19" ht="15" x14ac:dyDescent="0.25">
      <c r="A16" s="22">
        <v>3</v>
      </c>
      <c r="B16" s="22" t="s">
        <v>138</v>
      </c>
      <c r="C16" s="22"/>
      <c r="D16" s="22">
        <f>8.38+6.43</f>
        <v>14.81</v>
      </c>
      <c r="E16" s="22">
        <f>1073.84-64.82</f>
        <v>1009.02</v>
      </c>
      <c r="F16" s="22">
        <f>564.09-23.95</f>
        <v>540.14</v>
      </c>
      <c r="G16" s="22">
        <f>411.47-64.82</f>
        <v>346.65000000000003</v>
      </c>
      <c r="H16" s="21">
        <f>F16/E16</f>
        <v>0.53531149035698</v>
      </c>
      <c r="I16" s="20">
        <f>G16/E16</f>
        <v>0.34355116846048644</v>
      </c>
      <c r="J16" s="18">
        <f>D16*H16/44*10000</f>
        <v>1801.8098118606531</v>
      </c>
      <c r="K16" s="18">
        <f>I16*D16/44*10000</f>
        <v>1156.362001113592</v>
      </c>
      <c r="L16" s="18">
        <f>D16/44*10000*0.35</f>
        <v>1178.0681818181818</v>
      </c>
      <c r="M16" s="15">
        <f>A16</f>
        <v>3</v>
      </c>
      <c r="N16" s="19">
        <f>AVERAGE(I16:I17)</f>
        <v>0.34632965401149396</v>
      </c>
      <c r="O16" s="17">
        <f>AVERAGE(J16:J17)</f>
        <v>1956.2296182699783</v>
      </c>
      <c r="P16" s="17">
        <f>AVERAGE(K16:K17)</f>
        <v>1237.9160415709325</v>
      </c>
      <c r="R16" s="17">
        <f>SUM(O16:P16)</f>
        <v>3194.1456598409109</v>
      </c>
      <c r="S16" s="17">
        <f>SUM(O20:P20)</f>
        <v>3357.49740135293</v>
      </c>
    </row>
    <row r="17" spans="1:19" ht="15" x14ac:dyDescent="0.25">
      <c r="A17" s="22">
        <v>3</v>
      </c>
      <c r="B17" s="22"/>
      <c r="C17" s="22" t="s">
        <v>137</v>
      </c>
      <c r="D17" s="22">
        <f>10.26+6.37</f>
        <v>16.63</v>
      </c>
      <c r="E17" s="22">
        <f>906.88-64.82</f>
        <v>842.06</v>
      </c>
      <c r="F17" s="22">
        <f>494.19-23.95</f>
        <v>470.24</v>
      </c>
      <c r="G17" s="22">
        <f>358.79-64.82</f>
        <v>293.97000000000003</v>
      </c>
      <c r="H17" s="21">
        <f>F17/E17</f>
        <v>0.55844001615086813</v>
      </c>
      <c r="I17" s="20">
        <f>G17/E17</f>
        <v>0.34910813956250153</v>
      </c>
      <c r="J17" s="18">
        <f>D17*H17/44*10000</f>
        <v>2110.6494246793036</v>
      </c>
      <c r="K17" s="18">
        <f>I17*D17/44*10000</f>
        <v>1319.4700820282728</v>
      </c>
      <c r="L17" s="18">
        <f>D17/44*10000*0.35</f>
        <v>1322.840909090909</v>
      </c>
      <c r="N17" s="19"/>
      <c r="R17" s="17"/>
      <c r="S17" s="17">
        <f>SUM(O22:P22)</f>
        <v>3544.7784091200569</v>
      </c>
    </row>
    <row r="18" spans="1:19" ht="15" x14ac:dyDescent="0.25">
      <c r="A18" s="22">
        <v>4</v>
      </c>
      <c r="B18" s="22" t="s">
        <v>136</v>
      </c>
      <c r="C18" s="22"/>
      <c r="D18" s="22">
        <f>6.95+11.1</f>
        <v>18.05</v>
      </c>
      <c r="E18" s="22">
        <f>1262.05-64.82</f>
        <v>1197.23</v>
      </c>
      <c r="F18" s="22">
        <f>679.56-23.95</f>
        <v>655.6099999999999</v>
      </c>
      <c r="G18" s="22">
        <f>486.85-64.82</f>
        <v>422.03000000000003</v>
      </c>
      <c r="H18" s="21">
        <f>F18/E18</f>
        <v>0.54760572321107881</v>
      </c>
      <c r="I18" s="20">
        <f>G18/E18</f>
        <v>0.35250536655446324</v>
      </c>
      <c r="J18" s="18">
        <f>D18*H18/44*10000</f>
        <v>2246.4280236272671</v>
      </c>
      <c r="K18" s="18">
        <f>I18*D18/44*10000</f>
        <v>1446.0731514336503</v>
      </c>
      <c r="L18" s="18">
        <f>D18/44*10000*0.35</f>
        <v>1435.7954545454543</v>
      </c>
      <c r="M18" s="15">
        <f>A18</f>
        <v>4</v>
      </c>
      <c r="N18" s="19">
        <f>AVERAGE(I18:I19)</f>
        <v>0.35283472847523201</v>
      </c>
      <c r="O18" s="17">
        <f>AVERAGE(J18:J19)</f>
        <v>2278.1774777057085</v>
      </c>
      <c r="P18" s="17">
        <f>AVERAGE(K18:K19)</f>
        <v>1479.1287874282634</v>
      </c>
      <c r="R18" s="17">
        <f>SUM(O18:P18)</f>
        <v>3757.3062651339719</v>
      </c>
      <c r="S18" s="17">
        <f>SUM(O24:P24)</f>
        <v>2927.9721625087886</v>
      </c>
    </row>
    <row r="19" spans="1:19" ht="15" x14ac:dyDescent="0.25">
      <c r="A19" s="22">
        <v>4</v>
      </c>
      <c r="B19" s="22"/>
      <c r="C19" s="22" t="s">
        <v>135</v>
      </c>
      <c r="D19" s="22">
        <f>9.36+9.48</f>
        <v>18.84</v>
      </c>
      <c r="E19" s="22">
        <f>933-64.82</f>
        <v>868.18000000000006</v>
      </c>
      <c r="F19" s="22">
        <f>492.31-23.95</f>
        <v>468.36</v>
      </c>
      <c r="G19" s="22">
        <f>371.43-64.82</f>
        <v>306.61</v>
      </c>
      <c r="H19" s="21">
        <f>F19/E19</f>
        <v>0.539473381096086</v>
      </c>
      <c r="I19" s="20">
        <f>G19/E19</f>
        <v>0.35316409039600083</v>
      </c>
      <c r="J19" s="18">
        <f>D19*H19/44*10000</f>
        <v>2309.9269317841499</v>
      </c>
      <c r="K19" s="18">
        <f>I19*D19/44*10000</f>
        <v>1512.1844234228763</v>
      </c>
      <c r="L19" s="18">
        <f>D19/44*10000*0.35</f>
        <v>1498.6363636363635</v>
      </c>
      <c r="N19" s="19"/>
      <c r="R19" s="17"/>
      <c r="S19" s="17">
        <f>SUM(O26:P26)</f>
        <v>3513.189047249406</v>
      </c>
    </row>
    <row r="20" spans="1:19" ht="15" x14ac:dyDescent="0.25">
      <c r="A20" s="22">
        <v>5</v>
      </c>
      <c r="B20" s="22">
        <v>23</v>
      </c>
      <c r="C20" s="22"/>
      <c r="D20" s="22">
        <v>16.53</v>
      </c>
      <c r="E20" s="22">
        <f>1181.26-64.82</f>
        <v>1116.44</v>
      </c>
      <c r="F20" s="22">
        <f>632.4-23.95</f>
        <v>608.44999999999993</v>
      </c>
      <c r="G20" s="22">
        <f>450.14-64.82</f>
        <v>385.32</v>
      </c>
      <c r="H20" s="21">
        <f>F20/E20</f>
        <v>0.54499122209881401</v>
      </c>
      <c r="I20" s="20">
        <f>G20/E20</f>
        <v>0.34513274336283184</v>
      </c>
      <c r="J20" s="18">
        <f>D20*H20/44*10000</f>
        <v>2047.4329321121356</v>
      </c>
      <c r="K20" s="18">
        <f>I20*D20/44*10000</f>
        <v>1296.6009654062752</v>
      </c>
      <c r="L20" s="18">
        <f>D20/44*10000*0.35</f>
        <v>1314.8863636363637</v>
      </c>
      <c r="M20" s="15">
        <f>A20</f>
        <v>5</v>
      </c>
      <c r="N20" s="19">
        <f>AVERAGE(I20:I21)</f>
        <v>0.34781874697832804</v>
      </c>
      <c r="O20" s="17">
        <f>AVERAGE(J20:J21)</f>
        <v>2057.1784223746899</v>
      </c>
      <c r="P20" s="17">
        <f>AVERAGE(K20:K21)</f>
        <v>1300.31897897824</v>
      </c>
      <c r="R20" s="17">
        <f>SUM(O20:P20)</f>
        <v>3357.49740135293</v>
      </c>
      <c r="S20" s="17">
        <f>SUM(O28:P28)</f>
        <v>3968.5824027610593</v>
      </c>
    </row>
    <row r="21" spans="1:19" ht="15" x14ac:dyDescent="0.25">
      <c r="A21" s="22">
        <v>5</v>
      </c>
      <c r="B21" s="22"/>
      <c r="C21" s="22">
        <v>28</v>
      </c>
      <c r="D21" s="22">
        <v>16.37</v>
      </c>
      <c r="E21" s="22">
        <f>940.5-64.82</f>
        <v>875.68000000000006</v>
      </c>
      <c r="F21" s="22">
        <f>510.44-23.95</f>
        <v>486.49</v>
      </c>
      <c r="G21" s="22">
        <f>371.75-64.82</f>
        <v>306.93</v>
      </c>
      <c r="H21" s="21">
        <f>F21/E21</f>
        <v>0.55555682441074361</v>
      </c>
      <c r="I21" s="20">
        <f>G21/E21</f>
        <v>0.35050475059382419</v>
      </c>
      <c r="J21" s="18">
        <f>D21*H21/44*10000</f>
        <v>2066.923912637244</v>
      </c>
      <c r="K21" s="18">
        <f>I21*D21/44*10000</f>
        <v>1304.0369925502048</v>
      </c>
      <c r="L21" s="18">
        <f>D21/44*10000*0.35</f>
        <v>1302.1590909090908</v>
      </c>
      <c r="N21" s="19"/>
      <c r="R21" s="17"/>
      <c r="S21" s="17">
        <f>SUM(O30:P30)</f>
        <v>3302.4388617654195</v>
      </c>
    </row>
    <row r="22" spans="1:19" ht="15" x14ac:dyDescent="0.25">
      <c r="A22" s="22">
        <v>6</v>
      </c>
      <c r="B22" s="22">
        <v>24</v>
      </c>
      <c r="C22" s="22"/>
      <c r="D22" s="22">
        <v>17.3</v>
      </c>
      <c r="E22" s="22">
        <f>1091-64.82</f>
        <v>1026.18</v>
      </c>
      <c r="F22" s="22">
        <f>595.24-23.95</f>
        <v>571.29</v>
      </c>
      <c r="G22" s="22">
        <f>419.71-64.82</f>
        <v>354.89</v>
      </c>
      <c r="H22" s="21">
        <f>F22/E22</f>
        <v>0.55671519616441556</v>
      </c>
      <c r="I22" s="20">
        <f>G22/E22</f>
        <v>0.34583601317507645</v>
      </c>
      <c r="J22" s="18">
        <f>D22*H22/44*10000</f>
        <v>2188.9029303737252</v>
      </c>
      <c r="K22" s="18">
        <f>I22*D22/44*10000</f>
        <v>1359.7643245292779</v>
      </c>
      <c r="L22" s="18">
        <f>D22/44*10000*0.35</f>
        <v>1376.1363636363635</v>
      </c>
      <c r="M22" s="15">
        <f>A22</f>
        <v>6</v>
      </c>
      <c r="N22" s="19">
        <f>AVERAGE(I22:I23)</f>
        <v>0.35093472336153936</v>
      </c>
      <c r="O22" s="17">
        <f>AVERAGE(J22:J23)</f>
        <v>2169.0127176479591</v>
      </c>
      <c r="P22" s="17">
        <f>AVERAGE(K22:K23)</f>
        <v>1375.7656914720978</v>
      </c>
      <c r="R22" s="17">
        <f>SUM(O22:P22)</f>
        <v>3544.7784091200569</v>
      </c>
      <c r="S22" s="17">
        <f>SUM(O32:P32)</f>
        <v>3430.6151684361776</v>
      </c>
    </row>
    <row r="23" spans="1:19" ht="15" x14ac:dyDescent="0.25">
      <c r="A23" s="22">
        <v>6</v>
      </c>
      <c r="B23" s="22"/>
      <c r="C23" s="22">
        <v>29</v>
      </c>
      <c r="D23" s="22">
        <v>17.2</v>
      </c>
      <c r="E23" s="22">
        <f>1305.5-64.83</f>
        <v>1240.67</v>
      </c>
      <c r="F23" s="22">
        <f>706.04-23.95</f>
        <v>682.08999999999992</v>
      </c>
      <c r="G23" s="22">
        <f>506.54-64.82</f>
        <v>441.72</v>
      </c>
      <c r="H23" s="21">
        <f>F23/E23</f>
        <v>0.54977552451497969</v>
      </c>
      <c r="I23" s="20">
        <f>G23/E23</f>
        <v>0.35603343354800226</v>
      </c>
      <c r="J23" s="18">
        <f>D23*H23/44*10000</f>
        <v>2149.122504922193</v>
      </c>
      <c r="K23" s="18">
        <f>I23*D23/44*10000</f>
        <v>1391.7670584149178</v>
      </c>
      <c r="L23" s="18">
        <f>D23/44*10000*0.35</f>
        <v>1368.181818181818</v>
      </c>
      <c r="N23" s="19"/>
      <c r="R23" s="17"/>
      <c r="S23" s="17">
        <f>SUM(O34:P34)</f>
        <v>3208.4730965116482</v>
      </c>
    </row>
    <row r="24" spans="1:19" ht="15" x14ac:dyDescent="0.25">
      <c r="A24" s="22">
        <v>7</v>
      </c>
      <c r="B24" s="22">
        <v>26</v>
      </c>
      <c r="C24" s="22"/>
      <c r="D24" s="22">
        <v>14.92</v>
      </c>
      <c r="E24" s="22">
        <f>1030.4-64.82</f>
        <v>965.58000000000015</v>
      </c>
      <c r="F24" s="22">
        <f>555.96-23.95</f>
        <v>532.01</v>
      </c>
      <c r="G24" s="22">
        <f>400.98-64.82</f>
        <v>336.16</v>
      </c>
      <c r="H24" s="21">
        <f>F24/E24</f>
        <v>0.55097454379751021</v>
      </c>
      <c r="I24" s="20">
        <f>G24/E24</f>
        <v>0.3481430849851902</v>
      </c>
      <c r="J24" s="18">
        <f>D24*H24/44*10000</f>
        <v>1868.3045894224665</v>
      </c>
      <c r="K24" s="18">
        <f>I24*D24/44*10000</f>
        <v>1180.5215518134178</v>
      </c>
      <c r="L24" s="18">
        <f>D24/44*10000*0.35</f>
        <v>1186.8181818181818</v>
      </c>
      <c r="M24" s="15">
        <f>A24</f>
        <v>7</v>
      </c>
      <c r="N24" s="19">
        <f>AVERAGE(I24:I25)</f>
        <v>0.34268623953025978</v>
      </c>
      <c r="O24" s="17">
        <f>AVERAGE(J24:J25)</f>
        <v>1799.2940017431733</v>
      </c>
      <c r="P24" s="17">
        <f>AVERAGE(K24:K25)</f>
        <v>1128.6781607656155</v>
      </c>
      <c r="R24" s="17">
        <f>SUM(O24:P24)</f>
        <v>2927.9721625087886</v>
      </c>
      <c r="S24" s="17">
        <f>SUM(O36:P36)</f>
        <v>3181.5701850390869</v>
      </c>
    </row>
    <row r="25" spans="1:19" ht="15" x14ac:dyDescent="0.25">
      <c r="A25" s="22">
        <v>7</v>
      </c>
      <c r="B25" s="22"/>
      <c r="C25" s="22">
        <v>30</v>
      </c>
      <c r="D25" s="22">
        <v>14.05</v>
      </c>
      <c r="E25" s="22">
        <f>1268.6-64.82</f>
        <v>1203.78</v>
      </c>
      <c r="F25" s="22">
        <f>676.24-23.95</f>
        <v>652.29</v>
      </c>
      <c r="G25" s="22">
        <f>470.78-64.83</f>
        <v>405.95</v>
      </c>
      <c r="H25" s="21">
        <f>F25/E25</f>
        <v>0.54186811543637536</v>
      </c>
      <c r="I25" s="20">
        <f>G25/E25</f>
        <v>0.33722939407532937</v>
      </c>
      <c r="J25" s="18">
        <f>D25*H25/44*10000</f>
        <v>1730.2834140638804</v>
      </c>
      <c r="K25" s="18">
        <f>I25*D25/44*10000</f>
        <v>1076.8347697178133</v>
      </c>
      <c r="L25" s="18">
        <f>D25/44*10000*0.35</f>
        <v>1117.6136363636365</v>
      </c>
      <c r="N25" s="19"/>
      <c r="R25" s="17"/>
      <c r="S25" s="17">
        <f>SUM(O38:P38)</f>
        <v>3096.8891681623718</v>
      </c>
    </row>
    <row r="26" spans="1:19" ht="15" x14ac:dyDescent="0.25">
      <c r="A26" s="22">
        <v>8</v>
      </c>
      <c r="B26" s="22">
        <v>27</v>
      </c>
      <c r="C26" s="22"/>
      <c r="D26" s="22">
        <v>16.89</v>
      </c>
      <c r="E26" s="22">
        <f>1142.9-64.82</f>
        <v>1078.0800000000002</v>
      </c>
      <c r="F26" s="22">
        <f>611.3-23.95</f>
        <v>587.34999999999991</v>
      </c>
      <c r="G26" s="22">
        <f>442.34-64.82</f>
        <v>377.52</v>
      </c>
      <c r="H26" s="21">
        <f>F26/E26</f>
        <v>0.54481114574057565</v>
      </c>
      <c r="I26" s="20">
        <f>G26/E26</f>
        <v>0.35017809439002667</v>
      </c>
      <c r="J26" s="18">
        <f>D26*H26/44*10000</f>
        <v>2091.3318753541644</v>
      </c>
      <c r="K26" s="18">
        <f>I26*D26/44*10000</f>
        <v>1344.2063668744433</v>
      </c>
      <c r="L26" s="18">
        <f>D26/44*10000*0.35</f>
        <v>1343.5227272727273</v>
      </c>
      <c r="M26" s="15">
        <f>A26</f>
        <v>8</v>
      </c>
      <c r="N26" s="19">
        <f>AVERAGE(I26:I27)</f>
        <v>0.35124898845084079</v>
      </c>
      <c r="O26" s="17">
        <f>AVERAGE(J26:J27)</f>
        <v>2131.6417367546246</v>
      </c>
      <c r="P26" s="17">
        <f>AVERAGE(K26:K27)</f>
        <v>1381.5473104947814</v>
      </c>
      <c r="R26" s="17">
        <f>SUM(O26:P26)</f>
        <v>3513.189047249406</v>
      </c>
      <c r="S26" s="17">
        <f>SUM(O40:P40)</f>
        <v>3459.5092267935465</v>
      </c>
    </row>
    <row r="27" spans="1:19" ht="15" x14ac:dyDescent="0.25">
      <c r="A27" s="22">
        <v>8</v>
      </c>
      <c r="B27" s="22"/>
      <c r="C27" s="22">
        <v>31</v>
      </c>
      <c r="D27" s="22">
        <v>17.72</v>
      </c>
      <c r="E27" s="22">
        <f>1236-64.82</f>
        <v>1171.18</v>
      </c>
      <c r="F27" s="22">
        <f>655.58-23.95</f>
        <v>631.63</v>
      </c>
      <c r="G27" s="22">
        <f>477.45-64.82</f>
        <v>412.63</v>
      </c>
      <c r="H27" s="21">
        <f>F27/E27</f>
        <v>0.53931078058026949</v>
      </c>
      <c r="I27" s="20">
        <f>G27/E27</f>
        <v>0.35231988251165491</v>
      </c>
      <c r="J27" s="18">
        <f>D27*H27/44*10000</f>
        <v>2171.9515981550853</v>
      </c>
      <c r="K27" s="18">
        <f>I27*D27/44*10000</f>
        <v>1418.8882541151193</v>
      </c>
      <c r="L27" s="18">
        <f>D27/44*10000*0.35</f>
        <v>1409.5454545454543</v>
      </c>
      <c r="N27" s="19"/>
      <c r="R27" s="17"/>
      <c r="S27" s="17">
        <f>SUM(O42:P42)</f>
        <v>3145.8222744862273</v>
      </c>
    </row>
    <row r="28" spans="1:19" ht="15" x14ac:dyDescent="0.25">
      <c r="A28" s="22">
        <v>9</v>
      </c>
      <c r="B28" s="22">
        <v>32</v>
      </c>
      <c r="C28" s="22"/>
      <c r="D28" s="22">
        <v>18.47</v>
      </c>
      <c r="E28" s="22">
        <f>908.14-64.82</f>
        <v>843.31999999999994</v>
      </c>
      <c r="F28" s="22">
        <f>496.42-23.95</f>
        <v>472.47</v>
      </c>
      <c r="G28" s="22">
        <f>363.88-64.82</f>
        <v>299.06</v>
      </c>
      <c r="H28" s="21">
        <f>F28/E28</f>
        <v>0.56024996442631514</v>
      </c>
      <c r="I28" s="20">
        <f>G28/E28</f>
        <v>0.3546222074657307</v>
      </c>
      <c r="J28" s="18">
        <f>D28*H28/44*10000</f>
        <v>2351.7765552168275</v>
      </c>
      <c r="K28" s="18">
        <f>I28*D28/44*10000</f>
        <v>1488.6073117936467</v>
      </c>
      <c r="L28" s="18">
        <f>D28/44*10000*0.35</f>
        <v>1469.204545454545</v>
      </c>
      <c r="M28" s="15">
        <f>A28</f>
        <v>9</v>
      </c>
      <c r="N28" s="19">
        <f>AVERAGE(I28:I29)</f>
        <v>0.36078334098797954</v>
      </c>
      <c r="O28" s="17">
        <f>AVERAGE(J28:J29)</f>
        <v>2408.2442734363758</v>
      </c>
      <c r="P28" s="17">
        <f>AVERAGE(K28:K29)</f>
        <v>1560.3381293246835</v>
      </c>
      <c r="R28" s="17">
        <f>SUM(O28:P28)</f>
        <v>3968.5824027610593</v>
      </c>
    </row>
    <row r="29" spans="1:19" ht="15" x14ac:dyDescent="0.25">
      <c r="A29" s="22">
        <v>9</v>
      </c>
      <c r="B29" s="22"/>
      <c r="C29" s="22">
        <v>36</v>
      </c>
      <c r="D29" s="22">
        <v>19.57</v>
      </c>
      <c r="E29" s="22">
        <f>988.72-64.82</f>
        <v>923.90000000000009</v>
      </c>
      <c r="F29" s="22">
        <f>535.93-23.95</f>
        <v>511.97999999999996</v>
      </c>
      <c r="G29" s="22">
        <f>403.85-64.83</f>
        <v>339.02000000000004</v>
      </c>
      <c r="H29" s="21">
        <f>F29/E29</f>
        <v>0.55415088213010055</v>
      </c>
      <c r="I29" s="20">
        <f>G29/E29</f>
        <v>0.36694447451022838</v>
      </c>
      <c r="J29" s="18">
        <f>D29*H29/44*10000</f>
        <v>2464.7119916559245</v>
      </c>
      <c r="K29" s="18">
        <f>I29*D29/44*10000</f>
        <v>1632.0689468557202</v>
      </c>
      <c r="L29" s="18">
        <f>D29/44*10000*0.35</f>
        <v>1556.7045454545455</v>
      </c>
      <c r="N29" s="19"/>
      <c r="R29" s="17"/>
    </row>
    <row r="30" spans="1:19" ht="15" x14ac:dyDescent="0.25">
      <c r="A30" s="22">
        <v>10</v>
      </c>
      <c r="B30" s="22">
        <v>33</v>
      </c>
      <c r="C30" s="22"/>
      <c r="D30" s="22">
        <v>15.86</v>
      </c>
      <c r="E30" s="22">
        <f>890.96-64.82</f>
        <v>826.1400000000001</v>
      </c>
      <c r="F30" s="22">
        <f>465.39-23.95</f>
        <v>441.44</v>
      </c>
      <c r="G30" s="22">
        <f>338.03-64.82</f>
        <v>273.20999999999998</v>
      </c>
      <c r="H30" s="21">
        <f>F30/E30</f>
        <v>0.5343404265620838</v>
      </c>
      <c r="I30" s="20">
        <f>G30/E30</f>
        <v>0.33070665988815451</v>
      </c>
      <c r="J30" s="18">
        <f>D30*H30/44*10000</f>
        <v>1926.0543557442384</v>
      </c>
      <c r="K30" s="18">
        <f>I30*D30/44*10000</f>
        <v>1192.0471876877571</v>
      </c>
      <c r="L30" s="18">
        <f>D30/44*10000*0.35</f>
        <v>1261.5909090909088</v>
      </c>
      <c r="M30" s="15">
        <f>A30</f>
        <v>10</v>
      </c>
      <c r="N30" s="19">
        <f>AVERAGE(I30:I31)</f>
        <v>0.33925981708265374</v>
      </c>
      <c r="O30" s="17">
        <f>AVERAGE(J30:J31)</f>
        <v>2032.5276302595571</v>
      </c>
      <c r="P30" s="17">
        <f>AVERAGE(K30:K31)</f>
        <v>1269.9112315058624</v>
      </c>
      <c r="R30" s="17">
        <f>SUM(O30:P30)</f>
        <v>3302.4388617654195</v>
      </c>
      <c r="S30" s="17">
        <f>AVERAGE(S12,S18,S23,S25)</f>
        <v>3133.976785997118</v>
      </c>
    </row>
    <row r="31" spans="1:19" ht="15" x14ac:dyDescent="0.25">
      <c r="A31" s="22">
        <v>10</v>
      </c>
      <c r="B31" s="22"/>
      <c r="C31" s="22">
        <v>37</v>
      </c>
      <c r="D31" s="22">
        <v>17.05</v>
      </c>
      <c r="E31" s="22">
        <f>1092.7-64.82</f>
        <v>1027.8800000000001</v>
      </c>
      <c r="F31" s="22">
        <f>591.34-23.95</f>
        <v>567.39</v>
      </c>
      <c r="G31" s="22">
        <f>422.33-64.82</f>
        <v>357.51</v>
      </c>
      <c r="H31" s="21">
        <f>F31/E31</f>
        <v>0.55200023349029059</v>
      </c>
      <c r="I31" s="20">
        <f>G31/E31</f>
        <v>0.34781297427715291</v>
      </c>
      <c r="J31" s="18">
        <f>D31*H31/44*10000</f>
        <v>2139.0009047748758</v>
      </c>
      <c r="K31" s="18">
        <f>I31*D31/44*10000</f>
        <v>1347.7752753239677</v>
      </c>
      <c r="L31" s="18">
        <f>D31/44*10000*0.35</f>
        <v>1356.25</v>
      </c>
      <c r="N31" s="19"/>
      <c r="R31" s="17"/>
      <c r="S31" s="17">
        <f>AVERAGE(S13,S19,S20,S26)</f>
        <v>3508.2480031603623</v>
      </c>
    </row>
    <row r="32" spans="1:19" ht="15" x14ac:dyDescent="0.25">
      <c r="A32" s="22">
        <v>11</v>
      </c>
      <c r="B32" s="22">
        <v>34</v>
      </c>
      <c r="C32" s="22"/>
      <c r="D32" s="22">
        <v>17.420000000000002</v>
      </c>
      <c r="E32" s="22">
        <f>942.5-64.82</f>
        <v>877.68000000000006</v>
      </c>
      <c r="F32" s="22">
        <f>476.37-23.95</f>
        <v>452.42</v>
      </c>
      <c r="G32" s="22">
        <f>361.75-64.82</f>
        <v>296.93</v>
      </c>
      <c r="H32" s="21">
        <f>F32/E32</f>
        <v>0.51547260960714614</v>
      </c>
      <c r="I32" s="20">
        <f>G32/E32</f>
        <v>0.3383123689727463</v>
      </c>
      <c r="J32" s="18">
        <f>D32*H32/44*10000</f>
        <v>2040.8029225810199</v>
      </c>
      <c r="K32" s="18">
        <f>I32*D32/44*10000</f>
        <v>1339.4094244330092</v>
      </c>
      <c r="L32" s="18">
        <f>D32/44*10000*0.35</f>
        <v>1385.6818181818182</v>
      </c>
      <c r="M32" s="15">
        <f>A32</f>
        <v>11</v>
      </c>
      <c r="N32" s="19">
        <f>AVERAGE(I32:I33)</f>
        <v>0.33793086126890781</v>
      </c>
      <c r="O32" s="17">
        <f>AVERAGE(J32:J33)</f>
        <v>2071.6193330873666</v>
      </c>
      <c r="P32" s="17">
        <f>AVERAGE(K32:K33)</f>
        <v>1358.9958353488107</v>
      </c>
      <c r="R32" s="17">
        <f>SUM(O32:P32)</f>
        <v>3430.6151684361776</v>
      </c>
      <c r="S32" s="17">
        <f>AVERAGE(S14,S16,S21,S27)</f>
        <v>3249.9760493613717</v>
      </c>
    </row>
    <row r="33" spans="1:19" ht="15" x14ac:dyDescent="0.25">
      <c r="A33" s="22">
        <v>11</v>
      </c>
      <c r="B33" s="22"/>
      <c r="C33" s="22">
        <v>38</v>
      </c>
      <c r="D33" s="22">
        <v>17.97</v>
      </c>
      <c r="E33" s="22">
        <f>1098.18-64.82</f>
        <v>1033.3600000000001</v>
      </c>
      <c r="F33" s="22">
        <f>555.91-23.95</f>
        <v>531.95999999999992</v>
      </c>
      <c r="G33" s="22">
        <f>413.63-64.82</f>
        <v>348.81</v>
      </c>
      <c r="H33" s="21">
        <f>F33/E33</f>
        <v>0.51478671518154362</v>
      </c>
      <c r="I33" s="20">
        <f>G33/E33</f>
        <v>0.33754935356506927</v>
      </c>
      <c r="J33" s="18">
        <f>D33*H33/44*10000</f>
        <v>2102.4357435937131</v>
      </c>
      <c r="K33" s="18">
        <f>I33*D33/44*10000</f>
        <v>1378.5822462646122</v>
      </c>
      <c r="L33" s="18">
        <f>D33/44*10000*0.35</f>
        <v>1429.431818181818</v>
      </c>
      <c r="N33" s="19"/>
      <c r="R33" s="17"/>
      <c r="S33" s="17">
        <f>AVERAGE(S15,S17,S22,S24)</f>
        <v>3478.5675069323233</v>
      </c>
    </row>
    <row r="34" spans="1:19" ht="15" x14ac:dyDescent="0.25">
      <c r="A34" s="22">
        <v>12</v>
      </c>
      <c r="B34" s="22">
        <v>35</v>
      </c>
      <c r="C34" s="22"/>
      <c r="D34" s="22">
        <v>14.6</v>
      </c>
      <c r="E34" s="22">
        <f>1190.48-64.82</f>
        <v>1125.6600000000001</v>
      </c>
      <c r="F34" s="22">
        <f>646.42-23.95</f>
        <v>622.46999999999991</v>
      </c>
      <c r="G34" s="22">
        <f>427.6-64.82</f>
        <v>362.78000000000003</v>
      </c>
      <c r="H34" s="21">
        <f>F34/E34</f>
        <v>0.5529822504130909</v>
      </c>
      <c r="I34" s="20">
        <f>G34/E34</f>
        <v>0.32228203898157526</v>
      </c>
      <c r="J34" s="18">
        <f>D34*H34/44*10000</f>
        <v>1834.8956490979831</v>
      </c>
      <c r="K34" s="18">
        <f>I34*D34/44*10000</f>
        <v>1069.390402075227</v>
      </c>
      <c r="L34" s="18">
        <f>D34/44*10000*0.35</f>
        <v>1161.3636363636363</v>
      </c>
      <c r="M34" s="15">
        <f>A34</f>
        <v>12</v>
      </c>
      <c r="N34" s="19">
        <f>AVERAGE(I34:I35)</f>
        <v>0.33239072307153222</v>
      </c>
      <c r="O34" s="17">
        <f>AVERAGE(J34:J35)</f>
        <v>2009.7960902268751</v>
      </c>
      <c r="P34" s="17">
        <f>AVERAGE(K34:K35)</f>
        <v>1198.6770062847731</v>
      </c>
      <c r="R34" s="17">
        <f>SUM(O34:P34)</f>
        <v>3208.4730965116482</v>
      </c>
    </row>
    <row r="35" spans="1:19" ht="15" x14ac:dyDescent="0.25">
      <c r="A35" s="22">
        <v>12</v>
      </c>
      <c r="B35" s="22"/>
      <c r="C35" s="22">
        <v>39</v>
      </c>
      <c r="D35" s="22">
        <v>17.059999999999999</v>
      </c>
      <c r="E35" s="22">
        <f>1119.08-64.83</f>
        <v>1054.25</v>
      </c>
      <c r="F35" s="22">
        <f>617.98-23.95</f>
        <v>594.03</v>
      </c>
      <c r="G35" s="22">
        <f>425.9-64.82</f>
        <v>361.08</v>
      </c>
      <c r="H35" s="21">
        <f>F35/E35</f>
        <v>0.56346217690301159</v>
      </c>
      <c r="I35" s="20">
        <f>G35/E35</f>
        <v>0.34249940716148919</v>
      </c>
      <c r="J35" s="18">
        <f>D35*H35/44*10000</f>
        <v>2184.6965313557671</v>
      </c>
      <c r="K35" s="18">
        <f>I35*D35/44*10000</f>
        <v>1327.9636104943193</v>
      </c>
      <c r="L35" s="18">
        <f>D35/44*10000*0.35</f>
        <v>1357.0454545454543</v>
      </c>
      <c r="N35" s="19"/>
      <c r="R35" s="17"/>
    </row>
    <row r="36" spans="1:19" ht="15" x14ac:dyDescent="0.25">
      <c r="A36" s="22">
        <v>13</v>
      </c>
      <c r="B36" s="22">
        <v>40</v>
      </c>
      <c r="C36" s="22"/>
      <c r="D36" s="22">
        <f>15.64-0.51</f>
        <v>15.13</v>
      </c>
      <c r="E36" s="22">
        <f>1036.2-64.82</f>
        <v>971.38000000000011</v>
      </c>
      <c r="F36" s="22">
        <f>561.56-23.95</f>
        <v>537.6099999999999</v>
      </c>
      <c r="G36" s="22">
        <f>411.63-64.82</f>
        <v>346.81</v>
      </c>
      <c r="H36" s="21">
        <f>F36/E36</f>
        <v>0.55344973131009478</v>
      </c>
      <c r="I36" s="20">
        <f>G36/E36</f>
        <v>0.35702814552492329</v>
      </c>
      <c r="J36" s="18">
        <f>D36*H36/44*10000</f>
        <v>1903.1123715276669</v>
      </c>
      <c r="K36" s="18">
        <f>I36*D36/44*10000</f>
        <v>1227.6899640436568</v>
      </c>
      <c r="L36" s="18">
        <f>D36/44*10000*0.35</f>
        <v>1203.5227272727273</v>
      </c>
      <c r="M36" s="15">
        <f>A36</f>
        <v>13</v>
      </c>
      <c r="N36" s="19">
        <f>AVERAGE(I36:I37)</f>
        <v>0.35391275900522762</v>
      </c>
      <c r="O36" s="17">
        <f>AVERAGE(J36:J37)</f>
        <v>1941.4721664550191</v>
      </c>
      <c r="P36" s="17">
        <f>AVERAGE(K36:K37)</f>
        <v>1240.0980185840676</v>
      </c>
      <c r="R36" s="17">
        <f>SUM(O36:P36)</f>
        <v>3181.5701850390869</v>
      </c>
    </row>
    <row r="37" spans="1:19" ht="15" x14ac:dyDescent="0.25">
      <c r="A37" s="22">
        <v>13</v>
      </c>
      <c r="B37" s="22"/>
      <c r="C37" s="22">
        <v>41</v>
      </c>
      <c r="D37" s="26">
        <f>16.22-0.51</f>
        <v>15.709999999999999</v>
      </c>
      <c r="E37" s="22">
        <f>1139.6-64.82</f>
        <v>1074.78</v>
      </c>
      <c r="F37" s="22">
        <f>619.92-23.95</f>
        <v>595.96999999999991</v>
      </c>
      <c r="G37" s="22">
        <f>441.86-64.83</f>
        <v>377.03000000000003</v>
      </c>
      <c r="H37" s="21">
        <f>F37/E37</f>
        <v>0.55450417759913651</v>
      </c>
      <c r="I37" s="20">
        <f>G37/E37</f>
        <v>0.35079737248553194</v>
      </c>
      <c r="J37" s="18">
        <f>D37*H37/44*10000</f>
        <v>1979.8319613823712</v>
      </c>
      <c r="K37" s="18">
        <f>I37*D37/44*10000</f>
        <v>1252.5060731244787</v>
      </c>
      <c r="L37" s="18">
        <f>D37/44*10000*0.35</f>
        <v>1249.6590909090908</v>
      </c>
      <c r="N37" s="19"/>
      <c r="R37" s="17"/>
    </row>
    <row r="38" spans="1:19" ht="15" x14ac:dyDescent="0.25">
      <c r="A38" s="22">
        <v>14</v>
      </c>
      <c r="B38" s="22">
        <v>42</v>
      </c>
      <c r="C38" s="22"/>
      <c r="D38" s="22">
        <f>15.17-0.51</f>
        <v>14.66</v>
      </c>
      <c r="E38" s="22">
        <f>1253.35-64.82</f>
        <v>1188.53</v>
      </c>
      <c r="F38" s="22">
        <f>690.78-23.95</f>
        <v>666.82999999999993</v>
      </c>
      <c r="G38" s="22">
        <f>484.16-64.82</f>
        <v>419.34000000000003</v>
      </c>
      <c r="H38" s="21">
        <f>F38/E38</f>
        <v>0.56105441175233262</v>
      </c>
      <c r="I38" s="20">
        <f>G38/E38</f>
        <v>0.35282239404979265</v>
      </c>
      <c r="J38" s="18">
        <f>D38*H38/44*10000</f>
        <v>1869.3312900657265</v>
      </c>
      <c r="K38" s="18">
        <f>I38*D38/44*10000</f>
        <v>1175.5400674477182</v>
      </c>
      <c r="L38" s="18">
        <f>D38/44*10000*0.35</f>
        <v>1166.1363636363635</v>
      </c>
      <c r="M38" s="15">
        <f>A38</f>
        <v>14</v>
      </c>
      <c r="N38" s="19">
        <f>AVERAGE(I38:I39)</f>
        <v>0.34247880108486461</v>
      </c>
      <c r="O38" s="17">
        <f>AVERAGE(J38:J39)</f>
        <v>1906.3692169754004</v>
      </c>
      <c r="P38" s="17">
        <f>AVERAGE(K38:K39)</f>
        <v>1190.5199511869714</v>
      </c>
      <c r="R38" s="17">
        <f>SUM(O38:P38)</f>
        <v>3096.8891681623718</v>
      </c>
    </row>
    <row r="39" spans="1:19" ht="15" x14ac:dyDescent="0.25">
      <c r="A39" s="22">
        <v>14</v>
      </c>
      <c r="B39" s="22"/>
      <c r="C39" s="22">
        <v>43</v>
      </c>
      <c r="D39" s="22">
        <f>16.48-0.51</f>
        <v>15.97</v>
      </c>
      <c r="E39" s="22">
        <f>1138.72-64.82</f>
        <v>1073.9000000000001</v>
      </c>
      <c r="F39" s="22">
        <f>598.96-23.95</f>
        <v>575.01</v>
      </c>
      <c r="G39" s="22">
        <f>421.5-64.82</f>
        <v>356.68</v>
      </c>
      <c r="H39" s="21">
        <f>F39/E39</f>
        <v>0.53544091628643253</v>
      </c>
      <c r="I39" s="20">
        <f>G39/E39</f>
        <v>0.33213520811993663</v>
      </c>
      <c r="J39" s="18">
        <f>D39*H39/44*10000</f>
        <v>1943.4071438850744</v>
      </c>
      <c r="K39" s="18">
        <f>I39*D39/44*10000</f>
        <v>1205.4998349262246</v>
      </c>
      <c r="L39" s="18">
        <f>D39/44*10000*0.35</f>
        <v>1270.3409090909092</v>
      </c>
      <c r="N39" s="19"/>
      <c r="R39" s="17"/>
    </row>
    <row r="40" spans="1:19" ht="15" x14ac:dyDescent="0.25">
      <c r="A40" s="22">
        <v>15</v>
      </c>
      <c r="B40" s="22">
        <v>44</v>
      </c>
      <c r="C40" s="22"/>
      <c r="D40" s="22">
        <f>17.69-0.51</f>
        <v>17.18</v>
      </c>
      <c r="E40" s="22">
        <f>969.7-64.83</f>
        <v>904.87</v>
      </c>
      <c r="F40" s="22">
        <f>527.95-23.95</f>
        <v>504.00000000000006</v>
      </c>
      <c r="G40" s="22">
        <f>392.84-64.82</f>
        <v>328.02</v>
      </c>
      <c r="H40" s="21">
        <f>F40/E40</f>
        <v>0.55698608639915137</v>
      </c>
      <c r="I40" s="20">
        <f>G40/E40</f>
        <v>0.36250511123144757</v>
      </c>
      <c r="J40" s="18">
        <f>D40*H40/44*10000</f>
        <v>2174.7774918948685</v>
      </c>
      <c r="K40" s="18">
        <f>I40*D40/44*10000</f>
        <v>1415.417684308243</v>
      </c>
      <c r="L40" s="18">
        <f>D40/44*10000*0.35</f>
        <v>1366.590909090909</v>
      </c>
      <c r="M40" s="15">
        <f>A40</f>
        <v>15</v>
      </c>
      <c r="N40" s="19">
        <f>AVERAGE(I40:I41)</f>
        <v>0.36188241051825931</v>
      </c>
      <c r="O40" s="17">
        <f>AVERAGE(J40:J41)</f>
        <v>2096.1961158227223</v>
      </c>
      <c r="P40" s="17">
        <f>AVERAGE(K40:K41)</f>
        <v>1363.3131109708243</v>
      </c>
      <c r="R40" s="17">
        <f>SUM(O40:P40)</f>
        <v>3459.5092267935465</v>
      </c>
    </row>
    <row r="41" spans="1:19" ht="15" x14ac:dyDescent="0.25">
      <c r="A41" s="22">
        <v>15</v>
      </c>
      <c r="B41" s="22"/>
      <c r="C41" s="22">
        <v>45</v>
      </c>
      <c r="D41" s="22">
        <f>16.48-0.51</f>
        <v>15.97</v>
      </c>
      <c r="E41" s="22">
        <f>1156.5-64.82</f>
        <v>1091.68</v>
      </c>
      <c r="F41" s="22">
        <f>630.8-23.95</f>
        <v>606.84999999999991</v>
      </c>
      <c r="G41" s="22">
        <f>459.2-64.82</f>
        <v>394.38</v>
      </c>
      <c r="H41" s="21">
        <f>F41/E41</f>
        <v>0.55588634031950745</v>
      </c>
      <c r="I41" s="20">
        <f>G41/E41</f>
        <v>0.36125970980507105</v>
      </c>
      <c r="J41" s="18">
        <f>D41*H41/44*10000</f>
        <v>2017.6147397505761</v>
      </c>
      <c r="K41" s="18">
        <f>I41*D41/44*10000</f>
        <v>1311.2085376334057</v>
      </c>
      <c r="L41" s="18">
        <f>D41/44*10000*0.35</f>
        <v>1270.3409090909092</v>
      </c>
      <c r="N41" s="19"/>
      <c r="R41" s="17"/>
    </row>
    <row r="42" spans="1:19" ht="15" x14ac:dyDescent="0.25">
      <c r="A42" s="25">
        <v>16</v>
      </c>
      <c r="B42" s="25">
        <v>46</v>
      </c>
      <c r="C42" s="25"/>
      <c r="D42" s="25">
        <f>16.53-0.51</f>
        <v>16.02</v>
      </c>
      <c r="E42" s="25">
        <f>981.45-64.82</f>
        <v>916.63000000000011</v>
      </c>
      <c r="F42" s="25">
        <f>609.62-23.95</f>
        <v>585.66999999999996</v>
      </c>
      <c r="G42" s="25">
        <f>219.49-64.82</f>
        <v>154.67000000000002</v>
      </c>
      <c r="H42" s="24">
        <f>F42/E42</f>
        <v>0.63893828480411929</v>
      </c>
      <c r="I42" s="24">
        <f>G42/E42</f>
        <v>0.16873765859725298</v>
      </c>
      <c r="J42" s="23">
        <f>D42*H42/44*10000</f>
        <v>2326.3162096731794</v>
      </c>
      <c r="K42" s="23">
        <f>I42*D42/44*10000</f>
        <v>614.35847516545289</v>
      </c>
      <c r="L42" s="18">
        <f>D42/44*10000*0.35</f>
        <v>1274.3181818181815</v>
      </c>
      <c r="M42" s="15">
        <f>A42</f>
        <v>16</v>
      </c>
      <c r="N42" s="19">
        <f>I43</f>
        <v>0.32893374271024467</v>
      </c>
      <c r="O42" s="17">
        <f>J43</f>
        <v>1954.1850338495683</v>
      </c>
      <c r="P42" s="17">
        <f>K43</f>
        <v>1191.637240636659</v>
      </c>
      <c r="R42" s="17">
        <f>SUM(O42:P42)</f>
        <v>3145.8222744862273</v>
      </c>
    </row>
    <row r="43" spans="1:19" ht="15" x14ac:dyDescent="0.25">
      <c r="A43" s="22">
        <v>16</v>
      </c>
      <c r="B43" s="22"/>
      <c r="C43" s="22">
        <v>47</v>
      </c>
      <c r="D43" s="22">
        <f>16.45-0.51</f>
        <v>15.94</v>
      </c>
      <c r="E43" s="22">
        <f>1165.68-64.82</f>
        <v>1100.8600000000001</v>
      </c>
      <c r="F43" s="22">
        <f>617.78-23.95</f>
        <v>593.82999999999993</v>
      </c>
      <c r="G43" s="22">
        <f>426.93-64.82</f>
        <v>362.11</v>
      </c>
      <c r="H43" s="21">
        <f>F43/E43</f>
        <v>0.53942372327089716</v>
      </c>
      <c r="I43" s="20">
        <f>G43/E43</f>
        <v>0.32893374271024467</v>
      </c>
      <c r="J43" s="18">
        <f>D43*H43/44*10000</f>
        <v>1954.1850338495683</v>
      </c>
      <c r="K43" s="18">
        <f>I43*D43/44*10000</f>
        <v>1191.637240636659</v>
      </c>
      <c r="L43" s="18">
        <f>D43/44*10000*0.35</f>
        <v>1267.9545454545453</v>
      </c>
    </row>
    <row r="44" spans="1:19" x14ac:dyDescent="0.2">
      <c r="A44" s="16"/>
      <c r="B44" s="16"/>
      <c r="C44" s="16"/>
      <c r="D44" s="16"/>
      <c r="E44" s="16"/>
      <c r="F44" s="16"/>
      <c r="G44" s="16"/>
    </row>
    <row r="45" spans="1:19" ht="15" x14ac:dyDescent="0.25">
      <c r="A45" s="16"/>
      <c r="B45" s="16"/>
      <c r="C45" s="16"/>
      <c r="D45" s="16"/>
      <c r="E45" s="16"/>
      <c r="F45" s="16"/>
      <c r="G45" s="16" t="s">
        <v>134</v>
      </c>
      <c r="H45" s="19">
        <f>AVERAGE(H12:H41,H43)</f>
        <v>0.54645975160944793</v>
      </c>
      <c r="I45" s="19">
        <f>AVERAGE(I12:I41,I43)</f>
        <v>0.34705762526716072</v>
      </c>
      <c r="J45" s="18">
        <f>AVERAGE(J12:J41,J43)</f>
        <v>2047.5817189474667</v>
      </c>
      <c r="K45" s="18">
        <f>AVERAGE(K12:K41,K43)</f>
        <v>1301.4610065081201</v>
      </c>
      <c r="Q45" s="15" t="s">
        <v>133</v>
      </c>
      <c r="R45" s="17">
        <f>AVERAGE(R12,R24,R34,R38)</f>
        <v>3133.976785997118</v>
      </c>
    </row>
    <row r="46" spans="1:19" x14ac:dyDescent="0.2">
      <c r="A46" s="16"/>
      <c r="B46" s="16"/>
      <c r="C46" s="16"/>
      <c r="D46" s="16"/>
      <c r="E46" s="16"/>
      <c r="F46" s="16"/>
      <c r="G46" s="16"/>
      <c r="Q46" s="15" t="s">
        <v>132</v>
      </c>
      <c r="R46" s="17">
        <f>AVERAGE(R14,R26,R28,R40)</f>
        <v>3508.2480031603623</v>
      </c>
    </row>
    <row r="47" spans="1:19" x14ac:dyDescent="0.2">
      <c r="A47" s="16"/>
      <c r="B47" s="16"/>
      <c r="C47" s="16"/>
      <c r="D47" s="16"/>
      <c r="E47" s="16"/>
      <c r="F47" s="16"/>
      <c r="G47" s="16"/>
      <c r="Q47" s="15" t="s">
        <v>131</v>
      </c>
      <c r="R47" s="17">
        <f>AVERAGE(R16,R20,R30,R42)</f>
        <v>3249.9760493613717</v>
      </c>
    </row>
    <row r="48" spans="1:19" x14ac:dyDescent="0.2">
      <c r="A48" s="16"/>
      <c r="B48" s="16"/>
      <c r="C48" s="16"/>
      <c r="D48" s="16"/>
      <c r="E48" s="16"/>
      <c r="F48" s="16"/>
      <c r="G48" s="16"/>
      <c r="Q48" s="15" t="s">
        <v>130</v>
      </c>
      <c r="R48" s="17">
        <f>AVERAGE(R18,R22,R32,R36)</f>
        <v>3478.5675069323233</v>
      </c>
    </row>
    <row r="49" spans="1:7" x14ac:dyDescent="0.2">
      <c r="A49" s="16"/>
      <c r="B49" s="16"/>
      <c r="C49" s="16"/>
      <c r="D49" s="16"/>
      <c r="E49" s="16"/>
      <c r="F49" s="16"/>
      <c r="G49" s="16"/>
    </row>
    <row r="50" spans="1:7" x14ac:dyDescent="0.2">
      <c r="A50" s="16"/>
      <c r="B50" s="16"/>
      <c r="C50" s="16"/>
      <c r="D50" s="16"/>
      <c r="E50" s="16"/>
      <c r="F50" s="16"/>
      <c r="G50" s="16"/>
    </row>
    <row r="51" spans="1:7" x14ac:dyDescent="0.2">
      <c r="A51" s="16"/>
      <c r="B51" s="16"/>
      <c r="C51" s="16"/>
      <c r="D51" s="16"/>
      <c r="E51" s="16"/>
      <c r="F51" s="16"/>
      <c r="G51" s="16"/>
    </row>
    <row r="52" spans="1:7" x14ac:dyDescent="0.2">
      <c r="A52" s="16"/>
      <c r="B52" s="16"/>
      <c r="C52" s="16"/>
      <c r="D52" s="16"/>
      <c r="E52" s="16"/>
      <c r="F52" s="16"/>
      <c r="G52" s="16"/>
    </row>
    <row r="53" spans="1:7" x14ac:dyDescent="0.2">
      <c r="A53" s="16"/>
      <c r="B53" s="16"/>
      <c r="C53" s="16"/>
      <c r="D53" s="16"/>
      <c r="E53" s="16"/>
      <c r="F53" s="16"/>
      <c r="G53" s="16"/>
    </row>
    <row r="54" spans="1:7" x14ac:dyDescent="0.2">
      <c r="A54" s="16"/>
      <c r="B54" s="16"/>
      <c r="C54" s="16"/>
      <c r="D54" s="16"/>
      <c r="E54" s="16"/>
      <c r="F54" s="16"/>
      <c r="G54" s="16"/>
    </row>
    <row r="55" spans="1:7" x14ac:dyDescent="0.2">
      <c r="A55" s="16"/>
      <c r="B55" s="16"/>
      <c r="C55" s="16"/>
      <c r="D55" s="16"/>
      <c r="E55" s="16"/>
      <c r="F55" s="16"/>
      <c r="G55" s="16"/>
    </row>
    <row r="56" spans="1:7" x14ac:dyDescent="0.2">
      <c r="A56" s="16"/>
      <c r="B56" s="16"/>
      <c r="C56" s="16"/>
      <c r="D56" s="16"/>
      <c r="E56" s="16"/>
      <c r="F56" s="16"/>
      <c r="G56" s="16"/>
    </row>
    <row r="57" spans="1:7" x14ac:dyDescent="0.2">
      <c r="A57" s="16"/>
      <c r="B57" s="16"/>
      <c r="C57" s="16"/>
      <c r="D57" s="16"/>
      <c r="E57" s="16"/>
      <c r="F57" s="16"/>
      <c r="G57" s="16"/>
    </row>
    <row r="58" spans="1:7" x14ac:dyDescent="0.2">
      <c r="A58" s="16"/>
      <c r="B58" s="16"/>
      <c r="C58" s="16"/>
      <c r="D58" s="16"/>
      <c r="E58" s="16"/>
      <c r="F58" s="16"/>
      <c r="G58" s="16"/>
    </row>
    <row r="59" spans="1:7" x14ac:dyDescent="0.2">
      <c r="A59" s="16"/>
      <c r="B59" s="16"/>
      <c r="C59" s="16"/>
      <c r="D59" s="16"/>
      <c r="E59" s="16"/>
      <c r="F59" s="16"/>
      <c r="G59" s="16"/>
    </row>
    <row r="60" spans="1:7" x14ac:dyDescent="0.2">
      <c r="A60" s="16"/>
      <c r="B60" s="16"/>
      <c r="C60" s="16"/>
      <c r="D60" s="16"/>
      <c r="E60" s="16"/>
      <c r="F60" s="16"/>
      <c r="G60" s="16"/>
    </row>
    <row r="61" spans="1:7" x14ac:dyDescent="0.2">
      <c r="A61" s="16"/>
      <c r="B61" s="16"/>
      <c r="C61" s="16"/>
      <c r="D61" s="16"/>
      <c r="E61" s="16"/>
      <c r="F61" s="16"/>
      <c r="G61" s="16"/>
    </row>
    <row r="62" spans="1:7" x14ac:dyDescent="0.2">
      <c r="A62" s="16"/>
      <c r="B62" s="16"/>
      <c r="C62" s="16"/>
      <c r="D62" s="16"/>
      <c r="E62" s="16"/>
      <c r="F62" s="16"/>
      <c r="G62" s="16"/>
    </row>
    <row r="63" spans="1:7" x14ac:dyDescent="0.2">
      <c r="A63" s="16"/>
      <c r="B63" s="16"/>
      <c r="C63" s="16"/>
      <c r="D63" s="16"/>
      <c r="E63" s="16"/>
      <c r="F63" s="16"/>
      <c r="G63" s="16"/>
    </row>
    <row r="64" spans="1:7" x14ac:dyDescent="0.2">
      <c r="A64" s="16"/>
      <c r="B64" s="16"/>
      <c r="C64" s="16"/>
      <c r="D64" s="16"/>
      <c r="E64" s="16"/>
      <c r="F64" s="16"/>
      <c r="G64" s="16"/>
    </row>
    <row r="65" spans="1:7" x14ac:dyDescent="0.2">
      <c r="A65" s="16"/>
      <c r="B65" s="16"/>
      <c r="C65" s="16"/>
      <c r="D65" s="16"/>
      <c r="E65" s="16"/>
      <c r="F65" s="16"/>
      <c r="G65" s="16"/>
    </row>
    <row r="66" spans="1:7" x14ac:dyDescent="0.2">
      <c r="A66" s="16"/>
      <c r="B66" s="16"/>
      <c r="C66" s="16"/>
      <c r="D66" s="16"/>
      <c r="E66" s="16"/>
      <c r="F66" s="16"/>
      <c r="G66" s="16"/>
    </row>
    <row r="67" spans="1:7" x14ac:dyDescent="0.2">
      <c r="A67" s="16"/>
      <c r="B67" s="16"/>
      <c r="C67" s="16"/>
      <c r="D67" s="16"/>
      <c r="E67" s="16"/>
      <c r="F67" s="16"/>
      <c r="G67" s="16"/>
    </row>
    <row r="68" spans="1:7" x14ac:dyDescent="0.2">
      <c r="A68" s="16"/>
      <c r="B68" s="16"/>
      <c r="C68" s="16"/>
      <c r="D68" s="16"/>
      <c r="E68" s="16"/>
      <c r="F68" s="16"/>
      <c r="G68" s="16"/>
    </row>
    <row r="69" spans="1:7" x14ac:dyDescent="0.2">
      <c r="A69" s="16"/>
      <c r="B69" s="16"/>
      <c r="C69" s="16"/>
      <c r="D69" s="16"/>
      <c r="E69" s="16"/>
      <c r="F69" s="16"/>
      <c r="G69" s="16"/>
    </row>
    <row r="70" spans="1:7" x14ac:dyDescent="0.2">
      <c r="A70" s="16"/>
      <c r="B70" s="16"/>
      <c r="C70" s="16"/>
      <c r="D70" s="16"/>
      <c r="E70" s="16"/>
      <c r="F70" s="16"/>
      <c r="G70" s="16"/>
    </row>
    <row r="71" spans="1:7" x14ac:dyDescent="0.2">
      <c r="A71" s="16"/>
      <c r="B71" s="16"/>
      <c r="C71" s="16"/>
      <c r="D71" s="16"/>
      <c r="E71" s="16"/>
      <c r="F71" s="16"/>
      <c r="G71" s="16"/>
    </row>
    <row r="72" spans="1:7" x14ac:dyDescent="0.2">
      <c r="A72" s="16"/>
      <c r="B72" s="16"/>
      <c r="C72" s="16"/>
      <c r="D72" s="16"/>
      <c r="E72" s="16"/>
      <c r="F72" s="16"/>
      <c r="G72" s="16"/>
    </row>
    <row r="73" spans="1:7" x14ac:dyDescent="0.2">
      <c r="A73" s="16"/>
      <c r="B73" s="16"/>
      <c r="C73" s="16"/>
      <c r="D73" s="16"/>
      <c r="E73" s="16"/>
      <c r="F73" s="16"/>
      <c r="G73" s="16"/>
    </row>
  </sheetData>
  <mergeCells count="2">
    <mergeCell ref="M10:P10"/>
    <mergeCell ref="H9:K9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Scale</vt:lpstr>
      <vt:lpstr>Plot Scale</vt:lpstr>
      <vt:lpstr>Compare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2025-05-27T23:02:32Z</dcterms:modified>
</cp:coreProperties>
</file>