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7_F111_CO_ISM\"/>
    </mc:Choice>
  </mc:AlternateContent>
  <xr:revisionPtr revIDLastSave="0" documentId="13_ncr:1_{AA2CDDE8-9CFC-4166-9BAA-50EA3968BB12}" xr6:coauthVersionLast="47" xr6:coauthVersionMax="47" xr10:uidLastSave="{00000000-0000-0000-0000-000000000000}"/>
  <bookViews>
    <workbookView xWindow="-975" yWindow="-27630" windowWidth="17310" windowHeight="16335" activeTab="4" xr2:uid="{118525E0-BC31-4C3F-8132-452FA3C5B73C}"/>
  </bookViews>
  <sheets>
    <sheet name="Irrigation" sheetId="3" r:id="rId1"/>
    <sheet name="Timeline" sheetId="7" r:id="rId2"/>
    <sheet name="IrrigationDF" sheetId="1" r:id="rId3"/>
    <sheet name="Fertilizer" sheetId="4" r:id="rId4"/>
    <sheet name="FertilizerD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" l="1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M16" i="4"/>
  <c r="AN16" i="4"/>
  <c r="AO16" i="4"/>
  <c r="AP16" i="4"/>
  <c r="D17" i="4"/>
  <c r="AK17" i="4"/>
  <c r="AL17" i="4"/>
  <c r="D18" i="4"/>
  <c r="F18" i="4"/>
  <c r="G18" i="4"/>
  <c r="H18" i="4"/>
  <c r="I18" i="4"/>
  <c r="K19" i="4"/>
  <c r="L19" i="4"/>
  <c r="O19" i="4"/>
  <c r="V19" i="4"/>
  <c r="W19" i="4"/>
  <c r="X19" i="4"/>
  <c r="AA19" i="4"/>
  <c r="AB19" i="4"/>
  <c r="AD19" i="4"/>
  <c r="AF19" i="4"/>
  <c r="AN19" i="4"/>
  <c r="AP19" i="4"/>
  <c r="M20" i="4"/>
  <c r="N20" i="4"/>
  <c r="P20" i="4"/>
  <c r="R20" i="4"/>
  <c r="T20" i="4"/>
  <c r="U20" i="4"/>
  <c r="Z20" i="4"/>
  <c r="AG20" i="4"/>
  <c r="AH20" i="4"/>
  <c r="AI20" i="4"/>
  <c r="AJ20" i="4"/>
  <c r="AK20" i="4"/>
  <c r="AL20" i="4"/>
  <c r="AM20" i="4"/>
  <c r="AO20" i="4"/>
  <c r="Q21" i="4"/>
  <c r="S21" i="4"/>
  <c r="Y21" i="4"/>
  <c r="AC21" i="4"/>
  <c r="AE21" i="4"/>
  <c r="J22" i="4"/>
  <c r="F23" i="4"/>
  <c r="G23" i="4"/>
  <c r="J23" i="4"/>
  <c r="K23" i="4"/>
  <c r="L23" i="4"/>
  <c r="O23" i="4"/>
  <c r="V23" i="4"/>
  <c r="W23" i="4"/>
  <c r="X23" i="4"/>
  <c r="Y23" i="4"/>
  <c r="AA23" i="4"/>
  <c r="AB23" i="4"/>
  <c r="AD23" i="4"/>
  <c r="AF23" i="4"/>
  <c r="AN23" i="4"/>
  <c r="AP23" i="4"/>
  <c r="N24" i="4"/>
  <c r="P24" i="4"/>
  <c r="Q24" i="4"/>
  <c r="R24" i="4"/>
  <c r="S24" i="4"/>
  <c r="T24" i="4"/>
  <c r="AC24" i="4"/>
  <c r="AE24" i="4"/>
  <c r="AG24" i="4"/>
  <c r="AI24" i="4"/>
  <c r="AJ24" i="4"/>
  <c r="AO24" i="4"/>
  <c r="M25" i="4"/>
  <c r="AK25" i="4"/>
  <c r="AL25" i="4"/>
  <c r="U26" i="4"/>
  <c r="Z26" i="4"/>
  <c r="AH26" i="4"/>
  <c r="AM26" i="4"/>
  <c r="E53" i="3" l="1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F56" i="3" s="1"/>
  <c r="AG53" i="3"/>
  <c r="AG56" i="3" s="1"/>
  <c r="AH53" i="3"/>
  <c r="AH56" i="3" s="1"/>
  <c r="AI53" i="3"/>
  <c r="AI56" i="3" s="1"/>
  <c r="AJ53" i="3"/>
  <c r="AJ56" i="3" s="1"/>
  <c r="AK53" i="3"/>
  <c r="AL53" i="3"/>
  <c r="AL56" i="3" s="1"/>
  <c r="AM53" i="3"/>
  <c r="AN53" i="3"/>
  <c r="AO53" i="3"/>
  <c r="AP53" i="3"/>
  <c r="AQ53" i="3"/>
  <c r="AR53" i="3"/>
  <c r="AK56" i="3"/>
  <c r="AM56" i="3"/>
  <c r="AN56" i="3"/>
  <c r="AO56" i="3"/>
  <c r="AP56" i="3"/>
  <c r="AQ56" i="3"/>
  <c r="AR56" i="3"/>
  <c r="AS56" i="3"/>
</calcChain>
</file>

<file path=xl/sharedStrings.xml><?xml version="1.0" encoding="utf-8"?>
<sst xmlns="http://schemas.openxmlformats.org/spreadsheetml/2006/main" count="248" uniqueCount="90">
  <si>
    <t>Year</t>
  </si>
  <si>
    <t>DOY</t>
  </si>
  <si>
    <t xml:space="preserve">Season total </t>
  </si>
  <si>
    <t>CT&amp;S,  NS # 13, 43, 44, all stressplots, and stress buffers</t>
  </si>
  <si>
    <t>FT&amp;S, all NT, AZT&amp;S and # 27; 10,20,30,&amp;40 buffers</t>
  </si>
  <si>
    <t>CT&amp;S, and  NS # 13, 43, 44</t>
  </si>
  <si>
    <t>All Buffers irrigated</t>
  </si>
  <si>
    <t>FT&amp;S, all NT, and # 27, 2, 4, 5, 6, 7 ,8</t>
  </si>
  <si>
    <t>AZT&amp;S, note plot 41 increased since shorted last time</t>
  </si>
  <si>
    <r>
      <t xml:space="preserve">4 CT; </t>
    </r>
    <r>
      <rPr>
        <b/>
        <sz val="10"/>
        <rFont val="Arial"/>
        <family val="2"/>
      </rPr>
      <t>fert. at 25 lb/ac (#28 leaked to adjacent furrow)</t>
    </r>
  </si>
  <si>
    <r>
      <t xml:space="preserve">3 NS # 13, 43 , 44; </t>
    </r>
    <r>
      <rPr>
        <b/>
        <sz val="10"/>
        <rFont val="Arial"/>
        <family val="2"/>
      </rPr>
      <t>fert. at 25 lb/ac (#13 leaked to alley)</t>
    </r>
  </si>
  <si>
    <r>
      <t>AZT&amp;S, all 4 CS, 3 and all buffers; fert. a</t>
    </r>
    <r>
      <rPr>
        <b/>
        <sz val="10"/>
        <rFont val="Arial"/>
        <family val="2"/>
      </rPr>
      <t>t 25 lb/ac</t>
    </r>
  </si>
  <si>
    <r>
      <t xml:space="preserve">FT&amp;S, all NT, and # 27, 4 ,5 ,8; </t>
    </r>
    <r>
      <rPr>
        <b/>
        <sz val="10"/>
        <rFont val="Arial"/>
        <family val="2"/>
      </rPr>
      <t>fert. at 25 lb/ac</t>
    </r>
  </si>
  <si>
    <t>Stress plots, # 2, 6, &amp; 7; no fert.</t>
  </si>
  <si>
    <t>AZT&amp;S, CT, 3 NS, morning hours;note plot 41 shorted (my mis.)</t>
  </si>
  <si>
    <t>Buffers irrigated</t>
  </si>
  <si>
    <t>FT&amp;S, all NT no fert., morning hours</t>
  </si>
  <si>
    <t>4 CS, 1 NS, and 4,5, and 8 (early stress plots)</t>
  </si>
  <si>
    <t>Three NS; morning</t>
  </si>
  <si>
    <t>AZT&amp;S, CT, morning hours</t>
  </si>
  <si>
    <t>3 stress plots, all buffers, morning</t>
  </si>
  <si>
    <t>Note: plot 35 leaked water and lost about 10-15 mm of the 96 mm</t>
  </si>
  <si>
    <r>
      <t xml:space="preserve">CS&amp; 1 NS, morning hours; </t>
    </r>
    <r>
      <rPr>
        <b/>
        <sz val="10"/>
        <rFont val="Arial"/>
        <family val="2"/>
      </rPr>
      <t>fert. at 50 lb/ac</t>
    </r>
  </si>
  <si>
    <r>
      <t>AZT&amp;S, CT, 3 NS, morning hours; fert. a</t>
    </r>
    <r>
      <rPr>
        <b/>
        <sz val="10"/>
        <rFont val="Arial"/>
        <family val="2"/>
      </rPr>
      <t>t 50 lb/ac</t>
    </r>
  </si>
  <si>
    <r>
      <t xml:space="preserve">FT&amp;S, all NT all remaining buffers, morning hours; </t>
    </r>
    <r>
      <rPr>
        <b/>
        <sz val="10"/>
        <rFont val="Arial"/>
        <family val="2"/>
      </rPr>
      <t>fert. at 50 lb/ac</t>
    </r>
  </si>
  <si>
    <r>
      <t xml:space="preserve">All stress plots and 0 buffers; done before noon; </t>
    </r>
    <r>
      <rPr>
        <b/>
        <sz val="10"/>
        <rFont val="Arial"/>
        <family val="2"/>
      </rPr>
      <t>fert. at 50 lb/ac</t>
    </r>
  </si>
  <si>
    <t>CS no fert., morning hours</t>
  </si>
  <si>
    <t>AZT&amp;S, CT, 1 NS no fert., morning hours</t>
  </si>
  <si>
    <t>3 NS, 3 stress, buffers no fert., morning hours</t>
  </si>
  <si>
    <r>
      <t>Reg  plots; 8:30-12:00, stress afternoon;</t>
    </r>
    <r>
      <rPr>
        <b/>
        <sz val="10"/>
        <rFont val="Arial"/>
        <family val="2"/>
      </rPr>
      <t>all fert. at 50 lb/ac</t>
    </r>
  </si>
  <si>
    <t>All plots; 7:30-11:00</t>
  </si>
  <si>
    <t>Stress plots, first water late May 3, but finished May 4</t>
  </si>
  <si>
    <t>all day; 6:00-2:00, all plots</t>
  </si>
  <si>
    <t>East-half reg. trt. Plots only, from 12:45-3:30</t>
  </si>
  <si>
    <t>Plot Num</t>
  </si>
  <si>
    <t>Early</t>
  </si>
  <si>
    <t>Late</t>
  </si>
  <si>
    <t>WS</t>
  </si>
  <si>
    <t>DS</t>
  </si>
  <si>
    <t>CMT</t>
  </si>
  <si>
    <t>NDS</t>
  </si>
  <si>
    <t>NDT</t>
  </si>
  <si>
    <t>FT</t>
  </si>
  <si>
    <t>AZS</t>
  </si>
  <si>
    <t>CMS</t>
  </si>
  <si>
    <t>AZT</t>
  </si>
  <si>
    <t>FS</t>
  </si>
  <si>
    <t>TRT</t>
  </si>
  <si>
    <t>Cotton 2007 Treatment Irrigation dates and amounts in mm</t>
  </si>
  <si>
    <t>p48</t>
  </si>
  <si>
    <t>p47</t>
  </si>
  <si>
    <t>p46</t>
  </si>
  <si>
    <t>p45</t>
  </si>
  <si>
    <t>p44</t>
  </si>
  <si>
    <t>p43</t>
  </si>
  <si>
    <t>p42</t>
  </si>
  <si>
    <t>p41</t>
  </si>
  <si>
    <t>p38</t>
  </si>
  <si>
    <t>p37</t>
  </si>
  <si>
    <t>p36</t>
  </si>
  <si>
    <t>p35</t>
  </si>
  <si>
    <t>p34</t>
  </si>
  <si>
    <t>p33</t>
  </si>
  <si>
    <t>p32</t>
  </si>
  <si>
    <t>p31</t>
  </si>
  <si>
    <t>p11</t>
  </si>
  <si>
    <t>p12</t>
  </si>
  <si>
    <t>p13</t>
  </si>
  <si>
    <t>p14</t>
  </si>
  <si>
    <t>p15</t>
  </si>
  <si>
    <t>p16</t>
  </si>
  <si>
    <t>p17</t>
  </si>
  <si>
    <t>p18</t>
  </si>
  <si>
    <t>p21</t>
  </si>
  <si>
    <t>p22</t>
  </si>
  <si>
    <t>p23</t>
  </si>
  <si>
    <t>p24</t>
  </si>
  <si>
    <t>p25</t>
  </si>
  <si>
    <t>p26</t>
  </si>
  <si>
    <t>p27</t>
  </si>
  <si>
    <t>p28</t>
  </si>
  <si>
    <t>p01</t>
  </si>
  <si>
    <t>p02</t>
  </si>
  <si>
    <t>p03</t>
  </si>
  <si>
    <t>p04</t>
  </si>
  <si>
    <t>p05</t>
  </si>
  <si>
    <t>p06</t>
  </si>
  <si>
    <t>p07</t>
  </si>
  <si>
    <t>p08</t>
  </si>
  <si>
    <t>Convert lb/ac to kg/ha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</si>
</sst>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[$-409]d\-mmm\-yy;@"/>
    <numFmt numFmtId="166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60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1" fontId="0" fillId="0" borderId="0" xfId="0" applyNumberFormat="1"/>
    <xf numFmtId="1" fontId="2" fillId="0" borderId="0" xfId="0" applyNumberFormat="1" applyFont="1" applyAlignment="1">
      <alignment horizontal="right"/>
    </xf>
    <xf numFmtId="1" fontId="2" fillId="0" borderId="0" xfId="0" applyNumberFormat="1" applyFont="1"/>
    <xf numFmtId="0" fontId="3" fillId="0" borderId="0" xfId="1"/>
    <xf numFmtId="165" fontId="3" fillId="0" borderId="0" xfId="1" applyNumberFormat="1"/>
    <xf numFmtId="164" fontId="3" fillId="0" borderId="0" xfId="1" applyNumberFormat="1"/>
    <xf numFmtId="0" fontId="3" fillId="2" borderId="0" xfId="1" applyFill="1"/>
    <xf numFmtId="1" fontId="3" fillId="0" borderId="0" xfId="1" applyNumberFormat="1"/>
    <xf numFmtId="16" fontId="3" fillId="0" borderId="0" xfId="1" applyNumberFormat="1"/>
    <xf numFmtId="1" fontId="2" fillId="0" borderId="0" xfId="1" applyNumberFormat="1" applyFont="1"/>
    <xf numFmtId="1" fontId="2" fillId="0" borderId="0" xfId="1" applyNumberFormat="1" applyFont="1" applyAlignment="1">
      <alignment horizontal="right"/>
    </xf>
    <xf numFmtId="0" fontId="5" fillId="0" borderId="0" xfId="1" applyFont="1"/>
    <xf numFmtId="0" fontId="3" fillId="0" borderId="0" xfId="1" applyAlignment="1">
      <alignment horizontal="center"/>
    </xf>
    <xf numFmtId="0" fontId="3" fillId="2" borderId="0" xfId="1" applyFill="1" applyAlignment="1">
      <alignment horizontal="center"/>
    </xf>
    <xf numFmtId="0" fontId="4" fillId="0" borderId="0" xfId="1" applyFont="1"/>
    <xf numFmtId="0" fontId="6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0" applyNumberFormat="1"/>
  </cellXfs>
  <cellStyles count="260">
    <cellStyle name="Normal" xfId="0" builtinId="0"/>
    <cellStyle name="Normal 10" xfId="10" xr:uid="{B153B499-5D98-4C6C-B15F-C75BEAE1D0F0}"/>
    <cellStyle name="Normal 10 10" xfId="25" xr:uid="{BB9F0877-1918-4C85-897A-79A55991772D}"/>
    <cellStyle name="Normal 10 11" xfId="26" xr:uid="{83F41B87-1806-43AF-83C4-C2759F2C4CC6}"/>
    <cellStyle name="Normal 10 12" xfId="24" xr:uid="{A27C574E-2407-4D7C-8672-3B600D23E9E5}"/>
    <cellStyle name="Normal 10 2" xfId="21" xr:uid="{002580BE-E753-473E-8EB6-32A54FB7871A}"/>
    <cellStyle name="Normal 10 2 2" xfId="27" xr:uid="{63EE93CE-8556-433A-97A0-4D3A45260B2D}"/>
    <cellStyle name="Normal 10 3" xfId="28" xr:uid="{344A9822-8D03-4CBE-9AE3-3F1EFDA794E3}"/>
    <cellStyle name="Normal 10 4" xfId="29" xr:uid="{645B0F32-45F7-48CE-86DC-46222AB07DE8}"/>
    <cellStyle name="Normal 10 5" xfId="30" xr:uid="{398917A7-2663-46F4-B4DF-6313631F66D0}"/>
    <cellStyle name="Normal 10 6" xfId="31" xr:uid="{43969629-0C9D-48FB-B12C-FE35D1152E29}"/>
    <cellStyle name="Normal 10 7" xfId="32" xr:uid="{E825DCEA-512C-411E-8B88-9AA896C1D643}"/>
    <cellStyle name="Normal 10 8" xfId="33" xr:uid="{DE0ABEE7-2A9E-40E4-B896-84D243238666}"/>
    <cellStyle name="Normal 10 9" xfId="34" xr:uid="{6BAC4068-1926-44AB-87F0-82D54658414B}"/>
    <cellStyle name="Normal 11" xfId="11" xr:uid="{08A78A07-03A2-4055-BE60-78755DB64CB6}"/>
    <cellStyle name="Normal 11 10" xfId="36" xr:uid="{66DEF95D-5039-453B-949F-DE6C45E8A47E}"/>
    <cellStyle name="Normal 11 11" xfId="37" xr:uid="{A2EAC1A4-52FE-4BA4-8D53-03B7AD346245}"/>
    <cellStyle name="Normal 11 12" xfId="35" xr:uid="{119CB6B3-B5AE-48EC-A297-357A92E62312}"/>
    <cellStyle name="Normal 11 2" xfId="22" xr:uid="{CCA1AFBB-F69D-4562-874F-85344CD45D9F}"/>
    <cellStyle name="Normal 11 2 2" xfId="38" xr:uid="{AED81D1F-87C9-49E5-8AB0-5F307DE1640E}"/>
    <cellStyle name="Normal 11 3" xfId="39" xr:uid="{F1E9B852-E863-4786-A7D6-2F5714AEA0D6}"/>
    <cellStyle name="Normal 11 4" xfId="40" xr:uid="{508AC27A-19C5-449B-93E0-D8848ED21EAB}"/>
    <cellStyle name="Normal 11 5" xfId="41" xr:uid="{8F0CB1AE-ED08-4AD9-8C4D-A23ADC0A95A3}"/>
    <cellStyle name="Normal 11 6" xfId="42" xr:uid="{37141C53-1E43-4333-BA4F-CC7971D27B7C}"/>
    <cellStyle name="Normal 11 7" xfId="43" xr:uid="{844643A9-EDA3-426D-85BC-362B1A79A3A3}"/>
    <cellStyle name="Normal 11 8" xfId="44" xr:uid="{13F3837F-D0C9-46F4-9D22-D751E386FD63}"/>
    <cellStyle name="Normal 11 9" xfId="45" xr:uid="{39414622-9A1F-4B3D-A451-C6EBA665916D}"/>
    <cellStyle name="Normal 12" xfId="12" xr:uid="{63E8FE69-9BE2-4638-9D63-BD6765770988}"/>
    <cellStyle name="Normal 12 10" xfId="47" xr:uid="{FE5BB246-970E-424F-BFC9-7EA35F1A6D99}"/>
    <cellStyle name="Normal 12 11" xfId="48" xr:uid="{F391B7F0-A1C9-478B-948D-40AE3AAB2341}"/>
    <cellStyle name="Normal 12 12" xfId="46" xr:uid="{D2E32FED-5ADA-415E-A07D-9DBF6DA8142B}"/>
    <cellStyle name="Normal 12 2" xfId="23" xr:uid="{EA593065-4A05-403B-A786-4146C21EC8C7}"/>
    <cellStyle name="Normal 12 2 2" xfId="49" xr:uid="{E59E65A8-B1F5-4715-826F-33858D52B13B}"/>
    <cellStyle name="Normal 12 3" xfId="50" xr:uid="{24CF4B82-2EB8-4698-B7C9-6ACA5EC504EA}"/>
    <cellStyle name="Normal 12 4" xfId="51" xr:uid="{EA81F0C4-F235-4E94-94F7-222CDD61EE72}"/>
    <cellStyle name="Normal 12 5" xfId="52" xr:uid="{F4CA1465-DF0B-47F1-8CE2-C58723A672DA}"/>
    <cellStyle name="Normal 12 6" xfId="53" xr:uid="{8CC42F39-4A8E-4E2F-B058-A0C0BB5BD511}"/>
    <cellStyle name="Normal 12 7" xfId="54" xr:uid="{C2BFABE1-10E7-416D-9F98-3EDF2F172503}"/>
    <cellStyle name="Normal 12 8" xfId="55" xr:uid="{09EFF63C-05C5-4DA3-8BD9-7B4E059C5BBE}"/>
    <cellStyle name="Normal 12 9" xfId="56" xr:uid="{3C636183-6E00-461E-8E55-B630DD6FB1B8}"/>
    <cellStyle name="Normal 13" xfId="57" xr:uid="{BB11DDB7-316E-4682-8675-D5A65ADB8A46}"/>
    <cellStyle name="Normal 13 10" xfId="58" xr:uid="{DE6B51A5-E14B-415C-9067-357DEA87D9D3}"/>
    <cellStyle name="Normal 13 11" xfId="59" xr:uid="{405BC0B7-DBF0-40C6-B855-DAAF74AED295}"/>
    <cellStyle name="Normal 13 2" xfId="60" xr:uid="{F8972F9E-FB72-455D-8899-57133EB420FD}"/>
    <cellStyle name="Normal 13 3" xfId="61" xr:uid="{D4934B42-989B-4882-8E36-CEF48A5DDD15}"/>
    <cellStyle name="Normal 13 4" xfId="62" xr:uid="{4E292661-8F3A-47AF-9EA4-C7EE2421F1F1}"/>
    <cellStyle name="Normal 13 5" xfId="63" xr:uid="{F3888AB4-37CF-4085-8CCA-B5E8412CC479}"/>
    <cellStyle name="Normal 13 6" xfId="64" xr:uid="{29B5B8EB-5013-42FD-AB65-456D31FE3466}"/>
    <cellStyle name="Normal 13 7" xfId="65" xr:uid="{7F1194B7-A5A5-4D18-8745-EDC239813A5F}"/>
    <cellStyle name="Normal 13 8" xfId="66" xr:uid="{C07CD9E9-D999-432B-9E19-B6129723AD1F}"/>
    <cellStyle name="Normal 13 9" xfId="67" xr:uid="{7BA51BCA-34DC-41C8-97C1-15FC6DACB7E3}"/>
    <cellStyle name="Normal 16" xfId="68" xr:uid="{6AC8B1CC-6B4F-43B9-A66B-01A22BE48BF8}"/>
    <cellStyle name="Normal 16 10" xfId="69" xr:uid="{D67B1926-BD6B-41CE-9BEE-165D6FAE448A}"/>
    <cellStyle name="Normal 16 11" xfId="70" xr:uid="{500A811E-23D5-446F-B3C4-E8830F55212A}"/>
    <cellStyle name="Normal 16 2" xfId="71" xr:uid="{19C13A07-2FA3-460B-96A6-C7AA6544F212}"/>
    <cellStyle name="Normal 16 3" xfId="72" xr:uid="{F708B4C4-D2F2-458B-B9E3-89D570214169}"/>
    <cellStyle name="Normal 16 4" xfId="73" xr:uid="{3730E655-F3E0-440E-BB8D-5E347DD9186D}"/>
    <cellStyle name="Normal 16 5" xfId="74" xr:uid="{B66EBB69-6B89-40CE-8323-CE5B7EF314E5}"/>
    <cellStyle name="Normal 16 6" xfId="75" xr:uid="{D4A3949F-366C-42F8-9F86-FF5EF5A06F20}"/>
    <cellStyle name="Normal 16 7" xfId="76" xr:uid="{F74BE29B-0C83-4D95-BDA3-C82A667DAFFA}"/>
    <cellStyle name="Normal 16 8" xfId="77" xr:uid="{C0A8F1AC-90D6-49A7-B4FC-D5E3235EECE0}"/>
    <cellStyle name="Normal 16 9" xfId="78" xr:uid="{FA15B971-E5E1-4D4E-9C62-C230286C07B0}"/>
    <cellStyle name="Normal 17" xfId="79" xr:uid="{F17BB6D6-9D14-439E-8D70-48C0860B52E2}"/>
    <cellStyle name="Normal 17 10" xfId="80" xr:uid="{D018447B-CEB6-4136-95FB-B2C9A4E914F9}"/>
    <cellStyle name="Normal 17 11" xfId="81" xr:uid="{CDB94B40-D1AC-4FD4-95D1-472B96603D76}"/>
    <cellStyle name="Normal 17 2" xfId="82" xr:uid="{4B364FFD-684F-4E60-AE19-C964C433599E}"/>
    <cellStyle name="Normal 17 3" xfId="83" xr:uid="{A2F1A628-3AF2-4D8D-99D6-11B7DF51C9C7}"/>
    <cellStyle name="Normal 17 4" xfId="84" xr:uid="{9CB06C65-9A19-44BA-AA31-C55DE72D4583}"/>
    <cellStyle name="Normal 17 5" xfId="85" xr:uid="{6D35115A-5DF4-45E8-9DBC-25E9E5D62E52}"/>
    <cellStyle name="Normal 17 6" xfId="86" xr:uid="{A8185509-4198-405C-8FD0-164EB64629AA}"/>
    <cellStyle name="Normal 17 7" xfId="87" xr:uid="{28565708-3897-4807-B663-DA053E6215EE}"/>
    <cellStyle name="Normal 17 8" xfId="88" xr:uid="{BB6DF88C-4ABE-43F7-B4E9-1A941F02B714}"/>
    <cellStyle name="Normal 17 9" xfId="89" xr:uid="{2EA51D54-F91B-41D3-AADE-318DB460E9C9}"/>
    <cellStyle name="Normal 18" xfId="90" xr:uid="{9A5D1590-9D27-4797-9CF4-3BF88289263F}"/>
    <cellStyle name="Normal 18 10" xfId="91" xr:uid="{1421864C-024A-4ADE-B904-E46B81765823}"/>
    <cellStyle name="Normal 18 11" xfId="92" xr:uid="{AFA5F521-BBFC-4457-B7B5-6C1EE00F8FBB}"/>
    <cellStyle name="Normal 18 2" xfId="93" xr:uid="{81BAD43E-C4B4-40FD-86C6-D55D0710AA3A}"/>
    <cellStyle name="Normal 18 3" xfId="94" xr:uid="{50C8E223-888C-4485-A9A0-722E93B676F4}"/>
    <cellStyle name="Normal 18 4" xfId="95" xr:uid="{91F0F689-8704-4E3A-9A6A-0CE11E41E9F8}"/>
    <cellStyle name="Normal 18 5" xfId="96" xr:uid="{48E3AFD1-8A83-4076-9B39-488D0DEC8BFE}"/>
    <cellStyle name="Normal 18 6" xfId="97" xr:uid="{61DA1B62-E06C-4649-82F5-B9BEA68123F4}"/>
    <cellStyle name="Normal 18 7" xfId="98" xr:uid="{1CF4C191-4740-48C9-A278-78F33205A448}"/>
    <cellStyle name="Normal 18 8" xfId="99" xr:uid="{4F30791E-0B9C-4557-9112-5B2FFF70D9A5}"/>
    <cellStyle name="Normal 18 9" xfId="100" xr:uid="{3E18B5DF-CB0F-48F6-880D-A19EE577CE9A}"/>
    <cellStyle name="Normal 19" xfId="101" xr:uid="{2185A4BA-28B9-4D4A-8CDE-19871964A186}"/>
    <cellStyle name="Normal 19 10" xfId="102" xr:uid="{38088B7D-527C-4AD6-94AB-5022A68F48E4}"/>
    <cellStyle name="Normal 19 11" xfId="103" xr:uid="{649005C5-1B6C-4741-A944-C59AD48C1F99}"/>
    <cellStyle name="Normal 19 2" xfId="104" xr:uid="{1E376848-02A8-4156-BDE5-572320429D68}"/>
    <cellStyle name="Normal 19 3" xfId="105" xr:uid="{988FE5A3-2623-4BAA-BD86-7BC07E25B072}"/>
    <cellStyle name="Normal 19 4" xfId="106" xr:uid="{1BCF1E33-6FE0-4D39-B3AF-25138F8BAE98}"/>
    <cellStyle name="Normal 19 5" xfId="107" xr:uid="{92F0E2F3-A11A-4702-8D72-96C78839E873}"/>
    <cellStyle name="Normal 19 6" xfId="108" xr:uid="{7F2F160D-8914-425D-84A5-B221DFF9714C}"/>
    <cellStyle name="Normal 19 7" xfId="109" xr:uid="{6333572B-A97A-455E-9AE6-38025D0E2A20}"/>
    <cellStyle name="Normal 19 8" xfId="110" xr:uid="{0B428511-EF2C-40C8-9F4E-BA9CFF419AAA}"/>
    <cellStyle name="Normal 19 9" xfId="111" xr:uid="{614DA142-B11A-4296-BCD7-B34296F82650}"/>
    <cellStyle name="Normal 2" xfId="1" xr:uid="{544B27C6-0797-4978-A176-3F0AD8B19C48}"/>
    <cellStyle name="Normal 2 10" xfId="113" xr:uid="{A84FD6ED-2196-4A6A-A0C9-244FAE092378}"/>
    <cellStyle name="Normal 2 11" xfId="114" xr:uid="{72B584A4-A4DE-4A99-AAF6-6A549A15C1F3}"/>
    <cellStyle name="Normal 2 12" xfId="112" xr:uid="{F09CA8BF-60F4-4FF6-AE2D-81583AEABDF1}"/>
    <cellStyle name="Normal 2 13" xfId="2" xr:uid="{307E35AE-DC00-4004-9CEE-032276F9BFAC}"/>
    <cellStyle name="Normal 2 2" xfId="13" xr:uid="{0DE10DB9-FC52-4CE2-968D-67F4F4CFC144}"/>
    <cellStyle name="Normal 2 2 2" xfId="115" xr:uid="{06C56B72-1D98-4302-A236-9953F402A23A}"/>
    <cellStyle name="Normal 2 3" xfId="116" xr:uid="{992ECEFA-C8D8-49A0-9BA0-4D667063EFA9}"/>
    <cellStyle name="Normal 2 4" xfId="117" xr:uid="{6F555E5B-574F-4AFC-8304-449BCA0CEE0E}"/>
    <cellStyle name="Normal 2 5" xfId="118" xr:uid="{272D7CBE-FFB9-47A0-9E7A-883EEF7A4AED}"/>
    <cellStyle name="Normal 2 6" xfId="119" xr:uid="{4383E4A0-DA66-4B94-9288-548579C4CAA0}"/>
    <cellStyle name="Normal 2 7" xfId="120" xr:uid="{2A82FB88-88C8-46D6-BBBD-6BB95D7B102E}"/>
    <cellStyle name="Normal 2 8" xfId="121" xr:uid="{2C76B590-3E4A-4512-9348-3DB39E323DD2}"/>
    <cellStyle name="Normal 2 9" xfId="122" xr:uid="{AA3AE8EE-85D1-4C42-9B1F-45C075134C8B}"/>
    <cellStyle name="Normal 20" xfId="123" xr:uid="{41645990-9D94-412A-8D95-CBE8AC023F4E}"/>
    <cellStyle name="Normal 20 10" xfId="124" xr:uid="{E24476FF-856D-431C-8DFF-6D8A5D922969}"/>
    <cellStyle name="Normal 20 11" xfId="125" xr:uid="{6512F43D-AB0B-484D-B421-F65500183B51}"/>
    <cellStyle name="Normal 20 2" xfId="126" xr:uid="{2E1FDA32-7033-40B3-BE8F-FEE8D084364A}"/>
    <cellStyle name="Normal 20 3" xfId="127" xr:uid="{E86CCAC2-117B-492E-8D6E-0A4BF600AC40}"/>
    <cellStyle name="Normal 20 4" xfId="128" xr:uid="{BBA5CE1C-A34F-44BE-A252-AE4034BB5760}"/>
    <cellStyle name="Normal 20 5" xfId="129" xr:uid="{3B2B792E-5DBF-475B-930B-5F13AF972F19}"/>
    <cellStyle name="Normal 20 6" xfId="130" xr:uid="{99790720-FF34-417B-8EEB-1E2B5777ED8A}"/>
    <cellStyle name="Normal 20 7" xfId="131" xr:uid="{78D5FC24-FA3A-4AF7-9458-3C00145D8536}"/>
    <cellStyle name="Normal 20 8" xfId="132" xr:uid="{0A6BE276-587F-443E-BC8E-C24053418313}"/>
    <cellStyle name="Normal 20 9" xfId="133" xr:uid="{3F6462AF-EA73-4961-984D-899702064F53}"/>
    <cellStyle name="Normal 21" xfId="134" xr:uid="{95996FB1-6601-426A-9B1B-CFB9520DDC3C}"/>
    <cellStyle name="Normal 21 10" xfId="135" xr:uid="{37FAAEBA-C209-449C-827A-8E829E07E3B6}"/>
    <cellStyle name="Normal 21 11" xfId="136" xr:uid="{C2A46D70-876D-43F1-B3AB-A21EFE7A50F0}"/>
    <cellStyle name="Normal 21 2" xfId="137" xr:uid="{D13BC257-E787-446F-9451-CFC8E3EB56CA}"/>
    <cellStyle name="Normal 21 3" xfId="138" xr:uid="{1B954162-5E0D-4B2D-B888-742511263E9F}"/>
    <cellStyle name="Normal 21 4" xfId="139" xr:uid="{01C6F28A-2058-4AC4-A0C0-090D606EABB8}"/>
    <cellStyle name="Normal 21 5" xfId="140" xr:uid="{4D59DE61-7C9A-430E-B6A6-0CD4006171DB}"/>
    <cellStyle name="Normal 21 6" xfId="141" xr:uid="{1755E3AF-F183-41A0-967A-22B1067DA762}"/>
    <cellStyle name="Normal 21 7" xfId="142" xr:uid="{1B76B85A-6F38-433C-AC5C-75BD42BC13A6}"/>
    <cellStyle name="Normal 21 8" xfId="143" xr:uid="{D2C96ADC-71FC-43CA-8CC9-D61EBD5B72CE}"/>
    <cellStyle name="Normal 21 9" xfId="144" xr:uid="{2CF059F1-3E03-486B-A119-3B9ED064E0E1}"/>
    <cellStyle name="Normal 22" xfId="145" xr:uid="{C65634F4-8F3A-4A72-8481-7A51B9904DEB}"/>
    <cellStyle name="Normal 22 10" xfId="146" xr:uid="{142974CF-D3C7-4902-A7BF-EA25F4926641}"/>
    <cellStyle name="Normal 22 11" xfId="147" xr:uid="{6E60E261-3ED9-4932-9C41-5E0AF8D7456B}"/>
    <cellStyle name="Normal 22 2" xfId="148" xr:uid="{45029200-E2A6-4874-ABE1-819D8616DE03}"/>
    <cellStyle name="Normal 22 3" xfId="149" xr:uid="{4EEDD381-4C12-4BF7-BDF9-249F8C8E9B35}"/>
    <cellStyle name="Normal 22 4" xfId="150" xr:uid="{8F53817F-0EA4-43F4-84D1-B15AAC839768}"/>
    <cellStyle name="Normal 22 5" xfId="151" xr:uid="{F97F4737-ACE4-483E-88B2-727C3621CC2A}"/>
    <cellStyle name="Normal 22 6" xfId="152" xr:uid="{0E208948-205A-4B8F-88DA-ED0C7D08E1DB}"/>
    <cellStyle name="Normal 22 7" xfId="153" xr:uid="{ED6B3379-46E4-4118-A212-A2010A88EF8B}"/>
    <cellStyle name="Normal 22 8" xfId="154" xr:uid="{B6F3ACE0-B3F7-433D-836F-4A01C477B29F}"/>
    <cellStyle name="Normal 22 9" xfId="155" xr:uid="{BBF9B006-67C4-48F5-8120-40394FE6A408}"/>
    <cellStyle name="Normal 23" xfId="156" xr:uid="{C0ADE984-0CE7-4EBF-84E1-708D3424E85D}"/>
    <cellStyle name="Normal 23 10" xfId="157" xr:uid="{EAA4A55A-5284-479B-B81E-72B4DB7EB4D2}"/>
    <cellStyle name="Normal 23 11" xfId="158" xr:uid="{369F721E-7659-4C41-A3F9-9DC02A16B027}"/>
    <cellStyle name="Normal 23 2" xfId="159" xr:uid="{C609A0A7-10C0-4F3E-9CDB-5B4283B6C499}"/>
    <cellStyle name="Normal 23 3" xfId="160" xr:uid="{2E6C6C42-B7A8-4F24-A051-9FC6BAB7E209}"/>
    <cellStyle name="Normal 23 4" xfId="161" xr:uid="{2D3A989C-6B6A-4EC3-A179-7FCD3678AC1C}"/>
    <cellStyle name="Normal 23 5" xfId="162" xr:uid="{23717722-6A59-479B-B12E-9FF2F856E0A9}"/>
    <cellStyle name="Normal 23 6" xfId="163" xr:uid="{863E5CEE-0B7B-42BF-A97A-C86AE44B60F6}"/>
    <cellStyle name="Normal 23 7" xfId="164" xr:uid="{7BCC0110-6F5D-41C7-BF98-18A36A9FE793}"/>
    <cellStyle name="Normal 23 8" xfId="165" xr:uid="{F569C22C-7EFB-462C-AD58-A987BCF9BDA9}"/>
    <cellStyle name="Normal 23 9" xfId="166" xr:uid="{6907EE79-E094-4484-BDB1-D5664309E097}"/>
    <cellStyle name="Normal 24" xfId="167" xr:uid="{2C86339F-0E3E-4A2B-8DB0-5B945E918508}"/>
    <cellStyle name="Normal 24 2" xfId="168" xr:uid="{E78E3B60-8E6E-4381-A30D-C946FEED7A09}"/>
    <cellStyle name="Normal 25" xfId="169" xr:uid="{DA7DC887-CCD0-4A90-BF15-678B4ECDFE7D}"/>
    <cellStyle name="Normal 25 2" xfId="170" xr:uid="{70001F9B-AB26-415F-B7D4-7158E439367A}"/>
    <cellStyle name="Normal 26" xfId="171" xr:uid="{BE3A6FDF-8C86-4C63-9A09-DAAD148604E5}"/>
    <cellStyle name="Normal 26 2" xfId="172" xr:uid="{6CEDF88B-644E-4314-B699-71EFDC82259B}"/>
    <cellStyle name="Normal 27" xfId="173" xr:uid="{0969A18F-CBB5-41E4-926D-B97B7AF4D330}"/>
    <cellStyle name="Normal 27 2" xfId="174" xr:uid="{FBBC0FAA-49F2-441A-A661-4A96C4AFA99E}"/>
    <cellStyle name="Normal 28" xfId="175" xr:uid="{CA096F07-5DDE-4777-818F-334CA18513DF}"/>
    <cellStyle name="Normal 28 2" xfId="176" xr:uid="{427EF2C6-303F-4087-8F43-EA9542C8128E}"/>
    <cellStyle name="Normal 29" xfId="177" xr:uid="{440C96AB-FA3A-4829-9428-4A595A778686}"/>
    <cellStyle name="Normal 29 2" xfId="178" xr:uid="{82023F72-697E-428F-9A8B-810AD6515CB6}"/>
    <cellStyle name="Normal 3" xfId="3" xr:uid="{714A2AC3-3FD4-406E-9CE0-501F87F1DFC5}"/>
    <cellStyle name="Normal 3 10" xfId="180" xr:uid="{F02ED4A2-233D-42F5-887F-33976089FFE1}"/>
    <cellStyle name="Normal 3 11" xfId="181" xr:uid="{F2D531C4-8EEF-4AB6-A9E3-44A5890A7CCD}"/>
    <cellStyle name="Normal 3 12" xfId="179" xr:uid="{AE657901-F5C4-4CAE-AC9E-C9D8A856182E}"/>
    <cellStyle name="Normal 3 2" xfId="14" xr:uid="{27E6F7D9-9A5C-4264-B2F9-AE4E985792F7}"/>
    <cellStyle name="Normal 3 2 2" xfId="182" xr:uid="{466FCA37-C12F-4434-90D6-A322FA7001D2}"/>
    <cellStyle name="Normal 3 3" xfId="183" xr:uid="{D4A7957C-8EB5-4FFE-8F17-4C5F8B708308}"/>
    <cellStyle name="Normal 3 4" xfId="184" xr:uid="{8A04C187-51ED-4BBE-BF9A-33EACB6F2D2D}"/>
    <cellStyle name="Normal 3 5" xfId="185" xr:uid="{BBAA87C6-87C9-4154-BFF8-416AF0D5D1DE}"/>
    <cellStyle name="Normal 3 6" xfId="186" xr:uid="{B9CDCA0E-E057-49F8-ACB4-B19CAAB9AE79}"/>
    <cellStyle name="Normal 3 7" xfId="187" xr:uid="{DDFEB17B-2CA1-45E8-A79D-1C6B3C1DC6F7}"/>
    <cellStyle name="Normal 3 8" xfId="188" xr:uid="{49D03F49-7914-406F-8365-693EE2A6CA95}"/>
    <cellStyle name="Normal 3 9" xfId="189" xr:uid="{6A2327A3-11D6-423A-B644-218A8B05B028}"/>
    <cellStyle name="Normal 30" xfId="190" xr:uid="{072A34A6-0A18-452A-8AEF-23A447ADF745}"/>
    <cellStyle name="Normal 30 2" xfId="191" xr:uid="{13676FD4-10FD-4DD6-9CD3-A32F83512851}"/>
    <cellStyle name="Normal 31" xfId="192" xr:uid="{93D6C1D2-3DEA-4E72-8B38-0900EDBF5DB0}"/>
    <cellStyle name="Normal 31 2" xfId="193" xr:uid="{1F0374E4-1224-4A35-818A-F53984C22A17}"/>
    <cellStyle name="Normal 4" xfId="4" xr:uid="{F77AB0FC-D16C-40DE-A06F-EC34C9277676}"/>
    <cellStyle name="Normal 4 10" xfId="195" xr:uid="{FE0D50D4-F62C-4C94-BAB9-11AF2303601F}"/>
    <cellStyle name="Normal 4 11" xfId="196" xr:uid="{33AC6654-900A-4B43-9C09-C2032A2F57F8}"/>
    <cellStyle name="Normal 4 12" xfId="194" xr:uid="{07BF19F9-C2B6-4B35-BC75-FE086B3EC712}"/>
    <cellStyle name="Normal 4 2" xfId="15" xr:uid="{BF573966-D268-49ED-AD25-9865B6CC13AC}"/>
    <cellStyle name="Normal 4 2 2" xfId="197" xr:uid="{13A12111-288A-452F-B363-41C4D61245FD}"/>
    <cellStyle name="Normal 4 3" xfId="198" xr:uid="{B193A58C-8103-4340-B73E-29054075702A}"/>
    <cellStyle name="Normal 4 4" xfId="199" xr:uid="{822CCC4A-40E9-4D4B-BE42-34B04CDB647F}"/>
    <cellStyle name="Normal 4 5" xfId="200" xr:uid="{FE0580B3-8EDE-45DC-A62B-BBBC0C31D788}"/>
    <cellStyle name="Normal 4 6" xfId="201" xr:uid="{D3ABC512-7CF1-498B-BE7F-607E70FFB754}"/>
    <cellStyle name="Normal 4 7" xfId="202" xr:uid="{1E114F9E-32AC-4459-B3AB-DAEA838EB967}"/>
    <cellStyle name="Normal 4 8" xfId="203" xr:uid="{4D536D3E-BCBA-4AAC-AED3-DCDFC344F570}"/>
    <cellStyle name="Normal 4 9" xfId="204" xr:uid="{512AFE96-B10B-4BC4-9EF5-ACBA6EF7D441}"/>
    <cellStyle name="Normal 5" xfId="5" xr:uid="{285DAA4A-6D02-4BEE-9D1B-DBB4CEDA6FC4}"/>
    <cellStyle name="Normal 5 10" xfId="206" xr:uid="{28F97C10-83DA-44DC-B54A-360AF00A1CA5}"/>
    <cellStyle name="Normal 5 11" xfId="207" xr:uid="{68BF9406-7228-4CA6-AF25-34E5B49913F8}"/>
    <cellStyle name="Normal 5 12" xfId="205" xr:uid="{74145865-7C38-4E2A-99E5-5652D34E1C8F}"/>
    <cellStyle name="Normal 5 2" xfId="16" xr:uid="{3822D620-A4B0-4AC1-BBF9-6DFCA26DE526}"/>
    <cellStyle name="Normal 5 2 2" xfId="208" xr:uid="{EC98586C-BB2D-4537-A19E-79031CF5FE7A}"/>
    <cellStyle name="Normal 5 3" xfId="209" xr:uid="{B2482385-9375-476B-BFF1-70C1109EA610}"/>
    <cellStyle name="Normal 5 4" xfId="210" xr:uid="{46723E29-E2E4-4A65-BFA5-7F0EECCC4CAB}"/>
    <cellStyle name="Normal 5 5" xfId="211" xr:uid="{1430FFB3-DB9F-4C71-90DB-0112CC35FAD1}"/>
    <cellStyle name="Normal 5 6" xfId="212" xr:uid="{BD32C71B-5049-4F06-A9C1-F46E363BA539}"/>
    <cellStyle name="Normal 5 7" xfId="213" xr:uid="{BDE8ECF6-4721-461E-A419-3745F1ADECBA}"/>
    <cellStyle name="Normal 5 8" xfId="214" xr:uid="{FC1FD91D-6874-43DA-9053-C9C14CB84E18}"/>
    <cellStyle name="Normal 5 9" xfId="215" xr:uid="{02D0320D-6A03-41A3-8CB3-94356C6AA373}"/>
    <cellStyle name="Normal 6" xfId="6" xr:uid="{4E74799D-416D-4E81-9B3C-452CC5EBE309}"/>
    <cellStyle name="Normal 6 10" xfId="217" xr:uid="{2CFDC7CA-D7FF-4685-B5B9-C21BCBCB6D34}"/>
    <cellStyle name="Normal 6 11" xfId="218" xr:uid="{B4080B5E-213F-4615-A185-D8E026D7F5A4}"/>
    <cellStyle name="Normal 6 12" xfId="216" xr:uid="{C2F33E40-452B-4167-98DE-F8E3B3DA1D25}"/>
    <cellStyle name="Normal 6 2" xfId="17" xr:uid="{F4DEF50C-67D1-4983-B43E-32790BB487B9}"/>
    <cellStyle name="Normal 6 2 2" xfId="219" xr:uid="{0D354981-08A5-4A26-B54A-94B00564DC32}"/>
    <cellStyle name="Normal 6 3" xfId="220" xr:uid="{E9C9F832-3A84-4E07-B708-4DB375E9B95A}"/>
    <cellStyle name="Normal 6 4" xfId="221" xr:uid="{272AEC32-EC88-49E1-B649-C7385270A00B}"/>
    <cellStyle name="Normal 6 5" xfId="222" xr:uid="{B958EA54-CDB1-4697-A59E-1A4A54BB02DA}"/>
    <cellStyle name="Normal 6 6" xfId="223" xr:uid="{B27B81E1-84A6-4F0A-B218-06616C2A85C4}"/>
    <cellStyle name="Normal 6 7" xfId="224" xr:uid="{A604BB53-8117-4301-8912-F69FDF466779}"/>
    <cellStyle name="Normal 6 8" xfId="225" xr:uid="{D229AD2D-2728-4456-885F-A403420B23AA}"/>
    <cellStyle name="Normal 6 9" xfId="226" xr:uid="{6E992829-B743-4BAC-B434-48595AEA047D}"/>
    <cellStyle name="Normal 7" xfId="7" xr:uid="{DB998010-0A9C-4D05-84C6-5618132E8645}"/>
    <cellStyle name="Normal 7 10" xfId="228" xr:uid="{48580E8D-88BA-4391-9240-06A88EE92AE7}"/>
    <cellStyle name="Normal 7 11" xfId="229" xr:uid="{F730B19D-13BC-40B3-9BA6-D1218BF960A3}"/>
    <cellStyle name="Normal 7 12" xfId="227" xr:uid="{564C1764-9037-4B61-B0D7-29D5DCE69DAE}"/>
    <cellStyle name="Normal 7 2" xfId="18" xr:uid="{D823BB83-8140-4AEE-8ABF-CC246CD2CB82}"/>
    <cellStyle name="Normal 7 2 2" xfId="230" xr:uid="{84B9B5F9-DFBF-419F-8DAC-2312362C778A}"/>
    <cellStyle name="Normal 7 3" xfId="231" xr:uid="{564F3498-BFE4-463C-8D88-CDCCC9AC386B}"/>
    <cellStyle name="Normal 7 4" xfId="232" xr:uid="{13C13FBB-0FA3-4A3E-A739-D6351CFA641A}"/>
    <cellStyle name="Normal 7 5" xfId="233" xr:uid="{5F6BA50D-C458-43F1-BDE1-FD8A20229E65}"/>
    <cellStyle name="Normal 7 6" xfId="234" xr:uid="{66931F56-2B4C-480A-8ED8-DC12F7785205}"/>
    <cellStyle name="Normal 7 7" xfId="235" xr:uid="{2CC5E069-6C11-47A5-B5BA-A7B3009C3BF0}"/>
    <cellStyle name="Normal 7 8" xfId="236" xr:uid="{8507DD4C-8091-41FC-83E6-B2DC39F63C8D}"/>
    <cellStyle name="Normal 7 9" xfId="237" xr:uid="{B4CF7588-7B55-4ECB-8566-058DD909C2E5}"/>
    <cellStyle name="Normal 8" xfId="8" xr:uid="{2916F71F-5151-49B0-9E81-CB0CD0040004}"/>
    <cellStyle name="Normal 8 10" xfId="239" xr:uid="{83EA5A6C-275C-4743-AD5B-C2964DB403B8}"/>
    <cellStyle name="Normal 8 11" xfId="240" xr:uid="{1C01FC07-96E2-488A-86B5-5EC6BE52559E}"/>
    <cellStyle name="Normal 8 12" xfId="238" xr:uid="{B2E8246A-F9A6-4DE6-A44F-546DD1F8795C}"/>
    <cellStyle name="Normal 8 2" xfId="19" xr:uid="{B0404610-DCA0-433E-BEF9-0169C0454904}"/>
    <cellStyle name="Normal 8 2 2" xfId="241" xr:uid="{5E21538B-A1D6-4529-BBAA-E6A6D3D1205F}"/>
    <cellStyle name="Normal 8 3" xfId="242" xr:uid="{567C8555-6E3A-49DD-A5CA-645FDFADF7AB}"/>
    <cellStyle name="Normal 8 4" xfId="243" xr:uid="{0B5DEBB0-684A-4F65-8DC6-C2A2B8F43F22}"/>
    <cellStyle name="Normal 8 5" xfId="244" xr:uid="{7C4CE504-76C8-44F3-AC05-AE0F015E0B61}"/>
    <cellStyle name="Normal 8 6" xfId="245" xr:uid="{52263360-0037-4612-834D-DB4FC0454EF8}"/>
    <cellStyle name="Normal 8 7" xfId="246" xr:uid="{423164AE-FDE6-430E-9B33-46B410E9030B}"/>
    <cellStyle name="Normal 8 8" xfId="247" xr:uid="{4E9FC65C-C0A8-4C0B-A7ED-0672CE44440C}"/>
    <cellStyle name="Normal 8 9" xfId="248" xr:uid="{96759D83-4A21-4D47-BF06-F55744F7BDA3}"/>
    <cellStyle name="Normal 9" xfId="9" xr:uid="{557DCBB9-FBBF-4313-ACB8-FD9B1DE906F4}"/>
    <cellStyle name="Normal 9 10" xfId="250" xr:uid="{9D1625C4-9E38-40D2-B880-D89BCEFBAFCC}"/>
    <cellStyle name="Normal 9 11" xfId="251" xr:uid="{7C808E89-B6C3-43EE-A720-1C691AAA9AF2}"/>
    <cellStyle name="Normal 9 12" xfId="249" xr:uid="{EF450194-FA50-442A-AA31-11B9564D29B9}"/>
    <cellStyle name="Normal 9 2" xfId="20" xr:uid="{DF38A367-44CF-4E73-9898-E735BFC3AD52}"/>
    <cellStyle name="Normal 9 2 2" xfId="252" xr:uid="{B71B1E69-FA12-4601-8BF6-FE7E13EA544E}"/>
    <cellStyle name="Normal 9 3" xfId="253" xr:uid="{23505E47-4426-4C45-B3F0-9613427A2CDD}"/>
    <cellStyle name="Normal 9 4" xfId="254" xr:uid="{A0FF0A6B-043B-4882-9406-1BCCCBF8CB56}"/>
    <cellStyle name="Normal 9 5" xfId="255" xr:uid="{CB170F25-2E84-4E2F-A4D1-192B043C5055}"/>
    <cellStyle name="Normal 9 6" xfId="256" xr:uid="{8EB6BA46-1980-43E5-BFFC-5613DFB0F8C3}"/>
    <cellStyle name="Normal 9 7" xfId="257" xr:uid="{B017E7A9-061E-47BA-8B5C-5DD6EB74EE63}"/>
    <cellStyle name="Normal 9 8" xfId="258" xr:uid="{206B1FF4-0677-4E1F-BB48-CB6E0A31509E}"/>
    <cellStyle name="Normal 9 9" xfId="259" xr:uid="{6CC82378-6067-4A55-AC56-7EC05B728F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23F8-7D95-4BE7-9BB6-4D2B33419B5C}">
  <dimension ref="A1:AS16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2.75" x14ac:dyDescent="0.2"/>
  <cols>
    <col min="1" max="1" width="57.5703125" style="4" bestFit="1" customWidth="1"/>
    <col min="2" max="2" width="8.42578125" style="4" customWidth="1"/>
    <col min="3" max="16384" width="9.140625" style="4"/>
  </cols>
  <sheetData>
    <row r="1" spans="1:45" x14ac:dyDescent="0.2">
      <c r="C1" s="16" t="s">
        <v>48</v>
      </c>
      <c r="D1" s="16"/>
      <c r="E1" s="16"/>
      <c r="F1" s="16"/>
      <c r="G1" s="16"/>
    </row>
    <row r="2" spans="1:45" x14ac:dyDescent="0.2">
      <c r="C2" s="16"/>
      <c r="D2" s="16"/>
      <c r="E2" s="16"/>
      <c r="F2" s="16"/>
      <c r="G2" s="16"/>
    </row>
    <row r="3" spans="1:45" x14ac:dyDescent="0.2">
      <c r="F3" s="6"/>
      <c r="G3" s="6"/>
      <c r="H3" s="6"/>
      <c r="I3" s="6"/>
      <c r="J3" s="6"/>
      <c r="K3" s="6"/>
      <c r="L3" s="6"/>
      <c r="AJ3" s="6"/>
      <c r="AK3" s="6"/>
      <c r="AL3" s="6"/>
      <c r="AM3" s="6"/>
      <c r="AN3" s="6"/>
      <c r="AO3" s="6"/>
      <c r="AP3" s="6"/>
      <c r="AQ3" s="6"/>
      <c r="AR3" s="6"/>
    </row>
    <row r="4" spans="1:45" s="15" customFormat="1" x14ac:dyDescent="0.2">
      <c r="A4" s="4"/>
      <c r="B4" s="4"/>
      <c r="C4" s="4"/>
      <c r="D4" s="4" t="s">
        <v>47</v>
      </c>
      <c r="E4" s="13" t="s">
        <v>46</v>
      </c>
      <c r="F4" s="13" t="s">
        <v>45</v>
      </c>
      <c r="G4" s="13" t="s">
        <v>42</v>
      </c>
      <c r="H4" s="13" t="s">
        <v>39</v>
      </c>
      <c r="I4" s="13" t="s">
        <v>40</v>
      </c>
      <c r="J4" s="13" t="s">
        <v>40</v>
      </c>
      <c r="K4" s="13" t="s">
        <v>43</v>
      </c>
      <c r="L4" s="13" t="s">
        <v>45</v>
      </c>
      <c r="M4" s="13" t="s">
        <v>39</v>
      </c>
      <c r="N4" s="13" t="s">
        <v>43</v>
      </c>
      <c r="O4" s="13" t="s">
        <v>41</v>
      </c>
      <c r="P4" s="13" t="s">
        <v>44</v>
      </c>
      <c r="Q4" s="13" t="s">
        <v>42</v>
      </c>
      <c r="R4" s="13" t="s">
        <v>44</v>
      </c>
      <c r="S4" s="13" t="s">
        <v>46</v>
      </c>
      <c r="T4" s="13" t="s">
        <v>41</v>
      </c>
      <c r="U4" s="13" t="s">
        <v>46</v>
      </c>
      <c r="V4" s="13" t="s">
        <v>42</v>
      </c>
      <c r="W4" s="13" t="s">
        <v>40</v>
      </c>
      <c r="X4" s="13" t="s">
        <v>45</v>
      </c>
      <c r="Y4" s="13" t="s">
        <v>46</v>
      </c>
      <c r="Z4" s="13" t="s">
        <v>45</v>
      </c>
      <c r="AA4" s="13" t="s">
        <v>44</v>
      </c>
      <c r="AB4" s="13" t="s">
        <v>43</v>
      </c>
      <c r="AC4" s="13" t="s">
        <v>44</v>
      </c>
      <c r="AD4" s="13" t="s">
        <v>43</v>
      </c>
      <c r="AE4" s="13" t="s">
        <v>39</v>
      </c>
      <c r="AF4" s="13" t="s">
        <v>41</v>
      </c>
      <c r="AG4" s="13" t="s">
        <v>42</v>
      </c>
      <c r="AH4" s="13" t="s">
        <v>41</v>
      </c>
      <c r="AI4" s="13" t="s">
        <v>40</v>
      </c>
      <c r="AJ4" s="13" t="s">
        <v>39</v>
      </c>
      <c r="AK4" s="13" t="s">
        <v>38</v>
      </c>
      <c r="AL4" s="13" t="s">
        <v>36</v>
      </c>
      <c r="AM4" s="13" t="s">
        <v>37</v>
      </c>
      <c r="AN4" s="13" t="s">
        <v>35</v>
      </c>
      <c r="AO4" s="13" t="s">
        <v>35</v>
      </c>
      <c r="AP4" s="13" t="s">
        <v>36</v>
      </c>
      <c r="AQ4" s="13" t="s">
        <v>36</v>
      </c>
      <c r="AR4" s="13" t="s">
        <v>35</v>
      </c>
      <c r="AS4" s="13"/>
    </row>
    <row r="5" spans="1:45" x14ac:dyDescent="0.2">
      <c r="D5" s="12" t="s">
        <v>34</v>
      </c>
      <c r="E5" s="14">
        <v>48</v>
      </c>
      <c r="F5" s="14">
        <v>47</v>
      </c>
      <c r="G5" s="14">
        <v>46</v>
      </c>
      <c r="H5" s="14">
        <v>45</v>
      </c>
      <c r="I5" s="14">
        <v>44</v>
      </c>
      <c r="J5" s="14">
        <v>43</v>
      </c>
      <c r="K5" s="14">
        <v>42</v>
      </c>
      <c r="L5" s="14">
        <v>41</v>
      </c>
      <c r="M5" s="14">
        <v>38</v>
      </c>
      <c r="N5" s="14">
        <v>37</v>
      </c>
      <c r="O5" s="14">
        <v>36</v>
      </c>
      <c r="P5" s="14">
        <v>35</v>
      </c>
      <c r="Q5" s="14">
        <v>34</v>
      </c>
      <c r="R5" s="14">
        <v>33</v>
      </c>
      <c r="S5" s="14">
        <v>32</v>
      </c>
      <c r="T5" s="14">
        <v>31</v>
      </c>
      <c r="U5" s="14">
        <v>11</v>
      </c>
      <c r="V5" s="14">
        <v>12</v>
      </c>
      <c r="W5" s="14">
        <v>13</v>
      </c>
      <c r="X5" s="14">
        <v>14</v>
      </c>
      <c r="Y5" s="14">
        <v>15</v>
      </c>
      <c r="Z5" s="14">
        <v>16</v>
      </c>
      <c r="AA5" s="14">
        <v>17</v>
      </c>
      <c r="AB5" s="14">
        <v>18</v>
      </c>
      <c r="AC5" s="14">
        <v>21</v>
      </c>
      <c r="AD5" s="14">
        <v>22</v>
      </c>
      <c r="AE5" s="14">
        <v>23</v>
      </c>
      <c r="AF5" s="14">
        <v>24</v>
      </c>
      <c r="AG5" s="14">
        <v>25</v>
      </c>
      <c r="AH5" s="14">
        <v>26</v>
      </c>
      <c r="AI5" s="14">
        <v>27</v>
      </c>
      <c r="AJ5" s="14">
        <v>28</v>
      </c>
      <c r="AK5" s="14">
        <v>1</v>
      </c>
      <c r="AL5" s="14">
        <v>2</v>
      </c>
      <c r="AM5" s="14">
        <v>3</v>
      </c>
      <c r="AN5" s="14">
        <v>4</v>
      </c>
      <c r="AO5" s="14">
        <v>5</v>
      </c>
      <c r="AP5" s="14">
        <v>6</v>
      </c>
      <c r="AQ5" s="14">
        <v>7</v>
      </c>
      <c r="AR5" s="14">
        <v>8</v>
      </c>
      <c r="AS5" s="13"/>
    </row>
    <row r="6" spans="1:45" x14ac:dyDescent="0.2">
      <c r="C6" s="12" t="s">
        <v>1</v>
      </c>
      <c r="D6" s="1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x14ac:dyDescent="0.2">
      <c r="A7" s="4" t="s">
        <v>33</v>
      </c>
      <c r="B7" s="9">
        <v>39204</v>
      </c>
      <c r="C7" s="7">
        <v>122</v>
      </c>
      <c r="E7" s="4">
        <v>95</v>
      </c>
      <c r="F7" s="8">
        <v>93</v>
      </c>
      <c r="G7" s="8">
        <v>102</v>
      </c>
      <c r="H7" s="8">
        <v>91</v>
      </c>
      <c r="I7" s="8"/>
      <c r="J7" s="8"/>
      <c r="K7" s="8"/>
      <c r="L7" s="8"/>
      <c r="M7" s="8">
        <v>98</v>
      </c>
      <c r="N7" s="8">
        <v>107</v>
      </c>
      <c r="O7" s="8">
        <v>90</v>
      </c>
      <c r="P7" s="8">
        <v>76</v>
      </c>
      <c r="Q7" s="8"/>
      <c r="R7" s="8"/>
      <c r="S7" s="8"/>
      <c r="T7" s="8"/>
      <c r="U7" s="8"/>
      <c r="V7" s="8"/>
      <c r="W7" s="8"/>
      <c r="X7" s="8"/>
      <c r="Y7" s="8">
        <v>83</v>
      </c>
      <c r="Z7" s="8">
        <v>98</v>
      </c>
      <c r="AA7" s="8">
        <v>98</v>
      </c>
      <c r="AB7" s="8">
        <v>97</v>
      </c>
      <c r="AC7" s="8"/>
      <c r="AD7" s="8"/>
      <c r="AE7" s="8"/>
      <c r="AF7" s="8"/>
      <c r="AG7" s="8">
        <v>79</v>
      </c>
      <c r="AH7" s="8">
        <v>90</v>
      </c>
      <c r="AI7" s="8">
        <v>99</v>
      </c>
      <c r="AJ7" s="8">
        <v>94</v>
      </c>
      <c r="AK7" s="8"/>
      <c r="AL7" s="8"/>
      <c r="AM7" s="8"/>
      <c r="AN7" s="8"/>
      <c r="AO7" s="8"/>
      <c r="AP7" s="8"/>
      <c r="AQ7" s="8"/>
      <c r="AR7" s="8"/>
      <c r="AS7" s="8"/>
    </row>
    <row r="8" spans="1:45" x14ac:dyDescent="0.2">
      <c r="A8" s="4" t="s">
        <v>32</v>
      </c>
      <c r="B8" s="9">
        <v>39205</v>
      </c>
      <c r="C8" s="7">
        <v>123</v>
      </c>
      <c r="E8" s="8">
        <v>34</v>
      </c>
      <c r="F8" s="8">
        <v>41</v>
      </c>
      <c r="G8" s="8">
        <v>48</v>
      </c>
      <c r="H8" s="8">
        <v>64</v>
      </c>
      <c r="I8" s="8">
        <v>150</v>
      </c>
      <c r="J8" s="8">
        <v>153</v>
      </c>
      <c r="K8" s="8">
        <v>145</v>
      </c>
      <c r="L8" s="8">
        <v>136</v>
      </c>
      <c r="M8" s="8">
        <v>48</v>
      </c>
      <c r="N8" s="8">
        <v>43</v>
      </c>
      <c r="O8" s="8">
        <v>62</v>
      </c>
      <c r="P8" s="8">
        <v>59</v>
      </c>
      <c r="Q8" s="8">
        <v>153</v>
      </c>
      <c r="R8" s="8">
        <v>148</v>
      </c>
      <c r="S8" s="8">
        <v>147</v>
      </c>
      <c r="T8" s="8">
        <v>128</v>
      </c>
      <c r="U8" s="8">
        <v>112</v>
      </c>
      <c r="V8" s="8">
        <v>135</v>
      </c>
      <c r="W8" s="8">
        <v>135</v>
      </c>
      <c r="X8" s="8">
        <v>140</v>
      </c>
      <c r="Y8" s="8">
        <v>48</v>
      </c>
      <c r="Z8" s="8">
        <v>50</v>
      </c>
      <c r="AA8" s="8">
        <v>47</v>
      </c>
      <c r="AB8" s="8">
        <v>53</v>
      </c>
      <c r="AC8" s="8">
        <v>116</v>
      </c>
      <c r="AD8" s="8">
        <v>136</v>
      </c>
      <c r="AE8" s="8">
        <v>141</v>
      </c>
      <c r="AF8" s="8">
        <v>135</v>
      </c>
      <c r="AG8" s="8">
        <v>45</v>
      </c>
      <c r="AH8" s="8">
        <v>50</v>
      </c>
      <c r="AI8" s="8">
        <v>45</v>
      </c>
      <c r="AJ8" s="8">
        <v>47</v>
      </c>
      <c r="AK8" s="8"/>
      <c r="AL8" s="8">
        <v>152</v>
      </c>
      <c r="AM8" s="8"/>
      <c r="AN8" s="8">
        <v>152</v>
      </c>
      <c r="AO8" s="8">
        <v>152</v>
      </c>
      <c r="AP8" s="8">
        <v>159</v>
      </c>
      <c r="AQ8" s="8">
        <v>147</v>
      </c>
      <c r="AR8" s="8">
        <v>143</v>
      </c>
      <c r="AS8" s="8"/>
    </row>
    <row r="9" spans="1:45" x14ac:dyDescent="0.2">
      <c r="A9" s="4" t="s">
        <v>31</v>
      </c>
      <c r="B9" s="9">
        <v>39206</v>
      </c>
      <c r="C9" s="7">
        <v>124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x14ac:dyDescent="0.2">
      <c r="A10" s="4" t="s">
        <v>30</v>
      </c>
      <c r="B10" s="9">
        <v>39209</v>
      </c>
      <c r="C10" s="7">
        <v>127</v>
      </c>
      <c r="E10" s="8">
        <v>45</v>
      </c>
      <c r="F10" s="8">
        <v>45</v>
      </c>
      <c r="G10" s="8">
        <v>55</v>
      </c>
      <c r="H10" s="8">
        <v>57</v>
      </c>
      <c r="I10" s="8">
        <v>55</v>
      </c>
      <c r="J10" s="8">
        <v>53</v>
      </c>
      <c r="K10" s="8">
        <v>55</v>
      </c>
      <c r="L10" s="8">
        <v>59</v>
      </c>
      <c r="M10" s="8">
        <v>55</v>
      </c>
      <c r="N10" s="8">
        <v>55</v>
      </c>
      <c r="O10" s="8">
        <v>50</v>
      </c>
      <c r="P10" s="8">
        <v>48</v>
      </c>
      <c r="Q10" s="8">
        <v>52</v>
      </c>
      <c r="R10" s="8">
        <v>57</v>
      </c>
      <c r="S10" s="8">
        <v>55</v>
      </c>
      <c r="T10" s="8">
        <v>55</v>
      </c>
      <c r="U10" s="8">
        <v>48</v>
      </c>
      <c r="V10" s="8">
        <v>48</v>
      </c>
      <c r="W10" s="8">
        <v>50</v>
      </c>
      <c r="X10" s="8">
        <v>50</v>
      </c>
      <c r="Y10" s="8">
        <v>45</v>
      </c>
      <c r="Z10" s="8">
        <v>48</v>
      </c>
      <c r="AA10" s="8">
        <v>48</v>
      </c>
      <c r="AB10" s="8">
        <v>55</v>
      </c>
      <c r="AC10" s="8">
        <v>55</v>
      </c>
      <c r="AD10" s="8">
        <v>48</v>
      </c>
      <c r="AE10" s="8">
        <v>48</v>
      </c>
      <c r="AF10" s="8">
        <v>52</v>
      </c>
      <c r="AG10" s="8">
        <v>43</v>
      </c>
      <c r="AH10" s="8">
        <v>50</v>
      </c>
      <c r="AI10" s="8">
        <v>57</v>
      </c>
      <c r="AJ10" s="8">
        <v>52</v>
      </c>
      <c r="AK10" s="8"/>
      <c r="AL10" s="8">
        <v>52</v>
      </c>
      <c r="AM10" s="8"/>
      <c r="AN10" s="8">
        <v>55</v>
      </c>
      <c r="AO10" s="8">
        <v>50</v>
      </c>
      <c r="AP10" s="8">
        <v>50</v>
      </c>
      <c r="AQ10" s="8">
        <v>48</v>
      </c>
      <c r="AR10" s="8">
        <v>47</v>
      </c>
      <c r="AS10" s="8"/>
    </row>
    <row r="11" spans="1:45" x14ac:dyDescent="0.2">
      <c r="A11" s="4" t="s">
        <v>30</v>
      </c>
      <c r="B11" s="9">
        <v>39212</v>
      </c>
      <c r="C11" s="7">
        <v>130</v>
      </c>
      <c r="E11" s="8">
        <v>45</v>
      </c>
      <c r="F11" s="8">
        <v>48</v>
      </c>
      <c r="G11" s="8">
        <v>50</v>
      </c>
      <c r="H11" s="8">
        <v>52</v>
      </c>
      <c r="I11" s="8">
        <v>55</v>
      </c>
      <c r="J11" s="8">
        <v>53</v>
      </c>
      <c r="K11" s="8">
        <v>55</v>
      </c>
      <c r="L11" s="8">
        <v>53</v>
      </c>
      <c r="M11" s="8">
        <v>40</v>
      </c>
      <c r="N11" s="8">
        <v>52</v>
      </c>
      <c r="O11" s="8">
        <v>50</v>
      </c>
      <c r="P11" s="8">
        <v>48</v>
      </c>
      <c r="Q11" s="8">
        <v>57</v>
      </c>
      <c r="R11" s="8">
        <v>55</v>
      </c>
      <c r="S11" s="8">
        <v>55</v>
      </c>
      <c r="T11" s="8">
        <v>52</v>
      </c>
      <c r="U11" s="8">
        <v>40</v>
      </c>
      <c r="V11" s="8">
        <v>47</v>
      </c>
      <c r="W11" s="8">
        <v>47</v>
      </c>
      <c r="X11" s="8">
        <v>43</v>
      </c>
      <c r="Y11" s="8">
        <v>45</v>
      </c>
      <c r="Z11" s="8">
        <v>45</v>
      </c>
      <c r="AA11" s="8">
        <v>52</v>
      </c>
      <c r="AB11" s="8">
        <v>43</v>
      </c>
      <c r="AC11" s="8">
        <v>43</v>
      </c>
      <c r="AD11" s="8">
        <v>41</v>
      </c>
      <c r="AE11" s="8">
        <v>41</v>
      </c>
      <c r="AF11" s="8">
        <v>45</v>
      </c>
      <c r="AG11" s="8">
        <v>38</v>
      </c>
      <c r="AH11" s="8">
        <v>43</v>
      </c>
      <c r="AI11" s="8">
        <v>45</v>
      </c>
      <c r="AJ11" s="8">
        <v>45</v>
      </c>
      <c r="AK11" s="8"/>
      <c r="AL11" s="8">
        <v>50</v>
      </c>
      <c r="AM11" s="8"/>
      <c r="AN11" s="8">
        <v>47</v>
      </c>
      <c r="AO11" s="8">
        <v>50</v>
      </c>
      <c r="AP11" s="8">
        <v>52</v>
      </c>
      <c r="AQ11" s="8">
        <v>45</v>
      </c>
      <c r="AR11" s="8">
        <v>50</v>
      </c>
      <c r="AS11" s="8"/>
    </row>
    <row r="12" spans="1:45" x14ac:dyDescent="0.2">
      <c r="A12" s="4" t="s">
        <v>29</v>
      </c>
      <c r="B12" s="9">
        <v>39237</v>
      </c>
      <c r="C12" s="7">
        <v>155</v>
      </c>
      <c r="E12" s="8">
        <v>52</v>
      </c>
      <c r="F12" s="8">
        <v>52</v>
      </c>
      <c r="G12" s="8">
        <v>52</v>
      </c>
      <c r="H12" s="8">
        <v>52</v>
      </c>
      <c r="I12" s="8">
        <v>52</v>
      </c>
      <c r="J12" s="8">
        <v>52</v>
      </c>
      <c r="K12" s="8">
        <v>52</v>
      </c>
      <c r="L12" s="8">
        <v>52</v>
      </c>
      <c r="M12" s="8">
        <v>52</v>
      </c>
      <c r="N12" s="8">
        <v>52</v>
      </c>
      <c r="O12" s="8">
        <v>52</v>
      </c>
      <c r="P12" s="8">
        <v>52</v>
      </c>
      <c r="Q12" s="8">
        <v>52</v>
      </c>
      <c r="R12" s="8">
        <v>52</v>
      </c>
      <c r="S12" s="8">
        <v>52</v>
      </c>
      <c r="T12" s="8">
        <v>52</v>
      </c>
      <c r="U12" s="8">
        <v>52</v>
      </c>
      <c r="V12" s="8">
        <v>52</v>
      </c>
      <c r="W12" s="8">
        <v>52</v>
      </c>
      <c r="X12" s="8">
        <v>52</v>
      </c>
      <c r="Y12" s="8">
        <v>52</v>
      </c>
      <c r="Z12" s="8">
        <v>52</v>
      </c>
      <c r="AA12" s="8">
        <v>52</v>
      </c>
      <c r="AB12" s="8">
        <v>52</v>
      </c>
      <c r="AC12" s="8">
        <v>52</v>
      </c>
      <c r="AD12" s="8">
        <v>52</v>
      </c>
      <c r="AE12" s="8">
        <v>52</v>
      </c>
      <c r="AF12" s="8">
        <v>52</v>
      </c>
      <c r="AG12" s="8">
        <v>52</v>
      </c>
      <c r="AH12" s="8">
        <v>52</v>
      </c>
      <c r="AI12" s="8">
        <v>52</v>
      </c>
      <c r="AJ12" s="8">
        <v>52</v>
      </c>
      <c r="AK12" s="8"/>
      <c r="AL12" s="8">
        <v>52</v>
      </c>
      <c r="AM12" s="8"/>
      <c r="AN12" s="8">
        <v>52</v>
      </c>
      <c r="AO12" s="8">
        <v>52</v>
      </c>
      <c r="AP12" s="8">
        <v>52</v>
      </c>
      <c r="AQ12" s="8">
        <v>52</v>
      </c>
      <c r="AR12" s="8">
        <v>52</v>
      </c>
      <c r="AS12" s="8"/>
    </row>
    <row r="13" spans="1:45" x14ac:dyDescent="0.2">
      <c r="A13" s="4" t="s">
        <v>16</v>
      </c>
      <c r="B13" s="9">
        <v>39251</v>
      </c>
      <c r="C13" s="7">
        <v>169</v>
      </c>
      <c r="E13" s="8">
        <v>64</v>
      </c>
      <c r="F13" s="8"/>
      <c r="G13" s="8">
        <v>64</v>
      </c>
      <c r="H13" s="8"/>
      <c r="I13" s="8"/>
      <c r="J13" s="8"/>
      <c r="K13" s="8"/>
      <c r="L13" s="8"/>
      <c r="M13" s="8"/>
      <c r="N13" s="8"/>
      <c r="O13" s="8">
        <v>64</v>
      </c>
      <c r="P13" s="8"/>
      <c r="Q13" s="8">
        <v>64</v>
      </c>
      <c r="R13" s="8"/>
      <c r="S13" s="8">
        <v>64</v>
      </c>
      <c r="T13" s="8">
        <v>71</v>
      </c>
      <c r="U13" s="8">
        <v>64</v>
      </c>
      <c r="V13" s="8">
        <v>64</v>
      </c>
      <c r="W13" s="8"/>
      <c r="X13" s="8"/>
      <c r="Y13" s="8">
        <v>64</v>
      </c>
      <c r="Z13" s="8"/>
      <c r="AA13" s="8"/>
      <c r="AB13" s="8"/>
      <c r="AC13" s="8"/>
      <c r="AD13" s="8"/>
      <c r="AE13" s="8"/>
      <c r="AF13" s="8">
        <v>69</v>
      </c>
      <c r="AG13" s="8">
        <v>64</v>
      </c>
      <c r="AH13" s="8">
        <v>66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</row>
    <row r="14" spans="1:45" x14ac:dyDescent="0.2">
      <c r="A14" s="4" t="s">
        <v>28</v>
      </c>
      <c r="B14" s="9">
        <v>39252</v>
      </c>
      <c r="C14" s="7">
        <v>170</v>
      </c>
      <c r="E14" s="8"/>
      <c r="F14" s="8"/>
      <c r="G14" s="8"/>
      <c r="H14" s="8"/>
      <c r="I14" s="8">
        <v>69</v>
      </c>
      <c r="J14" s="8">
        <v>69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>
        <v>67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>
        <v>71</v>
      </c>
      <c r="AM14" s="8"/>
      <c r="AN14" s="8"/>
      <c r="AO14" s="8"/>
      <c r="AP14" s="8">
        <v>69</v>
      </c>
      <c r="AQ14" s="8">
        <v>69</v>
      </c>
      <c r="AR14" s="8"/>
      <c r="AS14" s="8"/>
    </row>
    <row r="15" spans="1:45" x14ac:dyDescent="0.2">
      <c r="A15" s="4" t="s">
        <v>27</v>
      </c>
      <c r="B15" s="9">
        <v>39255</v>
      </c>
      <c r="C15" s="7">
        <v>173</v>
      </c>
      <c r="E15" s="8"/>
      <c r="F15" s="8">
        <v>57</v>
      </c>
      <c r="G15" s="8"/>
      <c r="H15" s="8">
        <v>72</v>
      </c>
      <c r="I15" s="8"/>
      <c r="J15" s="8"/>
      <c r="K15" s="8">
        <v>57</v>
      </c>
      <c r="L15" s="8">
        <v>57</v>
      </c>
      <c r="M15" s="8">
        <v>72</v>
      </c>
      <c r="N15" s="8">
        <v>57</v>
      </c>
      <c r="O15" s="8"/>
      <c r="P15" s="8"/>
      <c r="Q15" s="8"/>
      <c r="R15" s="8"/>
      <c r="S15" s="8"/>
      <c r="T15" s="8"/>
      <c r="U15" s="8"/>
      <c r="V15" s="8"/>
      <c r="W15" s="8"/>
      <c r="X15" s="8">
        <v>57</v>
      </c>
      <c r="Y15" s="8"/>
      <c r="Z15" s="8">
        <v>57</v>
      </c>
      <c r="AA15" s="8"/>
      <c r="AB15" s="8">
        <v>57</v>
      </c>
      <c r="AC15" s="8"/>
      <c r="AD15" s="8">
        <v>57</v>
      </c>
      <c r="AE15" s="8">
        <v>72</v>
      </c>
      <c r="AF15" s="8"/>
      <c r="AG15" s="8"/>
      <c r="AH15" s="8"/>
      <c r="AI15" s="8">
        <v>71</v>
      </c>
      <c r="AJ15" s="8">
        <v>72</v>
      </c>
      <c r="AK15" s="8"/>
      <c r="AL15" s="8"/>
      <c r="AM15" s="8"/>
      <c r="AN15" s="8"/>
      <c r="AO15" s="8"/>
      <c r="AP15" s="8"/>
      <c r="AQ15" s="8"/>
      <c r="AR15" s="8"/>
      <c r="AS15" s="8"/>
    </row>
    <row r="16" spans="1:45" x14ac:dyDescent="0.2">
      <c r="A16" s="4" t="s">
        <v>26</v>
      </c>
      <c r="B16" s="9">
        <v>39258</v>
      </c>
      <c r="C16" s="7">
        <v>176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>
        <v>66</v>
      </c>
      <c r="Q16" s="8"/>
      <c r="R16" s="8">
        <v>66</v>
      </c>
      <c r="S16" s="8"/>
      <c r="T16" s="8"/>
      <c r="U16" s="8"/>
      <c r="V16" s="8"/>
      <c r="W16" s="8"/>
      <c r="X16" s="8"/>
      <c r="Y16" s="8"/>
      <c r="Z16" s="8"/>
      <c r="AA16" s="8">
        <v>66</v>
      </c>
      <c r="AB16" s="8"/>
      <c r="AC16" s="8">
        <v>66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</row>
    <row r="17" spans="1:45" x14ac:dyDescent="0.2">
      <c r="A17" s="4" t="s">
        <v>25</v>
      </c>
      <c r="B17" s="9">
        <v>39261</v>
      </c>
      <c r="C17" s="7">
        <v>179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>
        <v>64</v>
      </c>
      <c r="AM17" s="8"/>
      <c r="AN17" s="8">
        <v>102</v>
      </c>
      <c r="AO17" s="8">
        <v>102</v>
      </c>
      <c r="AP17" s="8">
        <v>64</v>
      </c>
      <c r="AQ17" s="8">
        <v>64</v>
      </c>
      <c r="AR17" s="8">
        <v>102</v>
      </c>
      <c r="AS17" s="8"/>
    </row>
    <row r="18" spans="1:45" x14ac:dyDescent="0.2">
      <c r="A18" s="4" t="s">
        <v>24</v>
      </c>
      <c r="B18" s="9">
        <v>39262</v>
      </c>
      <c r="C18" s="7">
        <v>180</v>
      </c>
      <c r="E18" s="8">
        <v>64</v>
      </c>
      <c r="F18" s="8"/>
      <c r="G18" s="8">
        <v>64</v>
      </c>
      <c r="H18" s="8"/>
      <c r="I18" s="8"/>
      <c r="J18" s="8"/>
      <c r="K18" s="8"/>
      <c r="L18" s="8"/>
      <c r="M18" s="8"/>
      <c r="N18" s="8"/>
      <c r="O18" s="8">
        <v>66</v>
      </c>
      <c r="P18" s="8"/>
      <c r="Q18" s="8">
        <v>72</v>
      </c>
      <c r="R18" s="8"/>
      <c r="S18" s="8">
        <v>72</v>
      </c>
      <c r="T18" s="8">
        <v>72</v>
      </c>
      <c r="U18" s="8">
        <v>72</v>
      </c>
      <c r="V18" s="8">
        <v>72</v>
      </c>
      <c r="W18" s="8"/>
      <c r="X18" s="8"/>
      <c r="Y18" s="8">
        <v>72</v>
      </c>
      <c r="Z18" s="8"/>
      <c r="AA18" s="8"/>
      <c r="AB18" s="8"/>
      <c r="AC18" s="8"/>
      <c r="AD18" s="8"/>
      <c r="AE18" s="8"/>
      <c r="AF18" s="8">
        <v>72</v>
      </c>
      <c r="AG18" s="8">
        <v>72</v>
      </c>
      <c r="AH18" s="8">
        <v>67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x14ac:dyDescent="0.2">
      <c r="A19" s="4" t="s">
        <v>23</v>
      </c>
      <c r="B19" s="9">
        <v>39265</v>
      </c>
      <c r="C19" s="7">
        <v>183</v>
      </c>
      <c r="E19" s="8"/>
      <c r="F19" s="8">
        <v>57</v>
      </c>
      <c r="G19" s="8"/>
      <c r="H19" s="8">
        <v>88</v>
      </c>
      <c r="I19" s="8">
        <v>76</v>
      </c>
      <c r="J19" s="8">
        <v>79</v>
      </c>
      <c r="K19" s="8">
        <v>57</v>
      </c>
      <c r="L19" s="8">
        <v>57</v>
      </c>
      <c r="M19" s="8">
        <v>88</v>
      </c>
      <c r="N19" s="8">
        <v>57</v>
      </c>
      <c r="O19" s="8"/>
      <c r="P19" s="8"/>
      <c r="Q19" s="8"/>
      <c r="R19" s="8"/>
      <c r="S19" s="8"/>
      <c r="T19" s="8"/>
      <c r="U19" s="8"/>
      <c r="V19" s="8"/>
      <c r="W19" s="8">
        <v>79</v>
      </c>
      <c r="X19" s="8">
        <v>57</v>
      </c>
      <c r="Y19" s="8"/>
      <c r="Z19" s="8">
        <v>57</v>
      </c>
      <c r="AA19" s="8"/>
      <c r="AB19" s="8">
        <v>57</v>
      </c>
      <c r="AC19" s="8"/>
      <c r="AD19" s="8">
        <v>57</v>
      </c>
      <c r="AE19" s="8">
        <v>57</v>
      </c>
      <c r="AF19" s="8"/>
      <c r="AG19" s="8"/>
      <c r="AH19" s="8"/>
      <c r="AI19" s="8"/>
      <c r="AJ19" s="8">
        <v>88</v>
      </c>
      <c r="AK19" s="8"/>
      <c r="AL19" s="8"/>
      <c r="AM19" s="8"/>
      <c r="AN19" s="8"/>
      <c r="AO19" s="8"/>
      <c r="AP19" s="8"/>
      <c r="AQ19" s="8"/>
      <c r="AR19" s="8"/>
      <c r="AS19" s="8"/>
    </row>
    <row r="20" spans="1:45" x14ac:dyDescent="0.2">
      <c r="A20" s="4" t="s">
        <v>22</v>
      </c>
      <c r="B20" s="9">
        <v>39269</v>
      </c>
      <c r="C20" s="7">
        <v>187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>
        <v>88</v>
      </c>
      <c r="Q20" s="8"/>
      <c r="R20" s="8">
        <v>88</v>
      </c>
      <c r="S20" s="8"/>
      <c r="T20" s="8"/>
      <c r="U20" s="8"/>
      <c r="V20" s="8"/>
      <c r="W20" s="8"/>
      <c r="X20" s="8"/>
      <c r="Y20" s="8"/>
      <c r="Z20" s="8"/>
      <c r="AA20" s="8">
        <v>88</v>
      </c>
      <c r="AB20" s="8"/>
      <c r="AC20" s="8">
        <v>88</v>
      </c>
      <c r="AD20" s="8"/>
      <c r="AE20" s="8"/>
      <c r="AF20" s="8"/>
      <c r="AG20" s="8"/>
      <c r="AH20" s="8"/>
      <c r="AI20" s="8">
        <v>88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</row>
    <row r="21" spans="1:45" x14ac:dyDescent="0.2">
      <c r="A21" s="4" t="s">
        <v>21</v>
      </c>
      <c r="B21" s="9">
        <v>39269</v>
      </c>
      <c r="C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x14ac:dyDescent="0.2">
      <c r="A22" s="4" t="s">
        <v>16</v>
      </c>
      <c r="B22" s="9">
        <v>39272</v>
      </c>
      <c r="C22" s="7">
        <v>190</v>
      </c>
      <c r="E22" s="8">
        <v>88</v>
      </c>
      <c r="F22" s="8"/>
      <c r="G22" s="8">
        <v>88</v>
      </c>
      <c r="H22" s="8"/>
      <c r="I22" s="8"/>
      <c r="J22" s="8"/>
      <c r="K22" s="8"/>
      <c r="L22" s="8"/>
      <c r="M22" s="8"/>
      <c r="N22" s="8"/>
      <c r="O22" s="8">
        <v>78</v>
      </c>
      <c r="P22" s="8"/>
      <c r="Q22" s="8">
        <v>88</v>
      </c>
      <c r="R22" s="8"/>
      <c r="S22" s="8">
        <v>88</v>
      </c>
      <c r="T22" s="8">
        <v>91</v>
      </c>
      <c r="U22" s="8">
        <v>88</v>
      </c>
      <c r="V22" s="8">
        <v>88</v>
      </c>
      <c r="W22" s="8"/>
      <c r="X22" s="8"/>
      <c r="Y22" s="8">
        <v>88</v>
      </c>
      <c r="Z22" s="8"/>
      <c r="AA22" s="8"/>
      <c r="AB22" s="8"/>
      <c r="AC22" s="8"/>
      <c r="AD22" s="8"/>
      <c r="AE22" s="8"/>
      <c r="AF22" s="8">
        <v>91</v>
      </c>
      <c r="AG22" s="8">
        <v>88</v>
      </c>
      <c r="AH22" s="8">
        <v>81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</row>
    <row r="23" spans="1:45" x14ac:dyDescent="0.2">
      <c r="A23" s="4" t="s">
        <v>20</v>
      </c>
      <c r="B23" s="9">
        <v>39273</v>
      </c>
      <c r="C23" s="7">
        <v>191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>
        <v>100</v>
      </c>
      <c r="AM23" s="8"/>
      <c r="AN23" s="8"/>
      <c r="AO23" s="8"/>
      <c r="AP23" s="8">
        <v>100</v>
      </c>
      <c r="AQ23" s="8">
        <v>100</v>
      </c>
      <c r="AR23" s="8"/>
      <c r="AS23" s="8"/>
    </row>
    <row r="24" spans="1:45" x14ac:dyDescent="0.2">
      <c r="A24" s="4" t="s">
        <v>19</v>
      </c>
      <c r="B24" s="9">
        <v>39275</v>
      </c>
      <c r="C24" s="7">
        <v>193</v>
      </c>
      <c r="E24" s="8"/>
      <c r="F24" s="8">
        <v>62</v>
      </c>
      <c r="G24" s="8"/>
      <c r="H24" s="8">
        <v>95</v>
      </c>
      <c r="I24" s="8"/>
      <c r="J24" s="8"/>
      <c r="K24" s="8">
        <v>62</v>
      </c>
      <c r="L24" s="8">
        <v>62</v>
      </c>
      <c r="M24" s="8">
        <v>95</v>
      </c>
      <c r="N24" s="8">
        <v>62</v>
      </c>
      <c r="O24" s="8"/>
      <c r="P24" s="8"/>
      <c r="Q24" s="8"/>
      <c r="R24" s="8"/>
      <c r="S24" s="8"/>
      <c r="T24" s="8"/>
      <c r="U24" s="8"/>
      <c r="V24" s="8"/>
      <c r="W24" s="8"/>
      <c r="X24" s="8">
        <v>62</v>
      </c>
      <c r="Y24" s="8"/>
      <c r="Z24" s="8">
        <v>62</v>
      </c>
      <c r="AA24" s="8"/>
      <c r="AB24" s="8">
        <v>62</v>
      </c>
      <c r="AC24" s="8"/>
      <c r="AD24" s="8">
        <v>62</v>
      </c>
      <c r="AE24" s="8">
        <v>95</v>
      </c>
      <c r="AF24" s="8"/>
      <c r="AG24" s="8"/>
      <c r="AH24" s="8"/>
      <c r="AI24" s="8"/>
      <c r="AJ24" s="8">
        <v>95</v>
      </c>
      <c r="AK24" s="8"/>
      <c r="AL24" s="8"/>
      <c r="AM24" s="8"/>
      <c r="AN24" s="8"/>
      <c r="AO24" s="8"/>
      <c r="AP24" s="8"/>
      <c r="AQ24" s="8"/>
      <c r="AR24" s="8"/>
      <c r="AS24" s="8"/>
    </row>
    <row r="25" spans="1:45" x14ac:dyDescent="0.2">
      <c r="A25" s="4" t="s">
        <v>18</v>
      </c>
      <c r="B25" s="9">
        <v>39276</v>
      </c>
      <c r="C25" s="7">
        <v>194</v>
      </c>
      <c r="E25" s="8"/>
      <c r="F25" s="8"/>
      <c r="G25" s="8"/>
      <c r="H25" s="8"/>
      <c r="I25" s="8">
        <v>78</v>
      </c>
      <c r="J25" s="8">
        <v>84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>
        <v>88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45" x14ac:dyDescent="0.2">
      <c r="A26" s="4" t="s">
        <v>17</v>
      </c>
      <c r="B26" s="9">
        <v>39283</v>
      </c>
      <c r="C26" s="7">
        <v>201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>
        <v>103</v>
      </c>
      <c r="Q26" s="8"/>
      <c r="R26" s="8">
        <v>103</v>
      </c>
      <c r="S26" s="8"/>
      <c r="T26" s="8"/>
      <c r="U26" s="8"/>
      <c r="V26" s="8"/>
      <c r="W26" s="8"/>
      <c r="X26" s="8"/>
      <c r="Y26" s="8"/>
      <c r="Z26" s="8"/>
      <c r="AA26" s="8">
        <v>103</v>
      </c>
      <c r="AB26" s="8"/>
      <c r="AC26" s="8">
        <v>103</v>
      </c>
      <c r="AD26" s="8"/>
      <c r="AE26" s="8"/>
      <c r="AF26" s="8"/>
      <c r="AG26" s="8"/>
      <c r="AH26" s="8"/>
      <c r="AI26" s="8">
        <v>90</v>
      </c>
      <c r="AJ26" s="8"/>
      <c r="AK26" s="8"/>
      <c r="AL26" s="8"/>
      <c r="AM26" s="8"/>
      <c r="AN26" s="8">
        <v>131</v>
      </c>
      <c r="AO26" s="8">
        <v>129</v>
      </c>
      <c r="AP26" s="8"/>
      <c r="AQ26" s="8"/>
      <c r="AR26" s="8">
        <v>129</v>
      </c>
      <c r="AS26" s="8"/>
    </row>
    <row r="27" spans="1:45" x14ac:dyDescent="0.2">
      <c r="A27" s="4" t="s">
        <v>16</v>
      </c>
      <c r="B27" s="9">
        <v>39286</v>
      </c>
      <c r="C27" s="7">
        <v>204</v>
      </c>
      <c r="E27" s="11">
        <v>119</v>
      </c>
      <c r="F27" s="11"/>
      <c r="G27" s="11">
        <v>119</v>
      </c>
      <c r="H27" s="11"/>
      <c r="I27" s="11"/>
      <c r="J27" s="11"/>
      <c r="K27" s="11"/>
      <c r="L27" s="11"/>
      <c r="M27" s="11"/>
      <c r="N27" s="11"/>
      <c r="O27" s="11">
        <v>117</v>
      </c>
      <c r="P27" s="11"/>
      <c r="Q27" s="11">
        <v>119</v>
      </c>
      <c r="R27" s="11"/>
      <c r="S27" s="11">
        <v>119</v>
      </c>
      <c r="T27" s="11">
        <v>124</v>
      </c>
      <c r="U27" s="11">
        <v>119</v>
      </c>
      <c r="V27" s="11">
        <v>119</v>
      </c>
      <c r="W27" s="11"/>
      <c r="X27" s="11"/>
      <c r="Y27" s="11">
        <v>119</v>
      </c>
      <c r="Z27" s="11"/>
      <c r="AA27" s="11"/>
      <c r="AB27" s="11"/>
      <c r="AC27" s="11"/>
      <c r="AD27" s="11"/>
      <c r="AE27" s="11"/>
      <c r="AF27" s="11">
        <v>124</v>
      </c>
      <c r="AG27" s="11">
        <v>119</v>
      </c>
      <c r="AH27" s="11">
        <v>122</v>
      </c>
      <c r="AI27" s="11"/>
      <c r="AJ27" s="11"/>
      <c r="AK27" s="10"/>
      <c r="AL27" s="10"/>
      <c r="AM27" s="10"/>
      <c r="AN27" s="10"/>
      <c r="AO27" s="10"/>
      <c r="AP27" s="10"/>
      <c r="AQ27" s="10"/>
      <c r="AR27" s="10"/>
      <c r="AS27" s="10"/>
    </row>
    <row r="28" spans="1:45" x14ac:dyDescent="0.2">
      <c r="A28" s="4" t="s">
        <v>15</v>
      </c>
      <c r="B28" s="9">
        <v>39289</v>
      </c>
      <c r="C28" s="7">
        <v>207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</row>
    <row r="29" spans="1:45" x14ac:dyDescent="0.2">
      <c r="A29" s="4" t="s">
        <v>14</v>
      </c>
      <c r="B29" s="9">
        <v>39290</v>
      </c>
      <c r="C29" s="7">
        <v>208</v>
      </c>
      <c r="E29" s="8"/>
      <c r="F29" s="8">
        <v>74</v>
      </c>
      <c r="G29" s="8"/>
      <c r="H29" s="8">
        <v>103</v>
      </c>
      <c r="I29" s="8">
        <v>79</v>
      </c>
      <c r="J29" s="8">
        <v>91</v>
      </c>
      <c r="K29" s="8">
        <v>74</v>
      </c>
      <c r="L29" s="8">
        <v>62</v>
      </c>
      <c r="M29" s="8">
        <v>103</v>
      </c>
      <c r="N29" s="8">
        <v>74</v>
      </c>
      <c r="O29" s="8"/>
      <c r="P29" s="8"/>
      <c r="Q29" s="8"/>
      <c r="R29" s="8"/>
      <c r="S29" s="8"/>
      <c r="T29" s="8"/>
      <c r="U29" s="8"/>
      <c r="V29" s="8"/>
      <c r="W29" s="8">
        <v>91</v>
      </c>
      <c r="X29" s="8">
        <v>74</v>
      </c>
      <c r="Y29" s="8"/>
      <c r="Z29" s="8">
        <v>74</v>
      </c>
      <c r="AA29" s="8"/>
      <c r="AB29" s="8">
        <v>74</v>
      </c>
      <c r="AC29" s="8"/>
      <c r="AD29" s="8">
        <v>74</v>
      </c>
      <c r="AE29" s="8">
        <v>103</v>
      </c>
      <c r="AF29" s="8"/>
      <c r="AG29" s="8"/>
      <c r="AH29" s="8"/>
      <c r="AI29" s="8"/>
      <c r="AJ29" s="8">
        <v>103</v>
      </c>
      <c r="AK29" s="8"/>
      <c r="AL29" s="8"/>
      <c r="AM29" s="8"/>
      <c r="AN29" s="8"/>
      <c r="AO29" s="8"/>
      <c r="AP29" s="8"/>
      <c r="AQ29" s="8"/>
      <c r="AR29" s="8"/>
      <c r="AS29" s="8"/>
    </row>
    <row r="30" spans="1:45" x14ac:dyDescent="0.2">
      <c r="A30" s="4" t="s">
        <v>13</v>
      </c>
      <c r="B30" s="9">
        <v>39296</v>
      </c>
      <c r="C30" s="7">
        <v>214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>
        <v>131</v>
      </c>
      <c r="AM30" s="8"/>
      <c r="AN30" s="8"/>
      <c r="AO30" s="8"/>
      <c r="AP30" s="8">
        <v>131</v>
      </c>
      <c r="AQ30" s="8">
        <v>131</v>
      </c>
      <c r="AR30" s="8"/>
      <c r="AS30" s="8"/>
    </row>
    <row r="31" spans="1:45" x14ac:dyDescent="0.2">
      <c r="A31" s="4" t="s">
        <v>12</v>
      </c>
      <c r="B31" s="9">
        <v>39303</v>
      </c>
      <c r="C31" s="7">
        <v>221</v>
      </c>
      <c r="E31" s="8">
        <v>105</v>
      </c>
      <c r="F31" s="8"/>
      <c r="G31" s="8">
        <v>105</v>
      </c>
      <c r="H31" s="8"/>
      <c r="I31" s="8"/>
      <c r="J31" s="8"/>
      <c r="K31" s="8"/>
      <c r="L31" s="8"/>
      <c r="M31" s="8"/>
      <c r="N31" s="8"/>
      <c r="O31" s="8">
        <v>105</v>
      </c>
      <c r="P31" s="8"/>
      <c r="Q31" s="8">
        <v>105</v>
      </c>
      <c r="R31" s="8"/>
      <c r="S31" s="8">
        <v>105</v>
      </c>
      <c r="T31" s="8">
        <v>105</v>
      </c>
      <c r="U31" s="8">
        <v>105</v>
      </c>
      <c r="V31" s="8">
        <v>105</v>
      </c>
      <c r="W31" s="8"/>
      <c r="X31" s="8"/>
      <c r="Y31" s="8">
        <v>105</v>
      </c>
      <c r="Z31" s="8"/>
      <c r="AA31" s="8"/>
      <c r="AB31" s="8"/>
      <c r="AC31" s="8"/>
      <c r="AD31" s="8"/>
      <c r="AE31" s="8"/>
      <c r="AF31" s="8">
        <v>105</v>
      </c>
      <c r="AG31" s="8">
        <v>105</v>
      </c>
      <c r="AH31" s="8">
        <v>105</v>
      </c>
      <c r="AI31" s="8">
        <v>105</v>
      </c>
      <c r="AJ31" s="8"/>
      <c r="AK31" s="8"/>
      <c r="AL31" s="8"/>
      <c r="AM31" s="8"/>
      <c r="AN31" s="8">
        <v>119</v>
      </c>
      <c r="AO31" s="8">
        <v>119</v>
      </c>
      <c r="AP31" s="8"/>
      <c r="AQ31" s="8"/>
      <c r="AR31" s="8">
        <v>119</v>
      </c>
      <c r="AS31" s="8"/>
    </row>
    <row r="32" spans="1:45" x14ac:dyDescent="0.2">
      <c r="A32" s="4" t="s">
        <v>11</v>
      </c>
      <c r="B32" s="9">
        <v>39304</v>
      </c>
      <c r="C32" s="7">
        <v>222</v>
      </c>
      <c r="E32" s="8"/>
      <c r="F32" s="8">
        <v>78</v>
      </c>
      <c r="G32" s="8"/>
      <c r="H32" s="8"/>
      <c r="I32" s="8"/>
      <c r="J32" s="8"/>
      <c r="K32" s="8">
        <v>78</v>
      </c>
      <c r="L32" s="8">
        <v>78</v>
      </c>
      <c r="M32" s="8"/>
      <c r="N32" s="8">
        <v>78</v>
      </c>
      <c r="O32" s="8"/>
      <c r="P32" s="8">
        <v>105</v>
      </c>
      <c r="Q32" s="8"/>
      <c r="R32" s="8">
        <v>105</v>
      </c>
      <c r="S32" s="8"/>
      <c r="T32" s="8"/>
      <c r="U32" s="8"/>
      <c r="V32" s="8"/>
      <c r="W32" s="8"/>
      <c r="X32" s="8">
        <v>78</v>
      </c>
      <c r="Y32" s="8"/>
      <c r="Z32" s="8">
        <v>78</v>
      </c>
      <c r="AA32" s="8">
        <v>105</v>
      </c>
      <c r="AB32" s="8">
        <v>78</v>
      </c>
      <c r="AC32" s="8">
        <v>105</v>
      </c>
      <c r="AD32" s="8">
        <v>78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</row>
    <row r="33" spans="1:45" x14ac:dyDescent="0.2">
      <c r="A33" s="4" t="s">
        <v>10</v>
      </c>
      <c r="B33" s="9">
        <v>39307</v>
      </c>
      <c r="C33" s="7">
        <v>225</v>
      </c>
      <c r="E33" s="8"/>
      <c r="F33" s="8"/>
      <c r="G33" s="8"/>
      <c r="H33" s="8"/>
      <c r="I33" s="8">
        <v>117</v>
      </c>
      <c r="J33" s="8">
        <v>117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>
        <v>117</v>
      </c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x14ac:dyDescent="0.2">
      <c r="A34" s="4" t="s">
        <v>9</v>
      </c>
      <c r="B34" s="9">
        <v>39308</v>
      </c>
      <c r="C34" s="7">
        <v>226</v>
      </c>
      <c r="E34" s="8"/>
      <c r="F34" s="8"/>
      <c r="G34" s="8"/>
      <c r="H34" s="8">
        <v>95</v>
      </c>
      <c r="I34" s="8"/>
      <c r="J34" s="8"/>
      <c r="K34" s="8"/>
      <c r="L34" s="8"/>
      <c r="M34" s="8">
        <v>95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>
        <v>95</v>
      </c>
      <c r="AF34" s="8"/>
      <c r="AG34" s="8"/>
      <c r="AH34" s="8"/>
      <c r="AI34" s="8"/>
      <c r="AJ34" s="8">
        <v>95</v>
      </c>
      <c r="AK34" s="8"/>
      <c r="AL34" s="8"/>
      <c r="AM34" s="8"/>
      <c r="AN34" s="8"/>
      <c r="AO34" s="8"/>
      <c r="AP34" s="8"/>
      <c r="AQ34" s="8"/>
      <c r="AR34" s="8"/>
      <c r="AS34" s="8"/>
    </row>
    <row r="35" spans="1:45" x14ac:dyDescent="0.2">
      <c r="A35" s="4" t="s">
        <v>8</v>
      </c>
      <c r="B35" s="9">
        <v>39314</v>
      </c>
      <c r="C35" s="7">
        <v>232</v>
      </c>
      <c r="E35" s="8"/>
      <c r="F35" s="8">
        <v>90</v>
      </c>
      <c r="G35" s="8"/>
      <c r="H35" s="8"/>
      <c r="I35" s="8"/>
      <c r="J35" s="8"/>
      <c r="K35" s="8">
        <v>90</v>
      </c>
      <c r="L35" s="8">
        <v>100</v>
      </c>
      <c r="M35" s="8"/>
      <c r="N35" s="8">
        <v>90</v>
      </c>
      <c r="O35" s="8"/>
      <c r="P35" s="8"/>
      <c r="Q35" s="8"/>
      <c r="R35" s="8"/>
      <c r="S35" s="8"/>
      <c r="T35" s="8"/>
      <c r="U35" s="8"/>
      <c r="V35" s="8"/>
      <c r="W35" s="8"/>
      <c r="X35" s="8">
        <v>90</v>
      </c>
      <c r="Y35" s="8"/>
      <c r="Z35" s="8">
        <v>90</v>
      </c>
      <c r="AA35" s="8"/>
      <c r="AB35" s="8">
        <v>90</v>
      </c>
      <c r="AC35" s="8"/>
      <c r="AD35" s="8">
        <v>90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x14ac:dyDescent="0.2">
      <c r="A36" s="4" t="s">
        <v>7</v>
      </c>
      <c r="B36" s="9">
        <v>39315</v>
      </c>
      <c r="C36" s="7">
        <v>233</v>
      </c>
      <c r="E36" s="8">
        <v>107</v>
      </c>
      <c r="F36" s="8"/>
      <c r="G36" s="8">
        <v>107</v>
      </c>
      <c r="H36" s="8"/>
      <c r="I36" s="8"/>
      <c r="J36" s="8"/>
      <c r="K36" s="8"/>
      <c r="L36" s="8"/>
      <c r="M36" s="8"/>
      <c r="N36" s="8"/>
      <c r="O36" s="8">
        <v>107</v>
      </c>
      <c r="P36" s="8"/>
      <c r="Q36" s="8">
        <v>107</v>
      </c>
      <c r="R36" s="8"/>
      <c r="S36" s="8">
        <v>107</v>
      </c>
      <c r="T36" s="8">
        <v>107</v>
      </c>
      <c r="U36" s="8">
        <v>107</v>
      </c>
      <c r="V36" s="8">
        <v>107</v>
      </c>
      <c r="W36" s="8"/>
      <c r="X36" s="8"/>
      <c r="Y36" s="8">
        <v>107</v>
      </c>
      <c r="Z36" s="8"/>
      <c r="AA36" s="8"/>
      <c r="AB36" s="8"/>
      <c r="AC36" s="8"/>
      <c r="AD36" s="8"/>
      <c r="AE36" s="8"/>
      <c r="AF36" s="8">
        <v>107</v>
      </c>
      <c r="AG36" s="8">
        <v>107</v>
      </c>
      <c r="AH36" s="8">
        <v>107</v>
      </c>
      <c r="AI36" s="8">
        <v>107</v>
      </c>
      <c r="AJ36" s="8"/>
      <c r="AK36" s="8"/>
      <c r="AL36" s="8">
        <v>124</v>
      </c>
      <c r="AM36" s="8"/>
      <c r="AN36" s="8">
        <v>107</v>
      </c>
      <c r="AO36" s="8">
        <v>107</v>
      </c>
      <c r="AP36" s="8">
        <v>124</v>
      </c>
      <c r="AQ36" s="8">
        <v>124</v>
      </c>
      <c r="AR36" s="8">
        <v>107</v>
      </c>
      <c r="AS36" s="8"/>
    </row>
    <row r="37" spans="1:45" x14ac:dyDescent="0.2">
      <c r="A37" s="4" t="s">
        <v>6</v>
      </c>
      <c r="B37" s="9">
        <v>39316</v>
      </c>
      <c r="C37" s="7">
        <v>234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</row>
    <row r="38" spans="1:45" x14ac:dyDescent="0.2">
      <c r="A38" s="4" t="s">
        <v>5</v>
      </c>
      <c r="B38" s="9">
        <v>39317</v>
      </c>
      <c r="C38" s="7">
        <v>235</v>
      </c>
      <c r="E38" s="8"/>
      <c r="F38" s="8"/>
      <c r="G38" s="8"/>
      <c r="H38" s="8">
        <v>83</v>
      </c>
      <c r="I38" s="8">
        <v>95</v>
      </c>
      <c r="J38" s="8">
        <v>95</v>
      </c>
      <c r="K38" s="8"/>
      <c r="L38" s="8"/>
      <c r="M38" s="8">
        <v>83</v>
      </c>
      <c r="N38" s="8"/>
      <c r="O38" s="8"/>
      <c r="P38" s="8">
        <v>107</v>
      </c>
      <c r="Q38" s="8"/>
      <c r="R38" s="8">
        <v>107</v>
      </c>
      <c r="S38" s="8"/>
      <c r="T38" s="8"/>
      <c r="U38" s="8"/>
      <c r="V38" s="8"/>
      <c r="W38" s="8">
        <v>107</v>
      </c>
      <c r="X38" s="8"/>
      <c r="Y38" s="8"/>
      <c r="Z38" s="8"/>
      <c r="AA38" s="8">
        <v>107</v>
      </c>
      <c r="AB38" s="8"/>
      <c r="AC38" s="8">
        <v>107</v>
      </c>
      <c r="AD38" s="8"/>
      <c r="AE38" s="8">
        <v>76</v>
      </c>
      <c r="AF38" s="8"/>
      <c r="AG38" s="8"/>
      <c r="AH38" s="8"/>
      <c r="AI38" s="8"/>
      <c r="AJ38" s="8">
        <v>83</v>
      </c>
      <c r="AK38" s="8"/>
      <c r="AL38" s="8"/>
      <c r="AM38" s="8"/>
      <c r="AN38" s="8"/>
      <c r="AO38" s="8"/>
      <c r="AP38" s="8"/>
      <c r="AQ38" s="8"/>
      <c r="AR38" s="8"/>
      <c r="AS38" s="8"/>
    </row>
    <row r="39" spans="1:45" x14ac:dyDescent="0.2">
      <c r="A39" s="4" t="s">
        <v>4</v>
      </c>
      <c r="B39" s="9">
        <v>39330</v>
      </c>
      <c r="C39" s="7">
        <v>248</v>
      </c>
      <c r="E39" s="8">
        <v>72</v>
      </c>
      <c r="F39" s="8">
        <v>81</v>
      </c>
      <c r="G39" s="8">
        <v>72</v>
      </c>
      <c r="H39" s="8"/>
      <c r="I39" s="8"/>
      <c r="J39" s="8"/>
      <c r="K39" s="8">
        <v>81</v>
      </c>
      <c r="L39" s="8">
        <v>81</v>
      </c>
      <c r="M39" s="8"/>
      <c r="N39" s="8">
        <v>81</v>
      </c>
      <c r="O39" s="8">
        <v>74</v>
      </c>
      <c r="P39" s="8"/>
      <c r="Q39" s="8">
        <v>72</v>
      </c>
      <c r="R39" s="8"/>
      <c r="S39" s="8">
        <v>72</v>
      </c>
      <c r="T39" s="8">
        <v>74</v>
      </c>
      <c r="U39" s="8">
        <v>72</v>
      </c>
      <c r="V39" s="8">
        <v>72</v>
      </c>
      <c r="W39" s="8"/>
      <c r="X39" s="8">
        <v>81</v>
      </c>
      <c r="Y39" s="8">
        <v>72</v>
      </c>
      <c r="Z39" s="8">
        <v>81</v>
      </c>
      <c r="AA39" s="8"/>
      <c r="AB39" s="8">
        <v>81</v>
      </c>
      <c r="AC39" s="8"/>
      <c r="AD39" s="8">
        <v>81</v>
      </c>
      <c r="AE39" s="8"/>
      <c r="AF39" s="8">
        <v>74</v>
      </c>
      <c r="AG39" s="8">
        <v>72</v>
      </c>
      <c r="AH39" s="8">
        <v>74</v>
      </c>
      <c r="AI39" s="8">
        <v>74</v>
      </c>
      <c r="AJ39" s="8"/>
      <c r="AK39" s="8"/>
      <c r="AL39" s="8"/>
      <c r="AM39" s="8"/>
      <c r="AN39" s="8"/>
      <c r="AO39" s="8"/>
      <c r="AP39" s="8"/>
      <c r="AQ39" s="8"/>
      <c r="AR39" s="8"/>
      <c r="AS39" s="8"/>
    </row>
    <row r="40" spans="1:45" x14ac:dyDescent="0.2">
      <c r="A40" s="4" t="s">
        <v>3</v>
      </c>
      <c r="B40" s="9">
        <v>39331</v>
      </c>
      <c r="C40" s="7">
        <v>249</v>
      </c>
      <c r="E40" s="8"/>
      <c r="F40" s="8"/>
      <c r="G40" s="8"/>
      <c r="H40" s="8">
        <v>60</v>
      </c>
      <c r="I40" s="8">
        <v>60</v>
      </c>
      <c r="J40" s="8">
        <v>60</v>
      </c>
      <c r="K40" s="8"/>
      <c r="L40" s="8"/>
      <c r="M40" s="8">
        <v>60</v>
      </c>
      <c r="N40" s="8"/>
      <c r="O40" s="8"/>
      <c r="P40" s="8">
        <v>60</v>
      </c>
      <c r="Q40" s="8"/>
      <c r="R40" s="8">
        <v>60</v>
      </c>
      <c r="S40" s="8"/>
      <c r="T40" s="8"/>
      <c r="U40" s="8"/>
      <c r="V40" s="8"/>
      <c r="W40" s="8">
        <v>60</v>
      </c>
      <c r="X40" s="8"/>
      <c r="Y40" s="8"/>
      <c r="Z40" s="8"/>
      <c r="AA40" s="8">
        <v>60</v>
      </c>
      <c r="AB40" s="8"/>
      <c r="AC40" s="8">
        <v>60</v>
      </c>
      <c r="AD40" s="8"/>
      <c r="AE40" s="8">
        <v>60</v>
      </c>
      <c r="AF40" s="8"/>
      <c r="AG40" s="8"/>
      <c r="AH40" s="8"/>
      <c r="AI40" s="8"/>
      <c r="AJ40" s="8">
        <v>60</v>
      </c>
      <c r="AK40" s="8"/>
      <c r="AL40" s="8">
        <v>60</v>
      </c>
      <c r="AM40" s="8"/>
      <c r="AN40" s="8">
        <v>72</v>
      </c>
      <c r="AO40" s="8">
        <v>72</v>
      </c>
      <c r="AP40" s="8">
        <v>60</v>
      </c>
      <c r="AQ40" s="8">
        <v>60</v>
      </c>
      <c r="AR40" s="8">
        <v>72</v>
      </c>
      <c r="AS40" s="8"/>
    </row>
    <row r="41" spans="1:45" x14ac:dyDescent="0.2">
      <c r="C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 spans="1:45" x14ac:dyDescent="0.2">
      <c r="C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r="43" spans="1:45" x14ac:dyDescent="0.2">
      <c r="C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</row>
    <row r="44" spans="1:45" x14ac:dyDescent="0.2">
      <c r="C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8"/>
    </row>
    <row r="45" spans="1:45" x14ac:dyDescent="0.2">
      <c r="C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8"/>
    </row>
    <row r="46" spans="1:45" x14ac:dyDescent="0.2">
      <c r="C46" s="7"/>
      <c r="F46" s="6"/>
      <c r="AS46" s="8"/>
    </row>
    <row r="47" spans="1:45" x14ac:dyDescent="0.2">
      <c r="C47" s="7"/>
      <c r="F47" s="6"/>
      <c r="AS47" s="6"/>
    </row>
    <row r="48" spans="1:45" x14ac:dyDescent="0.2">
      <c r="C48" s="7"/>
      <c r="F48" s="6"/>
      <c r="AS48" s="6"/>
    </row>
    <row r="49" spans="1:45" x14ac:dyDescent="0.2">
      <c r="C49" s="7"/>
      <c r="F49" s="6"/>
    </row>
    <row r="50" spans="1:45" x14ac:dyDescent="0.2">
      <c r="C50" s="7"/>
      <c r="F50" s="6"/>
    </row>
    <row r="51" spans="1:45" x14ac:dyDescent="0.2">
      <c r="F51" s="6"/>
    </row>
    <row r="52" spans="1:45" x14ac:dyDescent="0.2">
      <c r="F52" s="6"/>
    </row>
    <row r="53" spans="1:45" x14ac:dyDescent="0.2">
      <c r="B53" s="4" t="s">
        <v>2</v>
      </c>
      <c r="E53" s="4">
        <f t="shared" ref="E53:AR53" si="0">SUM(E7:E50)</f>
        <v>890</v>
      </c>
      <c r="F53" s="4">
        <f t="shared" si="0"/>
        <v>778</v>
      </c>
      <c r="G53" s="4">
        <f t="shared" si="0"/>
        <v>926</v>
      </c>
      <c r="H53" s="4">
        <f t="shared" si="0"/>
        <v>912</v>
      </c>
      <c r="I53" s="4">
        <f t="shared" si="0"/>
        <v>886</v>
      </c>
      <c r="J53" s="4">
        <f t="shared" si="0"/>
        <v>906</v>
      </c>
      <c r="K53" s="4">
        <f t="shared" si="0"/>
        <v>806</v>
      </c>
      <c r="L53" s="4">
        <f t="shared" si="0"/>
        <v>797</v>
      </c>
      <c r="M53" s="4">
        <f t="shared" si="0"/>
        <v>889</v>
      </c>
      <c r="N53" s="4">
        <f t="shared" si="0"/>
        <v>808</v>
      </c>
      <c r="O53" s="4">
        <f t="shared" si="0"/>
        <v>915</v>
      </c>
      <c r="P53" s="4">
        <f t="shared" si="0"/>
        <v>812</v>
      </c>
      <c r="Q53" s="4">
        <f t="shared" si="0"/>
        <v>941</v>
      </c>
      <c r="R53" s="4">
        <f t="shared" si="0"/>
        <v>841</v>
      </c>
      <c r="S53" s="4">
        <f t="shared" si="0"/>
        <v>936</v>
      </c>
      <c r="T53" s="4">
        <f t="shared" si="0"/>
        <v>931</v>
      </c>
      <c r="U53" s="4">
        <f t="shared" si="0"/>
        <v>879</v>
      </c>
      <c r="V53" s="4">
        <f t="shared" si="0"/>
        <v>909</v>
      </c>
      <c r="W53" s="4">
        <f t="shared" si="0"/>
        <v>893</v>
      </c>
      <c r="X53" s="4">
        <f t="shared" si="0"/>
        <v>784</v>
      </c>
      <c r="Y53" s="4">
        <f t="shared" si="0"/>
        <v>900</v>
      </c>
      <c r="Z53" s="4">
        <f t="shared" si="0"/>
        <v>792</v>
      </c>
      <c r="AA53" s="4">
        <f t="shared" si="0"/>
        <v>826</v>
      </c>
      <c r="AB53" s="4">
        <f t="shared" si="0"/>
        <v>799</v>
      </c>
      <c r="AC53" s="4">
        <f t="shared" si="0"/>
        <v>795</v>
      </c>
      <c r="AD53" s="4">
        <f t="shared" si="0"/>
        <v>776</v>
      </c>
      <c r="AE53" s="4">
        <f t="shared" si="0"/>
        <v>840</v>
      </c>
      <c r="AF53" s="4">
        <f t="shared" si="0"/>
        <v>926</v>
      </c>
      <c r="AG53" s="4">
        <f t="shared" si="0"/>
        <v>884</v>
      </c>
      <c r="AH53" s="4">
        <f t="shared" si="0"/>
        <v>907</v>
      </c>
      <c r="AI53" s="4">
        <f t="shared" si="0"/>
        <v>833</v>
      </c>
      <c r="AJ53" s="4">
        <f t="shared" si="0"/>
        <v>886</v>
      </c>
      <c r="AK53" s="4">
        <f t="shared" si="0"/>
        <v>0</v>
      </c>
      <c r="AL53" s="4">
        <f t="shared" si="0"/>
        <v>856</v>
      </c>
      <c r="AM53" s="4">
        <f t="shared" si="0"/>
        <v>0</v>
      </c>
      <c r="AN53" s="4">
        <f t="shared" si="0"/>
        <v>837</v>
      </c>
      <c r="AO53" s="4">
        <f t="shared" si="0"/>
        <v>833</v>
      </c>
      <c r="AP53" s="4">
        <f t="shared" si="0"/>
        <v>861</v>
      </c>
      <c r="AQ53" s="4">
        <f t="shared" si="0"/>
        <v>840</v>
      </c>
      <c r="AR53" s="4">
        <f t="shared" si="0"/>
        <v>821</v>
      </c>
    </row>
    <row r="54" spans="1:45" x14ac:dyDescent="0.2">
      <c r="G54" s="6"/>
    </row>
    <row r="55" spans="1:45" x14ac:dyDescent="0.2">
      <c r="G55" s="6"/>
    </row>
    <row r="56" spans="1:45" x14ac:dyDescent="0.2">
      <c r="AF56" s="4">
        <f t="shared" ref="AF56:AR56" si="1">SUM(AF10:AF53)</f>
        <v>1717</v>
      </c>
      <c r="AG56" s="4">
        <f t="shared" si="1"/>
        <v>1644</v>
      </c>
      <c r="AH56" s="4">
        <f t="shared" si="1"/>
        <v>1674</v>
      </c>
      <c r="AI56" s="4">
        <f t="shared" si="1"/>
        <v>1522</v>
      </c>
      <c r="AJ56" s="4">
        <f t="shared" si="1"/>
        <v>1631</v>
      </c>
      <c r="AK56" s="4">
        <f t="shared" si="1"/>
        <v>0</v>
      </c>
      <c r="AL56" s="4">
        <f t="shared" si="1"/>
        <v>1560</v>
      </c>
      <c r="AM56" s="4">
        <f t="shared" si="1"/>
        <v>0</v>
      </c>
      <c r="AN56" s="4">
        <f t="shared" si="1"/>
        <v>1522</v>
      </c>
      <c r="AO56" s="4">
        <f t="shared" si="1"/>
        <v>1514</v>
      </c>
      <c r="AP56" s="4">
        <f t="shared" si="1"/>
        <v>1563</v>
      </c>
      <c r="AQ56" s="4">
        <f t="shared" si="1"/>
        <v>1533</v>
      </c>
      <c r="AR56" s="4">
        <f t="shared" si="1"/>
        <v>1499</v>
      </c>
      <c r="AS56" s="4">
        <f>SUM(AS7:AS53)</f>
        <v>0</v>
      </c>
    </row>
    <row r="57" spans="1:45" x14ac:dyDescent="0.2">
      <c r="A57" s="5"/>
      <c r="B57" s="5"/>
    </row>
    <row r="58" spans="1:45" x14ac:dyDescent="0.2">
      <c r="A58" s="5"/>
      <c r="B58" s="5"/>
    </row>
    <row r="59" spans="1:45" x14ac:dyDescent="0.2">
      <c r="A59" s="5"/>
      <c r="B59" s="5"/>
    </row>
    <row r="60" spans="1:45" x14ac:dyDescent="0.2">
      <c r="A60" s="5"/>
      <c r="B60" s="5"/>
    </row>
    <row r="61" spans="1:45" x14ac:dyDescent="0.2">
      <c r="A61" s="5"/>
      <c r="B61" s="5"/>
    </row>
    <row r="62" spans="1:45" x14ac:dyDescent="0.2">
      <c r="A62" s="5"/>
      <c r="B62" s="5"/>
    </row>
    <row r="63" spans="1:45" x14ac:dyDescent="0.2">
      <c r="A63" s="5"/>
      <c r="B63" s="5"/>
    </row>
    <row r="64" spans="1:45" x14ac:dyDescent="0.2">
      <c r="A64" s="5"/>
      <c r="B64" s="5"/>
    </row>
    <row r="65" spans="1:2" x14ac:dyDescent="0.2">
      <c r="A65" s="5"/>
      <c r="B65" s="5"/>
    </row>
    <row r="66" spans="1:2" x14ac:dyDescent="0.2">
      <c r="A66" s="5"/>
      <c r="B66" s="5"/>
    </row>
    <row r="67" spans="1:2" x14ac:dyDescent="0.2">
      <c r="A67" s="5"/>
      <c r="B67" s="5"/>
    </row>
    <row r="68" spans="1:2" x14ac:dyDescent="0.2">
      <c r="A68" s="5"/>
      <c r="B68" s="5"/>
    </row>
    <row r="69" spans="1:2" x14ac:dyDescent="0.2">
      <c r="A69" s="5"/>
      <c r="B69" s="5"/>
    </row>
    <row r="70" spans="1:2" x14ac:dyDescent="0.2">
      <c r="A70" s="5"/>
      <c r="B70" s="5"/>
    </row>
    <row r="71" spans="1:2" x14ac:dyDescent="0.2">
      <c r="A71" s="5"/>
      <c r="B71" s="5"/>
    </row>
    <row r="72" spans="1:2" x14ac:dyDescent="0.2">
      <c r="A72" s="5"/>
      <c r="B72" s="5"/>
    </row>
    <row r="73" spans="1:2" x14ac:dyDescent="0.2">
      <c r="A73" s="5"/>
      <c r="B73" s="5"/>
    </row>
    <row r="74" spans="1:2" x14ac:dyDescent="0.2">
      <c r="A74" s="5"/>
      <c r="B74" s="5"/>
    </row>
    <row r="75" spans="1:2" x14ac:dyDescent="0.2">
      <c r="A75" s="5"/>
      <c r="B75" s="5"/>
    </row>
    <row r="76" spans="1:2" x14ac:dyDescent="0.2">
      <c r="A76" s="5"/>
      <c r="B76" s="5"/>
    </row>
    <row r="77" spans="1:2" x14ac:dyDescent="0.2">
      <c r="A77" s="5"/>
      <c r="B77" s="5"/>
    </row>
    <row r="78" spans="1:2" x14ac:dyDescent="0.2">
      <c r="A78" s="5"/>
      <c r="B78" s="5"/>
    </row>
    <row r="79" spans="1:2" x14ac:dyDescent="0.2">
      <c r="A79" s="5"/>
      <c r="B79" s="5"/>
    </row>
    <row r="80" spans="1:2" x14ac:dyDescent="0.2">
      <c r="A80" s="5"/>
      <c r="B80" s="5"/>
    </row>
    <row r="81" spans="1:2" x14ac:dyDescent="0.2">
      <c r="A81" s="5"/>
      <c r="B81" s="5"/>
    </row>
    <row r="82" spans="1:2" x14ac:dyDescent="0.2">
      <c r="A82" s="5"/>
      <c r="B82" s="5"/>
    </row>
    <row r="83" spans="1:2" x14ac:dyDescent="0.2">
      <c r="A83" s="5"/>
      <c r="B83" s="5"/>
    </row>
    <row r="84" spans="1:2" x14ac:dyDescent="0.2">
      <c r="A84" s="5"/>
      <c r="B84" s="5"/>
    </row>
    <row r="85" spans="1:2" x14ac:dyDescent="0.2">
      <c r="A85" s="5"/>
      <c r="B85" s="5"/>
    </row>
    <row r="86" spans="1:2" x14ac:dyDescent="0.2">
      <c r="A86" s="5"/>
      <c r="B86" s="5"/>
    </row>
    <row r="87" spans="1:2" x14ac:dyDescent="0.2">
      <c r="A87" s="5"/>
      <c r="B87" s="5"/>
    </row>
    <row r="88" spans="1:2" x14ac:dyDescent="0.2">
      <c r="A88" s="5"/>
      <c r="B88" s="5"/>
    </row>
    <row r="89" spans="1:2" x14ac:dyDescent="0.2">
      <c r="A89" s="5"/>
      <c r="B89" s="5"/>
    </row>
    <row r="90" spans="1:2" x14ac:dyDescent="0.2">
      <c r="A90" s="5"/>
      <c r="B90" s="5"/>
    </row>
    <row r="91" spans="1:2" x14ac:dyDescent="0.2">
      <c r="A91" s="5"/>
      <c r="B91" s="5"/>
    </row>
    <row r="92" spans="1:2" x14ac:dyDescent="0.2">
      <c r="A92" s="5"/>
      <c r="B92" s="5"/>
    </row>
    <row r="93" spans="1:2" x14ac:dyDescent="0.2">
      <c r="A93" s="5"/>
      <c r="B93" s="5"/>
    </row>
    <row r="94" spans="1:2" x14ac:dyDescent="0.2">
      <c r="A94" s="5"/>
      <c r="B94" s="5"/>
    </row>
    <row r="95" spans="1:2" x14ac:dyDescent="0.2">
      <c r="A95" s="5"/>
      <c r="B95" s="5"/>
    </row>
    <row r="96" spans="1:2" x14ac:dyDescent="0.2">
      <c r="A96" s="5"/>
      <c r="B96" s="5"/>
    </row>
    <row r="97" spans="1:2" x14ac:dyDescent="0.2">
      <c r="A97" s="5"/>
      <c r="B97" s="5"/>
    </row>
    <row r="98" spans="1:2" x14ac:dyDescent="0.2">
      <c r="A98" s="5"/>
      <c r="B98" s="5"/>
    </row>
    <row r="99" spans="1:2" x14ac:dyDescent="0.2">
      <c r="A99" s="5"/>
      <c r="B99" s="5"/>
    </row>
    <row r="100" spans="1:2" x14ac:dyDescent="0.2">
      <c r="A100" s="5"/>
      <c r="B100" s="5"/>
    </row>
    <row r="101" spans="1:2" x14ac:dyDescent="0.2">
      <c r="A101" s="5"/>
      <c r="B101" s="5"/>
    </row>
    <row r="102" spans="1:2" x14ac:dyDescent="0.2">
      <c r="A102" s="5"/>
      <c r="B102" s="5"/>
    </row>
    <row r="103" spans="1:2" x14ac:dyDescent="0.2">
      <c r="A103" s="5"/>
      <c r="B103" s="5"/>
    </row>
    <row r="104" spans="1:2" x14ac:dyDescent="0.2">
      <c r="A104" s="5"/>
      <c r="B104" s="5"/>
    </row>
    <row r="105" spans="1:2" x14ac:dyDescent="0.2">
      <c r="A105" s="5"/>
      <c r="B105" s="5"/>
    </row>
    <row r="106" spans="1:2" x14ac:dyDescent="0.2">
      <c r="A106" s="5"/>
      <c r="B106" s="5"/>
    </row>
    <row r="107" spans="1:2" x14ac:dyDescent="0.2">
      <c r="A107" s="5"/>
      <c r="B107" s="5"/>
    </row>
    <row r="108" spans="1:2" x14ac:dyDescent="0.2">
      <c r="A108" s="5"/>
      <c r="B108" s="5"/>
    </row>
    <row r="109" spans="1:2" x14ac:dyDescent="0.2">
      <c r="A109" s="5"/>
      <c r="B109" s="5"/>
    </row>
    <row r="110" spans="1:2" x14ac:dyDescent="0.2">
      <c r="A110" s="5"/>
      <c r="B110" s="5"/>
    </row>
    <row r="111" spans="1:2" x14ac:dyDescent="0.2">
      <c r="A111" s="5"/>
      <c r="B111" s="5"/>
    </row>
    <row r="112" spans="1:2" x14ac:dyDescent="0.2">
      <c r="A112" s="5"/>
      <c r="B112" s="5"/>
    </row>
    <row r="113" spans="1:2" x14ac:dyDescent="0.2">
      <c r="A113" s="5"/>
      <c r="B113" s="5"/>
    </row>
    <row r="114" spans="1:2" x14ac:dyDescent="0.2">
      <c r="A114" s="5"/>
      <c r="B114" s="5"/>
    </row>
    <row r="115" spans="1:2" x14ac:dyDescent="0.2">
      <c r="A115" s="5"/>
      <c r="B115" s="5"/>
    </row>
    <row r="116" spans="1:2" x14ac:dyDescent="0.2">
      <c r="A116" s="5"/>
      <c r="B116" s="5"/>
    </row>
    <row r="117" spans="1:2" x14ac:dyDescent="0.2">
      <c r="A117" s="5"/>
      <c r="B117" s="5"/>
    </row>
    <row r="118" spans="1:2" x14ac:dyDescent="0.2">
      <c r="A118" s="5"/>
      <c r="B118" s="5"/>
    </row>
    <row r="119" spans="1:2" x14ac:dyDescent="0.2">
      <c r="A119" s="5"/>
      <c r="B119" s="5"/>
    </row>
    <row r="120" spans="1:2" x14ac:dyDescent="0.2">
      <c r="A120" s="5"/>
      <c r="B120" s="5"/>
    </row>
    <row r="121" spans="1:2" x14ac:dyDescent="0.2">
      <c r="A121" s="5"/>
      <c r="B121" s="5"/>
    </row>
    <row r="122" spans="1:2" x14ac:dyDescent="0.2">
      <c r="A122" s="5"/>
      <c r="B122" s="5"/>
    </row>
    <row r="123" spans="1:2" x14ac:dyDescent="0.2">
      <c r="A123" s="5"/>
      <c r="B123" s="5"/>
    </row>
    <row r="124" spans="1:2" x14ac:dyDescent="0.2">
      <c r="A124" s="5"/>
      <c r="B124" s="5"/>
    </row>
    <row r="125" spans="1:2" x14ac:dyDescent="0.2">
      <c r="A125" s="5"/>
      <c r="B125" s="5"/>
    </row>
    <row r="126" spans="1:2" x14ac:dyDescent="0.2">
      <c r="A126" s="5"/>
      <c r="B126" s="5"/>
    </row>
    <row r="127" spans="1:2" x14ac:dyDescent="0.2">
      <c r="A127" s="5"/>
      <c r="B127" s="5"/>
    </row>
    <row r="128" spans="1:2" x14ac:dyDescent="0.2">
      <c r="A128" s="5"/>
      <c r="B128" s="5"/>
    </row>
    <row r="129" spans="1:2" x14ac:dyDescent="0.2">
      <c r="A129" s="5"/>
      <c r="B129" s="5"/>
    </row>
    <row r="130" spans="1:2" x14ac:dyDescent="0.2">
      <c r="A130" s="5"/>
      <c r="B130" s="5"/>
    </row>
    <row r="131" spans="1:2" x14ac:dyDescent="0.2">
      <c r="A131" s="5"/>
      <c r="B131" s="5"/>
    </row>
    <row r="132" spans="1:2" x14ac:dyDescent="0.2">
      <c r="A132" s="5"/>
      <c r="B132" s="5"/>
    </row>
    <row r="133" spans="1:2" x14ac:dyDescent="0.2">
      <c r="A133" s="5"/>
      <c r="B133" s="5"/>
    </row>
    <row r="134" spans="1:2" x14ac:dyDescent="0.2">
      <c r="A134" s="5"/>
      <c r="B134" s="5"/>
    </row>
    <row r="135" spans="1:2" x14ac:dyDescent="0.2">
      <c r="A135" s="5"/>
      <c r="B135" s="5"/>
    </row>
    <row r="136" spans="1:2" x14ac:dyDescent="0.2">
      <c r="A136" s="5"/>
      <c r="B136" s="5"/>
    </row>
    <row r="137" spans="1:2" x14ac:dyDescent="0.2">
      <c r="A137" s="5"/>
      <c r="B137" s="5"/>
    </row>
    <row r="138" spans="1:2" x14ac:dyDescent="0.2">
      <c r="A138" s="5"/>
      <c r="B138" s="5"/>
    </row>
    <row r="139" spans="1:2" x14ac:dyDescent="0.2">
      <c r="A139" s="5"/>
      <c r="B139" s="5"/>
    </row>
    <row r="140" spans="1:2" x14ac:dyDescent="0.2">
      <c r="A140" s="5"/>
      <c r="B140" s="5"/>
    </row>
    <row r="141" spans="1:2" x14ac:dyDescent="0.2">
      <c r="A141" s="5"/>
      <c r="B141" s="5"/>
    </row>
    <row r="142" spans="1:2" x14ac:dyDescent="0.2">
      <c r="A142" s="5"/>
      <c r="B142" s="5"/>
    </row>
    <row r="143" spans="1:2" x14ac:dyDescent="0.2">
      <c r="A143" s="5"/>
      <c r="B143" s="5"/>
    </row>
    <row r="144" spans="1:2" x14ac:dyDescent="0.2">
      <c r="A144" s="5"/>
      <c r="B144" s="5"/>
    </row>
    <row r="145" spans="1:2" x14ac:dyDescent="0.2">
      <c r="A145" s="5"/>
      <c r="B145" s="5"/>
    </row>
    <row r="146" spans="1:2" x14ac:dyDescent="0.2">
      <c r="A146" s="5"/>
      <c r="B146" s="5"/>
    </row>
    <row r="147" spans="1:2" x14ac:dyDescent="0.2">
      <c r="A147" s="5"/>
      <c r="B147" s="5"/>
    </row>
    <row r="148" spans="1:2" x14ac:dyDescent="0.2">
      <c r="A148" s="5"/>
      <c r="B148" s="5"/>
    </row>
    <row r="149" spans="1:2" x14ac:dyDescent="0.2">
      <c r="A149" s="5"/>
      <c r="B149" s="5"/>
    </row>
    <row r="150" spans="1:2" x14ac:dyDescent="0.2">
      <c r="A150" s="5"/>
      <c r="B150" s="5"/>
    </row>
    <row r="151" spans="1:2" x14ac:dyDescent="0.2">
      <c r="A151" s="5"/>
      <c r="B151" s="5"/>
    </row>
    <row r="152" spans="1:2" x14ac:dyDescent="0.2">
      <c r="A152" s="5"/>
      <c r="B152" s="5"/>
    </row>
    <row r="153" spans="1:2" x14ac:dyDescent="0.2">
      <c r="A153" s="5"/>
      <c r="B153" s="5"/>
    </row>
    <row r="154" spans="1:2" x14ac:dyDescent="0.2">
      <c r="A154" s="5"/>
      <c r="B154" s="5"/>
    </row>
    <row r="155" spans="1:2" x14ac:dyDescent="0.2">
      <c r="A155" s="5"/>
      <c r="B155" s="5"/>
    </row>
    <row r="156" spans="1:2" x14ac:dyDescent="0.2">
      <c r="A156" s="5"/>
      <c r="B156" s="5"/>
    </row>
    <row r="157" spans="1:2" x14ac:dyDescent="0.2">
      <c r="A157" s="5"/>
      <c r="B157" s="5"/>
    </row>
    <row r="158" spans="1:2" x14ac:dyDescent="0.2">
      <c r="A158" s="5"/>
      <c r="B158" s="5"/>
    </row>
    <row r="159" spans="1:2" x14ac:dyDescent="0.2">
      <c r="A159" s="5"/>
      <c r="B159" s="5"/>
    </row>
    <row r="160" spans="1:2" x14ac:dyDescent="0.2">
      <c r="A160" s="5"/>
      <c r="B160" s="5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6086-E3EE-4C87-8DCF-64EEFE02944C}">
  <dimension ref="A1"/>
  <sheetViews>
    <sheetView workbookViewId="0">
      <selection activeCell="E53" sqref="E5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26F9-EBC4-44FF-A8C7-3B54AE702DF4}">
  <dimension ref="A1:AP34"/>
  <sheetViews>
    <sheetView workbookViewId="0">
      <selection sqref="A1:XFD1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s="17" t="s">
        <v>81</v>
      </c>
      <c r="D1" s="17" t="s">
        <v>82</v>
      </c>
      <c r="E1" s="17" t="s">
        <v>83</v>
      </c>
      <c r="F1" s="17" t="s">
        <v>84</v>
      </c>
      <c r="G1" s="17" t="s">
        <v>85</v>
      </c>
      <c r="H1" s="17" t="s">
        <v>86</v>
      </c>
      <c r="I1" s="17" t="s">
        <v>87</v>
      </c>
      <c r="J1" s="17" t="s">
        <v>88</v>
      </c>
      <c r="K1" s="17" t="s">
        <v>65</v>
      </c>
      <c r="L1" s="17" t="s">
        <v>66</v>
      </c>
      <c r="M1" s="17" t="s">
        <v>67</v>
      </c>
      <c r="N1" s="17" t="s">
        <v>68</v>
      </c>
      <c r="O1" s="17" t="s">
        <v>69</v>
      </c>
      <c r="P1" s="17" t="s">
        <v>70</v>
      </c>
      <c r="Q1" s="17" t="s">
        <v>71</v>
      </c>
      <c r="R1" s="17" t="s">
        <v>72</v>
      </c>
      <c r="S1" s="17" t="s">
        <v>73</v>
      </c>
      <c r="T1" s="17" t="s">
        <v>74</v>
      </c>
      <c r="U1" s="17" t="s">
        <v>75</v>
      </c>
      <c r="V1" s="17" t="s">
        <v>76</v>
      </c>
      <c r="W1" s="17" t="s">
        <v>77</v>
      </c>
      <c r="X1" s="17" t="s">
        <v>78</v>
      </c>
      <c r="Y1" s="17" t="s">
        <v>79</v>
      </c>
      <c r="Z1" s="17" t="s">
        <v>80</v>
      </c>
      <c r="AA1" s="17" t="s">
        <v>64</v>
      </c>
      <c r="AB1" s="17" t="s">
        <v>63</v>
      </c>
      <c r="AC1" s="17" t="s">
        <v>62</v>
      </c>
      <c r="AD1" s="17" t="s">
        <v>61</v>
      </c>
      <c r="AE1" s="17" t="s">
        <v>60</v>
      </c>
      <c r="AF1" s="17" t="s">
        <v>59</v>
      </c>
      <c r="AG1" s="17" t="s">
        <v>58</v>
      </c>
      <c r="AH1" s="17" t="s">
        <v>57</v>
      </c>
      <c r="AI1" s="17" t="s">
        <v>56</v>
      </c>
      <c r="AJ1" s="17" t="s">
        <v>55</v>
      </c>
      <c r="AK1" s="17" t="s">
        <v>54</v>
      </c>
      <c r="AL1" s="17" t="s">
        <v>53</v>
      </c>
      <c r="AM1" s="17" t="s">
        <v>52</v>
      </c>
      <c r="AN1" s="17" t="s">
        <v>51</v>
      </c>
      <c r="AO1" s="17" t="s">
        <v>50</v>
      </c>
      <c r="AP1" s="17" t="s">
        <v>49</v>
      </c>
    </row>
    <row r="2" spans="1:42" x14ac:dyDescent="0.25">
      <c r="A2">
        <v>2007</v>
      </c>
      <c r="B2">
        <v>122</v>
      </c>
      <c r="E2" s="1"/>
      <c r="F2" s="1"/>
      <c r="G2" s="1"/>
      <c r="H2" s="1"/>
      <c r="I2" s="1"/>
      <c r="J2" s="1"/>
      <c r="K2" s="1"/>
      <c r="L2" s="1"/>
      <c r="M2" s="1"/>
      <c r="N2" s="1"/>
      <c r="O2" s="1">
        <v>83</v>
      </c>
      <c r="P2" s="1">
        <v>98</v>
      </c>
      <c r="Q2" s="1">
        <v>98</v>
      </c>
      <c r="R2" s="1">
        <v>97</v>
      </c>
      <c r="S2" s="1"/>
      <c r="T2" s="1"/>
      <c r="U2" s="1"/>
      <c r="V2" s="1"/>
      <c r="W2" s="1">
        <v>79</v>
      </c>
      <c r="X2" s="1">
        <v>90</v>
      </c>
      <c r="Y2" s="1">
        <v>99</v>
      </c>
      <c r="Z2" s="1">
        <v>94</v>
      </c>
      <c r="AA2" s="1"/>
      <c r="AB2" s="1"/>
      <c r="AC2" s="1"/>
      <c r="AD2" s="1"/>
      <c r="AE2" s="1">
        <v>76</v>
      </c>
      <c r="AF2" s="1">
        <v>90</v>
      </c>
      <c r="AG2" s="1">
        <v>107</v>
      </c>
      <c r="AH2" s="1">
        <v>98</v>
      </c>
      <c r="AI2" s="1"/>
      <c r="AJ2" s="1"/>
      <c r="AK2" s="1"/>
      <c r="AL2" s="1"/>
      <c r="AM2" s="1">
        <v>91</v>
      </c>
      <c r="AN2" s="1">
        <v>102</v>
      </c>
      <c r="AO2" s="1">
        <v>93</v>
      </c>
      <c r="AP2" s="1">
        <v>95</v>
      </c>
    </row>
    <row r="3" spans="1:42" x14ac:dyDescent="0.25">
      <c r="A3">
        <v>2007</v>
      </c>
      <c r="B3">
        <v>123</v>
      </c>
      <c r="D3" s="1">
        <v>152</v>
      </c>
      <c r="E3" s="1"/>
      <c r="F3" s="1">
        <v>152</v>
      </c>
      <c r="G3" s="1">
        <v>152</v>
      </c>
      <c r="H3" s="1">
        <v>159</v>
      </c>
      <c r="I3" s="1">
        <v>147</v>
      </c>
      <c r="J3" s="1">
        <v>143</v>
      </c>
      <c r="K3" s="1">
        <v>112</v>
      </c>
      <c r="L3" s="1">
        <v>135</v>
      </c>
      <c r="M3" s="1">
        <v>135</v>
      </c>
      <c r="N3" s="1">
        <v>140</v>
      </c>
      <c r="O3" s="1">
        <v>48</v>
      </c>
      <c r="P3" s="1">
        <v>50</v>
      </c>
      <c r="Q3" s="1">
        <v>47</v>
      </c>
      <c r="R3" s="1">
        <v>53</v>
      </c>
      <c r="S3" s="1">
        <v>116</v>
      </c>
      <c r="T3" s="1">
        <v>136</v>
      </c>
      <c r="U3" s="1">
        <v>141</v>
      </c>
      <c r="V3" s="1">
        <v>135</v>
      </c>
      <c r="W3" s="1">
        <v>45</v>
      </c>
      <c r="X3" s="1">
        <v>50</v>
      </c>
      <c r="Y3" s="1">
        <v>45</v>
      </c>
      <c r="Z3" s="1">
        <v>47</v>
      </c>
      <c r="AA3" s="1">
        <v>128</v>
      </c>
      <c r="AB3" s="1">
        <v>147</v>
      </c>
      <c r="AC3" s="1">
        <v>148</v>
      </c>
      <c r="AD3" s="1">
        <v>153</v>
      </c>
      <c r="AE3" s="1">
        <v>59</v>
      </c>
      <c r="AF3" s="1">
        <v>62</v>
      </c>
      <c r="AG3" s="1">
        <v>43</v>
      </c>
      <c r="AH3" s="1">
        <v>48</v>
      </c>
      <c r="AI3" s="1">
        <v>136</v>
      </c>
      <c r="AJ3" s="1">
        <v>145</v>
      </c>
      <c r="AK3" s="1">
        <v>153</v>
      </c>
      <c r="AL3" s="1">
        <v>150</v>
      </c>
      <c r="AM3" s="1">
        <v>64</v>
      </c>
      <c r="AN3" s="1">
        <v>48</v>
      </c>
      <c r="AO3" s="1">
        <v>41</v>
      </c>
      <c r="AP3" s="1">
        <v>34</v>
      </c>
    </row>
    <row r="4" spans="1:42" x14ac:dyDescent="0.25">
      <c r="A4">
        <v>2007</v>
      </c>
      <c r="B4">
        <v>124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25">
      <c r="A5">
        <v>2007</v>
      </c>
      <c r="B5">
        <v>127</v>
      </c>
      <c r="D5" s="1">
        <v>52</v>
      </c>
      <c r="E5" s="1"/>
      <c r="F5" s="1">
        <v>55</v>
      </c>
      <c r="G5" s="1">
        <v>50</v>
      </c>
      <c r="H5" s="1">
        <v>50</v>
      </c>
      <c r="I5" s="1">
        <v>48</v>
      </c>
      <c r="J5" s="1">
        <v>47</v>
      </c>
      <c r="K5" s="1">
        <v>48</v>
      </c>
      <c r="L5" s="1">
        <v>48</v>
      </c>
      <c r="M5" s="1">
        <v>50</v>
      </c>
      <c r="N5" s="1">
        <v>50</v>
      </c>
      <c r="O5" s="1">
        <v>45</v>
      </c>
      <c r="P5" s="1">
        <v>48</v>
      </c>
      <c r="Q5" s="1">
        <v>48</v>
      </c>
      <c r="R5" s="1">
        <v>55</v>
      </c>
      <c r="S5" s="1">
        <v>55</v>
      </c>
      <c r="T5" s="1">
        <v>48</v>
      </c>
      <c r="U5" s="1">
        <v>48</v>
      </c>
      <c r="V5" s="1">
        <v>52</v>
      </c>
      <c r="W5" s="1">
        <v>43</v>
      </c>
      <c r="X5" s="1">
        <v>50</v>
      </c>
      <c r="Y5" s="1">
        <v>57</v>
      </c>
      <c r="Z5" s="1">
        <v>52</v>
      </c>
      <c r="AA5" s="1">
        <v>55</v>
      </c>
      <c r="AB5" s="1">
        <v>55</v>
      </c>
      <c r="AC5" s="1">
        <v>57</v>
      </c>
      <c r="AD5" s="1">
        <v>52</v>
      </c>
      <c r="AE5" s="1">
        <v>48</v>
      </c>
      <c r="AF5" s="1">
        <v>50</v>
      </c>
      <c r="AG5" s="1">
        <v>55</v>
      </c>
      <c r="AH5" s="1">
        <v>55</v>
      </c>
      <c r="AI5" s="1">
        <v>59</v>
      </c>
      <c r="AJ5" s="1">
        <v>55</v>
      </c>
      <c r="AK5" s="1">
        <v>53</v>
      </c>
      <c r="AL5" s="1">
        <v>55</v>
      </c>
      <c r="AM5" s="1">
        <v>57</v>
      </c>
      <c r="AN5" s="1">
        <v>55</v>
      </c>
      <c r="AO5" s="1">
        <v>45</v>
      </c>
      <c r="AP5" s="1">
        <v>45</v>
      </c>
    </row>
    <row r="6" spans="1:42" x14ac:dyDescent="0.25">
      <c r="A6">
        <v>2007</v>
      </c>
      <c r="B6">
        <v>130</v>
      </c>
      <c r="D6" s="1">
        <v>50</v>
      </c>
      <c r="E6" s="1"/>
      <c r="F6" s="1">
        <v>47</v>
      </c>
      <c r="G6" s="1">
        <v>50</v>
      </c>
      <c r="H6" s="1">
        <v>52</v>
      </c>
      <c r="I6" s="1">
        <v>45</v>
      </c>
      <c r="J6" s="1">
        <v>50</v>
      </c>
      <c r="K6" s="1">
        <v>40</v>
      </c>
      <c r="L6" s="1">
        <v>47</v>
      </c>
      <c r="M6" s="1">
        <v>47</v>
      </c>
      <c r="N6" s="1">
        <v>43</v>
      </c>
      <c r="O6" s="1">
        <v>45</v>
      </c>
      <c r="P6" s="1">
        <v>45</v>
      </c>
      <c r="Q6" s="1">
        <v>52</v>
      </c>
      <c r="R6" s="1">
        <v>43</v>
      </c>
      <c r="S6" s="1">
        <v>43</v>
      </c>
      <c r="T6" s="1">
        <v>41</v>
      </c>
      <c r="U6" s="1">
        <v>41</v>
      </c>
      <c r="V6" s="1">
        <v>45</v>
      </c>
      <c r="W6" s="1">
        <v>38</v>
      </c>
      <c r="X6" s="1">
        <v>43</v>
      </c>
      <c r="Y6" s="1">
        <v>45</v>
      </c>
      <c r="Z6" s="1">
        <v>45</v>
      </c>
      <c r="AA6" s="1">
        <v>52</v>
      </c>
      <c r="AB6" s="1">
        <v>55</v>
      </c>
      <c r="AC6" s="1">
        <v>55</v>
      </c>
      <c r="AD6" s="1">
        <v>57</v>
      </c>
      <c r="AE6" s="1">
        <v>48</v>
      </c>
      <c r="AF6" s="1">
        <v>50</v>
      </c>
      <c r="AG6" s="1">
        <v>52</v>
      </c>
      <c r="AH6" s="1">
        <v>40</v>
      </c>
      <c r="AI6" s="1">
        <v>53</v>
      </c>
      <c r="AJ6" s="1">
        <v>55</v>
      </c>
      <c r="AK6" s="1">
        <v>53</v>
      </c>
      <c r="AL6" s="1">
        <v>55</v>
      </c>
      <c r="AM6" s="1">
        <v>52</v>
      </c>
      <c r="AN6" s="1">
        <v>50</v>
      </c>
      <c r="AO6" s="1">
        <v>48</v>
      </c>
      <c r="AP6" s="1">
        <v>45</v>
      </c>
    </row>
    <row r="7" spans="1:42" x14ac:dyDescent="0.25">
      <c r="A7">
        <v>2007</v>
      </c>
      <c r="B7">
        <v>155</v>
      </c>
      <c r="D7" s="1">
        <v>52</v>
      </c>
      <c r="E7" s="1"/>
      <c r="F7" s="1">
        <v>52</v>
      </c>
      <c r="G7" s="1">
        <v>52</v>
      </c>
      <c r="H7" s="1">
        <v>52</v>
      </c>
      <c r="I7" s="1">
        <v>52</v>
      </c>
      <c r="J7" s="1">
        <v>52</v>
      </c>
      <c r="K7" s="1">
        <v>52</v>
      </c>
      <c r="L7" s="1">
        <v>52</v>
      </c>
      <c r="M7" s="1">
        <v>52</v>
      </c>
      <c r="N7" s="1">
        <v>52</v>
      </c>
      <c r="O7" s="1">
        <v>52</v>
      </c>
      <c r="P7" s="1">
        <v>52</v>
      </c>
      <c r="Q7" s="1">
        <v>52</v>
      </c>
      <c r="R7" s="1">
        <v>52</v>
      </c>
      <c r="S7" s="1">
        <v>52</v>
      </c>
      <c r="T7" s="1">
        <v>52</v>
      </c>
      <c r="U7" s="1">
        <v>52</v>
      </c>
      <c r="V7" s="1">
        <v>52</v>
      </c>
      <c r="W7" s="1">
        <v>52</v>
      </c>
      <c r="X7" s="1">
        <v>52</v>
      </c>
      <c r="Y7" s="1">
        <v>52</v>
      </c>
      <c r="Z7" s="1">
        <v>52</v>
      </c>
      <c r="AA7" s="1">
        <v>52</v>
      </c>
      <c r="AB7" s="1">
        <v>52</v>
      </c>
      <c r="AC7" s="1">
        <v>52</v>
      </c>
      <c r="AD7" s="1">
        <v>52</v>
      </c>
      <c r="AE7" s="1">
        <v>52</v>
      </c>
      <c r="AF7" s="1">
        <v>52</v>
      </c>
      <c r="AG7" s="1">
        <v>52</v>
      </c>
      <c r="AH7" s="1">
        <v>52</v>
      </c>
      <c r="AI7" s="1">
        <v>52</v>
      </c>
      <c r="AJ7" s="1">
        <v>52</v>
      </c>
      <c r="AK7" s="1">
        <v>52</v>
      </c>
      <c r="AL7" s="1">
        <v>52</v>
      </c>
      <c r="AM7" s="1">
        <v>52</v>
      </c>
      <c r="AN7" s="1">
        <v>52</v>
      </c>
      <c r="AO7" s="1">
        <v>52</v>
      </c>
      <c r="AP7" s="1">
        <v>52</v>
      </c>
    </row>
    <row r="8" spans="1:42" x14ac:dyDescent="0.25">
      <c r="A8">
        <v>2007</v>
      </c>
      <c r="B8">
        <v>169</v>
      </c>
      <c r="D8" s="1"/>
      <c r="E8" s="1"/>
      <c r="F8" s="1"/>
      <c r="G8" s="1"/>
      <c r="H8" s="1"/>
      <c r="I8" s="1"/>
      <c r="J8" s="1"/>
      <c r="K8" s="1">
        <v>64</v>
      </c>
      <c r="L8" s="1">
        <v>64</v>
      </c>
      <c r="M8" s="1"/>
      <c r="N8" s="1"/>
      <c r="O8" s="1">
        <v>64</v>
      </c>
      <c r="P8" s="1"/>
      <c r="Q8" s="1"/>
      <c r="R8" s="1"/>
      <c r="S8" s="1"/>
      <c r="T8" s="1"/>
      <c r="U8" s="1"/>
      <c r="V8" s="1">
        <v>69</v>
      </c>
      <c r="W8" s="1">
        <v>64</v>
      </c>
      <c r="X8" s="1">
        <v>66</v>
      </c>
      <c r="Y8" s="1"/>
      <c r="Z8" s="1"/>
      <c r="AA8" s="1">
        <v>71</v>
      </c>
      <c r="AB8" s="1">
        <v>64</v>
      </c>
      <c r="AC8" s="1"/>
      <c r="AD8" s="1">
        <v>64</v>
      </c>
      <c r="AE8" s="1"/>
      <c r="AF8" s="1">
        <v>64</v>
      </c>
      <c r="AG8" s="1"/>
      <c r="AH8" s="1"/>
      <c r="AI8" s="1"/>
      <c r="AJ8" s="1"/>
      <c r="AK8" s="1"/>
      <c r="AL8" s="1"/>
      <c r="AM8" s="1"/>
      <c r="AN8" s="1">
        <v>64</v>
      </c>
      <c r="AO8" s="1"/>
      <c r="AP8" s="1">
        <v>64</v>
      </c>
    </row>
    <row r="9" spans="1:42" x14ac:dyDescent="0.25">
      <c r="A9">
        <v>2007</v>
      </c>
      <c r="B9">
        <v>170</v>
      </c>
      <c r="D9" s="1">
        <v>71</v>
      </c>
      <c r="E9" s="1"/>
      <c r="F9" s="1"/>
      <c r="G9" s="1"/>
      <c r="H9" s="1">
        <v>69</v>
      </c>
      <c r="I9" s="1">
        <v>69</v>
      </c>
      <c r="J9" s="1"/>
      <c r="K9" s="1"/>
      <c r="L9" s="1"/>
      <c r="M9" s="1">
        <v>67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>
        <v>69</v>
      </c>
      <c r="AL9" s="1">
        <v>69</v>
      </c>
      <c r="AM9" s="1"/>
      <c r="AN9" s="1"/>
      <c r="AO9" s="1"/>
      <c r="AP9" s="1"/>
    </row>
    <row r="10" spans="1:42" x14ac:dyDescent="0.25">
      <c r="A10">
        <v>2007</v>
      </c>
      <c r="B10">
        <v>173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v>57</v>
      </c>
      <c r="O10" s="1"/>
      <c r="P10" s="1">
        <v>57</v>
      </c>
      <c r="Q10" s="1"/>
      <c r="R10" s="1">
        <v>57</v>
      </c>
      <c r="S10" s="1"/>
      <c r="T10" s="1">
        <v>57</v>
      </c>
      <c r="U10" s="1">
        <v>72</v>
      </c>
      <c r="V10" s="1"/>
      <c r="W10" s="1"/>
      <c r="X10" s="1"/>
      <c r="Y10" s="1">
        <v>71</v>
      </c>
      <c r="Z10" s="1">
        <v>72</v>
      </c>
      <c r="AA10" s="1"/>
      <c r="AB10" s="1"/>
      <c r="AC10" s="1"/>
      <c r="AD10" s="1"/>
      <c r="AE10" s="1"/>
      <c r="AF10" s="1"/>
      <c r="AG10" s="1">
        <v>57</v>
      </c>
      <c r="AH10" s="1">
        <v>72</v>
      </c>
      <c r="AI10" s="1">
        <v>57</v>
      </c>
      <c r="AJ10" s="1">
        <v>57</v>
      </c>
      <c r="AK10" s="1"/>
      <c r="AL10" s="1"/>
      <c r="AM10" s="1">
        <v>72</v>
      </c>
      <c r="AN10" s="1"/>
      <c r="AO10" s="1">
        <v>57</v>
      </c>
      <c r="AP10" s="1"/>
    </row>
    <row r="11" spans="1:42" x14ac:dyDescent="0.25">
      <c r="A11">
        <v>2007</v>
      </c>
      <c r="B11">
        <v>176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66</v>
      </c>
      <c r="R11" s="1"/>
      <c r="S11" s="1">
        <v>66</v>
      </c>
      <c r="T11" s="1"/>
      <c r="U11" s="1"/>
      <c r="V11" s="1"/>
      <c r="W11" s="1"/>
      <c r="X11" s="1"/>
      <c r="Y11" s="1"/>
      <c r="Z11" s="1"/>
      <c r="AA11" s="1"/>
      <c r="AB11" s="1"/>
      <c r="AC11" s="1">
        <v>66</v>
      </c>
      <c r="AD11" s="1"/>
      <c r="AE11" s="1">
        <v>66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5">
      <c r="A12">
        <v>2007</v>
      </c>
      <c r="B12">
        <v>179</v>
      </c>
      <c r="D12" s="1">
        <v>64</v>
      </c>
      <c r="E12" s="1"/>
      <c r="F12" s="1">
        <v>102</v>
      </c>
      <c r="G12" s="1">
        <v>102</v>
      </c>
      <c r="H12" s="1">
        <v>64</v>
      </c>
      <c r="I12" s="1">
        <v>64</v>
      </c>
      <c r="J12" s="1">
        <v>102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>
        <v>2007</v>
      </c>
      <c r="B13">
        <v>180</v>
      </c>
      <c r="D13" s="1"/>
      <c r="E13" s="1"/>
      <c r="F13" s="1"/>
      <c r="G13" s="1"/>
      <c r="H13" s="1"/>
      <c r="I13" s="1"/>
      <c r="J13" s="1"/>
      <c r="K13" s="1">
        <v>72</v>
      </c>
      <c r="L13" s="1">
        <v>72</v>
      </c>
      <c r="M13" s="1"/>
      <c r="N13" s="1"/>
      <c r="O13" s="1">
        <v>72</v>
      </c>
      <c r="P13" s="1"/>
      <c r="Q13" s="1"/>
      <c r="R13" s="1"/>
      <c r="S13" s="1"/>
      <c r="T13" s="1"/>
      <c r="U13" s="1"/>
      <c r="V13" s="1">
        <v>72</v>
      </c>
      <c r="W13" s="1">
        <v>72</v>
      </c>
      <c r="X13" s="1">
        <v>67</v>
      </c>
      <c r="Y13" s="1"/>
      <c r="Z13" s="1"/>
      <c r="AA13" s="1">
        <v>72</v>
      </c>
      <c r="AB13" s="1">
        <v>72</v>
      </c>
      <c r="AC13" s="1"/>
      <c r="AD13" s="1">
        <v>72</v>
      </c>
      <c r="AE13" s="1"/>
      <c r="AF13" s="1">
        <v>66</v>
      </c>
      <c r="AG13" s="1"/>
      <c r="AH13" s="1"/>
      <c r="AI13" s="1"/>
      <c r="AJ13" s="1"/>
      <c r="AK13" s="1"/>
      <c r="AL13" s="1"/>
      <c r="AM13" s="1"/>
      <c r="AN13" s="1">
        <v>64</v>
      </c>
      <c r="AO13" s="1"/>
      <c r="AP13" s="1">
        <v>64</v>
      </c>
    </row>
    <row r="14" spans="1:42" x14ac:dyDescent="0.25">
      <c r="A14">
        <v>2007</v>
      </c>
      <c r="B14">
        <v>183</v>
      </c>
      <c r="D14" s="1"/>
      <c r="E14" s="1"/>
      <c r="F14" s="1"/>
      <c r="G14" s="1"/>
      <c r="H14" s="1"/>
      <c r="I14" s="1"/>
      <c r="J14" s="1"/>
      <c r="K14" s="1"/>
      <c r="L14" s="1"/>
      <c r="M14" s="1">
        <v>79</v>
      </c>
      <c r="N14" s="1">
        <v>57</v>
      </c>
      <c r="O14" s="1"/>
      <c r="P14" s="1">
        <v>57</v>
      </c>
      <c r="Q14" s="1"/>
      <c r="R14" s="1">
        <v>57</v>
      </c>
      <c r="S14" s="1"/>
      <c r="T14" s="1">
        <v>57</v>
      </c>
      <c r="U14" s="1">
        <v>57</v>
      </c>
      <c r="V14" s="1"/>
      <c r="W14" s="1"/>
      <c r="X14" s="1"/>
      <c r="Y14" s="1"/>
      <c r="Z14" s="1">
        <v>88</v>
      </c>
      <c r="AA14" s="1"/>
      <c r="AB14" s="1"/>
      <c r="AC14" s="1"/>
      <c r="AD14" s="1"/>
      <c r="AE14" s="1"/>
      <c r="AF14" s="1"/>
      <c r="AG14" s="1">
        <v>57</v>
      </c>
      <c r="AH14" s="1">
        <v>88</v>
      </c>
      <c r="AI14" s="1">
        <v>57</v>
      </c>
      <c r="AJ14" s="1">
        <v>57</v>
      </c>
      <c r="AK14" s="1">
        <v>79</v>
      </c>
      <c r="AL14" s="1">
        <v>76</v>
      </c>
      <c r="AM14" s="1">
        <v>88</v>
      </c>
      <c r="AN14" s="1"/>
      <c r="AO14" s="1">
        <v>57</v>
      </c>
      <c r="AP14" s="1"/>
    </row>
    <row r="15" spans="1:42" x14ac:dyDescent="0.25">
      <c r="A15">
        <v>2007</v>
      </c>
      <c r="B15">
        <v>187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88</v>
      </c>
      <c r="R15" s="1"/>
      <c r="S15" s="1">
        <v>88</v>
      </c>
      <c r="T15" s="1"/>
      <c r="U15" s="1"/>
      <c r="V15" s="1"/>
      <c r="W15" s="1"/>
      <c r="X15" s="1"/>
      <c r="Y15" s="1">
        <v>88</v>
      </c>
      <c r="Z15" s="1"/>
      <c r="AA15" s="1"/>
      <c r="AB15" s="1"/>
      <c r="AC15" s="1">
        <v>88</v>
      </c>
      <c r="AD15" s="1"/>
      <c r="AE15" s="1">
        <v>88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25">
      <c r="A16">
        <v>2007</v>
      </c>
      <c r="B16">
        <v>190</v>
      </c>
      <c r="D16" s="1"/>
      <c r="E16" s="1"/>
      <c r="F16" s="1"/>
      <c r="G16" s="1"/>
      <c r="H16" s="1"/>
      <c r="I16" s="1"/>
      <c r="J16" s="1"/>
      <c r="K16" s="1">
        <v>88</v>
      </c>
      <c r="L16" s="1">
        <v>88</v>
      </c>
      <c r="M16" s="1"/>
      <c r="N16" s="1"/>
      <c r="O16" s="1">
        <v>88</v>
      </c>
      <c r="P16" s="1"/>
      <c r="Q16" s="1"/>
      <c r="R16" s="1"/>
      <c r="S16" s="1"/>
      <c r="T16" s="1"/>
      <c r="U16" s="1"/>
      <c r="V16" s="1">
        <v>91</v>
      </c>
      <c r="W16" s="1">
        <v>88</v>
      </c>
      <c r="X16" s="1">
        <v>81</v>
      </c>
      <c r="Y16" s="1"/>
      <c r="Z16" s="1"/>
      <c r="AA16" s="1">
        <v>91</v>
      </c>
      <c r="AB16" s="1">
        <v>88</v>
      </c>
      <c r="AC16" s="1"/>
      <c r="AD16" s="1">
        <v>88</v>
      </c>
      <c r="AE16" s="1"/>
      <c r="AF16" s="1">
        <v>78</v>
      </c>
      <c r="AG16" s="1"/>
      <c r="AH16" s="1"/>
      <c r="AI16" s="1"/>
      <c r="AJ16" s="1"/>
      <c r="AK16" s="1"/>
      <c r="AL16" s="1"/>
      <c r="AM16" s="1"/>
      <c r="AN16" s="1">
        <v>88</v>
      </c>
      <c r="AO16" s="1"/>
      <c r="AP16" s="1">
        <v>88</v>
      </c>
    </row>
    <row r="17" spans="1:42" x14ac:dyDescent="0.25">
      <c r="A17">
        <v>2007</v>
      </c>
      <c r="B17">
        <v>191</v>
      </c>
      <c r="D17" s="1">
        <v>100</v>
      </c>
      <c r="E17" s="1"/>
      <c r="F17" s="1"/>
      <c r="G17" s="1"/>
      <c r="H17" s="1">
        <v>100</v>
      </c>
      <c r="I17" s="1">
        <v>100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25">
      <c r="A18">
        <v>2007</v>
      </c>
      <c r="B18">
        <v>193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v>62</v>
      </c>
      <c r="O18" s="1"/>
      <c r="P18" s="1">
        <v>62</v>
      </c>
      <c r="Q18" s="1"/>
      <c r="R18" s="1">
        <v>62</v>
      </c>
      <c r="S18" s="1"/>
      <c r="T18" s="1">
        <v>62</v>
      </c>
      <c r="U18" s="1">
        <v>95</v>
      </c>
      <c r="V18" s="1"/>
      <c r="W18" s="1"/>
      <c r="X18" s="1"/>
      <c r="Y18" s="1"/>
      <c r="Z18" s="1">
        <v>95</v>
      </c>
      <c r="AA18" s="1"/>
      <c r="AB18" s="1"/>
      <c r="AC18" s="1"/>
      <c r="AD18" s="1"/>
      <c r="AE18" s="1"/>
      <c r="AF18" s="1"/>
      <c r="AG18" s="1">
        <v>62</v>
      </c>
      <c r="AH18" s="1">
        <v>95</v>
      </c>
      <c r="AI18" s="1">
        <v>62</v>
      </c>
      <c r="AJ18" s="1">
        <v>62</v>
      </c>
      <c r="AK18" s="1"/>
      <c r="AL18" s="1"/>
      <c r="AM18" s="1">
        <v>95</v>
      </c>
      <c r="AN18" s="1"/>
      <c r="AO18" s="1">
        <v>62</v>
      </c>
      <c r="AP18" s="1"/>
    </row>
    <row r="19" spans="1:42" x14ac:dyDescent="0.25">
      <c r="A19">
        <v>2007</v>
      </c>
      <c r="B19">
        <v>194</v>
      </c>
      <c r="D19" s="1"/>
      <c r="E19" s="1"/>
      <c r="F19" s="1"/>
      <c r="G19" s="1"/>
      <c r="H19" s="1"/>
      <c r="I19" s="1"/>
      <c r="J19" s="1"/>
      <c r="K19" s="1"/>
      <c r="L19" s="1"/>
      <c r="M19" s="1">
        <v>88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>
        <v>84</v>
      </c>
      <c r="AL19" s="1">
        <v>78</v>
      </c>
      <c r="AM19" s="1"/>
      <c r="AN19" s="1"/>
      <c r="AO19" s="1"/>
      <c r="AP19" s="1"/>
    </row>
    <row r="20" spans="1:42" x14ac:dyDescent="0.25">
      <c r="A20">
        <v>2007</v>
      </c>
      <c r="B20">
        <v>201</v>
      </c>
      <c r="D20" s="1"/>
      <c r="E20" s="1"/>
      <c r="F20" s="1">
        <v>131</v>
      </c>
      <c r="G20" s="1">
        <v>129</v>
      </c>
      <c r="H20" s="1"/>
      <c r="I20" s="1"/>
      <c r="J20" s="1">
        <v>129</v>
      </c>
      <c r="K20" s="1"/>
      <c r="L20" s="1"/>
      <c r="M20" s="1"/>
      <c r="N20" s="1"/>
      <c r="O20" s="1"/>
      <c r="P20" s="1"/>
      <c r="Q20" s="1">
        <v>103</v>
      </c>
      <c r="R20" s="1"/>
      <c r="S20" s="1">
        <v>103</v>
      </c>
      <c r="T20" s="1"/>
      <c r="U20" s="1"/>
      <c r="V20" s="1"/>
      <c r="W20" s="1"/>
      <c r="X20" s="1"/>
      <c r="Y20" s="1">
        <v>90</v>
      </c>
      <c r="Z20" s="1"/>
      <c r="AA20" s="1"/>
      <c r="AB20" s="1"/>
      <c r="AC20" s="1">
        <v>103</v>
      </c>
      <c r="AD20" s="1"/>
      <c r="AE20" s="1">
        <v>103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25">
      <c r="A21">
        <v>2007</v>
      </c>
      <c r="B21">
        <v>204</v>
      </c>
      <c r="D21" s="2"/>
      <c r="E21" s="2"/>
      <c r="F21" s="2"/>
      <c r="G21" s="2"/>
      <c r="H21" s="2"/>
      <c r="I21" s="2"/>
      <c r="J21" s="2"/>
      <c r="K21" s="2">
        <v>119</v>
      </c>
      <c r="L21" s="2">
        <v>119</v>
      </c>
      <c r="M21" s="2"/>
      <c r="N21" s="2"/>
      <c r="O21" s="2">
        <v>119</v>
      </c>
      <c r="P21" s="2"/>
      <c r="Q21" s="2"/>
      <c r="R21" s="2"/>
      <c r="S21" s="2"/>
      <c r="T21" s="2"/>
      <c r="U21" s="2"/>
      <c r="V21" s="2">
        <v>124</v>
      </c>
      <c r="W21" s="2">
        <v>119</v>
      </c>
      <c r="X21" s="2">
        <v>122</v>
      </c>
      <c r="Y21" s="2"/>
      <c r="Z21" s="2"/>
      <c r="AA21" s="2">
        <v>124</v>
      </c>
      <c r="AB21" s="2">
        <v>119</v>
      </c>
      <c r="AC21" s="2"/>
      <c r="AD21" s="2">
        <v>119</v>
      </c>
      <c r="AE21" s="2"/>
      <c r="AF21" s="2">
        <v>117</v>
      </c>
      <c r="AG21" s="2"/>
      <c r="AH21" s="2"/>
      <c r="AI21" s="3"/>
      <c r="AJ21" s="3"/>
      <c r="AK21" s="3"/>
      <c r="AL21" s="3"/>
      <c r="AM21" s="3"/>
      <c r="AN21" s="3">
        <v>119</v>
      </c>
      <c r="AO21" s="3"/>
      <c r="AP21" s="3">
        <v>119</v>
      </c>
    </row>
    <row r="22" spans="1:42" x14ac:dyDescent="0.25">
      <c r="A22">
        <v>2007</v>
      </c>
      <c r="B22">
        <v>207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25">
      <c r="A23">
        <v>2007</v>
      </c>
      <c r="B23">
        <v>208</v>
      </c>
      <c r="D23" s="1"/>
      <c r="E23" s="1"/>
      <c r="F23" s="1"/>
      <c r="G23" s="1"/>
      <c r="H23" s="1"/>
      <c r="I23" s="1"/>
      <c r="J23" s="1"/>
      <c r="K23" s="1"/>
      <c r="L23" s="1"/>
      <c r="M23" s="1">
        <v>91</v>
      </c>
      <c r="N23" s="1">
        <v>74</v>
      </c>
      <c r="O23" s="1"/>
      <c r="P23" s="1">
        <v>74</v>
      </c>
      <c r="Q23" s="1"/>
      <c r="R23" s="1">
        <v>74</v>
      </c>
      <c r="S23" s="1"/>
      <c r="T23" s="1">
        <v>74</v>
      </c>
      <c r="U23" s="1">
        <v>103</v>
      </c>
      <c r="V23" s="1"/>
      <c r="W23" s="1"/>
      <c r="X23" s="1"/>
      <c r="Y23" s="1"/>
      <c r="Z23" s="1">
        <v>103</v>
      </c>
      <c r="AA23" s="1"/>
      <c r="AB23" s="1"/>
      <c r="AC23" s="1"/>
      <c r="AD23" s="1"/>
      <c r="AE23" s="1"/>
      <c r="AF23" s="1"/>
      <c r="AG23" s="1">
        <v>74</v>
      </c>
      <c r="AH23" s="1">
        <v>103</v>
      </c>
      <c r="AI23" s="1">
        <v>62</v>
      </c>
      <c r="AJ23" s="1">
        <v>74</v>
      </c>
      <c r="AK23" s="1">
        <v>91</v>
      </c>
      <c r="AL23" s="1">
        <v>79</v>
      </c>
      <c r="AM23" s="1">
        <v>103</v>
      </c>
      <c r="AN23" s="1"/>
      <c r="AO23" s="1">
        <v>74</v>
      </c>
      <c r="AP23" s="1"/>
    </row>
    <row r="24" spans="1:42" x14ac:dyDescent="0.25">
      <c r="A24">
        <v>2007</v>
      </c>
      <c r="B24">
        <v>214</v>
      </c>
      <c r="D24" s="1">
        <v>131</v>
      </c>
      <c r="E24" s="1"/>
      <c r="F24" s="1"/>
      <c r="G24" s="1"/>
      <c r="H24" s="1">
        <v>131</v>
      </c>
      <c r="I24" s="1">
        <v>131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25">
      <c r="A25">
        <v>2007</v>
      </c>
      <c r="B25">
        <v>221</v>
      </c>
      <c r="D25" s="1"/>
      <c r="E25" s="1"/>
      <c r="F25" s="1">
        <v>119</v>
      </c>
      <c r="G25" s="1">
        <v>119</v>
      </c>
      <c r="H25" s="1"/>
      <c r="I25" s="1"/>
      <c r="J25" s="1">
        <v>119</v>
      </c>
      <c r="K25" s="1">
        <v>105</v>
      </c>
      <c r="L25" s="1">
        <v>105</v>
      </c>
      <c r="M25" s="1"/>
      <c r="N25" s="1"/>
      <c r="O25" s="1">
        <v>105</v>
      </c>
      <c r="P25" s="1"/>
      <c r="Q25" s="1"/>
      <c r="R25" s="1"/>
      <c r="S25" s="1"/>
      <c r="T25" s="1"/>
      <c r="U25" s="1"/>
      <c r="V25" s="1">
        <v>105</v>
      </c>
      <c r="W25" s="1">
        <v>105</v>
      </c>
      <c r="X25" s="1">
        <v>105</v>
      </c>
      <c r="Y25" s="1">
        <v>105</v>
      </c>
      <c r="Z25" s="1"/>
      <c r="AA25" s="1">
        <v>105</v>
      </c>
      <c r="AB25" s="1">
        <v>105</v>
      </c>
      <c r="AC25" s="1"/>
      <c r="AD25" s="1">
        <v>105</v>
      </c>
      <c r="AE25" s="1"/>
      <c r="AF25" s="1">
        <v>105</v>
      </c>
      <c r="AG25" s="1"/>
      <c r="AH25" s="1"/>
      <c r="AI25" s="1"/>
      <c r="AJ25" s="1"/>
      <c r="AK25" s="1"/>
      <c r="AL25" s="1"/>
      <c r="AM25" s="1"/>
      <c r="AN25" s="1">
        <v>105</v>
      </c>
      <c r="AO25" s="1"/>
      <c r="AP25" s="1">
        <v>105</v>
      </c>
    </row>
    <row r="26" spans="1:42" x14ac:dyDescent="0.25">
      <c r="A26">
        <v>2007</v>
      </c>
      <c r="B26">
        <v>222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v>78</v>
      </c>
      <c r="O26" s="1"/>
      <c r="P26" s="1">
        <v>78</v>
      </c>
      <c r="Q26" s="1">
        <v>105</v>
      </c>
      <c r="R26" s="1">
        <v>78</v>
      </c>
      <c r="S26" s="1">
        <v>105</v>
      </c>
      <c r="T26" s="1">
        <v>78</v>
      </c>
      <c r="U26" s="1"/>
      <c r="V26" s="1"/>
      <c r="W26" s="1"/>
      <c r="X26" s="1"/>
      <c r="Y26" s="1"/>
      <c r="Z26" s="1"/>
      <c r="AA26" s="1"/>
      <c r="AB26" s="1"/>
      <c r="AC26" s="1">
        <v>105</v>
      </c>
      <c r="AD26" s="1"/>
      <c r="AE26" s="1">
        <v>105</v>
      </c>
      <c r="AF26" s="1"/>
      <c r="AG26" s="1">
        <v>78</v>
      </c>
      <c r="AH26" s="1"/>
      <c r="AI26" s="1">
        <v>78</v>
      </c>
      <c r="AJ26" s="1">
        <v>78</v>
      </c>
      <c r="AK26" s="1"/>
      <c r="AL26" s="1"/>
      <c r="AM26" s="1"/>
      <c r="AN26" s="1"/>
      <c r="AO26" s="1">
        <v>78</v>
      </c>
      <c r="AP26" s="1"/>
    </row>
    <row r="27" spans="1:42" x14ac:dyDescent="0.25">
      <c r="A27">
        <v>2007</v>
      </c>
      <c r="B27">
        <v>225</v>
      </c>
      <c r="D27" s="1"/>
      <c r="E27" s="1"/>
      <c r="F27" s="1"/>
      <c r="G27" s="1"/>
      <c r="H27" s="1"/>
      <c r="I27" s="1"/>
      <c r="J27" s="1"/>
      <c r="K27" s="1"/>
      <c r="L27" s="1"/>
      <c r="M27" s="1">
        <v>117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>
        <v>117</v>
      </c>
      <c r="AL27" s="1">
        <v>117</v>
      </c>
      <c r="AM27" s="1"/>
      <c r="AN27" s="1"/>
      <c r="AO27" s="1"/>
      <c r="AP27" s="1"/>
    </row>
    <row r="28" spans="1:42" x14ac:dyDescent="0.25">
      <c r="A28">
        <v>2007</v>
      </c>
      <c r="B28">
        <v>226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95</v>
      </c>
      <c r="V28" s="1"/>
      <c r="W28" s="1"/>
      <c r="X28" s="1"/>
      <c r="Y28" s="1"/>
      <c r="Z28" s="1">
        <v>95</v>
      </c>
      <c r="AA28" s="1"/>
      <c r="AB28" s="1"/>
      <c r="AC28" s="1"/>
      <c r="AD28" s="1"/>
      <c r="AE28" s="1"/>
      <c r="AF28" s="1"/>
      <c r="AG28" s="1"/>
      <c r="AH28" s="1">
        <v>95</v>
      </c>
      <c r="AI28" s="1"/>
      <c r="AJ28" s="1"/>
      <c r="AK28" s="1"/>
      <c r="AL28" s="1"/>
      <c r="AM28" s="1">
        <v>95</v>
      </c>
      <c r="AN28" s="1"/>
      <c r="AO28" s="1"/>
      <c r="AP28" s="1"/>
    </row>
    <row r="29" spans="1:42" x14ac:dyDescent="0.25">
      <c r="A29">
        <v>2007</v>
      </c>
      <c r="B29">
        <v>232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v>90</v>
      </c>
      <c r="O29" s="1"/>
      <c r="P29" s="1">
        <v>90</v>
      </c>
      <c r="Q29" s="1"/>
      <c r="R29" s="1">
        <v>90</v>
      </c>
      <c r="S29" s="1"/>
      <c r="T29" s="1">
        <v>90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>
        <v>90</v>
      </c>
      <c r="AH29" s="1"/>
      <c r="AI29" s="1">
        <v>100</v>
      </c>
      <c r="AJ29" s="1">
        <v>90</v>
      </c>
      <c r="AK29" s="1"/>
      <c r="AL29" s="1"/>
      <c r="AM29" s="1"/>
      <c r="AN29" s="1"/>
      <c r="AO29" s="1">
        <v>90</v>
      </c>
      <c r="AP29" s="1"/>
    </row>
    <row r="30" spans="1:42" x14ac:dyDescent="0.25">
      <c r="A30">
        <v>2007</v>
      </c>
      <c r="B30">
        <v>233</v>
      </c>
      <c r="D30" s="1">
        <v>124</v>
      </c>
      <c r="E30" s="1"/>
      <c r="F30" s="1">
        <v>107</v>
      </c>
      <c r="G30" s="1">
        <v>107</v>
      </c>
      <c r="H30" s="1">
        <v>124</v>
      </c>
      <c r="I30" s="1">
        <v>124</v>
      </c>
      <c r="J30" s="1">
        <v>107</v>
      </c>
      <c r="K30" s="1">
        <v>107</v>
      </c>
      <c r="L30" s="1">
        <v>107</v>
      </c>
      <c r="M30" s="1"/>
      <c r="N30" s="1"/>
      <c r="O30" s="1">
        <v>107</v>
      </c>
      <c r="P30" s="1"/>
      <c r="Q30" s="1"/>
      <c r="R30" s="1"/>
      <c r="S30" s="1"/>
      <c r="T30" s="1"/>
      <c r="U30" s="1"/>
      <c r="V30" s="1">
        <v>107</v>
      </c>
      <c r="W30" s="1">
        <v>107</v>
      </c>
      <c r="X30" s="1">
        <v>107</v>
      </c>
      <c r="Y30" s="1">
        <v>107</v>
      </c>
      <c r="Z30" s="1"/>
      <c r="AA30" s="1">
        <v>107</v>
      </c>
      <c r="AB30" s="1">
        <v>107</v>
      </c>
      <c r="AC30" s="1"/>
      <c r="AD30" s="1">
        <v>107</v>
      </c>
      <c r="AE30" s="1"/>
      <c r="AF30" s="1">
        <v>107</v>
      </c>
      <c r="AG30" s="1"/>
      <c r="AH30" s="1"/>
      <c r="AI30" s="1"/>
      <c r="AJ30" s="1"/>
      <c r="AK30" s="1"/>
      <c r="AL30" s="1"/>
      <c r="AM30" s="1"/>
      <c r="AN30" s="1">
        <v>107</v>
      </c>
      <c r="AO30" s="1"/>
      <c r="AP30" s="1">
        <v>107</v>
      </c>
    </row>
    <row r="31" spans="1:42" x14ac:dyDescent="0.25">
      <c r="A31">
        <v>2007</v>
      </c>
      <c r="B31">
        <v>234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5">
      <c r="A32">
        <v>2007</v>
      </c>
      <c r="B32">
        <v>235</v>
      </c>
      <c r="D32" s="1"/>
      <c r="E32" s="1"/>
      <c r="F32" s="1"/>
      <c r="G32" s="1"/>
      <c r="H32" s="1"/>
      <c r="I32" s="1"/>
      <c r="J32" s="1"/>
      <c r="K32" s="1"/>
      <c r="L32" s="1"/>
      <c r="M32" s="1">
        <v>107</v>
      </c>
      <c r="N32" s="1"/>
      <c r="O32" s="1"/>
      <c r="P32" s="1"/>
      <c r="Q32" s="1">
        <v>107</v>
      </c>
      <c r="R32" s="1"/>
      <c r="S32" s="1">
        <v>107</v>
      </c>
      <c r="T32" s="1"/>
      <c r="U32" s="1">
        <v>76</v>
      </c>
      <c r="V32" s="1"/>
      <c r="W32" s="1"/>
      <c r="X32" s="1"/>
      <c r="Y32" s="1"/>
      <c r="Z32" s="1">
        <v>83</v>
      </c>
      <c r="AA32" s="1"/>
      <c r="AB32" s="1"/>
      <c r="AC32" s="1">
        <v>107</v>
      </c>
      <c r="AD32" s="1"/>
      <c r="AE32" s="1">
        <v>107</v>
      </c>
      <c r="AF32" s="1"/>
      <c r="AG32" s="1"/>
      <c r="AH32" s="1">
        <v>83</v>
      </c>
      <c r="AI32" s="1"/>
      <c r="AJ32" s="1"/>
      <c r="AK32" s="1">
        <v>95</v>
      </c>
      <c r="AL32" s="1">
        <v>95</v>
      </c>
      <c r="AM32" s="1">
        <v>83</v>
      </c>
      <c r="AN32" s="1"/>
      <c r="AO32" s="1"/>
      <c r="AP32" s="1"/>
    </row>
    <row r="33" spans="1:42" x14ac:dyDescent="0.25">
      <c r="A33">
        <v>2007</v>
      </c>
      <c r="B33">
        <v>248</v>
      </c>
      <c r="D33" s="1"/>
      <c r="E33" s="1"/>
      <c r="F33" s="1"/>
      <c r="G33" s="1"/>
      <c r="H33" s="1"/>
      <c r="I33" s="1"/>
      <c r="J33" s="1"/>
      <c r="K33" s="1">
        <v>72</v>
      </c>
      <c r="L33" s="1">
        <v>72</v>
      </c>
      <c r="M33" s="1"/>
      <c r="N33" s="1">
        <v>81</v>
      </c>
      <c r="O33" s="1">
        <v>72</v>
      </c>
      <c r="P33" s="1">
        <v>81</v>
      </c>
      <c r="Q33" s="1"/>
      <c r="R33" s="1">
        <v>81</v>
      </c>
      <c r="S33" s="1"/>
      <c r="T33" s="1">
        <v>81</v>
      </c>
      <c r="U33" s="1"/>
      <c r="V33" s="1">
        <v>74</v>
      </c>
      <c r="W33" s="1">
        <v>72</v>
      </c>
      <c r="X33" s="1">
        <v>74</v>
      </c>
      <c r="Y33" s="1">
        <v>74</v>
      </c>
      <c r="Z33" s="1"/>
      <c r="AA33" s="1">
        <v>74</v>
      </c>
      <c r="AB33" s="1">
        <v>72</v>
      </c>
      <c r="AC33" s="1"/>
      <c r="AD33" s="1">
        <v>72</v>
      </c>
      <c r="AE33" s="1"/>
      <c r="AF33" s="1">
        <v>74</v>
      </c>
      <c r="AG33" s="1">
        <v>81</v>
      </c>
      <c r="AH33" s="1"/>
      <c r="AI33" s="1">
        <v>81</v>
      </c>
      <c r="AJ33" s="1">
        <v>81</v>
      </c>
      <c r="AK33" s="1"/>
      <c r="AL33" s="1"/>
      <c r="AM33" s="1"/>
      <c r="AN33" s="1">
        <v>72</v>
      </c>
      <c r="AO33" s="1">
        <v>81</v>
      </c>
      <c r="AP33" s="1">
        <v>72</v>
      </c>
    </row>
    <row r="34" spans="1:42" x14ac:dyDescent="0.25">
      <c r="A34">
        <v>2007</v>
      </c>
      <c r="B34">
        <v>249</v>
      </c>
      <c r="D34" s="1">
        <v>60</v>
      </c>
      <c r="E34" s="1"/>
      <c r="F34" s="1">
        <v>72</v>
      </c>
      <c r="G34" s="1">
        <v>72</v>
      </c>
      <c r="H34" s="1">
        <v>60</v>
      </c>
      <c r="I34" s="1">
        <v>60</v>
      </c>
      <c r="J34" s="1">
        <v>72</v>
      </c>
      <c r="K34" s="1"/>
      <c r="L34" s="1"/>
      <c r="M34" s="1">
        <v>60</v>
      </c>
      <c r="N34" s="1"/>
      <c r="O34" s="1"/>
      <c r="P34" s="1"/>
      <c r="Q34" s="1">
        <v>60</v>
      </c>
      <c r="R34" s="1"/>
      <c r="S34" s="1">
        <v>60</v>
      </c>
      <c r="T34" s="1"/>
      <c r="U34" s="1">
        <v>60</v>
      </c>
      <c r="V34" s="1"/>
      <c r="W34" s="1"/>
      <c r="X34" s="1"/>
      <c r="Y34" s="1"/>
      <c r="Z34" s="1">
        <v>60</v>
      </c>
      <c r="AA34" s="1"/>
      <c r="AB34" s="1"/>
      <c r="AC34" s="1">
        <v>60</v>
      </c>
      <c r="AD34" s="1"/>
      <c r="AE34" s="1">
        <v>60</v>
      </c>
      <c r="AF34" s="1"/>
      <c r="AG34" s="1"/>
      <c r="AH34" s="1">
        <v>60</v>
      </c>
      <c r="AI34" s="1"/>
      <c r="AJ34" s="1"/>
      <c r="AK34" s="1">
        <v>60</v>
      </c>
      <c r="AL34" s="1">
        <v>60</v>
      </c>
      <c r="AM34" s="1">
        <v>60</v>
      </c>
      <c r="AN34" s="1"/>
      <c r="AO34" s="1"/>
      <c r="AP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98CA-A4FE-4A1E-8BDF-FD66BC2310A1}">
  <dimension ref="A1:AP26"/>
  <sheetViews>
    <sheetView workbookViewId="0">
      <selection activeCell="A15" sqref="A15:XFD26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s="17" t="s">
        <v>81</v>
      </c>
      <c r="D1" s="17" t="s">
        <v>82</v>
      </c>
      <c r="E1" s="17" t="s">
        <v>83</v>
      </c>
      <c r="F1" s="17" t="s">
        <v>84</v>
      </c>
      <c r="G1" s="17" t="s">
        <v>85</v>
      </c>
      <c r="H1" s="17" t="s">
        <v>86</v>
      </c>
      <c r="I1" s="17" t="s">
        <v>87</v>
      </c>
      <c r="J1" s="17" t="s">
        <v>88</v>
      </c>
      <c r="K1" s="17" t="s">
        <v>65</v>
      </c>
      <c r="L1" s="17" t="s">
        <v>66</v>
      </c>
      <c r="M1" s="17" t="s">
        <v>67</v>
      </c>
      <c r="N1" s="17" t="s">
        <v>68</v>
      </c>
      <c r="O1" s="17" t="s">
        <v>69</v>
      </c>
      <c r="P1" s="17" t="s">
        <v>70</v>
      </c>
      <c r="Q1" s="17" t="s">
        <v>71</v>
      </c>
      <c r="R1" s="17" t="s">
        <v>72</v>
      </c>
      <c r="S1" s="17" t="s">
        <v>73</v>
      </c>
      <c r="T1" s="17" t="s">
        <v>74</v>
      </c>
      <c r="U1" s="17" t="s">
        <v>75</v>
      </c>
      <c r="V1" s="17" t="s">
        <v>76</v>
      </c>
      <c r="W1" s="17" t="s">
        <v>77</v>
      </c>
      <c r="X1" s="17" t="s">
        <v>78</v>
      </c>
      <c r="Y1" s="17" t="s">
        <v>79</v>
      </c>
      <c r="Z1" s="17" t="s">
        <v>80</v>
      </c>
      <c r="AA1" s="17" t="s">
        <v>64</v>
      </c>
      <c r="AB1" s="17" t="s">
        <v>63</v>
      </c>
      <c r="AC1" s="17" t="s">
        <v>62</v>
      </c>
      <c r="AD1" s="17" t="s">
        <v>61</v>
      </c>
      <c r="AE1" s="17" t="s">
        <v>60</v>
      </c>
      <c r="AF1" s="17" t="s">
        <v>59</v>
      </c>
      <c r="AG1" s="17" t="s">
        <v>58</v>
      </c>
      <c r="AH1" s="17" t="s">
        <v>57</v>
      </c>
      <c r="AI1" s="17" t="s">
        <v>56</v>
      </c>
      <c r="AJ1" s="17" t="s">
        <v>55</v>
      </c>
      <c r="AK1" s="17" t="s">
        <v>54</v>
      </c>
      <c r="AL1" s="17" t="s">
        <v>53</v>
      </c>
      <c r="AM1" s="17" t="s">
        <v>52</v>
      </c>
      <c r="AN1" s="17" t="s">
        <v>51</v>
      </c>
      <c r="AO1" s="17" t="s">
        <v>50</v>
      </c>
      <c r="AP1" s="17" t="s">
        <v>49</v>
      </c>
    </row>
    <row r="2" spans="1:42" s="18" customFormat="1" x14ac:dyDescent="0.25">
      <c r="A2" s="18">
        <v>2007</v>
      </c>
      <c r="B2" s="18">
        <v>155</v>
      </c>
      <c r="F2" s="18">
        <v>50</v>
      </c>
      <c r="G2" s="18">
        <v>50</v>
      </c>
      <c r="H2" s="18">
        <v>50</v>
      </c>
      <c r="I2" s="18">
        <v>50</v>
      </c>
      <c r="J2" s="18">
        <v>50</v>
      </c>
      <c r="K2" s="18">
        <v>50</v>
      </c>
      <c r="L2" s="18">
        <v>50</v>
      </c>
      <c r="M2" s="18">
        <v>50</v>
      </c>
      <c r="N2" s="18">
        <v>50</v>
      </c>
      <c r="O2" s="18">
        <v>50</v>
      </c>
      <c r="P2" s="18">
        <v>50</v>
      </c>
      <c r="Q2" s="18">
        <v>50</v>
      </c>
      <c r="R2" s="18">
        <v>50</v>
      </c>
      <c r="S2" s="18">
        <v>50</v>
      </c>
      <c r="T2" s="18">
        <v>50</v>
      </c>
      <c r="U2" s="18">
        <v>50</v>
      </c>
      <c r="V2" s="18">
        <v>50</v>
      </c>
      <c r="W2" s="18">
        <v>50</v>
      </c>
      <c r="X2" s="18">
        <v>50</v>
      </c>
      <c r="Y2" s="18">
        <v>50</v>
      </c>
      <c r="Z2" s="18">
        <v>50</v>
      </c>
      <c r="AA2" s="18">
        <v>50</v>
      </c>
      <c r="AB2" s="18">
        <v>50</v>
      </c>
      <c r="AC2" s="18">
        <v>50</v>
      </c>
      <c r="AD2" s="18">
        <v>50</v>
      </c>
      <c r="AE2" s="18">
        <v>50</v>
      </c>
      <c r="AF2" s="18">
        <v>50</v>
      </c>
      <c r="AG2" s="18">
        <v>50</v>
      </c>
      <c r="AH2" s="18">
        <v>50</v>
      </c>
      <c r="AI2" s="18">
        <v>50</v>
      </c>
      <c r="AJ2" s="18">
        <v>50</v>
      </c>
      <c r="AM2" s="18">
        <v>50</v>
      </c>
      <c r="AN2" s="18">
        <v>50</v>
      </c>
      <c r="AO2" s="18">
        <v>50</v>
      </c>
      <c r="AP2" s="18">
        <v>50</v>
      </c>
    </row>
    <row r="3" spans="1:42" s="18" customFormat="1" x14ac:dyDescent="0.25">
      <c r="A3" s="18">
        <v>2007</v>
      </c>
      <c r="B3" s="18">
        <v>170</v>
      </c>
      <c r="D3" s="18">
        <v>50</v>
      </c>
      <c r="AK3" s="18">
        <v>50</v>
      </c>
      <c r="AL3" s="18">
        <v>50</v>
      </c>
    </row>
    <row r="4" spans="1:42" s="18" customFormat="1" x14ac:dyDescent="0.25">
      <c r="A4" s="18">
        <v>2007</v>
      </c>
      <c r="B4" s="18">
        <v>179</v>
      </c>
      <c r="D4" s="18">
        <v>50</v>
      </c>
      <c r="F4" s="18">
        <v>50</v>
      </c>
      <c r="G4" s="18">
        <v>50</v>
      </c>
      <c r="H4" s="18">
        <v>50</v>
      </c>
      <c r="I4" s="18">
        <v>50</v>
      </c>
    </row>
    <row r="5" spans="1:42" s="18" customFormat="1" x14ac:dyDescent="0.25">
      <c r="A5" s="18">
        <v>2007</v>
      </c>
      <c r="B5" s="18">
        <v>180</v>
      </c>
      <c r="K5" s="18">
        <v>50</v>
      </c>
      <c r="L5" s="18">
        <v>50</v>
      </c>
      <c r="O5" s="18">
        <v>50</v>
      </c>
      <c r="V5" s="18">
        <v>50</v>
      </c>
      <c r="W5" s="18">
        <v>50</v>
      </c>
      <c r="X5" s="18">
        <v>50</v>
      </c>
      <c r="AA5" s="18">
        <v>50</v>
      </c>
      <c r="AB5" s="18">
        <v>50</v>
      </c>
      <c r="AD5" s="18">
        <v>50</v>
      </c>
      <c r="AF5" s="18">
        <v>50</v>
      </c>
      <c r="AN5" s="18">
        <v>50</v>
      </c>
      <c r="AP5" s="18">
        <v>50</v>
      </c>
    </row>
    <row r="6" spans="1:42" s="18" customFormat="1" x14ac:dyDescent="0.25">
      <c r="A6" s="18">
        <v>2007</v>
      </c>
      <c r="B6" s="18">
        <v>183</v>
      </c>
      <c r="M6" s="18">
        <v>50</v>
      </c>
      <c r="N6" s="18">
        <v>50</v>
      </c>
      <c r="P6" s="18">
        <v>50</v>
      </c>
      <c r="R6" s="18">
        <v>50</v>
      </c>
      <c r="T6" s="18">
        <v>50</v>
      </c>
      <c r="U6" s="18">
        <v>50</v>
      </c>
      <c r="Z6" s="18">
        <v>50</v>
      </c>
      <c r="AG6" s="18">
        <v>50</v>
      </c>
      <c r="AH6" s="18">
        <v>50</v>
      </c>
      <c r="AI6" s="18">
        <v>50</v>
      </c>
      <c r="AJ6" s="18">
        <v>50</v>
      </c>
      <c r="AK6" s="18">
        <v>50</v>
      </c>
      <c r="AL6" s="18">
        <v>50</v>
      </c>
      <c r="AM6" s="18">
        <v>50</v>
      </c>
      <c r="AO6" s="18">
        <v>50</v>
      </c>
    </row>
    <row r="7" spans="1:42" s="18" customFormat="1" x14ac:dyDescent="0.25">
      <c r="A7" s="18">
        <v>2007</v>
      </c>
      <c r="B7" s="18">
        <v>187</v>
      </c>
      <c r="Q7" s="18">
        <v>50</v>
      </c>
      <c r="S7" s="18">
        <v>50</v>
      </c>
      <c r="Y7" s="18">
        <v>50</v>
      </c>
      <c r="AC7" s="18">
        <v>50</v>
      </c>
      <c r="AE7" s="18">
        <v>50</v>
      </c>
    </row>
    <row r="8" spans="1:42" s="18" customFormat="1" x14ac:dyDescent="0.25">
      <c r="A8" s="18">
        <v>2007</v>
      </c>
      <c r="B8" s="18">
        <v>201</v>
      </c>
      <c r="J8" s="18">
        <v>50</v>
      </c>
    </row>
    <row r="9" spans="1:42" s="18" customFormat="1" x14ac:dyDescent="0.25">
      <c r="A9" s="18">
        <v>2007</v>
      </c>
      <c r="B9" s="18">
        <v>221</v>
      </c>
      <c r="F9" s="18">
        <v>25</v>
      </c>
      <c r="G9" s="18">
        <v>25</v>
      </c>
      <c r="J9" s="18">
        <v>25</v>
      </c>
      <c r="K9" s="18">
        <v>25</v>
      </c>
      <c r="L9" s="18">
        <v>25</v>
      </c>
      <c r="O9" s="18">
        <v>25</v>
      </c>
      <c r="V9" s="18">
        <v>25</v>
      </c>
      <c r="W9" s="18">
        <v>25</v>
      </c>
      <c r="X9" s="18">
        <v>25</v>
      </c>
      <c r="Y9" s="18">
        <v>25</v>
      </c>
      <c r="AA9" s="18">
        <v>25</v>
      </c>
      <c r="AB9" s="18">
        <v>25</v>
      </c>
      <c r="AD9" s="18">
        <v>25</v>
      </c>
      <c r="AF9" s="18">
        <v>25</v>
      </c>
      <c r="AN9" s="18">
        <v>25</v>
      </c>
      <c r="AP9" s="18">
        <v>25</v>
      </c>
    </row>
    <row r="10" spans="1:42" s="18" customFormat="1" x14ac:dyDescent="0.25">
      <c r="A10" s="18">
        <v>2007</v>
      </c>
      <c r="B10" s="18">
        <v>222</v>
      </c>
      <c r="N10" s="18">
        <v>25</v>
      </c>
      <c r="P10" s="18">
        <v>25</v>
      </c>
      <c r="Q10" s="18">
        <v>25</v>
      </c>
      <c r="R10" s="18">
        <v>25</v>
      </c>
      <c r="S10" s="18">
        <v>25</v>
      </c>
      <c r="T10" s="18">
        <v>25</v>
      </c>
      <c r="AC10" s="18">
        <v>25</v>
      </c>
      <c r="AE10" s="18">
        <v>25</v>
      </c>
      <c r="AG10" s="18">
        <v>25</v>
      </c>
      <c r="AI10" s="18">
        <v>25</v>
      </c>
      <c r="AJ10" s="18">
        <v>25</v>
      </c>
      <c r="AO10" s="18">
        <v>25</v>
      </c>
    </row>
    <row r="11" spans="1:42" s="18" customFormat="1" x14ac:dyDescent="0.25">
      <c r="A11" s="18">
        <v>2007</v>
      </c>
      <c r="B11" s="18">
        <v>225</v>
      </c>
      <c r="M11" s="18">
        <v>25</v>
      </c>
      <c r="AK11" s="18">
        <v>25</v>
      </c>
      <c r="AL11" s="18">
        <v>25</v>
      </c>
    </row>
    <row r="12" spans="1:42" s="18" customFormat="1" x14ac:dyDescent="0.25">
      <c r="A12" s="18">
        <v>2007</v>
      </c>
      <c r="B12" s="18">
        <v>226</v>
      </c>
      <c r="U12" s="18">
        <v>25</v>
      </c>
      <c r="Z12" s="18">
        <v>25</v>
      </c>
      <c r="AH12" s="18">
        <v>25</v>
      </c>
      <c r="AM12" s="18">
        <v>25</v>
      </c>
    </row>
    <row r="13" spans="1:42" s="18" customFormat="1" x14ac:dyDescent="0.25"/>
    <row r="14" spans="1:42" s="18" customFormat="1" x14ac:dyDescent="0.25">
      <c r="A14" t="s">
        <v>89</v>
      </c>
    </row>
    <row r="15" spans="1:42" x14ac:dyDescent="0.25">
      <c r="A15" t="s">
        <v>0</v>
      </c>
      <c r="B15" t="s">
        <v>1</v>
      </c>
      <c r="C15" s="17" t="s">
        <v>81</v>
      </c>
      <c r="D15" s="17" t="s">
        <v>82</v>
      </c>
      <c r="E15" s="17" t="s">
        <v>83</v>
      </c>
      <c r="F15" s="17" t="s">
        <v>84</v>
      </c>
      <c r="G15" s="17" t="s">
        <v>85</v>
      </c>
      <c r="H15" s="17" t="s">
        <v>86</v>
      </c>
      <c r="I15" s="17" t="s">
        <v>87</v>
      </c>
      <c r="J15" s="17" t="s">
        <v>88</v>
      </c>
      <c r="K15" s="17" t="s">
        <v>65</v>
      </c>
      <c r="L15" s="17" t="s">
        <v>66</v>
      </c>
      <c r="M15" s="17" t="s">
        <v>67</v>
      </c>
      <c r="N15" s="17" t="s">
        <v>68</v>
      </c>
      <c r="O15" s="17" t="s">
        <v>69</v>
      </c>
      <c r="P15" s="17" t="s">
        <v>70</v>
      </c>
      <c r="Q15" s="17" t="s">
        <v>71</v>
      </c>
      <c r="R15" s="17" t="s">
        <v>72</v>
      </c>
      <c r="S15" s="17" t="s">
        <v>73</v>
      </c>
      <c r="T15" s="17" t="s">
        <v>74</v>
      </c>
      <c r="U15" s="17" t="s">
        <v>75</v>
      </c>
      <c r="V15" s="17" t="s">
        <v>76</v>
      </c>
      <c r="W15" s="17" t="s">
        <v>77</v>
      </c>
      <c r="X15" s="17" t="s">
        <v>78</v>
      </c>
      <c r="Y15" s="17" t="s">
        <v>79</v>
      </c>
      <c r="Z15" s="17" t="s">
        <v>80</v>
      </c>
      <c r="AA15" s="17" t="s">
        <v>64</v>
      </c>
      <c r="AB15" s="17" t="s">
        <v>63</v>
      </c>
      <c r="AC15" s="17" t="s">
        <v>62</v>
      </c>
      <c r="AD15" s="17" t="s">
        <v>61</v>
      </c>
      <c r="AE15" s="17" t="s">
        <v>60</v>
      </c>
      <c r="AF15" s="17" t="s">
        <v>59</v>
      </c>
      <c r="AG15" s="17" t="s">
        <v>58</v>
      </c>
      <c r="AH15" s="17" t="s">
        <v>57</v>
      </c>
      <c r="AI15" s="17" t="s">
        <v>56</v>
      </c>
      <c r="AJ15" s="17" t="s">
        <v>55</v>
      </c>
      <c r="AK15" s="17" t="s">
        <v>54</v>
      </c>
      <c r="AL15" s="17" t="s">
        <v>53</v>
      </c>
      <c r="AM15" s="17" t="s">
        <v>52</v>
      </c>
      <c r="AN15" s="17" t="s">
        <v>51</v>
      </c>
      <c r="AO15" s="17" t="s">
        <v>50</v>
      </c>
      <c r="AP15" s="17" t="s">
        <v>49</v>
      </c>
    </row>
    <row r="16" spans="1:42" s="18" customFormat="1" x14ac:dyDescent="0.25">
      <c r="A16" s="18">
        <v>2007</v>
      </c>
      <c r="B16" s="18">
        <v>155</v>
      </c>
      <c r="C16" s="19"/>
      <c r="D16" s="19"/>
      <c r="E16" s="19"/>
      <c r="F16" s="19">
        <f t="shared" ref="D16:AP22" si="0">F2*0.453592/0.404686</f>
        <v>56.042462551212544</v>
      </c>
      <c r="G16" s="19">
        <f t="shared" si="0"/>
        <v>56.042462551212544</v>
      </c>
      <c r="H16" s="19">
        <f t="shared" si="0"/>
        <v>56.042462551212544</v>
      </c>
      <c r="I16" s="19">
        <f t="shared" si="0"/>
        <v>56.042462551212544</v>
      </c>
      <c r="J16" s="19">
        <f t="shared" si="0"/>
        <v>56.042462551212544</v>
      </c>
      <c r="K16" s="19">
        <f t="shared" si="0"/>
        <v>56.042462551212544</v>
      </c>
      <c r="L16" s="19">
        <f t="shared" si="0"/>
        <v>56.042462551212544</v>
      </c>
      <c r="M16" s="19">
        <f t="shared" si="0"/>
        <v>56.042462551212544</v>
      </c>
      <c r="N16" s="19">
        <f t="shared" si="0"/>
        <v>56.042462551212544</v>
      </c>
      <c r="O16" s="19">
        <f t="shared" si="0"/>
        <v>56.042462551212544</v>
      </c>
      <c r="P16" s="19">
        <f t="shared" si="0"/>
        <v>56.042462551212544</v>
      </c>
      <c r="Q16" s="19">
        <f t="shared" si="0"/>
        <v>56.042462551212544</v>
      </c>
      <c r="R16" s="19">
        <f t="shared" si="0"/>
        <v>56.042462551212544</v>
      </c>
      <c r="S16" s="19">
        <f t="shared" si="0"/>
        <v>56.042462551212544</v>
      </c>
      <c r="T16" s="19">
        <f t="shared" si="0"/>
        <v>56.042462551212544</v>
      </c>
      <c r="U16" s="19">
        <f t="shared" si="0"/>
        <v>56.042462551212544</v>
      </c>
      <c r="V16" s="19">
        <f t="shared" si="0"/>
        <v>56.042462551212544</v>
      </c>
      <c r="W16" s="19">
        <f t="shared" si="0"/>
        <v>56.042462551212544</v>
      </c>
      <c r="X16" s="19">
        <f t="shared" si="0"/>
        <v>56.042462551212544</v>
      </c>
      <c r="Y16" s="19">
        <f t="shared" si="0"/>
        <v>56.042462551212544</v>
      </c>
      <c r="Z16" s="19">
        <f t="shared" si="0"/>
        <v>56.042462551212544</v>
      </c>
      <c r="AA16" s="19">
        <f t="shared" si="0"/>
        <v>56.042462551212544</v>
      </c>
      <c r="AB16" s="19">
        <f t="shared" si="0"/>
        <v>56.042462551212544</v>
      </c>
      <c r="AC16" s="19">
        <f t="shared" si="0"/>
        <v>56.042462551212544</v>
      </c>
      <c r="AD16" s="19">
        <f t="shared" si="0"/>
        <v>56.042462551212544</v>
      </c>
      <c r="AE16" s="19">
        <f t="shared" si="0"/>
        <v>56.042462551212544</v>
      </c>
      <c r="AF16" s="19">
        <f t="shared" si="0"/>
        <v>56.042462551212544</v>
      </c>
      <c r="AG16" s="19">
        <f t="shared" si="0"/>
        <v>56.042462551212544</v>
      </c>
      <c r="AH16" s="19">
        <f t="shared" si="0"/>
        <v>56.042462551212544</v>
      </c>
      <c r="AI16" s="19">
        <f t="shared" si="0"/>
        <v>56.042462551212544</v>
      </c>
      <c r="AJ16" s="19">
        <f t="shared" si="0"/>
        <v>56.042462551212544</v>
      </c>
      <c r="AK16" s="19"/>
      <c r="AL16" s="19"/>
      <c r="AM16" s="19">
        <f t="shared" si="0"/>
        <v>56.042462551212544</v>
      </c>
      <c r="AN16" s="19">
        <f t="shared" si="0"/>
        <v>56.042462551212544</v>
      </c>
      <c r="AO16" s="19">
        <f t="shared" si="0"/>
        <v>56.042462551212544</v>
      </c>
      <c r="AP16" s="19">
        <f t="shared" si="0"/>
        <v>56.042462551212544</v>
      </c>
    </row>
    <row r="17" spans="1:42" s="18" customFormat="1" x14ac:dyDescent="0.25">
      <c r="A17" s="18">
        <v>2007</v>
      </c>
      <c r="B17" s="18">
        <v>170</v>
      </c>
      <c r="C17" s="19"/>
      <c r="D17" s="19">
        <f t="shared" ref="D17" si="1">D3*0.453592/0.404686</f>
        <v>56.042462551212544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>
        <f t="shared" si="0"/>
        <v>56.042462551212544</v>
      </c>
      <c r="AL17" s="19">
        <f t="shared" si="0"/>
        <v>56.042462551212544</v>
      </c>
      <c r="AM17" s="19"/>
      <c r="AN17" s="19"/>
      <c r="AO17" s="19"/>
      <c r="AP17" s="19"/>
    </row>
    <row r="18" spans="1:42" s="18" customFormat="1" x14ac:dyDescent="0.25">
      <c r="A18" s="18">
        <v>2007</v>
      </c>
      <c r="B18" s="18">
        <v>179</v>
      </c>
      <c r="C18" s="19"/>
      <c r="D18" s="19">
        <f t="shared" si="0"/>
        <v>56.042462551212544</v>
      </c>
      <c r="E18" s="19"/>
      <c r="F18" s="19">
        <f t="shared" si="0"/>
        <v>56.042462551212544</v>
      </c>
      <c r="G18" s="19">
        <f t="shared" si="0"/>
        <v>56.042462551212544</v>
      </c>
      <c r="H18" s="19">
        <f t="shared" si="0"/>
        <v>56.042462551212544</v>
      </c>
      <c r="I18" s="19">
        <f t="shared" si="0"/>
        <v>56.042462551212544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  <row r="19" spans="1:42" s="18" customFormat="1" x14ac:dyDescent="0.25">
      <c r="A19" s="18">
        <v>2007</v>
      </c>
      <c r="B19" s="18">
        <v>180</v>
      </c>
      <c r="C19" s="19"/>
      <c r="D19" s="19"/>
      <c r="E19" s="19"/>
      <c r="F19" s="19"/>
      <c r="G19" s="19"/>
      <c r="H19" s="19"/>
      <c r="I19" s="19"/>
      <c r="J19" s="19"/>
      <c r="K19" s="19">
        <f t="shared" si="0"/>
        <v>56.042462551212544</v>
      </c>
      <c r="L19" s="19">
        <f t="shared" si="0"/>
        <v>56.042462551212544</v>
      </c>
      <c r="M19" s="19"/>
      <c r="N19" s="19"/>
      <c r="O19" s="19">
        <f t="shared" si="0"/>
        <v>56.042462551212544</v>
      </c>
      <c r="P19" s="19"/>
      <c r="Q19" s="19"/>
      <c r="R19" s="19"/>
      <c r="S19" s="19"/>
      <c r="T19" s="19"/>
      <c r="U19" s="19"/>
      <c r="V19" s="19">
        <f t="shared" si="0"/>
        <v>56.042462551212544</v>
      </c>
      <c r="W19" s="19">
        <f t="shared" si="0"/>
        <v>56.042462551212544</v>
      </c>
      <c r="X19" s="19">
        <f t="shared" si="0"/>
        <v>56.042462551212544</v>
      </c>
      <c r="Y19" s="19"/>
      <c r="Z19" s="19"/>
      <c r="AA19" s="19">
        <f t="shared" si="0"/>
        <v>56.042462551212544</v>
      </c>
      <c r="AB19" s="19">
        <f t="shared" si="0"/>
        <v>56.042462551212544</v>
      </c>
      <c r="AC19" s="19"/>
      <c r="AD19" s="19">
        <f t="shared" si="0"/>
        <v>56.042462551212544</v>
      </c>
      <c r="AE19" s="19"/>
      <c r="AF19" s="19">
        <f t="shared" si="0"/>
        <v>56.042462551212544</v>
      </c>
      <c r="AG19" s="19"/>
      <c r="AH19" s="19"/>
      <c r="AI19" s="19"/>
      <c r="AJ19" s="19"/>
      <c r="AK19" s="19"/>
      <c r="AL19" s="19"/>
      <c r="AM19" s="19"/>
      <c r="AN19" s="19">
        <f t="shared" si="0"/>
        <v>56.042462551212544</v>
      </c>
      <c r="AO19" s="19"/>
      <c r="AP19" s="19">
        <f t="shared" si="0"/>
        <v>56.042462551212544</v>
      </c>
    </row>
    <row r="20" spans="1:42" s="18" customFormat="1" x14ac:dyDescent="0.25">
      <c r="A20" s="18">
        <v>2007</v>
      </c>
      <c r="B20" s="18">
        <v>183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>
        <f t="shared" si="0"/>
        <v>56.042462551212544</v>
      </c>
      <c r="N20" s="19">
        <f t="shared" si="0"/>
        <v>56.042462551212544</v>
      </c>
      <c r="O20" s="19"/>
      <c r="P20" s="19">
        <f t="shared" si="0"/>
        <v>56.042462551212544</v>
      </c>
      <c r="Q20" s="19"/>
      <c r="R20" s="19">
        <f t="shared" si="0"/>
        <v>56.042462551212544</v>
      </c>
      <c r="S20" s="19"/>
      <c r="T20" s="19">
        <f t="shared" si="0"/>
        <v>56.042462551212544</v>
      </c>
      <c r="U20" s="19">
        <f t="shared" si="0"/>
        <v>56.042462551212544</v>
      </c>
      <c r="V20" s="19"/>
      <c r="W20" s="19"/>
      <c r="X20" s="19"/>
      <c r="Y20" s="19"/>
      <c r="Z20" s="19">
        <f t="shared" si="0"/>
        <v>56.042462551212544</v>
      </c>
      <c r="AA20" s="19"/>
      <c r="AB20" s="19"/>
      <c r="AC20" s="19"/>
      <c r="AD20" s="19"/>
      <c r="AE20" s="19"/>
      <c r="AF20" s="19"/>
      <c r="AG20" s="19">
        <f t="shared" si="0"/>
        <v>56.042462551212544</v>
      </c>
      <c r="AH20" s="19">
        <f t="shared" si="0"/>
        <v>56.042462551212544</v>
      </c>
      <c r="AI20" s="19">
        <f t="shared" si="0"/>
        <v>56.042462551212544</v>
      </c>
      <c r="AJ20" s="19">
        <f t="shared" si="0"/>
        <v>56.042462551212544</v>
      </c>
      <c r="AK20" s="19">
        <f t="shared" si="0"/>
        <v>56.042462551212544</v>
      </c>
      <c r="AL20" s="19">
        <f t="shared" si="0"/>
        <v>56.042462551212544</v>
      </c>
      <c r="AM20" s="19">
        <f t="shared" si="0"/>
        <v>56.042462551212544</v>
      </c>
      <c r="AN20" s="19"/>
      <c r="AO20" s="19">
        <f t="shared" si="0"/>
        <v>56.042462551212544</v>
      </c>
      <c r="AP20" s="19"/>
    </row>
    <row r="21" spans="1:42" s="18" customFormat="1" x14ac:dyDescent="0.25">
      <c r="A21" s="18">
        <v>2007</v>
      </c>
      <c r="B21" s="18">
        <v>187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>
        <f t="shared" si="0"/>
        <v>56.042462551212544</v>
      </c>
      <c r="R21" s="19"/>
      <c r="S21" s="19">
        <f t="shared" si="0"/>
        <v>56.042462551212544</v>
      </c>
      <c r="T21" s="19"/>
      <c r="U21" s="19"/>
      <c r="V21" s="19"/>
      <c r="W21" s="19"/>
      <c r="X21" s="19"/>
      <c r="Y21" s="19">
        <f t="shared" si="0"/>
        <v>56.042462551212544</v>
      </c>
      <c r="Z21" s="19"/>
      <c r="AA21" s="19"/>
      <c r="AB21" s="19"/>
      <c r="AC21" s="19">
        <f t="shared" si="0"/>
        <v>56.042462551212544</v>
      </c>
      <c r="AD21" s="19"/>
      <c r="AE21" s="19">
        <f t="shared" si="0"/>
        <v>56.042462551212544</v>
      </c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  <row r="22" spans="1:42" s="18" customFormat="1" x14ac:dyDescent="0.25">
      <c r="A22" s="18">
        <v>2007</v>
      </c>
      <c r="B22" s="18">
        <v>201</v>
      </c>
      <c r="C22" s="19"/>
      <c r="D22" s="19"/>
      <c r="E22" s="19"/>
      <c r="F22" s="19"/>
      <c r="G22" s="19"/>
      <c r="H22" s="19"/>
      <c r="I22" s="19"/>
      <c r="J22" s="19">
        <f t="shared" si="0"/>
        <v>56.042462551212544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  <row r="23" spans="1:42" s="18" customFormat="1" x14ac:dyDescent="0.25">
      <c r="A23" s="18">
        <v>2007</v>
      </c>
      <c r="B23" s="18">
        <v>221</v>
      </c>
      <c r="C23" s="19"/>
      <c r="D23" s="19"/>
      <c r="E23" s="19"/>
      <c r="F23" s="19">
        <f t="shared" ref="F23:AP26" si="2">F9*0.453592/0.404686</f>
        <v>28.021231275606272</v>
      </c>
      <c r="G23" s="19">
        <f t="shared" si="2"/>
        <v>28.021231275606272</v>
      </c>
      <c r="H23" s="19"/>
      <c r="I23" s="19"/>
      <c r="J23" s="19">
        <f t="shared" si="2"/>
        <v>28.021231275606272</v>
      </c>
      <c r="K23" s="19">
        <f t="shared" si="2"/>
        <v>28.021231275606272</v>
      </c>
      <c r="L23" s="19">
        <f t="shared" si="2"/>
        <v>28.021231275606272</v>
      </c>
      <c r="M23" s="19"/>
      <c r="N23" s="19"/>
      <c r="O23" s="19">
        <f t="shared" si="2"/>
        <v>28.021231275606272</v>
      </c>
      <c r="P23" s="19"/>
      <c r="Q23" s="19"/>
      <c r="R23" s="19"/>
      <c r="S23" s="19"/>
      <c r="T23" s="19"/>
      <c r="U23" s="19"/>
      <c r="V23" s="19">
        <f t="shared" si="2"/>
        <v>28.021231275606272</v>
      </c>
      <c r="W23" s="19">
        <f t="shared" si="2"/>
        <v>28.021231275606272</v>
      </c>
      <c r="X23" s="19">
        <f t="shared" si="2"/>
        <v>28.021231275606272</v>
      </c>
      <c r="Y23" s="19">
        <f t="shared" si="2"/>
        <v>28.021231275606272</v>
      </c>
      <c r="Z23" s="19"/>
      <c r="AA23" s="19">
        <f t="shared" si="2"/>
        <v>28.021231275606272</v>
      </c>
      <c r="AB23" s="19">
        <f t="shared" si="2"/>
        <v>28.021231275606272</v>
      </c>
      <c r="AC23" s="19"/>
      <c r="AD23" s="19">
        <f t="shared" si="2"/>
        <v>28.021231275606272</v>
      </c>
      <c r="AE23" s="19"/>
      <c r="AF23" s="19">
        <f t="shared" si="2"/>
        <v>28.021231275606272</v>
      </c>
      <c r="AG23" s="19"/>
      <c r="AH23" s="19"/>
      <c r="AI23" s="19"/>
      <c r="AJ23" s="19"/>
      <c r="AK23" s="19"/>
      <c r="AL23" s="19"/>
      <c r="AM23" s="19"/>
      <c r="AN23" s="19">
        <f t="shared" si="2"/>
        <v>28.021231275606272</v>
      </c>
      <c r="AO23" s="19"/>
      <c r="AP23" s="19">
        <f t="shared" si="2"/>
        <v>28.021231275606272</v>
      </c>
    </row>
    <row r="24" spans="1:42" x14ac:dyDescent="0.25">
      <c r="A24" s="18">
        <v>2007</v>
      </c>
      <c r="B24" s="18">
        <v>222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>
        <f t="shared" si="2"/>
        <v>28.021231275606272</v>
      </c>
      <c r="O24" s="19"/>
      <c r="P24" s="19">
        <f t="shared" si="2"/>
        <v>28.021231275606272</v>
      </c>
      <c r="Q24" s="19">
        <f t="shared" si="2"/>
        <v>28.021231275606272</v>
      </c>
      <c r="R24" s="19">
        <f t="shared" si="2"/>
        <v>28.021231275606272</v>
      </c>
      <c r="S24" s="19">
        <f t="shared" si="2"/>
        <v>28.021231275606272</v>
      </c>
      <c r="T24" s="19">
        <f t="shared" si="2"/>
        <v>28.021231275606272</v>
      </c>
      <c r="U24" s="19"/>
      <c r="V24" s="19"/>
      <c r="W24" s="19"/>
      <c r="X24" s="19"/>
      <c r="Y24" s="19"/>
      <c r="Z24" s="19"/>
      <c r="AA24" s="19"/>
      <c r="AB24" s="19"/>
      <c r="AC24" s="19">
        <f t="shared" si="2"/>
        <v>28.021231275606272</v>
      </c>
      <c r="AD24" s="19"/>
      <c r="AE24" s="19">
        <f t="shared" si="2"/>
        <v>28.021231275606272</v>
      </c>
      <c r="AF24" s="19"/>
      <c r="AG24" s="19">
        <f t="shared" si="2"/>
        <v>28.021231275606272</v>
      </c>
      <c r="AH24" s="19"/>
      <c r="AI24" s="19">
        <f t="shared" si="2"/>
        <v>28.021231275606272</v>
      </c>
      <c r="AJ24" s="19">
        <f t="shared" si="2"/>
        <v>28.021231275606272</v>
      </c>
      <c r="AK24" s="19"/>
      <c r="AL24" s="19"/>
      <c r="AM24" s="19"/>
      <c r="AN24" s="19"/>
      <c r="AO24" s="19">
        <f t="shared" si="2"/>
        <v>28.021231275606272</v>
      </c>
      <c r="AP24" s="19"/>
    </row>
    <row r="25" spans="1:42" x14ac:dyDescent="0.25">
      <c r="A25" s="18">
        <v>2007</v>
      </c>
      <c r="B25" s="18">
        <v>225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>
        <f t="shared" si="2"/>
        <v>28.021231275606272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>
        <f t="shared" si="2"/>
        <v>28.021231275606272</v>
      </c>
      <c r="AL25" s="19">
        <f t="shared" si="2"/>
        <v>28.021231275606272</v>
      </c>
      <c r="AM25" s="19"/>
      <c r="AN25" s="19"/>
      <c r="AO25" s="19"/>
      <c r="AP25" s="19"/>
    </row>
    <row r="26" spans="1:42" x14ac:dyDescent="0.25">
      <c r="A26" s="18">
        <v>2007</v>
      </c>
      <c r="B26" s="18">
        <v>226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>
        <f t="shared" si="2"/>
        <v>28.021231275606272</v>
      </c>
      <c r="V26" s="19"/>
      <c r="W26" s="19"/>
      <c r="X26" s="19"/>
      <c r="Y26" s="19"/>
      <c r="Z26" s="19">
        <f t="shared" si="2"/>
        <v>28.021231275606272</v>
      </c>
      <c r="AA26" s="19"/>
      <c r="AB26" s="19"/>
      <c r="AC26" s="19"/>
      <c r="AD26" s="19"/>
      <c r="AE26" s="19"/>
      <c r="AF26" s="19"/>
      <c r="AG26" s="19"/>
      <c r="AH26" s="19">
        <f t="shared" si="2"/>
        <v>28.021231275606272</v>
      </c>
      <c r="AI26" s="19"/>
      <c r="AJ26" s="19"/>
      <c r="AK26" s="19"/>
      <c r="AL26" s="19"/>
      <c r="AM26" s="19">
        <f t="shared" si="2"/>
        <v>28.021231275606272</v>
      </c>
      <c r="AN26" s="19"/>
      <c r="AO26" s="19"/>
      <c r="AP26" s="1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A557-8B6D-45D6-BA08-859BEB94955E}">
  <dimension ref="A1:AP13"/>
  <sheetViews>
    <sheetView tabSelected="1" workbookViewId="0"/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64</v>
      </c>
      <c r="AB1" t="s">
        <v>63</v>
      </c>
      <c r="AC1" t="s">
        <v>62</v>
      </c>
      <c r="AD1" t="s">
        <v>61</v>
      </c>
      <c r="AE1" t="s">
        <v>60</v>
      </c>
      <c r="AF1" t="s">
        <v>59</v>
      </c>
      <c r="AG1" t="s">
        <v>58</v>
      </c>
      <c r="AH1" t="s">
        <v>57</v>
      </c>
      <c r="AI1" t="s">
        <v>56</v>
      </c>
      <c r="AJ1" t="s">
        <v>55</v>
      </c>
      <c r="AK1" t="s">
        <v>54</v>
      </c>
      <c r="AL1" t="s">
        <v>53</v>
      </c>
      <c r="AM1" t="s">
        <v>52</v>
      </c>
      <c r="AN1" t="s">
        <v>51</v>
      </c>
      <c r="AO1" t="s">
        <v>50</v>
      </c>
      <c r="AP1" t="s">
        <v>49</v>
      </c>
    </row>
    <row r="2" spans="1:42" x14ac:dyDescent="0.25">
      <c r="A2">
        <v>2007</v>
      </c>
      <c r="B2">
        <v>117</v>
      </c>
      <c r="C2" s="20">
        <v>36</v>
      </c>
      <c r="D2" s="20">
        <v>36</v>
      </c>
      <c r="E2" s="20">
        <v>36</v>
      </c>
      <c r="F2" s="20">
        <v>36</v>
      </c>
      <c r="G2" s="20">
        <v>36</v>
      </c>
      <c r="H2" s="20">
        <v>36</v>
      </c>
      <c r="I2" s="20">
        <v>36</v>
      </c>
      <c r="J2" s="20">
        <v>36</v>
      </c>
      <c r="K2" s="20">
        <v>36</v>
      </c>
      <c r="L2" s="20">
        <v>36</v>
      </c>
      <c r="M2" s="20">
        <v>36</v>
      </c>
      <c r="N2" s="20">
        <v>36</v>
      </c>
      <c r="O2" s="20">
        <v>36</v>
      </c>
      <c r="P2" s="20">
        <v>36</v>
      </c>
      <c r="Q2" s="20">
        <v>36</v>
      </c>
      <c r="R2" s="20">
        <v>36</v>
      </c>
      <c r="S2" s="20">
        <v>36</v>
      </c>
      <c r="T2" s="20">
        <v>36</v>
      </c>
      <c r="U2" s="20">
        <v>36</v>
      </c>
      <c r="V2" s="20">
        <v>36</v>
      </c>
      <c r="W2" s="20">
        <v>36</v>
      </c>
      <c r="X2" s="20">
        <v>36</v>
      </c>
      <c r="Y2" s="20">
        <v>36</v>
      </c>
      <c r="Z2" s="20">
        <v>36</v>
      </c>
      <c r="AA2" s="20">
        <v>36</v>
      </c>
      <c r="AB2" s="20">
        <v>36</v>
      </c>
      <c r="AC2" s="20">
        <v>36</v>
      </c>
      <c r="AD2" s="20">
        <v>36</v>
      </c>
      <c r="AE2" s="20">
        <v>36</v>
      </c>
      <c r="AF2" s="20">
        <v>36</v>
      </c>
      <c r="AG2" s="20">
        <v>36</v>
      </c>
      <c r="AH2" s="20">
        <v>36</v>
      </c>
      <c r="AI2" s="20">
        <v>36</v>
      </c>
      <c r="AJ2" s="20">
        <v>36</v>
      </c>
      <c r="AK2" s="20">
        <v>36</v>
      </c>
      <c r="AL2" s="20">
        <v>36</v>
      </c>
      <c r="AM2" s="20">
        <v>36</v>
      </c>
      <c r="AN2" s="20">
        <v>36</v>
      </c>
      <c r="AO2" s="20">
        <v>36</v>
      </c>
      <c r="AP2" s="20">
        <v>36</v>
      </c>
    </row>
    <row r="3" spans="1:42" x14ac:dyDescent="0.25">
      <c r="A3">
        <v>2007</v>
      </c>
      <c r="B3">
        <v>155</v>
      </c>
      <c r="C3" s="20"/>
      <c r="D3" s="20"/>
      <c r="E3" s="20"/>
      <c r="F3" s="20">
        <v>56.042462551212544</v>
      </c>
      <c r="G3" s="20">
        <v>56.042462551212544</v>
      </c>
      <c r="H3" s="20">
        <v>56.042462551212544</v>
      </c>
      <c r="I3" s="20">
        <v>56.042462551212544</v>
      </c>
      <c r="J3" s="20">
        <v>56.042462551212544</v>
      </c>
      <c r="K3" s="20">
        <v>56.042462551212544</v>
      </c>
      <c r="L3" s="20">
        <v>56.042462551212544</v>
      </c>
      <c r="M3" s="20">
        <v>56.042462551212544</v>
      </c>
      <c r="N3" s="20">
        <v>56.042462551212544</v>
      </c>
      <c r="O3" s="20">
        <v>56.042462551212544</v>
      </c>
      <c r="P3" s="20">
        <v>56.042462551212544</v>
      </c>
      <c r="Q3" s="20">
        <v>56.042462551212544</v>
      </c>
      <c r="R3" s="20">
        <v>56.042462551212544</v>
      </c>
      <c r="S3" s="20">
        <v>56.042462551212544</v>
      </c>
      <c r="T3" s="20">
        <v>56.042462551212544</v>
      </c>
      <c r="U3" s="20">
        <v>56.042462551212544</v>
      </c>
      <c r="V3" s="20">
        <v>56.042462551212544</v>
      </c>
      <c r="W3" s="20">
        <v>56.042462551212544</v>
      </c>
      <c r="X3" s="20">
        <v>56.042462551212544</v>
      </c>
      <c r="Y3" s="20">
        <v>56.042462551212544</v>
      </c>
      <c r="Z3" s="20">
        <v>56.042462551212544</v>
      </c>
      <c r="AA3" s="20">
        <v>56.042462551212544</v>
      </c>
      <c r="AB3" s="20">
        <v>56.042462551212544</v>
      </c>
      <c r="AC3" s="20">
        <v>56.042462551212544</v>
      </c>
      <c r="AD3" s="20">
        <v>56.042462551212544</v>
      </c>
      <c r="AE3" s="20">
        <v>56.042462551212544</v>
      </c>
      <c r="AF3" s="20">
        <v>56.042462551212544</v>
      </c>
      <c r="AG3" s="20">
        <v>56.042462551212544</v>
      </c>
      <c r="AH3" s="20">
        <v>56.042462551212544</v>
      </c>
      <c r="AI3" s="20">
        <v>56.042462551212544</v>
      </c>
      <c r="AJ3" s="20">
        <v>56.042462551212544</v>
      </c>
      <c r="AK3" s="20"/>
      <c r="AL3" s="20"/>
      <c r="AM3" s="20">
        <v>56.042462551212544</v>
      </c>
      <c r="AN3" s="20">
        <v>56.042462551212544</v>
      </c>
      <c r="AO3" s="20">
        <v>56.042462551212544</v>
      </c>
      <c r="AP3" s="20">
        <v>56.042462551212544</v>
      </c>
    </row>
    <row r="4" spans="1:42" x14ac:dyDescent="0.25">
      <c r="A4">
        <v>2007</v>
      </c>
      <c r="B4">
        <v>170</v>
      </c>
      <c r="C4" s="20"/>
      <c r="D4" s="20">
        <v>56.042462551212544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>
        <v>56.042462551212544</v>
      </c>
      <c r="AL4" s="20">
        <v>56.042462551212544</v>
      </c>
      <c r="AM4" s="20"/>
      <c r="AN4" s="20"/>
      <c r="AO4" s="20"/>
      <c r="AP4" s="20"/>
    </row>
    <row r="5" spans="1:42" x14ac:dyDescent="0.25">
      <c r="A5">
        <v>2007</v>
      </c>
      <c r="B5">
        <v>179</v>
      </c>
      <c r="C5" s="20"/>
      <c r="D5" s="20">
        <v>56.042462551212544</v>
      </c>
      <c r="E5" s="20"/>
      <c r="F5" s="20">
        <v>56.042462551212544</v>
      </c>
      <c r="G5" s="20">
        <v>56.042462551212544</v>
      </c>
      <c r="H5" s="20">
        <v>56.042462551212544</v>
      </c>
      <c r="I5" s="20">
        <v>56.042462551212544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</row>
    <row r="6" spans="1:42" x14ac:dyDescent="0.25">
      <c r="A6">
        <v>2007</v>
      </c>
      <c r="B6">
        <v>180</v>
      </c>
      <c r="C6" s="20"/>
      <c r="D6" s="20"/>
      <c r="E6" s="20"/>
      <c r="F6" s="20"/>
      <c r="G6" s="20"/>
      <c r="H6" s="20"/>
      <c r="I6" s="20"/>
      <c r="J6" s="20"/>
      <c r="K6" s="20">
        <v>56.042462551212544</v>
      </c>
      <c r="L6" s="20">
        <v>56.042462551212544</v>
      </c>
      <c r="M6" s="20"/>
      <c r="N6" s="20"/>
      <c r="O6" s="20">
        <v>56.042462551212544</v>
      </c>
      <c r="P6" s="20"/>
      <c r="Q6" s="20"/>
      <c r="R6" s="20"/>
      <c r="S6" s="20"/>
      <c r="T6" s="20"/>
      <c r="U6" s="20"/>
      <c r="V6" s="20">
        <v>56.042462551212544</v>
      </c>
      <c r="W6" s="20">
        <v>56.042462551212544</v>
      </c>
      <c r="X6" s="20">
        <v>56.042462551212544</v>
      </c>
      <c r="Y6" s="20"/>
      <c r="Z6" s="20"/>
      <c r="AA6" s="20">
        <v>56.042462551212544</v>
      </c>
      <c r="AB6" s="20">
        <v>56.042462551212544</v>
      </c>
      <c r="AC6" s="20"/>
      <c r="AD6" s="20">
        <v>56.042462551212544</v>
      </c>
      <c r="AE6" s="20"/>
      <c r="AF6" s="20">
        <v>56.042462551212544</v>
      </c>
      <c r="AG6" s="20"/>
      <c r="AH6" s="20"/>
      <c r="AI6" s="20"/>
      <c r="AJ6" s="20"/>
      <c r="AK6" s="20"/>
      <c r="AL6" s="20"/>
      <c r="AM6" s="20"/>
      <c r="AN6" s="20">
        <v>56.042462551212544</v>
      </c>
      <c r="AO6" s="20"/>
      <c r="AP6" s="20">
        <v>56.042462551212544</v>
      </c>
    </row>
    <row r="7" spans="1:42" x14ac:dyDescent="0.25">
      <c r="A7">
        <v>2007</v>
      </c>
      <c r="B7">
        <v>183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>
        <v>56.042462551212544</v>
      </c>
      <c r="N7" s="20">
        <v>56.042462551212544</v>
      </c>
      <c r="O7" s="20"/>
      <c r="P7" s="20">
        <v>56.042462551212544</v>
      </c>
      <c r="Q7" s="20"/>
      <c r="R7" s="20">
        <v>56.042462551212544</v>
      </c>
      <c r="S7" s="20"/>
      <c r="T7" s="20">
        <v>56.042462551212544</v>
      </c>
      <c r="U7" s="20">
        <v>56.042462551212544</v>
      </c>
      <c r="V7" s="20"/>
      <c r="W7" s="20"/>
      <c r="X7" s="20"/>
      <c r="Y7" s="20"/>
      <c r="Z7" s="20">
        <v>56.042462551212544</v>
      </c>
      <c r="AA7" s="20"/>
      <c r="AB7" s="20"/>
      <c r="AC7" s="20"/>
      <c r="AD7" s="20"/>
      <c r="AE7" s="20"/>
      <c r="AF7" s="20"/>
      <c r="AG7" s="20">
        <v>56.042462551212544</v>
      </c>
      <c r="AH7" s="20">
        <v>56.042462551212544</v>
      </c>
      <c r="AI7" s="20">
        <v>56.042462551212544</v>
      </c>
      <c r="AJ7" s="20">
        <v>56.042462551212544</v>
      </c>
      <c r="AK7" s="20">
        <v>56.042462551212544</v>
      </c>
      <c r="AL7" s="20">
        <v>56.042462551212544</v>
      </c>
      <c r="AM7" s="20">
        <v>56.042462551212544</v>
      </c>
      <c r="AN7" s="20"/>
      <c r="AO7" s="20">
        <v>56.042462551212544</v>
      </c>
      <c r="AP7" s="20"/>
    </row>
    <row r="8" spans="1:42" x14ac:dyDescent="0.25">
      <c r="A8">
        <v>2007</v>
      </c>
      <c r="B8">
        <v>187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v>56.042462551212544</v>
      </c>
      <c r="R8" s="20"/>
      <c r="S8" s="20">
        <v>56.042462551212544</v>
      </c>
      <c r="T8" s="20"/>
      <c r="U8" s="20"/>
      <c r="V8" s="20"/>
      <c r="W8" s="20"/>
      <c r="X8" s="20"/>
      <c r="Y8" s="20">
        <v>56.042462551212544</v>
      </c>
      <c r="Z8" s="20"/>
      <c r="AA8" s="20"/>
      <c r="AB8" s="20"/>
      <c r="AC8" s="20">
        <v>56.042462551212544</v>
      </c>
      <c r="AD8" s="20"/>
      <c r="AE8" s="20">
        <v>56.042462551212544</v>
      </c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</row>
    <row r="9" spans="1:42" x14ac:dyDescent="0.25">
      <c r="A9">
        <v>2007</v>
      </c>
      <c r="B9">
        <v>201</v>
      </c>
      <c r="C9" s="20"/>
      <c r="D9" s="20"/>
      <c r="E9" s="20"/>
      <c r="F9" s="20"/>
      <c r="G9" s="20"/>
      <c r="H9" s="20"/>
      <c r="I9" s="20"/>
      <c r="J9" s="20">
        <v>56.042462551212544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</row>
    <row r="10" spans="1:42" x14ac:dyDescent="0.25">
      <c r="A10">
        <v>2007</v>
      </c>
      <c r="B10">
        <v>221</v>
      </c>
      <c r="C10" s="20"/>
      <c r="D10" s="20"/>
      <c r="E10" s="20"/>
      <c r="F10" s="20">
        <v>28.021231275606272</v>
      </c>
      <c r="G10" s="20">
        <v>28.021231275606272</v>
      </c>
      <c r="H10" s="20"/>
      <c r="I10" s="20"/>
      <c r="J10" s="20">
        <v>28.021231275606272</v>
      </c>
      <c r="K10" s="20">
        <v>28.021231275606272</v>
      </c>
      <c r="L10" s="20">
        <v>28.021231275606272</v>
      </c>
      <c r="M10" s="20"/>
      <c r="N10" s="20"/>
      <c r="O10" s="20">
        <v>28.021231275606272</v>
      </c>
      <c r="P10" s="20"/>
      <c r="Q10" s="20"/>
      <c r="R10" s="20"/>
      <c r="S10" s="20"/>
      <c r="T10" s="20"/>
      <c r="U10" s="20"/>
      <c r="V10" s="20">
        <v>28.021231275606272</v>
      </c>
      <c r="W10" s="20">
        <v>28.021231275606272</v>
      </c>
      <c r="X10" s="20">
        <v>28.021231275606272</v>
      </c>
      <c r="Y10" s="20">
        <v>28.021231275606272</v>
      </c>
      <c r="Z10" s="20"/>
      <c r="AA10" s="20">
        <v>28.021231275606272</v>
      </c>
      <c r="AB10" s="20">
        <v>28.021231275606272</v>
      </c>
      <c r="AC10" s="20"/>
      <c r="AD10" s="20">
        <v>28.021231275606272</v>
      </c>
      <c r="AE10" s="20"/>
      <c r="AF10" s="20">
        <v>28.021231275606272</v>
      </c>
      <c r="AG10" s="20"/>
      <c r="AH10" s="20"/>
      <c r="AI10" s="20"/>
      <c r="AJ10" s="20"/>
      <c r="AK10" s="20"/>
      <c r="AL10" s="20"/>
      <c r="AM10" s="20"/>
      <c r="AN10" s="20">
        <v>28.021231275606272</v>
      </c>
      <c r="AO10" s="20"/>
      <c r="AP10" s="20">
        <v>28.021231275606272</v>
      </c>
    </row>
    <row r="11" spans="1:42" x14ac:dyDescent="0.25">
      <c r="A11">
        <v>2007</v>
      </c>
      <c r="B11">
        <v>222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>
        <v>28.021231275606272</v>
      </c>
      <c r="O11" s="20"/>
      <c r="P11" s="20">
        <v>28.021231275606272</v>
      </c>
      <c r="Q11" s="20">
        <v>28.021231275606272</v>
      </c>
      <c r="R11" s="20">
        <v>28.021231275606272</v>
      </c>
      <c r="S11" s="20">
        <v>28.021231275606272</v>
      </c>
      <c r="T11" s="20">
        <v>28.021231275606272</v>
      </c>
      <c r="U11" s="20"/>
      <c r="V11" s="20"/>
      <c r="W11" s="20"/>
      <c r="X11" s="20"/>
      <c r="Y11" s="20"/>
      <c r="Z11" s="20"/>
      <c r="AA11" s="20"/>
      <c r="AB11" s="20"/>
      <c r="AC11" s="20">
        <v>28.021231275606272</v>
      </c>
      <c r="AD11" s="20"/>
      <c r="AE11" s="20">
        <v>28.021231275606272</v>
      </c>
      <c r="AF11" s="20"/>
      <c r="AG11" s="20">
        <v>28.021231275606272</v>
      </c>
      <c r="AH11" s="20"/>
      <c r="AI11" s="20">
        <v>28.021231275606272</v>
      </c>
      <c r="AJ11" s="20">
        <v>28.021231275606272</v>
      </c>
      <c r="AK11" s="20"/>
      <c r="AL11" s="20"/>
      <c r="AM11" s="20"/>
      <c r="AN11" s="20"/>
      <c r="AO11" s="20">
        <v>28.021231275606272</v>
      </c>
      <c r="AP11" s="20"/>
    </row>
    <row r="12" spans="1:42" x14ac:dyDescent="0.25">
      <c r="A12">
        <v>2007</v>
      </c>
      <c r="B12">
        <v>225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>
        <v>28.021231275606272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>
        <v>28.021231275606272</v>
      </c>
      <c r="AL12" s="20">
        <v>28.021231275606272</v>
      </c>
      <c r="AM12" s="20"/>
      <c r="AN12" s="20"/>
      <c r="AO12" s="20"/>
      <c r="AP12" s="20"/>
    </row>
    <row r="13" spans="1:42" x14ac:dyDescent="0.25">
      <c r="A13">
        <v>2007</v>
      </c>
      <c r="B13">
        <v>226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>
        <v>28.021231275606272</v>
      </c>
      <c r="V13" s="20"/>
      <c r="W13" s="20"/>
      <c r="X13" s="20"/>
      <c r="Y13" s="20"/>
      <c r="Z13" s="20">
        <v>28.021231275606272</v>
      </c>
      <c r="AA13" s="20"/>
      <c r="AB13" s="20"/>
      <c r="AC13" s="20"/>
      <c r="AD13" s="20"/>
      <c r="AE13" s="20"/>
      <c r="AF13" s="20"/>
      <c r="AG13" s="20"/>
      <c r="AH13" s="20">
        <v>28.021231275606272</v>
      </c>
      <c r="AI13" s="20"/>
      <c r="AJ13" s="20"/>
      <c r="AK13" s="20"/>
      <c r="AL13" s="20"/>
      <c r="AM13" s="20">
        <v>28.021231275606272</v>
      </c>
      <c r="AN13" s="20"/>
      <c r="AO13" s="20"/>
      <c r="AP13" s="2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2F74E811AAA4409A164A292B7ABC74" ma:contentTypeVersion="5" ma:contentTypeDescription="Create a new document." ma:contentTypeScope="" ma:versionID="a274884ad72c80bb9b486423286f1f97">
  <xsd:schema xmlns:xsd="http://www.w3.org/2001/XMLSchema" xmlns:xs="http://www.w3.org/2001/XMLSchema" xmlns:p="http://schemas.microsoft.com/office/2006/metadata/properties" xmlns:ns3="728ae82c-3d1b-45f0-8d67-959bce25b5b0" targetNamespace="http://schemas.microsoft.com/office/2006/metadata/properties" ma:root="true" ma:fieldsID="0920719d7b65f5660acd9896835e0dd0" ns3:_="">
    <xsd:import namespace="728ae82c-3d1b-45f0-8d67-959bce25b5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ae82c-3d1b-45f0-8d67-959bce25b5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ACF685-1BDC-4694-A361-04695E472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8ae82c-3d1b-45f0-8d67-959bce25b5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35975F-61E2-43FE-BC08-9ABF3DB94E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50124F-CD4B-4CD9-87F6-3B7F049F2596}">
  <ds:schemaRefs>
    <ds:schemaRef ds:uri="728ae82c-3d1b-45f0-8d67-959bce25b5b0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Irrigation</vt:lpstr>
      <vt:lpstr>Timeline</vt:lpstr>
      <vt:lpstr>IrrigationDF</vt:lpstr>
      <vt:lpstr>Fertilizer</vt:lpstr>
      <vt:lpstr>FertilizerDF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2024-12-20T21:15:21Z</dcterms:created>
  <dcterms:modified xsi:type="dcterms:W3CDTF">2025-12-15T18:27:39Z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0x0101001E2F74E811AAA4409A164A292B7ABC74</vt:lpwstr>
  </property>
</Properties>
</file>