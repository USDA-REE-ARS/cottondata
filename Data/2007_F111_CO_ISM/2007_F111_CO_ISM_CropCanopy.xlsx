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7_F111_CO_ISM\"/>
    </mc:Choice>
  </mc:AlternateContent>
  <xr:revisionPtr revIDLastSave="0" documentId="13_ncr:1_{E4CE3F48-5A5F-4129-B288-3EB96054B7C5}" xr6:coauthVersionLast="47" xr6:coauthVersionMax="47" xr10:uidLastSave="{00000000-0000-0000-0000-000000000000}"/>
  <bookViews>
    <workbookView xWindow="16410" yWindow="-24525" windowWidth="17715" windowHeight="20640" activeTab="2" xr2:uid="{0DC27AAA-6C62-4ADE-AA65-55886991489F}"/>
  </bookViews>
  <sheets>
    <sheet name="Height" sheetId="1" r:id="rId1"/>
    <sheet name="Width" sheetId="2" r:id="rId2"/>
    <sheet name="Density" sheetId="10" r:id="rId3"/>
    <sheet name="Ordering" sheetId="3" r:id="rId4"/>
    <sheet name="DOY178" sheetId="4" r:id="rId5"/>
    <sheet name="DOY192" sheetId="5" r:id="rId6"/>
    <sheet name="DOY207" sheetId="6" r:id="rId7"/>
    <sheet name="DOY220" sheetId="7" r:id="rId8"/>
    <sheet name="DOY235" sheetId="8" r:id="rId9"/>
    <sheet name="DOY250" sheetId="9" r:id="rId10"/>
    <sheet name="Counts" sheetId="11" r:id="rId11"/>
  </sheets>
  <definedNames>
    <definedName name="_xlnm.Print_Area" localSheetId="10">Counts!$B$1:$K$55</definedName>
    <definedName name="_xlnm.Print_Area" localSheetId="4">'DOY178'!$A$1:$Q$85</definedName>
    <definedName name="_xlnm.Print_Area" localSheetId="5">'DOY192'!$A$1:$R$85</definedName>
    <definedName name="_xlnm.Print_Area" localSheetId="6">'DOY207'!$A$1:$R$85</definedName>
    <definedName name="_xlnm.Print_Area" localSheetId="7">'DOY220'!$A$1:$R$85</definedName>
    <definedName name="_xlnm.Print_Area" localSheetId="8">'DOY235'!$A$1:$R$85</definedName>
    <definedName name="_xlnm.Print_Area" localSheetId="9">'DOY250'!$A$1:$R$85</definedName>
    <definedName name="_xlnm.Print_Titles" localSheetId="10">Counts!$1:$10</definedName>
    <definedName name="_xlnm.Print_Titles" localSheetId="4">'DOY178'!$1:$8</definedName>
    <definedName name="_xlnm.Print_Titles" localSheetId="5">'DOY192'!$6:$8</definedName>
    <definedName name="_xlnm.Print_Titles" localSheetId="6">'DOY207'!$6:$8</definedName>
    <definedName name="_xlnm.Print_Titles" localSheetId="7">'DOY220'!$6:$8</definedName>
    <definedName name="_xlnm.Print_Titles" localSheetId="8">'DOY235'!$6:$8</definedName>
    <definedName name="_xlnm.Print_Titles" localSheetId="9">'DOY250'!$6:$8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1" l="1"/>
  <c r="M12" i="11"/>
  <c r="N12" i="11"/>
  <c r="P12" i="11"/>
  <c r="L14" i="11"/>
  <c r="M14" i="11"/>
  <c r="N14" i="11"/>
  <c r="L15" i="11"/>
  <c r="M15" i="11"/>
  <c r="N15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P21" i="11"/>
  <c r="L22" i="11"/>
  <c r="M22" i="11"/>
  <c r="N22" i="11"/>
  <c r="L23" i="11"/>
  <c r="M23" i="11"/>
  <c r="N23" i="11"/>
  <c r="L24" i="11"/>
  <c r="M24" i="11"/>
  <c r="N24" i="11"/>
  <c r="L25" i="11"/>
  <c r="M25" i="11"/>
  <c r="N25" i="11"/>
  <c r="L26" i="11"/>
  <c r="M26" i="11"/>
  <c r="N26" i="11"/>
  <c r="L27" i="11"/>
  <c r="M27" i="11"/>
  <c r="N27" i="11"/>
  <c r="L29" i="11"/>
  <c r="M29" i="11"/>
  <c r="N29" i="11"/>
  <c r="L30" i="11"/>
  <c r="M30" i="11"/>
  <c r="N30" i="11"/>
  <c r="P30" i="11"/>
  <c r="L31" i="11"/>
  <c r="M31" i="11"/>
  <c r="N31" i="11"/>
  <c r="L32" i="11"/>
  <c r="M32" i="11"/>
  <c r="N32" i="11"/>
  <c r="L33" i="11"/>
  <c r="M33" i="11"/>
  <c r="N33" i="11"/>
  <c r="L34" i="11"/>
  <c r="M34" i="11"/>
  <c r="N34" i="11"/>
  <c r="L35" i="11"/>
  <c r="M35" i="11"/>
  <c r="N35" i="11"/>
  <c r="L36" i="11"/>
  <c r="M36" i="11"/>
  <c r="N36" i="11"/>
  <c r="L38" i="11"/>
  <c r="M38" i="11"/>
  <c r="N38" i="11"/>
  <c r="L39" i="11"/>
  <c r="M39" i="11"/>
  <c r="N39" i="11"/>
  <c r="P39" i="11"/>
  <c r="L40" i="11"/>
  <c r="M40" i="11"/>
  <c r="N40" i="11"/>
  <c r="L41" i="11"/>
  <c r="M41" i="11"/>
  <c r="N41" i="11"/>
  <c r="L42" i="11"/>
  <c r="M42" i="11"/>
  <c r="N42" i="11"/>
  <c r="L43" i="11"/>
  <c r="M43" i="11"/>
  <c r="N43" i="11"/>
  <c r="L44" i="11"/>
  <c r="M44" i="11"/>
  <c r="N44" i="11"/>
  <c r="L45" i="11"/>
  <c r="M45" i="11"/>
  <c r="N45" i="11"/>
  <c r="L47" i="11"/>
  <c r="M47" i="11"/>
  <c r="N47" i="11"/>
  <c r="L48" i="11"/>
  <c r="M48" i="11"/>
  <c r="N48" i="11"/>
  <c r="P48" i="11"/>
  <c r="L49" i="11"/>
  <c r="M49" i="11"/>
  <c r="N49" i="11"/>
  <c r="L50" i="11"/>
  <c r="M50" i="11"/>
  <c r="N50" i="11"/>
  <c r="L51" i="11"/>
  <c r="M51" i="11"/>
  <c r="N51" i="11"/>
  <c r="L52" i="11"/>
  <c r="M52" i="11"/>
  <c r="N52" i="11"/>
  <c r="L53" i="11"/>
  <c r="M53" i="11"/>
  <c r="N53" i="11"/>
  <c r="L54" i="11"/>
  <c r="M54" i="11"/>
  <c r="N54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S10" i="9" l="1"/>
  <c r="T10" i="9"/>
  <c r="S11" i="9"/>
  <c r="T11" i="9"/>
  <c r="S12" i="9"/>
  <c r="T12" i="9"/>
  <c r="S13" i="9"/>
  <c r="T13" i="9"/>
  <c r="S14" i="9"/>
  <c r="T14" i="9"/>
  <c r="S15" i="9"/>
  <c r="T15" i="9"/>
  <c r="S16" i="9"/>
  <c r="T16" i="9"/>
  <c r="S17" i="9"/>
  <c r="T17" i="9"/>
  <c r="S18" i="9"/>
  <c r="T18" i="9"/>
  <c r="S19" i="9"/>
  <c r="T19" i="9"/>
  <c r="S20" i="9"/>
  <c r="T20" i="9"/>
  <c r="S21" i="9"/>
  <c r="T21" i="9"/>
  <c r="S22" i="9"/>
  <c r="T22" i="9"/>
  <c r="S23" i="9"/>
  <c r="T23" i="9"/>
  <c r="S24" i="9"/>
  <c r="T24" i="9"/>
  <c r="S25" i="9"/>
  <c r="T25" i="9"/>
  <c r="S26" i="9"/>
  <c r="T26" i="9"/>
  <c r="S27" i="9"/>
  <c r="T27" i="9"/>
  <c r="S28" i="9"/>
  <c r="T28" i="9"/>
  <c r="S29" i="9"/>
  <c r="T29" i="9"/>
  <c r="S30" i="9"/>
  <c r="T30" i="9"/>
  <c r="S31" i="9"/>
  <c r="T31" i="9"/>
  <c r="S32" i="9"/>
  <c r="T32" i="9"/>
  <c r="S33" i="9"/>
  <c r="T33" i="9"/>
  <c r="S34" i="9"/>
  <c r="T34" i="9"/>
  <c r="S35" i="9"/>
  <c r="T35" i="9"/>
  <c r="S36" i="9"/>
  <c r="T36" i="9"/>
  <c r="S37" i="9"/>
  <c r="T37" i="9"/>
  <c r="S38" i="9"/>
  <c r="T38" i="9"/>
  <c r="S39" i="9"/>
  <c r="T39" i="9"/>
  <c r="S40" i="9"/>
  <c r="T40" i="9"/>
  <c r="S41" i="9"/>
  <c r="T41" i="9"/>
  <c r="S42" i="9"/>
  <c r="T42" i="9"/>
  <c r="S43" i="9"/>
  <c r="T43" i="9"/>
  <c r="S44" i="9"/>
  <c r="T44" i="9"/>
  <c r="S45" i="9"/>
  <c r="T45" i="9"/>
  <c r="S46" i="9"/>
  <c r="T46" i="9"/>
  <c r="S47" i="9"/>
  <c r="T47" i="9"/>
  <c r="S48" i="9"/>
  <c r="T48" i="9"/>
  <c r="S49" i="9"/>
  <c r="T49" i="9"/>
  <c r="S50" i="9"/>
  <c r="T50" i="9"/>
  <c r="S51" i="9"/>
  <c r="T51" i="9"/>
  <c r="S52" i="9"/>
  <c r="T52" i="9"/>
  <c r="S53" i="9"/>
  <c r="T53" i="9"/>
  <c r="S54" i="9"/>
  <c r="T54" i="9"/>
  <c r="S55" i="9"/>
  <c r="T55" i="9"/>
  <c r="S56" i="9"/>
  <c r="T56" i="9"/>
  <c r="S57" i="9"/>
  <c r="T57" i="9"/>
  <c r="S58" i="9"/>
  <c r="T58" i="9"/>
  <c r="S59" i="9"/>
  <c r="T59" i="9"/>
  <c r="S60" i="9"/>
  <c r="T60" i="9"/>
  <c r="S61" i="9"/>
  <c r="T61" i="9"/>
  <c r="S62" i="9"/>
  <c r="T62" i="9"/>
  <c r="S63" i="9"/>
  <c r="T63" i="9"/>
  <c r="S64" i="9"/>
  <c r="T64" i="9"/>
  <c r="S65" i="9"/>
  <c r="T65" i="9"/>
  <c r="S66" i="9"/>
  <c r="T66" i="9"/>
  <c r="S67" i="9"/>
  <c r="T67" i="9"/>
  <c r="S68" i="9"/>
  <c r="T68" i="9"/>
  <c r="S69" i="9"/>
  <c r="T69" i="9"/>
  <c r="S70" i="9"/>
  <c r="T70" i="9"/>
  <c r="S71" i="9"/>
  <c r="T71" i="9"/>
  <c r="S72" i="9"/>
  <c r="T72" i="9"/>
  <c r="S73" i="9"/>
  <c r="T73" i="9"/>
  <c r="S74" i="9"/>
  <c r="T74" i="9"/>
  <c r="S75" i="9"/>
  <c r="T75" i="9"/>
  <c r="S76" i="9"/>
  <c r="T76" i="9"/>
  <c r="S77" i="9"/>
  <c r="T77" i="9"/>
  <c r="S78" i="9"/>
  <c r="T78" i="9"/>
  <c r="S79" i="9"/>
  <c r="T79" i="9"/>
  <c r="S80" i="9"/>
  <c r="T80" i="9"/>
  <c r="S81" i="9"/>
  <c r="T81" i="9"/>
  <c r="S82" i="9"/>
  <c r="T82" i="9"/>
  <c r="S83" i="9"/>
  <c r="T83" i="9"/>
  <c r="S84" i="9"/>
  <c r="T84" i="9"/>
  <c r="S85" i="9"/>
  <c r="T85" i="9"/>
  <c r="S10" i="8"/>
  <c r="T10" i="8"/>
  <c r="S11" i="8"/>
  <c r="T11" i="8"/>
  <c r="S12" i="8"/>
  <c r="T12" i="8"/>
  <c r="S13" i="8"/>
  <c r="T13" i="8"/>
  <c r="S14" i="8"/>
  <c r="T14" i="8"/>
  <c r="S15" i="8"/>
  <c r="T15" i="8"/>
  <c r="S16" i="8"/>
  <c r="T16" i="8"/>
  <c r="S17" i="8"/>
  <c r="T17" i="8"/>
  <c r="S18" i="8"/>
  <c r="T18" i="8"/>
  <c r="S19" i="8"/>
  <c r="T19" i="8"/>
  <c r="S20" i="8"/>
  <c r="T20" i="8"/>
  <c r="S21" i="8"/>
  <c r="T21" i="8"/>
  <c r="S22" i="8"/>
  <c r="T22" i="8"/>
  <c r="S23" i="8"/>
  <c r="T23" i="8"/>
  <c r="S24" i="8"/>
  <c r="T24" i="8"/>
  <c r="S25" i="8"/>
  <c r="T25" i="8"/>
  <c r="S26" i="8"/>
  <c r="T26" i="8"/>
  <c r="S27" i="8"/>
  <c r="T27" i="8"/>
  <c r="S28" i="8"/>
  <c r="T28" i="8"/>
  <c r="S29" i="8"/>
  <c r="T29" i="8"/>
  <c r="S30" i="8"/>
  <c r="T30" i="8"/>
  <c r="S31" i="8"/>
  <c r="T31" i="8"/>
  <c r="S32" i="8"/>
  <c r="T32" i="8"/>
  <c r="S33" i="8"/>
  <c r="T33" i="8"/>
  <c r="S34" i="8"/>
  <c r="T34" i="8"/>
  <c r="S35" i="8"/>
  <c r="T35" i="8"/>
  <c r="S36" i="8"/>
  <c r="T36" i="8"/>
  <c r="S37" i="8"/>
  <c r="T37" i="8"/>
  <c r="S38" i="8"/>
  <c r="T38" i="8"/>
  <c r="S39" i="8"/>
  <c r="T39" i="8"/>
  <c r="S40" i="8"/>
  <c r="T40" i="8"/>
  <c r="S41" i="8"/>
  <c r="T41" i="8"/>
  <c r="S42" i="8"/>
  <c r="T42" i="8"/>
  <c r="S43" i="8"/>
  <c r="T43" i="8"/>
  <c r="S44" i="8"/>
  <c r="T44" i="8"/>
  <c r="S45" i="8"/>
  <c r="T45" i="8"/>
  <c r="S46" i="8"/>
  <c r="T46" i="8"/>
  <c r="S47" i="8"/>
  <c r="T47" i="8"/>
  <c r="S48" i="8"/>
  <c r="T48" i="8"/>
  <c r="S49" i="8"/>
  <c r="T49" i="8"/>
  <c r="S50" i="8"/>
  <c r="T50" i="8"/>
  <c r="S51" i="8"/>
  <c r="T51" i="8"/>
  <c r="S52" i="8"/>
  <c r="T52" i="8"/>
  <c r="S53" i="8"/>
  <c r="T53" i="8"/>
  <c r="S54" i="8"/>
  <c r="T54" i="8"/>
  <c r="S55" i="8"/>
  <c r="T55" i="8"/>
  <c r="S56" i="8"/>
  <c r="T56" i="8"/>
  <c r="S57" i="8"/>
  <c r="T57" i="8"/>
  <c r="S58" i="8"/>
  <c r="T58" i="8"/>
  <c r="S59" i="8"/>
  <c r="T59" i="8"/>
  <c r="S60" i="8"/>
  <c r="T60" i="8"/>
  <c r="S61" i="8"/>
  <c r="T61" i="8"/>
  <c r="S62" i="8"/>
  <c r="T62" i="8"/>
  <c r="S63" i="8"/>
  <c r="T63" i="8"/>
  <c r="S64" i="8"/>
  <c r="T64" i="8"/>
  <c r="S65" i="8"/>
  <c r="T65" i="8"/>
  <c r="S66" i="8"/>
  <c r="T66" i="8"/>
  <c r="S67" i="8"/>
  <c r="T67" i="8"/>
  <c r="S68" i="8"/>
  <c r="T68" i="8"/>
  <c r="S69" i="8"/>
  <c r="T69" i="8"/>
  <c r="S70" i="8"/>
  <c r="T70" i="8"/>
  <c r="S71" i="8"/>
  <c r="T71" i="8"/>
  <c r="S72" i="8"/>
  <c r="T72" i="8"/>
  <c r="S73" i="8"/>
  <c r="T73" i="8"/>
  <c r="S74" i="8"/>
  <c r="T74" i="8"/>
  <c r="S75" i="8"/>
  <c r="T75" i="8"/>
  <c r="S76" i="8"/>
  <c r="T76" i="8"/>
  <c r="S77" i="8"/>
  <c r="T77" i="8"/>
  <c r="S78" i="8"/>
  <c r="T78" i="8"/>
  <c r="S79" i="8"/>
  <c r="T79" i="8"/>
  <c r="S80" i="8"/>
  <c r="T80" i="8"/>
  <c r="S81" i="8"/>
  <c r="T81" i="8"/>
  <c r="S82" i="8"/>
  <c r="T82" i="8"/>
  <c r="S83" i="8"/>
  <c r="T83" i="8"/>
  <c r="S84" i="8"/>
  <c r="T84" i="8"/>
  <c r="S85" i="8"/>
  <c r="T85" i="8"/>
  <c r="S10" i="7"/>
  <c r="T10" i="7"/>
  <c r="S11" i="7"/>
  <c r="T11" i="7"/>
  <c r="S12" i="7"/>
  <c r="T12" i="7"/>
  <c r="S13" i="7"/>
  <c r="T13" i="7"/>
  <c r="S14" i="7"/>
  <c r="T14" i="7"/>
  <c r="S15" i="7"/>
  <c r="T15" i="7"/>
  <c r="S16" i="7"/>
  <c r="T16" i="7"/>
  <c r="S17" i="7"/>
  <c r="T17" i="7"/>
  <c r="S18" i="7"/>
  <c r="T18" i="7"/>
  <c r="S19" i="7"/>
  <c r="T19" i="7"/>
  <c r="S20" i="7"/>
  <c r="T20" i="7"/>
  <c r="S21" i="7"/>
  <c r="T21" i="7"/>
  <c r="S22" i="7"/>
  <c r="T22" i="7"/>
  <c r="S23" i="7"/>
  <c r="T23" i="7"/>
  <c r="S24" i="7"/>
  <c r="T24" i="7"/>
  <c r="S25" i="7"/>
  <c r="T25" i="7"/>
  <c r="S26" i="7"/>
  <c r="T26" i="7"/>
  <c r="S27" i="7"/>
  <c r="T27" i="7"/>
  <c r="S28" i="7"/>
  <c r="T28" i="7"/>
  <c r="S29" i="7"/>
  <c r="T29" i="7"/>
  <c r="S30" i="7"/>
  <c r="T30" i="7"/>
  <c r="S31" i="7"/>
  <c r="T31" i="7"/>
  <c r="S32" i="7"/>
  <c r="T32" i="7"/>
  <c r="S33" i="7"/>
  <c r="T33" i="7"/>
  <c r="S34" i="7"/>
  <c r="T34" i="7"/>
  <c r="S35" i="7"/>
  <c r="T35" i="7"/>
  <c r="S36" i="7"/>
  <c r="T36" i="7"/>
  <c r="S37" i="7"/>
  <c r="T37" i="7"/>
  <c r="S38" i="7"/>
  <c r="T38" i="7"/>
  <c r="S39" i="7"/>
  <c r="T39" i="7"/>
  <c r="S40" i="7"/>
  <c r="T40" i="7"/>
  <c r="S41" i="7"/>
  <c r="T41" i="7"/>
  <c r="S42" i="7"/>
  <c r="T42" i="7"/>
  <c r="S43" i="7"/>
  <c r="T43" i="7"/>
  <c r="S44" i="7"/>
  <c r="T44" i="7"/>
  <c r="S45" i="7"/>
  <c r="T45" i="7"/>
  <c r="S46" i="7"/>
  <c r="T46" i="7"/>
  <c r="S47" i="7"/>
  <c r="T47" i="7"/>
  <c r="S48" i="7"/>
  <c r="T48" i="7"/>
  <c r="S49" i="7"/>
  <c r="T49" i="7"/>
  <c r="S50" i="7"/>
  <c r="T50" i="7"/>
  <c r="S51" i="7"/>
  <c r="T51" i="7"/>
  <c r="S52" i="7"/>
  <c r="T52" i="7"/>
  <c r="S53" i="7"/>
  <c r="T53" i="7"/>
  <c r="S54" i="7"/>
  <c r="T54" i="7"/>
  <c r="S55" i="7"/>
  <c r="T55" i="7"/>
  <c r="S56" i="7"/>
  <c r="T56" i="7"/>
  <c r="S57" i="7"/>
  <c r="T57" i="7"/>
  <c r="S58" i="7"/>
  <c r="T58" i="7"/>
  <c r="S59" i="7"/>
  <c r="T59" i="7"/>
  <c r="S60" i="7"/>
  <c r="T60" i="7"/>
  <c r="S61" i="7"/>
  <c r="T61" i="7"/>
  <c r="S62" i="7"/>
  <c r="T62" i="7"/>
  <c r="S63" i="7"/>
  <c r="T63" i="7"/>
  <c r="S64" i="7"/>
  <c r="T64" i="7"/>
  <c r="S65" i="7"/>
  <c r="T65" i="7"/>
  <c r="S66" i="7"/>
  <c r="T66" i="7"/>
  <c r="S67" i="7"/>
  <c r="T67" i="7"/>
  <c r="S68" i="7"/>
  <c r="T68" i="7"/>
  <c r="S69" i="7"/>
  <c r="T69" i="7"/>
  <c r="S70" i="7"/>
  <c r="T70" i="7"/>
  <c r="S71" i="7"/>
  <c r="T71" i="7"/>
  <c r="S72" i="7"/>
  <c r="T72" i="7"/>
  <c r="S73" i="7"/>
  <c r="T73" i="7"/>
  <c r="S74" i="7"/>
  <c r="T74" i="7"/>
  <c r="S75" i="7"/>
  <c r="T75" i="7"/>
  <c r="S76" i="7"/>
  <c r="T76" i="7"/>
  <c r="S77" i="7"/>
  <c r="T77" i="7"/>
  <c r="S78" i="7"/>
  <c r="T78" i="7"/>
  <c r="S79" i="7"/>
  <c r="T79" i="7"/>
  <c r="S80" i="7"/>
  <c r="T80" i="7"/>
  <c r="S81" i="7"/>
  <c r="T81" i="7"/>
  <c r="S82" i="7"/>
  <c r="T82" i="7"/>
  <c r="S83" i="7"/>
  <c r="T83" i="7"/>
  <c r="S84" i="7"/>
  <c r="T84" i="7"/>
  <c r="S85" i="7"/>
  <c r="T85" i="7"/>
  <c r="S10" i="6"/>
  <c r="T10" i="6"/>
  <c r="S11" i="6"/>
  <c r="T11" i="6"/>
  <c r="S12" i="6"/>
  <c r="T12" i="6"/>
  <c r="S13" i="6"/>
  <c r="T13" i="6"/>
  <c r="S14" i="6"/>
  <c r="T14" i="6"/>
  <c r="S15" i="6"/>
  <c r="T15" i="6"/>
  <c r="S16" i="6"/>
  <c r="T16" i="6"/>
  <c r="S17" i="6"/>
  <c r="T17" i="6"/>
  <c r="S18" i="6"/>
  <c r="T18" i="6"/>
  <c r="S19" i="6"/>
  <c r="T19" i="6"/>
  <c r="S20" i="6"/>
  <c r="T20" i="6"/>
  <c r="S21" i="6"/>
  <c r="T21" i="6"/>
  <c r="S22" i="6"/>
  <c r="T22" i="6"/>
  <c r="S23" i="6"/>
  <c r="T23" i="6"/>
  <c r="S24" i="6"/>
  <c r="T24" i="6"/>
  <c r="S25" i="6"/>
  <c r="T25" i="6"/>
  <c r="S26" i="6"/>
  <c r="T26" i="6"/>
  <c r="S27" i="6"/>
  <c r="T27" i="6"/>
  <c r="S28" i="6"/>
  <c r="T28" i="6"/>
  <c r="S29" i="6"/>
  <c r="T29" i="6"/>
  <c r="S30" i="6"/>
  <c r="T30" i="6"/>
  <c r="S31" i="6"/>
  <c r="T31" i="6"/>
  <c r="S32" i="6"/>
  <c r="T32" i="6"/>
  <c r="S33" i="6"/>
  <c r="T33" i="6"/>
  <c r="S34" i="6"/>
  <c r="T34" i="6"/>
  <c r="S35" i="6"/>
  <c r="T35" i="6"/>
  <c r="S36" i="6"/>
  <c r="T36" i="6"/>
  <c r="S37" i="6"/>
  <c r="T37" i="6"/>
  <c r="S38" i="6"/>
  <c r="T38" i="6"/>
  <c r="S39" i="6"/>
  <c r="T39" i="6"/>
  <c r="S40" i="6"/>
  <c r="T40" i="6"/>
  <c r="S41" i="6"/>
  <c r="T41" i="6"/>
  <c r="S42" i="6"/>
  <c r="T42" i="6"/>
  <c r="S43" i="6"/>
  <c r="T43" i="6"/>
  <c r="S44" i="6"/>
  <c r="T44" i="6"/>
  <c r="S45" i="6"/>
  <c r="T45" i="6"/>
  <c r="S46" i="6"/>
  <c r="T46" i="6"/>
  <c r="S47" i="6"/>
  <c r="T47" i="6"/>
  <c r="S48" i="6"/>
  <c r="T48" i="6"/>
  <c r="S49" i="6"/>
  <c r="T49" i="6"/>
  <c r="S50" i="6"/>
  <c r="T50" i="6"/>
  <c r="S51" i="6"/>
  <c r="T51" i="6"/>
  <c r="S52" i="6"/>
  <c r="T52" i="6"/>
  <c r="S53" i="6"/>
  <c r="T53" i="6"/>
  <c r="S54" i="6"/>
  <c r="T54" i="6"/>
  <c r="S55" i="6"/>
  <c r="T55" i="6"/>
  <c r="S56" i="6"/>
  <c r="T56" i="6"/>
  <c r="S57" i="6"/>
  <c r="T57" i="6"/>
  <c r="S58" i="6"/>
  <c r="T58" i="6"/>
  <c r="S59" i="6"/>
  <c r="T59" i="6"/>
  <c r="S60" i="6"/>
  <c r="T60" i="6"/>
  <c r="S61" i="6"/>
  <c r="T61" i="6"/>
  <c r="S62" i="6"/>
  <c r="T62" i="6"/>
  <c r="S63" i="6"/>
  <c r="T63" i="6"/>
  <c r="S64" i="6"/>
  <c r="T64" i="6"/>
  <c r="S65" i="6"/>
  <c r="T65" i="6"/>
  <c r="S66" i="6"/>
  <c r="T66" i="6"/>
  <c r="S67" i="6"/>
  <c r="T67" i="6"/>
  <c r="S68" i="6"/>
  <c r="T68" i="6"/>
  <c r="S69" i="6"/>
  <c r="T69" i="6"/>
  <c r="S70" i="6"/>
  <c r="T70" i="6"/>
  <c r="S71" i="6"/>
  <c r="T71" i="6"/>
  <c r="S72" i="6"/>
  <c r="T72" i="6"/>
  <c r="S73" i="6"/>
  <c r="T73" i="6"/>
  <c r="S74" i="6"/>
  <c r="T74" i="6"/>
  <c r="S75" i="6"/>
  <c r="T75" i="6"/>
  <c r="S76" i="6"/>
  <c r="T76" i="6"/>
  <c r="S77" i="6"/>
  <c r="T77" i="6"/>
  <c r="S78" i="6"/>
  <c r="T78" i="6"/>
  <c r="S79" i="6"/>
  <c r="T79" i="6"/>
  <c r="S80" i="6"/>
  <c r="T80" i="6"/>
  <c r="S81" i="6"/>
  <c r="T81" i="6"/>
  <c r="S82" i="6"/>
  <c r="T82" i="6"/>
  <c r="S83" i="6"/>
  <c r="T83" i="6"/>
  <c r="S84" i="6"/>
  <c r="T84" i="6"/>
  <c r="S85" i="6"/>
  <c r="T85" i="6"/>
  <c r="S10" i="5"/>
  <c r="T10" i="5"/>
  <c r="S11" i="5"/>
  <c r="T11" i="5"/>
  <c r="S12" i="5"/>
  <c r="T12" i="5"/>
  <c r="S13" i="5"/>
  <c r="T13" i="5"/>
  <c r="S14" i="5"/>
  <c r="T14" i="5"/>
  <c r="S15" i="5"/>
  <c r="T15" i="5"/>
  <c r="S16" i="5"/>
  <c r="T16" i="5"/>
  <c r="S17" i="5"/>
  <c r="T17" i="5"/>
  <c r="S18" i="5"/>
  <c r="T18" i="5"/>
  <c r="S19" i="5"/>
  <c r="T19" i="5"/>
  <c r="S20" i="5"/>
  <c r="T20" i="5"/>
  <c r="S21" i="5"/>
  <c r="T21" i="5"/>
  <c r="S22" i="5"/>
  <c r="T22" i="5"/>
  <c r="S23" i="5"/>
  <c r="T23" i="5"/>
  <c r="S24" i="5"/>
  <c r="T24" i="5"/>
  <c r="S25" i="5"/>
  <c r="T25" i="5"/>
  <c r="S26" i="5"/>
  <c r="T26" i="5"/>
  <c r="S27" i="5"/>
  <c r="T27" i="5"/>
  <c r="S28" i="5"/>
  <c r="T28" i="5"/>
  <c r="S29" i="5"/>
  <c r="T29" i="5"/>
  <c r="S30" i="5"/>
  <c r="T30" i="5"/>
  <c r="S31" i="5"/>
  <c r="T31" i="5"/>
  <c r="S32" i="5"/>
  <c r="T32" i="5"/>
  <c r="S33" i="5"/>
  <c r="T33" i="5"/>
  <c r="S34" i="5"/>
  <c r="T34" i="5"/>
  <c r="S35" i="5"/>
  <c r="T35" i="5"/>
  <c r="S36" i="5"/>
  <c r="T36" i="5"/>
  <c r="S37" i="5"/>
  <c r="T37" i="5"/>
  <c r="S38" i="5"/>
  <c r="T38" i="5"/>
  <c r="S39" i="5"/>
  <c r="T39" i="5"/>
  <c r="S40" i="5"/>
  <c r="T40" i="5"/>
  <c r="S41" i="5"/>
  <c r="T41" i="5"/>
  <c r="S42" i="5"/>
  <c r="T42" i="5"/>
  <c r="S43" i="5"/>
  <c r="T43" i="5"/>
  <c r="S44" i="5"/>
  <c r="T44" i="5"/>
  <c r="S45" i="5"/>
  <c r="T45" i="5"/>
  <c r="S46" i="5"/>
  <c r="T46" i="5"/>
  <c r="S47" i="5"/>
  <c r="T47" i="5"/>
  <c r="S48" i="5"/>
  <c r="T48" i="5"/>
  <c r="S49" i="5"/>
  <c r="T49" i="5"/>
  <c r="S50" i="5"/>
  <c r="T50" i="5"/>
  <c r="S51" i="5"/>
  <c r="T51" i="5"/>
  <c r="S52" i="5"/>
  <c r="T52" i="5"/>
  <c r="S53" i="5"/>
  <c r="T53" i="5"/>
  <c r="S54" i="5"/>
  <c r="T54" i="5"/>
  <c r="S55" i="5"/>
  <c r="T55" i="5"/>
  <c r="S56" i="5"/>
  <c r="T56" i="5"/>
  <c r="S57" i="5"/>
  <c r="T57" i="5"/>
  <c r="S58" i="5"/>
  <c r="T58" i="5"/>
  <c r="S59" i="5"/>
  <c r="T59" i="5"/>
  <c r="S60" i="5"/>
  <c r="T60" i="5"/>
  <c r="S61" i="5"/>
  <c r="T61" i="5"/>
  <c r="S62" i="5"/>
  <c r="T62" i="5"/>
  <c r="S63" i="5"/>
  <c r="T63" i="5"/>
  <c r="S64" i="5"/>
  <c r="T64" i="5"/>
  <c r="S65" i="5"/>
  <c r="T65" i="5"/>
  <c r="S66" i="5"/>
  <c r="T66" i="5"/>
  <c r="S67" i="5"/>
  <c r="T67" i="5"/>
  <c r="S68" i="5"/>
  <c r="T68" i="5"/>
  <c r="S69" i="5"/>
  <c r="T69" i="5"/>
  <c r="S70" i="5"/>
  <c r="T70" i="5"/>
  <c r="S71" i="5"/>
  <c r="T71" i="5"/>
  <c r="S72" i="5"/>
  <c r="T72" i="5"/>
  <c r="S73" i="5"/>
  <c r="T73" i="5"/>
  <c r="S74" i="5"/>
  <c r="T74" i="5"/>
  <c r="S75" i="5"/>
  <c r="T75" i="5"/>
  <c r="S76" i="5"/>
  <c r="T76" i="5"/>
  <c r="S77" i="5"/>
  <c r="T77" i="5"/>
  <c r="S78" i="5"/>
  <c r="T78" i="5"/>
  <c r="S79" i="5"/>
  <c r="T79" i="5"/>
  <c r="S80" i="5"/>
  <c r="T80" i="5"/>
  <c r="S81" i="5"/>
  <c r="T81" i="5"/>
  <c r="S82" i="5"/>
  <c r="T82" i="5"/>
  <c r="S83" i="5"/>
  <c r="T83" i="5"/>
  <c r="S84" i="5"/>
  <c r="T84" i="5"/>
  <c r="S85" i="5"/>
  <c r="T85" i="5"/>
  <c r="R10" i="4"/>
  <c r="S10" i="4"/>
  <c r="R11" i="4"/>
  <c r="S11" i="4"/>
  <c r="R12" i="4"/>
  <c r="S12" i="4"/>
  <c r="R13" i="4"/>
  <c r="S13" i="4"/>
  <c r="R14" i="4"/>
  <c r="S14" i="4"/>
  <c r="R15" i="4"/>
  <c r="S15" i="4"/>
  <c r="R16" i="4"/>
  <c r="S16" i="4"/>
  <c r="R17" i="4"/>
  <c r="S17" i="4"/>
  <c r="R18" i="4"/>
  <c r="S18" i="4"/>
  <c r="R19" i="4"/>
  <c r="S19" i="4"/>
  <c r="R20" i="4"/>
  <c r="S20" i="4"/>
  <c r="R21" i="4"/>
  <c r="S21" i="4"/>
  <c r="R22" i="4"/>
  <c r="S22" i="4"/>
  <c r="R23" i="4"/>
  <c r="S23" i="4"/>
  <c r="R24" i="4"/>
  <c r="S24" i="4"/>
  <c r="R25" i="4"/>
  <c r="S25" i="4"/>
  <c r="R26" i="4"/>
  <c r="S26" i="4"/>
  <c r="R27" i="4"/>
  <c r="S27" i="4"/>
  <c r="R28" i="4"/>
  <c r="S28" i="4"/>
  <c r="R29" i="4"/>
  <c r="S29" i="4"/>
  <c r="R30" i="4"/>
  <c r="S30" i="4"/>
  <c r="R31" i="4"/>
  <c r="S31" i="4"/>
  <c r="R32" i="4"/>
  <c r="S32" i="4"/>
  <c r="R33" i="4"/>
  <c r="S33" i="4"/>
  <c r="R34" i="4"/>
  <c r="S34" i="4"/>
  <c r="R35" i="4"/>
  <c r="S35" i="4"/>
  <c r="R36" i="4"/>
  <c r="S36" i="4"/>
  <c r="R37" i="4"/>
  <c r="S37" i="4"/>
  <c r="R38" i="4"/>
  <c r="S38" i="4"/>
  <c r="R39" i="4"/>
  <c r="S39" i="4"/>
  <c r="R40" i="4"/>
  <c r="S40" i="4"/>
  <c r="R41" i="4"/>
  <c r="S41" i="4"/>
  <c r="R42" i="4"/>
  <c r="S42" i="4"/>
  <c r="R43" i="4"/>
  <c r="S43" i="4"/>
  <c r="R44" i="4"/>
  <c r="S44" i="4"/>
  <c r="R45" i="4"/>
  <c r="S45" i="4"/>
  <c r="R46" i="4"/>
  <c r="S46" i="4"/>
  <c r="R47" i="4"/>
  <c r="S47" i="4"/>
  <c r="R48" i="4"/>
  <c r="S48" i="4"/>
  <c r="R49" i="4"/>
  <c r="S49" i="4"/>
  <c r="R50" i="4"/>
  <c r="S50" i="4"/>
  <c r="R51" i="4"/>
  <c r="S51" i="4"/>
  <c r="R52" i="4"/>
  <c r="S52" i="4"/>
  <c r="R53" i="4"/>
  <c r="S53" i="4"/>
  <c r="R54" i="4"/>
  <c r="S54" i="4"/>
  <c r="R55" i="4"/>
  <c r="S55" i="4"/>
  <c r="R56" i="4"/>
  <c r="S56" i="4"/>
  <c r="R57" i="4"/>
  <c r="S57" i="4"/>
  <c r="R58" i="4"/>
  <c r="S58" i="4"/>
  <c r="R59" i="4"/>
  <c r="S59" i="4"/>
  <c r="R60" i="4"/>
  <c r="S60" i="4"/>
  <c r="R61" i="4"/>
  <c r="S61" i="4"/>
  <c r="R62" i="4"/>
  <c r="S62" i="4"/>
  <c r="R63" i="4"/>
  <c r="S63" i="4"/>
  <c r="R64" i="4"/>
  <c r="S64" i="4"/>
  <c r="R65" i="4"/>
  <c r="S65" i="4"/>
  <c r="R66" i="4"/>
  <c r="S66" i="4"/>
  <c r="R67" i="4"/>
  <c r="S67" i="4"/>
  <c r="R68" i="4"/>
  <c r="S68" i="4"/>
  <c r="R69" i="4"/>
  <c r="S69" i="4"/>
  <c r="R70" i="4"/>
  <c r="S70" i="4"/>
  <c r="R71" i="4"/>
  <c r="S71" i="4"/>
  <c r="R72" i="4"/>
  <c r="S72" i="4"/>
  <c r="R73" i="4"/>
  <c r="S73" i="4"/>
  <c r="R74" i="4"/>
  <c r="S74" i="4"/>
  <c r="R75" i="4"/>
  <c r="S75" i="4"/>
  <c r="R76" i="4"/>
  <c r="S76" i="4"/>
  <c r="R77" i="4"/>
  <c r="S77" i="4"/>
  <c r="R78" i="4"/>
  <c r="S78" i="4"/>
  <c r="R79" i="4"/>
  <c r="S79" i="4"/>
  <c r="R80" i="4"/>
  <c r="S80" i="4"/>
  <c r="R81" i="4"/>
  <c r="S81" i="4"/>
  <c r="R82" i="4"/>
  <c r="S82" i="4"/>
  <c r="R83" i="4"/>
  <c r="S83" i="4"/>
  <c r="R84" i="4"/>
  <c r="S84" i="4"/>
  <c r="R85" i="4"/>
  <c r="S85" i="4"/>
  <c r="D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</calcChain>
</file>

<file path=xl/sharedStrings.xml><?xml version="1.0" encoding="utf-8"?>
<sst xmlns="http://schemas.openxmlformats.org/spreadsheetml/2006/main" count="2449" uniqueCount="395">
  <si>
    <t>DOY192</t>
  </si>
  <si>
    <t>DOY207</t>
  </si>
  <si>
    <t>DOY220</t>
  </si>
  <si>
    <t>DOY235</t>
  </si>
  <si>
    <t>DOY250</t>
  </si>
  <si>
    <t>p02-1</t>
  </si>
  <si>
    <t>p02-2</t>
  </si>
  <si>
    <t>p02-3</t>
  </si>
  <si>
    <t>p02-4</t>
  </si>
  <si>
    <t>p02-5</t>
  </si>
  <si>
    <t>p02-6</t>
  </si>
  <si>
    <t>p04-1</t>
  </si>
  <si>
    <t>p04-2</t>
  </si>
  <si>
    <t>p04-3</t>
  </si>
  <si>
    <t>p04-4</t>
  </si>
  <si>
    <t>p04-5</t>
  </si>
  <si>
    <t>p04-6</t>
  </si>
  <si>
    <t>p05-1</t>
  </si>
  <si>
    <t>p05-2</t>
  </si>
  <si>
    <t>p05-3</t>
  </si>
  <si>
    <t>p05-4</t>
  </si>
  <si>
    <t>p05-5</t>
  </si>
  <si>
    <t>p05-6</t>
  </si>
  <si>
    <t>p06-1</t>
  </si>
  <si>
    <t>p06-2</t>
  </si>
  <si>
    <t>p06-3</t>
  </si>
  <si>
    <t>p06-4</t>
  </si>
  <si>
    <t>p06-5</t>
  </si>
  <si>
    <t>p06-6</t>
  </si>
  <si>
    <t>p07-1</t>
  </si>
  <si>
    <t>p07-2</t>
  </si>
  <si>
    <t>p07-3</t>
  </si>
  <si>
    <t>p07-4</t>
  </si>
  <si>
    <t>p07-5</t>
  </si>
  <si>
    <t>p07-6</t>
  </si>
  <si>
    <t>p08-1</t>
  </si>
  <si>
    <t>p08-2</t>
  </si>
  <si>
    <t>p08-3</t>
  </si>
  <si>
    <t>p08-4</t>
  </si>
  <si>
    <t>p08-5</t>
  </si>
  <si>
    <t>p08-6</t>
  </si>
  <si>
    <t>p11-1</t>
  </si>
  <si>
    <t>p11-2</t>
  </si>
  <si>
    <t>p11-3</t>
  </si>
  <si>
    <t>p11-4</t>
  </si>
  <si>
    <t>p11-5</t>
  </si>
  <si>
    <t>p11-6</t>
  </si>
  <si>
    <t>p12-1</t>
  </si>
  <si>
    <t>p12-2</t>
  </si>
  <si>
    <t>p12-3</t>
  </si>
  <si>
    <t>p12-4</t>
  </si>
  <si>
    <t>p12-5</t>
  </si>
  <si>
    <t>p12-6</t>
  </si>
  <si>
    <t>p13-1</t>
  </si>
  <si>
    <t>p13-2</t>
  </si>
  <si>
    <t>p13-3</t>
  </si>
  <si>
    <t>p13-4</t>
  </si>
  <si>
    <t>p13-5</t>
  </si>
  <si>
    <t>p13-6</t>
  </si>
  <si>
    <t>p14-1</t>
  </si>
  <si>
    <t>p14-2</t>
  </si>
  <si>
    <t>p14-3</t>
  </si>
  <si>
    <t>p14-4</t>
  </si>
  <si>
    <t>p14-5</t>
  </si>
  <si>
    <t>p14-6</t>
  </si>
  <si>
    <t>p15-1</t>
  </si>
  <si>
    <t>p15-2</t>
  </si>
  <si>
    <t>p15-3</t>
  </si>
  <si>
    <t>p15-4</t>
  </si>
  <si>
    <t>p15-5</t>
  </si>
  <si>
    <t>p15-6</t>
  </si>
  <si>
    <t>p16-1</t>
  </si>
  <si>
    <t>p16-2</t>
  </si>
  <si>
    <t>p16-3</t>
  </si>
  <si>
    <t>p16-4</t>
  </si>
  <si>
    <t>p16-5</t>
  </si>
  <si>
    <t>p16-6</t>
  </si>
  <si>
    <t>p17-1</t>
  </si>
  <si>
    <t>p17-2</t>
  </si>
  <si>
    <t>p17-3</t>
  </si>
  <si>
    <t>p17-4</t>
  </si>
  <si>
    <t>p17-5</t>
  </si>
  <si>
    <t>p17-6</t>
  </si>
  <si>
    <t>p18-1</t>
  </si>
  <si>
    <t>p18-2</t>
  </si>
  <si>
    <t>p18-3</t>
  </si>
  <si>
    <t>p18-4</t>
  </si>
  <si>
    <t>p18-5</t>
  </si>
  <si>
    <t>p18-6</t>
  </si>
  <si>
    <t>p21-1</t>
  </si>
  <si>
    <t>p21-2</t>
  </si>
  <si>
    <t>p21-3</t>
  </si>
  <si>
    <t>p21-4</t>
  </si>
  <si>
    <t>p21-5</t>
  </si>
  <si>
    <t>p21-6</t>
  </si>
  <si>
    <t>p22-1</t>
  </si>
  <si>
    <t>p22-2</t>
  </si>
  <si>
    <t>p22-3</t>
  </si>
  <si>
    <t>p22-4</t>
  </si>
  <si>
    <t>p22-5</t>
  </si>
  <si>
    <t>p22-6</t>
  </si>
  <si>
    <t>p23-1</t>
  </si>
  <si>
    <t>p23-2</t>
  </si>
  <si>
    <t>p23-3</t>
  </si>
  <si>
    <t>p23-4</t>
  </si>
  <si>
    <t>p23-5</t>
  </si>
  <si>
    <t>p23-6</t>
  </si>
  <si>
    <t>p24-1</t>
  </si>
  <si>
    <t>p24-2</t>
  </si>
  <si>
    <t>p24-3</t>
  </si>
  <si>
    <t>p24-4</t>
  </si>
  <si>
    <t>p24-5</t>
  </si>
  <si>
    <t>p24-6</t>
  </si>
  <si>
    <t>p25-1</t>
  </si>
  <si>
    <t>p25-2</t>
  </si>
  <si>
    <t>p25-3</t>
  </si>
  <si>
    <t>p25-4</t>
  </si>
  <si>
    <t>p25-5</t>
  </si>
  <si>
    <t>p25-6</t>
  </si>
  <si>
    <t>p26-1</t>
  </si>
  <si>
    <t>p26-2</t>
  </si>
  <si>
    <t>p26-3</t>
  </si>
  <si>
    <t>p26-4</t>
  </si>
  <si>
    <t>p26-5</t>
  </si>
  <si>
    <t>p26-6</t>
  </si>
  <si>
    <t>p27-1</t>
  </si>
  <si>
    <t>p27-2</t>
  </si>
  <si>
    <t>p27-3</t>
  </si>
  <si>
    <t>p27-4</t>
  </si>
  <si>
    <t>p27-5</t>
  </si>
  <si>
    <t>p27-6</t>
  </si>
  <si>
    <t>p28-1</t>
  </si>
  <si>
    <t>p28-2</t>
  </si>
  <si>
    <t>p28-3</t>
  </si>
  <si>
    <t>p28-4</t>
  </si>
  <si>
    <t>p28-5</t>
  </si>
  <si>
    <t>p28-6</t>
  </si>
  <si>
    <t>p31-1</t>
  </si>
  <si>
    <t>p31-2</t>
  </si>
  <si>
    <t>p31-3</t>
  </si>
  <si>
    <t>p31-4</t>
  </si>
  <si>
    <t>p31-5</t>
  </si>
  <si>
    <t>p31-6</t>
  </si>
  <si>
    <t>p32-1</t>
  </si>
  <si>
    <t>p32-2</t>
  </si>
  <si>
    <t>p32-3</t>
  </si>
  <si>
    <t>p32-4</t>
  </si>
  <si>
    <t>p32-5</t>
  </si>
  <si>
    <t>p32-6</t>
  </si>
  <si>
    <t>p33-1</t>
  </si>
  <si>
    <t>p33-2</t>
  </si>
  <si>
    <t>p33-3</t>
  </si>
  <si>
    <t>p33-4</t>
  </si>
  <si>
    <t>p33-5</t>
  </si>
  <si>
    <t>p33-6</t>
  </si>
  <si>
    <t>p34-1</t>
  </si>
  <si>
    <t>p34-2</t>
  </si>
  <si>
    <t>p34-3</t>
  </si>
  <si>
    <t>p34-4</t>
  </si>
  <si>
    <t>p34-5</t>
  </si>
  <si>
    <t>p34-6</t>
  </si>
  <si>
    <t>p35-1</t>
  </si>
  <si>
    <t>p35-2</t>
  </si>
  <si>
    <t>p35-3</t>
  </si>
  <si>
    <t>p35-4</t>
  </si>
  <si>
    <t>p35-5</t>
  </si>
  <si>
    <t>p35-6</t>
  </si>
  <si>
    <t>p36-1</t>
  </si>
  <si>
    <t>p36-2</t>
  </si>
  <si>
    <t>p36-3</t>
  </si>
  <si>
    <t>p36-4</t>
  </si>
  <si>
    <t>p36-5</t>
  </si>
  <si>
    <t>p36-6</t>
  </si>
  <si>
    <t>p37-1</t>
  </si>
  <si>
    <t>p37-2</t>
  </si>
  <si>
    <t>p37-3</t>
  </si>
  <si>
    <t>p37-4</t>
  </si>
  <si>
    <t>p37-5</t>
  </si>
  <si>
    <t>p37-6</t>
  </si>
  <si>
    <t>p38-1</t>
  </si>
  <si>
    <t>p38-2</t>
  </si>
  <si>
    <t>p38-3</t>
  </si>
  <si>
    <t>p38-4</t>
  </si>
  <si>
    <t>p38-5</t>
  </si>
  <si>
    <t>p38-6</t>
  </si>
  <si>
    <t>p41-1</t>
  </si>
  <si>
    <t>p41-2</t>
  </si>
  <si>
    <t>p41-3</t>
  </si>
  <si>
    <t>p41-4</t>
  </si>
  <si>
    <t>p41-5</t>
  </si>
  <si>
    <t>p41-6</t>
  </si>
  <si>
    <t>p42-1</t>
  </si>
  <si>
    <t>p42-2</t>
  </si>
  <si>
    <t>p42-3</t>
  </si>
  <si>
    <t>p42-4</t>
  </si>
  <si>
    <t>p42-5</t>
  </si>
  <si>
    <t>p42-6</t>
  </si>
  <si>
    <t>p43-1</t>
  </si>
  <si>
    <t>p43-2</t>
  </si>
  <si>
    <t>p43-3</t>
  </si>
  <si>
    <t>p43-4</t>
  </si>
  <si>
    <t>p43-5</t>
  </si>
  <si>
    <t>p43-6</t>
  </si>
  <si>
    <t>p44-1</t>
  </si>
  <si>
    <t>p44-2</t>
  </si>
  <si>
    <t>p44-3</t>
  </si>
  <si>
    <t>p44-4</t>
  </si>
  <si>
    <t>p44-5</t>
  </si>
  <si>
    <t>p44-6</t>
  </si>
  <si>
    <t>p45-1</t>
  </si>
  <si>
    <t>p45-2</t>
  </si>
  <si>
    <t>p45-3</t>
  </si>
  <si>
    <t>p45-4</t>
  </si>
  <si>
    <t>p45-5</t>
  </si>
  <si>
    <t>p45-6</t>
  </si>
  <si>
    <t>p46-1</t>
  </si>
  <si>
    <t>p46-2</t>
  </si>
  <si>
    <t>p46-3</t>
  </si>
  <si>
    <t>p46-4</t>
  </si>
  <si>
    <t>p46-5</t>
  </si>
  <si>
    <t>p46-6</t>
  </si>
  <si>
    <t>p47-1</t>
  </si>
  <si>
    <t>p47-2</t>
  </si>
  <si>
    <t>p47-3</t>
  </si>
  <si>
    <t>p47-4</t>
  </si>
  <si>
    <t>p47-5</t>
  </si>
  <si>
    <t>p47-6</t>
  </si>
  <si>
    <t>p48-1</t>
  </si>
  <si>
    <t>p48-2</t>
  </si>
  <si>
    <t>p48-3</t>
  </si>
  <si>
    <t>p48-4</t>
  </si>
  <si>
    <t>p48-5</t>
  </si>
  <si>
    <t>p48-6</t>
  </si>
  <si>
    <t>Height</t>
  </si>
  <si>
    <t>Cover</t>
  </si>
  <si>
    <t>High</t>
  </si>
  <si>
    <t>FAO-T</t>
  </si>
  <si>
    <t>X</t>
  </si>
  <si>
    <t>AZ-S</t>
  </si>
  <si>
    <t>PlotSE</t>
  </si>
  <si>
    <t>PlotMean</t>
  </si>
  <si>
    <t>8.25</t>
  </si>
  <si>
    <t>7.25</t>
  </si>
  <si>
    <t>6.25</t>
  </si>
  <si>
    <t>5.25</t>
  </si>
  <si>
    <t>4.25</t>
  </si>
  <si>
    <t>3.25</t>
  </si>
  <si>
    <t>Meas</t>
  </si>
  <si>
    <t>Time</t>
  </si>
  <si>
    <t>ExotechCode</t>
  </si>
  <si>
    <t>Block</t>
  </si>
  <si>
    <t>Nit</t>
  </si>
  <si>
    <t>Pop</t>
  </si>
  <si>
    <t>Irr</t>
  </si>
  <si>
    <t>Trt</t>
  </si>
  <si>
    <t>Acron</t>
  </si>
  <si>
    <t>Plot</t>
  </si>
  <si>
    <t>25 cm</t>
  </si>
  <si>
    <t>Distance into target area ⇒</t>
  </si>
  <si>
    <t>Plot SE</t>
  </si>
  <si>
    <t>Plot Mean</t>
  </si>
  <si>
    <t>Row 8</t>
  </si>
  <si>
    <t>Row 7</t>
  </si>
  <si>
    <t>Row 6</t>
  </si>
  <si>
    <t>Row 4</t>
  </si>
  <si>
    <t>Row 3</t>
  </si>
  <si>
    <t>Meas. (in cm)</t>
  </si>
  <si>
    <t>Exotech Code</t>
  </si>
  <si>
    <t>N</t>
  </si>
  <si>
    <t>Pop.</t>
  </si>
  <si>
    <t>Irrig.</t>
  </si>
  <si>
    <t>Trt.</t>
  </si>
  <si>
    <t>East - - - - - - - - - - - - - - - - - - - to - - - - - - - - - - - - - - - - - - - West</t>
  </si>
  <si>
    <t>smm</t>
  </si>
  <si>
    <t>By:</t>
  </si>
  <si>
    <t>X = no plant within 25 cm North or South, and nearest plant outside that range is not representative.</t>
  </si>
  <si>
    <t>DOY:</t>
  </si>
  <si>
    <t>Sky clear.  Mod haze.  Hot.  Slight breeze to light wind.  Not usually moving the plant leaves much.</t>
  </si>
  <si>
    <t>Comments:</t>
  </si>
  <si>
    <t>Date:</t>
  </si>
  <si>
    <t>FISE2007 -Cotton Plant Cover and Heights</t>
  </si>
  <si>
    <t>DOY178</t>
  </si>
  <si>
    <t>Dark foliage, especially new leaves.</t>
  </si>
  <si>
    <t>X=big gap and muddy, so couldn't measure next plant</t>
  </si>
  <si>
    <t>Highlighted measurments = gap in row at 25 cm (+ 25 cm either direction) into the target area.  Measured the closest representative plant.</t>
  </si>
  <si>
    <t>Comments</t>
  </si>
  <si>
    <t>SMM</t>
  </si>
  <si>
    <t>wind to lessen before taking measurements.</t>
  </si>
  <si>
    <t>Partly cloudy but most to SE.  Sun mostly clear.  Slight breeze-had to wait for an occasional</t>
  </si>
  <si>
    <t>later during measurements and moving branches at times (in the 30s).  Waited for wind to calm before measuring.</t>
  </si>
  <si>
    <t>Overcast. Hot &amp; humid.  Wind occasionaly moving leaves a bit at the start and picking up</t>
  </si>
  <si>
    <t>Yellowish leaves</t>
  </si>
  <si>
    <t>Plant all by itself (lots of room for it)</t>
  </si>
  <si>
    <t>Dky clear.  Breeze to l ight wind. From South.  Clouds forming on South and East horizons.</t>
  </si>
  <si>
    <t>8 Aug. 2007</t>
  </si>
  <si>
    <t>Canopy closed on both sides of the plant.</t>
  </si>
  <si>
    <t>=</t>
  </si>
  <si>
    <t>CLO</t>
  </si>
  <si>
    <t>Canopy closed on one side of the plant, but not the other.  Can't measure canopy width.</t>
  </si>
  <si>
    <t>(1)</t>
  </si>
  <si>
    <t>No space between plant in this row and plant(s) in adjacent row, but I could clearly see the edge of the plant and took a measurement</t>
  </si>
  <si>
    <t>(with line on one side or the other or both</t>
  </si>
  <si>
    <t xml:space="preserve">breeze. </t>
  </si>
  <si>
    <t>Hot.  ~10% scattered cumulus and lots of faint cirrus.  Sharp shadows.  Very slight</t>
  </si>
  <si>
    <t>Row 5</t>
  </si>
  <si>
    <t>Lots of the plants splaying out wide or tipping over a bit - wind?  spray rig?</t>
  </si>
  <si>
    <t>Sun clear.  Slight breeze from SW.  Somewhat cooler than it has been.</t>
  </si>
  <si>
    <t>CCID</t>
  </si>
  <si>
    <t>STR</t>
  </si>
  <si>
    <t>CM-S</t>
  </si>
  <si>
    <t>AZ-T</t>
  </si>
  <si>
    <t>FAO-S</t>
  </si>
  <si>
    <t>ND-S</t>
  </si>
  <si>
    <t>CM-T</t>
  </si>
  <si>
    <t>ND-T</t>
  </si>
  <si>
    <t>PLPD</t>
  </si>
  <si>
    <t>p/m</t>
  </si>
  <si>
    <t>* Plot 44 is a sparse plot.  Plot 44 &amp; 45 treatments and density assignments were transposed and I was using an earlier, pre-plant map  -SMM</t>
  </si>
  <si>
    <t>Started @ plot 48 &amp; zigzagged thru field to Plot 02 (last)</t>
  </si>
  <si>
    <t>48</t>
  </si>
  <si>
    <t>47</t>
  </si>
  <si>
    <t>46</t>
  </si>
  <si>
    <r>
      <t>CM-T</t>
    </r>
    <r>
      <rPr>
        <sz val="14"/>
        <rFont val="Arial"/>
        <family val="2"/>
      </rPr>
      <t>*</t>
    </r>
  </si>
  <si>
    <t>45</t>
  </si>
  <si>
    <t>Looks like a sparse plot*</t>
  </si>
  <si>
    <r>
      <t>ND-S</t>
    </r>
    <r>
      <rPr>
        <sz val="14"/>
        <rFont val="Arial"/>
        <family val="2"/>
      </rPr>
      <t>*</t>
    </r>
  </si>
  <si>
    <t>44</t>
  </si>
  <si>
    <t>43</t>
  </si>
  <si>
    <t>42</t>
  </si>
  <si>
    <t>The 40's</t>
  </si>
  <si>
    <t>41</t>
  </si>
  <si>
    <t>38</t>
  </si>
  <si>
    <t>37</t>
  </si>
  <si>
    <t>36</t>
  </si>
  <si>
    <t>35</t>
  </si>
  <si>
    <t>34</t>
  </si>
  <si>
    <t>33</t>
  </si>
  <si>
    <t>32</t>
  </si>
  <si>
    <t>The 30's</t>
  </si>
  <si>
    <t>31</t>
  </si>
  <si>
    <t>28</t>
  </si>
  <si>
    <t>27</t>
  </si>
  <si>
    <t>26</t>
  </si>
  <si>
    <t>25</t>
  </si>
  <si>
    <t>24</t>
  </si>
  <si>
    <t>23</t>
  </si>
  <si>
    <t>22</t>
  </si>
  <si>
    <t>The 20's</t>
  </si>
  <si>
    <t>21</t>
  </si>
  <si>
    <t>18</t>
  </si>
  <si>
    <t>17</t>
  </si>
  <si>
    <t>16</t>
  </si>
  <si>
    <t>15</t>
  </si>
  <si>
    <t>14</t>
  </si>
  <si>
    <t>13</t>
  </si>
  <si>
    <t>12</t>
  </si>
  <si>
    <t>The 10's</t>
  </si>
  <si>
    <t>11</t>
  </si>
  <si>
    <t>STR-T</t>
  </si>
  <si>
    <t>08</t>
  </si>
  <si>
    <t>07</t>
  </si>
  <si>
    <t>06</t>
  </si>
  <si>
    <t>05</t>
  </si>
  <si>
    <t>04</t>
  </si>
  <si>
    <t>WS</t>
  </si>
  <si>
    <t>03</t>
  </si>
  <si>
    <t>02</t>
  </si>
  <si>
    <t>The 0's</t>
  </si>
  <si>
    <t>DS</t>
  </si>
  <si>
    <t>01</t>
  </si>
  <si>
    <t>Std. Dev.</t>
  </si>
  <si>
    <t>Std. Error</t>
  </si>
  <si>
    <t>Average</t>
  </si>
  <si>
    <t>Notes</t>
  </si>
  <si>
    <t xml:space="preserve"> 6 </t>
  </si>
  <si>
    <t xml:space="preserve"> 5 </t>
  </si>
  <si>
    <t xml:space="preserve"> 4 </t>
  </si>
  <si>
    <t xml:space="preserve"> 3 </t>
  </si>
  <si>
    <t xml:space="preserve"> 2 </t>
  </si>
  <si>
    <t xml:space="preserve"> 1 </t>
  </si>
  <si>
    <t>trt</t>
  </si>
  <si>
    <t>Average per E-W row</t>
  </si>
  <si>
    <t>Plants/m</t>
  </si>
  <si>
    <t>West</t>
  </si>
  <si>
    <t>-  -  -  -  -</t>
  </si>
  <si>
    <t>-  -  -   to -  -  -  -</t>
  </si>
  <si>
    <t>East</t>
  </si>
  <si>
    <t># of plants per 1 meter - 6 rows of each plot</t>
  </si>
  <si>
    <t>By:  SMM</t>
  </si>
  <si>
    <t>Date: 19 June 2007</t>
  </si>
  <si>
    <t xml:space="preserve">Clear sky but hazy.  Light to mod wind moving plants, but thery're small, so not moving much (iow - not a problem when counting).  Counting plants from the West - they're turned to the sun so this is easiest.  </t>
  </si>
  <si>
    <t xml:space="preserve">Edge of 1.5 meter stick against edge of boardwalk.                            </t>
  </si>
  <si>
    <t xml:space="preserve">1 meter (from 1/2 m to 1 1/2 m south from boardwalk), the 6 middle rows (the target area) </t>
  </si>
  <si>
    <t>in target areas of each plot - Field-111</t>
  </si>
  <si>
    <t>COTTON Stand Counts FISE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</si>
</sst>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0"/>
    <numFmt numFmtId="166" formatCode="0.0"/>
    <numFmt numFmtId="167" formatCode="0.E+00"/>
    <numFmt numFmtId="168" formatCode="0000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color indexed="12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10"/>
      <color indexed="48"/>
      <name val="Arial"/>
      <family val="2"/>
    </font>
    <font>
      <sz val="10"/>
      <color indexed="48"/>
      <name val="Arial"/>
      <family val="2"/>
    </font>
    <font>
      <b/>
      <sz val="20"/>
      <name val="Arial"/>
      <family val="2"/>
    </font>
    <font>
      <b/>
      <sz val="14"/>
      <color indexed="48"/>
      <name val="Arial"/>
      <family val="2"/>
    </font>
    <font>
      <sz val="10"/>
      <name val="Comic Sans MS"/>
      <family val="4"/>
    </font>
    <font>
      <b/>
      <sz val="10"/>
      <name val="Comic Sans MS"/>
      <family val="4"/>
    </font>
    <font>
      <sz val="14"/>
      <name val="Arial"/>
      <family val="2"/>
    </font>
    <font>
      <b/>
      <i/>
      <sz val="10"/>
      <name val="Arial"/>
      <family val="2"/>
    </font>
    <font>
      <b/>
      <u/>
      <sz val="10"/>
      <name val="Comic Sans MS"/>
      <family val="4"/>
    </font>
    <font>
      <sz val="8"/>
      <name val="Comic Sans MS"/>
      <family val="4"/>
    </font>
    <font>
      <sz val="9"/>
      <name val="Arial"/>
      <family val="2"/>
    </font>
    <font>
      <sz val="9"/>
      <name val="Comic Sans MS"/>
      <family val="4"/>
    </font>
    <font>
      <b/>
      <sz val="12"/>
      <name val="Comic Sans MS"/>
      <family val="4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48"/>
      </right>
      <top/>
      <bottom/>
      <diagonal/>
    </border>
    <border>
      <left style="double">
        <color indexed="48"/>
      </left>
      <right/>
      <top/>
      <bottom/>
      <diagonal/>
    </border>
    <border>
      <left style="double">
        <color indexed="4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4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48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48"/>
      </left>
      <right style="double">
        <color indexed="4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48"/>
      </left>
      <right style="double">
        <color indexed="4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4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6" fillId="0" borderId="0" applyNumberFormat="0" applyFill="0" applyBorder="0" applyAlignment="0" applyProtection="0">
      <alignment vertical="top"/>
      <protection locked="0"/>
    </xf>
  </cellStyleXfs>
  <cellXfs count="210">
    <xf numFmtId="0" fontId="0" fillId="0" borderId="0" xfId="0"/>
    <xf numFmtId="0" fontId="18" fillId="0" borderId="0" xfId="42"/>
    <xf numFmtId="0" fontId="19" fillId="0" borderId="0" xfId="42" applyFont="1" applyAlignment="1">
      <alignment horizontal="center"/>
    </xf>
    <xf numFmtId="164" fontId="19" fillId="0" borderId="10" xfId="42" applyNumberFormat="1" applyFont="1" applyBorder="1"/>
    <xf numFmtId="0" fontId="20" fillId="0" borderId="10" xfId="42" applyFont="1" applyBorder="1" applyAlignment="1">
      <alignment horizontal="center" vertical="center"/>
    </xf>
    <xf numFmtId="0" fontId="19" fillId="0" borderId="10" xfId="42" applyFont="1" applyBorder="1" applyAlignment="1">
      <alignment horizontal="center" vertical="center"/>
    </xf>
    <xf numFmtId="0" fontId="21" fillId="33" borderId="12" xfId="42" applyFont="1" applyFill="1" applyBorder="1" applyAlignment="1">
      <alignment horizontal="center" vertical="center"/>
    </xf>
    <xf numFmtId="0" fontId="18" fillId="0" borderId="0" xfId="42" applyAlignment="1">
      <alignment horizontal="center"/>
    </xf>
    <xf numFmtId="0" fontId="18" fillId="0" borderId="0" xfId="42" applyAlignment="1">
      <alignment horizontal="right"/>
    </xf>
    <xf numFmtId="0" fontId="22" fillId="0" borderId="0" xfId="42" applyFont="1"/>
    <xf numFmtId="0" fontId="23" fillId="0" borderId="0" xfId="42" applyFont="1" applyAlignment="1">
      <alignment horizontal="center"/>
    </xf>
    <xf numFmtId="0" fontId="20" fillId="0" borderId="14" xfId="42" applyFont="1" applyBorder="1" applyAlignment="1">
      <alignment horizontal="center" vertical="center"/>
    </xf>
    <xf numFmtId="0" fontId="19" fillId="0" borderId="14" xfId="42" applyFont="1" applyBorder="1" applyAlignment="1">
      <alignment horizontal="center" vertical="center"/>
    </xf>
    <xf numFmtId="0" fontId="21" fillId="33" borderId="11" xfId="42" applyFont="1" applyFill="1" applyBorder="1" applyAlignment="1">
      <alignment horizontal="center" vertical="center"/>
    </xf>
    <xf numFmtId="0" fontId="24" fillId="0" borderId="14" xfId="42" applyFont="1" applyBorder="1" applyAlignment="1">
      <alignment horizontal="center" vertical="center"/>
    </xf>
    <xf numFmtId="0" fontId="24" fillId="0" borderId="10" xfId="42" applyFont="1" applyBorder="1" applyAlignment="1">
      <alignment horizontal="center" vertical="center"/>
    </xf>
    <xf numFmtId="0" fontId="20" fillId="0" borderId="10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19" fillId="0" borderId="0" xfId="42" applyFont="1" applyAlignment="1">
      <alignment horizontal="right"/>
    </xf>
    <xf numFmtId="49" fontId="18" fillId="0" borderId="0" xfId="42" applyNumberFormat="1" applyAlignment="1">
      <alignment horizontal="center"/>
    </xf>
    <xf numFmtId="0" fontId="18" fillId="0" borderId="0" xfId="42" quotePrefix="1" applyAlignment="1">
      <alignment horizontal="center"/>
    </xf>
    <xf numFmtId="0" fontId="20" fillId="0" borderId="15" xfId="42" applyFont="1" applyBorder="1" applyAlignment="1">
      <alignment horizontal="center" vertical="center"/>
    </xf>
    <xf numFmtId="0" fontId="19" fillId="0" borderId="15" xfId="42" applyFont="1" applyBorder="1" applyAlignment="1">
      <alignment horizontal="center" vertical="center"/>
    </xf>
    <xf numFmtId="49" fontId="19" fillId="0" borderId="15" xfId="42" applyNumberFormat="1" applyFont="1" applyBorder="1" applyAlignment="1">
      <alignment horizontal="center"/>
    </xf>
    <xf numFmtId="49" fontId="23" fillId="0" borderId="15" xfId="42" applyNumberFormat="1" applyFont="1" applyBorder="1" applyAlignment="1">
      <alignment horizontal="center" vertical="center" wrapText="1"/>
    </xf>
    <xf numFmtId="49" fontId="19" fillId="0" borderId="15" xfId="42" applyNumberFormat="1" applyFont="1" applyBorder="1" applyAlignment="1">
      <alignment horizontal="center" vertical="center"/>
    </xf>
    <xf numFmtId="49" fontId="23" fillId="0" borderId="15" xfId="42" applyNumberFormat="1" applyFont="1" applyBorder="1" applyAlignment="1">
      <alignment horizontal="center" vertical="center"/>
    </xf>
    <xf numFmtId="0" fontId="19" fillId="0" borderId="11" xfId="42" applyFont="1" applyBorder="1" applyAlignment="1">
      <alignment horizontal="center" vertical="center"/>
    </xf>
    <xf numFmtId="0" fontId="19" fillId="0" borderId="16" xfId="42" applyFont="1" applyBorder="1" applyAlignment="1">
      <alignment horizontal="center" vertical="center"/>
    </xf>
    <xf numFmtId="0" fontId="19" fillId="0" borderId="0" xfId="42" applyFont="1" applyAlignment="1">
      <alignment horizontal="center" vertical="center" wrapText="1"/>
    </xf>
    <xf numFmtId="0" fontId="19" fillId="0" borderId="20" xfId="42" applyFont="1" applyBorder="1" applyAlignment="1">
      <alignment horizontal="center" vertical="center"/>
    </xf>
    <xf numFmtId="0" fontId="23" fillId="0" borderId="20" xfId="42" applyFont="1" applyBorder="1" applyAlignment="1">
      <alignment horizontal="center" vertical="center" wrapText="1"/>
    </xf>
    <xf numFmtId="0" fontId="23" fillId="0" borderId="10" xfId="42" applyFont="1" applyBorder="1" applyAlignment="1">
      <alignment horizontal="center" vertical="center" wrapText="1"/>
    </xf>
    <xf numFmtId="0" fontId="23" fillId="0" borderId="10" xfId="42" applyFont="1" applyBorder="1" applyAlignment="1">
      <alignment horizontal="center" vertical="center"/>
    </xf>
    <xf numFmtId="0" fontId="25" fillId="0" borderId="0" xfId="42" applyFont="1" applyAlignment="1">
      <alignment horizontal="center" vertical="center"/>
    </xf>
    <xf numFmtId="0" fontId="18" fillId="0" borderId="0" xfId="42" applyAlignment="1">
      <alignment horizontal="center" vertical="center"/>
    </xf>
    <xf numFmtId="0" fontId="19" fillId="0" borderId="23" xfId="42" applyFont="1" applyBorder="1"/>
    <xf numFmtId="0" fontId="18" fillId="0" borderId="24" xfId="42" applyBorder="1"/>
    <xf numFmtId="0" fontId="18" fillId="0" borderId="23" xfId="42" applyBorder="1"/>
    <xf numFmtId="14" fontId="19" fillId="0" borderId="23" xfId="42" applyNumberFormat="1" applyFont="1" applyBorder="1"/>
    <xf numFmtId="0" fontId="26" fillId="0" borderId="0" xfId="43" applyAlignment="1" applyProtection="1"/>
    <xf numFmtId="0" fontId="25" fillId="0" borderId="0" xfId="42" applyFont="1"/>
    <xf numFmtId="164" fontId="19" fillId="0" borderId="14" xfId="42" applyNumberFormat="1" applyFont="1" applyBorder="1"/>
    <xf numFmtId="164" fontId="19" fillId="0" borderId="25" xfId="42" applyNumberFormat="1" applyFont="1" applyBorder="1"/>
    <xf numFmtId="0" fontId="19" fillId="0" borderId="25" xfId="42" applyFont="1" applyBorder="1" applyAlignment="1">
      <alignment horizontal="center" vertical="center"/>
    </xf>
    <xf numFmtId="0" fontId="19" fillId="34" borderId="10" xfId="42" applyFont="1" applyFill="1" applyBorder="1" applyAlignment="1">
      <alignment horizontal="center" vertical="center"/>
    </xf>
    <xf numFmtId="0" fontId="19" fillId="34" borderId="14" xfId="42" applyFont="1" applyFill="1" applyBorder="1" applyAlignment="1">
      <alignment horizontal="center" vertical="center"/>
    </xf>
    <xf numFmtId="0" fontId="27" fillId="0" borderId="14" xfId="42" applyFont="1" applyBorder="1" applyAlignment="1">
      <alignment horizontal="center" vertical="center"/>
    </xf>
    <xf numFmtId="0" fontId="27" fillId="0" borderId="10" xfId="42" applyFont="1" applyBorder="1" applyAlignment="1">
      <alignment horizontal="center" vertical="center"/>
    </xf>
    <xf numFmtId="0" fontId="19" fillId="0" borderId="10" xfId="42" applyFont="1" applyBorder="1" applyAlignment="1">
      <alignment horizontal="center" vertical="center" wrapText="1"/>
    </xf>
    <xf numFmtId="0" fontId="19" fillId="34" borderId="10" xfId="42" applyFont="1" applyFill="1" applyBorder="1" applyAlignment="1">
      <alignment horizontal="center" vertical="center" wrapText="1"/>
    </xf>
    <xf numFmtId="49" fontId="19" fillId="0" borderId="26" xfId="42" applyNumberFormat="1" applyFont="1" applyBorder="1" applyAlignment="1">
      <alignment horizontal="center" vertical="center"/>
    </xf>
    <xf numFmtId="0" fontId="21" fillId="0" borderId="0" xfId="42" applyFont="1" applyAlignment="1">
      <alignment horizontal="center"/>
    </xf>
    <xf numFmtId="0" fontId="19" fillId="0" borderId="0" xfId="42" applyFont="1"/>
    <xf numFmtId="14" fontId="19" fillId="0" borderId="0" xfId="42" applyNumberFormat="1" applyFont="1"/>
    <xf numFmtId="0" fontId="19" fillId="36" borderId="14" xfId="42" applyFont="1" applyFill="1" applyBorder="1" applyAlignment="1">
      <alignment horizontal="center" vertical="center"/>
    </xf>
    <xf numFmtId="0" fontId="19" fillId="36" borderId="10" xfId="42" applyFont="1" applyFill="1" applyBorder="1" applyAlignment="1">
      <alignment horizontal="center" vertical="center"/>
    </xf>
    <xf numFmtId="0" fontId="18" fillId="0" borderId="0" xfId="42" applyAlignment="1">
      <alignment vertical="center"/>
    </xf>
    <xf numFmtId="0" fontId="28" fillId="0" borderId="0" xfId="42" applyFont="1" applyAlignment="1">
      <alignment vertical="center"/>
    </xf>
    <xf numFmtId="0" fontId="18" fillId="0" borderId="0" xfId="42" quotePrefix="1" applyAlignment="1">
      <alignment horizontal="center" vertical="center"/>
    </xf>
    <xf numFmtId="0" fontId="29" fillId="0" borderId="0" xfId="42" quotePrefix="1" applyFont="1" applyAlignment="1">
      <alignment horizontal="center" vertical="center"/>
    </xf>
    <xf numFmtId="0" fontId="30" fillId="0" borderId="0" xfId="42" applyFont="1" applyAlignment="1">
      <alignment horizontal="center" vertical="center"/>
    </xf>
    <xf numFmtId="0" fontId="29" fillId="0" borderId="0" xfId="42" applyFont="1" applyAlignment="1">
      <alignment horizontal="center" vertical="center"/>
    </xf>
    <xf numFmtId="0" fontId="30" fillId="0" borderId="0" xfId="42" quotePrefix="1" applyFont="1" applyAlignment="1">
      <alignment horizontal="center" vertical="center"/>
    </xf>
    <xf numFmtId="0" fontId="29" fillId="0" borderId="0" xfId="42" quotePrefix="1" applyFont="1" applyAlignment="1">
      <alignment horizontal="center" vertical="center" wrapText="1"/>
    </xf>
    <xf numFmtId="0" fontId="27" fillId="0" borderId="10" xfId="42" quotePrefix="1" applyFont="1" applyBorder="1" applyAlignment="1">
      <alignment horizontal="center" vertical="center"/>
    </xf>
    <xf numFmtId="0" fontId="19" fillId="0" borderId="29" xfId="42" applyFont="1" applyBorder="1" applyAlignment="1">
      <alignment horizontal="center" vertical="center"/>
    </xf>
    <xf numFmtId="0" fontId="27" fillId="0" borderId="20" xfId="42" quotePrefix="1" applyFont="1" applyBorder="1" applyAlignment="1">
      <alignment horizontal="center" vertical="center"/>
    </xf>
    <xf numFmtId="0" fontId="27" fillId="0" borderId="29" xfId="42" applyFont="1" applyBorder="1" applyAlignment="1">
      <alignment horizontal="center" vertical="center"/>
    </xf>
    <xf numFmtId="0" fontId="27" fillId="0" borderId="20" xfId="42" applyFont="1" applyBorder="1" applyAlignment="1">
      <alignment horizontal="center" vertical="center"/>
    </xf>
    <xf numFmtId="0" fontId="19" fillId="0" borderId="30" xfId="42" applyFont="1" applyBorder="1" applyAlignment="1">
      <alignment horizontal="center" vertical="center"/>
    </xf>
    <xf numFmtId="0" fontId="27" fillId="34" borderId="10" xfId="42" quotePrefix="1" applyFont="1" applyFill="1" applyBorder="1" applyAlignment="1">
      <alignment horizontal="center" vertical="center"/>
    </xf>
    <xf numFmtId="0" fontId="27" fillId="0" borderId="21" xfId="42" quotePrefix="1" applyFont="1" applyBorder="1" applyAlignment="1">
      <alignment horizontal="center" vertical="center"/>
    </xf>
    <xf numFmtId="0" fontId="19" fillId="0" borderId="31" xfId="42" applyFont="1" applyBorder="1" applyAlignment="1">
      <alignment horizontal="center" vertical="center"/>
    </xf>
    <xf numFmtId="0" fontId="27" fillId="0" borderId="31" xfId="42" quotePrefix="1" applyFont="1" applyBorder="1" applyAlignment="1">
      <alignment horizontal="center" vertical="center"/>
    </xf>
    <xf numFmtId="0" fontId="19" fillId="0" borderId="33" xfId="42" applyFont="1" applyBorder="1" applyAlignment="1">
      <alignment horizontal="center" vertical="center"/>
    </xf>
    <xf numFmtId="0" fontId="27" fillId="0" borderId="29" xfId="42" quotePrefix="1" applyFont="1" applyBorder="1" applyAlignment="1">
      <alignment horizontal="center" vertical="center"/>
    </xf>
    <xf numFmtId="0" fontId="27" fillId="34" borderId="10" xfId="42" applyFont="1" applyFill="1" applyBorder="1" applyAlignment="1">
      <alignment horizontal="center" vertical="center"/>
    </xf>
    <xf numFmtId="0" fontId="19" fillId="0" borderId="33" xfId="42" applyFont="1" applyBorder="1" applyAlignment="1">
      <alignment horizontal="center" vertical="center" wrapText="1"/>
    </xf>
    <xf numFmtId="0" fontId="19" fillId="0" borderId="20" xfId="42" applyFont="1" applyBorder="1" applyAlignment="1">
      <alignment horizontal="center" vertical="center" wrapText="1"/>
    </xf>
    <xf numFmtId="0" fontId="19" fillId="0" borderId="34" xfId="42" applyFont="1" applyBorder="1" applyAlignment="1">
      <alignment horizontal="center" vertical="center"/>
    </xf>
    <xf numFmtId="0" fontId="19" fillId="0" borderId="35" xfId="42" applyFont="1" applyBorder="1" applyAlignment="1">
      <alignment horizontal="center" vertical="center"/>
    </xf>
    <xf numFmtId="0" fontId="19" fillId="0" borderId="36" xfId="42" applyFont="1" applyBorder="1" applyAlignment="1">
      <alignment horizontal="center" vertical="center"/>
    </xf>
    <xf numFmtId="0" fontId="19" fillId="0" borderId="19" xfId="42" applyFont="1" applyBorder="1" applyAlignment="1">
      <alignment horizontal="center" vertical="center"/>
    </xf>
    <xf numFmtId="0" fontId="27" fillId="0" borderId="37" xfId="42" applyFont="1" applyBorder="1" applyAlignment="1">
      <alignment horizontal="center" vertical="center"/>
    </xf>
    <xf numFmtId="0" fontId="19" fillId="0" borderId="38" xfId="42" applyFont="1" applyBorder="1" applyAlignment="1">
      <alignment horizontal="center" vertical="center"/>
    </xf>
    <xf numFmtId="0" fontId="27" fillId="0" borderId="39" xfId="42" quotePrefix="1" applyFont="1" applyBorder="1" applyAlignment="1">
      <alignment horizontal="center" vertical="center"/>
    </xf>
    <xf numFmtId="0" fontId="19" fillId="0" borderId="40" xfId="42" applyFont="1" applyBorder="1" applyAlignment="1">
      <alignment horizontal="center" vertical="center"/>
    </xf>
    <xf numFmtId="0" fontId="19" fillId="0" borderId="41" xfId="42" applyFont="1" applyBorder="1" applyAlignment="1">
      <alignment horizontal="center" vertical="center"/>
    </xf>
    <xf numFmtId="0" fontId="27" fillId="0" borderId="37" xfId="42" quotePrefix="1" applyFont="1" applyBorder="1" applyAlignment="1">
      <alignment horizontal="center" vertical="center"/>
    </xf>
    <xf numFmtId="0" fontId="19" fillId="0" borderId="37" xfId="42" applyFont="1" applyBorder="1" applyAlignment="1">
      <alignment horizontal="center" vertical="center"/>
    </xf>
    <xf numFmtId="0" fontId="19" fillId="34" borderId="37" xfId="42" applyFont="1" applyFill="1" applyBorder="1" applyAlignment="1">
      <alignment horizontal="center" vertical="center"/>
    </xf>
    <xf numFmtId="0" fontId="27" fillId="34" borderId="37" xfId="42" applyFont="1" applyFill="1" applyBorder="1" applyAlignment="1">
      <alignment horizontal="center" vertical="center"/>
    </xf>
    <xf numFmtId="0" fontId="19" fillId="0" borderId="42" xfId="42" applyFont="1" applyBorder="1" applyAlignment="1">
      <alignment horizontal="center" vertical="center"/>
    </xf>
    <xf numFmtId="0" fontId="19" fillId="0" borderId="39" xfId="42" applyFont="1" applyBorder="1" applyAlignment="1">
      <alignment horizontal="center" vertical="center"/>
    </xf>
    <xf numFmtId="0" fontId="19" fillId="34" borderId="36" xfId="42" applyFont="1" applyFill="1" applyBorder="1" applyAlignment="1">
      <alignment horizontal="center" vertical="center"/>
    </xf>
    <xf numFmtId="0" fontId="27" fillId="34" borderId="37" xfId="42" quotePrefix="1" applyFont="1" applyFill="1" applyBorder="1" applyAlignment="1">
      <alignment horizontal="center" vertical="center"/>
    </xf>
    <xf numFmtId="0" fontId="19" fillId="0" borderId="37" xfId="42" applyFont="1" applyBorder="1" applyAlignment="1">
      <alignment horizontal="center" vertical="center" wrapText="1"/>
    </xf>
    <xf numFmtId="0" fontId="19" fillId="0" borderId="43" xfId="42" applyFont="1" applyBorder="1" applyAlignment="1">
      <alignment horizontal="center" vertical="center"/>
    </xf>
    <xf numFmtId="0" fontId="25" fillId="0" borderId="0" xfId="42" applyFont="1" applyAlignment="1">
      <alignment horizontal="center" vertical="center"/>
    </xf>
    <xf numFmtId="0" fontId="19" fillId="0" borderId="19" xfId="42" applyFont="1" applyBorder="1" applyAlignment="1">
      <alignment horizontal="right"/>
    </xf>
    <xf numFmtId="0" fontId="18" fillId="0" borderId="18" xfId="42" applyBorder="1" applyAlignment="1">
      <alignment horizontal="right"/>
    </xf>
    <xf numFmtId="0" fontId="18" fillId="0" borderId="17" xfId="42" applyBorder="1" applyAlignment="1">
      <alignment horizontal="right"/>
    </xf>
    <xf numFmtId="1" fontId="21" fillId="0" borderId="13" xfId="42" quotePrefix="1" applyNumberFormat="1" applyFont="1" applyBorder="1" applyAlignment="1">
      <alignment horizontal="center" vertical="center"/>
    </xf>
    <xf numFmtId="1" fontId="20" fillId="0" borderId="11" xfId="42" applyNumberFormat="1" applyFont="1" applyBorder="1" applyAlignment="1">
      <alignment horizontal="center" vertical="center"/>
    </xf>
    <xf numFmtId="0" fontId="23" fillId="0" borderId="13" xfId="42" applyFont="1" applyBorder="1" applyAlignment="1">
      <alignment horizontal="center" vertical="center" wrapText="1"/>
    </xf>
    <xf numFmtId="0" fontId="23" fillId="0" borderId="11" xfId="42" applyFont="1" applyBorder="1" applyAlignment="1">
      <alignment horizontal="center" vertical="center" wrapText="1"/>
    </xf>
    <xf numFmtId="0" fontId="19" fillId="0" borderId="13" xfId="42" applyFont="1" applyBorder="1" applyAlignment="1">
      <alignment horizontal="center"/>
    </xf>
    <xf numFmtId="0" fontId="19" fillId="0" borderId="11" xfId="42" applyFont="1" applyBorder="1" applyAlignment="1">
      <alignment horizontal="center"/>
    </xf>
    <xf numFmtId="0" fontId="21" fillId="0" borderId="20" xfId="42" applyFont="1" applyBorder="1" applyAlignment="1">
      <alignment horizontal="center"/>
    </xf>
    <xf numFmtId="0" fontId="21" fillId="0" borderId="22" xfId="42" applyFont="1" applyBorder="1" applyAlignment="1">
      <alignment horizontal="center"/>
    </xf>
    <xf numFmtId="0" fontId="21" fillId="0" borderId="21" xfId="42" applyFont="1" applyBorder="1" applyAlignment="1">
      <alignment horizontal="center"/>
    </xf>
    <xf numFmtId="1" fontId="21" fillId="0" borderId="13" xfId="42" applyNumberFormat="1" applyFont="1" applyBorder="1" applyAlignment="1">
      <alignment horizontal="center" vertical="center"/>
    </xf>
    <xf numFmtId="0" fontId="19" fillId="0" borderId="13" xfId="42" applyFont="1" applyBorder="1" applyAlignment="1">
      <alignment horizontal="center" vertical="center"/>
    </xf>
    <xf numFmtId="0" fontId="18" fillId="0" borderId="11" xfId="42" applyBorder="1" applyAlignment="1">
      <alignment horizontal="center" vertical="center"/>
    </xf>
    <xf numFmtId="0" fontId="21" fillId="0" borderId="13" xfId="42" applyFont="1" applyBorder="1" applyAlignment="1">
      <alignment horizontal="center" vertical="center"/>
    </xf>
    <xf numFmtId="0" fontId="20" fillId="0" borderId="11" xfId="42" applyFont="1" applyBorder="1" applyAlignment="1">
      <alignment horizontal="center" vertical="center"/>
    </xf>
    <xf numFmtId="0" fontId="21" fillId="33" borderId="12" xfId="42" applyFont="1" applyFill="1" applyBorder="1" applyAlignment="1">
      <alignment horizontal="center" vertical="center"/>
    </xf>
    <xf numFmtId="0" fontId="21" fillId="0" borderId="12" xfId="42" applyFont="1" applyBorder="1" applyAlignment="1">
      <alignment horizontal="center" vertical="center"/>
    </xf>
    <xf numFmtId="0" fontId="20" fillId="33" borderId="11" xfId="42" applyFont="1" applyFill="1" applyBorder="1" applyAlignment="1">
      <alignment horizontal="center" vertical="center"/>
    </xf>
    <xf numFmtId="165" fontId="21" fillId="0" borderId="13" xfId="42" quotePrefix="1" applyNumberFormat="1" applyFont="1" applyBorder="1" applyAlignment="1">
      <alignment horizontal="center" vertical="center"/>
    </xf>
    <xf numFmtId="0" fontId="19" fillId="0" borderId="11" xfId="42" applyFont="1" applyBorder="1" applyAlignment="1">
      <alignment horizontal="center" vertical="center"/>
    </xf>
    <xf numFmtId="165" fontId="21" fillId="0" borderId="13" xfId="42" applyNumberFormat="1" applyFont="1" applyBorder="1" applyAlignment="1">
      <alignment horizontal="center" vertical="center"/>
    </xf>
    <xf numFmtId="165" fontId="21" fillId="0" borderId="12" xfId="42" applyNumberFormat="1" applyFont="1" applyBorder="1" applyAlignment="1">
      <alignment horizontal="center" vertical="center"/>
    </xf>
    <xf numFmtId="0" fontId="19" fillId="0" borderId="12" xfId="42" applyFont="1" applyBorder="1" applyAlignment="1">
      <alignment vertical="center" wrapText="1"/>
    </xf>
    <xf numFmtId="0" fontId="18" fillId="0" borderId="11" xfId="42" applyBorder="1" applyAlignment="1">
      <alignment vertical="center" wrapText="1"/>
    </xf>
    <xf numFmtId="0" fontId="19" fillId="34" borderId="12" xfId="42" applyFont="1" applyFill="1" applyBorder="1" applyAlignment="1">
      <alignment vertical="top" wrapText="1"/>
    </xf>
    <xf numFmtId="0" fontId="18" fillId="34" borderId="26" xfId="42" applyFill="1" applyBorder="1" applyAlignment="1">
      <alignment vertical="top" wrapText="1"/>
    </xf>
    <xf numFmtId="0" fontId="18" fillId="34" borderId="11" xfId="42" applyFill="1" applyBorder="1" applyAlignment="1">
      <alignment vertical="top" wrapText="1"/>
    </xf>
    <xf numFmtId="0" fontId="19" fillId="0" borderId="12" xfId="42" applyFont="1" applyBorder="1" applyAlignment="1">
      <alignment wrapText="1"/>
    </xf>
    <xf numFmtId="0" fontId="18" fillId="0" borderId="11" xfId="42" applyBorder="1" applyAlignment="1">
      <alignment wrapText="1"/>
    </xf>
    <xf numFmtId="0" fontId="19" fillId="35" borderId="12" xfId="42" applyFont="1" applyFill="1" applyBorder="1" applyAlignment="1">
      <alignment vertical="center" wrapText="1"/>
    </xf>
    <xf numFmtId="0" fontId="18" fillId="35" borderId="26" xfId="42" applyFill="1" applyBorder="1" applyAlignment="1">
      <alignment vertical="center" wrapText="1"/>
    </xf>
    <xf numFmtId="0" fontId="18" fillId="35" borderId="11" xfId="42" applyFill="1" applyBorder="1" applyAlignment="1">
      <alignment vertical="center" wrapText="1"/>
    </xf>
    <xf numFmtId="0" fontId="19" fillId="34" borderId="12" xfId="42" applyFont="1" applyFill="1" applyBorder="1" applyAlignment="1">
      <alignment vertical="center" wrapText="1"/>
    </xf>
    <xf numFmtId="0" fontId="18" fillId="34" borderId="26" xfId="42" applyFill="1" applyBorder="1" applyAlignment="1">
      <alignment vertical="center" wrapText="1"/>
    </xf>
    <xf numFmtId="0" fontId="18" fillId="34" borderId="11" xfId="42" applyFill="1" applyBorder="1" applyAlignment="1">
      <alignment vertical="center" wrapText="1"/>
    </xf>
    <xf numFmtId="0" fontId="19" fillId="36" borderId="12" xfId="42" applyFont="1" applyFill="1" applyBorder="1" applyAlignment="1">
      <alignment vertical="center" wrapText="1"/>
    </xf>
    <xf numFmtId="0" fontId="18" fillId="36" borderId="11" xfId="42" applyFill="1" applyBorder="1" applyAlignment="1">
      <alignment vertical="center" wrapText="1"/>
    </xf>
    <xf numFmtId="0" fontId="28" fillId="0" borderId="28" xfId="42" applyFont="1" applyBorder="1" applyAlignment="1">
      <alignment horizontal="center" vertical="center" wrapText="1"/>
    </xf>
    <xf numFmtId="0" fontId="28" fillId="0" borderId="0" xfId="42" applyFont="1" applyAlignment="1">
      <alignment horizontal="center" vertical="center" wrapText="1"/>
    </xf>
    <xf numFmtId="0" fontId="28" fillId="0" borderId="27" xfId="42" applyFont="1" applyBorder="1" applyAlignment="1">
      <alignment horizontal="center" vertical="center" wrapText="1"/>
    </xf>
    <xf numFmtId="0" fontId="18" fillId="0" borderId="26" xfId="42" applyBorder="1" applyAlignment="1">
      <alignment vertical="center" wrapText="1"/>
    </xf>
    <xf numFmtId="0" fontId="19" fillId="0" borderId="32" xfId="42" applyFont="1" applyBorder="1" applyAlignment="1">
      <alignment vertical="center" wrapText="1"/>
    </xf>
    <xf numFmtId="0" fontId="18" fillId="0" borderId="0" xfId="42" applyAlignment="1">
      <alignment vertical="center" wrapText="1"/>
    </xf>
    <xf numFmtId="0" fontId="18" fillId="0" borderId="16" xfId="42" applyBorder="1" applyAlignment="1">
      <alignment vertical="center" wrapText="1"/>
    </xf>
    <xf numFmtId="0" fontId="19" fillId="34" borderId="32" xfId="42" applyFont="1" applyFill="1" applyBorder="1" applyAlignment="1">
      <alignment vertical="center" wrapText="1"/>
    </xf>
    <xf numFmtId="0" fontId="18" fillId="34" borderId="44" xfId="42" applyFill="1" applyBorder="1" applyAlignment="1">
      <alignment vertical="center" wrapText="1"/>
    </xf>
    <xf numFmtId="0" fontId="18" fillId="34" borderId="16" xfId="42" applyFill="1" applyBorder="1" applyAlignment="1">
      <alignment vertical="center" wrapText="1"/>
    </xf>
    <xf numFmtId="166" fontId="0" fillId="0" borderId="0" xfId="0" applyNumberFormat="1"/>
    <xf numFmtId="2" fontId="18" fillId="0" borderId="0" xfId="42" applyNumberFormat="1" applyAlignment="1">
      <alignment horizontal="center"/>
    </xf>
    <xf numFmtId="2" fontId="18" fillId="0" borderId="0" xfId="42" applyNumberFormat="1"/>
    <xf numFmtId="166" fontId="18" fillId="0" borderId="0" xfId="42" applyNumberFormat="1"/>
    <xf numFmtId="0" fontId="31" fillId="0" borderId="0" xfId="42" applyFont="1"/>
    <xf numFmtId="2" fontId="31" fillId="0" borderId="0" xfId="42" applyNumberFormat="1" applyFont="1" applyAlignment="1">
      <alignment horizontal="center"/>
    </xf>
    <xf numFmtId="2" fontId="31" fillId="0" borderId="0" xfId="42" applyNumberFormat="1" applyFont="1"/>
    <xf numFmtId="49" fontId="31" fillId="0" borderId="0" xfId="42" applyNumberFormat="1" applyFont="1" applyAlignment="1">
      <alignment horizontal="center"/>
    </xf>
    <xf numFmtId="49" fontId="32" fillId="0" borderId="0" xfId="42" applyNumberFormat="1" applyFont="1" applyAlignment="1">
      <alignment horizontal="center"/>
    </xf>
    <xf numFmtId="0" fontId="31" fillId="0" borderId="0" xfId="42" applyFont="1" applyAlignment="1">
      <alignment horizontal="left"/>
    </xf>
    <xf numFmtId="0" fontId="31" fillId="0" borderId="0" xfId="42" applyFont="1" applyAlignment="1">
      <alignment vertical="center"/>
    </xf>
    <xf numFmtId="49" fontId="32" fillId="0" borderId="0" xfId="42" applyNumberFormat="1" applyFont="1" applyAlignment="1">
      <alignment horizontal="center" vertical="center"/>
    </xf>
    <xf numFmtId="167" fontId="31" fillId="0" borderId="0" xfId="42" applyNumberFormat="1" applyFont="1" applyAlignment="1">
      <alignment horizontal="left"/>
    </xf>
    <xf numFmtId="167" fontId="31" fillId="0" borderId="0" xfId="42" applyNumberFormat="1" applyFont="1" applyAlignment="1">
      <alignment horizontal="left" vertical="center"/>
    </xf>
    <xf numFmtId="49" fontId="32" fillId="0" borderId="0" xfId="42" applyNumberFormat="1" applyFont="1" applyAlignment="1">
      <alignment horizontal="left" vertical="center"/>
    </xf>
    <xf numFmtId="0" fontId="18" fillId="0" borderId="0" xfId="42" applyAlignment="1">
      <alignment horizontal="left" wrapText="1"/>
    </xf>
    <xf numFmtId="167" fontId="31" fillId="0" borderId="0" xfId="42" applyNumberFormat="1" applyFont="1" applyAlignment="1">
      <alignment horizontal="center" vertical="center"/>
    </xf>
    <xf numFmtId="167" fontId="31" fillId="0" borderId="45" xfId="42" applyNumberFormat="1" applyFont="1" applyBorder="1" applyAlignment="1">
      <alignment horizontal="left" wrapText="1"/>
    </xf>
    <xf numFmtId="1" fontId="31" fillId="0" borderId="10" xfId="42" applyNumberFormat="1" applyFont="1" applyBorder="1" applyAlignment="1">
      <alignment horizontal="center" vertical="center"/>
    </xf>
    <xf numFmtId="1" fontId="31" fillId="0" borderId="46" xfId="42" applyNumberFormat="1" applyFont="1" applyBorder="1" applyAlignment="1">
      <alignment horizontal="center" vertical="center"/>
    </xf>
    <xf numFmtId="1" fontId="31" fillId="0" borderId="47" xfId="42" applyNumberFormat="1" applyFont="1" applyBorder="1" applyAlignment="1">
      <alignment horizontal="center" vertical="center"/>
    </xf>
    <xf numFmtId="168" fontId="32" fillId="0" borderId="48" xfId="42" applyNumberFormat="1" applyFont="1" applyBorder="1" applyAlignment="1">
      <alignment horizontal="center" vertical="center"/>
    </xf>
    <xf numFmtId="0" fontId="19" fillId="0" borderId="10" xfId="42" applyFont="1" applyBorder="1" applyAlignment="1">
      <alignment horizontal="center"/>
    </xf>
    <xf numFmtId="49" fontId="32" fillId="0" borderId="21" xfId="42" applyNumberFormat="1" applyFont="1" applyBorder="1" applyAlignment="1">
      <alignment horizontal="center" vertical="center"/>
    </xf>
    <xf numFmtId="167" fontId="31" fillId="0" borderId="20" xfId="42" applyNumberFormat="1" applyFont="1" applyBorder="1" applyAlignment="1">
      <alignment horizontal="left"/>
    </xf>
    <xf numFmtId="0" fontId="19" fillId="0" borderId="22" xfId="42" applyFont="1" applyBorder="1" applyAlignment="1">
      <alignment horizontal="center"/>
    </xf>
    <xf numFmtId="49" fontId="19" fillId="0" borderId="0" xfId="42" applyNumberFormat="1" applyFont="1" applyAlignment="1">
      <alignment horizontal="center"/>
    </xf>
    <xf numFmtId="0" fontId="34" fillId="0" borderId="0" xfId="42" applyFont="1" applyAlignment="1">
      <alignment horizontal="center"/>
    </xf>
    <xf numFmtId="0" fontId="19" fillId="0" borderId="22" xfId="42" applyFont="1" applyBorder="1" applyAlignment="1">
      <alignment horizontal="center" vertical="center" wrapText="1"/>
    </xf>
    <xf numFmtId="1" fontId="31" fillId="0" borderId="0" xfId="42" applyNumberFormat="1" applyFont="1" applyAlignment="1">
      <alignment horizontal="center" vertical="center"/>
    </xf>
    <xf numFmtId="168" fontId="32" fillId="0" borderId="0" xfId="42" applyNumberFormat="1" applyFont="1" applyAlignment="1">
      <alignment horizontal="center" vertical="center"/>
    </xf>
    <xf numFmtId="49" fontId="32" fillId="0" borderId="22" xfId="42" applyNumberFormat="1" applyFont="1" applyBorder="1" applyAlignment="1">
      <alignment horizontal="center" vertical="center"/>
    </xf>
    <xf numFmtId="1" fontId="31" fillId="0" borderId="21" xfId="42" applyNumberFormat="1" applyFont="1" applyBorder="1" applyAlignment="1">
      <alignment horizontal="center" vertical="center"/>
    </xf>
    <xf numFmtId="16" fontId="19" fillId="0" borderId="10" xfId="42" applyNumberFormat="1" applyFont="1" applyBorder="1" applyAlignment="1">
      <alignment horizontal="center"/>
    </xf>
    <xf numFmtId="16" fontId="19" fillId="0" borderId="22" xfId="42" applyNumberFormat="1" applyFont="1" applyBorder="1" applyAlignment="1">
      <alignment horizontal="center"/>
    </xf>
    <xf numFmtId="1" fontId="31" fillId="37" borderId="10" xfId="42" applyNumberFormat="1" applyFont="1" applyFill="1" applyBorder="1" applyAlignment="1">
      <alignment horizontal="center" vertical="center"/>
    </xf>
    <xf numFmtId="1" fontId="31" fillId="37" borderId="46" xfId="42" applyNumberFormat="1" applyFont="1" applyFill="1" applyBorder="1" applyAlignment="1">
      <alignment horizontal="center" vertical="center"/>
    </xf>
    <xf numFmtId="1" fontId="31" fillId="37" borderId="47" xfId="42" applyNumberFormat="1" applyFont="1" applyFill="1" applyBorder="1" applyAlignment="1">
      <alignment horizontal="center" vertical="center"/>
    </xf>
    <xf numFmtId="1" fontId="31" fillId="37" borderId="21" xfId="42" applyNumberFormat="1" applyFont="1" applyFill="1" applyBorder="1" applyAlignment="1">
      <alignment horizontal="center" vertical="center"/>
    </xf>
    <xf numFmtId="168" fontId="32" fillId="37" borderId="48" xfId="42" applyNumberFormat="1" applyFont="1" applyFill="1" applyBorder="1" applyAlignment="1">
      <alignment horizontal="center" vertical="center"/>
    </xf>
    <xf numFmtId="1" fontId="32" fillId="37" borderId="48" xfId="42" applyNumberFormat="1" applyFont="1" applyFill="1" applyBorder="1" applyAlignment="1">
      <alignment horizontal="center" vertical="center"/>
    </xf>
    <xf numFmtId="0" fontId="18" fillId="0" borderId="0" xfId="42" applyAlignment="1">
      <alignment wrapText="1"/>
    </xf>
    <xf numFmtId="2" fontId="35" fillId="0" borderId="49" xfId="42" applyNumberFormat="1" applyFont="1" applyBorder="1" applyAlignment="1">
      <alignment horizontal="center"/>
    </xf>
    <xf numFmtId="0" fontId="35" fillId="0" borderId="0" xfId="42" applyFont="1" applyAlignment="1">
      <alignment horizontal="center"/>
    </xf>
    <xf numFmtId="49" fontId="35" fillId="38" borderId="0" xfId="42" applyNumberFormat="1" applyFont="1" applyFill="1" applyAlignment="1">
      <alignment horizontal="center" vertical="center"/>
    </xf>
    <xf numFmtId="49" fontId="35" fillId="0" borderId="0" xfId="42" applyNumberFormat="1" applyFont="1" applyAlignment="1">
      <alignment horizontal="center" vertical="center"/>
    </xf>
    <xf numFmtId="2" fontId="35" fillId="0" borderId="0" xfId="42" applyNumberFormat="1" applyFont="1" applyAlignment="1">
      <alignment horizontal="center" wrapText="1"/>
    </xf>
    <xf numFmtId="2" fontId="32" fillId="0" borderId="0" xfId="42" applyNumberFormat="1" applyFont="1" applyAlignment="1">
      <alignment horizontal="centerContinuous"/>
    </xf>
    <xf numFmtId="0" fontId="32" fillId="38" borderId="0" xfId="42" applyFont="1" applyFill="1" applyAlignment="1">
      <alignment horizontal="center" vertical="center"/>
    </xf>
    <xf numFmtId="0" fontId="32" fillId="38" borderId="0" xfId="42" quotePrefix="1" applyFont="1" applyFill="1" applyAlignment="1">
      <alignment horizontal="left" vertical="center"/>
    </xf>
    <xf numFmtId="0" fontId="32" fillId="38" borderId="0" xfId="42" applyFont="1" applyFill="1" applyAlignment="1">
      <alignment horizontal="left" vertical="center"/>
    </xf>
    <xf numFmtId="49" fontId="31" fillId="0" borderId="0" xfId="42" applyNumberFormat="1" applyFont="1" applyAlignment="1">
      <alignment horizontal="center" vertical="center"/>
    </xf>
    <xf numFmtId="0" fontId="31" fillId="0" borderId="0" xfId="42" applyFont="1" applyAlignment="1">
      <alignment horizontal="centerContinuous" vertical="center"/>
    </xf>
    <xf numFmtId="0" fontId="31" fillId="0" borderId="22" xfId="42" applyFont="1" applyBorder="1"/>
    <xf numFmtId="49" fontId="36" fillId="0" borderId="0" xfId="42" applyNumberFormat="1" applyFont="1" applyAlignment="1">
      <alignment vertical="center" wrapText="1"/>
    </xf>
    <xf numFmtId="0" fontId="31" fillId="0" borderId="49" xfId="42" applyFont="1" applyBorder="1"/>
    <xf numFmtId="0" fontId="37" fillId="0" borderId="0" xfId="42" applyFont="1" applyAlignment="1">
      <alignment horizontal="center" wrapText="1"/>
    </xf>
    <xf numFmtId="0" fontId="18" fillId="0" borderId="0" xfId="42" applyAlignment="1">
      <alignment horizontal="center" wrapText="1"/>
    </xf>
    <xf numFmtId="49" fontId="38" fillId="0" borderId="0" xfId="42" applyNumberFormat="1" applyFont="1" applyAlignment="1">
      <alignment horizontal="center" vertical="center" wrapText="1"/>
    </xf>
    <xf numFmtId="0" fontId="32" fillId="0" borderId="0" xfId="42" applyFont="1" applyAlignment="1">
      <alignment horizontal="centerContinuous" vertical="center"/>
    </xf>
    <xf numFmtId="0" fontId="39" fillId="0" borderId="0" xfId="42" applyFont="1" applyAlignment="1">
      <alignment horizontal="centerContinuous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68D551C-013E-4E9B-874F-087ABA11C30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339C21A-806A-4531-BD40-0BE8718C9F92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F3FF15D-7040-45C1-9C16-C162B2170E36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AFD1D20-EB8D-4274-BCF4-A8B89145E0E6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771A829-6321-4C4D-9713-9291B1E5A931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5458CF5-64B5-4FC4-9569-FFFE579C0D87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83EA415-1D4D-4995-BF22-DBD47986C36D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92AD-A13B-4325-BF5A-5FD55646478D}">
  <dimension ref="A1:G229"/>
  <sheetViews>
    <sheetView workbookViewId="0">
      <selection sqref="A1:A1048576"/>
    </sheetView>
  </sheetViews>
  <sheetFormatPr defaultRowHeight="15" x14ac:dyDescent="0.25"/>
  <sheetData>
    <row r="1" spans="1:7" x14ac:dyDescent="0.25">
      <c r="A1" t="s">
        <v>307</v>
      </c>
      <c r="B1" t="s">
        <v>281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B2">
        <v>49</v>
      </c>
      <c r="C2">
        <v>71</v>
      </c>
      <c r="D2">
        <v>73</v>
      </c>
      <c r="E2">
        <v>89</v>
      </c>
      <c r="F2">
        <v>94</v>
      </c>
      <c r="G2">
        <v>96</v>
      </c>
    </row>
    <row r="3" spans="1:7" x14ac:dyDescent="0.25">
      <c r="A3" t="s">
        <v>6</v>
      </c>
      <c r="B3">
        <v>46</v>
      </c>
      <c r="C3">
        <v>67</v>
      </c>
      <c r="D3">
        <v>83</v>
      </c>
      <c r="E3">
        <v>89</v>
      </c>
      <c r="F3">
        <v>99</v>
      </c>
      <c r="G3">
        <v>101</v>
      </c>
    </row>
    <row r="4" spans="1:7" x14ac:dyDescent="0.25">
      <c r="A4" t="s">
        <v>7</v>
      </c>
      <c r="B4">
        <v>31</v>
      </c>
      <c r="C4">
        <v>47</v>
      </c>
      <c r="D4">
        <v>83</v>
      </c>
      <c r="E4">
        <v>81</v>
      </c>
      <c r="F4">
        <v>88</v>
      </c>
      <c r="G4">
        <v>93</v>
      </c>
    </row>
    <row r="5" spans="1:7" x14ac:dyDescent="0.25">
      <c r="A5" t="s">
        <v>8</v>
      </c>
      <c r="B5">
        <v>44</v>
      </c>
      <c r="C5">
        <v>57</v>
      </c>
      <c r="D5">
        <v>72</v>
      </c>
      <c r="E5">
        <v>85</v>
      </c>
      <c r="F5">
        <v>95</v>
      </c>
      <c r="G5">
        <v>89</v>
      </c>
    </row>
    <row r="6" spans="1:7" x14ac:dyDescent="0.25">
      <c r="A6" t="s">
        <v>9</v>
      </c>
      <c r="B6">
        <v>49</v>
      </c>
      <c r="C6">
        <v>72</v>
      </c>
      <c r="D6">
        <v>86</v>
      </c>
      <c r="E6">
        <v>91</v>
      </c>
      <c r="F6">
        <v>96</v>
      </c>
      <c r="G6">
        <v>100</v>
      </c>
    </row>
    <row r="7" spans="1:7" x14ac:dyDescent="0.25">
      <c r="A7" t="s">
        <v>10</v>
      </c>
      <c r="B7">
        <v>33</v>
      </c>
      <c r="C7">
        <v>53</v>
      </c>
      <c r="D7">
        <v>83</v>
      </c>
      <c r="E7">
        <v>81</v>
      </c>
      <c r="F7">
        <v>98</v>
      </c>
      <c r="G7">
        <v>86</v>
      </c>
    </row>
    <row r="8" spans="1:7" x14ac:dyDescent="0.25">
      <c r="A8" t="s">
        <v>11</v>
      </c>
      <c r="B8">
        <v>11</v>
      </c>
      <c r="C8">
        <v>23</v>
      </c>
      <c r="D8">
        <v>57</v>
      </c>
      <c r="E8">
        <v>72</v>
      </c>
      <c r="F8">
        <v>115</v>
      </c>
      <c r="G8">
        <v>121</v>
      </c>
    </row>
    <row r="9" spans="1:7" x14ac:dyDescent="0.25">
      <c r="A9" t="s">
        <v>12</v>
      </c>
      <c r="B9">
        <v>30</v>
      </c>
      <c r="C9">
        <v>46</v>
      </c>
      <c r="D9">
        <v>63</v>
      </c>
      <c r="E9">
        <v>108</v>
      </c>
      <c r="F9">
        <v>128</v>
      </c>
      <c r="G9">
        <v>123</v>
      </c>
    </row>
    <row r="10" spans="1:7" x14ac:dyDescent="0.25">
      <c r="A10" t="s">
        <v>13</v>
      </c>
      <c r="B10">
        <v>22</v>
      </c>
      <c r="C10">
        <v>45</v>
      </c>
      <c r="D10">
        <v>72</v>
      </c>
      <c r="E10">
        <v>104</v>
      </c>
      <c r="F10">
        <v>127</v>
      </c>
      <c r="G10">
        <v>137</v>
      </c>
    </row>
    <row r="11" spans="1:7" x14ac:dyDescent="0.25">
      <c r="A11" t="s">
        <v>14</v>
      </c>
      <c r="B11">
        <v>32</v>
      </c>
      <c r="C11">
        <v>53</v>
      </c>
      <c r="D11">
        <v>62</v>
      </c>
      <c r="E11">
        <v>104</v>
      </c>
      <c r="F11">
        <v>129</v>
      </c>
      <c r="G11">
        <v>126</v>
      </c>
    </row>
    <row r="12" spans="1:7" x14ac:dyDescent="0.25">
      <c r="A12" t="s">
        <v>15</v>
      </c>
      <c r="B12">
        <v>26</v>
      </c>
      <c r="C12">
        <v>50</v>
      </c>
      <c r="D12">
        <v>67</v>
      </c>
      <c r="E12">
        <v>98</v>
      </c>
      <c r="F12">
        <v>120</v>
      </c>
      <c r="G12">
        <v>125</v>
      </c>
    </row>
    <row r="13" spans="1:7" x14ac:dyDescent="0.25">
      <c r="A13" t="s">
        <v>16</v>
      </c>
      <c r="B13">
        <v>15</v>
      </c>
      <c r="C13">
        <v>35</v>
      </c>
      <c r="D13">
        <v>39</v>
      </c>
      <c r="E13">
        <v>94</v>
      </c>
      <c r="F13">
        <v>117</v>
      </c>
      <c r="G13">
        <v>118</v>
      </c>
    </row>
    <row r="14" spans="1:7" x14ac:dyDescent="0.25">
      <c r="A14" t="s">
        <v>17</v>
      </c>
      <c r="B14">
        <v>37</v>
      </c>
      <c r="C14">
        <v>48</v>
      </c>
      <c r="D14">
        <v>71</v>
      </c>
      <c r="E14">
        <v>101</v>
      </c>
      <c r="F14">
        <v>124</v>
      </c>
      <c r="G14">
        <v>129</v>
      </c>
    </row>
    <row r="15" spans="1:7" x14ac:dyDescent="0.25">
      <c r="A15" t="s">
        <v>18</v>
      </c>
      <c r="B15">
        <v>36</v>
      </c>
      <c r="C15">
        <v>46</v>
      </c>
      <c r="D15">
        <v>51</v>
      </c>
      <c r="E15">
        <v>96</v>
      </c>
      <c r="F15">
        <v>119</v>
      </c>
      <c r="G15">
        <v>119</v>
      </c>
    </row>
    <row r="16" spans="1:7" x14ac:dyDescent="0.25">
      <c r="A16" t="s">
        <v>19</v>
      </c>
      <c r="B16">
        <v>29</v>
      </c>
      <c r="C16">
        <v>50</v>
      </c>
      <c r="D16">
        <v>75</v>
      </c>
      <c r="E16">
        <v>99</v>
      </c>
      <c r="F16">
        <v>122</v>
      </c>
      <c r="G16">
        <v>129</v>
      </c>
    </row>
    <row r="17" spans="1:7" x14ac:dyDescent="0.25">
      <c r="A17" t="s">
        <v>20</v>
      </c>
      <c r="B17">
        <v>38</v>
      </c>
      <c r="C17">
        <v>56</v>
      </c>
      <c r="D17">
        <v>66</v>
      </c>
      <c r="E17">
        <v>102</v>
      </c>
      <c r="F17">
        <v>120</v>
      </c>
      <c r="G17">
        <v>134</v>
      </c>
    </row>
    <row r="18" spans="1:7" x14ac:dyDescent="0.25">
      <c r="A18" t="s">
        <v>21</v>
      </c>
      <c r="B18">
        <v>21</v>
      </c>
      <c r="C18">
        <v>34</v>
      </c>
      <c r="D18">
        <v>61</v>
      </c>
      <c r="E18">
        <v>74</v>
      </c>
      <c r="F18">
        <v>102</v>
      </c>
      <c r="G18">
        <v>108</v>
      </c>
    </row>
    <row r="19" spans="1:7" x14ac:dyDescent="0.25">
      <c r="A19" t="s">
        <v>22</v>
      </c>
      <c r="B19">
        <v>37</v>
      </c>
      <c r="C19">
        <v>57</v>
      </c>
      <c r="D19">
        <v>65</v>
      </c>
      <c r="E19">
        <v>104</v>
      </c>
      <c r="F19">
        <v>125</v>
      </c>
      <c r="G19">
        <v>122</v>
      </c>
    </row>
    <row r="20" spans="1:7" x14ac:dyDescent="0.25">
      <c r="A20" t="s">
        <v>23</v>
      </c>
      <c r="B20">
        <v>46</v>
      </c>
      <c r="C20">
        <v>67</v>
      </c>
      <c r="D20">
        <v>72</v>
      </c>
      <c r="E20">
        <v>93</v>
      </c>
      <c r="F20">
        <v>111</v>
      </c>
      <c r="G20">
        <v>103</v>
      </c>
    </row>
    <row r="21" spans="1:7" x14ac:dyDescent="0.25">
      <c r="A21" t="s">
        <v>24</v>
      </c>
      <c r="B21">
        <v>31</v>
      </c>
      <c r="C21">
        <v>44</v>
      </c>
      <c r="D21">
        <v>68</v>
      </c>
      <c r="E21">
        <v>74</v>
      </c>
      <c r="F21">
        <v>83</v>
      </c>
      <c r="G21">
        <v>80</v>
      </c>
    </row>
    <row r="22" spans="1:7" x14ac:dyDescent="0.25">
      <c r="A22" t="s">
        <v>25</v>
      </c>
      <c r="B22">
        <v>28</v>
      </c>
      <c r="C22">
        <v>49</v>
      </c>
      <c r="D22">
        <v>73</v>
      </c>
      <c r="E22">
        <v>76</v>
      </c>
      <c r="F22">
        <v>84</v>
      </c>
      <c r="G22">
        <v>84</v>
      </c>
    </row>
    <row r="23" spans="1:7" x14ac:dyDescent="0.25">
      <c r="A23" t="s">
        <v>26</v>
      </c>
      <c r="B23">
        <v>39</v>
      </c>
      <c r="C23">
        <v>56</v>
      </c>
      <c r="D23">
        <v>66</v>
      </c>
      <c r="E23">
        <v>86</v>
      </c>
      <c r="F23">
        <v>96</v>
      </c>
      <c r="G23">
        <v>99</v>
      </c>
    </row>
    <row r="24" spans="1:7" x14ac:dyDescent="0.25">
      <c r="A24" t="s">
        <v>27</v>
      </c>
      <c r="B24">
        <v>39</v>
      </c>
      <c r="C24">
        <v>53</v>
      </c>
      <c r="D24">
        <v>60</v>
      </c>
      <c r="E24">
        <v>79</v>
      </c>
      <c r="F24">
        <v>85</v>
      </c>
      <c r="G24">
        <v>88</v>
      </c>
    </row>
    <row r="25" spans="1:7" x14ac:dyDescent="0.25">
      <c r="A25" t="s">
        <v>28</v>
      </c>
      <c r="B25">
        <v>24</v>
      </c>
      <c r="C25">
        <v>37</v>
      </c>
      <c r="D25">
        <v>84</v>
      </c>
      <c r="E25">
        <v>79</v>
      </c>
      <c r="F25">
        <v>89</v>
      </c>
      <c r="G25">
        <v>88</v>
      </c>
    </row>
    <row r="26" spans="1:7" x14ac:dyDescent="0.25">
      <c r="A26" t="s">
        <v>29</v>
      </c>
      <c r="B26">
        <v>37</v>
      </c>
      <c r="C26">
        <v>56</v>
      </c>
      <c r="D26">
        <v>72</v>
      </c>
      <c r="E26">
        <v>92</v>
      </c>
      <c r="F26">
        <v>101</v>
      </c>
      <c r="G26">
        <v>86</v>
      </c>
    </row>
    <row r="27" spans="1:7" x14ac:dyDescent="0.25">
      <c r="A27" t="s">
        <v>30</v>
      </c>
      <c r="B27">
        <v>43</v>
      </c>
      <c r="C27">
        <v>62</v>
      </c>
      <c r="D27">
        <v>66</v>
      </c>
      <c r="E27">
        <v>89</v>
      </c>
      <c r="F27">
        <v>98</v>
      </c>
      <c r="G27">
        <v>105</v>
      </c>
    </row>
    <row r="28" spans="1:7" x14ac:dyDescent="0.25">
      <c r="A28" t="s">
        <v>31</v>
      </c>
      <c r="B28">
        <v>40</v>
      </c>
      <c r="C28">
        <v>64</v>
      </c>
      <c r="D28">
        <v>79</v>
      </c>
      <c r="E28">
        <v>91</v>
      </c>
      <c r="F28">
        <v>104</v>
      </c>
      <c r="G28">
        <v>94</v>
      </c>
    </row>
    <row r="29" spans="1:7" x14ac:dyDescent="0.25">
      <c r="A29" t="s">
        <v>32</v>
      </c>
      <c r="B29">
        <v>43</v>
      </c>
      <c r="C29">
        <v>60</v>
      </c>
      <c r="D29">
        <v>81</v>
      </c>
      <c r="E29">
        <v>81</v>
      </c>
      <c r="F29">
        <v>86</v>
      </c>
      <c r="G29">
        <v>92</v>
      </c>
    </row>
    <row r="30" spans="1:7" x14ac:dyDescent="0.25">
      <c r="A30" t="s">
        <v>33</v>
      </c>
      <c r="B30">
        <v>28</v>
      </c>
      <c r="C30">
        <v>44</v>
      </c>
      <c r="D30">
        <v>75</v>
      </c>
      <c r="E30">
        <v>74</v>
      </c>
      <c r="F30">
        <v>87</v>
      </c>
      <c r="G30">
        <v>88</v>
      </c>
    </row>
    <row r="31" spans="1:7" x14ac:dyDescent="0.25">
      <c r="A31" t="s">
        <v>34</v>
      </c>
      <c r="B31">
        <v>26</v>
      </c>
      <c r="C31">
        <v>54</v>
      </c>
      <c r="D31">
        <v>78</v>
      </c>
      <c r="E31">
        <v>85</v>
      </c>
      <c r="F31">
        <v>102</v>
      </c>
      <c r="G31">
        <v>102</v>
      </c>
    </row>
    <row r="32" spans="1:7" x14ac:dyDescent="0.25">
      <c r="A32" t="s">
        <v>35</v>
      </c>
      <c r="B32">
        <v>36</v>
      </c>
      <c r="C32">
        <v>48</v>
      </c>
      <c r="D32">
        <v>50</v>
      </c>
      <c r="E32">
        <v>85</v>
      </c>
      <c r="F32">
        <v>103</v>
      </c>
      <c r="G32">
        <v>108</v>
      </c>
    </row>
    <row r="33" spans="1:7" x14ac:dyDescent="0.25">
      <c r="A33" t="s">
        <v>36</v>
      </c>
      <c r="C33">
        <v>47</v>
      </c>
      <c r="D33">
        <v>46</v>
      </c>
      <c r="E33">
        <v>86</v>
      </c>
      <c r="F33">
        <v>106</v>
      </c>
      <c r="G33">
        <v>109</v>
      </c>
    </row>
    <row r="34" spans="1:7" x14ac:dyDescent="0.25">
      <c r="A34" t="s">
        <v>37</v>
      </c>
      <c r="B34">
        <v>19</v>
      </c>
      <c r="C34">
        <v>42</v>
      </c>
      <c r="D34">
        <v>64</v>
      </c>
      <c r="E34">
        <v>70</v>
      </c>
      <c r="F34">
        <v>87</v>
      </c>
      <c r="G34">
        <v>111</v>
      </c>
    </row>
    <row r="35" spans="1:7" x14ac:dyDescent="0.25">
      <c r="A35" t="s">
        <v>38</v>
      </c>
      <c r="B35">
        <v>39</v>
      </c>
      <c r="C35">
        <v>48</v>
      </c>
      <c r="D35">
        <v>45</v>
      </c>
      <c r="E35">
        <v>86</v>
      </c>
      <c r="F35">
        <v>104</v>
      </c>
      <c r="G35">
        <v>107</v>
      </c>
    </row>
    <row r="36" spans="1:7" x14ac:dyDescent="0.25">
      <c r="A36" t="s">
        <v>39</v>
      </c>
      <c r="B36">
        <v>18</v>
      </c>
      <c r="C36">
        <v>32</v>
      </c>
      <c r="D36">
        <v>57</v>
      </c>
      <c r="E36">
        <v>78</v>
      </c>
      <c r="F36">
        <v>99</v>
      </c>
      <c r="G36">
        <v>105</v>
      </c>
    </row>
    <row r="37" spans="1:7" x14ac:dyDescent="0.25">
      <c r="A37" t="s">
        <v>40</v>
      </c>
      <c r="B37">
        <v>29</v>
      </c>
      <c r="C37">
        <v>40</v>
      </c>
      <c r="D37">
        <v>61</v>
      </c>
      <c r="E37">
        <v>77</v>
      </c>
      <c r="F37">
        <v>98</v>
      </c>
      <c r="G37">
        <v>107</v>
      </c>
    </row>
    <row r="38" spans="1:7" x14ac:dyDescent="0.25">
      <c r="A38" t="s">
        <v>41</v>
      </c>
      <c r="B38">
        <v>31</v>
      </c>
      <c r="C38">
        <v>46</v>
      </c>
      <c r="D38">
        <v>67</v>
      </c>
      <c r="E38">
        <v>91</v>
      </c>
      <c r="F38">
        <v>113</v>
      </c>
      <c r="G38">
        <v>115</v>
      </c>
    </row>
    <row r="39" spans="1:7" x14ac:dyDescent="0.25">
      <c r="A39" t="s">
        <v>42</v>
      </c>
      <c r="B39">
        <v>39</v>
      </c>
      <c r="C39">
        <v>62</v>
      </c>
      <c r="D39">
        <v>80</v>
      </c>
      <c r="E39">
        <v>105</v>
      </c>
      <c r="F39">
        <v>117</v>
      </c>
      <c r="G39">
        <v>118</v>
      </c>
    </row>
    <row r="40" spans="1:7" x14ac:dyDescent="0.25">
      <c r="A40" t="s">
        <v>43</v>
      </c>
      <c r="B40">
        <v>22</v>
      </c>
      <c r="C40">
        <v>55</v>
      </c>
      <c r="D40">
        <v>79</v>
      </c>
      <c r="E40">
        <v>106</v>
      </c>
      <c r="F40">
        <v>131</v>
      </c>
      <c r="G40">
        <v>126</v>
      </c>
    </row>
    <row r="41" spans="1:7" x14ac:dyDescent="0.25">
      <c r="A41" t="s">
        <v>44</v>
      </c>
      <c r="B41">
        <v>29</v>
      </c>
      <c r="C41">
        <v>53</v>
      </c>
      <c r="D41">
        <v>76</v>
      </c>
      <c r="E41">
        <v>96</v>
      </c>
      <c r="F41">
        <v>130</v>
      </c>
      <c r="G41">
        <v>122</v>
      </c>
    </row>
    <row r="42" spans="1:7" x14ac:dyDescent="0.25">
      <c r="A42" t="s">
        <v>45</v>
      </c>
      <c r="B42">
        <v>31</v>
      </c>
      <c r="C42">
        <v>56</v>
      </c>
      <c r="D42">
        <v>80</v>
      </c>
      <c r="E42">
        <v>109</v>
      </c>
      <c r="F42">
        <v>126</v>
      </c>
      <c r="G42">
        <v>115</v>
      </c>
    </row>
    <row r="43" spans="1:7" x14ac:dyDescent="0.25">
      <c r="A43" t="s">
        <v>46</v>
      </c>
      <c r="D43">
        <v>73</v>
      </c>
      <c r="E43">
        <v>99</v>
      </c>
      <c r="F43">
        <v>114</v>
      </c>
      <c r="G43">
        <v>103</v>
      </c>
    </row>
    <row r="44" spans="1:7" x14ac:dyDescent="0.25">
      <c r="A44" t="s">
        <v>47</v>
      </c>
      <c r="B44">
        <v>42</v>
      </c>
      <c r="C44">
        <v>64</v>
      </c>
      <c r="D44">
        <v>82</v>
      </c>
      <c r="E44">
        <v>96</v>
      </c>
      <c r="F44">
        <v>109</v>
      </c>
      <c r="G44">
        <v>108</v>
      </c>
    </row>
    <row r="45" spans="1:7" x14ac:dyDescent="0.25">
      <c r="A45" t="s">
        <v>48</v>
      </c>
      <c r="B45">
        <v>37</v>
      </c>
      <c r="C45">
        <v>62</v>
      </c>
      <c r="D45">
        <v>80</v>
      </c>
      <c r="E45">
        <v>107</v>
      </c>
      <c r="F45">
        <v>123</v>
      </c>
      <c r="G45">
        <v>102</v>
      </c>
    </row>
    <row r="46" spans="1:7" x14ac:dyDescent="0.25">
      <c r="A46" t="s">
        <v>49</v>
      </c>
      <c r="B46">
        <v>41</v>
      </c>
      <c r="C46">
        <v>58</v>
      </c>
      <c r="D46">
        <v>77</v>
      </c>
      <c r="E46">
        <v>94</v>
      </c>
      <c r="F46">
        <v>110</v>
      </c>
      <c r="G46">
        <v>122</v>
      </c>
    </row>
    <row r="47" spans="1:7" x14ac:dyDescent="0.25">
      <c r="A47" t="s">
        <v>50</v>
      </c>
      <c r="B47">
        <v>40</v>
      </c>
      <c r="C47">
        <v>58</v>
      </c>
      <c r="D47">
        <v>75</v>
      </c>
      <c r="E47">
        <v>93</v>
      </c>
      <c r="F47">
        <v>108</v>
      </c>
      <c r="G47">
        <v>109</v>
      </c>
    </row>
    <row r="48" spans="1:7" x14ac:dyDescent="0.25">
      <c r="A48" t="s">
        <v>51</v>
      </c>
      <c r="B48">
        <v>35</v>
      </c>
      <c r="C48">
        <v>54</v>
      </c>
      <c r="D48">
        <v>69</v>
      </c>
      <c r="E48">
        <v>94</v>
      </c>
      <c r="F48">
        <v>127</v>
      </c>
      <c r="G48">
        <v>116</v>
      </c>
    </row>
    <row r="49" spans="1:7" x14ac:dyDescent="0.25">
      <c r="A49" t="s">
        <v>52</v>
      </c>
      <c r="B49">
        <v>30</v>
      </c>
      <c r="C49">
        <v>52</v>
      </c>
      <c r="D49">
        <v>68</v>
      </c>
      <c r="E49">
        <v>92</v>
      </c>
      <c r="F49">
        <v>118</v>
      </c>
      <c r="G49">
        <v>112</v>
      </c>
    </row>
    <row r="50" spans="1:7" x14ac:dyDescent="0.25">
      <c r="A50" t="s">
        <v>53</v>
      </c>
      <c r="B50">
        <v>42</v>
      </c>
      <c r="C50">
        <v>50</v>
      </c>
      <c r="D50">
        <v>80</v>
      </c>
      <c r="E50">
        <v>102</v>
      </c>
      <c r="F50">
        <v>118</v>
      </c>
      <c r="G50">
        <v>121</v>
      </c>
    </row>
    <row r="51" spans="1:7" x14ac:dyDescent="0.25">
      <c r="A51" t="s">
        <v>54</v>
      </c>
      <c r="B51">
        <v>42</v>
      </c>
      <c r="C51">
        <v>58</v>
      </c>
      <c r="D51">
        <v>80</v>
      </c>
      <c r="E51">
        <v>111</v>
      </c>
      <c r="F51">
        <v>124</v>
      </c>
      <c r="G51">
        <v>103</v>
      </c>
    </row>
    <row r="52" spans="1:7" x14ac:dyDescent="0.25">
      <c r="A52" t="s">
        <v>55</v>
      </c>
      <c r="B52">
        <v>27</v>
      </c>
      <c r="C52">
        <v>52</v>
      </c>
      <c r="D52">
        <v>77</v>
      </c>
      <c r="E52">
        <v>97</v>
      </c>
      <c r="F52">
        <v>104</v>
      </c>
      <c r="G52">
        <v>106</v>
      </c>
    </row>
    <row r="53" spans="1:7" x14ac:dyDescent="0.25">
      <c r="A53" t="s">
        <v>56</v>
      </c>
      <c r="B53">
        <v>28</v>
      </c>
      <c r="C53">
        <v>43</v>
      </c>
      <c r="D53">
        <v>74</v>
      </c>
      <c r="E53">
        <v>104</v>
      </c>
      <c r="F53">
        <v>120</v>
      </c>
      <c r="G53">
        <v>121</v>
      </c>
    </row>
    <row r="54" spans="1:7" x14ac:dyDescent="0.25">
      <c r="A54" t="s">
        <v>57</v>
      </c>
      <c r="B54">
        <v>31</v>
      </c>
      <c r="C54">
        <v>46</v>
      </c>
      <c r="D54">
        <v>67</v>
      </c>
      <c r="E54">
        <v>96</v>
      </c>
      <c r="F54">
        <v>113</v>
      </c>
      <c r="G54">
        <v>109</v>
      </c>
    </row>
    <row r="55" spans="1:7" x14ac:dyDescent="0.25">
      <c r="A55" t="s">
        <v>58</v>
      </c>
      <c r="B55">
        <v>31</v>
      </c>
      <c r="C55">
        <v>50</v>
      </c>
      <c r="D55">
        <v>79</v>
      </c>
      <c r="E55">
        <v>110</v>
      </c>
      <c r="F55">
        <v>122</v>
      </c>
      <c r="G55">
        <v>112</v>
      </c>
    </row>
    <row r="56" spans="1:7" x14ac:dyDescent="0.25">
      <c r="A56" t="s">
        <v>59</v>
      </c>
      <c r="B56">
        <v>43</v>
      </c>
      <c r="C56">
        <v>61</v>
      </c>
      <c r="D56">
        <v>73</v>
      </c>
      <c r="E56">
        <v>85</v>
      </c>
      <c r="F56">
        <v>92</v>
      </c>
      <c r="G56">
        <v>93</v>
      </c>
    </row>
    <row r="57" spans="1:7" x14ac:dyDescent="0.25">
      <c r="A57" t="s">
        <v>60</v>
      </c>
      <c r="B57">
        <v>35</v>
      </c>
      <c r="C57">
        <v>59</v>
      </c>
      <c r="D57">
        <v>71</v>
      </c>
      <c r="E57">
        <v>93</v>
      </c>
      <c r="F57">
        <v>102</v>
      </c>
      <c r="G57">
        <v>81</v>
      </c>
    </row>
    <row r="58" spans="1:7" x14ac:dyDescent="0.25">
      <c r="A58" t="s">
        <v>61</v>
      </c>
      <c r="B58">
        <v>30</v>
      </c>
      <c r="C58">
        <v>45</v>
      </c>
      <c r="D58">
        <v>66</v>
      </c>
      <c r="E58">
        <v>90</v>
      </c>
      <c r="F58">
        <v>95</v>
      </c>
      <c r="G58">
        <v>94</v>
      </c>
    </row>
    <row r="59" spans="1:7" x14ac:dyDescent="0.25">
      <c r="A59" t="s">
        <v>62</v>
      </c>
      <c r="B59">
        <v>38</v>
      </c>
      <c r="C59">
        <v>62</v>
      </c>
      <c r="D59">
        <v>72</v>
      </c>
      <c r="E59">
        <v>77</v>
      </c>
      <c r="F59">
        <v>81</v>
      </c>
      <c r="G59">
        <v>100</v>
      </c>
    </row>
    <row r="60" spans="1:7" x14ac:dyDescent="0.25">
      <c r="A60" t="s">
        <v>63</v>
      </c>
      <c r="B60">
        <v>35</v>
      </c>
      <c r="C60">
        <v>54</v>
      </c>
      <c r="D60">
        <v>63</v>
      </c>
      <c r="E60">
        <v>82</v>
      </c>
      <c r="F60">
        <v>88</v>
      </c>
      <c r="G60">
        <v>81</v>
      </c>
    </row>
    <row r="61" spans="1:7" x14ac:dyDescent="0.25">
      <c r="A61" t="s">
        <v>64</v>
      </c>
      <c r="B61">
        <v>32</v>
      </c>
      <c r="C61">
        <v>57</v>
      </c>
      <c r="D61">
        <v>68</v>
      </c>
      <c r="E61">
        <v>84</v>
      </c>
      <c r="F61">
        <v>95</v>
      </c>
      <c r="G61">
        <v>105</v>
      </c>
    </row>
    <row r="62" spans="1:7" x14ac:dyDescent="0.25">
      <c r="A62" t="s">
        <v>65</v>
      </c>
      <c r="B62">
        <v>38</v>
      </c>
      <c r="C62">
        <v>39</v>
      </c>
      <c r="D62">
        <v>70</v>
      </c>
      <c r="E62">
        <v>116</v>
      </c>
      <c r="F62">
        <v>129</v>
      </c>
      <c r="G62">
        <v>121</v>
      </c>
    </row>
    <row r="63" spans="1:7" x14ac:dyDescent="0.25">
      <c r="A63" t="s">
        <v>66</v>
      </c>
      <c r="B63">
        <v>27</v>
      </c>
      <c r="C63">
        <v>48</v>
      </c>
      <c r="D63">
        <v>81</v>
      </c>
      <c r="E63">
        <v>106</v>
      </c>
      <c r="F63">
        <v>121</v>
      </c>
      <c r="G63">
        <v>110</v>
      </c>
    </row>
    <row r="64" spans="1:7" x14ac:dyDescent="0.25">
      <c r="A64" t="s">
        <v>67</v>
      </c>
      <c r="B64">
        <v>34</v>
      </c>
      <c r="C64">
        <v>57</v>
      </c>
      <c r="D64">
        <v>76</v>
      </c>
      <c r="E64">
        <v>108</v>
      </c>
      <c r="F64">
        <v>121</v>
      </c>
      <c r="G64">
        <v>124</v>
      </c>
    </row>
    <row r="65" spans="1:7" x14ac:dyDescent="0.25">
      <c r="A65" t="s">
        <v>68</v>
      </c>
      <c r="B65">
        <v>35</v>
      </c>
      <c r="C65">
        <v>46</v>
      </c>
      <c r="D65">
        <v>81</v>
      </c>
      <c r="E65">
        <v>107</v>
      </c>
      <c r="F65">
        <v>138</v>
      </c>
      <c r="G65">
        <v>130</v>
      </c>
    </row>
    <row r="66" spans="1:7" x14ac:dyDescent="0.25">
      <c r="A66" t="s">
        <v>69</v>
      </c>
      <c r="B66">
        <v>20</v>
      </c>
      <c r="C66">
        <v>40</v>
      </c>
      <c r="D66">
        <v>74</v>
      </c>
      <c r="E66">
        <v>99</v>
      </c>
      <c r="F66">
        <v>124</v>
      </c>
      <c r="G66">
        <v>121</v>
      </c>
    </row>
    <row r="67" spans="1:7" x14ac:dyDescent="0.25">
      <c r="A67" t="s">
        <v>70</v>
      </c>
      <c r="B67">
        <v>35</v>
      </c>
      <c r="C67">
        <v>57</v>
      </c>
      <c r="D67">
        <v>88</v>
      </c>
      <c r="E67">
        <v>106</v>
      </c>
      <c r="F67">
        <v>126</v>
      </c>
      <c r="G67">
        <v>132</v>
      </c>
    </row>
    <row r="68" spans="1:7" x14ac:dyDescent="0.25">
      <c r="A68" t="s">
        <v>71</v>
      </c>
      <c r="B68">
        <v>37</v>
      </c>
      <c r="C68">
        <v>61</v>
      </c>
      <c r="D68">
        <v>76</v>
      </c>
      <c r="E68">
        <v>89</v>
      </c>
      <c r="F68">
        <v>98</v>
      </c>
      <c r="G68">
        <v>100</v>
      </c>
    </row>
    <row r="69" spans="1:7" x14ac:dyDescent="0.25">
      <c r="A69" t="s">
        <v>72</v>
      </c>
      <c r="B69">
        <v>17</v>
      </c>
      <c r="C69">
        <v>48</v>
      </c>
      <c r="D69">
        <v>62</v>
      </c>
      <c r="E69">
        <v>72</v>
      </c>
      <c r="F69">
        <v>97</v>
      </c>
      <c r="G69">
        <v>98</v>
      </c>
    </row>
    <row r="70" spans="1:7" x14ac:dyDescent="0.25">
      <c r="A70" t="s">
        <v>73</v>
      </c>
      <c r="B70">
        <v>35</v>
      </c>
      <c r="C70">
        <v>63</v>
      </c>
      <c r="D70">
        <v>78</v>
      </c>
      <c r="E70">
        <v>101</v>
      </c>
      <c r="F70">
        <v>107</v>
      </c>
      <c r="G70">
        <v>99</v>
      </c>
    </row>
    <row r="71" spans="1:7" x14ac:dyDescent="0.25">
      <c r="A71" t="s">
        <v>74</v>
      </c>
      <c r="B71">
        <v>38</v>
      </c>
      <c r="C71">
        <v>65</v>
      </c>
      <c r="D71">
        <v>86</v>
      </c>
      <c r="E71">
        <v>113</v>
      </c>
      <c r="F71">
        <v>122</v>
      </c>
      <c r="G71">
        <v>107</v>
      </c>
    </row>
    <row r="72" spans="1:7" x14ac:dyDescent="0.25">
      <c r="A72" t="s">
        <v>75</v>
      </c>
      <c r="B72">
        <v>31</v>
      </c>
      <c r="C72">
        <v>48</v>
      </c>
      <c r="D72">
        <v>64</v>
      </c>
      <c r="E72">
        <v>86</v>
      </c>
      <c r="F72">
        <v>90</v>
      </c>
      <c r="G72">
        <v>98</v>
      </c>
    </row>
    <row r="73" spans="1:7" x14ac:dyDescent="0.25">
      <c r="A73" t="s">
        <v>76</v>
      </c>
      <c r="B73">
        <v>33</v>
      </c>
      <c r="C73">
        <v>50</v>
      </c>
      <c r="D73">
        <v>72</v>
      </c>
      <c r="E73">
        <v>87</v>
      </c>
      <c r="F73">
        <v>100</v>
      </c>
      <c r="G73">
        <v>97</v>
      </c>
    </row>
    <row r="74" spans="1:7" x14ac:dyDescent="0.25">
      <c r="A74" t="s">
        <v>77</v>
      </c>
      <c r="B74">
        <v>41</v>
      </c>
      <c r="C74">
        <v>34</v>
      </c>
      <c r="D74">
        <v>70</v>
      </c>
      <c r="E74">
        <v>99</v>
      </c>
      <c r="F74">
        <v>126</v>
      </c>
      <c r="G74">
        <v>119</v>
      </c>
    </row>
    <row r="75" spans="1:7" x14ac:dyDescent="0.25">
      <c r="A75" t="s">
        <v>78</v>
      </c>
      <c r="B75">
        <v>36</v>
      </c>
      <c r="C75">
        <v>59</v>
      </c>
      <c r="D75">
        <v>82</v>
      </c>
      <c r="E75">
        <v>115</v>
      </c>
      <c r="F75">
        <v>128</v>
      </c>
      <c r="G75">
        <v>123</v>
      </c>
    </row>
    <row r="76" spans="1:7" x14ac:dyDescent="0.25">
      <c r="A76" t="s">
        <v>79</v>
      </c>
      <c r="B76">
        <v>35</v>
      </c>
      <c r="C76">
        <v>54</v>
      </c>
      <c r="D76">
        <v>83</v>
      </c>
      <c r="E76">
        <v>117</v>
      </c>
      <c r="F76">
        <v>129</v>
      </c>
      <c r="G76">
        <v>126</v>
      </c>
    </row>
    <row r="77" spans="1:7" x14ac:dyDescent="0.25">
      <c r="A77" t="s">
        <v>80</v>
      </c>
      <c r="B77">
        <v>25</v>
      </c>
      <c r="C77">
        <v>42</v>
      </c>
      <c r="D77">
        <v>66</v>
      </c>
      <c r="E77">
        <v>98</v>
      </c>
      <c r="F77">
        <v>121</v>
      </c>
      <c r="G77">
        <v>114</v>
      </c>
    </row>
    <row r="78" spans="1:7" x14ac:dyDescent="0.25">
      <c r="A78" t="s">
        <v>81</v>
      </c>
      <c r="B78">
        <v>31</v>
      </c>
      <c r="C78">
        <v>50</v>
      </c>
      <c r="D78">
        <v>71</v>
      </c>
      <c r="E78">
        <v>110</v>
      </c>
      <c r="F78">
        <v>123</v>
      </c>
      <c r="G78">
        <v>127</v>
      </c>
    </row>
    <row r="79" spans="1:7" x14ac:dyDescent="0.25">
      <c r="A79" t="s">
        <v>82</v>
      </c>
      <c r="B79">
        <v>37</v>
      </c>
      <c r="C79">
        <v>45</v>
      </c>
      <c r="D79">
        <v>78</v>
      </c>
      <c r="E79">
        <v>100</v>
      </c>
      <c r="F79">
        <v>129</v>
      </c>
      <c r="G79">
        <v>111</v>
      </c>
    </row>
    <row r="80" spans="1:7" x14ac:dyDescent="0.25">
      <c r="A80" t="s">
        <v>83</v>
      </c>
      <c r="B80">
        <v>28</v>
      </c>
      <c r="C80">
        <v>54</v>
      </c>
      <c r="D80">
        <v>69</v>
      </c>
      <c r="E80">
        <v>83</v>
      </c>
      <c r="F80">
        <v>106</v>
      </c>
      <c r="G80">
        <v>91</v>
      </c>
    </row>
    <row r="81" spans="1:7" x14ac:dyDescent="0.25">
      <c r="A81" t="s">
        <v>84</v>
      </c>
      <c r="B81">
        <v>30</v>
      </c>
      <c r="C81">
        <v>44</v>
      </c>
      <c r="D81">
        <v>63</v>
      </c>
      <c r="E81">
        <v>75</v>
      </c>
      <c r="F81">
        <v>94</v>
      </c>
      <c r="G81">
        <v>100</v>
      </c>
    </row>
    <row r="82" spans="1:7" x14ac:dyDescent="0.25">
      <c r="A82" t="s">
        <v>85</v>
      </c>
      <c r="B82">
        <v>34</v>
      </c>
      <c r="C82">
        <v>51</v>
      </c>
      <c r="D82">
        <v>64</v>
      </c>
      <c r="E82">
        <v>87</v>
      </c>
      <c r="F82">
        <v>96</v>
      </c>
      <c r="G82">
        <v>97</v>
      </c>
    </row>
    <row r="83" spans="1:7" x14ac:dyDescent="0.25">
      <c r="A83" t="s">
        <v>86</v>
      </c>
      <c r="B83">
        <v>29</v>
      </c>
      <c r="C83">
        <v>51</v>
      </c>
      <c r="D83">
        <v>69</v>
      </c>
      <c r="E83">
        <v>78</v>
      </c>
      <c r="F83">
        <v>94</v>
      </c>
      <c r="G83">
        <v>99</v>
      </c>
    </row>
    <row r="84" spans="1:7" x14ac:dyDescent="0.25">
      <c r="A84" t="s">
        <v>87</v>
      </c>
      <c r="B84">
        <v>39</v>
      </c>
      <c r="C84">
        <v>56</v>
      </c>
      <c r="D84">
        <v>78</v>
      </c>
      <c r="E84">
        <v>96</v>
      </c>
      <c r="F84">
        <v>102</v>
      </c>
      <c r="G84">
        <v>101</v>
      </c>
    </row>
    <row r="85" spans="1:7" x14ac:dyDescent="0.25">
      <c r="A85" t="s">
        <v>88</v>
      </c>
      <c r="B85">
        <v>42</v>
      </c>
      <c r="C85">
        <v>63</v>
      </c>
      <c r="D85">
        <v>86</v>
      </c>
      <c r="E85">
        <v>101</v>
      </c>
      <c r="F85">
        <v>109</v>
      </c>
      <c r="G85">
        <v>110</v>
      </c>
    </row>
    <row r="86" spans="1:7" x14ac:dyDescent="0.25">
      <c r="A86" t="s">
        <v>89</v>
      </c>
      <c r="B86">
        <v>31</v>
      </c>
      <c r="C86">
        <v>41</v>
      </c>
      <c r="D86">
        <v>61</v>
      </c>
      <c r="E86">
        <v>92</v>
      </c>
      <c r="F86">
        <v>108</v>
      </c>
      <c r="G86">
        <v>113</v>
      </c>
    </row>
    <row r="87" spans="1:7" x14ac:dyDescent="0.25">
      <c r="A87" t="s">
        <v>90</v>
      </c>
      <c r="B87">
        <v>19</v>
      </c>
      <c r="C87">
        <v>45</v>
      </c>
      <c r="D87">
        <v>62</v>
      </c>
      <c r="E87">
        <v>93</v>
      </c>
      <c r="F87">
        <v>100</v>
      </c>
      <c r="G87">
        <v>104</v>
      </c>
    </row>
    <row r="88" spans="1:7" x14ac:dyDescent="0.25">
      <c r="A88" t="s">
        <v>91</v>
      </c>
      <c r="B88">
        <v>21</v>
      </c>
      <c r="C88">
        <v>35</v>
      </c>
      <c r="D88">
        <v>61</v>
      </c>
      <c r="E88">
        <v>89</v>
      </c>
      <c r="F88">
        <v>99</v>
      </c>
      <c r="G88">
        <v>98</v>
      </c>
    </row>
    <row r="89" spans="1:7" x14ac:dyDescent="0.25">
      <c r="A89" t="s">
        <v>92</v>
      </c>
      <c r="B89">
        <v>26</v>
      </c>
      <c r="C89">
        <v>56</v>
      </c>
      <c r="D89">
        <v>63</v>
      </c>
      <c r="E89">
        <v>80</v>
      </c>
      <c r="F89">
        <v>114</v>
      </c>
      <c r="G89">
        <v>112</v>
      </c>
    </row>
    <row r="90" spans="1:7" x14ac:dyDescent="0.25">
      <c r="A90" t="s">
        <v>93</v>
      </c>
      <c r="B90">
        <v>32</v>
      </c>
      <c r="C90">
        <v>58</v>
      </c>
      <c r="D90">
        <v>83</v>
      </c>
      <c r="E90">
        <v>104</v>
      </c>
      <c r="F90">
        <v>117</v>
      </c>
      <c r="G90">
        <v>118</v>
      </c>
    </row>
    <row r="91" spans="1:7" x14ac:dyDescent="0.25">
      <c r="A91" t="s">
        <v>94</v>
      </c>
      <c r="B91">
        <v>27</v>
      </c>
      <c r="C91">
        <v>50</v>
      </c>
      <c r="D91">
        <v>81</v>
      </c>
      <c r="E91">
        <v>104</v>
      </c>
      <c r="F91">
        <v>113</v>
      </c>
      <c r="G91">
        <v>113</v>
      </c>
    </row>
    <row r="92" spans="1:7" x14ac:dyDescent="0.25">
      <c r="A92" t="s">
        <v>95</v>
      </c>
      <c r="B92">
        <v>18</v>
      </c>
      <c r="C92">
        <v>39</v>
      </c>
      <c r="D92">
        <v>63</v>
      </c>
      <c r="E92">
        <v>89</v>
      </c>
      <c r="F92">
        <v>98</v>
      </c>
      <c r="G92">
        <v>99</v>
      </c>
    </row>
    <row r="93" spans="1:7" x14ac:dyDescent="0.25">
      <c r="A93" t="s">
        <v>96</v>
      </c>
      <c r="B93">
        <v>21</v>
      </c>
      <c r="C93">
        <v>44</v>
      </c>
      <c r="D93">
        <v>67</v>
      </c>
      <c r="E93">
        <v>82</v>
      </c>
      <c r="F93">
        <v>93</v>
      </c>
      <c r="G93">
        <v>82</v>
      </c>
    </row>
    <row r="94" spans="1:7" x14ac:dyDescent="0.25">
      <c r="A94" t="s">
        <v>97</v>
      </c>
      <c r="B94">
        <v>22</v>
      </c>
      <c r="C94">
        <v>54</v>
      </c>
      <c r="D94">
        <v>65</v>
      </c>
      <c r="E94">
        <v>93</v>
      </c>
      <c r="F94">
        <v>92</v>
      </c>
      <c r="G94">
        <v>114</v>
      </c>
    </row>
    <row r="95" spans="1:7" x14ac:dyDescent="0.25">
      <c r="A95" t="s">
        <v>98</v>
      </c>
      <c r="B95">
        <v>35</v>
      </c>
      <c r="C95">
        <v>45</v>
      </c>
      <c r="D95">
        <v>61</v>
      </c>
      <c r="E95">
        <v>91</v>
      </c>
      <c r="F95">
        <v>94</v>
      </c>
      <c r="G95">
        <v>108</v>
      </c>
    </row>
    <row r="96" spans="1:7" x14ac:dyDescent="0.25">
      <c r="A96" t="s">
        <v>99</v>
      </c>
      <c r="B96">
        <v>20</v>
      </c>
      <c r="C96">
        <v>38</v>
      </c>
      <c r="D96">
        <v>54</v>
      </c>
      <c r="E96">
        <v>80</v>
      </c>
      <c r="F96">
        <v>87</v>
      </c>
      <c r="G96">
        <v>89</v>
      </c>
    </row>
    <row r="97" spans="1:7" x14ac:dyDescent="0.25">
      <c r="A97" t="s">
        <v>100</v>
      </c>
      <c r="B97">
        <v>31</v>
      </c>
      <c r="C97">
        <v>47</v>
      </c>
      <c r="D97">
        <v>64</v>
      </c>
      <c r="E97">
        <v>74</v>
      </c>
      <c r="F97">
        <v>85</v>
      </c>
      <c r="G97">
        <v>86</v>
      </c>
    </row>
    <row r="98" spans="1:7" x14ac:dyDescent="0.25">
      <c r="A98" t="s">
        <v>101</v>
      </c>
      <c r="B98">
        <v>37</v>
      </c>
      <c r="C98">
        <v>60</v>
      </c>
      <c r="D98">
        <v>79</v>
      </c>
      <c r="E98">
        <v>98</v>
      </c>
      <c r="F98">
        <v>114</v>
      </c>
      <c r="G98">
        <v>98</v>
      </c>
    </row>
    <row r="99" spans="1:7" x14ac:dyDescent="0.25">
      <c r="A99" t="s">
        <v>102</v>
      </c>
      <c r="B99">
        <v>39</v>
      </c>
      <c r="C99">
        <v>56</v>
      </c>
      <c r="D99">
        <v>81</v>
      </c>
      <c r="E99">
        <v>99</v>
      </c>
      <c r="F99">
        <v>103</v>
      </c>
      <c r="G99">
        <v>116</v>
      </c>
    </row>
    <row r="100" spans="1:7" x14ac:dyDescent="0.25">
      <c r="A100" t="s">
        <v>103</v>
      </c>
      <c r="B100">
        <v>33</v>
      </c>
      <c r="C100">
        <v>58</v>
      </c>
      <c r="D100">
        <v>84</v>
      </c>
      <c r="E100">
        <v>101</v>
      </c>
      <c r="F100">
        <v>109</v>
      </c>
      <c r="G100">
        <v>112</v>
      </c>
    </row>
    <row r="101" spans="1:7" x14ac:dyDescent="0.25">
      <c r="A101" t="s">
        <v>104</v>
      </c>
      <c r="B101">
        <v>33</v>
      </c>
      <c r="C101">
        <v>62</v>
      </c>
      <c r="D101">
        <v>85</v>
      </c>
      <c r="E101">
        <v>107</v>
      </c>
      <c r="F101">
        <v>118</v>
      </c>
      <c r="G101">
        <v>119</v>
      </c>
    </row>
    <row r="102" spans="1:7" x14ac:dyDescent="0.25">
      <c r="A102" t="s">
        <v>105</v>
      </c>
      <c r="B102">
        <v>36</v>
      </c>
      <c r="C102">
        <v>61</v>
      </c>
      <c r="D102">
        <v>81</v>
      </c>
      <c r="E102">
        <v>98</v>
      </c>
      <c r="F102">
        <v>110</v>
      </c>
      <c r="G102">
        <v>115</v>
      </c>
    </row>
    <row r="103" spans="1:7" x14ac:dyDescent="0.25">
      <c r="A103" t="s">
        <v>106</v>
      </c>
      <c r="B103">
        <v>39</v>
      </c>
      <c r="C103">
        <v>51</v>
      </c>
      <c r="D103">
        <v>83</v>
      </c>
      <c r="E103">
        <v>105</v>
      </c>
      <c r="F103">
        <v>107</v>
      </c>
      <c r="G103">
        <v>107</v>
      </c>
    </row>
    <row r="104" spans="1:7" x14ac:dyDescent="0.25">
      <c r="A104" t="s">
        <v>107</v>
      </c>
      <c r="B104">
        <v>36</v>
      </c>
      <c r="C104">
        <v>52</v>
      </c>
      <c r="D104">
        <v>79</v>
      </c>
      <c r="E104">
        <v>106</v>
      </c>
      <c r="F104">
        <v>128</v>
      </c>
      <c r="G104">
        <v>126</v>
      </c>
    </row>
    <row r="105" spans="1:7" x14ac:dyDescent="0.25">
      <c r="A105" t="s">
        <v>108</v>
      </c>
      <c r="B105">
        <v>31</v>
      </c>
      <c r="C105">
        <v>44</v>
      </c>
      <c r="D105">
        <v>70</v>
      </c>
      <c r="E105">
        <v>107</v>
      </c>
      <c r="F105">
        <v>112</v>
      </c>
      <c r="G105">
        <v>113</v>
      </c>
    </row>
    <row r="106" spans="1:7" x14ac:dyDescent="0.25">
      <c r="A106" t="s">
        <v>109</v>
      </c>
      <c r="B106">
        <v>32</v>
      </c>
      <c r="C106">
        <v>53</v>
      </c>
      <c r="D106">
        <v>76</v>
      </c>
      <c r="E106">
        <v>103</v>
      </c>
      <c r="F106">
        <v>117</v>
      </c>
      <c r="G106">
        <v>114</v>
      </c>
    </row>
    <row r="107" spans="1:7" x14ac:dyDescent="0.25">
      <c r="A107" t="s">
        <v>110</v>
      </c>
      <c r="B107">
        <v>30</v>
      </c>
      <c r="C107">
        <v>51</v>
      </c>
      <c r="D107">
        <v>73</v>
      </c>
      <c r="E107">
        <v>107</v>
      </c>
      <c r="F107">
        <v>121</v>
      </c>
      <c r="G107">
        <v>106</v>
      </c>
    </row>
    <row r="108" spans="1:7" x14ac:dyDescent="0.25">
      <c r="A108" t="s">
        <v>111</v>
      </c>
      <c r="B108">
        <v>38</v>
      </c>
      <c r="C108">
        <v>56</v>
      </c>
      <c r="D108">
        <v>73</v>
      </c>
      <c r="E108">
        <v>103</v>
      </c>
      <c r="F108">
        <v>113</v>
      </c>
      <c r="G108">
        <v>116</v>
      </c>
    </row>
    <row r="109" spans="1:7" x14ac:dyDescent="0.25">
      <c r="A109" t="s">
        <v>112</v>
      </c>
      <c r="B109">
        <v>36</v>
      </c>
      <c r="C109">
        <v>52</v>
      </c>
      <c r="D109">
        <v>83</v>
      </c>
      <c r="E109">
        <v>108</v>
      </c>
      <c r="F109">
        <v>124</v>
      </c>
      <c r="G109">
        <v>129</v>
      </c>
    </row>
    <row r="110" spans="1:7" x14ac:dyDescent="0.25">
      <c r="A110" t="s">
        <v>113</v>
      </c>
      <c r="B110">
        <v>38</v>
      </c>
      <c r="C110">
        <v>67</v>
      </c>
      <c r="D110">
        <v>80</v>
      </c>
      <c r="E110">
        <v>105</v>
      </c>
      <c r="F110">
        <v>116</v>
      </c>
      <c r="G110">
        <v>129</v>
      </c>
    </row>
    <row r="111" spans="1:7" x14ac:dyDescent="0.25">
      <c r="A111" t="s">
        <v>114</v>
      </c>
      <c r="B111">
        <v>22</v>
      </c>
      <c r="C111">
        <v>45</v>
      </c>
      <c r="D111">
        <v>76</v>
      </c>
      <c r="E111">
        <v>103</v>
      </c>
      <c r="F111">
        <v>118</v>
      </c>
      <c r="G111">
        <v>116</v>
      </c>
    </row>
    <row r="112" spans="1:7" x14ac:dyDescent="0.25">
      <c r="A112" t="s">
        <v>115</v>
      </c>
      <c r="B112">
        <v>30</v>
      </c>
      <c r="C112">
        <v>57</v>
      </c>
      <c r="D112">
        <v>80</v>
      </c>
      <c r="E112">
        <v>112</v>
      </c>
      <c r="F112">
        <v>129</v>
      </c>
      <c r="G112">
        <v>126</v>
      </c>
    </row>
    <row r="113" spans="1:7" x14ac:dyDescent="0.25">
      <c r="A113" t="s">
        <v>116</v>
      </c>
      <c r="B113">
        <v>30</v>
      </c>
      <c r="C113">
        <v>45</v>
      </c>
      <c r="D113">
        <v>72</v>
      </c>
      <c r="E113">
        <v>111</v>
      </c>
      <c r="F113">
        <v>127</v>
      </c>
      <c r="G113">
        <v>119</v>
      </c>
    </row>
    <row r="114" spans="1:7" x14ac:dyDescent="0.25">
      <c r="A114" t="s">
        <v>117</v>
      </c>
      <c r="B114">
        <v>36</v>
      </c>
      <c r="C114">
        <v>56</v>
      </c>
      <c r="D114">
        <v>81</v>
      </c>
      <c r="E114">
        <v>100</v>
      </c>
      <c r="F114">
        <v>112</v>
      </c>
      <c r="G114">
        <v>127</v>
      </c>
    </row>
    <row r="115" spans="1:7" x14ac:dyDescent="0.25">
      <c r="A115" t="s">
        <v>118</v>
      </c>
      <c r="B115">
        <v>35</v>
      </c>
      <c r="C115">
        <v>54</v>
      </c>
      <c r="D115">
        <v>81</v>
      </c>
      <c r="E115">
        <v>108</v>
      </c>
      <c r="F115">
        <v>122</v>
      </c>
      <c r="G115">
        <v>121</v>
      </c>
    </row>
    <row r="116" spans="1:7" x14ac:dyDescent="0.25">
      <c r="A116" t="s">
        <v>119</v>
      </c>
      <c r="B116">
        <v>29</v>
      </c>
      <c r="C116">
        <v>55</v>
      </c>
      <c r="D116">
        <v>81</v>
      </c>
      <c r="E116">
        <v>100</v>
      </c>
      <c r="F116">
        <v>125</v>
      </c>
      <c r="G116">
        <v>121</v>
      </c>
    </row>
    <row r="117" spans="1:7" x14ac:dyDescent="0.25">
      <c r="A117" t="s">
        <v>120</v>
      </c>
      <c r="B117">
        <v>35</v>
      </c>
      <c r="C117">
        <v>52</v>
      </c>
      <c r="D117">
        <v>78</v>
      </c>
      <c r="E117">
        <v>112</v>
      </c>
      <c r="F117">
        <v>134</v>
      </c>
      <c r="G117">
        <v>138</v>
      </c>
    </row>
    <row r="118" spans="1:7" x14ac:dyDescent="0.25">
      <c r="A118" t="s">
        <v>121</v>
      </c>
      <c r="B118">
        <v>28</v>
      </c>
      <c r="C118">
        <v>48</v>
      </c>
      <c r="D118">
        <v>67</v>
      </c>
      <c r="E118">
        <v>100</v>
      </c>
      <c r="F118">
        <v>120</v>
      </c>
      <c r="G118">
        <v>128</v>
      </c>
    </row>
    <row r="119" spans="1:7" x14ac:dyDescent="0.25">
      <c r="A119" t="s">
        <v>122</v>
      </c>
      <c r="B119">
        <v>27</v>
      </c>
      <c r="C119">
        <v>44</v>
      </c>
      <c r="D119">
        <v>76</v>
      </c>
      <c r="E119">
        <v>110</v>
      </c>
      <c r="F119">
        <v>126</v>
      </c>
      <c r="G119">
        <v>127</v>
      </c>
    </row>
    <row r="120" spans="1:7" x14ac:dyDescent="0.25">
      <c r="A120" t="s">
        <v>123</v>
      </c>
      <c r="B120">
        <v>28</v>
      </c>
      <c r="C120">
        <v>50</v>
      </c>
      <c r="D120">
        <v>78</v>
      </c>
      <c r="E120">
        <v>105</v>
      </c>
      <c r="F120">
        <v>121</v>
      </c>
      <c r="G120">
        <v>135</v>
      </c>
    </row>
    <row r="121" spans="1:7" x14ac:dyDescent="0.25">
      <c r="A121" t="s">
        <v>124</v>
      </c>
      <c r="B121">
        <v>27</v>
      </c>
      <c r="C121">
        <v>46</v>
      </c>
      <c r="D121">
        <v>64</v>
      </c>
      <c r="E121">
        <v>103</v>
      </c>
      <c r="F121">
        <v>118</v>
      </c>
      <c r="G121">
        <v>132</v>
      </c>
    </row>
    <row r="122" spans="1:7" x14ac:dyDescent="0.25">
      <c r="A122" t="s">
        <v>125</v>
      </c>
      <c r="B122">
        <v>30</v>
      </c>
      <c r="C122">
        <v>48</v>
      </c>
      <c r="D122">
        <v>67</v>
      </c>
      <c r="E122">
        <v>108</v>
      </c>
      <c r="F122">
        <v>122</v>
      </c>
      <c r="G122">
        <v>127</v>
      </c>
    </row>
    <row r="123" spans="1:7" x14ac:dyDescent="0.25">
      <c r="A123" t="s">
        <v>126</v>
      </c>
      <c r="B123">
        <v>21</v>
      </c>
      <c r="C123">
        <v>31</v>
      </c>
      <c r="D123">
        <v>53</v>
      </c>
      <c r="E123">
        <v>87</v>
      </c>
      <c r="F123">
        <v>109</v>
      </c>
      <c r="G123">
        <v>115</v>
      </c>
    </row>
    <row r="124" spans="1:7" x14ac:dyDescent="0.25">
      <c r="A124" t="s">
        <v>127</v>
      </c>
      <c r="B124">
        <v>31</v>
      </c>
      <c r="C124">
        <v>43</v>
      </c>
      <c r="D124">
        <v>65</v>
      </c>
      <c r="E124">
        <v>93</v>
      </c>
      <c r="F124">
        <v>110</v>
      </c>
      <c r="G124">
        <v>113</v>
      </c>
    </row>
    <row r="125" spans="1:7" x14ac:dyDescent="0.25">
      <c r="A125" t="s">
        <v>128</v>
      </c>
      <c r="B125">
        <v>31</v>
      </c>
      <c r="C125">
        <v>42</v>
      </c>
      <c r="D125">
        <v>69</v>
      </c>
      <c r="E125">
        <v>94</v>
      </c>
      <c r="F125">
        <v>106</v>
      </c>
      <c r="G125">
        <v>116</v>
      </c>
    </row>
    <row r="126" spans="1:7" x14ac:dyDescent="0.25">
      <c r="A126" t="s">
        <v>129</v>
      </c>
      <c r="B126">
        <v>32</v>
      </c>
      <c r="C126">
        <v>54</v>
      </c>
      <c r="D126">
        <v>71</v>
      </c>
      <c r="E126">
        <v>107</v>
      </c>
      <c r="F126">
        <v>118</v>
      </c>
      <c r="G126">
        <v>118</v>
      </c>
    </row>
    <row r="127" spans="1:7" x14ac:dyDescent="0.25">
      <c r="A127" t="s">
        <v>130</v>
      </c>
      <c r="B127">
        <v>23</v>
      </c>
      <c r="C127">
        <v>36</v>
      </c>
      <c r="D127">
        <v>49</v>
      </c>
      <c r="E127">
        <v>81</v>
      </c>
      <c r="F127">
        <v>98</v>
      </c>
      <c r="G127">
        <v>96</v>
      </c>
    </row>
    <row r="128" spans="1:7" x14ac:dyDescent="0.25">
      <c r="A128" t="s">
        <v>131</v>
      </c>
      <c r="B128">
        <v>33</v>
      </c>
      <c r="C128">
        <v>57</v>
      </c>
      <c r="D128">
        <v>81</v>
      </c>
      <c r="E128">
        <v>98</v>
      </c>
      <c r="F128">
        <v>97</v>
      </c>
      <c r="G128">
        <v>97</v>
      </c>
    </row>
    <row r="129" spans="1:7" x14ac:dyDescent="0.25">
      <c r="A129" t="s">
        <v>132</v>
      </c>
      <c r="B129">
        <v>26</v>
      </c>
      <c r="C129">
        <v>56</v>
      </c>
      <c r="D129">
        <v>70</v>
      </c>
      <c r="E129">
        <v>95</v>
      </c>
      <c r="F129">
        <v>96</v>
      </c>
      <c r="G129">
        <v>98</v>
      </c>
    </row>
    <row r="130" spans="1:7" x14ac:dyDescent="0.25">
      <c r="A130" t="s">
        <v>133</v>
      </c>
      <c r="B130">
        <v>33</v>
      </c>
      <c r="C130">
        <v>46</v>
      </c>
      <c r="D130">
        <v>76</v>
      </c>
      <c r="E130">
        <v>105</v>
      </c>
      <c r="F130">
        <v>90</v>
      </c>
      <c r="G130">
        <v>90</v>
      </c>
    </row>
    <row r="131" spans="1:7" x14ac:dyDescent="0.25">
      <c r="A131" t="s">
        <v>134</v>
      </c>
      <c r="B131">
        <v>13</v>
      </c>
      <c r="C131">
        <v>57</v>
      </c>
      <c r="D131">
        <v>73</v>
      </c>
      <c r="E131">
        <v>101</v>
      </c>
      <c r="F131">
        <v>105</v>
      </c>
      <c r="G131">
        <v>107</v>
      </c>
    </row>
    <row r="132" spans="1:7" x14ac:dyDescent="0.25">
      <c r="A132" t="s">
        <v>135</v>
      </c>
      <c r="B132">
        <v>37</v>
      </c>
      <c r="C132">
        <v>58</v>
      </c>
      <c r="D132">
        <v>83</v>
      </c>
      <c r="E132">
        <v>103</v>
      </c>
      <c r="F132">
        <v>105</v>
      </c>
      <c r="G132">
        <v>107</v>
      </c>
    </row>
    <row r="133" spans="1:7" x14ac:dyDescent="0.25">
      <c r="A133" t="s">
        <v>136</v>
      </c>
      <c r="B133">
        <v>40</v>
      </c>
      <c r="C133">
        <v>60</v>
      </c>
      <c r="D133">
        <v>87</v>
      </c>
      <c r="E133">
        <v>98</v>
      </c>
      <c r="F133">
        <v>100</v>
      </c>
      <c r="G133">
        <v>103</v>
      </c>
    </row>
    <row r="134" spans="1:7" x14ac:dyDescent="0.25">
      <c r="A134" t="s">
        <v>137</v>
      </c>
      <c r="B134">
        <v>30</v>
      </c>
      <c r="C134">
        <v>47</v>
      </c>
      <c r="D134">
        <v>67</v>
      </c>
      <c r="E134">
        <v>97</v>
      </c>
      <c r="F134">
        <v>108</v>
      </c>
      <c r="G134">
        <v>103</v>
      </c>
    </row>
    <row r="135" spans="1:7" x14ac:dyDescent="0.25">
      <c r="A135" t="s">
        <v>138</v>
      </c>
      <c r="B135">
        <v>46</v>
      </c>
      <c r="C135">
        <v>61</v>
      </c>
      <c r="D135">
        <v>74</v>
      </c>
      <c r="E135">
        <v>93</v>
      </c>
      <c r="F135">
        <v>107</v>
      </c>
      <c r="G135">
        <v>101</v>
      </c>
    </row>
    <row r="136" spans="1:7" x14ac:dyDescent="0.25">
      <c r="A136" t="s">
        <v>139</v>
      </c>
      <c r="B136">
        <v>37</v>
      </c>
      <c r="C136">
        <v>59</v>
      </c>
      <c r="D136">
        <v>73</v>
      </c>
      <c r="E136">
        <v>95</v>
      </c>
      <c r="F136">
        <v>98</v>
      </c>
      <c r="G136">
        <v>88</v>
      </c>
    </row>
    <row r="137" spans="1:7" x14ac:dyDescent="0.25">
      <c r="A137" t="s">
        <v>140</v>
      </c>
      <c r="B137">
        <v>40</v>
      </c>
      <c r="C137">
        <v>58</v>
      </c>
      <c r="D137">
        <v>78</v>
      </c>
      <c r="E137">
        <v>94</v>
      </c>
      <c r="F137">
        <v>100</v>
      </c>
      <c r="G137">
        <v>104</v>
      </c>
    </row>
    <row r="138" spans="1:7" x14ac:dyDescent="0.25">
      <c r="A138" t="s">
        <v>141</v>
      </c>
      <c r="B138">
        <v>32</v>
      </c>
      <c r="C138">
        <v>64</v>
      </c>
      <c r="D138">
        <v>74</v>
      </c>
      <c r="E138">
        <v>86</v>
      </c>
      <c r="F138">
        <v>104</v>
      </c>
      <c r="G138">
        <v>105</v>
      </c>
    </row>
    <row r="139" spans="1:7" x14ac:dyDescent="0.25">
      <c r="A139" t="s">
        <v>142</v>
      </c>
      <c r="B139">
        <v>31</v>
      </c>
      <c r="C139">
        <v>42</v>
      </c>
      <c r="D139">
        <v>76</v>
      </c>
      <c r="E139">
        <v>102</v>
      </c>
      <c r="F139">
        <v>119</v>
      </c>
      <c r="G139">
        <v>114</v>
      </c>
    </row>
    <row r="140" spans="1:7" x14ac:dyDescent="0.25">
      <c r="A140" t="s">
        <v>143</v>
      </c>
      <c r="B140">
        <v>25</v>
      </c>
      <c r="C140">
        <v>44</v>
      </c>
      <c r="D140">
        <v>67</v>
      </c>
      <c r="E140">
        <v>100</v>
      </c>
      <c r="F140">
        <v>108</v>
      </c>
      <c r="G140">
        <v>120</v>
      </c>
    </row>
    <row r="141" spans="1:7" x14ac:dyDescent="0.25">
      <c r="A141" t="s">
        <v>144</v>
      </c>
      <c r="B141">
        <v>28</v>
      </c>
      <c r="C141">
        <v>47</v>
      </c>
      <c r="D141">
        <v>70</v>
      </c>
      <c r="E141">
        <v>103</v>
      </c>
      <c r="F141">
        <v>114</v>
      </c>
      <c r="G141">
        <v>108</v>
      </c>
    </row>
    <row r="142" spans="1:7" x14ac:dyDescent="0.25">
      <c r="A142" t="s">
        <v>145</v>
      </c>
      <c r="B142">
        <v>19</v>
      </c>
      <c r="C142">
        <v>42</v>
      </c>
      <c r="D142">
        <v>68</v>
      </c>
      <c r="E142">
        <v>101</v>
      </c>
      <c r="F142">
        <v>111</v>
      </c>
      <c r="G142">
        <v>119</v>
      </c>
    </row>
    <row r="143" spans="1:7" x14ac:dyDescent="0.25">
      <c r="A143" t="s">
        <v>146</v>
      </c>
      <c r="B143">
        <v>20</v>
      </c>
      <c r="C143">
        <v>36</v>
      </c>
      <c r="D143">
        <v>60</v>
      </c>
      <c r="E143">
        <v>88</v>
      </c>
      <c r="F143">
        <v>96</v>
      </c>
      <c r="G143">
        <v>108</v>
      </c>
    </row>
    <row r="144" spans="1:7" x14ac:dyDescent="0.25">
      <c r="A144" t="s">
        <v>147</v>
      </c>
      <c r="B144">
        <v>24</v>
      </c>
      <c r="C144">
        <v>41</v>
      </c>
      <c r="D144">
        <v>63</v>
      </c>
      <c r="E144">
        <v>95</v>
      </c>
      <c r="F144">
        <v>107</v>
      </c>
      <c r="G144">
        <v>113</v>
      </c>
    </row>
    <row r="145" spans="1:7" x14ac:dyDescent="0.25">
      <c r="A145" t="s">
        <v>148</v>
      </c>
      <c r="B145">
        <v>26</v>
      </c>
      <c r="C145">
        <v>44</v>
      </c>
      <c r="D145">
        <v>72</v>
      </c>
      <c r="E145">
        <v>104</v>
      </c>
      <c r="F145">
        <v>113</v>
      </c>
      <c r="G145">
        <v>109</v>
      </c>
    </row>
    <row r="146" spans="1:7" x14ac:dyDescent="0.25">
      <c r="A146" t="s">
        <v>149</v>
      </c>
      <c r="B146">
        <v>16</v>
      </c>
      <c r="C146">
        <v>34</v>
      </c>
      <c r="D146">
        <v>56</v>
      </c>
      <c r="E146">
        <v>85</v>
      </c>
      <c r="F146">
        <v>102</v>
      </c>
      <c r="G146">
        <v>103</v>
      </c>
    </row>
    <row r="147" spans="1:7" x14ac:dyDescent="0.25">
      <c r="A147" t="s">
        <v>150</v>
      </c>
      <c r="B147">
        <v>17</v>
      </c>
      <c r="C147">
        <v>37</v>
      </c>
      <c r="D147">
        <v>57</v>
      </c>
      <c r="E147">
        <v>92</v>
      </c>
      <c r="F147">
        <v>102</v>
      </c>
      <c r="G147">
        <v>92</v>
      </c>
    </row>
    <row r="148" spans="1:7" x14ac:dyDescent="0.25">
      <c r="A148" t="s">
        <v>151</v>
      </c>
      <c r="B148">
        <v>20</v>
      </c>
      <c r="C148">
        <v>35</v>
      </c>
      <c r="D148">
        <v>61</v>
      </c>
      <c r="E148">
        <v>91</v>
      </c>
      <c r="F148">
        <v>99</v>
      </c>
      <c r="G148">
        <v>106</v>
      </c>
    </row>
    <row r="149" spans="1:7" x14ac:dyDescent="0.25">
      <c r="A149" t="s">
        <v>152</v>
      </c>
      <c r="B149">
        <v>25</v>
      </c>
      <c r="C149">
        <v>24</v>
      </c>
      <c r="D149">
        <v>51</v>
      </c>
      <c r="E149">
        <v>79</v>
      </c>
      <c r="F149">
        <v>92</v>
      </c>
      <c r="G149">
        <v>99</v>
      </c>
    </row>
    <row r="150" spans="1:7" x14ac:dyDescent="0.25">
      <c r="A150" t="s">
        <v>153</v>
      </c>
      <c r="B150">
        <v>18</v>
      </c>
      <c r="C150">
        <v>29</v>
      </c>
      <c r="D150">
        <v>64</v>
      </c>
      <c r="E150">
        <v>92</v>
      </c>
      <c r="F150">
        <v>104</v>
      </c>
      <c r="G150">
        <v>110</v>
      </c>
    </row>
    <row r="151" spans="1:7" x14ac:dyDescent="0.25">
      <c r="A151" t="s">
        <v>154</v>
      </c>
      <c r="B151">
        <v>22</v>
      </c>
      <c r="C151">
        <v>36</v>
      </c>
      <c r="D151">
        <v>63</v>
      </c>
      <c r="E151">
        <v>98</v>
      </c>
      <c r="F151">
        <v>105</v>
      </c>
      <c r="G151">
        <v>96</v>
      </c>
    </row>
    <row r="152" spans="1:7" x14ac:dyDescent="0.25">
      <c r="A152" t="s">
        <v>155</v>
      </c>
      <c r="B152">
        <v>33</v>
      </c>
      <c r="C152">
        <v>46</v>
      </c>
      <c r="D152">
        <v>68</v>
      </c>
      <c r="E152">
        <v>95</v>
      </c>
      <c r="F152">
        <v>111</v>
      </c>
      <c r="G152">
        <v>116</v>
      </c>
    </row>
    <row r="153" spans="1:7" x14ac:dyDescent="0.25">
      <c r="A153" t="s">
        <v>156</v>
      </c>
      <c r="B153">
        <v>21</v>
      </c>
      <c r="C153">
        <v>49</v>
      </c>
      <c r="D153">
        <v>70</v>
      </c>
      <c r="E153">
        <v>90</v>
      </c>
      <c r="F153">
        <v>114</v>
      </c>
      <c r="G153">
        <v>131</v>
      </c>
    </row>
    <row r="154" spans="1:7" x14ac:dyDescent="0.25">
      <c r="A154" t="s">
        <v>157</v>
      </c>
      <c r="B154">
        <v>19</v>
      </c>
      <c r="C154">
        <v>48</v>
      </c>
      <c r="D154">
        <v>64</v>
      </c>
      <c r="E154">
        <v>91</v>
      </c>
      <c r="F154">
        <v>100</v>
      </c>
      <c r="G154">
        <v>118</v>
      </c>
    </row>
    <row r="155" spans="1:7" x14ac:dyDescent="0.25">
      <c r="A155" t="s">
        <v>158</v>
      </c>
      <c r="B155">
        <v>32</v>
      </c>
      <c r="C155">
        <v>50</v>
      </c>
      <c r="D155">
        <v>69</v>
      </c>
      <c r="E155">
        <v>92</v>
      </c>
      <c r="F155">
        <v>109</v>
      </c>
      <c r="G155">
        <v>117</v>
      </c>
    </row>
    <row r="156" spans="1:7" x14ac:dyDescent="0.25">
      <c r="A156" t="s">
        <v>159</v>
      </c>
      <c r="B156">
        <v>35</v>
      </c>
      <c r="C156">
        <v>46</v>
      </c>
      <c r="D156">
        <v>68</v>
      </c>
      <c r="E156">
        <v>98</v>
      </c>
      <c r="F156">
        <v>115</v>
      </c>
      <c r="G156">
        <v>115</v>
      </c>
    </row>
    <row r="157" spans="1:7" x14ac:dyDescent="0.25">
      <c r="A157" t="s">
        <v>160</v>
      </c>
      <c r="B157">
        <v>37</v>
      </c>
      <c r="C157">
        <v>48</v>
      </c>
      <c r="D157">
        <v>67</v>
      </c>
      <c r="E157">
        <v>92</v>
      </c>
      <c r="F157">
        <v>112</v>
      </c>
      <c r="G157">
        <v>117</v>
      </c>
    </row>
    <row r="158" spans="1:7" x14ac:dyDescent="0.25">
      <c r="A158" t="s">
        <v>161</v>
      </c>
      <c r="B158">
        <v>26</v>
      </c>
      <c r="C158">
        <v>45</v>
      </c>
      <c r="D158">
        <v>56</v>
      </c>
      <c r="E158">
        <v>73</v>
      </c>
      <c r="F158">
        <v>84</v>
      </c>
      <c r="G158">
        <v>88</v>
      </c>
    </row>
    <row r="159" spans="1:7" x14ac:dyDescent="0.25">
      <c r="A159" t="s">
        <v>162</v>
      </c>
      <c r="B159">
        <v>34</v>
      </c>
      <c r="C159">
        <v>54</v>
      </c>
      <c r="D159">
        <v>75</v>
      </c>
      <c r="E159">
        <v>98</v>
      </c>
      <c r="F159">
        <v>109</v>
      </c>
      <c r="G159">
        <v>108</v>
      </c>
    </row>
    <row r="160" spans="1:7" x14ac:dyDescent="0.25">
      <c r="A160" t="s">
        <v>163</v>
      </c>
      <c r="B160">
        <v>16</v>
      </c>
      <c r="C160">
        <v>30</v>
      </c>
      <c r="D160">
        <v>57</v>
      </c>
      <c r="E160">
        <v>91</v>
      </c>
      <c r="F160">
        <v>99</v>
      </c>
      <c r="G160">
        <v>102</v>
      </c>
    </row>
    <row r="161" spans="1:7" x14ac:dyDescent="0.25">
      <c r="A161" t="s">
        <v>164</v>
      </c>
      <c r="B161">
        <v>22</v>
      </c>
      <c r="C161">
        <v>34</v>
      </c>
      <c r="D161">
        <v>46</v>
      </c>
      <c r="E161">
        <v>94</v>
      </c>
      <c r="F161">
        <v>101</v>
      </c>
      <c r="G161">
        <v>102</v>
      </c>
    </row>
    <row r="162" spans="1:7" x14ac:dyDescent="0.25">
      <c r="A162" t="s">
        <v>165</v>
      </c>
      <c r="B162">
        <v>19</v>
      </c>
      <c r="C162">
        <v>28</v>
      </c>
      <c r="D162">
        <v>48</v>
      </c>
      <c r="E162">
        <v>80</v>
      </c>
      <c r="F162">
        <v>90</v>
      </c>
      <c r="G162">
        <v>85</v>
      </c>
    </row>
    <row r="163" spans="1:7" x14ac:dyDescent="0.25">
      <c r="A163" t="s">
        <v>166</v>
      </c>
      <c r="B163">
        <v>20</v>
      </c>
      <c r="C163">
        <v>29</v>
      </c>
      <c r="D163">
        <v>48</v>
      </c>
      <c r="E163">
        <v>80</v>
      </c>
      <c r="F163">
        <v>92</v>
      </c>
      <c r="G163">
        <v>112</v>
      </c>
    </row>
    <row r="164" spans="1:7" x14ac:dyDescent="0.25">
      <c r="A164" t="s">
        <v>167</v>
      </c>
      <c r="B164">
        <v>38</v>
      </c>
      <c r="C164">
        <v>59</v>
      </c>
      <c r="D164">
        <v>76</v>
      </c>
      <c r="E164">
        <v>94</v>
      </c>
      <c r="F164">
        <v>119</v>
      </c>
      <c r="G164">
        <v>117</v>
      </c>
    </row>
    <row r="165" spans="1:7" x14ac:dyDescent="0.25">
      <c r="A165" t="s">
        <v>168</v>
      </c>
      <c r="B165">
        <v>33</v>
      </c>
      <c r="C165">
        <v>40</v>
      </c>
      <c r="D165">
        <v>68</v>
      </c>
      <c r="E165">
        <v>107</v>
      </c>
      <c r="F165">
        <v>114</v>
      </c>
      <c r="G165">
        <v>111</v>
      </c>
    </row>
    <row r="166" spans="1:7" x14ac:dyDescent="0.25">
      <c r="A166" t="s">
        <v>169</v>
      </c>
      <c r="B166">
        <v>24</v>
      </c>
      <c r="C166">
        <v>45</v>
      </c>
      <c r="D166">
        <v>66</v>
      </c>
      <c r="E166">
        <v>96</v>
      </c>
      <c r="F166">
        <v>121</v>
      </c>
      <c r="G166">
        <v>124</v>
      </c>
    </row>
    <row r="167" spans="1:7" x14ac:dyDescent="0.25">
      <c r="A167" t="s">
        <v>170</v>
      </c>
      <c r="B167">
        <v>31</v>
      </c>
      <c r="C167">
        <v>50</v>
      </c>
      <c r="D167">
        <v>74</v>
      </c>
      <c r="E167">
        <v>94</v>
      </c>
      <c r="F167">
        <v>113</v>
      </c>
      <c r="G167">
        <v>116</v>
      </c>
    </row>
    <row r="168" spans="1:7" x14ac:dyDescent="0.25">
      <c r="A168" t="s">
        <v>171</v>
      </c>
      <c r="B168">
        <v>21</v>
      </c>
      <c r="C168">
        <v>40</v>
      </c>
      <c r="D168">
        <v>64</v>
      </c>
      <c r="E168">
        <v>88</v>
      </c>
      <c r="F168">
        <v>99</v>
      </c>
      <c r="G168">
        <v>103</v>
      </c>
    </row>
    <row r="169" spans="1:7" x14ac:dyDescent="0.25">
      <c r="A169" t="s">
        <v>172</v>
      </c>
      <c r="B169">
        <v>29</v>
      </c>
      <c r="C169">
        <v>38</v>
      </c>
      <c r="D169">
        <v>62</v>
      </c>
      <c r="E169">
        <v>87</v>
      </c>
      <c r="F169">
        <v>106</v>
      </c>
      <c r="G169">
        <v>97</v>
      </c>
    </row>
    <row r="170" spans="1:7" x14ac:dyDescent="0.25">
      <c r="A170" t="s">
        <v>173</v>
      </c>
      <c r="B170">
        <v>29</v>
      </c>
      <c r="C170">
        <v>48</v>
      </c>
      <c r="D170">
        <v>65</v>
      </c>
      <c r="E170">
        <v>87</v>
      </c>
      <c r="F170">
        <v>98</v>
      </c>
      <c r="G170">
        <v>98</v>
      </c>
    </row>
    <row r="171" spans="1:7" x14ac:dyDescent="0.25">
      <c r="A171" t="s">
        <v>174</v>
      </c>
      <c r="B171">
        <v>28</v>
      </c>
      <c r="C171">
        <v>43</v>
      </c>
      <c r="D171">
        <v>64</v>
      </c>
      <c r="E171">
        <v>94</v>
      </c>
      <c r="F171">
        <v>103</v>
      </c>
      <c r="G171">
        <v>103</v>
      </c>
    </row>
    <row r="172" spans="1:7" x14ac:dyDescent="0.25">
      <c r="A172" t="s">
        <v>175</v>
      </c>
      <c r="B172">
        <v>27</v>
      </c>
      <c r="C172">
        <v>45</v>
      </c>
      <c r="D172">
        <v>78</v>
      </c>
      <c r="E172">
        <v>101</v>
      </c>
      <c r="F172">
        <v>107</v>
      </c>
      <c r="G172">
        <v>84</v>
      </c>
    </row>
    <row r="173" spans="1:7" x14ac:dyDescent="0.25">
      <c r="A173" t="s">
        <v>176</v>
      </c>
      <c r="C173">
        <v>43</v>
      </c>
      <c r="D173">
        <v>63</v>
      </c>
      <c r="E173">
        <v>81</v>
      </c>
      <c r="F173">
        <v>81</v>
      </c>
      <c r="G173">
        <v>86</v>
      </c>
    </row>
    <row r="174" spans="1:7" x14ac:dyDescent="0.25">
      <c r="A174" t="s">
        <v>177</v>
      </c>
      <c r="B174">
        <v>25</v>
      </c>
      <c r="C174">
        <v>52</v>
      </c>
      <c r="D174">
        <v>68</v>
      </c>
      <c r="E174">
        <v>83</v>
      </c>
      <c r="F174">
        <v>101</v>
      </c>
      <c r="G174">
        <v>94</v>
      </c>
    </row>
    <row r="175" spans="1:7" x14ac:dyDescent="0.25">
      <c r="A175" t="s">
        <v>178</v>
      </c>
      <c r="B175">
        <v>17</v>
      </c>
      <c r="C175">
        <v>44</v>
      </c>
      <c r="D175">
        <v>69</v>
      </c>
      <c r="E175">
        <v>91</v>
      </c>
      <c r="F175">
        <v>94</v>
      </c>
      <c r="G175">
        <v>91</v>
      </c>
    </row>
    <row r="176" spans="1:7" x14ac:dyDescent="0.25">
      <c r="A176" t="s">
        <v>179</v>
      </c>
      <c r="B176">
        <v>37</v>
      </c>
      <c r="C176">
        <v>44</v>
      </c>
      <c r="D176">
        <v>70</v>
      </c>
      <c r="E176">
        <v>84</v>
      </c>
      <c r="F176">
        <v>89</v>
      </c>
      <c r="G176">
        <v>98</v>
      </c>
    </row>
    <row r="177" spans="1:7" x14ac:dyDescent="0.25">
      <c r="A177" t="s">
        <v>180</v>
      </c>
      <c r="B177">
        <v>30</v>
      </c>
      <c r="C177">
        <v>32</v>
      </c>
      <c r="D177">
        <v>59</v>
      </c>
      <c r="E177">
        <v>85</v>
      </c>
      <c r="F177">
        <v>94</v>
      </c>
      <c r="G177">
        <v>93</v>
      </c>
    </row>
    <row r="178" spans="1:7" x14ac:dyDescent="0.25">
      <c r="A178" t="s">
        <v>181</v>
      </c>
      <c r="B178">
        <v>36</v>
      </c>
      <c r="C178">
        <v>46</v>
      </c>
      <c r="D178">
        <v>72</v>
      </c>
      <c r="E178">
        <v>94</v>
      </c>
      <c r="F178">
        <v>119</v>
      </c>
      <c r="G178">
        <v>112</v>
      </c>
    </row>
    <row r="179" spans="1:7" x14ac:dyDescent="0.25">
      <c r="A179" t="s">
        <v>182</v>
      </c>
      <c r="B179">
        <v>41</v>
      </c>
      <c r="C179">
        <v>60</v>
      </c>
      <c r="D179">
        <v>77</v>
      </c>
      <c r="E179">
        <v>92</v>
      </c>
      <c r="F179">
        <v>95</v>
      </c>
      <c r="G179">
        <v>89</v>
      </c>
    </row>
    <row r="180" spans="1:7" x14ac:dyDescent="0.25">
      <c r="A180" t="s">
        <v>183</v>
      </c>
      <c r="B180">
        <v>29</v>
      </c>
      <c r="C180">
        <v>47</v>
      </c>
      <c r="D180">
        <v>70</v>
      </c>
      <c r="E180">
        <v>95</v>
      </c>
      <c r="F180">
        <v>97</v>
      </c>
      <c r="G180">
        <v>91</v>
      </c>
    </row>
    <row r="181" spans="1:7" x14ac:dyDescent="0.25">
      <c r="A181" t="s">
        <v>184</v>
      </c>
      <c r="B181">
        <v>31</v>
      </c>
      <c r="C181">
        <v>52</v>
      </c>
      <c r="D181">
        <v>75</v>
      </c>
      <c r="E181">
        <v>94</v>
      </c>
      <c r="F181">
        <v>98</v>
      </c>
      <c r="G181">
        <v>100</v>
      </c>
    </row>
    <row r="182" spans="1:7" x14ac:dyDescent="0.25">
      <c r="A182" t="s">
        <v>185</v>
      </c>
      <c r="B182">
        <v>39</v>
      </c>
      <c r="C182">
        <v>43</v>
      </c>
      <c r="D182">
        <v>49</v>
      </c>
      <c r="E182">
        <v>66</v>
      </c>
      <c r="F182">
        <v>72</v>
      </c>
      <c r="G182">
        <v>74</v>
      </c>
    </row>
    <row r="183" spans="1:7" x14ac:dyDescent="0.25">
      <c r="A183" t="s">
        <v>186</v>
      </c>
      <c r="B183">
        <v>37</v>
      </c>
      <c r="C183">
        <v>43</v>
      </c>
      <c r="D183">
        <v>49</v>
      </c>
      <c r="E183">
        <v>57</v>
      </c>
      <c r="F183">
        <v>65</v>
      </c>
      <c r="G183">
        <v>70</v>
      </c>
    </row>
    <row r="184" spans="1:7" x14ac:dyDescent="0.25">
      <c r="A184" t="s">
        <v>187</v>
      </c>
      <c r="B184">
        <v>34</v>
      </c>
      <c r="C184">
        <v>43</v>
      </c>
      <c r="D184">
        <v>49</v>
      </c>
      <c r="E184">
        <v>68</v>
      </c>
      <c r="F184">
        <v>74</v>
      </c>
      <c r="G184">
        <v>78</v>
      </c>
    </row>
    <row r="185" spans="1:7" x14ac:dyDescent="0.25">
      <c r="A185" t="s">
        <v>188</v>
      </c>
      <c r="B185">
        <v>37</v>
      </c>
      <c r="C185">
        <v>49</v>
      </c>
      <c r="D185">
        <v>54</v>
      </c>
      <c r="E185">
        <v>67</v>
      </c>
      <c r="F185">
        <v>73</v>
      </c>
      <c r="G185">
        <v>67</v>
      </c>
    </row>
    <row r="186" spans="1:7" x14ac:dyDescent="0.25">
      <c r="A186" t="s">
        <v>189</v>
      </c>
      <c r="B186">
        <v>22</v>
      </c>
      <c r="C186">
        <v>52</v>
      </c>
      <c r="D186">
        <v>57</v>
      </c>
      <c r="E186">
        <v>79</v>
      </c>
      <c r="F186">
        <v>83</v>
      </c>
      <c r="G186">
        <v>82</v>
      </c>
    </row>
    <row r="187" spans="1:7" x14ac:dyDescent="0.25">
      <c r="A187" t="s">
        <v>190</v>
      </c>
      <c r="B187">
        <v>42</v>
      </c>
      <c r="C187">
        <v>54</v>
      </c>
      <c r="D187">
        <v>67</v>
      </c>
      <c r="E187">
        <v>86</v>
      </c>
      <c r="F187">
        <v>93</v>
      </c>
      <c r="G187">
        <v>93</v>
      </c>
    </row>
    <row r="188" spans="1:7" x14ac:dyDescent="0.25">
      <c r="A188" t="s">
        <v>191</v>
      </c>
      <c r="B188">
        <v>24</v>
      </c>
      <c r="C188">
        <v>34</v>
      </c>
      <c r="D188">
        <v>46</v>
      </c>
      <c r="E188">
        <v>73</v>
      </c>
      <c r="F188">
        <v>97</v>
      </c>
      <c r="G188">
        <v>92</v>
      </c>
    </row>
    <row r="189" spans="1:7" x14ac:dyDescent="0.25">
      <c r="A189" t="s">
        <v>192</v>
      </c>
      <c r="B189">
        <v>31</v>
      </c>
      <c r="C189">
        <v>44</v>
      </c>
      <c r="D189">
        <v>59</v>
      </c>
      <c r="E189">
        <v>83</v>
      </c>
      <c r="F189">
        <v>91</v>
      </c>
      <c r="G189">
        <v>90</v>
      </c>
    </row>
    <row r="190" spans="1:7" x14ac:dyDescent="0.25">
      <c r="A190" t="s">
        <v>193</v>
      </c>
      <c r="B190">
        <v>22</v>
      </c>
      <c r="C190">
        <v>35</v>
      </c>
      <c r="D190">
        <v>53</v>
      </c>
      <c r="E190">
        <v>70</v>
      </c>
      <c r="F190">
        <v>79</v>
      </c>
      <c r="G190">
        <v>91</v>
      </c>
    </row>
    <row r="191" spans="1:7" x14ac:dyDescent="0.25">
      <c r="A191" t="s">
        <v>194</v>
      </c>
      <c r="B191">
        <v>36</v>
      </c>
      <c r="C191">
        <v>54</v>
      </c>
      <c r="D191">
        <v>63</v>
      </c>
      <c r="E191">
        <v>78</v>
      </c>
      <c r="F191">
        <v>87</v>
      </c>
      <c r="G191">
        <v>95</v>
      </c>
    </row>
    <row r="192" spans="1:7" x14ac:dyDescent="0.25">
      <c r="A192" t="s">
        <v>195</v>
      </c>
      <c r="B192">
        <v>28</v>
      </c>
      <c r="C192">
        <v>48</v>
      </c>
      <c r="D192">
        <v>62</v>
      </c>
      <c r="E192">
        <v>82</v>
      </c>
      <c r="F192">
        <v>88</v>
      </c>
      <c r="G192">
        <v>88</v>
      </c>
    </row>
    <row r="193" spans="1:7" x14ac:dyDescent="0.25">
      <c r="A193" t="s">
        <v>196</v>
      </c>
      <c r="B193">
        <v>24</v>
      </c>
      <c r="C193">
        <v>37</v>
      </c>
      <c r="D193">
        <v>54</v>
      </c>
      <c r="E193">
        <v>87</v>
      </c>
      <c r="F193">
        <v>94</v>
      </c>
      <c r="G193">
        <v>95</v>
      </c>
    </row>
    <row r="194" spans="1:7" x14ac:dyDescent="0.25">
      <c r="A194" t="s">
        <v>197</v>
      </c>
      <c r="B194">
        <v>40</v>
      </c>
      <c r="C194">
        <v>56</v>
      </c>
      <c r="D194">
        <v>77</v>
      </c>
      <c r="E194">
        <v>102</v>
      </c>
      <c r="F194">
        <v>116</v>
      </c>
      <c r="G194">
        <v>98</v>
      </c>
    </row>
    <row r="195" spans="1:7" x14ac:dyDescent="0.25">
      <c r="A195" t="s">
        <v>198</v>
      </c>
      <c r="B195">
        <v>41</v>
      </c>
      <c r="C195">
        <v>60</v>
      </c>
      <c r="D195">
        <v>80</v>
      </c>
      <c r="E195">
        <v>104</v>
      </c>
      <c r="F195">
        <v>120</v>
      </c>
      <c r="G195">
        <v>112</v>
      </c>
    </row>
    <row r="196" spans="1:7" x14ac:dyDescent="0.25">
      <c r="A196" t="s">
        <v>199</v>
      </c>
      <c r="B196">
        <v>30</v>
      </c>
      <c r="C196">
        <v>38</v>
      </c>
      <c r="D196">
        <v>74</v>
      </c>
      <c r="E196">
        <v>98</v>
      </c>
      <c r="F196">
        <v>103</v>
      </c>
      <c r="G196">
        <v>100</v>
      </c>
    </row>
    <row r="197" spans="1:7" x14ac:dyDescent="0.25">
      <c r="A197" t="s">
        <v>200</v>
      </c>
      <c r="B197">
        <v>37</v>
      </c>
      <c r="C197">
        <v>56</v>
      </c>
      <c r="D197">
        <v>83</v>
      </c>
      <c r="E197">
        <v>102</v>
      </c>
      <c r="F197">
        <v>111</v>
      </c>
      <c r="G197">
        <v>102</v>
      </c>
    </row>
    <row r="198" spans="1:7" x14ac:dyDescent="0.25">
      <c r="A198" t="s">
        <v>201</v>
      </c>
      <c r="B198">
        <v>39</v>
      </c>
      <c r="C198">
        <v>58</v>
      </c>
      <c r="D198">
        <v>76</v>
      </c>
      <c r="E198">
        <v>103</v>
      </c>
      <c r="F198">
        <v>102</v>
      </c>
      <c r="G198">
        <v>103</v>
      </c>
    </row>
    <row r="199" spans="1:7" x14ac:dyDescent="0.25">
      <c r="A199" t="s">
        <v>202</v>
      </c>
      <c r="B199">
        <v>28</v>
      </c>
      <c r="C199">
        <v>41</v>
      </c>
      <c r="D199">
        <v>61</v>
      </c>
      <c r="E199">
        <v>85</v>
      </c>
      <c r="F199">
        <v>91</v>
      </c>
      <c r="G199">
        <v>96</v>
      </c>
    </row>
    <row r="200" spans="1:7" x14ac:dyDescent="0.25">
      <c r="A200" t="s">
        <v>203</v>
      </c>
      <c r="B200">
        <v>25</v>
      </c>
      <c r="C200">
        <v>48</v>
      </c>
      <c r="D200">
        <v>65</v>
      </c>
      <c r="E200">
        <v>89</v>
      </c>
      <c r="F200">
        <v>98</v>
      </c>
      <c r="G200">
        <v>104</v>
      </c>
    </row>
    <row r="201" spans="1:7" x14ac:dyDescent="0.25">
      <c r="A201" t="s">
        <v>204</v>
      </c>
      <c r="B201">
        <v>20</v>
      </c>
      <c r="C201">
        <v>38</v>
      </c>
      <c r="D201">
        <v>61</v>
      </c>
      <c r="E201">
        <v>80</v>
      </c>
      <c r="F201">
        <v>90</v>
      </c>
      <c r="G201">
        <v>86</v>
      </c>
    </row>
    <row r="202" spans="1:7" x14ac:dyDescent="0.25">
      <c r="A202" t="s">
        <v>205</v>
      </c>
      <c r="B202">
        <v>27</v>
      </c>
      <c r="C202">
        <v>43</v>
      </c>
      <c r="D202">
        <v>66</v>
      </c>
      <c r="E202">
        <v>79</v>
      </c>
      <c r="F202">
        <v>85</v>
      </c>
      <c r="G202">
        <v>106</v>
      </c>
    </row>
    <row r="203" spans="1:7" x14ac:dyDescent="0.25">
      <c r="A203" t="s">
        <v>206</v>
      </c>
      <c r="B203">
        <v>31</v>
      </c>
      <c r="C203">
        <v>56</v>
      </c>
      <c r="D203">
        <v>62</v>
      </c>
      <c r="E203">
        <v>98</v>
      </c>
      <c r="F203">
        <v>104</v>
      </c>
      <c r="G203">
        <v>122</v>
      </c>
    </row>
    <row r="204" spans="1:7" x14ac:dyDescent="0.25">
      <c r="A204" t="s">
        <v>207</v>
      </c>
      <c r="B204">
        <v>27</v>
      </c>
      <c r="C204">
        <v>51</v>
      </c>
      <c r="D204">
        <v>77</v>
      </c>
      <c r="E204">
        <v>93</v>
      </c>
      <c r="F204">
        <v>99</v>
      </c>
      <c r="G204">
        <v>103</v>
      </c>
    </row>
    <row r="205" spans="1:7" x14ac:dyDescent="0.25">
      <c r="A205" t="s">
        <v>208</v>
      </c>
      <c r="B205">
        <v>28</v>
      </c>
      <c r="C205">
        <v>55</v>
      </c>
      <c r="D205">
        <v>86</v>
      </c>
      <c r="E205">
        <v>105</v>
      </c>
      <c r="F205">
        <v>118</v>
      </c>
      <c r="G205">
        <v>122</v>
      </c>
    </row>
    <row r="206" spans="1:7" x14ac:dyDescent="0.25">
      <c r="A206" t="s">
        <v>209</v>
      </c>
      <c r="B206">
        <v>34</v>
      </c>
      <c r="C206">
        <v>64</v>
      </c>
      <c r="D206">
        <v>82</v>
      </c>
      <c r="E206">
        <v>104</v>
      </c>
      <c r="F206">
        <v>111</v>
      </c>
      <c r="G206">
        <v>98</v>
      </c>
    </row>
    <row r="207" spans="1:7" x14ac:dyDescent="0.25">
      <c r="A207" t="s">
        <v>210</v>
      </c>
      <c r="B207">
        <v>32</v>
      </c>
      <c r="C207">
        <v>53</v>
      </c>
      <c r="D207">
        <v>89</v>
      </c>
      <c r="E207">
        <v>120</v>
      </c>
      <c r="F207">
        <v>135</v>
      </c>
      <c r="G207">
        <v>114</v>
      </c>
    </row>
    <row r="208" spans="1:7" x14ac:dyDescent="0.25">
      <c r="A208" t="s">
        <v>211</v>
      </c>
      <c r="B208">
        <v>25</v>
      </c>
      <c r="C208">
        <v>68</v>
      </c>
      <c r="D208">
        <v>91</v>
      </c>
      <c r="E208">
        <v>110</v>
      </c>
      <c r="F208">
        <v>126</v>
      </c>
      <c r="G208">
        <v>124</v>
      </c>
    </row>
    <row r="209" spans="1:7" x14ac:dyDescent="0.25">
      <c r="A209" t="s">
        <v>212</v>
      </c>
      <c r="B209">
        <v>25</v>
      </c>
      <c r="C209">
        <v>45</v>
      </c>
      <c r="D209">
        <v>72</v>
      </c>
      <c r="E209">
        <v>103</v>
      </c>
      <c r="F209">
        <v>115</v>
      </c>
      <c r="G209">
        <v>114</v>
      </c>
    </row>
    <row r="210" spans="1:7" x14ac:dyDescent="0.25">
      <c r="A210" t="s">
        <v>213</v>
      </c>
      <c r="B210">
        <v>25</v>
      </c>
      <c r="C210">
        <v>48</v>
      </c>
      <c r="D210">
        <v>75</v>
      </c>
      <c r="E210">
        <v>104</v>
      </c>
      <c r="F210">
        <v>103</v>
      </c>
      <c r="G210">
        <v>103</v>
      </c>
    </row>
    <row r="211" spans="1:7" x14ac:dyDescent="0.25">
      <c r="A211" t="s">
        <v>214</v>
      </c>
      <c r="B211">
        <v>28</v>
      </c>
      <c r="C211">
        <v>56</v>
      </c>
      <c r="D211">
        <v>82</v>
      </c>
      <c r="E211">
        <v>101</v>
      </c>
      <c r="F211">
        <v>108</v>
      </c>
      <c r="G211">
        <v>110</v>
      </c>
    </row>
    <row r="212" spans="1:7" x14ac:dyDescent="0.25">
      <c r="A212" t="s">
        <v>215</v>
      </c>
      <c r="B212">
        <v>32</v>
      </c>
      <c r="C212">
        <v>54</v>
      </c>
      <c r="D212">
        <v>80</v>
      </c>
      <c r="E212">
        <v>117</v>
      </c>
      <c r="F212">
        <v>139</v>
      </c>
      <c r="G212">
        <v>147</v>
      </c>
    </row>
    <row r="213" spans="1:7" x14ac:dyDescent="0.25">
      <c r="A213" t="s">
        <v>216</v>
      </c>
      <c r="B213">
        <v>34</v>
      </c>
      <c r="C213">
        <v>54</v>
      </c>
      <c r="D213">
        <v>73</v>
      </c>
      <c r="E213">
        <v>113</v>
      </c>
      <c r="F213">
        <v>138</v>
      </c>
      <c r="G213">
        <v>144</v>
      </c>
    </row>
    <row r="214" spans="1:7" x14ac:dyDescent="0.25">
      <c r="A214" t="s">
        <v>217</v>
      </c>
      <c r="B214">
        <v>32</v>
      </c>
      <c r="C214">
        <v>54</v>
      </c>
      <c r="D214">
        <v>79</v>
      </c>
      <c r="E214">
        <v>107</v>
      </c>
      <c r="F214">
        <v>130</v>
      </c>
      <c r="G214">
        <v>134</v>
      </c>
    </row>
    <row r="215" spans="1:7" x14ac:dyDescent="0.25">
      <c r="A215" t="s">
        <v>218</v>
      </c>
      <c r="B215">
        <v>36</v>
      </c>
      <c r="C215">
        <v>54</v>
      </c>
      <c r="D215">
        <v>79</v>
      </c>
      <c r="E215">
        <v>114</v>
      </c>
      <c r="F215">
        <v>128</v>
      </c>
      <c r="G215">
        <v>127</v>
      </c>
    </row>
    <row r="216" spans="1:7" x14ac:dyDescent="0.25">
      <c r="A216" t="s">
        <v>219</v>
      </c>
      <c r="B216">
        <v>35</v>
      </c>
      <c r="C216">
        <v>51</v>
      </c>
      <c r="D216">
        <v>71</v>
      </c>
      <c r="E216">
        <v>102</v>
      </c>
      <c r="F216">
        <v>122</v>
      </c>
      <c r="G216">
        <v>112</v>
      </c>
    </row>
    <row r="217" spans="1:7" x14ac:dyDescent="0.25">
      <c r="A217" t="s">
        <v>220</v>
      </c>
      <c r="B217">
        <v>30</v>
      </c>
      <c r="C217">
        <v>53</v>
      </c>
      <c r="D217">
        <v>71</v>
      </c>
      <c r="E217">
        <v>99</v>
      </c>
      <c r="F217">
        <v>116</v>
      </c>
      <c r="G217">
        <v>112</v>
      </c>
    </row>
    <row r="218" spans="1:7" x14ac:dyDescent="0.25">
      <c r="A218" t="s">
        <v>221</v>
      </c>
      <c r="B218">
        <v>31</v>
      </c>
      <c r="C218">
        <v>47</v>
      </c>
      <c r="D218">
        <v>59</v>
      </c>
      <c r="E218">
        <v>70</v>
      </c>
      <c r="F218">
        <v>91</v>
      </c>
      <c r="G218">
        <v>88</v>
      </c>
    </row>
    <row r="219" spans="1:7" x14ac:dyDescent="0.25">
      <c r="A219" t="s">
        <v>222</v>
      </c>
      <c r="B219">
        <v>36</v>
      </c>
      <c r="C219">
        <v>46</v>
      </c>
      <c r="D219">
        <v>62</v>
      </c>
      <c r="E219">
        <v>88</v>
      </c>
      <c r="F219">
        <v>92</v>
      </c>
      <c r="G219">
        <v>98</v>
      </c>
    </row>
    <row r="220" spans="1:7" x14ac:dyDescent="0.25">
      <c r="A220" t="s">
        <v>223</v>
      </c>
      <c r="B220">
        <v>40</v>
      </c>
      <c r="C220">
        <v>51</v>
      </c>
      <c r="D220">
        <v>67</v>
      </c>
      <c r="E220">
        <v>79</v>
      </c>
      <c r="F220">
        <v>92</v>
      </c>
      <c r="G220">
        <v>88</v>
      </c>
    </row>
    <row r="221" spans="1:7" x14ac:dyDescent="0.25">
      <c r="A221" t="s">
        <v>224</v>
      </c>
      <c r="B221">
        <v>40</v>
      </c>
      <c r="C221">
        <v>53</v>
      </c>
      <c r="D221">
        <v>60</v>
      </c>
      <c r="E221">
        <v>66</v>
      </c>
      <c r="F221">
        <v>78</v>
      </c>
      <c r="G221">
        <v>82</v>
      </c>
    </row>
    <row r="222" spans="1:7" x14ac:dyDescent="0.25">
      <c r="A222" t="s">
        <v>225</v>
      </c>
      <c r="B222">
        <v>35</v>
      </c>
      <c r="C222">
        <v>54</v>
      </c>
      <c r="D222">
        <v>64</v>
      </c>
      <c r="E222">
        <v>75</v>
      </c>
      <c r="F222">
        <v>83</v>
      </c>
      <c r="G222">
        <v>84</v>
      </c>
    </row>
    <row r="223" spans="1:7" x14ac:dyDescent="0.25">
      <c r="A223" t="s">
        <v>226</v>
      </c>
      <c r="B223">
        <v>31</v>
      </c>
      <c r="C223">
        <v>44</v>
      </c>
      <c r="D223">
        <v>54</v>
      </c>
      <c r="E223">
        <v>78</v>
      </c>
      <c r="F223">
        <v>87</v>
      </c>
      <c r="G223">
        <v>91</v>
      </c>
    </row>
    <row r="224" spans="1:7" x14ac:dyDescent="0.25">
      <c r="A224" t="s">
        <v>227</v>
      </c>
      <c r="B224">
        <v>32</v>
      </c>
      <c r="C224">
        <v>49</v>
      </c>
      <c r="D224">
        <v>73</v>
      </c>
      <c r="E224">
        <v>98</v>
      </c>
      <c r="F224">
        <v>114</v>
      </c>
      <c r="G224">
        <v>120</v>
      </c>
    </row>
    <row r="225" spans="1:7" x14ac:dyDescent="0.25">
      <c r="A225" t="s">
        <v>228</v>
      </c>
      <c r="B225">
        <v>25</v>
      </c>
      <c r="C225">
        <v>44</v>
      </c>
      <c r="D225">
        <v>66</v>
      </c>
      <c r="E225">
        <v>98</v>
      </c>
      <c r="F225">
        <v>114</v>
      </c>
      <c r="G225">
        <v>117</v>
      </c>
    </row>
    <row r="226" spans="1:7" x14ac:dyDescent="0.25">
      <c r="A226" t="s">
        <v>229</v>
      </c>
      <c r="B226">
        <v>17</v>
      </c>
      <c r="C226">
        <v>32</v>
      </c>
      <c r="D226">
        <v>66</v>
      </c>
      <c r="E226">
        <v>89</v>
      </c>
      <c r="F226">
        <v>98</v>
      </c>
      <c r="G226">
        <v>96</v>
      </c>
    </row>
    <row r="227" spans="1:7" x14ac:dyDescent="0.25">
      <c r="A227" t="s">
        <v>230</v>
      </c>
      <c r="B227">
        <v>32</v>
      </c>
      <c r="C227">
        <v>52</v>
      </c>
      <c r="D227">
        <v>74</v>
      </c>
      <c r="E227">
        <v>94</v>
      </c>
      <c r="F227">
        <v>110</v>
      </c>
      <c r="G227">
        <v>109</v>
      </c>
    </row>
    <row r="228" spans="1:7" x14ac:dyDescent="0.25">
      <c r="A228" t="s">
        <v>231</v>
      </c>
      <c r="B228">
        <v>41</v>
      </c>
      <c r="C228">
        <v>60</v>
      </c>
      <c r="D228">
        <v>59</v>
      </c>
      <c r="E228">
        <v>108</v>
      </c>
      <c r="F228">
        <v>126</v>
      </c>
      <c r="G228">
        <v>131</v>
      </c>
    </row>
    <row r="229" spans="1:7" x14ac:dyDescent="0.25">
      <c r="A229" t="s">
        <v>232</v>
      </c>
      <c r="B229">
        <v>45</v>
      </c>
      <c r="C229">
        <v>71</v>
      </c>
      <c r="D229">
        <v>90</v>
      </c>
      <c r="E229">
        <v>111</v>
      </c>
      <c r="F229">
        <v>132</v>
      </c>
      <c r="G229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F5D5-AFC4-4151-9100-3D3A1B75744E}">
  <dimension ref="A1:G229"/>
  <sheetViews>
    <sheetView workbookViewId="0"/>
  </sheetViews>
  <sheetFormatPr defaultRowHeight="15" x14ac:dyDescent="0.25"/>
  <sheetData>
    <row r="1" spans="1:7" x14ac:dyDescent="0.25">
      <c r="A1" t="s">
        <v>307</v>
      </c>
      <c r="B1" t="s">
        <v>281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B2">
        <v>41</v>
      </c>
      <c r="C2">
        <v>51</v>
      </c>
      <c r="D2">
        <v>70</v>
      </c>
      <c r="E2">
        <v>71</v>
      </c>
      <c r="F2">
        <v>102</v>
      </c>
      <c r="G2">
        <v>102</v>
      </c>
    </row>
    <row r="3" spans="1:7" x14ac:dyDescent="0.25">
      <c r="A3" t="s">
        <v>6</v>
      </c>
      <c r="B3">
        <v>40</v>
      </c>
      <c r="C3">
        <v>48</v>
      </c>
      <c r="D3">
        <v>81</v>
      </c>
      <c r="E3">
        <v>92</v>
      </c>
      <c r="F3">
        <v>102</v>
      </c>
      <c r="G3">
        <v>102</v>
      </c>
    </row>
    <row r="4" spans="1:7" x14ac:dyDescent="0.25">
      <c r="A4" t="s">
        <v>7</v>
      </c>
      <c r="B4">
        <v>30</v>
      </c>
      <c r="C4">
        <v>64</v>
      </c>
      <c r="D4">
        <v>85</v>
      </c>
      <c r="E4">
        <v>77</v>
      </c>
      <c r="F4">
        <v>94</v>
      </c>
      <c r="G4">
        <v>102</v>
      </c>
    </row>
    <row r="5" spans="1:7" x14ac:dyDescent="0.25">
      <c r="A5" t="s">
        <v>8</v>
      </c>
      <c r="B5">
        <v>48</v>
      </c>
      <c r="C5">
        <v>57</v>
      </c>
      <c r="D5">
        <v>74</v>
      </c>
      <c r="E5">
        <v>87</v>
      </c>
      <c r="F5">
        <v>102</v>
      </c>
      <c r="G5">
        <v>102</v>
      </c>
    </row>
    <row r="6" spans="1:7" x14ac:dyDescent="0.25">
      <c r="A6" t="s">
        <v>9</v>
      </c>
      <c r="B6">
        <v>47</v>
      </c>
      <c r="C6">
        <v>71</v>
      </c>
      <c r="D6">
        <v>82</v>
      </c>
      <c r="E6">
        <v>102</v>
      </c>
      <c r="F6">
        <v>102</v>
      </c>
      <c r="G6">
        <v>102</v>
      </c>
    </row>
    <row r="7" spans="1:7" x14ac:dyDescent="0.25">
      <c r="A7" t="s">
        <v>10</v>
      </c>
      <c r="B7">
        <v>31</v>
      </c>
      <c r="C7">
        <v>37</v>
      </c>
      <c r="D7">
        <v>76</v>
      </c>
      <c r="E7">
        <v>76</v>
      </c>
      <c r="F7">
        <v>88</v>
      </c>
      <c r="G7">
        <v>102</v>
      </c>
    </row>
    <row r="8" spans="1:7" x14ac:dyDescent="0.25">
      <c r="A8" t="s">
        <v>11</v>
      </c>
      <c r="B8">
        <v>10</v>
      </c>
      <c r="C8">
        <v>20</v>
      </c>
      <c r="D8">
        <v>59</v>
      </c>
      <c r="E8">
        <v>41</v>
      </c>
      <c r="F8">
        <v>84</v>
      </c>
      <c r="G8">
        <v>102</v>
      </c>
    </row>
    <row r="9" spans="1:7" x14ac:dyDescent="0.25">
      <c r="A9" t="s">
        <v>12</v>
      </c>
      <c r="B9">
        <v>25</v>
      </c>
      <c r="C9">
        <v>41</v>
      </c>
      <c r="D9">
        <v>64</v>
      </c>
      <c r="E9">
        <v>91</v>
      </c>
      <c r="F9">
        <v>102</v>
      </c>
      <c r="G9">
        <v>102</v>
      </c>
    </row>
    <row r="10" spans="1:7" x14ac:dyDescent="0.25">
      <c r="A10" t="s">
        <v>13</v>
      </c>
      <c r="B10">
        <v>18</v>
      </c>
      <c r="C10">
        <v>33</v>
      </c>
      <c r="D10">
        <v>73</v>
      </c>
      <c r="E10">
        <v>74</v>
      </c>
      <c r="F10">
        <v>102</v>
      </c>
      <c r="G10">
        <v>102</v>
      </c>
    </row>
    <row r="11" spans="1:7" x14ac:dyDescent="0.25">
      <c r="A11" t="s">
        <v>14</v>
      </c>
      <c r="B11">
        <v>29</v>
      </c>
      <c r="C11">
        <v>52</v>
      </c>
      <c r="D11">
        <v>51</v>
      </c>
      <c r="E11">
        <v>91</v>
      </c>
      <c r="F11">
        <v>102</v>
      </c>
      <c r="G11">
        <v>102</v>
      </c>
    </row>
    <row r="12" spans="1:7" x14ac:dyDescent="0.25">
      <c r="A12" t="s">
        <v>15</v>
      </c>
      <c r="B12">
        <v>22</v>
      </c>
      <c r="C12">
        <v>47</v>
      </c>
      <c r="D12">
        <v>58</v>
      </c>
      <c r="E12">
        <v>90</v>
      </c>
      <c r="F12">
        <v>102</v>
      </c>
      <c r="G12">
        <v>102</v>
      </c>
    </row>
    <row r="13" spans="1:7" x14ac:dyDescent="0.25">
      <c r="A13" t="s">
        <v>16</v>
      </c>
      <c r="B13">
        <v>13</v>
      </c>
      <c r="C13">
        <v>30</v>
      </c>
      <c r="D13">
        <v>31</v>
      </c>
      <c r="E13">
        <v>75</v>
      </c>
      <c r="F13">
        <v>98</v>
      </c>
      <c r="G13">
        <v>102</v>
      </c>
    </row>
    <row r="14" spans="1:7" x14ac:dyDescent="0.25">
      <c r="A14" t="s">
        <v>17</v>
      </c>
      <c r="B14">
        <v>28</v>
      </c>
      <c r="C14">
        <v>49</v>
      </c>
      <c r="D14">
        <v>67</v>
      </c>
      <c r="E14">
        <v>95</v>
      </c>
      <c r="F14">
        <v>102</v>
      </c>
      <c r="G14">
        <v>102</v>
      </c>
    </row>
    <row r="15" spans="1:7" x14ac:dyDescent="0.25">
      <c r="A15" t="s">
        <v>18</v>
      </c>
      <c r="B15">
        <v>37</v>
      </c>
      <c r="C15">
        <v>39</v>
      </c>
      <c r="D15">
        <v>46</v>
      </c>
      <c r="E15">
        <v>82</v>
      </c>
      <c r="F15">
        <v>102</v>
      </c>
      <c r="G15">
        <v>102</v>
      </c>
    </row>
    <row r="16" spans="1:7" x14ac:dyDescent="0.25">
      <c r="A16" t="s">
        <v>19</v>
      </c>
      <c r="B16">
        <v>31</v>
      </c>
      <c r="C16">
        <v>51</v>
      </c>
      <c r="D16">
        <v>65</v>
      </c>
      <c r="E16">
        <v>82</v>
      </c>
      <c r="F16">
        <v>102</v>
      </c>
      <c r="G16">
        <v>102</v>
      </c>
    </row>
    <row r="17" spans="1:7" x14ac:dyDescent="0.25">
      <c r="A17" t="s">
        <v>20</v>
      </c>
      <c r="B17">
        <v>33</v>
      </c>
      <c r="C17">
        <v>41</v>
      </c>
      <c r="D17">
        <v>58</v>
      </c>
      <c r="E17">
        <v>86</v>
      </c>
      <c r="F17">
        <v>102</v>
      </c>
      <c r="G17">
        <v>102</v>
      </c>
    </row>
    <row r="18" spans="1:7" x14ac:dyDescent="0.25">
      <c r="A18" t="s">
        <v>21</v>
      </c>
      <c r="B18">
        <v>20</v>
      </c>
      <c r="C18">
        <v>36</v>
      </c>
      <c r="D18">
        <v>69</v>
      </c>
      <c r="E18">
        <v>54</v>
      </c>
      <c r="F18">
        <v>72</v>
      </c>
      <c r="G18">
        <v>102</v>
      </c>
    </row>
    <row r="19" spans="1:7" x14ac:dyDescent="0.25">
      <c r="A19" t="s">
        <v>22</v>
      </c>
      <c r="B19">
        <v>30</v>
      </c>
      <c r="C19">
        <v>50</v>
      </c>
      <c r="D19">
        <v>66</v>
      </c>
      <c r="E19">
        <v>99</v>
      </c>
      <c r="F19">
        <v>102</v>
      </c>
      <c r="G19">
        <v>102</v>
      </c>
    </row>
    <row r="20" spans="1:7" x14ac:dyDescent="0.25">
      <c r="A20" t="s">
        <v>23</v>
      </c>
      <c r="B20">
        <v>42</v>
      </c>
      <c r="C20">
        <v>61</v>
      </c>
      <c r="D20">
        <v>51</v>
      </c>
      <c r="E20">
        <v>79</v>
      </c>
      <c r="F20">
        <v>102</v>
      </c>
      <c r="G20">
        <v>102</v>
      </c>
    </row>
    <row r="21" spans="1:7" x14ac:dyDescent="0.25">
      <c r="A21" t="s">
        <v>24</v>
      </c>
      <c r="B21">
        <v>29</v>
      </c>
      <c r="C21">
        <v>43</v>
      </c>
      <c r="D21">
        <v>65</v>
      </c>
      <c r="E21">
        <v>52</v>
      </c>
      <c r="F21">
        <v>59</v>
      </c>
      <c r="G21">
        <v>67</v>
      </c>
    </row>
    <row r="22" spans="1:7" x14ac:dyDescent="0.25">
      <c r="A22" t="s">
        <v>25</v>
      </c>
      <c r="B22">
        <v>23</v>
      </c>
      <c r="C22">
        <v>45</v>
      </c>
      <c r="D22">
        <v>74</v>
      </c>
      <c r="E22">
        <v>68</v>
      </c>
      <c r="F22">
        <v>78</v>
      </c>
      <c r="G22">
        <v>102</v>
      </c>
    </row>
    <row r="23" spans="1:7" x14ac:dyDescent="0.25">
      <c r="A23" t="s">
        <v>26</v>
      </c>
      <c r="B23">
        <v>43</v>
      </c>
      <c r="C23">
        <v>64</v>
      </c>
      <c r="D23">
        <v>62</v>
      </c>
      <c r="E23">
        <v>92</v>
      </c>
      <c r="F23">
        <v>90</v>
      </c>
      <c r="G23">
        <v>102</v>
      </c>
    </row>
    <row r="24" spans="1:7" x14ac:dyDescent="0.25">
      <c r="A24" t="s">
        <v>27</v>
      </c>
      <c r="B24">
        <v>43</v>
      </c>
      <c r="C24">
        <v>44</v>
      </c>
      <c r="D24">
        <v>50</v>
      </c>
      <c r="E24">
        <v>79</v>
      </c>
      <c r="F24">
        <v>93</v>
      </c>
      <c r="G24">
        <v>102</v>
      </c>
    </row>
    <row r="25" spans="1:7" x14ac:dyDescent="0.25">
      <c r="A25" t="s">
        <v>28</v>
      </c>
      <c r="B25">
        <v>21</v>
      </c>
      <c r="C25">
        <v>32</v>
      </c>
      <c r="D25">
        <v>75</v>
      </c>
      <c r="E25">
        <v>62</v>
      </c>
      <c r="F25">
        <v>74</v>
      </c>
      <c r="G25">
        <v>102</v>
      </c>
    </row>
    <row r="26" spans="1:7" x14ac:dyDescent="0.25">
      <c r="A26" t="s">
        <v>29</v>
      </c>
      <c r="B26">
        <v>31</v>
      </c>
      <c r="C26">
        <v>53</v>
      </c>
      <c r="D26">
        <v>52</v>
      </c>
      <c r="E26">
        <v>90</v>
      </c>
      <c r="F26">
        <v>102</v>
      </c>
      <c r="G26">
        <v>102</v>
      </c>
    </row>
    <row r="27" spans="1:7" x14ac:dyDescent="0.25">
      <c r="A27" t="s">
        <v>30</v>
      </c>
      <c r="B27">
        <v>42</v>
      </c>
      <c r="C27">
        <v>61</v>
      </c>
      <c r="D27">
        <v>56</v>
      </c>
      <c r="E27">
        <v>87</v>
      </c>
      <c r="F27">
        <v>102</v>
      </c>
      <c r="G27">
        <v>102</v>
      </c>
    </row>
    <row r="28" spans="1:7" x14ac:dyDescent="0.25">
      <c r="A28" t="s">
        <v>31</v>
      </c>
      <c r="B28">
        <v>42</v>
      </c>
      <c r="C28">
        <v>66</v>
      </c>
      <c r="D28">
        <v>79</v>
      </c>
      <c r="E28">
        <v>73</v>
      </c>
      <c r="F28">
        <v>93</v>
      </c>
      <c r="G28">
        <v>102</v>
      </c>
    </row>
    <row r="29" spans="1:7" x14ac:dyDescent="0.25">
      <c r="A29" t="s">
        <v>32</v>
      </c>
      <c r="B29">
        <v>45</v>
      </c>
      <c r="C29">
        <v>65</v>
      </c>
      <c r="D29">
        <v>72</v>
      </c>
      <c r="E29">
        <v>102</v>
      </c>
      <c r="F29">
        <v>102</v>
      </c>
      <c r="G29">
        <v>102</v>
      </c>
    </row>
    <row r="30" spans="1:7" x14ac:dyDescent="0.25">
      <c r="A30" t="s">
        <v>33</v>
      </c>
      <c r="B30">
        <v>25</v>
      </c>
      <c r="C30">
        <v>51</v>
      </c>
      <c r="D30">
        <v>79</v>
      </c>
      <c r="E30">
        <v>66</v>
      </c>
      <c r="F30">
        <v>61</v>
      </c>
      <c r="G30">
        <v>69</v>
      </c>
    </row>
    <row r="31" spans="1:7" x14ac:dyDescent="0.25">
      <c r="A31" t="s">
        <v>34</v>
      </c>
      <c r="B31">
        <v>28</v>
      </c>
      <c r="C31">
        <v>41</v>
      </c>
      <c r="D31">
        <v>72</v>
      </c>
      <c r="E31">
        <v>65</v>
      </c>
      <c r="F31">
        <v>77</v>
      </c>
      <c r="G31">
        <v>102</v>
      </c>
    </row>
    <row r="32" spans="1:7" x14ac:dyDescent="0.25">
      <c r="A32" t="s">
        <v>35</v>
      </c>
      <c r="B32">
        <v>29</v>
      </c>
      <c r="C32">
        <v>38</v>
      </c>
      <c r="D32">
        <v>54</v>
      </c>
      <c r="E32">
        <v>75</v>
      </c>
      <c r="F32">
        <v>102</v>
      </c>
      <c r="G32">
        <v>102</v>
      </c>
    </row>
    <row r="33" spans="1:7" x14ac:dyDescent="0.25">
      <c r="A33" t="s">
        <v>36</v>
      </c>
      <c r="C33">
        <v>39</v>
      </c>
      <c r="D33">
        <v>32</v>
      </c>
      <c r="E33">
        <v>65</v>
      </c>
      <c r="F33">
        <v>83</v>
      </c>
      <c r="G33">
        <v>102</v>
      </c>
    </row>
    <row r="34" spans="1:7" x14ac:dyDescent="0.25">
      <c r="A34" t="s">
        <v>37</v>
      </c>
      <c r="B34">
        <v>17</v>
      </c>
      <c r="C34">
        <v>33</v>
      </c>
      <c r="D34">
        <v>57</v>
      </c>
      <c r="E34">
        <v>54</v>
      </c>
      <c r="F34">
        <v>79</v>
      </c>
      <c r="G34">
        <v>102</v>
      </c>
    </row>
    <row r="35" spans="1:7" x14ac:dyDescent="0.25">
      <c r="A35" t="s">
        <v>38</v>
      </c>
      <c r="B35">
        <v>29</v>
      </c>
      <c r="C35">
        <v>44</v>
      </c>
      <c r="D35">
        <v>41</v>
      </c>
      <c r="E35">
        <v>75</v>
      </c>
      <c r="F35">
        <v>102</v>
      </c>
      <c r="G35">
        <v>102</v>
      </c>
    </row>
    <row r="36" spans="1:7" x14ac:dyDescent="0.25">
      <c r="A36" t="s">
        <v>39</v>
      </c>
      <c r="B36">
        <v>15</v>
      </c>
      <c r="C36">
        <v>28</v>
      </c>
      <c r="D36">
        <v>56</v>
      </c>
      <c r="E36">
        <v>43</v>
      </c>
      <c r="F36">
        <v>66</v>
      </c>
      <c r="G36">
        <v>102</v>
      </c>
    </row>
    <row r="37" spans="1:7" x14ac:dyDescent="0.25">
      <c r="A37" t="s">
        <v>40</v>
      </c>
      <c r="B37">
        <v>28</v>
      </c>
      <c r="C37">
        <v>36</v>
      </c>
      <c r="D37">
        <v>51</v>
      </c>
      <c r="E37">
        <v>63</v>
      </c>
      <c r="F37">
        <v>94</v>
      </c>
      <c r="G37">
        <v>102</v>
      </c>
    </row>
    <row r="38" spans="1:7" x14ac:dyDescent="0.25">
      <c r="A38" t="s">
        <v>41</v>
      </c>
      <c r="B38">
        <v>37</v>
      </c>
      <c r="C38">
        <v>64</v>
      </c>
      <c r="D38">
        <v>73</v>
      </c>
      <c r="E38">
        <v>102</v>
      </c>
      <c r="F38">
        <v>102</v>
      </c>
      <c r="G38">
        <v>102</v>
      </c>
    </row>
    <row r="39" spans="1:7" x14ac:dyDescent="0.25">
      <c r="A39" t="s">
        <v>42</v>
      </c>
      <c r="B39">
        <v>41</v>
      </c>
      <c r="C39">
        <v>59</v>
      </c>
      <c r="D39">
        <v>67</v>
      </c>
      <c r="E39">
        <v>88</v>
      </c>
      <c r="F39">
        <v>102</v>
      </c>
      <c r="G39">
        <v>102</v>
      </c>
    </row>
    <row r="40" spans="1:7" x14ac:dyDescent="0.25">
      <c r="A40" t="s">
        <v>43</v>
      </c>
      <c r="B40">
        <v>32</v>
      </c>
      <c r="C40">
        <v>54</v>
      </c>
      <c r="D40">
        <v>73</v>
      </c>
      <c r="E40">
        <v>97</v>
      </c>
      <c r="F40">
        <v>102</v>
      </c>
      <c r="G40">
        <v>102</v>
      </c>
    </row>
    <row r="41" spans="1:7" x14ac:dyDescent="0.25">
      <c r="A41" t="s">
        <v>44</v>
      </c>
      <c r="B41">
        <v>31</v>
      </c>
      <c r="C41">
        <v>59</v>
      </c>
      <c r="D41">
        <v>77</v>
      </c>
      <c r="E41">
        <v>92</v>
      </c>
      <c r="F41">
        <v>102</v>
      </c>
      <c r="G41">
        <v>102</v>
      </c>
    </row>
    <row r="42" spans="1:7" x14ac:dyDescent="0.25">
      <c r="A42" t="s">
        <v>45</v>
      </c>
      <c r="B42">
        <v>34</v>
      </c>
      <c r="C42">
        <v>51</v>
      </c>
      <c r="D42">
        <v>71</v>
      </c>
      <c r="E42">
        <v>91</v>
      </c>
      <c r="F42">
        <v>102</v>
      </c>
      <c r="G42">
        <v>102</v>
      </c>
    </row>
    <row r="43" spans="1:7" x14ac:dyDescent="0.25">
      <c r="A43" t="s">
        <v>46</v>
      </c>
      <c r="D43">
        <v>69</v>
      </c>
      <c r="E43">
        <v>82</v>
      </c>
      <c r="F43">
        <v>102</v>
      </c>
      <c r="G43">
        <v>102</v>
      </c>
    </row>
    <row r="44" spans="1:7" x14ac:dyDescent="0.25">
      <c r="A44" t="s">
        <v>47</v>
      </c>
      <c r="B44">
        <v>35</v>
      </c>
      <c r="C44">
        <v>55</v>
      </c>
      <c r="D44">
        <v>74</v>
      </c>
      <c r="E44">
        <v>90</v>
      </c>
      <c r="F44">
        <v>102</v>
      </c>
      <c r="G44">
        <v>102</v>
      </c>
    </row>
    <row r="45" spans="1:7" x14ac:dyDescent="0.25">
      <c r="A45" t="s">
        <v>48</v>
      </c>
      <c r="B45">
        <v>39</v>
      </c>
      <c r="C45">
        <v>52</v>
      </c>
      <c r="D45">
        <v>72</v>
      </c>
      <c r="E45">
        <v>85</v>
      </c>
      <c r="F45">
        <v>102</v>
      </c>
      <c r="G45">
        <v>102</v>
      </c>
    </row>
    <row r="46" spans="1:7" x14ac:dyDescent="0.25">
      <c r="A46" t="s">
        <v>49</v>
      </c>
      <c r="B46">
        <v>44</v>
      </c>
      <c r="C46">
        <v>62</v>
      </c>
      <c r="D46">
        <v>76</v>
      </c>
      <c r="E46">
        <v>90</v>
      </c>
      <c r="F46">
        <v>102</v>
      </c>
      <c r="G46">
        <v>102</v>
      </c>
    </row>
    <row r="47" spans="1:7" x14ac:dyDescent="0.25">
      <c r="A47" t="s">
        <v>50</v>
      </c>
      <c r="B47">
        <v>43</v>
      </c>
      <c r="C47">
        <v>55</v>
      </c>
      <c r="D47">
        <v>80</v>
      </c>
      <c r="E47">
        <v>98</v>
      </c>
      <c r="F47">
        <v>102</v>
      </c>
      <c r="G47">
        <v>102</v>
      </c>
    </row>
    <row r="48" spans="1:7" x14ac:dyDescent="0.25">
      <c r="A48" t="s">
        <v>51</v>
      </c>
      <c r="B48">
        <v>32</v>
      </c>
      <c r="C48">
        <v>53</v>
      </c>
      <c r="D48">
        <v>75</v>
      </c>
      <c r="E48">
        <v>96</v>
      </c>
      <c r="F48">
        <v>102</v>
      </c>
      <c r="G48">
        <v>102</v>
      </c>
    </row>
    <row r="49" spans="1:7" x14ac:dyDescent="0.25">
      <c r="A49" t="s">
        <v>52</v>
      </c>
      <c r="B49">
        <v>31</v>
      </c>
      <c r="C49">
        <v>48</v>
      </c>
      <c r="D49">
        <v>67</v>
      </c>
      <c r="E49">
        <v>92</v>
      </c>
      <c r="F49">
        <v>102</v>
      </c>
      <c r="G49">
        <v>102</v>
      </c>
    </row>
    <row r="50" spans="1:7" x14ac:dyDescent="0.25">
      <c r="A50" t="s">
        <v>53</v>
      </c>
      <c r="B50">
        <v>39</v>
      </c>
      <c r="C50">
        <v>56</v>
      </c>
      <c r="D50">
        <v>68</v>
      </c>
      <c r="E50">
        <v>86</v>
      </c>
      <c r="F50">
        <v>102</v>
      </c>
      <c r="G50">
        <v>102</v>
      </c>
    </row>
    <row r="51" spans="1:7" x14ac:dyDescent="0.25">
      <c r="A51" t="s">
        <v>54</v>
      </c>
      <c r="B51">
        <v>44</v>
      </c>
      <c r="C51">
        <v>62</v>
      </c>
      <c r="D51">
        <v>83</v>
      </c>
      <c r="E51">
        <v>102</v>
      </c>
      <c r="F51">
        <v>102</v>
      </c>
      <c r="G51">
        <v>102</v>
      </c>
    </row>
    <row r="52" spans="1:7" x14ac:dyDescent="0.25">
      <c r="A52" t="s">
        <v>55</v>
      </c>
      <c r="B52">
        <v>22</v>
      </c>
      <c r="C52">
        <v>47</v>
      </c>
      <c r="D52">
        <v>65</v>
      </c>
      <c r="E52">
        <v>82</v>
      </c>
      <c r="F52">
        <v>102</v>
      </c>
      <c r="G52">
        <v>102</v>
      </c>
    </row>
    <row r="53" spans="1:7" x14ac:dyDescent="0.25">
      <c r="A53" t="s">
        <v>56</v>
      </c>
      <c r="B53">
        <v>27</v>
      </c>
      <c r="C53">
        <v>45</v>
      </c>
      <c r="D53">
        <v>70</v>
      </c>
      <c r="E53">
        <v>102</v>
      </c>
      <c r="F53">
        <v>102</v>
      </c>
      <c r="G53">
        <v>102</v>
      </c>
    </row>
    <row r="54" spans="1:7" x14ac:dyDescent="0.25">
      <c r="A54" t="s">
        <v>57</v>
      </c>
      <c r="B54">
        <v>31</v>
      </c>
      <c r="C54">
        <v>47</v>
      </c>
      <c r="D54">
        <v>59</v>
      </c>
      <c r="E54">
        <v>94</v>
      </c>
      <c r="F54">
        <v>102</v>
      </c>
      <c r="G54">
        <v>102</v>
      </c>
    </row>
    <row r="55" spans="1:7" x14ac:dyDescent="0.25">
      <c r="A55" t="s">
        <v>58</v>
      </c>
      <c r="B55">
        <v>36</v>
      </c>
      <c r="C55">
        <v>53</v>
      </c>
      <c r="D55">
        <v>72</v>
      </c>
      <c r="E55">
        <v>86</v>
      </c>
      <c r="F55">
        <v>102</v>
      </c>
      <c r="G55">
        <v>102</v>
      </c>
    </row>
    <row r="56" spans="1:7" x14ac:dyDescent="0.25">
      <c r="A56" t="s">
        <v>59</v>
      </c>
      <c r="B56">
        <v>46</v>
      </c>
      <c r="C56">
        <v>42</v>
      </c>
      <c r="D56">
        <v>57</v>
      </c>
      <c r="E56">
        <v>89</v>
      </c>
      <c r="F56">
        <v>102</v>
      </c>
      <c r="G56">
        <v>102</v>
      </c>
    </row>
    <row r="57" spans="1:7" x14ac:dyDescent="0.25">
      <c r="A57" t="s">
        <v>60</v>
      </c>
      <c r="B57">
        <v>33</v>
      </c>
      <c r="C57">
        <v>44</v>
      </c>
      <c r="D57">
        <v>60</v>
      </c>
      <c r="E57">
        <v>84</v>
      </c>
      <c r="F57">
        <v>102</v>
      </c>
      <c r="G57">
        <v>102</v>
      </c>
    </row>
    <row r="58" spans="1:7" x14ac:dyDescent="0.25">
      <c r="A58" t="s">
        <v>61</v>
      </c>
      <c r="B58">
        <v>24</v>
      </c>
      <c r="C58">
        <v>28</v>
      </c>
      <c r="D58">
        <v>45</v>
      </c>
      <c r="E58">
        <v>55</v>
      </c>
      <c r="F58">
        <v>65</v>
      </c>
      <c r="G58">
        <v>102</v>
      </c>
    </row>
    <row r="59" spans="1:7" x14ac:dyDescent="0.25">
      <c r="A59" t="s">
        <v>62</v>
      </c>
      <c r="B59">
        <v>46</v>
      </c>
      <c r="C59">
        <v>59</v>
      </c>
      <c r="D59">
        <v>71</v>
      </c>
      <c r="E59">
        <v>77</v>
      </c>
      <c r="F59">
        <v>92</v>
      </c>
      <c r="G59">
        <v>102</v>
      </c>
    </row>
    <row r="60" spans="1:7" x14ac:dyDescent="0.25">
      <c r="A60" t="s">
        <v>63</v>
      </c>
      <c r="B60">
        <v>26</v>
      </c>
      <c r="C60">
        <v>51</v>
      </c>
      <c r="D60">
        <v>65</v>
      </c>
      <c r="E60">
        <v>68</v>
      </c>
      <c r="F60">
        <v>79</v>
      </c>
      <c r="G60">
        <v>97</v>
      </c>
    </row>
    <row r="61" spans="1:7" x14ac:dyDescent="0.25">
      <c r="A61" t="s">
        <v>64</v>
      </c>
      <c r="B61">
        <v>33</v>
      </c>
      <c r="C61">
        <v>44</v>
      </c>
      <c r="D61">
        <v>57</v>
      </c>
      <c r="E61">
        <v>72</v>
      </c>
      <c r="F61">
        <v>102</v>
      </c>
      <c r="G61">
        <v>102</v>
      </c>
    </row>
    <row r="62" spans="1:7" x14ac:dyDescent="0.25">
      <c r="A62" t="s">
        <v>65</v>
      </c>
      <c r="B62">
        <v>31</v>
      </c>
      <c r="C62">
        <v>51</v>
      </c>
      <c r="D62">
        <v>69</v>
      </c>
      <c r="E62">
        <v>95</v>
      </c>
      <c r="F62">
        <v>102</v>
      </c>
      <c r="G62">
        <v>102</v>
      </c>
    </row>
    <row r="63" spans="1:7" x14ac:dyDescent="0.25">
      <c r="A63" t="s">
        <v>66</v>
      </c>
      <c r="B63">
        <v>24</v>
      </c>
      <c r="C63">
        <v>37</v>
      </c>
      <c r="D63">
        <v>64</v>
      </c>
      <c r="E63">
        <v>87</v>
      </c>
      <c r="F63">
        <v>102</v>
      </c>
      <c r="G63">
        <v>102</v>
      </c>
    </row>
    <row r="64" spans="1:7" x14ac:dyDescent="0.25">
      <c r="A64" t="s">
        <v>67</v>
      </c>
      <c r="B64">
        <v>28</v>
      </c>
      <c r="C64">
        <v>47</v>
      </c>
      <c r="D64">
        <v>59</v>
      </c>
      <c r="E64">
        <v>78</v>
      </c>
      <c r="F64">
        <v>102</v>
      </c>
      <c r="G64">
        <v>102</v>
      </c>
    </row>
    <row r="65" spans="1:7" x14ac:dyDescent="0.25">
      <c r="A65" t="s">
        <v>68</v>
      </c>
      <c r="B65">
        <v>37</v>
      </c>
      <c r="C65">
        <v>46</v>
      </c>
      <c r="D65">
        <v>76</v>
      </c>
      <c r="E65">
        <v>98</v>
      </c>
      <c r="F65">
        <v>102</v>
      </c>
      <c r="G65">
        <v>102</v>
      </c>
    </row>
    <row r="66" spans="1:7" x14ac:dyDescent="0.25">
      <c r="A66" t="s">
        <v>69</v>
      </c>
      <c r="B66">
        <v>17</v>
      </c>
      <c r="C66">
        <v>36</v>
      </c>
      <c r="D66">
        <v>61</v>
      </c>
      <c r="E66">
        <v>95</v>
      </c>
      <c r="F66">
        <v>102</v>
      </c>
      <c r="G66">
        <v>102</v>
      </c>
    </row>
    <row r="67" spans="1:7" x14ac:dyDescent="0.25">
      <c r="A67" t="s">
        <v>70</v>
      </c>
      <c r="B67">
        <v>35</v>
      </c>
      <c r="C67">
        <v>51</v>
      </c>
      <c r="D67">
        <v>77</v>
      </c>
      <c r="E67">
        <v>102</v>
      </c>
      <c r="F67">
        <v>102</v>
      </c>
      <c r="G67">
        <v>102</v>
      </c>
    </row>
    <row r="68" spans="1:7" x14ac:dyDescent="0.25">
      <c r="A68" t="s">
        <v>71</v>
      </c>
      <c r="B68">
        <v>31</v>
      </c>
      <c r="C68">
        <v>50</v>
      </c>
      <c r="D68">
        <v>64</v>
      </c>
      <c r="E68">
        <v>79</v>
      </c>
      <c r="F68">
        <v>102</v>
      </c>
      <c r="G68">
        <v>102</v>
      </c>
    </row>
    <row r="69" spans="1:7" x14ac:dyDescent="0.25">
      <c r="A69" t="s">
        <v>72</v>
      </c>
      <c r="B69">
        <v>23</v>
      </c>
      <c r="C69">
        <v>41</v>
      </c>
      <c r="D69">
        <v>54</v>
      </c>
      <c r="E69">
        <v>59</v>
      </c>
      <c r="F69">
        <v>102</v>
      </c>
      <c r="G69">
        <v>102</v>
      </c>
    </row>
    <row r="70" spans="1:7" x14ac:dyDescent="0.25">
      <c r="A70" t="s">
        <v>73</v>
      </c>
      <c r="B70">
        <v>36</v>
      </c>
      <c r="C70">
        <v>56</v>
      </c>
      <c r="D70">
        <v>64</v>
      </c>
      <c r="E70">
        <v>75</v>
      </c>
      <c r="F70">
        <v>102</v>
      </c>
      <c r="G70">
        <v>102</v>
      </c>
    </row>
    <row r="71" spans="1:7" x14ac:dyDescent="0.25">
      <c r="A71" t="s">
        <v>74</v>
      </c>
      <c r="B71">
        <v>45</v>
      </c>
      <c r="C71">
        <v>57</v>
      </c>
      <c r="D71">
        <v>62</v>
      </c>
      <c r="E71">
        <v>77</v>
      </c>
      <c r="F71">
        <v>102</v>
      </c>
      <c r="G71">
        <v>102</v>
      </c>
    </row>
    <row r="72" spans="1:7" x14ac:dyDescent="0.25">
      <c r="A72" t="s">
        <v>75</v>
      </c>
      <c r="B72">
        <v>29</v>
      </c>
      <c r="C72">
        <v>37</v>
      </c>
      <c r="D72">
        <v>45</v>
      </c>
      <c r="E72">
        <v>51</v>
      </c>
      <c r="F72">
        <v>102</v>
      </c>
      <c r="G72">
        <v>102</v>
      </c>
    </row>
    <row r="73" spans="1:7" x14ac:dyDescent="0.25">
      <c r="A73" t="s">
        <v>76</v>
      </c>
      <c r="B73">
        <v>29</v>
      </c>
      <c r="C73">
        <v>44</v>
      </c>
      <c r="D73">
        <v>61</v>
      </c>
      <c r="E73">
        <v>72</v>
      </c>
      <c r="F73">
        <v>102</v>
      </c>
      <c r="G73">
        <v>102</v>
      </c>
    </row>
    <row r="74" spans="1:7" x14ac:dyDescent="0.25">
      <c r="A74" t="s">
        <v>77</v>
      </c>
      <c r="B74">
        <v>39</v>
      </c>
      <c r="C74">
        <v>38</v>
      </c>
      <c r="D74">
        <v>72</v>
      </c>
      <c r="E74">
        <v>88</v>
      </c>
      <c r="F74">
        <v>102</v>
      </c>
      <c r="G74">
        <v>102</v>
      </c>
    </row>
    <row r="75" spans="1:7" x14ac:dyDescent="0.25">
      <c r="A75" t="s">
        <v>78</v>
      </c>
      <c r="B75">
        <v>34</v>
      </c>
      <c r="C75">
        <v>49</v>
      </c>
      <c r="D75">
        <v>71</v>
      </c>
      <c r="E75">
        <v>93</v>
      </c>
      <c r="F75">
        <v>102</v>
      </c>
      <c r="G75">
        <v>102</v>
      </c>
    </row>
    <row r="76" spans="1:7" x14ac:dyDescent="0.25">
      <c r="A76" t="s">
        <v>79</v>
      </c>
      <c r="B76">
        <v>33</v>
      </c>
      <c r="C76">
        <v>52</v>
      </c>
      <c r="D76">
        <v>73</v>
      </c>
      <c r="E76">
        <v>101</v>
      </c>
      <c r="F76">
        <v>102</v>
      </c>
      <c r="G76">
        <v>102</v>
      </c>
    </row>
    <row r="77" spans="1:7" x14ac:dyDescent="0.25">
      <c r="A77" t="s">
        <v>80</v>
      </c>
      <c r="B77">
        <v>24</v>
      </c>
      <c r="C77">
        <v>37</v>
      </c>
      <c r="D77">
        <v>67</v>
      </c>
      <c r="E77">
        <v>96</v>
      </c>
      <c r="F77">
        <v>102</v>
      </c>
      <c r="G77">
        <v>102</v>
      </c>
    </row>
    <row r="78" spans="1:7" x14ac:dyDescent="0.25">
      <c r="A78" t="s">
        <v>81</v>
      </c>
      <c r="B78">
        <v>29</v>
      </c>
      <c r="C78">
        <v>47</v>
      </c>
      <c r="D78">
        <v>58</v>
      </c>
      <c r="E78">
        <v>69</v>
      </c>
      <c r="F78">
        <v>102</v>
      </c>
      <c r="G78">
        <v>102</v>
      </c>
    </row>
    <row r="79" spans="1:7" x14ac:dyDescent="0.25">
      <c r="A79" t="s">
        <v>82</v>
      </c>
      <c r="B79">
        <v>35</v>
      </c>
      <c r="C79">
        <v>46</v>
      </c>
      <c r="D79">
        <v>67</v>
      </c>
      <c r="E79">
        <v>86</v>
      </c>
      <c r="F79">
        <v>102</v>
      </c>
      <c r="G79">
        <v>102</v>
      </c>
    </row>
    <row r="80" spans="1:7" x14ac:dyDescent="0.25">
      <c r="A80" t="s">
        <v>83</v>
      </c>
      <c r="B80">
        <v>27</v>
      </c>
      <c r="C80">
        <v>50</v>
      </c>
      <c r="D80">
        <v>61</v>
      </c>
      <c r="E80">
        <v>83</v>
      </c>
      <c r="F80">
        <v>93</v>
      </c>
      <c r="G80">
        <v>102</v>
      </c>
    </row>
    <row r="81" spans="1:7" x14ac:dyDescent="0.25">
      <c r="A81" t="s">
        <v>84</v>
      </c>
      <c r="B81">
        <v>27</v>
      </c>
      <c r="C81">
        <v>38</v>
      </c>
      <c r="D81">
        <v>45</v>
      </c>
      <c r="E81">
        <v>60</v>
      </c>
      <c r="F81">
        <v>73</v>
      </c>
      <c r="G81">
        <v>102</v>
      </c>
    </row>
    <row r="82" spans="1:7" x14ac:dyDescent="0.25">
      <c r="A82" t="s">
        <v>85</v>
      </c>
      <c r="B82">
        <v>28</v>
      </c>
      <c r="C82">
        <v>50</v>
      </c>
      <c r="D82">
        <v>56</v>
      </c>
      <c r="E82">
        <v>61</v>
      </c>
      <c r="F82">
        <v>76</v>
      </c>
      <c r="G82">
        <v>102</v>
      </c>
    </row>
    <row r="83" spans="1:7" x14ac:dyDescent="0.25">
      <c r="A83" t="s">
        <v>86</v>
      </c>
      <c r="B83">
        <v>36</v>
      </c>
      <c r="C83">
        <v>39</v>
      </c>
      <c r="D83">
        <v>62</v>
      </c>
      <c r="E83">
        <v>90</v>
      </c>
      <c r="F83">
        <v>101</v>
      </c>
      <c r="G83">
        <v>102</v>
      </c>
    </row>
    <row r="84" spans="1:7" x14ac:dyDescent="0.25">
      <c r="A84" t="s">
        <v>87</v>
      </c>
      <c r="B84">
        <v>40</v>
      </c>
      <c r="C84">
        <v>55</v>
      </c>
      <c r="D84">
        <v>78</v>
      </c>
      <c r="E84">
        <v>88</v>
      </c>
      <c r="F84">
        <v>102</v>
      </c>
      <c r="G84">
        <v>102</v>
      </c>
    </row>
    <row r="85" spans="1:7" x14ac:dyDescent="0.25">
      <c r="A85" t="s">
        <v>88</v>
      </c>
      <c r="B85">
        <v>38</v>
      </c>
      <c r="C85">
        <v>64</v>
      </c>
      <c r="D85">
        <v>72</v>
      </c>
      <c r="E85">
        <v>83</v>
      </c>
      <c r="F85">
        <v>102</v>
      </c>
      <c r="G85">
        <v>102</v>
      </c>
    </row>
    <row r="86" spans="1:7" x14ac:dyDescent="0.25">
      <c r="A86" t="s">
        <v>89</v>
      </c>
      <c r="B86">
        <v>32</v>
      </c>
      <c r="C86">
        <v>43</v>
      </c>
      <c r="D86">
        <v>52</v>
      </c>
      <c r="E86">
        <v>68</v>
      </c>
      <c r="F86">
        <v>97</v>
      </c>
      <c r="G86">
        <v>102</v>
      </c>
    </row>
    <row r="87" spans="1:7" x14ac:dyDescent="0.25">
      <c r="A87" t="s">
        <v>90</v>
      </c>
      <c r="B87">
        <v>20</v>
      </c>
      <c r="C87">
        <v>45</v>
      </c>
      <c r="D87">
        <v>62</v>
      </c>
      <c r="E87">
        <v>84</v>
      </c>
      <c r="F87">
        <v>102</v>
      </c>
      <c r="G87">
        <v>102</v>
      </c>
    </row>
    <row r="88" spans="1:7" x14ac:dyDescent="0.25">
      <c r="A88" t="s">
        <v>91</v>
      </c>
      <c r="B88">
        <v>23</v>
      </c>
      <c r="C88">
        <v>39</v>
      </c>
      <c r="D88">
        <v>50</v>
      </c>
      <c r="E88">
        <v>51</v>
      </c>
      <c r="F88">
        <v>84</v>
      </c>
      <c r="G88">
        <v>102</v>
      </c>
    </row>
    <row r="89" spans="1:7" x14ac:dyDescent="0.25">
      <c r="A89" t="s">
        <v>92</v>
      </c>
      <c r="B89">
        <v>33</v>
      </c>
      <c r="C89">
        <v>41</v>
      </c>
      <c r="D89">
        <v>46</v>
      </c>
      <c r="E89">
        <v>46</v>
      </c>
      <c r="F89">
        <v>102</v>
      </c>
      <c r="G89">
        <v>102</v>
      </c>
    </row>
    <row r="90" spans="1:7" x14ac:dyDescent="0.25">
      <c r="A90" t="s">
        <v>93</v>
      </c>
      <c r="B90">
        <v>34</v>
      </c>
      <c r="C90">
        <v>60</v>
      </c>
      <c r="D90">
        <v>77</v>
      </c>
      <c r="E90">
        <v>98</v>
      </c>
      <c r="F90">
        <v>102</v>
      </c>
      <c r="G90">
        <v>102</v>
      </c>
    </row>
    <row r="91" spans="1:7" x14ac:dyDescent="0.25">
      <c r="A91" t="s">
        <v>94</v>
      </c>
      <c r="B91">
        <v>33</v>
      </c>
      <c r="C91">
        <v>53</v>
      </c>
      <c r="D91">
        <v>83</v>
      </c>
      <c r="E91">
        <v>102</v>
      </c>
      <c r="F91">
        <v>102</v>
      </c>
      <c r="G91">
        <v>102</v>
      </c>
    </row>
    <row r="92" spans="1:7" x14ac:dyDescent="0.25">
      <c r="A92" t="s">
        <v>95</v>
      </c>
      <c r="B92">
        <v>19</v>
      </c>
      <c r="C92">
        <v>37</v>
      </c>
      <c r="D92">
        <v>56</v>
      </c>
      <c r="E92">
        <v>68</v>
      </c>
      <c r="F92">
        <v>93</v>
      </c>
      <c r="G92">
        <v>102</v>
      </c>
    </row>
    <row r="93" spans="1:7" x14ac:dyDescent="0.25">
      <c r="A93" t="s">
        <v>96</v>
      </c>
      <c r="B93">
        <v>26</v>
      </c>
      <c r="C93">
        <v>37</v>
      </c>
      <c r="D93">
        <v>51</v>
      </c>
      <c r="E93">
        <v>58</v>
      </c>
      <c r="F93">
        <v>67</v>
      </c>
      <c r="G93">
        <v>102</v>
      </c>
    </row>
    <row r="94" spans="1:7" x14ac:dyDescent="0.25">
      <c r="A94" t="s">
        <v>97</v>
      </c>
      <c r="B94">
        <v>23</v>
      </c>
      <c r="C94">
        <v>44</v>
      </c>
      <c r="D94">
        <v>63</v>
      </c>
      <c r="E94">
        <v>81</v>
      </c>
      <c r="F94">
        <v>89</v>
      </c>
      <c r="G94">
        <v>102</v>
      </c>
    </row>
    <row r="95" spans="1:7" x14ac:dyDescent="0.25">
      <c r="A95" t="s">
        <v>98</v>
      </c>
      <c r="B95">
        <v>32</v>
      </c>
      <c r="C95">
        <v>33</v>
      </c>
      <c r="D95">
        <v>38</v>
      </c>
      <c r="E95">
        <v>71</v>
      </c>
      <c r="F95">
        <v>73</v>
      </c>
      <c r="G95">
        <v>102</v>
      </c>
    </row>
    <row r="96" spans="1:7" x14ac:dyDescent="0.25">
      <c r="A96" t="s">
        <v>99</v>
      </c>
      <c r="B96">
        <v>19</v>
      </c>
      <c r="C96">
        <v>31</v>
      </c>
      <c r="D96">
        <v>39</v>
      </c>
      <c r="E96">
        <v>52</v>
      </c>
      <c r="F96">
        <v>56</v>
      </c>
      <c r="G96">
        <v>102</v>
      </c>
    </row>
    <row r="97" spans="1:7" x14ac:dyDescent="0.25">
      <c r="A97" t="s">
        <v>100</v>
      </c>
      <c r="B97">
        <v>34</v>
      </c>
      <c r="C97">
        <v>35</v>
      </c>
      <c r="D97">
        <v>51</v>
      </c>
      <c r="E97">
        <v>55</v>
      </c>
      <c r="F97">
        <v>79</v>
      </c>
      <c r="G97">
        <v>102</v>
      </c>
    </row>
    <row r="98" spans="1:7" x14ac:dyDescent="0.25">
      <c r="A98" t="s">
        <v>101</v>
      </c>
      <c r="B98">
        <v>33</v>
      </c>
      <c r="C98">
        <v>42</v>
      </c>
      <c r="D98">
        <v>68</v>
      </c>
      <c r="E98">
        <v>83</v>
      </c>
      <c r="F98">
        <v>102</v>
      </c>
      <c r="G98">
        <v>102</v>
      </c>
    </row>
    <row r="99" spans="1:7" x14ac:dyDescent="0.25">
      <c r="A99" t="s">
        <v>102</v>
      </c>
      <c r="B99">
        <v>30</v>
      </c>
      <c r="C99">
        <v>45</v>
      </c>
      <c r="D99">
        <v>68</v>
      </c>
      <c r="E99">
        <v>85</v>
      </c>
      <c r="F99">
        <v>102</v>
      </c>
      <c r="G99">
        <v>102</v>
      </c>
    </row>
    <row r="100" spans="1:7" x14ac:dyDescent="0.25">
      <c r="A100" t="s">
        <v>103</v>
      </c>
      <c r="B100">
        <v>31</v>
      </c>
      <c r="C100">
        <v>40</v>
      </c>
      <c r="D100">
        <v>68</v>
      </c>
      <c r="E100">
        <v>97</v>
      </c>
      <c r="F100">
        <v>102</v>
      </c>
      <c r="G100">
        <v>102</v>
      </c>
    </row>
    <row r="101" spans="1:7" x14ac:dyDescent="0.25">
      <c r="A101" t="s">
        <v>104</v>
      </c>
      <c r="B101">
        <v>26</v>
      </c>
      <c r="C101">
        <v>46</v>
      </c>
      <c r="D101">
        <v>70</v>
      </c>
      <c r="E101">
        <v>86</v>
      </c>
      <c r="F101">
        <v>102</v>
      </c>
      <c r="G101">
        <v>102</v>
      </c>
    </row>
    <row r="102" spans="1:7" x14ac:dyDescent="0.25">
      <c r="A102" t="s">
        <v>105</v>
      </c>
      <c r="B102">
        <v>39</v>
      </c>
      <c r="C102">
        <v>52</v>
      </c>
      <c r="D102">
        <v>73</v>
      </c>
      <c r="E102">
        <v>100</v>
      </c>
      <c r="F102">
        <v>102</v>
      </c>
      <c r="G102">
        <v>102</v>
      </c>
    </row>
    <row r="103" spans="1:7" x14ac:dyDescent="0.25">
      <c r="A103" t="s">
        <v>106</v>
      </c>
      <c r="B103">
        <v>29</v>
      </c>
      <c r="C103">
        <v>53</v>
      </c>
      <c r="D103">
        <v>74</v>
      </c>
      <c r="E103">
        <v>85</v>
      </c>
      <c r="F103">
        <v>102</v>
      </c>
      <c r="G103">
        <v>102</v>
      </c>
    </row>
    <row r="104" spans="1:7" x14ac:dyDescent="0.25">
      <c r="A104" t="s">
        <v>107</v>
      </c>
      <c r="B104">
        <v>32</v>
      </c>
      <c r="C104">
        <v>52</v>
      </c>
      <c r="D104">
        <v>71</v>
      </c>
      <c r="E104">
        <v>89</v>
      </c>
      <c r="F104">
        <v>102</v>
      </c>
      <c r="G104">
        <v>102</v>
      </c>
    </row>
    <row r="105" spans="1:7" x14ac:dyDescent="0.25">
      <c r="A105" t="s">
        <v>108</v>
      </c>
      <c r="B105">
        <v>30</v>
      </c>
      <c r="C105">
        <v>41</v>
      </c>
      <c r="D105">
        <v>68</v>
      </c>
      <c r="E105">
        <v>75</v>
      </c>
      <c r="F105">
        <v>102</v>
      </c>
      <c r="G105">
        <v>102</v>
      </c>
    </row>
    <row r="106" spans="1:7" x14ac:dyDescent="0.25">
      <c r="A106" t="s">
        <v>109</v>
      </c>
      <c r="B106">
        <v>31</v>
      </c>
      <c r="C106">
        <v>47</v>
      </c>
      <c r="D106">
        <v>67</v>
      </c>
      <c r="E106">
        <v>94</v>
      </c>
      <c r="F106">
        <v>102</v>
      </c>
      <c r="G106">
        <v>102</v>
      </c>
    </row>
    <row r="107" spans="1:7" x14ac:dyDescent="0.25">
      <c r="A107" t="s">
        <v>110</v>
      </c>
      <c r="B107">
        <v>37</v>
      </c>
      <c r="C107">
        <v>52</v>
      </c>
      <c r="D107">
        <v>69</v>
      </c>
      <c r="E107">
        <v>92</v>
      </c>
      <c r="F107">
        <v>102</v>
      </c>
      <c r="G107">
        <v>102</v>
      </c>
    </row>
    <row r="108" spans="1:7" x14ac:dyDescent="0.25">
      <c r="A108" t="s">
        <v>111</v>
      </c>
      <c r="B108">
        <v>34</v>
      </c>
      <c r="C108">
        <v>46</v>
      </c>
      <c r="D108">
        <v>65</v>
      </c>
      <c r="E108">
        <v>79</v>
      </c>
      <c r="F108">
        <v>102</v>
      </c>
      <c r="G108">
        <v>102</v>
      </c>
    </row>
    <row r="109" spans="1:7" x14ac:dyDescent="0.25">
      <c r="A109" t="s">
        <v>112</v>
      </c>
      <c r="B109">
        <v>35</v>
      </c>
      <c r="C109">
        <v>55</v>
      </c>
      <c r="D109">
        <v>78</v>
      </c>
      <c r="E109">
        <v>96</v>
      </c>
      <c r="F109">
        <v>102</v>
      </c>
      <c r="G109">
        <v>102</v>
      </c>
    </row>
    <row r="110" spans="1:7" x14ac:dyDescent="0.25">
      <c r="A110" t="s">
        <v>113</v>
      </c>
      <c r="B110">
        <v>42</v>
      </c>
      <c r="C110">
        <v>63</v>
      </c>
      <c r="D110">
        <v>82</v>
      </c>
      <c r="E110">
        <v>102</v>
      </c>
      <c r="F110">
        <v>102</v>
      </c>
      <c r="G110">
        <v>102</v>
      </c>
    </row>
    <row r="111" spans="1:7" x14ac:dyDescent="0.25">
      <c r="A111" t="s">
        <v>114</v>
      </c>
      <c r="B111">
        <v>28</v>
      </c>
      <c r="C111">
        <v>42</v>
      </c>
      <c r="D111">
        <v>69</v>
      </c>
      <c r="E111">
        <v>86</v>
      </c>
      <c r="F111">
        <v>102</v>
      </c>
      <c r="G111">
        <v>102</v>
      </c>
    </row>
    <row r="112" spans="1:7" x14ac:dyDescent="0.25">
      <c r="A112" t="s">
        <v>115</v>
      </c>
      <c r="B112">
        <v>37</v>
      </c>
      <c r="C112">
        <v>58</v>
      </c>
      <c r="D112">
        <v>76</v>
      </c>
      <c r="E112">
        <v>90</v>
      </c>
      <c r="F112">
        <v>102</v>
      </c>
      <c r="G112">
        <v>102</v>
      </c>
    </row>
    <row r="113" spans="1:7" x14ac:dyDescent="0.25">
      <c r="A113" t="s">
        <v>116</v>
      </c>
      <c r="B113">
        <v>29</v>
      </c>
      <c r="C113">
        <v>46</v>
      </c>
      <c r="D113">
        <v>66</v>
      </c>
      <c r="E113">
        <v>76</v>
      </c>
      <c r="F113">
        <v>102</v>
      </c>
      <c r="G113">
        <v>102</v>
      </c>
    </row>
    <row r="114" spans="1:7" x14ac:dyDescent="0.25">
      <c r="A114" t="s">
        <v>117</v>
      </c>
      <c r="B114">
        <v>34</v>
      </c>
      <c r="C114">
        <v>51</v>
      </c>
      <c r="D114">
        <v>64</v>
      </c>
      <c r="E114">
        <v>78</v>
      </c>
      <c r="F114">
        <v>102</v>
      </c>
      <c r="G114">
        <v>102</v>
      </c>
    </row>
    <row r="115" spans="1:7" x14ac:dyDescent="0.25">
      <c r="A115" t="s">
        <v>118</v>
      </c>
      <c r="B115">
        <v>32</v>
      </c>
      <c r="C115">
        <v>47</v>
      </c>
      <c r="D115">
        <v>64</v>
      </c>
      <c r="E115">
        <v>94</v>
      </c>
      <c r="F115">
        <v>102</v>
      </c>
      <c r="G115">
        <v>102</v>
      </c>
    </row>
    <row r="116" spans="1:7" x14ac:dyDescent="0.25">
      <c r="A116" t="s">
        <v>119</v>
      </c>
      <c r="B116">
        <v>27</v>
      </c>
      <c r="C116">
        <v>43</v>
      </c>
      <c r="D116">
        <v>70</v>
      </c>
      <c r="E116">
        <v>85</v>
      </c>
      <c r="F116">
        <v>102</v>
      </c>
      <c r="G116">
        <v>102</v>
      </c>
    </row>
    <row r="117" spans="1:7" x14ac:dyDescent="0.25">
      <c r="A117" t="s">
        <v>120</v>
      </c>
      <c r="B117">
        <v>34</v>
      </c>
      <c r="C117">
        <v>41</v>
      </c>
      <c r="D117">
        <v>71</v>
      </c>
      <c r="E117">
        <v>88</v>
      </c>
      <c r="F117">
        <v>102</v>
      </c>
      <c r="G117">
        <v>102</v>
      </c>
    </row>
    <row r="118" spans="1:7" x14ac:dyDescent="0.25">
      <c r="A118" t="s">
        <v>121</v>
      </c>
      <c r="B118">
        <v>30</v>
      </c>
      <c r="C118">
        <v>39</v>
      </c>
      <c r="D118">
        <v>57</v>
      </c>
      <c r="E118">
        <v>82</v>
      </c>
      <c r="F118">
        <v>102</v>
      </c>
      <c r="G118">
        <v>102</v>
      </c>
    </row>
    <row r="119" spans="1:7" x14ac:dyDescent="0.25">
      <c r="A119" t="s">
        <v>122</v>
      </c>
      <c r="B119">
        <v>23</v>
      </c>
      <c r="C119">
        <v>56</v>
      </c>
      <c r="D119">
        <v>80</v>
      </c>
      <c r="E119">
        <v>97</v>
      </c>
      <c r="F119">
        <v>102</v>
      </c>
      <c r="G119">
        <v>102</v>
      </c>
    </row>
    <row r="120" spans="1:7" x14ac:dyDescent="0.25">
      <c r="A120" t="s">
        <v>123</v>
      </c>
      <c r="B120">
        <v>26</v>
      </c>
      <c r="C120">
        <v>45</v>
      </c>
      <c r="D120">
        <v>65</v>
      </c>
      <c r="E120">
        <v>86</v>
      </c>
      <c r="F120">
        <v>102</v>
      </c>
      <c r="G120">
        <v>102</v>
      </c>
    </row>
    <row r="121" spans="1:7" x14ac:dyDescent="0.25">
      <c r="A121" t="s">
        <v>124</v>
      </c>
      <c r="B121">
        <v>29</v>
      </c>
      <c r="C121">
        <v>38</v>
      </c>
      <c r="D121">
        <v>60</v>
      </c>
      <c r="E121">
        <v>83</v>
      </c>
      <c r="F121">
        <v>102</v>
      </c>
      <c r="G121">
        <v>102</v>
      </c>
    </row>
    <row r="122" spans="1:7" x14ac:dyDescent="0.25">
      <c r="A122" t="s">
        <v>125</v>
      </c>
      <c r="B122">
        <v>30</v>
      </c>
      <c r="C122">
        <v>34</v>
      </c>
      <c r="D122">
        <v>57</v>
      </c>
      <c r="E122">
        <v>81</v>
      </c>
      <c r="F122">
        <v>93</v>
      </c>
      <c r="G122">
        <v>102</v>
      </c>
    </row>
    <row r="123" spans="1:7" x14ac:dyDescent="0.25">
      <c r="A123" t="s">
        <v>126</v>
      </c>
      <c r="B123">
        <v>13</v>
      </c>
      <c r="C123">
        <v>33</v>
      </c>
      <c r="D123">
        <v>49</v>
      </c>
      <c r="E123">
        <v>71</v>
      </c>
      <c r="F123">
        <v>94</v>
      </c>
      <c r="G123">
        <v>102</v>
      </c>
    </row>
    <row r="124" spans="1:7" x14ac:dyDescent="0.25">
      <c r="A124" t="s">
        <v>127</v>
      </c>
      <c r="B124">
        <v>24</v>
      </c>
      <c r="C124">
        <v>32</v>
      </c>
      <c r="D124">
        <v>56</v>
      </c>
      <c r="E124">
        <v>74</v>
      </c>
      <c r="F124">
        <v>102</v>
      </c>
      <c r="G124">
        <v>102</v>
      </c>
    </row>
    <row r="125" spans="1:7" x14ac:dyDescent="0.25">
      <c r="A125" t="s">
        <v>128</v>
      </c>
      <c r="B125">
        <v>28</v>
      </c>
      <c r="C125">
        <v>37</v>
      </c>
      <c r="D125">
        <v>65</v>
      </c>
      <c r="E125">
        <v>69</v>
      </c>
      <c r="F125">
        <v>102</v>
      </c>
      <c r="G125">
        <v>102</v>
      </c>
    </row>
    <row r="126" spans="1:7" x14ac:dyDescent="0.25">
      <c r="A126" t="s">
        <v>129</v>
      </c>
      <c r="B126">
        <v>32</v>
      </c>
      <c r="C126">
        <v>46</v>
      </c>
      <c r="D126">
        <v>73</v>
      </c>
      <c r="E126">
        <v>83</v>
      </c>
      <c r="F126">
        <v>102</v>
      </c>
      <c r="G126">
        <v>102</v>
      </c>
    </row>
    <row r="127" spans="1:7" x14ac:dyDescent="0.25">
      <c r="A127" t="s">
        <v>130</v>
      </c>
      <c r="B127">
        <v>27</v>
      </c>
      <c r="C127">
        <v>34</v>
      </c>
      <c r="D127">
        <v>42</v>
      </c>
      <c r="E127">
        <v>52</v>
      </c>
      <c r="F127">
        <v>102</v>
      </c>
      <c r="G127">
        <v>102</v>
      </c>
    </row>
    <row r="128" spans="1:7" x14ac:dyDescent="0.25">
      <c r="A128" t="s">
        <v>131</v>
      </c>
      <c r="B128">
        <v>28</v>
      </c>
      <c r="C128">
        <v>43</v>
      </c>
      <c r="D128">
        <v>77</v>
      </c>
      <c r="E128">
        <v>98</v>
      </c>
      <c r="F128">
        <v>102</v>
      </c>
      <c r="G128">
        <v>102</v>
      </c>
    </row>
    <row r="129" spans="1:7" x14ac:dyDescent="0.25">
      <c r="A129" t="s">
        <v>132</v>
      </c>
      <c r="B129">
        <v>29</v>
      </c>
      <c r="C129">
        <v>47</v>
      </c>
      <c r="D129">
        <v>65</v>
      </c>
      <c r="E129">
        <v>74</v>
      </c>
      <c r="F129">
        <v>102</v>
      </c>
      <c r="G129">
        <v>102</v>
      </c>
    </row>
    <row r="130" spans="1:7" x14ac:dyDescent="0.25">
      <c r="A130" t="s">
        <v>133</v>
      </c>
      <c r="B130">
        <v>32</v>
      </c>
      <c r="C130">
        <v>37</v>
      </c>
      <c r="D130">
        <v>74</v>
      </c>
      <c r="E130">
        <v>83</v>
      </c>
      <c r="F130">
        <v>102</v>
      </c>
      <c r="G130">
        <v>102</v>
      </c>
    </row>
    <row r="131" spans="1:7" x14ac:dyDescent="0.25">
      <c r="A131" t="s">
        <v>134</v>
      </c>
      <c r="B131">
        <v>11</v>
      </c>
      <c r="C131">
        <v>51</v>
      </c>
      <c r="D131">
        <v>54</v>
      </c>
      <c r="E131">
        <v>74</v>
      </c>
      <c r="F131">
        <v>96</v>
      </c>
      <c r="G131">
        <v>102</v>
      </c>
    </row>
    <row r="132" spans="1:7" x14ac:dyDescent="0.25">
      <c r="A132" t="s">
        <v>135</v>
      </c>
      <c r="B132">
        <v>36</v>
      </c>
      <c r="C132">
        <v>42</v>
      </c>
      <c r="D132">
        <v>66</v>
      </c>
      <c r="E132">
        <v>79</v>
      </c>
      <c r="F132">
        <v>102</v>
      </c>
      <c r="G132">
        <v>102</v>
      </c>
    </row>
    <row r="133" spans="1:7" x14ac:dyDescent="0.25">
      <c r="A133" t="s">
        <v>136</v>
      </c>
      <c r="B133">
        <v>33</v>
      </c>
      <c r="C133">
        <v>49</v>
      </c>
      <c r="D133">
        <v>89</v>
      </c>
      <c r="E133">
        <v>102</v>
      </c>
      <c r="F133">
        <v>102</v>
      </c>
      <c r="G133">
        <v>102</v>
      </c>
    </row>
    <row r="134" spans="1:7" x14ac:dyDescent="0.25">
      <c r="A134" t="s">
        <v>137</v>
      </c>
      <c r="B134">
        <v>29</v>
      </c>
      <c r="C134">
        <v>41</v>
      </c>
      <c r="D134">
        <v>59</v>
      </c>
      <c r="E134">
        <v>74</v>
      </c>
      <c r="F134">
        <v>102</v>
      </c>
      <c r="G134">
        <v>102</v>
      </c>
    </row>
    <row r="135" spans="1:7" x14ac:dyDescent="0.25">
      <c r="A135" t="s">
        <v>138</v>
      </c>
      <c r="B135">
        <v>47</v>
      </c>
      <c r="C135">
        <v>51</v>
      </c>
      <c r="D135">
        <v>68</v>
      </c>
      <c r="E135">
        <v>86</v>
      </c>
      <c r="F135">
        <v>102</v>
      </c>
      <c r="G135">
        <v>102</v>
      </c>
    </row>
    <row r="136" spans="1:7" x14ac:dyDescent="0.25">
      <c r="A136" t="s">
        <v>139</v>
      </c>
      <c r="B136">
        <v>32</v>
      </c>
      <c r="C136">
        <v>44</v>
      </c>
      <c r="D136">
        <v>58</v>
      </c>
      <c r="E136">
        <v>75</v>
      </c>
      <c r="F136">
        <v>102</v>
      </c>
      <c r="G136">
        <v>102</v>
      </c>
    </row>
    <row r="137" spans="1:7" x14ac:dyDescent="0.25">
      <c r="A137" t="s">
        <v>140</v>
      </c>
      <c r="B137">
        <v>43</v>
      </c>
      <c r="C137">
        <v>58</v>
      </c>
      <c r="D137">
        <v>69</v>
      </c>
      <c r="E137">
        <v>82</v>
      </c>
      <c r="F137">
        <v>102</v>
      </c>
      <c r="G137">
        <v>102</v>
      </c>
    </row>
    <row r="138" spans="1:7" x14ac:dyDescent="0.25">
      <c r="A138" t="s">
        <v>141</v>
      </c>
      <c r="B138">
        <v>33</v>
      </c>
      <c r="C138">
        <v>56</v>
      </c>
      <c r="D138">
        <v>74</v>
      </c>
      <c r="E138">
        <v>87</v>
      </c>
      <c r="F138">
        <v>102</v>
      </c>
      <c r="G138">
        <v>102</v>
      </c>
    </row>
    <row r="139" spans="1:7" x14ac:dyDescent="0.25">
      <c r="A139" t="s">
        <v>142</v>
      </c>
      <c r="B139">
        <v>30</v>
      </c>
      <c r="C139">
        <v>49</v>
      </c>
      <c r="D139">
        <v>60</v>
      </c>
      <c r="E139">
        <v>82</v>
      </c>
      <c r="F139">
        <v>102</v>
      </c>
      <c r="G139">
        <v>102</v>
      </c>
    </row>
    <row r="140" spans="1:7" x14ac:dyDescent="0.25">
      <c r="A140" t="s">
        <v>143</v>
      </c>
      <c r="B140">
        <v>23</v>
      </c>
      <c r="C140">
        <v>36</v>
      </c>
      <c r="D140">
        <v>57</v>
      </c>
      <c r="E140">
        <v>73</v>
      </c>
      <c r="F140">
        <v>102</v>
      </c>
      <c r="G140">
        <v>102</v>
      </c>
    </row>
    <row r="141" spans="1:7" x14ac:dyDescent="0.25">
      <c r="A141" t="s">
        <v>144</v>
      </c>
      <c r="B141">
        <v>27</v>
      </c>
      <c r="C141">
        <v>51</v>
      </c>
      <c r="D141">
        <v>74</v>
      </c>
      <c r="E141">
        <v>98</v>
      </c>
      <c r="F141">
        <v>102</v>
      </c>
      <c r="G141">
        <v>102</v>
      </c>
    </row>
    <row r="142" spans="1:7" x14ac:dyDescent="0.25">
      <c r="A142" t="s">
        <v>145</v>
      </c>
      <c r="B142">
        <v>24</v>
      </c>
      <c r="C142">
        <v>39</v>
      </c>
      <c r="D142">
        <v>52</v>
      </c>
      <c r="E142">
        <v>73</v>
      </c>
      <c r="F142">
        <v>102</v>
      </c>
      <c r="G142">
        <v>102</v>
      </c>
    </row>
    <row r="143" spans="1:7" x14ac:dyDescent="0.25">
      <c r="A143" t="s">
        <v>146</v>
      </c>
      <c r="B143">
        <v>22</v>
      </c>
      <c r="C143">
        <v>34</v>
      </c>
      <c r="D143">
        <v>57</v>
      </c>
      <c r="E143">
        <v>93</v>
      </c>
      <c r="F143">
        <v>102</v>
      </c>
      <c r="G143">
        <v>102</v>
      </c>
    </row>
    <row r="144" spans="1:7" x14ac:dyDescent="0.25">
      <c r="A144" t="s">
        <v>147</v>
      </c>
      <c r="B144">
        <v>22</v>
      </c>
      <c r="C144">
        <v>43</v>
      </c>
      <c r="D144">
        <v>62</v>
      </c>
      <c r="E144">
        <v>71</v>
      </c>
      <c r="F144">
        <v>77</v>
      </c>
      <c r="G144">
        <v>102</v>
      </c>
    </row>
    <row r="145" spans="1:7" x14ac:dyDescent="0.25">
      <c r="A145" t="s">
        <v>148</v>
      </c>
      <c r="B145">
        <v>25</v>
      </c>
      <c r="C145">
        <v>53</v>
      </c>
      <c r="D145">
        <v>72</v>
      </c>
      <c r="E145">
        <v>99</v>
      </c>
      <c r="F145">
        <v>102</v>
      </c>
      <c r="G145">
        <v>102</v>
      </c>
    </row>
    <row r="146" spans="1:7" x14ac:dyDescent="0.25">
      <c r="A146" t="s">
        <v>149</v>
      </c>
      <c r="B146">
        <v>21</v>
      </c>
      <c r="C146">
        <v>43</v>
      </c>
      <c r="D146">
        <v>62</v>
      </c>
      <c r="E146">
        <v>86</v>
      </c>
      <c r="F146">
        <v>101</v>
      </c>
      <c r="G146">
        <v>102</v>
      </c>
    </row>
    <row r="147" spans="1:7" x14ac:dyDescent="0.25">
      <c r="A147" t="s">
        <v>150</v>
      </c>
      <c r="B147">
        <v>16</v>
      </c>
      <c r="C147">
        <v>39</v>
      </c>
      <c r="D147">
        <v>55</v>
      </c>
      <c r="E147">
        <v>67</v>
      </c>
      <c r="F147">
        <v>102</v>
      </c>
      <c r="G147">
        <v>102</v>
      </c>
    </row>
    <row r="148" spans="1:7" x14ac:dyDescent="0.25">
      <c r="A148" t="s">
        <v>151</v>
      </c>
      <c r="B148">
        <v>18</v>
      </c>
      <c r="C148">
        <v>30</v>
      </c>
      <c r="D148">
        <v>46</v>
      </c>
      <c r="E148">
        <v>81</v>
      </c>
      <c r="F148">
        <v>102</v>
      </c>
      <c r="G148">
        <v>102</v>
      </c>
    </row>
    <row r="149" spans="1:7" x14ac:dyDescent="0.25">
      <c r="A149" t="s">
        <v>152</v>
      </c>
      <c r="B149">
        <v>27</v>
      </c>
      <c r="C149">
        <v>21</v>
      </c>
      <c r="D149">
        <v>38</v>
      </c>
      <c r="E149">
        <v>48</v>
      </c>
      <c r="F149">
        <v>76</v>
      </c>
      <c r="G149">
        <v>102</v>
      </c>
    </row>
    <row r="150" spans="1:7" x14ac:dyDescent="0.25">
      <c r="A150" t="s">
        <v>153</v>
      </c>
      <c r="B150">
        <v>22</v>
      </c>
      <c r="C150">
        <v>36</v>
      </c>
      <c r="D150">
        <v>61</v>
      </c>
      <c r="E150">
        <v>79</v>
      </c>
      <c r="F150">
        <v>102</v>
      </c>
      <c r="G150">
        <v>102</v>
      </c>
    </row>
    <row r="151" spans="1:7" x14ac:dyDescent="0.25">
      <c r="A151" t="s">
        <v>154</v>
      </c>
      <c r="B151">
        <v>23</v>
      </c>
      <c r="C151">
        <v>31</v>
      </c>
      <c r="D151">
        <v>55</v>
      </c>
      <c r="E151">
        <v>81</v>
      </c>
      <c r="F151">
        <v>97</v>
      </c>
      <c r="G151">
        <v>102</v>
      </c>
    </row>
    <row r="152" spans="1:7" x14ac:dyDescent="0.25">
      <c r="A152" t="s">
        <v>155</v>
      </c>
      <c r="B152">
        <v>34</v>
      </c>
      <c r="C152">
        <v>41</v>
      </c>
      <c r="D152">
        <v>67</v>
      </c>
      <c r="E152">
        <v>96</v>
      </c>
      <c r="F152">
        <v>102</v>
      </c>
      <c r="G152">
        <v>102</v>
      </c>
    </row>
    <row r="153" spans="1:7" x14ac:dyDescent="0.25">
      <c r="A153" t="s">
        <v>156</v>
      </c>
      <c r="B153">
        <v>23</v>
      </c>
      <c r="C153">
        <v>38</v>
      </c>
      <c r="D153">
        <v>51</v>
      </c>
      <c r="E153">
        <v>69</v>
      </c>
      <c r="F153">
        <v>102</v>
      </c>
      <c r="G153">
        <v>102</v>
      </c>
    </row>
    <row r="154" spans="1:7" x14ac:dyDescent="0.25">
      <c r="A154" t="s">
        <v>157</v>
      </c>
      <c r="B154">
        <v>20</v>
      </c>
      <c r="C154">
        <v>37</v>
      </c>
      <c r="D154">
        <v>50</v>
      </c>
      <c r="E154">
        <v>65</v>
      </c>
      <c r="F154">
        <v>102</v>
      </c>
      <c r="G154">
        <v>102</v>
      </c>
    </row>
    <row r="155" spans="1:7" x14ac:dyDescent="0.25">
      <c r="A155" t="s">
        <v>158</v>
      </c>
      <c r="B155">
        <v>28</v>
      </c>
      <c r="C155">
        <v>46</v>
      </c>
      <c r="D155">
        <v>63</v>
      </c>
      <c r="E155">
        <v>83</v>
      </c>
      <c r="F155">
        <v>102</v>
      </c>
      <c r="G155">
        <v>102</v>
      </c>
    </row>
    <row r="156" spans="1:7" x14ac:dyDescent="0.25">
      <c r="A156" t="s">
        <v>159</v>
      </c>
      <c r="B156">
        <v>33</v>
      </c>
      <c r="C156">
        <v>37</v>
      </c>
      <c r="D156">
        <v>54</v>
      </c>
      <c r="E156">
        <v>66</v>
      </c>
      <c r="F156">
        <v>87</v>
      </c>
      <c r="G156">
        <v>102</v>
      </c>
    </row>
    <row r="157" spans="1:7" x14ac:dyDescent="0.25">
      <c r="A157" t="s">
        <v>160</v>
      </c>
      <c r="B157">
        <v>34</v>
      </c>
      <c r="C157">
        <v>60</v>
      </c>
      <c r="D157">
        <v>73</v>
      </c>
      <c r="E157">
        <v>90</v>
      </c>
      <c r="F157">
        <v>102</v>
      </c>
      <c r="G157">
        <v>102</v>
      </c>
    </row>
    <row r="158" spans="1:7" x14ac:dyDescent="0.25">
      <c r="A158" t="s">
        <v>161</v>
      </c>
      <c r="B158">
        <v>33</v>
      </c>
      <c r="C158">
        <v>39</v>
      </c>
      <c r="D158">
        <v>57</v>
      </c>
      <c r="E158">
        <v>48</v>
      </c>
      <c r="F158">
        <v>102</v>
      </c>
      <c r="G158">
        <v>102</v>
      </c>
    </row>
    <row r="159" spans="1:7" x14ac:dyDescent="0.25">
      <c r="A159" t="s">
        <v>162</v>
      </c>
      <c r="B159">
        <v>32</v>
      </c>
      <c r="C159">
        <v>53</v>
      </c>
      <c r="D159">
        <v>75</v>
      </c>
      <c r="E159">
        <v>98</v>
      </c>
      <c r="F159">
        <v>102</v>
      </c>
      <c r="G159">
        <v>102</v>
      </c>
    </row>
    <row r="160" spans="1:7" x14ac:dyDescent="0.25">
      <c r="A160" t="s">
        <v>163</v>
      </c>
      <c r="B160">
        <v>15</v>
      </c>
      <c r="C160">
        <v>23</v>
      </c>
      <c r="D160">
        <v>52</v>
      </c>
      <c r="E160">
        <v>75</v>
      </c>
      <c r="F160">
        <v>90</v>
      </c>
      <c r="G160">
        <v>102</v>
      </c>
    </row>
    <row r="161" spans="1:7" x14ac:dyDescent="0.25">
      <c r="A161" t="s">
        <v>164</v>
      </c>
      <c r="B161">
        <v>24</v>
      </c>
      <c r="C161">
        <v>39</v>
      </c>
      <c r="D161">
        <v>54</v>
      </c>
      <c r="E161">
        <v>67</v>
      </c>
      <c r="F161">
        <v>83</v>
      </c>
      <c r="G161">
        <v>89</v>
      </c>
    </row>
    <row r="162" spans="1:7" x14ac:dyDescent="0.25">
      <c r="A162" t="s">
        <v>165</v>
      </c>
      <c r="B162">
        <v>18</v>
      </c>
      <c r="C162">
        <v>31</v>
      </c>
      <c r="D162">
        <v>48</v>
      </c>
      <c r="E162">
        <v>61</v>
      </c>
      <c r="F162">
        <v>76</v>
      </c>
      <c r="G162">
        <v>69</v>
      </c>
    </row>
    <row r="163" spans="1:7" x14ac:dyDescent="0.25">
      <c r="A163" t="s">
        <v>166</v>
      </c>
      <c r="B163">
        <v>22</v>
      </c>
      <c r="C163">
        <v>29</v>
      </c>
      <c r="D163">
        <v>50</v>
      </c>
      <c r="E163">
        <v>62</v>
      </c>
      <c r="F163">
        <v>84</v>
      </c>
      <c r="G163">
        <v>79</v>
      </c>
    </row>
    <row r="164" spans="1:7" x14ac:dyDescent="0.25">
      <c r="A164" t="s">
        <v>167</v>
      </c>
      <c r="B164">
        <v>33</v>
      </c>
      <c r="C164">
        <v>55</v>
      </c>
      <c r="D164">
        <v>74</v>
      </c>
      <c r="E164">
        <v>95</v>
      </c>
      <c r="F164">
        <v>102</v>
      </c>
      <c r="G164">
        <v>102</v>
      </c>
    </row>
    <row r="165" spans="1:7" x14ac:dyDescent="0.25">
      <c r="A165" t="s">
        <v>168</v>
      </c>
      <c r="B165">
        <v>29</v>
      </c>
      <c r="C165">
        <v>39</v>
      </c>
      <c r="D165">
        <v>56</v>
      </c>
      <c r="E165">
        <v>83</v>
      </c>
      <c r="F165">
        <v>102</v>
      </c>
      <c r="G165">
        <v>102</v>
      </c>
    </row>
    <row r="166" spans="1:7" x14ac:dyDescent="0.25">
      <c r="A166" t="s">
        <v>169</v>
      </c>
      <c r="B166">
        <v>28</v>
      </c>
      <c r="C166">
        <v>44</v>
      </c>
      <c r="D166">
        <v>60</v>
      </c>
      <c r="E166">
        <v>76</v>
      </c>
      <c r="F166">
        <v>93</v>
      </c>
      <c r="G166">
        <v>102</v>
      </c>
    </row>
    <row r="167" spans="1:7" x14ac:dyDescent="0.25">
      <c r="A167" t="s">
        <v>170</v>
      </c>
      <c r="B167">
        <v>34</v>
      </c>
      <c r="C167">
        <v>57</v>
      </c>
      <c r="D167">
        <v>71</v>
      </c>
      <c r="E167">
        <v>91</v>
      </c>
      <c r="F167">
        <v>102</v>
      </c>
      <c r="G167">
        <v>102</v>
      </c>
    </row>
    <row r="168" spans="1:7" x14ac:dyDescent="0.25">
      <c r="A168" t="s">
        <v>171</v>
      </c>
      <c r="B168">
        <v>21</v>
      </c>
      <c r="C168">
        <v>35</v>
      </c>
      <c r="D168">
        <v>57</v>
      </c>
      <c r="E168">
        <v>86</v>
      </c>
      <c r="F168">
        <v>102</v>
      </c>
      <c r="G168">
        <v>102</v>
      </c>
    </row>
    <row r="169" spans="1:7" x14ac:dyDescent="0.25">
      <c r="A169" t="s">
        <v>172</v>
      </c>
      <c r="B169">
        <v>38</v>
      </c>
      <c r="C169">
        <v>52</v>
      </c>
      <c r="D169">
        <v>68</v>
      </c>
      <c r="E169">
        <v>89</v>
      </c>
      <c r="F169">
        <v>102</v>
      </c>
      <c r="G169">
        <v>102</v>
      </c>
    </row>
    <row r="170" spans="1:7" x14ac:dyDescent="0.25">
      <c r="A170" t="s">
        <v>173</v>
      </c>
      <c r="B170">
        <v>25</v>
      </c>
      <c r="C170">
        <v>54</v>
      </c>
      <c r="D170">
        <v>76</v>
      </c>
      <c r="E170">
        <v>98</v>
      </c>
      <c r="F170">
        <v>102</v>
      </c>
      <c r="G170">
        <v>102</v>
      </c>
    </row>
    <row r="171" spans="1:7" x14ac:dyDescent="0.25">
      <c r="A171" t="s">
        <v>174</v>
      </c>
      <c r="B171">
        <v>32</v>
      </c>
      <c r="C171">
        <v>49</v>
      </c>
      <c r="D171">
        <v>57</v>
      </c>
      <c r="E171">
        <v>68</v>
      </c>
      <c r="F171">
        <v>79</v>
      </c>
      <c r="G171">
        <v>102</v>
      </c>
    </row>
    <row r="172" spans="1:7" x14ac:dyDescent="0.25">
      <c r="A172" t="s">
        <v>175</v>
      </c>
      <c r="B172">
        <v>31</v>
      </c>
      <c r="C172">
        <v>43</v>
      </c>
      <c r="D172">
        <v>67</v>
      </c>
      <c r="E172">
        <v>79</v>
      </c>
      <c r="F172">
        <v>102</v>
      </c>
      <c r="G172">
        <v>102</v>
      </c>
    </row>
    <row r="173" spans="1:7" x14ac:dyDescent="0.25">
      <c r="A173" t="s">
        <v>176</v>
      </c>
      <c r="C173">
        <v>38</v>
      </c>
      <c r="D173">
        <v>50</v>
      </c>
      <c r="E173">
        <v>58</v>
      </c>
      <c r="F173">
        <v>72</v>
      </c>
      <c r="G173">
        <v>102</v>
      </c>
    </row>
    <row r="174" spans="1:7" x14ac:dyDescent="0.25">
      <c r="A174" t="s">
        <v>177</v>
      </c>
      <c r="B174">
        <v>23</v>
      </c>
      <c r="C174">
        <v>37</v>
      </c>
      <c r="D174">
        <v>55</v>
      </c>
      <c r="E174">
        <v>59</v>
      </c>
      <c r="F174">
        <v>86</v>
      </c>
      <c r="G174">
        <v>102</v>
      </c>
    </row>
    <row r="175" spans="1:7" x14ac:dyDescent="0.25">
      <c r="A175" t="s">
        <v>178</v>
      </c>
      <c r="B175">
        <v>23</v>
      </c>
      <c r="C175">
        <v>31</v>
      </c>
      <c r="D175">
        <v>57</v>
      </c>
      <c r="E175">
        <v>75</v>
      </c>
      <c r="F175">
        <v>99</v>
      </c>
      <c r="G175">
        <v>102</v>
      </c>
    </row>
    <row r="176" spans="1:7" x14ac:dyDescent="0.25">
      <c r="A176" t="s">
        <v>179</v>
      </c>
      <c r="B176">
        <v>33</v>
      </c>
      <c r="C176">
        <v>47</v>
      </c>
      <c r="D176">
        <v>70</v>
      </c>
      <c r="E176">
        <v>94</v>
      </c>
      <c r="F176">
        <v>102</v>
      </c>
      <c r="G176">
        <v>102</v>
      </c>
    </row>
    <row r="177" spans="1:7" x14ac:dyDescent="0.25">
      <c r="A177" t="s">
        <v>180</v>
      </c>
      <c r="B177">
        <v>27</v>
      </c>
      <c r="C177">
        <v>35</v>
      </c>
      <c r="D177">
        <v>57</v>
      </c>
      <c r="E177">
        <v>73</v>
      </c>
      <c r="F177">
        <v>102</v>
      </c>
      <c r="G177">
        <v>102</v>
      </c>
    </row>
    <row r="178" spans="1:7" x14ac:dyDescent="0.25">
      <c r="A178" t="s">
        <v>181</v>
      </c>
      <c r="B178">
        <v>30</v>
      </c>
      <c r="C178">
        <v>41</v>
      </c>
      <c r="D178">
        <v>69</v>
      </c>
      <c r="E178">
        <v>89</v>
      </c>
      <c r="F178">
        <v>102</v>
      </c>
      <c r="G178">
        <v>102</v>
      </c>
    </row>
    <row r="179" spans="1:7" x14ac:dyDescent="0.25">
      <c r="A179" t="s">
        <v>182</v>
      </c>
      <c r="B179">
        <v>41</v>
      </c>
      <c r="C179">
        <v>54</v>
      </c>
      <c r="D179">
        <v>75</v>
      </c>
      <c r="E179">
        <v>90</v>
      </c>
      <c r="F179">
        <v>102</v>
      </c>
      <c r="G179">
        <v>102</v>
      </c>
    </row>
    <row r="180" spans="1:7" x14ac:dyDescent="0.25">
      <c r="A180" t="s">
        <v>183</v>
      </c>
      <c r="B180">
        <v>32</v>
      </c>
      <c r="C180">
        <v>41</v>
      </c>
      <c r="D180">
        <v>69</v>
      </c>
      <c r="E180">
        <v>76</v>
      </c>
      <c r="F180">
        <v>94</v>
      </c>
      <c r="G180">
        <v>102</v>
      </c>
    </row>
    <row r="181" spans="1:7" x14ac:dyDescent="0.25">
      <c r="A181" t="s">
        <v>184</v>
      </c>
      <c r="B181">
        <v>30</v>
      </c>
      <c r="C181">
        <v>53</v>
      </c>
      <c r="D181">
        <v>70</v>
      </c>
      <c r="E181">
        <v>86</v>
      </c>
      <c r="F181">
        <v>102</v>
      </c>
      <c r="G181">
        <v>102</v>
      </c>
    </row>
    <row r="182" spans="1:7" x14ac:dyDescent="0.25">
      <c r="A182" t="s">
        <v>185</v>
      </c>
      <c r="B182">
        <v>35</v>
      </c>
      <c r="C182">
        <v>36</v>
      </c>
      <c r="D182">
        <v>41</v>
      </c>
      <c r="E182">
        <v>58</v>
      </c>
      <c r="F182">
        <v>71</v>
      </c>
      <c r="G182">
        <v>72</v>
      </c>
    </row>
    <row r="183" spans="1:7" x14ac:dyDescent="0.25">
      <c r="A183" t="s">
        <v>186</v>
      </c>
      <c r="B183">
        <v>35</v>
      </c>
      <c r="C183">
        <v>32</v>
      </c>
      <c r="D183">
        <v>35</v>
      </c>
      <c r="E183">
        <v>44</v>
      </c>
      <c r="F183">
        <v>69</v>
      </c>
      <c r="G183">
        <v>75</v>
      </c>
    </row>
    <row r="184" spans="1:7" x14ac:dyDescent="0.25">
      <c r="A184" t="s">
        <v>187</v>
      </c>
      <c r="B184">
        <v>32</v>
      </c>
      <c r="C184">
        <v>34</v>
      </c>
      <c r="D184">
        <v>44</v>
      </c>
      <c r="E184">
        <v>46</v>
      </c>
      <c r="F184">
        <v>62</v>
      </c>
      <c r="G184">
        <v>65</v>
      </c>
    </row>
    <row r="185" spans="1:7" x14ac:dyDescent="0.25">
      <c r="A185" t="s">
        <v>188</v>
      </c>
      <c r="B185">
        <v>33</v>
      </c>
      <c r="C185">
        <v>46</v>
      </c>
      <c r="D185">
        <v>47</v>
      </c>
      <c r="E185">
        <v>66</v>
      </c>
      <c r="F185">
        <v>77</v>
      </c>
      <c r="G185">
        <v>89</v>
      </c>
    </row>
    <row r="186" spans="1:7" x14ac:dyDescent="0.25">
      <c r="A186" t="s">
        <v>189</v>
      </c>
      <c r="B186">
        <v>22</v>
      </c>
      <c r="C186">
        <v>36</v>
      </c>
      <c r="D186">
        <v>48</v>
      </c>
      <c r="E186">
        <v>57</v>
      </c>
      <c r="F186">
        <v>86</v>
      </c>
      <c r="G186">
        <v>102</v>
      </c>
    </row>
    <row r="187" spans="1:7" x14ac:dyDescent="0.25">
      <c r="A187" t="s">
        <v>190</v>
      </c>
      <c r="B187">
        <v>42</v>
      </c>
      <c r="C187">
        <v>48</v>
      </c>
      <c r="D187">
        <v>69</v>
      </c>
      <c r="E187">
        <v>84</v>
      </c>
      <c r="F187">
        <v>102</v>
      </c>
      <c r="G187">
        <v>102</v>
      </c>
    </row>
    <row r="188" spans="1:7" x14ac:dyDescent="0.25">
      <c r="A188" t="s">
        <v>191</v>
      </c>
      <c r="B188">
        <v>23</v>
      </c>
      <c r="C188">
        <v>26</v>
      </c>
      <c r="D188">
        <v>37</v>
      </c>
      <c r="E188">
        <v>57</v>
      </c>
      <c r="F188">
        <v>74</v>
      </c>
      <c r="G188">
        <v>102</v>
      </c>
    </row>
    <row r="189" spans="1:7" x14ac:dyDescent="0.25">
      <c r="A189" t="s">
        <v>192</v>
      </c>
      <c r="B189">
        <v>32</v>
      </c>
      <c r="C189">
        <v>37</v>
      </c>
      <c r="D189">
        <v>48</v>
      </c>
      <c r="E189">
        <v>67</v>
      </c>
      <c r="F189">
        <v>100</v>
      </c>
      <c r="G189">
        <v>102</v>
      </c>
    </row>
    <row r="190" spans="1:7" x14ac:dyDescent="0.25">
      <c r="A190" t="s">
        <v>193</v>
      </c>
      <c r="B190">
        <v>35</v>
      </c>
      <c r="C190">
        <v>43</v>
      </c>
      <c r="D190">
        <v>48</v>
      </c>
      <c r="E190">
        <v>61</v>
      </c>
      <c r="F190">
        <v>74</v>
      </c>
      <c r="G190">
        <v>102</v>
      </c>
    </row>
    <row r="191" spans="1:7" x14ac:dyDescent="0.25">
      <c r="A191" t="s">
        <v>194</v>
      </c>
      <c r="B191">
        <v>39</v>
      </c>
      <c r="C191">
        <v>44</v>
      </c>
      <c r="D191">
        <v>64</v>
      </c>
      <c r="E191">
        <v>77</v>
      </c>
      <c r="F191">
        <v>83</v>
      </c>
      <c r="G191">
        <v>93</v>
      </c>
    </row>
    <row r="192" spans="1:7" x14ac:dyDescent="0.25">
      <c r="A192" t="s">
        <v>195</v>
      </c>
      <c r="B192">
        <v>34</v>
      </c>
      <c r="C192">
        <v>40</v>
      </c>
      <c r="D192">
        <v>48</v>
      </c>
      <c r="E192">
        <v>64</v>
      </c>
      <c r="F192">
        <v>86</v>
      </c>
      <c r="G192">
        <v>102</v>
      </c>
    </row>
    <row r="193" spans="1:7" x14ac:dyDescent="0.25">
      <c r="A193" t="s">
        <v>196</v>
      </c>
      <c r="B193">
        <v>32</v>
      </c>
      <c r="C193">
        <v>33</v>
      </c>
      <c r="D193">
        <v>45</v>
      </c>
      <c r="E193">
        <v>74</v>
      </c>
      <c r="F193">
        <v>93</v>
      </c>
      <c r="G193">
        <v>102</v>
      </c>
    </row>
    <row r="194" spans="1:7" x14ac:dyDescent="0.25">
      <c r="A194" t="s">
        <v>197</v>
      </c>
      <c r="B194">
        <v>42</v>
      </c>
      <c r="C194">
        <v>55</v>
      </c>
      <c r="D194">
        <v>82</v>
      </c>
      <c r="E194">
        <v>102</v>
      </c>
      <c r="F194">
        <v>102</v>
      </c>
      <c r="G194">
        <v>102</v>
      </c>
    </row>
    <row r="195" spans="1:7" x14ac:dyDescent="0.25">
      <c r="A195" t="s">
        <v>198</v>
      </c>
      <c r="B195">
        <v>38</v>
      </c>
      <c r="C195">
        <v>49</v>
      </c>
      <c r="D195">
        <v>67</v>
      </c>
      <c r="E195">
        <v>92</v>
      </c>
      <c r="F195">
        <v>102</v>
      </c>
      <c r="G195">
        <v>102</v>
      </c>
    </row>
    <row r="196" spans="1:7" x14ac:dyDescent="0.25">
      <c r="A196" t="s">
        <v>199</v>
      </c>
      <c r="B196">
        <v>35</v>
      </c>
      <c r="C196">
        <v>43</v>
      </c>
      <c r="D196">
        <v>69</v>
      </c>
      <c r="E196">
        <v>87</v>
      </c>
      <c r="F196">
        <v>102</v>
      </c>
      <c r="G196">
        <v>102</v>
      </c>
    </row>
    <row r="197" spans="1:7" x14ac:dyDescent="0.25">
      <c r="A197" t="s">
        <v>200</v>
      </c>
      <c r="B197">
        <v>42</v>
      </c>
      <c r="C197">
        <v>43</v>
      </c>
      <c r="D197">
        <v>63</v>
      </c>
      <c r="E197">
        <v>98</v>
      </c>
      <c r="F197">
        <v>102</v>
      </c>
      <c r="G197">
        <v>102</v>
      </c>
    </row>
    <row r="198" spans="1:7" x14ac:dyDescent="0.25">
      <c r="A198" t="s">
        <v>201</v>
      </c>
      <c r="B198">
        <v>41</v>
      </c>
      <c r="C198">
        <v>53</v>
      </c>
      <c r="D198">
        <v>78</v>
      </c>
      <c r="E198">
        <v>102</v>
      </c>
      <c r="F198">
        <v>102</v>
      </c>
      <c r="G198">
        <v>102</v>
      </c>
    </row>
    <row r="199" spans="1:7" x14ac:dyDescent="0.25">
      <c r="A199" t="s">
        <v>202</v>
      </c>
      <c r="B199">
        <v>29</v>
      </c>
      <c r="C199">
        <v>31</v>
      </c>
      <c r="D199">
        <v>56</v>
      </c>
      <c r="E199">
        <v>97</v>
      </c>
      <c r="F199">
        <v>102</v>
      </c>
      <c r="G199">
        <v>102</v>
      </c>
    </row>
    <row r="200" spans="1:7" x14ac:dyDescent="0.25">
      <c r="A200" t="s">
        <v>203</v>
      </c>
      <c r="B200">
        <v>23</v>
      </c>
      <c r="C200">
        <v>43</v>
      </c>
      <c r="D200">
        <v>63</v>
      </c>
      <c r="E200">
        <v>88</v>
      </c>
      <c r="F200">
        <v>102</v>
      </c>
      <c r="G200">
        <v>102</v>
      </c>
    </row>
    <row r="201" spans="1:7" x14ac:dyDescent="0.25">
      <c r="A201" t="s">
        <v>204</v>
      </c>
      <c r="B201">
        <v>20</v>
      </c>
      <c r="C201">
        <v>33</v>
      </c>
      <c r="D201">
        <v>58</v>
      </c>
      <c r="E201">
        <v>72</v>
      </c>
      <c r="F201">
        <v>84</v>
      </c>
      <c r="G201">
        <v>102</v>
      </c>
    </row>
    <row r="202" spans="1:7" x14ac:dyDescent="0.25">
      <c r="A202" t="s">
        <v>205</v>
      </c>
      <c r="B202">
        <v>28</v>
      </c>
      <c r="C202">
        <v>34</v>
      </c>
      <c r="D202">
        <v>56</v>
      </c>
      <c r="E202">
        <v>76</v>
      </c>
      <c r="F202">
        <v>94</v>
      </c>
      <c r="G202">
        <v>102</v>
      </c>
    </row>
    <row r="203" spans="1:7" x14ac:dyDescent="0.25">
      <c r="A203" t="s">
        <v>206</v>
      </c>
      <c r="B203">
        <v>32</v>
      </c>
      <c r="C203">
        <v>43</v>
      </c>
      <c r="D203">
        <v>36</v>
      </c>
      <c r="E203">
        <v>75</v>
      </c>
      <c r="F203">
        <v>73</v>
      </c>
      <c r="G203">
        <v>102</v>
      </c>
    </row>
    <row r="204" spans="1:7" x14ac:dyDescent="0.25">
      <c r="A204" t="s">
        <v>207</v>
      </c>
      <c r="B204">
        <v>29</v>
      </c>
      <c r="C204">
        <v>40</v>
      </c>
      <c r="D204">
        <v>56</v>
      </c>
      <c r="E204">
        <v>64</v>
      </c>
      <c r="F204">
        <v>78</v>
      </c>
      <c r="G204">
        <v>102</v>
      </c>
    </row>
    <row r="205" spans="1:7" x14ac:dyDescent="0.25">
      <c r="A205" t="s">
        <v>208</v>
      </c>
      <c r="B205">
        <v>31</v>
      </c>
      <c r="C205">
        <v>58</v>
      </c>
      <c r="D205">
        <v>74</v>
      </c>
      <c r="E205">
        <v>86</v>
      </c>
      <c r="F205">
        <v>102</v>
      </c>
      <c r="G205">
        <v>102</v>
      </c>
    </row>
    <row r="206" spans="1:7" x14ac:dyDescent="0.25">
      <c r="A206" t="s">
        <v>209</v>
      </c>
      <c r="B206">
        <v>35</v>
      </c>
      <c r="C206">
        <v>59</v>
      </c>
      <c r="D206">
        <v>79</v>
      </c>
      <c r="E206">
        <v>102</v>
      </c>
      <c r="F206">
        <v>102</v>
      </c>
      <c r="G206">
        <v>102</v>
      </c>
    </row>
    <row r="207" spans="1:7" x14ac:dyDescent="0.25">
      <c r="A207" t="s">
        <v>210</v>
      </c>
      <c r="B207">
        <v>31</v>
      </c>
      <c r="C207">
        <v>47</v>
      </c>
      <c r="D207">
        <v>69</v>
      </c>
      <c r="E207">
        <v>87</v>
      </c>
      <c r="F207">
        <v>102</v>
      </c>
      <c r="G207">
        <v>102</v>
      </c>
    </row>
    <row r="208" spans="1:7" x14ac:dyDescent="0.25">
      <c r="A208" t="s">
        <v>211</v>
      </c>
      <c r="B208">
        <v>27</v>
      </c>
      <c r="C208">
        <v>52</v>
      </c>
      <c r="D208">
        <v>78</v>
      </c>
      <c r="E208">
        <v>102</v>
      </c>
      <c r="F208">
        <v>102</v>
      </c>
      <c r="G208">
        <v>102</v>
      </c>
    </row>
    <row r="209" spans="1:7" x14ac:dyDescent="0.25">
      <c r="A209" t="s">
        <v>212</v>
      </c>
      <c r="B209">
        <v>23</v>
      </c>
      <c r="C209">
        <v>35</v>
      </c>
      <c r="D209">
        <v>62</v>
      </c>
      <c r="E209">
        <v>86</v>
      </c>
      <c r="F209">
        <v>102</v>
      </c>
      <c r="G209">
        <v>102</v>
      </c>
    </row>
    <row r="210" spans="1:7" x14ac:dyDescent="0.25">
      <c r="A210" t="s">
        <v>213</v>
      </c>
      <c r="B210">
        <v>29</v>
      </c>
      <c r="C210">
        <v>52</v>
      </c>
      <c r="D210">
        <v>76</v>
      </c>
      <c r="E210">
        <v>89</v>
      </c>
      <c r="F210">
        <v>102</v>
      </c>
      <c r="G210">
        <v>102</v>
      </c>
    </row>
    <row r="211" spans="1:7" x14ac:dyDescent="0.25">
      <c r="A211" t="s">
        <v>214</v>
      </c>
      <c r="B211">
        <v>31</v>
      </c>
      <c r="C211">
        <v>47</v>
      </c>
      <c r="D211">
        <v>65</v>
      </c>
      <c r="E211">
        <v>93</v>
      </c>
      <c r="F211">
        <v>102</v>
      </c>
      <c r="G211">
        <v>102</v>
      </c>
    </row>
    <row r="212" spans="1:7" x14ac:dyDescent="0.25">
      <c r="A212" t="s">
        <v>215</v>
      </c>
      <c r="B212">
        <v>39</v>
      </c>
      <c r="C212">
        <v>59</v>
      </c>
      <c r="D212">
        <v>77</v>
      </c>
      <c r="E212">
        <v>102</v>
      </c>
      <c r="F212">
        <v>102</v>
      </c>
      <c r="G212">
        <v>102</v>
      </c>
    </row>
    <row r="213" spans="1:7" x14ac:dyDescent="0.25">
      <c r="A213" t="s">
        <v>216</v>
      </c>
      <c r="B213">
        <v>48</v>
      </c>
      <c r="C213">
        <v>56</v>
      </c>
      <c r="D213">
        <v>72</v>
      </c>
      <c r="E213">
        <v>98</v>
      </c>
      <c r="F213">
        <v>102</v>
      </c>
      <c r="G213">
        <v>102</v>
      </c>
    </row>
    <row r="214" spans="1:7" x14ac:dyDescent="0.25">
      <c r="A214" t="s">
        <v>217</v>
      </c>
      <c r="B214">
        <v>39</v>
      </c>
      <c r="C214">
        <v>47</v>
      </c>
      <c r="D214">
        <v>67</v>
      </c>
      <c r="E214">
        <v>88</v>
      </c>
      <c r="F214">
        <v>102</v>
      </c>
      <c r="G214">
        <v>102</v>
      </c>
    </row>
    <row r="215" spans="1:7" x14ac:dyDescent="0.25">
      <c r="A215" t="s">
        <v>218</v>
      </c>
      <c r="B215">
        <v>34</v>
      </c>
      <c r="C215">
        <v>49</v>
      </c>
      <c r="D215">
        <v>76</v>
      </c>
      <c r="E215">
        <v>102</v>
      </c>
      <c r="F215">
        <v>102</v>
      </c>
      <c r="G215">
        <v>102</v>
      </c>
    </row>
    <row r="216" spans="1:7" x14ac:dyDescent="0.25">
      <c r="A216" t="s">
        <v>219</v>
      </c>
      <c r="B216">
        <v>36</v>
      </c>
      <c r="C216">
        <v>46</v>
      </c>
      <c r="D216">
        <v>71</v>
      </c>
      <c r="E216">
        <v>97</v>
      </c>
      <c r="F216">
        <v>102</v>
      </c>
      <c r="G216">
        <v>102</v>
      </c>
    </row>
    <row r="217" spans="1:7" x14ac:dyDescent="0.25">
      <c r="A217" t="s">
        <v>220</v>
      </c>
      <c r="B217">
        <v>35</v>
      </c>
      <c r="C217">
        <v>49</v>
      </c>
      <c r="D217">
        <v>55</v>
      </c>
      <c r="E217">
        <v>79</v>
      </c>
      <c r="F217">
        <v>102</v>
      </c>
      <c r="G217">
        <v>102</v>
      </c>
    </row>
    <row r="218" spans="1:7" x14ac:dyDescent="0.25">
      <c r="A218" t="s">
        <v>221</v>
      </c>
      <c r="B218">
        <v>29</v>
      </c>
      <c r="C218">
        <v>46</v>
      </c>
      <c r="D218">
        <v>54</v>
      </c>
      <c r="E218">
        <v>82</v>
      </c>
      <c r="F218">
        <v>99</v>
      </c>
      <c r="G218">
        <v>102</v>
      </c>
    </row>
    <row r="219" spans="1:7" x14ac:dyDescent="0.25">
      <c r="A219" t="s">
        <v>222</v>
      </c>
      <c r="B219">
        <v>34</v>
      </c>
      <c r="C219">
        <v>39</v>
      </c>
      <c r="D219">
        <v>54</v>
      </c>
      <c r="E219">
        <v>76</v>
      </c>
      <c r="F219">
        <v>98</v>
      </c>
      <c r="G219">
        <v>102</v>
      </c>
    </row>
    <row r="220" spans="1:7" x14ac:dyDescent="0.25">
      <c r="A220" t="s">
        <v>223</v>
      </c>
      <c r="B220">
        <v>35</v>
      </c>
      <c r="C220">
        <v>45</v>
      </c>
      <c r="D220">
        <v>48</v>
      </c>
      <c r="E220">
        <v>67</v>
      </c>
      <c r="F220">
        <v>96</v>
      </c>
      <c r="G220">
        <v>99</v>
      </c>
    </row>
    <row r="221" spans="1:7" x14ac:dyDescent="0.25">
      <c r="A221" t="s">
        <v>224</v>
      </c>
      <c r="B221">
        <v>36</v>
      </c>
      <c r="C221">
        <v>43</v>
      </c>
      <c r="D221">
        <v>53</v>
      </c>
      <c r="E221">
        <v>68</v>
      </c>
      <c r="F221">
        <v>88</v>
      </c>
      <c r="G221">
        <v>91</v>
      </c>
    </row>
    <row r="222" spans="1:7" x14ac:dyDescent="0.25">
      <c r="A222" t="s">
        <v>225</v>
      </c>
      <c r="B222">
        <v>40</v>
      </c>
      <c r="C222">
        <v>43</v>
      </c>
      <c r="D222">
        <v>54</v>
      </c>
      <c r="E222">
        <v>70</v>
      </c>
      <c r="F222">
        <v>83</v>
      </c>
      <c r="G222">
        <v>84</v>
      </c>
    </row>
    <row r="223" spans="1:7" x14ac:dyDescent="0.25">
      <c r="A223" t="s">
        <v>226</v>
      </c>
      <c r="B223">
        <v>37</v>
      </c>
      <c r="C223">
        <v>42</v>
      </c>
      <c r="D223">
        <v>53</v>
      </c>
      <c r="E223">
        <v>64</v>
      </c>
      <c r="F223">
        <v>88</v>
      </c>
      <c r="G223">
        <v>94</v>
      </c>
    </row>
    <row r="224" spans="1:7" x14ac:dyDescent="0.25">
      <c r="A224" t="s">
        <v>227</v>
      </c>
      <c r="B224">
        <v>27</v>
      </c>
      <c r="C224">
        <v>38</v>
      </c>
      <c r="D224">
        <v>58</v>
      </c>
      <c r="E224">
        <v>76</v>
      </c>
      <c r="F224">
        <v>102</v>
      </c>
      <c r="G224">
        <v>102</v>
      </c>
    </row>
    <row r="225" spans="1:7" x14ac:dyDescent="0.25">
      <c r="A225" t="s">
        <v>228</v>
      </c>
      <c r="B225">
        <v>34</v>
      </c>
      <c r="C225">
        <v>38</v>
      </c>
      <c r="D225">
        <v>56</v>
      </c>
      <c r="E225">
        <v>72</v>
      </c>
      <c r="F225">
        <v>102</v>
      </c>
      <c r="G225">
        <v>102</v>
      </c>
    </row>
    <row r="226" spans="1:7" x14ac:dyDescent="0.25">
      <c r="A226" t="s">
        <v>229</v>
      </c>
      <c r="B226">
        <v>26</v>
      </c>
      <c r="C226">
        <v>33</v>
      </c>
      <c r="D226">
        <v>60</v>
      </c>
      <c r="E226">
        <v>75</v>
      </c>
      <c r="F226">
        <v>88</v>
      </c>
      <c r="G226">
        <v>102</v>
      </c>
    </row>
    <row r="227" spans="1:7" x14ac:dyDescent="0.25">
      <c r="A227" t="s">
        <v>230</v>
      </c>
      <c r="B227">
        <v>35</v>
      </c>
      <c r="C227">
        <v>50</v>
      </c>
      <c r="D227">
        <v>65</v>
      </c>
      <c r="E227">
        <v>88</v>
      </c>
      <c r="F227">
        <v>102</v>
      </c>
      <c r="G227">
        <v>102</v>
      </c>
    </row>
    <row r="228" spans="1:7" x14ac:dyDescent="0.25">
      <c r="A228" t="s">
        <v>231</v>
      </c>
      <c r="B228">
        <v>41</v>
      </c>
      <c r="C228">
        <v>59</v>
      </c>
      <c r="D228">
        <v>72</v>
      </c>
      <c r="E228">
        <v>91</v>
      </c>
      <c r="F228">
        <v>102</v>
      </c>
      <c r="G228">
        <v>102</v>
      </c>
    </row>
    <row r="229" spans="1:7" x14ac:dyDescent="0.25">
      <c r="A229" t="s">
        <v>232</v>
      </c>
      <c r="B229">
        <v>44</v>
      </c>
      <c r="C229">
        <v>60</v>
      </c>
      <c r="D229">
        <v>87</v>
      </c>
      <c r="E229">
        <v>95</v>
      </c>
      <c r="F229">
        <v>102</v>
      </c>
      <c r="G229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5C74-BB52-4F0C-A6D0-7818FF458AA5}">
  <dimension ref="A1:B229"/>
  <sheetViews>
    <sheetView tabSelected="1" workbookViewId="0"/>
  </sheetViews>
  <sheetFormatPr defaultRowHeight="15" x14ac:dyDescent="0.25"/>
  <sheetData>
    <row r="1" spans="1:2" x14ac:dyDescent="0.25">
      <c r="A1" t="s">
        <v>307</v>
      </c>
      <c r="B1" t="s">
        <v>315</v>
      </c>
    </row>
    <row r="2" spans="1:2" x14ac:dyDescent="0.25">
      <c r="A2" t="s">
        <v>5</v>
      </c>
      <c r="B2" s="149">
        <v>10.826771653543307</v>
      </c>
    </row>
    <row r="3" spans="1:2" x14ac:dyDescent="0.25">
      <c r="A3" t="s">
        <v>6</v>
      </c>
      <c r="B3" s="149">
        <v>10.826771653543307</v>
      </c>
    </row>
    <row r="4" spans="1:2" x14ac:dyDescent="0.25">
      <c r="A4" t="s">
        <v>7</v>
      </c>
      <c r="B4" s="149">
        <v>5.9055118110236222</v>
      </c>
    </row>
    <row r="5" spans="1:2" x14ac:dyDescent="0.25">
      <c r="A5" t="s">
        <v>8</v>
      </c>
      <c r="B5" s="149">
        <v>12.795275590551181</v>
      </c>
    </row>
    <row r="6" spans="1:2" x14ac:dyDescent="0.25">
      <c r="A6" t="s">
        <v>9</v>
      </c>
      <c r="B6" s="149">
        <v>7.8740157480314963</v>
      </c>
    </row>
    <row r="7" spans="1:2" x14ac:dyDescent="0.25">
      <c r="A7" t="s">
        <v>10</v>
      </c>
      <c r="B7" s="149">
        <v>4.9212598425196852</v>
      </c>
    </row>
    <row r="8" spans="1:2" x14ac:dyDescent="0.25">
      <c r="A8" t="s">
        <v>11</v>
      </c>
      <c r="B8" s="149">
        <v>5.9055118110236222</v>
      </c>
    </row>
    <row r="9" spans="1:2" x14ac:dyDescent="0.25">
      <c r="A9" t="s">
        <v>12</v>
      </c>
      <c r="B9" s="149">
        <v>9.8425196850393704</v>
      </c>
    </row>
    <row r="10" spans="1:2" x14ac:dyDescent="0.25">
      <c r="A10" t="s">
        <v>13</v>
      </c>
      <c r="B10" s="149">
        <v>5.9055118110236222</v>
      </c>
    </row>
    <row r="11" spans="1:2" x14ac:dyDescent="0.25">
      <c r="A11" t="s">
        <v>14</v>
      </c>
      <c r="B11" s="149">
        <v>9.8425196850393704</v>
      </c>
    </row>
    <row r="12" spans="1:2" x14ac:dyDescent="0.25">
      <c r="A12" t="s">
        <v>15</v>
      </c>
      <c r="B12" s="149">
        <v>4.9212598425196852</v>
      </c>
    </row>
    <row r="13" spans="1:2" x14ac:dyDescent="0.25">
      <c r="A13" t="s">
        <v>16</v>
      </c>
      <c r="B13" s="149">
        <v>6.8897637795275593</v>
      </c>
    </row>
    <row r="14" spans="1:2" x14ac:dyDescent="0.25">
      <c r="A14" t="s">
        <v>17</v>
      </c>
      <c r="B14" s="149">
        <v>8.8582677165354333</v>
      </c>
    </row>
    <row r="15" spans="1:2" x14ac:dyDescent="0.25">
      <c r="A15" t="s">
        <v>18</v>
      </c>
      <c r="B15" s="149">
        <v>5.9055118110236222</v>
      </c>
    </row>
    <row r="16" spans="1:2" x14ac:dyDescent="0.25">
      <c r="A16" t="s">
        <v>19</v>
      </c>
      <c r="B16" s="149">
        <v>10.826771653543307</v>
      </c>
    </row>
    <row r="17" spans="1:2" x14ac:dyDescent="0.25">
      <c r="A17" t="s">
        <v>20</v>
      </c>
      <c r="B17" s="149">
        <v>6.8897637795275593</v>
      </c>
    </row>
    <row r="18" spans="1:2" x14ac:dyDescent="0.25">
      <c r="A18" t="s">
        <v>21</v>
      </c>
      <c r="B18" s="149">
        <v>3.9370078740157481</v>
      </c>
    </row>
    <row r="19" spans="1:2" x14ac:dyDescent="0.25">
      <c r="A19" t="s">
        <v>22</v>
      </c>
      <c r="B19" s="149">
        <v>9.8425196850393704</v>
      </c>
    </row>
    <row r="20" spans="1:2" x14ac:dyDescent="0.25">
      <c r="A20" t="s">
        <v>23</v>
      </c>
      <c r="B20" s="149">
        <v>11.811023622047244</v>
      </c>
    </row>
    <row r="21" spans="1:2" x14ac:dyDescent="0.25">
      <c r="A21" t="s">
        <v>24</v>
      </c>
      <c r="B21" s="149">
        <v>2.9527559055118111</v>
      </c>
    </row>
    <row r="22" spans="1:2" x14ac:dyDescent="0.25">
      <c r="A22" t="s">
        <v>25</v>
      </c>
      <c r="B22" s="149">
        <v>7.8740157480314963</v>
      </c>
    </row>
    <row r="23" spans="1:2" x14ac:dyDescent="0.25">
      <c r="A23" t="s">
        <v>26</v>
      </c>
      <c r="B23" s="149">
        <v>11.811023622047244</v>
      </c>
    </row>
    <row r="24" spans="1:2" x14ac:dyDescent="0.25">
      <c r="A24" t="s">
        <v>27</v>
      </c>
      <c r="B24" s="149">
        <v>9.8425196850393704</v>
      </c>
    </row>
    <row r="25" spans="1:2" x14ac:dyDescent="0.25">
      <c r="A25" t="s">
        <v>28</v>
      </c>
      <c r="B25" s="149">
        <v>4.9212598425196852</v>
      </c>
    </row>
    <row r="26" spans="1:2" x14ac:dyDescent="0.25">
      <c r="A26" t="s">
        <v>29</v>
      </c>
      <c r="B26" s="149">
        <v>9.8425196850393704</v>
      </c>
    </row>
    <row r="27" spans="1:2" x14ac:dyDescent="0.25">
      <c r="A27" t="s">
        <v>30</v>
      </c>
      <c r="B27" s="149">
        <v>9.8425196850393704</v>
      </c>
    </row>
    <row r="28" spans="1:2" x14ac:dyDescent="0.25">
      <c r="A28" t="s">
        <v>31</v>
      </c>
      <c r="B28" s="149">
        <v>13.779527559055119</v>
      </c>
    </row>
    <row r="29" spans="1:2" x14ac:dyDescent="0.25">
      <c r="A29" t="s">
        <v>32</v>
      </c>
      <c r="B29" s="149">
        <v>10.826771653543307</v>
      </c>
    </row>
    <row r="30" spans="1:2" x14ac:dyDescent="0.25">
      <c r="A30" t="s">
        <v>33</v>
      </c>
      <c r="B30" s="149">
        <v>5.9055118110236222</v>
      </c>
    </row>
    <row r="31" spans="1:2" x14ac:dyDescent="0.25">
      <c r="A31" t="s">
        <v>34</v>
      </c>
      <c r="B31" s="149">
        <v>7.8740157480314963</v>
      </c>
    </row>
    <row r="32" spans="1:2" x14ac:dyDescent="0.25">
      <c r="A32" t="s">
        <v>35</v>
      </c>
      <c r="B32" s="149">
        <v>4.9212598425196852</v>
      </c>
    </row>
    <row r="33" spans="1:2" x14ac:dyDescent="0.25">
      <c r="A33" t="s">
        <v>36</v>
      </c>
      <c r="B33" s="149">
        <v>2.9527559055118111</v>
      </c>
    </row>
    <row r="34" spans="1:2" x14ac:dyDescent="0.25">
      <c r="A34" t="s">
        <v>37</v>
      </c>
      <c r="B34" s="149">
        <v>5.9055118110236222</v>
      </c>
    </row>
    <row r="35" spans="1:2" x14ac:dyDescent="0.25">
      <c r="A35" t="s">
        <v>38</v>
      </c>
      <c r="B35" s="149">
        <v>12.795275590551181</v>
      </c>
    </row>
    <row r="36" spans="1:2" x14ac:dyDescent="0.25">
      <c r="A36" t="s">
        <v>39</v>
      </c>
      <c r="B36" s="149">
        <v>10.826771653543307</v>
      </c>
    </row>
    <row r="37" spans="1:2" x14ac:dyDescent="0.25">
      <c r="A37" t="s">
        <v>40</v>
      </c>
      <c r="B37" s="149">
        <v>7.8740157480314963</v>
      </c>
    </row>
    <row r="38" spans="1:2" x14ac:dyDescent="0.25">
      <c r="A38" t="s">
        <v>41</v>
      </c>
      <c r="B38" s="149">
        <v>3.9370078740157481</v>
      </c>
    </row>
    <row r="39" spans="1:2" x14ac:dyDescent="0.25">
      <c r="A39" t="s">
        <v>42</v>
      </c>
      <c r="B39" s="149">
        <v>5.9055118110236222</v>
      </c>
    </row>
    <row r="40" spans="1:2" x14ac:dyDescent="0.25">
      <c r="A40" t="s">
        <v>43</v>
      </c>
      <c r="B40" s="149">
        <v>3.9370078740157481</v>
      </c>
    </row>
    <row r="41" spans="1:2" x14ac:dyDescent="0.25">
      <c r="A41" t="s">
        <v>44</v>
      </c>
      <c r="B41" s="149">
        <v>2.9527559055118111</v>
      </c>
    </row>
    <row r="42" spans="1:2" x14ac:dyDescent="0.25">
      <c r="A42" t="s">
        <v>45</v>
      </c>
      <c r="B42" s="149">
        <v>2.9527559055118111</v>
      </c>
    </row>
    <row r="43" spans="1:2" x14ac:dyDescent="0.25">
      <c r="A43" t="s">
        <v>46</v>
      </c>
      <c r="B43" s="149">
        <v>0.98425196850393704</v>
      </c>
    </row>
    <row r="44" spans="1:2" x14ac:dyDescent="0.25">
      <c r="A44" t="s">
        <v>47</v>
      </c>
      <c r="B44" s="149">
        <v>9.8425196850393704</v>
      </c>
    </row>
    <row r="45" spans="1:2" x14ac:dyDescent="0.25">
      <c r="A45" t="s">
        <v>48</v>
      </c>
      <c r="B45" s="149">
        <v>9.8425196850393704</v>
      </c>
    </row>
    <row r="46" spans="1:2" x14ac:dyDescent="0.25">
      <c r="A46" t="s">
        <v>49</v>
      </c>
      <c r="B46" s="149">
        <v>10.826771653543307</v>
      </c>
    </row>
    <row r="47" spans="1:2" x14ac:dyDescent="0.25">
      <c r="A47" t="s">
        <v>50</v>
      </c>
      <c r="B47" s="149">
        <v>8.8582677165354333</v>
      </c>
    </row>
    <row r="48" spans="1:2" x14ac:dyDescent="0.25">
      <c r="A48" t="s">
        <v>51</v>
      </c>
      <c r="B48" s="149">
        <v>9.8425196850393704</v>
      </c>
    </row>
    <row r="49" spans="1:2" x14ac:dyDescent="0.25">
      <c r="A49" t="s">
        <v>52</v>
      </c>
      <c r="B49" s="149">
        <v>11.811023622047244</v>
      </c>
    </row>
    <row r="50" spans="1:2" x14ac:dyDescent="0.25">
      <c r="A50" t="s">
        <v>53</v>
      </c>
      <c r="B50" s="149">
        <v>4.9212598425196852</v>
      </c>
    </row>
    <row r="51" spans="1:2" x14ac:dyDescent="0.25">
      <c r="A51" t="s">
        <v>54</v>
      </c>
      <c r="B51" s="149">
        <v>3.9370078740157481</v>
      </c>
    </row>
    <row r="52" spans="1:2" x14ac:dyDescent="0.25">
      <c r="A52" t="s">
        <v>55</v>
      </c>
      <c r="B52" s="149">
        <v>2.9527559055118111</v>
      </c>
    </row>
    <row r="53" spans="1:2" x14ac:dyDescent="0.25">
      <c r="A53" t="s">
        <v>56</v>
      </c>
      <c r="B53" s="149">
        <v>1.9685039370078741</v>
      </c>
    </row>
    <row r="54" spans="1:2" x14ac:dyDescent="0.25">
      <c r="A54" t="s">
        <v>57</v>
      </c>
      <c r="B54" s="149">
        <v>1.9685039370078741</v>
      </c>
    </row>
    <row r="55" spans="1:2" x14ac:dyDescent="0.25">
      <c r="A55" t="s">
        <v>58</v>
      </c>
      <c r="B55" s="149">
        <v>1.9685039370078741</v>
      </c>
    </row>
    <row r="56" spans="1:2" x14ac:dyDescent="0.25">
      <c r="A56" t="s">
        <v>59</v>
      </c>
      <c r="B56" s="149">
        <v>9.8425196850393704</v>
      </c>
    </row>
    <row r="57" spans="1:2" x14ac:dyDescent="0.25">
      <c r="A57" t="s">
        <v>60</v>
      </c>
      <c r="B57" s="149">
        <v>8.8582677165354333</v>
      </c>
    </row>
    <row r="58" spans="1:2" x14ac:dyDescent="0.25">
      <c r="A58" t="s">
        <v>61</v>
      </c>
      <c r="B58" s="149">
        <v>7.8740157480314963</v>
      </c>
    </row>
    <row r="59" spans="1:2" x14ac:dyDescent="0.25">
      <c r="A59" t="s">
        <v>62</v>
      </c>
      <c r="B59" s="149">
        <v>9.8425196850393704</v>
      </c>
    </row>
    <row r="60" spans="1:2" x14ac:dyDescent="0.25">
      <c r="A60" t="s">
        <v>63</v>
      </c>
      <c r="B60" s="149">
        <v>9.8425196850393704</v>
      </c>
    </row>
    <row r="61" spans="1:2" x14ac:dyDescent="0.25">
      <c r="A61" t="s">
        <v>64</v>
      </c>
      <c r="B61" s="149">
        <v>7.8740157480314963</v>
      </c>
    </row>
    <row r="62" spans="1:2" x14ac:dyDescent="0.25">
      <c r="A62" t="s">
        <v>65</v>
      </c>
      <c r="B62" s="149">
        <v>3.9370078740157481</v>
      </c>
    </row>
    <row r="63" spans="1:2" x14ac:dyDescent="0.25">
      <c r="A63" t="s">
        <v>66</v>
      </c>
      <c r="B63" s="149">
        <v>4.9212598425196852</v>
      </c>
    </row>
    <row r="64" spans="1:2" x14ac:dyDescent="0.25">
      <c r="A64" t="s">
        <v>67</v>
      </c>
      <c r="B64" s="149">
        <v>0.98425196850393704</v>
      </c>
    </row>
    <row r="65" spans="1:2" x14ac:dyDescent="0.25">
      <c r="A65" t="s">
        <v>68</v>
      </c>
      <c r="B65" s="149">
        <v>2.9527559055118111</v>
      </c>
    </row>
    <row r="66" spans="1:2" x14ac:dyDescent="0.25">
      <c r="A66" t="s">
        <v>69</v>
      </c>
      <c r="B66" s="149">
        <v>1.9685039370078741</v>
      </c>
    </row>
    <row r="67" spans="1:2" x14ac:dyDescent="0.25">
      <c r="A67" t="s">
        <v>70</v>
      </c>
      <c r="B67" s="149">
        <v>5.9055118110236222</v>
      </c>
    </row>
    <row r="68" spans="1:2" x14ac:dyDescent="0.25">
      <c r="A68" t="s">
        <v>71</v>
      </c>
      <c r="B68" s="149">
        <v>10.826771653543307</v>
      </c>
    </row>
    <row r="69" spans="1:2" x14ac:dyDescent="0.25">
      <c r="A69" t="s">
        <v>72</v>
      </c>
      <c r="B69" s="149">
        <v>3.9370078740157481</v>
      </c>
    </row>
    <row r="70" spans="1:2" x14ac:dyDescent="0.25">
      <c r="A70" t="s">
        <v>73</v>
      </c>
      <c r="B70" s="149">
        <v>9.8425196850393704</v>
      </c>
    </row>
    <row r="71" spans="1:2" x14ac:dyDescent="0.25">
      <c r="A71" t="s">
        <v>74</v>
      </c>
      <c r="B71" s="149">
        <v>8.8582677165354333</v>
      </c>
    </row>
    <row r="72" spans="1:2" x14ac:dyDescent="0.25">
      <c r="A72" t="s">
        <v>75</v>
      </c>
      <c r="B72" s="149">
        <v>4.9212598425196852</v>
      </c>
    </row>
    <row r="73" spans="1:2" x14ac:dyDescent="0.25">
      <c r="A73" t="s">
        <v>76</v>
      </c>
      <c r="B73" s="149">
        <v>3.9370078740157481</v>
      </c>
    </row>
    <row r="74" spans="1:2" x14ac:dyDescent="0.25">
      <c r="A74" t="s">
        <v>77</v>
      </c>
      <c r="B74" s="149">
        <v>4.9212598425196852</v>
      </c>
    </row>
    <row r="75" spans="1:2" x14ac:dyDescent="0.25">
      <c r="A75" t="s">
        <v>78</v>
      </c>
      <c r="B75" s="149">
        <v>2.9527559055118111</v>
      </c>
    </row>
    <row r="76" spans="1:2" x14ac:dyDescent="0.25">
      <c r="A76" t="s">
        <v>79</v>
      </c>
      <c r="B76" s="149">
        <v>3.9370078740157481</v>
      </c>
    </row>
    <row r="77" spans="1:2" x14ac:dyDescent="0.25">
      <c r="A77" t="s">
        <v>80</v>
      </c>
      <c r="B77" s="149">
        <v>2.9527559055118111</v>
      </c>
    </row>
    <row r="78" spans="1:2" x14ac:dyDescent="0.25">
      <c r="A78" t="s">
        <v>81</v>
      </c>
      <c r="B78" s="149">
        <v>1.9685039370078741</v>
      </c>
    </row>
    <row r="79" spans="1:2" x14ac:dyDescent="0.25">
      <c r="A79" t="s">
        <v>82</v>
      </c>
      <c r="B79" s="149">
        <v>3.9370078740157481</v>
      </c>
    </row>
    <row r="80" spans="1:2" x14ac:dyDescent="0.25">
      <c r="A80" t="s">
        <v>83</v>
      </c>
      <c r="B80" s="149">
        <v>3.9370078740157481</v>
      </c>
    </row>
    <row r="81" spans="1:2" x14ac:dyDescent="0.25">
      <c r="A81" t="s">
        <v>84</v>
      </c>
      <c r="B81" s="149">
        <v>1.9685039370078741</v>
      </c>
    </row>
    <row r="82" spans="1:2" x14ac:dyDescent="0.25">
      <c r="A82" t="s">
        <v>85</v>
      </c>
      <c r="B82" s="149">
        <v>1.9685039370078741</v>
      </c>
    </row>
    <row r="83" spans="1:2" x14ac:dyDescent="0.25">
      <c r="A83" t="s">
        <v>86</v>
      </c>
      <c r="B83" s="149">
        <v>3.9370078740157481</v>
      </c>
    </row>
    <row r="84" spans="1:2" x14ac:dyDescent="0.25">
      <c r="A84" t="s">
        <v>87</v>
      </c>
      <c r="B84" s="149">
        <v>3.9370078740157481</v>
      </c>
    </row>
    <row r="85" spans="1:2" x14ac:dyDescent="0.25">
      <c r="A85" t="s">
        <v>88</v>
      </c>
      <c r="B85" s="149">
        <v>6.8897637795275593</v>
      </c>
    </row>
    <row r="86" spans="1:2" x14ac:dyDescent="0.25">
      <c r="A86" t="s">
        <v>89</v>
      </c>
      <c r="B86" s="149">
        <v>1.9685039370078741</v>
      </c>
    </row>
    <row r="87" spans="1:2" x14ac:dyDescent="0.25">
      <c r="A87" t="s">
        <v>90</v>
      </c>
      <c r="B87" s="149">
        <v>3.9370078740157481</v>
      </c>
    </row>
    <row r="88" spans="1:2" x14ac:dyDescent="0.25">
      <c r="A88" t="s">
        <v>91</v>
      </c>
      <c r="B88" s="149">
        <v>1.9685039370078741</v>
      </c>
    </row>
    <row r="89" spans="1:2" x14ac:dyDescent="0.25">
      <c r="A89" t="s">
        <v>92</v>
      </c>
      <c r="B89" s="149">
        <v>1.9685039370078741</v>
      </c>
    </row>
    <row r="90" spans="1:2" x14ac:dyDescent="0.25">
      <c r="A90" t="s">
        <v>93</v>
      </c>
      <c r="B90" s="149">
        <v>3.9370078740157481</v>
      </c>
    </row>
    <row r="91" spans="1:2" x14ac:dyDescent="0.25">
      <c r="A91" t="s">
        <v>94</v>
      </c>
      <c r="B91" s="149">
        <v>0.98425196850393704</v>
      </c>
    </row>
    <row r="92" spans="1:2" x14ac:dyDescent="0.25">
      <c r="A92" t="s">
        <v>95</v>
      </c>
      <c r="B92" s="149">
        <v>4.9212598425196852</v>
      </c>
    </row>
    <row r="93" spans="1:2" x14ac:dyDescent="0.25">
      <c r="A93" t="s">
        <v>96</v>
      </c>
      <c r="B93" s="149">
        <v>0</v>
      </c>
    </row>
    <row r="94" spans="1:2" x14ac:dyDescent="0.25">
      <c r="A94" t="s">
        <v>97</v>
      </c>
      <c r="B94" s="149">
        <v>1.9685039370078741</v>
      </c>
    </row>
    <row r="95" spans="1:2" x14ac:dyDescent="0.25">
      <c r="A95" t="s">
        <v>98</v>
      </c>
      <c r="B95" s="149">
        <v>1.9685039370078741</v>
      </c>
    </row>
    <row r="96" spans="1:2" x14ac:dyDescent="0.25">
      <c r="A96" t="s">
        <v>99</v>
      </c>
      <c r="B96" s="149">
        <v>1.9685039370078741</v>
      </c>
    </row>
    <row r="97" spans="1:2" x14ac:dyDescent="0.25">
      <c r="A97" t="s">
        <v>100</v>
      </c>
      <c r="B97" s="149">
        <v>2.9527559055118111</v>
      </c>
    </row>
    <row r="98" spans="1:2" x14ac:dyDescent="0.25">
      <c r="A98" t="s">
        <v>101</v>
      </c>
      <c r="B98" s="149">
        <v>11.811023622047244</v>
      </c>
    </row>
    <row r="99" spans="1:2" x14ac:dyDescent="0.25">
      <c r="A99" t="s">
        <v>102</v>
      </c>
      <c r="B99" s="149">
        <v>12.795275590551181</v>
      </c>
    </row>
    <row r="100" spans="1:2" x14ac:dyDescent="0.25">
      <c r="A100" t="s">
        <v>103</v>
      </c>
      <c r="B100" s="149">
        <v>8.8582677165354333</v>
      </c>
    </row>
    <row r="101" spans="1:2" x14ac:dyDescent="0.25">
      <c r="A101" t="s">
        <v>104</v>
      </c>
      <c r="B101" s="149">
        <v>10.826771653543307</v>
      </c>
    </row>
    <row r="102" spans="1:2" x14ac:dyDescent="0.25">
      <c r="A102" t="s">
        <v>105</v>
      </c>
      <c r="B102" s="149">
        <v>9.8425196850393704</v>
      </c>
    </row>
    <row r="103" spans="1:2" x14ac:dyDescent="0.25">
      <c r="A103" t="s">
        <v>106</v>
      </c>
      <c r="B103" s="149">
        <v>4.9212598425196852</v>
      </c>
    </row>
    <row r="104" spans="1:2" x14ac:dyDescent="0.25">
      <c r="A104" t="s">
        <v>107</v>
      </c>
      <c r="B104" s="149">
        <v>7.8740157480314963</v>
      </c>
    </row>
    <row r="105" spans="1:2" x14ac:dyDescent="0.25">
      <c r="A105" t="s">
        <v>108</v>
      </c>
      <c r="B105" s="149">
        <v>7.8740157480314963</v>
      </c>
    </row>
    <row r="106" spans="1:2" x14ac:dyDescent="0.25">
      <c r="A106" t="s">
        <v>109</v>
      </c>
      <c r="B106" s="149">
        <v>8.8582677165354333</v>
      </c>
    </row>
    <row r="107" spans="1:2" x14ac:dyDescent="0.25">
      <c r="A107" t="s">
        <v>110</v>
      </c>
      <c r="B107" s="149">
        <v>12.795275590551181</v>
      </c>
    </row>
    <row r="108" spans="1:2" x14ac:dyDescent="0.25">
      <c r="A108" t="s">
        <v>111</v>
      </c>
      <c r="B108" s="149">
        <v>11.811023622047244</v>
      </c>
    </row>
    <row r="109" spans="1:2" x14ac:dyDescent="0.25">
      <c r="A109" t="s">
        <v>112</v>
      </c>
      <c r="B109" s="149">
        <v>10.826771653543307</v>
      </c>
    </row>
    <row r="110" spans="1:2" x14ac:dyDescent="0.25">
      <c r="A110" t="s">
        <v>113</v>
      </c>
      <c r="B110" s="149">
        <v>10.826771653543307</v>
      </c>
    </row>
    <row r="111" spans="1:2" x14ac:dyDescent="0.25">
      <c r="A111" t="s">
        <v>114</v>
      </c>
      <c r="B111" s="149">
        <v>4.9212598425196852</v>
      </c>
    </row>
    <row r="112" spans="1:2" x14ac:dyDescent="0.25">
      <c r="A112" t="s">
        <v>115</v>
      </c>
      <c r="B112" s="149">
        <v>10.826771653543307</v>
      </c>
    </row>
    <row r="113" spans="1:2" x14ac:dyDescent="0.25">
      <c r="A113" t="s">
        <v>116</v>
      </c>
      <c r="B113" s="149">
        <v>7.8740157480314963</v>
      </c>
    </row>
    <row r="114" spans="1:2" x14ac:dyDescent="0.25">
      <c r="A114" t="s">
        <v>117</v>
      </c>
      <c r="B114" s="149">
        <v>8.8582677165354333</v>
      </c>
    </row>
    <row r="115" spans="1:2" x14ac:dyDescent="0.25">
      <c r="A115" t="s">
        <v>118</v>
      </c>
      <c r="B115" s="149">
        <v>7.8740157480314963</v>
      </c>
    </row>
    <row r="116" spans="1:2" x14ac:dyDescent="0.25">
      <c r="A116" t="s">
        <v>119</v>
      </c>
      <c r="B116" s="149">
        <v>7.8740157480314963</v>
      </c>
    </row>
    <row r="117" spans="1:2" x14ac:dyDescent="0.25">
      <c r="A117" t="s">
        <v>120</v>
      </c>
      <c r="B117" s="149">
        <v>7.8740157480314963</v>
      </c>
    </row>
    <row r="118" spans="1:2" x14ac:dyDescent="0.25">
      <c r="A118" t="s">
        <v>121</v>
      </c>
      <c r="B118" s="149">
        <v>7.8740157480314963</v>
      </c>
    </row>
    <row r="119" spans="1:2" x14ac:dyDescent="0.25">
      <c r="A119" t="s">
        <v>122</v>
      </c>
      <c r="B119" s="149">
        <v>9.8425196850393704</v>
      </c>
    </row>
    <row r="120" spans="1:2" x14ac:dyDescent="0.25">
      <c r="A120" t="s">
        <v>123</v>
      </c>
      <c r="B120" s="149">
        <v>8.8582677165354333</v>
      </c>
    </row>
    <row r="121" spans="1:2" x14ac:dyDescent="0.25">
      <c r="A121" t="s">
        <v>124</v>
      </c>
      <c r="B121" s="149">
        <v>5.9055118110236222</v>
      </c>
    </row>
    <row r="122" spans="1:2" x14ac:dyDescent="0.25">
      <c r="A122" t="s">
        <v>125</v>
      </c>
      <c r="B122" s="149">
        <v>1.9685039370078741</v>
      </c>
    </row>
    <row r="123" spans="1:2" x14ac:dyDescent="0.25">
      <c r="A123" t="s">
        <v>126</v>
      </c>
      <c r="B123" s="149">
        <v>1.9685039370078741</v>
      </c>
    </row>
    <row r="124" spans="1:2" x14ac:dyDescent="0.25">
      <c r="A124" t="s">
        <v>127</v>
      </c>
      <c r="B124" s="149">
        <v>2.9527559055118111</v>
      </c>
    </row>
    <row r="125" spans="1:2" x14ac:dyDescent="0.25">
      <c r="A125" t="s">
        <v>128</v>
      </c>
      <c r="B125" s="149">
        <v>3.9370078740157481</v>
      </c>
    </row>
    <row r="126" spans="1:2" x14ac:dyDescent="0.25">
      <c r="A126" t="s">
        <v>129</v>
      </c>
      <c r="B126" s="149">
        <v>4.9212598425196852</v>
      </c>
    </row>
    <row r="127" spans="1:2" x14ac:dyDescent="0.25">
      <c r="A127" t="s">
        <v>130</v>
      </c>
      <c r="B127" s="149">
        <v>1.9685039370078741</v>
      </c>
    </row>
    <row r="128" spans="1:2" x14ac:dyDescent="0.25">
      <c r="A128" t="s">
        <v>131</v>
      </c>
      <c r="B128" s="149">
        <v>8.8582677165354333</v>
      </c>
    </row>
    <row r="129" spans="1:2" x14ac:dyDescent="0.25">
      <c r="A129" t="s">
        <v>132</v>
      </c>
      <c r="B129" s="149">
        <v>3.9370078740157481</v>
      </c>
    </row>
    <row r="130" spans="1:2" x14ac:dyDescent="0.25">
      <c r="A130" t="s">
        <v>133</v>
      </c>
      <c r="B130" s="149">
        <v>7.8740157480314963</v>
      </c>
    </row>
    <row r="131" spans="1:2" x14ac:dyDescent="0.25">
      <c r="A131" t="s">
        <v>134</v>
      </c>
      <c r="B131" s="149">
        <v>9.8425196850393704</v>
      </c>
    </row>
    <row r="132" spans="1:2" x14ac:dyDescent="0.25">
      <c r="A132" t="s">
        <v>135</v>
      </c>
      <c r="B132" s="149">
        <v>12.795275590551181</v>
      </c>
    </row>
    <row r="133" spans="1:2" x14ac:dyDescent="0.25">
      <c r="A133" t="s">
        <v>136</v>
      </c>
      <c r="B133" s="149">
        <v>10.826771653543307</v>
      </c>
    </row>
    <row r="134" spans="1:2" x14ac:dyDescent="0.25">
      <c r="A134" t="s">
        <v>137</v>
      </c>
      <c r="B134" s="149">
        <v>8.8582677165354333</v>
      </c>
    </row>
    <row r="135" spans="1:2" x14ac:dyDescent="0.25">
      <c r="A135" t="s">
        <v>138</v>
      </c>
      <c r="B135" s="149">
        <v>10.826771653543307</v>
      </c>
    </row>
    <row r="136" spans="1:2" x14ac:dyDescent="0.25">
      <c r="A136" t="s">
        <v>139</v>
      </c>
      <c r="B136" s="149">
        <v>13.779527559055119</v>
      </c>
    </row>
    <row r="137" spans="1:2" x14ac:dyDescent="0.25">
      <c r="A137" t="s">
        <v>140</v>
      </c>
      <c r="B137" s="149">
        <v>10.826771653543307</v>
      </c>
    </row>
    <row r="138" spans="1:2" x14ac:dyDescent="0.25">
      <c r="A138" t="s">
        <v>141</v>
      </c>
      <c r="B138" s="149">
        <v>11.811023622047244</v>
      </c>
    </row>
    <row r="139" spans="1:2" x14ac:dyDescent="0.25">
      <c r="A139" t="s">
        <v>142</v>
      </c>
      <c r="B139" s="149">
        <v>4.9212598425196852</v>
      </c>
    </row>
    <row r="140" spans="1:2" x14ac:dyDescent="0.25">
      <c r="A140" t="s">
        <v>143</v>
      </c>
      <c r="B140" s="149">
        <v>3.9370078740157481</v>
      </c>
    </row>
    <row r="141" spans="1:2" x14ac:dyDescent="0.25">
      <c r="A141" t="s">
        <v>144</v>
      </c>
      <c r="B141" s="149">
        <v>3.9370078740157481</v>
      </c>
    </row>
    <row r="142" spans="1:2" x14ac:dyDescent="0.25">
      <c r="A142" t="s">
        <v>145</v>
      </c>
      <c r="B142" s="149">
        <v>3.9370078740157481</v>
      </c>
    </row>
    <row r="143" spans="1:2" x14ac:dyDescent="0.25">
      <c r="A143" t="s">
        <v>146</v>
      </c>
      <c r="B143" s="149">
        <v>3.9370078740157481</v>
      </c>
    </row>
    <row r="144" spans="1:2" x14ac:dyDescent="0.25">
      <c r="A144" t="s">
        <v>147</v>
      </c>
      <c r="B144" s="149">
        <v>0.98425196850393704</v>
      </c>
    </row>
    <row r="145" spans="1:2" x14ac:dyDescent="0.25">
      <c r="A145" t="s">
        <v>148</v>
      </c>
      <c r="B145" s="149">
        <v>3.9370078740157481</v>
      </c>
    </row>
    <row r="146" spans="1:2" x14ac:dyDescent="0.25">
      <c r="A146" t="s">
        <v>149</v>
      </c>
      <c r="B146" s="149">
        <v>2.9527559055118111</v>
      </c>
    </row>
    <row r="147" spans="1:2" x14ac:dyDescent="0.25">
      <c r="A147" t="s">
        <v>150</v>
      </c>
      <c r="B147" s="149">
        <v>0</v>
      </c>
    </row>
    <row r="148" spans="1:2" x14ac:dyDescent="0.25">
      <c r="A148" t="s">
        <v>151</v>
      </c>
      <c r="B148" s="149">
        <v>2.9527559055118111</v>
      </c>
    </row>
    <row r="149" spans="1:2" x14ac:dyDescent="0.25">
      <c r="A149" t="s">
        <v>152</v>
      </c>
      <c r="B149" s="149">
        <v>2.9527559055118111</v>
      </c>
    </row>
    <row r="150" spans="1:2" x14ac:dyDescent="0.25">
      <c r="A150" t="s">
        <v>153</v>
      </c>
      <c r="B150" s="149">
        <v>3.9370078740157481</v>
      </c>
    </row>
    <row r="151" spans="1:2" x14ac:dyDescent="0.25">
      <c r="A151" t="s">
        <v>154</v>
      </c>
      <c r="B151" s="149">
        <v>3.9370078740157481</v>
      </c>
    </row>
    <row r="152" spans="1:2" x14ac:dyDescent="0.25">
      <c r="A152" t="s">
        <v>155</v>
      </c>
      <c r="B152" s="149">
        <v>10.826771653543307</v>
      </c>
    </row>
    <row r="153" spans="1:2" x14ac:dyDescent="0.25">
      <c r="A153" t="s">
        <v>156</v>
      </c>
      <c r="B153" s="149">
        <v>3.9370078740157481</v>
      </c>
    </row>
    <row r="154" spans="1:2" x14ac:dyDescent="0.25">
      <c r="A154" t="s">
        <v>157</v>
      </c>
      <c r="B154" s="149">
        <v>4.9212598425196852</v>
      </c>
    </row>
    <row r="155" spans="1:2" x14ac:dyDescent="0.25">
      <c r="A155" t="s">
        <v>158</v>
      </c>
      <c r="B155" s="149">
        <v>10.826771653543307</v>
      </c>
    </row>
    <row r="156" spans="1:2" x14ac:dyDescent="0.25">
      <c r="A156" t="s">
        <v>159</v>
      </c>
      <c r="B156" s="149">
        <v>8.8582677165354333</v>
      </c>
    </row>
    <row r="157" spans="1:2" x14ac:dyDescent="0.25">
      <c r="A157" t="s">
        <v>160</v>
      </c>
      <c r="B157" s="149">
        <v>10.826771653543307</v>
      </c>
    </row>
    <row r="158" spans="1:2" x14ac:dyDescent="0.25">
      <c r="A158" t="s">
        <v>161</v>
      </c>
      <c r="B158" s="149">
        <v>2.9527559055118111</v>
      </c>
    </row>
    <row r="159" spans="1:2" x14ac:dyDescent="0.25">
      <c r="A159" t="s">
        <v>162</v>
      </c>
      <c r="B159" s="149">
        <v>5.9055118110236222</v>
      </c>
    </row>
    <row r="160" spans="1:2" x14ac:dyDescent="0.25">
      <c r="A160" t="s">
        <v>163</v>
      </c>
      <c r="B160" s="149">
        <v>3.9370078740157481</v>
      </c>
    </row>
    <row r="161" spans="1:2" x14ac:dyDescent="0.25">
      <c r="A161" t="s">
        <v>164</v>
      </c>
      <c r="B161" s="149">
        <v>1.9685039370078741</v>
      </c>
    </row>
    <row r="162" spans="1:2" x14ac:dyDescent="0.25">
      <c r="A162" t="s">
        <v>165</v>
      </c>
      <c r="B162" s="149">
        <v>1.9685039370078741</v>
      </c>
    </row>
    <row r="163" spans="1:2" x14ac:dyDescent="0.25">
      <c r="A163" t="s">
        <v>166</v>
      </c>
      <c r="B163" s="149">
        <v>0.98425196850393704</v>
      </c>
    </row>
    <row r="164" spans="1:2" x14ac:dyDescent="0.25">
      <c r="A164" t="s">
        <v>167</v>
      </c>
      <c r="B164" s="149">
        <v>9.8425196850393704</v>
      </c>
    </row>
    <row r="165" spans="1:2" x14ac:dyDescent="0.25">
      <c r="A165" t="s">
        <v>168</v>
      </c>
      <c r="B165" s="149">
        <v>3.9370078740157481</v>
      </c>
    </row>
    <row r="166" spans="1:2" x14ac:dyDescent="0.25">
      <c r="A166" t="s">
        <v>169</v>
      </c>
      <c r="B166" s="149">
        <v>5.9055118110236222</v>
      </c>
    </row>
    <row r="167" spans="1:2" x14ac:dyDescent="0.25">
      <c r="A167" t="s">
        <v>170</v>
      </c>
      <c r="B167" s="149">
        <v>12.795275590551181</v>
      </c>
    </row>
    <row r="168" spans="1:2" x14ac:dyDescent="0.25">
      <c r="A168" t="s">
        <v>171</v>
      </c>
      <c r="B168" s="149">
        <v>6.8897637795275593</v>
      </c>
    </row>
    <row r="169" spans="1:2" x14ac:dyDescent="0.25">
      <c r="A169" t="s">
        <v>172</v>
      </c>
      <c r="B169" s="149">
        <v>8.8582677165354333</v>
      </c>
    </row>
    <row r="170" spans="1:2" x14ac:dyDescent="0.25">
      <c r="A170" t="s">
        <v>173</v>
      </c>
      <c r="B170" s="149">
        <v>5.9055118110236222</v>
      </c>
    </row>
    <row r="171" spans="1:2" x14ac:dyDescent="0.25">
      <c r="A171" t="s">
        <v>174</v>
      </c>
      <c r="B171" s="149">
        <v>3.9370078740157481</v>
      </c>
    </row>
    <row r="172" spans="1:2" x14ac:dyDescent="0.25">
      <c r="A172" t="s">
        <v>175</v>
      </c>
      <c r="B172" s="149">
        <v>3.9370078740157481</v>
      </c>
    </row>
    <row r="173" spans="1:2" x14ac:dyDescent="0.25">
      <c r="A173" t="s">
        <v>176</v>
      </c>
      <c r="B173" s="149">
        <v>0</v>
      </c>
    </row>
    <row r="174" spans="1:2" x14ac:dyDescent="0.25">
      <c r="A174" t="s">
        <v>177</v>
      </c>
      <c r="B174" s="149">
        <v>5.9055118110236222</v>
      </c>
    </row>
    <row r="175" spans="1:2" x14ac:dyDescent="0.25">
      <c r="A175" t="s">
        <v>178</v>
      </c>
      <c r="B175" s="149">
        <v>4.9212598425196852</v>
      </c>
    </row>
    <row r="176" spans="1:2" x14ac:dyDescent="0.25">
      <c r="A176" t="s">
        <v>179</v>
      </c>
      <c r="B176" s="149">
        <v>10.826771653543307</v>
      </c>
    </row>
    <row r="177" spans="1:2" x14ac:dyDescent="0.25">
      <c r="A177" t="s">
        <v>180</v>
      </c>
      <c r="B177" s="149">
        <v>3.9370078740157481</v>
      </c>
    </row>
    <row r="178" spans="1:2" x14ac:dyDescent="0.25">
      <c r="A178" t="s">
        <v>181</v>
      </c>
      <c r="B178" s="149">
        <v>9.8425196850393704</v>
      </c>
    </row>
    <row r="179" spans="1:2" x14ac:dyDescent="0.25">
      <c r="A179" t="s">
        <v>182</v>
      </c>
      <c r="B179" s="149">
        <v>16.73228346456693</v>
      </c>
    </row>
    <row r="180" spans="1:2" x14ac:dyDescent="0.25">
      <c r="A180" t="s">
        <v>183</v>
      </c>
      <c r="B180" s="149">
        <v>10.826771653543307</v>
      </c>
    </row>
    <row r="181" spans="1:2" x14ac:dyDescent="0.25">
      <c r="A181" t="s">
        <v>184</v>
      </c>
      <c r="B181" s="149">
        <v>10.826771653543307</v>
      </c>
    </row>
    <row r="182" spans="1:2" x14ac:dyDescent="0.25">
      <c r="A182" t="s">
        <v>185</v>
      </c>
      <c r="B182" s="149">
        <v>8.8582677165354333</v>
      </c>
    </row>
    <row r="183" spans="1:2" x14ac:dyDescent="0.25">
      <c r="A183" t="s">
        <v>186</v>
      </c>
      <c r="B183" s="149">
        <v>9.8425196850393704</v>
      </c>
    </row>
    <row r="184" spans="1:2" x14ac:dyDescent="0.25">
      <c r="A184" t="s">
        <v>187</v>
      </c>
      <c r="B184" s="149">
        <v>9.8425196850393704</v>
      </c>
    </row>
    <row r="185" spans="1:2" x14ac:dyDescent="0.25">
      <c r="A185" t="s">
        <v>188</v>
      </c>
      <c r="B185" s="149">
        <v>9.8425196850393704</v>
      </c>
    </row>
    <row r="186" spans="1:2" x14ac:dyDescent="0.25">
      <c r="A186" t="s">
        <v>189</v>
      </c>
      <c r="B186" s="149">
        <v>10.826771653543307</v>
      </c>
    </row>
    <row r="187" spans="1:2" x14ac:dyDescent="0.25">
      <c r="A187" t="s">
        <v>190</v>
      </c>
      <c r="B187" s="149">
        <v>4.9212598425196852</v>
      </c>
    </row>
    <row r="188" spans="1:2" x14ac:dyDescent="0.25">
      <c r="A188" t="s">
        <v>191</v>
      </c>
      <c r="B188" s="149">
        <v>3.9370078740157481</v>
      </c>
    </row>
    <row r="189" spans="1:2" x14ac:dyDescent="0.25">
      <c r="A189" t="s">
        <v>192</v>
      </c>
      <c r="B189" s="149">
        <v>3.9370078740157481</v>
      </c>
    </row>
    <row r="190" spans="1:2" x14ac:dyDescent="0.25">
      <c r="A190" t="s">
        <v>193</v>
      </c>
      <c r="B190" s="149">
        <v>1.9685039370078741</v>
      </c>
    </row>
    <row r="191" spans="1:2" x14ac:dyDescent="0.25">
      <c r="A191" t="s">
        <v>194</v>
      </c>
      <c r="B191" s="149">
        <v>4.9212598425196852</v>
      </c>
    </row>
    <row r="192" spans="1:2" x14ac:dyDescent="0.25">
      <c r="A192" t="s">
        <v>195</v>
      </c>
      <c r="B192" s="149">
        <v>3.9370078740157481</v>
      </c>
    </row>
    <row r="193" spans="1:2" x14ac:dyDescent="0.25">
      <c r="A193" t="s">
        <v>196</v>
      </c>
      <c r="B193" s="149">
        <v>3.9370078740157481</v>
      </c>
    </row>
    <row r="194" spans="1:2" x14ac:dyDescent="0.25">
      <c r="A194" t="s">
        <v>197</v>
      </c>
      <c r="B194" s="149">
        <v>3.9370078740157481</v>
      </c>
    </row>
    <row r="195" spans="1:2" x14ac:dyDescent="0.25">
      <c r="A195" t="s">
        <v>198</v>
      </c>
      <c r="B195" s="149">
        <v>2.9527559055118111</v>
      </c>
    </row>
    <row r="196" spans="1:2" x14ac:dyDescent="0.25">
      <c r="A196" t="s">
        <v>199</v>
      </c>
      <c r="B196" s="149">
        <v>2.9527559055118111</v>
      </c>
    </row>
    <row r="197" spans="1:2" x14ac:dyDescent="0.25">
      <c r="A197" t="s">
        <v>200</v>
      </c>
      <c r="B197" s="149">
        <v>5.9055118110236222</v>
      </c>
    </row>
    <row r="198" spans="1:2" x14ac:dyDescent="0.25">
      <c r="A198" t="s">
        <v>201</v>
      </c>
      <c r="B198" s="149">
        <v>2.9527559055118111</v>
      </c>
    </row>
    <row r="199" spans="1:2" x14ac:dyDescent="0.25">
      <c r="A199" t="s">
        <v>202</v>
      </c>
      <c r="B199" s="149">
        <v>3.9370078740157481</v>
      </c>
    </row>
    <row r="200" spans="1:2" x14ac:dyDescent="0.25">
      <c r="A200" t="s">
        <v>203</v>
      </c>
      <c r="B200" s="149">
        <v>1.9685039370078741</v>
      </c>
    </row>
    <row r="201" spans="1:2" x14ac:dyDescent="0.25">
      <c r="A201" t="s">
        <v>204</v>
      </c>
      <c r="B201" s="149">
        <v>1.9685039370078741</v>
      </c>
    </row>
    <row r="202" spans="1:2" x14ac:dyDescent="0.25">
      <c r="A202" t="s">
        <v>205</v>
      </c>
      <c r="B202" s="149">
        <v>3.9370078740157481</v>
      </c>
    </row>
    <row r="203" spans="1:2" x14ac:dyDescent="0.25">
      <c r="A203" t="s">
        <v>206</v>
      </c>
      <c r="B203" s="149">
        <v>0.98425196850393704</v>
      </c>
    </row>
    <row r="204" spans="1:2" x14ac:dyDescent="0.25">
      <c r="A204" t="s">
        <v>207</v>
      </c>
      <c r="B204" s="149">
        <v>4.9212598425196852</v>
      </c>
    </row>
    <row r="205" spans="1:2" x14ac:dyDescent="0.25">
      <c r="A205" t="s">
        <v>208</v>
      </c>
      <c r="B205" s="149">
        <v>2.9527559055118111</v>
      </c>
    </row>
    <row r="206" spans="1:2" x14ac:dyDescent="0.25">
      <c r="A206" t="s">
        <v>209</v>
      </c>
      <c r="B206" s="149">
        <v>6.8897637795275593</v>
      </c>
    </row>
    <row r="207" spans="1:2" x14ac:dyDescent="0.25">
      <c r="A207" t="s">
        <v>210</v>
      </c>
      <c r="B207" s="149">
        <v>5.9055118110236222</v>
      </c>
    </row>
    <row r="208" spans="1:2" x14ac:dyDescent="0.25">
      <c r="A208" t="s">
        <v>211</v>
      </c>
      <c r="B208" s="149">
        <v>10.826771653543307</v>
      </c>
    </row>
    <row r="209" spans="1:2" x14ac:dyDescent="0.25">
      <c r="A209" t="s">
        <v>212</v>
      </c>
      <c r="B209" s="149">
        <v>5.9055118110236222</v>
      </c>
    </row>
    <row r="210" spans="1:2" x14ac:dyDescent="0.25">
      <c r="A210" t="s">
        <v>213</v>
      </c>
      <c r="B210" s="149">
        <v>9.8425196850393704</v>
      </c>
    </row>
    <row r="211" spans="1:2" x14ac:dyDescent="0.25">
      <c r="A211" t="s">
        <v>214</v>
      </c>
      <c r="B211" s="149">
        <v>5.9055118110236222</v>
      </c>
    </row>
    <row r="212" spans="1:2" x14ac:dyDescent="0.25">
      <c r="A212" t="s">
        <v>215</v>
      </c>
      <c r="B212" s="149">
        <v>9.8425196850393704</v>
      </c>
    </row>
    <row r="213" spans="1:2" x14ac:dyDescent="0.25">
      <c r="A213" t="s">
        <v>216</v>
      </c>
      <c r="B213" s="149">
        <v>7.8740157480314963</v>
      </c>
    </row>
    <row r="214" spans="1:2" x14ac:dyDescent="0.25">
      <c r="A214" t="s">
        <v>217</v>
      </c>
      <c r="B214" s="149">
        <v>9.8425196850393704</v>
      </c>
    </row>
    <row r="215" spans="1:2" x14ac:dyDescent="0.25">
      <c r="A215" t="s">
        <v>218</v>
      </c>
      <c r="B215" s="149">
        <v>12.795275590551181</v>
      </c>
    </row>
    <row r="216" spans="1:2" x14ac:dyDescent="0.25">
      <c r="A216" t="s">
        <v>219</v>
      </c>
      <c r="B216" s="149">
        <v>7.8740157480314963</v>
      </c>
    </row>
    <row r="217" spans="1:2" x14ac:dyDescent="0.25">
      <c r="A217" t="s">
        <v>220</v>
      </c>
      <c r="B217" s="149">
        <v>4.9212598425196852</v>
      </c>
    </row>
    <row r="218" spans="1:2" x14ac:dyDescent="0.25">
      <c r="A218" t="s">
        <v>221</v>
      </c>
      <c r="B218" s="149">
        <v>9.8425196850393704</v>
      </c>
    </row>
    <row r="219" spans="1:2" x14ac:dyDescent="0.25">
      <c r="A219" t="s">
        <v>222</v>
      </c>
      <c r="B219" s="149">
        <v>9.8425196850393704</v>
      </c>
    </row>
    <row r="220" spans="1:2" x14ac:dyDescent="0.25">
      <c r="A220" t="s">
        <v>223</v>
      </c>
      <c r="B220" s="149">
        <v>12.795275590551181</v>
      </c>
    </row>
    <row r="221" spans="1:2" x14ac:dyDescent="0.25">
      <c r="A221" t="s">
        <v>224</v>
      </c>
      <c r="B221" s="149">
        <v>5.9055118110236222</v>
      </c>
    </row>
    <row r="222" spans="1:2" x14ac:dyDescent="0.25">
      <c r="A222" t="s">
        <v>225</v>
      </c>
      <c r="B222" s="149">
        <v>11.811023622047244</v>
      </c>
    </row>
    <row r="223" spans="1:2" x14ac:dyDescent="0.25">
      <c r="A223" t="s">
        <v>226</v>
      </c>
      <c r="B223" s="149">
        <v>2.9527559055118111</v>
      </c>
    </row>
    <row r="224" spans="1:2" x14ac:dyDescent="0.25">
      <c r="A224" t="s">
        <v>227</v>
      </c>
      <c r="B224" s="149">
        <v>2.9527559055118111</v>
      </c>
    </row>
    <row r="225" spans="1:2" x14ac:dyDescent="0.25">
      <c r="A225" t="s">
        <v>228</v>
      </c>
      <c r="B225" s="149">
        <v>1.9685039370078741</v>
      </c>
    </row>
    <row r="226" spans="1:2" x14ac:dyDescent="0.25">
      <c r="A226" t="s">
        <v>229</v>
      </c>
      <c r="B226" s="149">
        <v>0.98425196850393704</v>
      </c>
    </row>
    <row r="227" spans="1:2" x14ac:dyDescent="0.25">
      <c r="A227" t="s">
        <v>230</v>
      </c>
      <c r="B227" s="149">
        <v>2.9527559055118111</v>
      </c>
    </row>
    <row r="228" spans="1:2" x14ac:dyDescent="0.25">
      <c r="A228" t="s">
        <v>231</v>
      </c>
      <c r="B228" s="149">
        <v>4.9212598425196852</v>
      </c>
    </row>
    <row r="229" spans="1:2" x14ac:dyDescent="0.25">
      <c r="A229" t="s">
        <v>232</v>
      </c>
      <c r="B229" s="149">
        <v>3.9370078740157481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AF82-DE3D-42D3-AF84-7382C6A03CD9}">
  <dimension ref="A1:D228"/>
  <sheetViews>
    <sheetView workbookViewId="0"/>
  </sheetViews>
  <sheetFormatPr defaultRowHeight="15" x14ac:dyDescent="0.25"/>
  <sheetData>
    <row r="1" spans="1:4" x14ac:dyDescent="0.25">
      <c r="A1">
        <v>2</v>
      </c>
      <c r="B1">
        <v>6</v>
      </c>
      <c r="D1" t="str">
        <f t="shared" ref="D1:D64" si="0">_xlfn.CONCAT("p",TEXT(A1,"00"),"-",TEXT(B1,"0"))</f>
        <v>p02-6</v>
      </c>
    </row>
    <row r="2" spans="1:4" x14ac:dyDescent="0.25">
      <c r="A2">
        <v>2</v>
      </c>
      <c r="B2">
        <v>5</v>
      </c>
      <c r="D2" t="str">
        <f t="shared" si="0"/>
        <v>p02-5</v>
      </c>
    </row>
    <row r="3" spans="1:4" x14ac:dyDescent="0.25">
      <c r="A3">
        <v>2</v>
      </c>
      <c r="B3">
        <v>4</v>
      </c>
      <c r="D3" t="str">
        <f t="shared" si="0"/>
        <v>p02-4</v>
      </c>
    </row>
    <row r="4" spans="1:4" x14ac:dyDescent="0.25">
      <c r="A4">
        <v>2</v>
      </c>
      <c r="B4">
        <v>3</v>
      </c>
      <c r="D4" t="str">
        <f t="shared" si="0"/>
        <v>p02-3</v>
      </c>
    </row>
    <row r="5" spans="1:4" x14ac:dyDescent="0.25">
      <c r="A5">
        <v>2</v>
      </c>
      <c r="B5">
        <v>2</v>
      </c>
      <c r="D5" t="str">
        <f t="shared" si="0"/>
        <v>p02-2</v>
      </c>
    </row>
    <row r="6" spans="1:4" x14ac:dyDescent="0.25">
      <c r="A6">
        <v>2</v>
      </c>
      <c r="B6">
        <v>1</v>
      </c>
      <c r="D6" t="str">
        <f t="shared" si="0"/>
        <v>p02-1</v>
      </c>
    </row>
    <row r="7" spans="1:4" x14ac:dyDescent="0.25">
      <c r="A7">
        <v>4</v>
      </c>
      <c r="B7">
        <v>6</v>
      </c>
      <c r="D7" t="str">
        <f t="shared" si="0"/>
        <v>p04-6</v>
      </c>
    </row>
    <row r="8" spans="1:4" x14ac:dyDescent="0.25">
      <c r="A8">
        <v>4</v>
      </c>
      <c r="B8">
        <v>5</v>
      </c>
      <c r="D8" t="str">
        <f t="shared" si="0"/>
        <v>p04-5</v>
      </c>
    </row>
    <row r="9" spans="1:4" x14ac:dyDescent="0.25">
      <c r="A9">
        <v>4</v>
      </c>
      <c r="B9">
        <v>4</v>
      </c>
      <c r="D9" t="str">
        <f t="shared" si="0"/>
        <v>p04-4</v>
      </c>
    </row>
    <row r="10" spans="1:4" x14ac:dyDescent="0.25">
      <c r="A10">
        <v>4</v>
      </c>
      <c r="B10">
        <v>3</v>
      </c>
      <c r="D10" t="str">
        <f t="shared" si="0"/>
        <v>p04-3</v>
      </c>
    </row>
    <row r="11" spans="1:4" x14ac:dyDescent="0.25">
      <c r="A11">
        <v>4</v>
      </c>
      <c r="B11">
        <v>2</v>
      </c>
      <c r="D11" t="str">
        <f t="shared" si="0"/>
        <v>p04-2</v>
      </c>
    </row>
    <row r="12" spans="1:4" x14ac:dyDescent="0.25">
      <c r="A12">
        <v>4</v>
      </c>
      <c r="B12">
        <v>1</v>
      </c>
      <c r="D12" t="str">
        <f t="shared" si="0"/>
        <v>p04-1</v>
      </c>
    </row>
    <row r="13" spans="1:4" x14ac:dyDescent="0.25">
      <c r="A13">
        <v>5</v>
      </c>
      <c r="B13">
        <v>6</v>
      </c>
      <c r="D13" t="str">
        <f t="shared" si="0"/>
        <v>p05-6</v>
      </c>
    </row>
    <row r="14" spans="1:4" x14ac:dyDescent="0.25">
      <c r="A14">
        <v>5</v>
      </c>
      <c r="B14">
        <v>5</v>
      </c>
      <c r="D14" t="str">
        <f t="shared" si="0"/>
        <v>p05-5</v>
      </c>
    </row>
    <row r="15" spans="1:4" x14ac:dyDescent="0.25">
      <c r="A15">
        <v>5</v>
      </c>
      <c r="B15">
        <v>4</v>
      </c>
      <c r="D15" t="str">
        <f t="shared" si="0"/>
        <v>p05-4</v>
      </c>
    </row>
    <row r="16" spans="1:4" x14ac:dyDescent="0.25">
      <c r="A16">
        <v>5</v>
      </c>
      <c r="B16">
        <v>3</v>
      </c>
      <c r="D16" t="str">
        <f t="shared" si="0"/>
        <v>p05-3</v>
      </c>
    </row>
    <row r="17" spans="1:4" x14ac:dyDescent="0.25">
      <c r="A17">
        <v>5</v>
      </c>
      <c r="B17">
        <v>2</v>
      </c>
      <c r="D17" t="str">
        <f t="shared" si="0"/>
        <v>p05-2</v>
      </c>
    </row>
    <row r="18" spans="1:4" x14ac:dyDescent="0.25">
      <c r="A18">
        <v>5</v>
      </c>
      <c r="B18">
        <v>1</v>
      </c>
      <c r="D18" t="str">
        <f t="shared" si="0"/>
        <v>p05-1</v>
      </c>
    </row>
    <row r="19" spans="1:4" x14ac:dyDescent="0.25">
      <c r="A19">
        <v>6</v>
      </c>
      <c r="B19">
        <v>6</v>
      </c>
      <c r="D19" t="str">
        <f t="shared" si="0"/>
        <v>p06-6</v>
      </c>
    </row>
    <row r="20" spans="1:4" x14ac:dyDescent="0.25">
      <c r="A20">
        <v>6</v>
      </c>
      <c r="B20">
        <v>5</v>
      </c>
      <c r="D20" t="str">
        <f t="shared" si="0"/>
        <v>p06-5</v>
      </c>
    </row>
    <row r="21" spans="1:4" x14ac:dyDescent="0.25">
      <c r="A21">
        <v>6</v>
      </c>
      <c r="B21">
        <v>4</v>
      </c>
      <c r="D21" t="str">
        <f t="shared" si="0"/>
        <v>p06-4</v>
      </c>
    </row>
    <row r="22" spans="1:4" x14ac:dyDescent="0.25">
      <c r="A22">
        <v>6</v>
      </c>
      <c r="B22">
        <v>3</v>
      </c>
      <c r="D22" t="str">
        <f t="shared" si="0"/>
        <v>p06-3</v>
      </c>
    </row>
    <row r="23" spans="1:4" x14ac:dyDescent="0.25">
      <c r="A23">
        <v>6</v>
      </c>
      <c r="B23">
        <v>2</v>
      </c>
      <c r="D23" t="str">
        <f t="shared" si="0"/>
        <v>p06-2</v>
      </c>
    </row>
    <row r="24" spans="1:4" x14ac:dyDescent="0.25">
      <c r="A24">
        <v>6</v>
      </c>
      <c r="B24">
        <v>1</v>
      </c>
      <c r="D24" t="str">
        <f t="shared" si="0"/>
        <v>p06-1</v>
      </c>
    </row>
    <row r="25" spans="1:4" x14ac:dyDescent="0.25">
      <c r="A25">
        <v>7</v>
      </c>
      <c r="B25">
        <v>6</v>
      </c>
      <c r="D25" t="str">
        <f t="shared" si="0"/>
        <v>p07-6</v>
      </c>
    </row>
    <row r="26" spans="1:4" x14ac:dyDescent="0.25">
      <c r="A26">
        <v>7</v>
      </c>
      <c r="B26">
        <v>5</v>
      </c>
      <c r="D26" t="str">
        <f t="shared" si="0"/>
        <v>p07-5</v>
      </c>
    </row>
    <row r="27" spans="1:4" x14ac:dyDescent="0.25">
      <c r="A27">
        <v>7</v>
      </c>
      <c r="B27">
        <v>4</v>
      </c>
      <c r="D27" t="str">
        <f t="shared" si="0"/>
        <v>p07-4</v>
      </c>
    </row>
    <row r="28" spans="1:4" x14ac:dyDescent="0.25">
      <c r="A28">
        <v>7</v>
      </c>
      <c r="B28">
        <v>3</v>
      </c>
      <c r="D28" t="str">
        <f t="shared" si="0"/>
        <v>p07-3</v>
      </c>
    </row>
    <row r="29" spans="1:4" x14ac:dyDescent="0.25">
      <c r="A29">
        <v>7</v>
      </c>
      <c r="B29">
        <v>2</v>
      </c>
      <c r="D29" t="str">
        <f t="shared" si="0"/>
        <v>p07-2</v>
      </c>
    </row>
    <row r="30" spans="1:4" x14ac:dyDescent="0.25">
      <c r="A30">
        <v>7</v>
      </c>
      <c r="B30">
        <v>1</v>
      </c>
      <c r="D30" t="str">
        <f t="shared" si="0"/>
        <v>p07-1</v>
      </c>
    </row>
    <row r="31" spans="1:4" x14ac:dyDescent="0.25">
      <c r="A31">
        <v>8</v>
      </c>
      <c r="B31">
        <v>6</v>
      </c>
      <c r="D31" t="str">
        <f t="shared" si="0"/>
        <v>p08-6</v>
      </c>
    </row>
    <row r="32" spans="1:4" x14ac:dyDescent="0.25">
      <c r="A32">
        <v>8</v>
      </c>
      <c r="B32">
        <v>5</v>
      </c>
      <c r="D32" t="str">
        <f t="shared" si="0"/>
        <v>p08-5</v>
      </c>
    </row>
    <row r="33" spans="1:4" x14ac:dyDescent="0.25">
      <c r="A33">
        <v>8</v>
      </c>
      <c r="B33">
        <v>4</v>
      </c>
      <c r="D33" t="str">
        <f t="shared" si="0"/>
        <v>p08-4</v>
      </c>
    </row>
    <row r="34" spans="1:4" x14ac:dyDescent="0.25">
      <c r="A34">
        <v>8</v>
      </c>
      <c r="B34">
        <v>3</v>
      </c>
      <c r="D34" t="str">
        <f t="shared" si="0"/>
        <v>p08-3</v>
      </c>
    </row>
    <row r="35" spans="1:4" x14ac:dyDescent="0.25">
      <c r="A35">
        <v>8</v>
      </c>
      <c r="B35">
        <v>2</v>
      </c>
      <c r="D35" t="str">
        <f t="shared" si="0"/>
        <v>p08-2</v>
      </c>
    </row>
    <row r="36" spans="1:4" x14ac:dyDescent="0.25">
      <c r="A36">
        <v>8</v>
      </c>
      <c r="B36">
        <v>1</v>
      </c>
      <c r="D36" t="str">
        <f t="shared" si="0"/>
        <v>p08-1</v>
      </c>
    </row>
    <row r="37" spans="1:4" x14ac:dyDescent="0.25">
      <c r="A37">
        <v>18</v>
      </c>
      <c r="B37">
        <v>6</v>
      </c>
      <c r="D37" t="str">
        <f t="shared" si="0"/>
        <v>p18-6</v>
      </c>
    </row>
    <row r="38" spans="1:4" x14ac:dyDescent="0.25">
      <c r="A38">
        <v>18</v>
      </c>
      <c r="B38">
        <v>5</v>
      </c>
      <c r="D38" t="str">
        <f t="shared" si="0"/>
        <v>p18-5</v>
      </c>
    </row>
    <row r="39" spans="1:4" x14ac:dyDescent="0.25">
      <c r="A39">
        <v>18</v>
      </c>
      <c r="B39">
        <v>4</v>
      </c>
      <c r="D39" t="str">
        <f t="shared" si="0"/>
        <v>p18-4</v>
      </c>
    </row>
    <row r="40" spans="1:4" x14ac:dyDescent="0.25">
      <c r="A40">
        <v>18</v>
      </c>
      <c r="B40">
        <v>3</v>
      </c>
      <c r="D40" t="str">
        <f t="shared" si="0"/>
        <v>p18-3</v>
      </c>
    </row>
    <row r="41" spans="1:4" x14ac:dyDescent="0.25">
      <c r="A41">
        <v>18</v>
      </c>
      <c r="B41">
        <v>2</v>
      </c>
      <c r="D41" t="str">
        <f t="shared" si="0"/>
        <v>p18-2</v>
      </c>
    </row>
    <row r="42" spans="1:4" x14ac:dyDescent="0.25">
      <c r="A42">
        <v>18</v>
      </c>
      <c r="B42">
        <v>1</v>
      </c>
      <c r="D42" t="str">
        <f t="shared" si="0"/>
        <v>p18-1</v>
      </c>
    </row>
    <row r="43" spans="1:4" x14ac:dyDescent="0.25">
      <c r="A43">
        <v>17</v>
      </c>
      <c r="B43">
        <v>6</v>
      </c>
      <c r="D43" t="str">
        <f t="shared" si="0"/>
        <v>p17-6</v>
      </c>
    </row>
    <row r="44" spans="1:4" x14ac:dyDescent="0.25">
      <c r="A44">
        <v>17</v>
      </c>
      <c r="B44">
        <v>5</v>
      </c>
      <c r="D44" t="str">
        <f t="shared" si="0"/>
        <v>p17-5</v>
      </c>
    </row>
    <row r="45" spans="1:4" x14ac:dyDescent="0.25">
      <c r="A45">
        <v>17</v>
      </c>
      <c r="B45">
        <v>4</v>
      </c>
      <c r="D45" t="str">
        <f t="shared" si="0"/>
        <v>p17-4</v>
      </c>
    </row>
    <row r="46" spans="1:4" x14ac:dyDescent="0.25">
      <c r="A46">
        <v>17</v>
      </c>
      <c r="B46">
        <v>3</v>
      </c>
      <c r="D46" t="str">
        <f t="shared" si="0"/>
        <v>p17-3</v>
      </c>
    </row>
    <row r="47" spans="1:4" x14ac:dyDescent="0.25">
      <c r="A47">
        <v>17</v>
      </c>
      <c r="B47">
        <v>2</v>
      </c>
      <c r="D47" t="str">
        <f t="shared" si="0"/>
        <v>p17-2</v>
      </c>
    </row>
    <row r="48" spans="1:4" x14ac:dyDescent="0.25">
      <c r="A48">
        <v>17</v>
      </c>
      <c r="B48">
        <v>1</v>
      </c>
      <c r="D48" t="str">
        <f t="shared" si="0"/>
        <v>p17-1</v>
      </c>
    </row>
    <row r="49" spans="1:4" x14ac:dyDescent="0.25">
      <c r="A49">
        <v>16</v>
      </c>
      <c r="B49">
        <v>6</v>
      </c>
      <c r="D49" t="str">
        <f t="shared" si="0"/>
        <v>p16-6</v>
      </c>
    </row>
    <row r="50" spans="1:4" x14ac:dyDescent="0.25">
      <c r="A50">
        <v>16</v>
      </c>
      <c r="B50">
        <v>5</v>
      </c>
      <c r="D50" t="str">
        <f t="shared" si="0"/>
        <v>p16-5</v>
      </c>
    </row>
    <row r="51" spans="1:4" x14ac:dyDescent="0.25">
      <c r="A51">
        <v>16</v>
      </c>
      <c r="B51">
        <v>4</v>
      </c>
      <c r="D51" t="str">
        <f t="shared" si="0"/>
        <v>p16-4</v>
      </c>
    </row>
    <row r="52" spans="1:4" x14ac:dyDescent="0.25">
      <c r="A52">
        <v>16</v>
      </c>
      <c r="B52">
        <v>3</v>
      </c>
      <c r="D52" t="str">
        <f t="shared" si="0"/>
        <v>p16-3</v>
      </c>
    </row>
    <row r="53" spans="1:4" x14ac:dyDescent="0.25">
      <c r="A53">
        <v>16</v>
      </c>
      <c r="B53">
        <v>2</v>
      </c>
      <c r="D53" t="str">
        <f t="shared" si="0"/>
        <v>p16-2</v>
      </c>
    </row>
    <row r="54" spans="1:4" x14ac:dyDescent="0.25">
      <c r="A54">
        <v>16</v>
      </c>
      <c r="B54">
        <v>1</v>
      </c>
      <c r="D54" t="str">
        <f t="shared" si="0"/>
        <v>p16-1</v>
      </c>
    </row>
    <row r="55" spans="1:4" x14ac:dyDescent="0.25">
      <c r="A55">
        <v>15</v>
      </c>
      <c r="B55">
        <v>6</v>
      </c>
      <c r="D55" t="str">
        <f t="shared" si="0"/>
        <v>p15-6</v>
      </c>
    </row>
    <row r="56" spans="1:4" x14ac:dyDescent="0.25">
      <c r="A56">
        <v>15</v>
      </c>
      <c r="B56">
        <v>5</v>
      </c>
      <c r="D56" t="str">
        <f t="shared" si="0"/>
        <v>p15-5</v>
      </c>
    </row>
    <row r="57" spans="1:4" x14ac:dyDescent="0.25">
      <c r="A57">
        <v>15</v>
      </c>
      <c r="B57">
        <v>4</v>
      </c>
      <c r="D57" t="str">
        <f t="shared" si="0"/>
        <v>p15-4</v>
      </c>
    </row>
    <row r="58" spans="1:4" x14ac:dyDescent="0.25">
      <c r="A58">
        <v>15</v>
      </c>
      <c r="B58">
        <v>3</v>
      </c>
      <c r="D58" t="str">
        <f t="shared" si="0"/>
        <v>p15-3</v>
      </c>
    </row>
    <row r="59" spans="1:4" x14ac:dyDescent="0.25">
      <c r="A59">
        <v>15</v>
      </c>
      <c r="B59">
        <v>2</v>
      </c>
      <c r="D59" t="str">
        <f t="shared" si="0"/>
        <v>p15-2</v>
      </c>
    </row>
    <row r="60" spans="1:4" x14ac:dyDescent="0.25">
      <c r="A60">
        <v>15</v>
      </c>
      <c r="B60">
        <v>1</v>
      </c>
      <c r="D60" t="str">
        <f t="shared" si="0"/>
        <v>p15-1</v>
      </c>
    </row>
    <row r="61" spans="1:4" x14ac:dyDescent="0.25">
      <c r="A61">
        <v>14</v>
      </c>
      <c r="B61">
        <v>6</v>
      </c>
      <c r="D61" t="str">
        <f t="shared" si="0"/>
        <v>p14-6</v>
      </c>
    </row>
    <row r="62" spans="1:4" x14ac:dyDescent="0.25">
      <c r="A62">
        <v>14</v>
      </c>
      <c r="B62">
        <v>5</v>
      </c>
      <c r="D62" t="str">
        <f t="shared" si="0"/>
        <v>p14-5</v>
      </c>
    </row>
    <row r="63" spans="1:4" x14ac:dyDescent="0.25">
      <c r="A63">
        <v>14</v>
      </c>
      <c r="B63">
        <v>4</v>
      </c>
      <c r="D63" t="str">
        <f t="shared" si="0"/>
        <v>p14-4</v>
      </c>
    </row>
    <row r="64" spans="1:4" x14ac:dyDescent="0.25">
      <c r="A64">
        <v>14</v>
      </c>
      <c r="B64">
        <v>3</v>
      </c>
      <c r="D64" t="str">
        <f t="shared" si="0"/>
        <v>p14-3</v>
      </c>
    </row>
    <row r="65" spans="1:4" x14ac:dyDescent="0.25">
      <c r="A65">
        <v>14</v>
      </c>
      <c r="B65">
        <v>2</v>
      </c>
      <c r="D65" t="str">
        <f t="shared" ref="D65:D128" si="1">_xlfn.CONCAT("p",TEXT(A65,"00"),"-",TEXT(B65,"0"))</f>
        <v>p14-2</v>
      </c>
    </row>
    <row r="66" spans="1:4" x14ac:dyDescent="0.25">
      <c r="A66">
        <v>14</v>
      </c>
      <c r="B66">
        <v>1</v>
      </c>
      <c r="D66" t="str">
        <f t="shared" si="1"/>
        <v>p14-1</v>
      </c>
    </row>
    <row r="67" spans="1:4" x14ac:dyDescent="0.25">
      <c r="A67">
        <v>13</v>
      </c>
      <c r="B67">
        <v>6</v>
      </c>
      <c r="D67" t="str">
        <f t="shared" si="1"/>
        <v>p13-6</v>
      </c>
    </row>
    <row r="68" spans="1:4" x14ac:dyDescent="0.25">
      <c r="A68">
        <v>13</v>
      </c>
      <c r="B68">
        <v>5</v>
      </c>
      <c r="D68" t="str">
        <f t="shared" si="1"/>
        <v>p13-5</v>
      </c>
    </row>
    <row r="69" spans="1:4" x14ac:dyDescent="0.25">
      <c r="A69">
        <v>13</v>
      </c>
      <c r="B69">
        <v>4</v>
      </c>
      <c r="D69" t="str">
        <f t="shared" si="1"/>
        <v>p13-4</v>
      </c>
    </row>
    <row r="70" spans="1:4" x14ac:dyDescent="0.25">
      <c r="A70">
        <v>13</v>
      </c>
      <c r="B70">
        <v>3</v>
      </c>
      <c r="D70" t="str">
        <f t="shared" si="1"/>
        <v>p13-3</v>
      </c>
    </row>
    <row r="71" spans="1:4" x14ac:dyDescent="0.25">
      <c r="A71">
        <v>13</v>
      </c>
      <c r="B71">
        <v>2</v>
      </c>
      <c r="D71" t="str">
        <f t="shared" si="1"/>
        <v>p13-2</v>
      </c>
    </row>
    <row r="72" spans="1:4" x14ac:dyDescent="0.25">
      <c r="A72">
        <v>13</v>
      </c>
      <c r="B72">
        <v>1</v>
      </c>
      <c r="D72" t="str">
        <f t="shared" si="1"/>
        <v>p13-1</v>
      </c>
    </row>
    <row r="73" spans="1:4" x14ac:dyDescent="0.25">
      <c r="A73">
        <v>12</v>
      </c>
      <c r="B73">
        <v>6</v>
      </c>
      <c r="D73" t="str">
        <f t="shared" si="1"/>
        <v>p12-6</v>
      </c>
    </row>
    <row r="74" spans="1:4" x14ac:dyDescent="0.25">
      <c r="A74">
        <v>12</v>
      </c>
      <c r="B74">
        <v>5</v>
      </c>
      <c r="D74" t="str">
        <f t="shared" si="1"/>
        <v>p12-5</v>
      </c>
    </row>
    <row r="75" spans="1:4" x14ac:dyDescent="0.25">
      <c r="A75">
        <v>12</v>
      </c>
      <c r="B75">
        <v>4</v>
      </c>
      <c r="D75" t="str">
        <f t="shared" si="1"/>
        <v>p12-4</v>
      </c>
    </row>
    <row r="76" spans="1:4" x14ac:dyDescent="0.25">
      <c r="A76">
        <v>12</v>
      </c>
      <c r="B76">
        <v>3</v>
      </c>
      <c r="D76" t="str">
        <f t="shared" si="1"/>
        <v>p12-3</v>
      </c>
    </row>
    <row r="77" spans="1:4" x14ac:dyDescent="0.25">
      <c r="A77">
        <v>12</v>
      </c>
      <c r="B77">
        <v>2</v>
      </c>
      <c r="D77" t="str">
        <f t="shared" si="1"/>
        <v>p12-2</v>
      </c>
    </row>
    <row r="78" spans="1:4" x14ac:dyDescent="0.25">
      <c r="A78">
        <v>12</v>
      </c>
      <c r="B78">
        <v>1</v>
      </c>
      <c r="D78" t="str">
        <f t="shared" si="1"/>
        <v>p12-1</v>
      </c>
    </row>
    <row r="79" spans="1:4" x14ac:dyDescent="0.25">
      <c r="A79">
        <v>11</v>
      </c>
      <c r="B79">
        <v>6</v>
      </c>
      <c r="D79" t="str">
        <f t="shared" si="1"/>
        <v>p11-6</v>
      </c>
    </row>
    <row r="80" spans="1:4" x14ac:dyDescent="0.25">
      <c r="A80">
        <v>11</v>
      </c>
      <c r="B80">
        <v>5</v>
      </c>
      <c r="D80" t="str">
        <f t="shared" si="1"/>
        <v>p11-5</v>
      </c>
    </row>
    <row r="81" spans="1:4" x14ac:dyDescent="0.25">
      <c r="A81">
        <v>11</v>
      </c>
      <c r="B81">
        <v>4</v>
      </c>
      <c r="D81" t="str">
        <f t="shared" si="1"/>
        <v>p11-4</v>
      </c>
    </row>
    <row r="82" spans="1:4" x14ac:dyDescent="0.25">
      <c r="A82">
        <v>11</v>
      </c>
      <c r="B82">
        <v>3</v>
      </c>
      <c r="D82" t="str">
        <f t="shared" si="1"/>
        <v>p11-3</v>
      </c>
    </row>
    <row r="83" spans="1:4" x14ac:dyDescent="0.25">
      <c r="A83">
        <v>11</v>
      </c>
      <c r="B83">
        <v>2</v>
      </c>
      <c r="D83" t="str">
        <f t="shared" si="1"/>
        <v>p11-2</v>
      </c>
    </row>
    <row r="84" spans="1:4" x14ac:dyDescent="0.25">
      <c r="A84">
        <v>11</v>
      </c>
      <c r="B84">
        <v>1</v>
      </c>
      <c r="D84" t="str">
        <f t="shared" si="1"/>
        <v>p11-1</v>
      </c>
    </row>
    <row r="85" spans="1:4" x14ac:dyDescent="0.25">
      <c r="A85">
        <v>21</v>
      </c>
      <c r="B85">
        <v>6</v>
      </c>
      <c r="D85" t="str">
        <f t="shared" si="1"/>
        <v>p21-6</v>
      </c>
    </row>
    <row r="86" spans="1:4" x14ac:dyDescent="0.25">
      <c r="A86">
        <v>21</v>
      </c>
      <c r="B86">
        <v>5</v>
      </c>
      <c r="D86" t="str">
        <f t="shared" si="1"/>
        <v>p21-5</v>
      </c>
    </row>
    <row r="87" spans="1:4" x14ac:dyDescent="0.25">
      <c r="A87">
        <v>21</v>
      </c>
      <c r="B87">
        <v>4</v>
      </c>
      <c r="D87" t="str">
        <f t="shared" si="1"/>
        <v>p21-4</v>
      </c>
    </row>
    <row r="88" spans="1:4" x14ac:dyDescent="0.25">
      <c r="A88">
        <v>21</v>
      </c>
      <c r="B88">
        <v>3</v>
      </c>
      <c r="D88" t="str">
        <f t="shared" si="1"/>
        <v>p21-3</v>
      </c>
    </row>
    <row r="89" spans="1:4" x14ac:dyDescent="0.25">
      <c r="A89">
        <v>21</v>
      </c>
      <c r="B89">
        <v>2</v>
      </c>
      <c r="D89" t="str">
        <f t="shared" si="1"/>
        <v>p21-2</v>
      </c>
    </row>
    <row r="90" spans="1:4" x14ac:dyDescent="0.25">
      <c r="A90">
        <v>21</v>
      </c>
      <c r="B90">
        <v>1</v>
      </c>
      <c r="D90" t="str">
        <f t="shared" si="1"/>
        <v>p21-1</v>
      </c>
    </row>
    <row r="91" spans="1:4" x14ac:dyDescent="0.25">
      <c r="A91">
        <v>22</v>
      </c>
      <c r="B91">
        <v>6</v>
      </c>
      <c r="D91" t="str">
        <f t="shared" si="1"/>
        <v>p22-6</v>
      </c>
    </row>
    <row r="92" spans="1:4" x14ac:dyDescent="0.25">
      <c r="A92">
        <v>22</v>
      </c>
      <c r="B92">
        <v>5</v>
      </c>
      <c r="D92" t="str">
        <f t="shared" si="1"/>
        <v>p22-5</v>
      </c>
    </row>
    <row r="93" spans="1:4" x14ac:dyDescent="0.25">
      <c r="A93">
        <v>22</v>
      </c>
      <c r="B93">
        <v>4</v>
      </c>
      <c r="D93" t="str">
        <f t="shared" si="1"/>
        <v>p22-4</v>
      </c>
    </row>
    <row r="94" spans="1:4" x14ac:dyDescent="0.25">
      <c r="A94">
        <v>22</v>
      </c>
      <c r="B94">
        <v>3</v>
      </c>
      <c r="D94" t="str">
        <f t="shared" si="1"/>
        <v>p22-3</v>
      </c>
    </row>
    <row r="95" spans="1:4" x14ac:dyDescent="0.25">
      <c r="A95">
        <v>22</v>
      </c>
      <c r="B95">
        <v>2</v>
      </c>
      <c r="D95" t="str">
        <f t="shared" si="1"/>
        <v>p22-2</v>
      </c>
    </row>
    <row r="96" spans="1:4" x14ac:dyDescent="0.25">
      <c r="A96">
        <v>22</v>
      </c>
      <c r="B96">
        <v>1</v>
      </c>
      <c r="D96" t="str">
        <f t="shared" si="1"/>
        <v>p22-1</v>
      </c>
    </row>
    <row r="97" spans="1:4" x14ac:dyDescent="0.25">
      <c r="A97">
        <v>23</v>
      </c>
      <c r="B97">
        <v>6</v>
      </c>
      <c r="D97" t="str">
        <f t="shared" si="1"/>
        <v>p23-6</v>
      </c>
    </row>
    <row r="98" spans="1:4" x14ac:dyDescent="0.25">
      <c r="A98">
        <v>23</v>
      </c>
      <c r="B98">
        <v>5</v>
      </c>
      <c r="D98" t="str">
        <f t="shared" si="1"/>
        <v>p23-5</v>
      </c>
    </row>
    <row r="99" spans="1:4" x14ac:dyDescent="0.25">
      <c r="A99">
        <v>23</v>
      </c>
      <c r="B99">
        <v>4</v>
      </c>
      <c r="D99" t="str">
        <f t="shared" si="1"/>
        <v>p23-4</v>
      </c>
    </row>
    <row r="100" spans="1:4" x14ac:dyDescent="0.25">
      <c r="A100">
        <v>23</v>
      </c>
      <c r="B100">
        <v>3</v>
      </c>
      <c r="D100" t="str">
        <f t="shared" si="1"/>
        <v>p23-3</v>
      </c>
    </row>
    <row r="101" spans="1:4" x14ac:dyDescent="0.25">
      <c r="A101">
        <v>23</v>
      </c>
      <c r="B101">
        <v>2</v>
      </c>
      <c r="D101" t="str">
        <f t="shared" si="1"/>
        <v>p23-2</v>
      </c>
    </row>
    <row r="102" spans="1:4" x14ac:dyDescent="0.25">
      <c r="A102">
        <v>23</v>
      </c>
      <c r="B102">
        <v>1</v>
      </c>
      <c r="D102" t="str">
        <f t="shared" si="1"/>
        <v>p23-1</v>
      </c>
    </row>
    <row r="103" spans="1:4" x14ac:dyDescent="0.25">
      <c r="A103">
        <v>24</v>
      </c>
      <c r="B103">
        <v>6</v>
      </c>
      <c r="D103" t="str">
        <f t="shared" si="1"/>
        <v>p24-6</v>
      </c>
    </row>
    <row r="104" spans="1:4" x14ac:dyDescent="0.25">
      <c r="A104">
        <v>24</v>
      </c>
      <c r="B104">
        <v>5</v>
      </c>
      <c r="D104" t="str">
        <f t="shared" si="1"/>
        <v>p24-5</v>
      </c>
    </row>
    <row r="105" spans="1:4" x14ac:dyDescent="0.25">
      <c r="A105">
        <v>24</v>
      </c>
      <c r="B105">
        <v>4</v>
      </c>
      <c r="D105" t="str">
        <f t="shared" si="1"/>
        <v>p24-4</v>
      </c>
    </row>
    <row r="106" spans="1:4" x14ac:dyDescent="0.25">
      <c r="A106">
        <v>24</v>
      </c>
      <c r="B106">
        <v>3</v>
      </c>
      <c r="D106" t="str">
        <f t="shared" si="1"/>
        <v>p24-3</v>
      </c>
    </row>
    <row r="107" spans="1:4" x14ac:dyDescent="0.25">
      <c r="A107">
        <v>24</v>
      </c>
      <c r="B107">
        <v>2</v>
      </c>
      <c r="D107" t="str">
        <f t="shared" si="1"/>
        <v>p24-2</v>
      </c>
    </row>
    <row r="108" spans="1:4" x14ac:dyDescent="0.25">
      <c r="A108">
        <v>24</v>
      </c>
      <c r="B108">
        <v>1</v>
      </c>
      <c r="D108" t="str">
        <f t="shared" si="1"/>
        <v>p24-1</v>
      </c>
    </row>
    <row r="109" spans="1:4" x14ac:dyDescent="0.25">
      <c r="A109">
        <v>25</v>
      </c>
      <c r="B109">
        <v>6</v>
      </c>
      <c r="D109" t="str">
        <f t="shared" si="1"/>
        <v>p25-6</v>
      </c>
    </row>
    <row r="110" spans="1:4" x14ac:dyDescent="0.25">
      <c r="A110">
        <v>25</v>
      </c>
      <c r="B110">
        <v>5</v>
      </c>
      <c r="D110" t="str">
        <f t="shared" si="1"/>
        <v>p25-5</v>
      </c>
    </row>
    <row r="111" spans="1:4" x14ac:dyDescent="0.25">
      <c r="A111">
        <v>25</v>
      </c>
      <c r="B111">
        <v>4</v>
      </c>
      <c r="D111" t="str">
        <f t="shared" si="1"/>
        <v>p25-4</v>
      </c>
    </row>
    <row r="112" spans="1:4" x14ac:dyDescent="0.25">
      <c r="A112">
        <v>25</v>
      </c>
      <c r="B112">
        <v>3</v>
      </c>
      <c r="D112" t="str">
        <f t="shared" si="1"/>
        <v>p25-3</v>
      </c>
    </row>
    <row r="113" spans="1:4" x14ac:dyDescent="0.25">
      <c r="A113">
        <v>25</v>
      </c>
      <c r="B113">
        <v>2</v>
      </c>
      <c r="D113" t="str">
        <f t="shared" si="1"/>
        <v>p25-2</v>
      </c>
    </row>
    <row r="114" spans="1:4" x14ac:dyDescent="0.25">
      <c r="A114">
        <v>25</v>
      </c>
      <c r="B114">
        <v>1</v>
      </c>
      <c r="D114" t="str">
        <f t="shared" si="1"/>
        <v>p25-1</v>
      </c>
    </row>
    <row r="115" spans="1:4" x14ac:dyDescent="0.25">
      <c r="A115">
        <v>26</v>
      </c>
      <c r="B115">
        <v>6</v>
      </c>
      <c r="D115" t="str">
        <f t="shared" si="1"/>
        <v>p26-6</v>
      </c>
    </row>
    <row r="116" spans="1:4" x14ac:dyDescent="0.25">
      <c r="A116">
        <v>26</v>
      </c>
      <c r="B116">
        <v>5</v>
      </c>
      <c r="D116" t="str">
        <f t="shared" si="1"/>
        <v>p26-5</v>
      </c>
    </row>
    <row r="117" spans="1:4" x14ac:dyDescent="0.25">
      <c r="A117">
        <v>26</v>
      </c>
      <c r="B117">
        <v>4</v>
      </c>
      <c r="D117" t="str">
        <f t="shared" si="1"/>
        <v>p26-4</v>
      </c>
    </row>
    <row r="118" spans="1:4" x14ac:dyDescent="0.25">
      <c r="A118">
        <v>26</v>
      </c>
      <c r="B118">
        <v>3</v>
      </c>
      <c r="D118" t="str">
        <f t="shared" si="1"/>
        <v>p26-3</v>
      </c>
    </row>
    <row r="119" spans="1:4" x14ac:dyDescent="0.25">
      <c r="A119">
        <v>26</v>
      </c>
      <c r="B119">
        <v>2</v>
      </c>
      <c r="D119" t="str">
        <f t="shared" si="1"/>
        <v>p26-2</v>
      </c>
    </row>
    <row r="120" spans="1:4" x14ac:dyDescent="0.25">
      <c r="A120">
        <v>26</v>
      </c>
      <c r="B120">
        <v>1</v>
      </c>
      <c r="D120" t="str">
        <f t="shared" si="1"/>
        <v>p26-1</v>
      </c>
    </row>
    <row r="121" spans="1:4" x14ac:dyDescent="0.25">
      <c r="A121">
        <v>27</v>
      </c>
      <c r="B121">
        <v>6</v>
      </c>
      <c r="D121" t="str">
        <f t="shared" si="1"/>
        <v>p27-6</v>
      </c>
    </row>
    <row r="122" spans="1:4" x14ac:dyDescent="0.25">
      <c r="A122">
        <v>27</v>
      </c>
      <c r="B122">
        <v>5</v>
      </c>
      <c r="D122" t="str">
        <f t="shared" si="1"/>
        <v>p27-5</v>
      </c>
    </row>
    <row r="123" spans="1:4" x14ac:dyDescent="0.25">
      <c r="A123">
        <v>27</v>
      </c>
      <c r="B123">
        <v>4</v>
      </c>
      <c r="D123" t="str">
        <f t="shared" si="1"/>
        <v>p27-4</v>
      </c>
    </row>
    <row r="124" spans="1:4" x14ac:dyDescent="0.25">
      <c r="A124">
        <v>27</v>
      </c>
      <c r="B124">
        <v>3</v>
      </c>
      <c r="D124" t="str">
        <f t="shared" si="1"/>
        <v>p27-3</v>
      </c>
    </row>
    <row r="125" spans="1:4" x14ac:dyDescent="0.25">
      <c r="A125">
        <v>27</v>
      </c>
      <c r="B125">
        <v>2</v>
      </c>
      <c r="D125" t="str">
        <f t="shared" si="1"/>
        <v>p27-2</v>
      </c>
    </row>
    <row r="126" spans="1:4" x14ac:dyDescent="0.25">
      <c r="A126">
        <v>27</v>
      </c>
      <c r="B126">
        <v>1</v>
      </c>
      <c r="D126" t="str">
        <f t="shared" si="1"/>
        <v>p27-1</v>
      </c>
    </row>
    <row r="127" spans="1:4" x14ac:dyDescent="0.25">
      <c r="A127">
        <v>28</v>
      </c>
      <c r="B127">
        <v>6</v>
      </c>
      <c r="D127" t="str">
        <f t="shared" si="1"/>
        <v>p28-6</v>
      </c>
    </row>
    <row r="128" spans="1:4" x14ac:dyDescent="0.25">
      <c r="A128">
        <v>28</v>
      </c>
      <c r="B128">
        <v>5</v>
      </c>
      <c r="D128" t="str">
        <f t="shared" si="1"/>
        <v>p28-5</v>
      </c>
    </row>
    <row r="129" spans="1:4" x14ac:dyDescent="0.25">
      <c r="A129">
        <v>28</v>
      </c>
      <c r="B129">
        <v>4</v>
      </c>
      <c r="D129" t="str">
        <f t="shared" ref="D129:D192" si="2">_xlfn.CONCAT("p",TEXT(A129,"00"),"-",TEXT(B129,"0"))</f>
        <v>p28-4</v>
      </c>
    </row>
    <row r="130" spans="1:4" x14ac:dyDescent="0.25">
      <c r="A130">
        <v>28</v>
      </c>
      <c r="B130">
        <v>3</v>
      </c>
      <c r="D130" t="str">
        <f t="shared" si="2"/>
        <v>p28-3</v>
      </c>
    </row>
    <row r="131" spans="1:4" x14ac:dyDescent="0.25">
      <c r="A131">
        <v>28</v>
      </c>
      <c r="B131">
        <v>2</v>
      </c>
      <c r="D131" t="str">
        <f t="shared" si="2"/>
        <v>p28-2</v>
      </c>
    </row>
    <row r="132" spans="1:4" x14ac:dyDescent="0.25">
      <c r="A132">
        <v>28</v>
      </c>
      <c r="B132">
        <v>1</v>
      </c>
      <c r="D132" t="str">
        <f t="shared" si="2"/>
        <v>p28-1</v>
      </c>
    </row>
    <row r="133" spans="1:4" x14ac:dyDescent="0.25">
      <c r="A133">
        <v>38</v>
      </c>
      <c r="B133">
        <v>6</v>
      </c>
      <c r="D133" t="str">
        <f t="shared" si="2"/>
        <v>p38-6</v>
      </c>
    </row>
    <row r="134" spans="1:4" x14ac:dyDescent="0.25">
      <c r="A134">
        <v>38</v>
      </c>
      <c r="B134">
        <v>5</v>
      </c>
      <c r="D134" t="str">
        <f t="shared" si="2"/>
        <v>p38-5</v>
      </c>
    </row>
    <row r="135" spans="1:4" x14ac:dyDescent="0.25">
      <c r="A135">
        <v>38</v>
      </c>
      <c r="B135">
        <v>4</v>
      </c>
      <c r="D135" t="str">
        <f t="shared" si="2"/>
        <v>p38-4</v>
      </c>
    </row>
    <row r="136" spans="1:4" x14ac:dyDescent="0.25">
      <c r="A136">
        <v>38</v>
      </c>
      <c r="B136">
        <v>3</v>
      </c>
      <c r="D136" t="str">
        <f t="shared" si="2"/>
        <v>p38-3</v>
      </c>
    </row>
    <row r="137" spans="1:4" x14ac:dyDescent="0.25">
      <c r="A137">
        <v>38</v>
      </c>
      <c r="B137">
        <v>2</v>
      </c>
      <c r="D137" t="str">
        <f t="shared" si="2"/>
        <v>p38-2</v>
      </c>
    </row>
    <row r="138" spans="1:4" x14ac:dyDescent="0.25">
      <c r="A138">
        <v>38</v>
      </c>
      <c r="B138">
        <v>1</v>
      </c>
      <c r="D138" t="str">
        <f t="shared" si="2"/>
        <v>p38-1</v>
      </c>
    </row>
    <row r="139" spans="1:4" x14ac:dyDescent="0.25">
      <c r="A139">
        <v>37</v>
      </c>
      <c r="B139">
        <v>6</v>
      </c>
      <c r="D139" t="str">
        <f t="shared" si="2"/>
        <v>p37-6</v>
      </c>
    </row>
    <row r="140" spans="1:4" x14ac:dyDescent="0.25">
      <c r="A140">
        <v>37</v>
      </c>
      <c r="B140">
        <v>5</v>
      </c>
      <c r="D140" t="str">
        <f t="shared" si="2"/>
        <v>p37-5</v>
      </c>
    </row>
    <row r="141" spans="1:4" x14ac:dyDescent="0.25">
      <c r="A141">
        <v>37</v>
      </c>
      <c r="B141">
        <v>4</v>
      </c>
      <c r="D141" t="str">
        <f t="shared" si="2"/>
        <v>p37-4</v>
      </c>
    </row>
    <row r="142" spans="1:4" x14ac:dyDescent="0.25">
      <c r="A142">
        <v>37</v>
      </c>
      <c r="B142">
        <v>3</v>
      </c>
      <c r="D142" t="str">
        <f t="shared" si="2"/>
        <v>p37-3</v>
      </c>
    </row>
    <row r="143" spans="1:4" x14ac:dyDescent="0.25">
      <c r="A143">
        <v>37</v>
      </c>
      <c r="B143">
        <v>2</v>
      </c>
      <c r="D143" t="str">
        <f t="shared" si="2"/>
        <v>p37-2</v>
      </c>
    </row>
    <row r="144" spans="1:4" x14ac:dyDescent="0.25">
      <c r="A144">
        <v>37</v>
      </c>
      <c r="B144">
        <v>1</v>
      </c>
      <c r="D144" t="str">
        <f t="shared" si="2"/>
        <v>p37-1</v>
      </c>
    </row>
    <row r="145" spans="1:4" x14ac:dyDescent="0.25">
      <c r="A145">
        <v>36</v>
      </c>
      <c r="B145">
        <v>6</v>
      </c>
      <c r="D145" t="str">
        <f t="shared" si="2"/>
        <v>p36-6</v>
      </c>
    </row>
    <row r="146" spans="1:4" x14ac:dyDescent="0.25">
      <c r="A146">
        <v>36</v>
      </c>
      <c r="B146">
        <v>5</v>
      </c>
      <c r="D146" t="str">
        <f t="shared" si="2"/>
        <v>p36-5</v>
      </c>
    </row>
    <row r="147" spans="1:4" x14ac:dyDescent="0.25">
      <c r="A147">
        <v>36</v>
      </c>
      <c r="B147">
        <v>4</v>
      </c>
      <c r="D147" t="str">
        <f t="shared" si="2"/>
        <v>p36-4</v>
      </c>
    </row>
    <row r="148" spans="1:4" x14ac:dyDescent="0.25">
      <c r="A148">
        <v>36</v>
      </c>
      <c r="B148">
        <v>3</v>
      </c>
      <c r="D148" t="str">
        <f t="shared" si="2"/>
        <v>p36-3</v>
      </c>
    </row>
    <row r="149" spans="1:4" x14ac:dyDescent="0.25">
      <c r="A149">
        <v>36</v>
      </c>
      <c r="B149">
        <v>2</v>
      </c>
      <c r="D149" t="str">
        <f t="shared" si="2"/>
        <v>p36-2</v>
      </c>
    </row>
    <row r="150" spans="1:4" x14ac:dyDescent="0.25">
      <c r="A150">
        <v>36</v>
      </c>
      <c r="B150">
        <v>1</v>
      </c>
      <c r="D150" t="str">
        <f t="shared" si="2"/>
        <v>p36-1</v>
      </c>
    </row>
    <row r="151" spans="1:4" x14ac:dyDescent="0.25">
      <c r="A151">
        <v>35</v>
      </c>
      <c r="B151">
        <v>6</v>
      </c>
      <c r="D151" t="str">
        <f t="shared" si="2"/>
        <v>p35-6</v>
      </c>
    </row>
    <row r="152" spans="1:4" x14ac:dyDescent="0.25">
      <c r="A152">
        <v>35</v>
      </c>
      <c r="B152">
        <v>5</v>
      </c>
      <c r="D152" t="str">
        <f t="shared" si="2"/>
        <v>p35-5</v>
      </c>
    </row>
    <row r="153" spans="1:4" x14ac:dyDescent="0.25">
      <c r="A153">
        <v>35</v>
      </c>
      <c r="B153">
        <v>4</v>
      </c>
      <c r="D153" t="str">
        <f t="shared" si="2"/>
        <v>p35-4</v>
      </c>
    </row>
    <row r="154" spans="1:4" x14ac:dyDescent="0.25">
      <c r="A154">
        <v>35</v>
      </c>
      <c r="B154">
        <v>3</v>
      </c>
      <c r="D154" t="str">
        <f t="shared" si="2"/>
        <v>p35-3</v>
      </c>
    </row>
    <row r="155" spans="1:4" x14ac:dyDescent="0.25">
      <c r="A155">
        <v>35</v>
      </c>
      <c r="B155">
        <v>2</v>
      </c>
      <c r="D155" t="str">
        <f t="shared" si="2"/>
        <v>p35-2</v>
      </c>
    </row>
    <row r="156" spans="1:4" x14ac:dyDescent="0.25">
      <c r="A156">
        <v>35</v>
      </c>
      <c r="B156">
        <v>1</v>
      </c>
      <c r="D156" t="str">
        <f t="shared" si="2"/>
        <v>p35-1</v>
      </c>
    </row>
    <row r="157" spans="1:4" x14ac:dyDescent="0.25">
      <c r="A157">
        <v>34</v>
      </c>
      <c r="B157">
        <v>6</v>
      </c>
      <c r="D157" t="str">
        <f t="shared" si="2"/>
        <v>p34-6</v>
      </c>
    </row>
    <row r="158" spans="1:4" x14ac:dyDescent="0.25">
      <c r="A158">
        <v>34</v>
      </c>
      <c r="B158">
        <v>5</v>
      </c>
      <c r="D158" t="str">
        <f t="shared" si="2"/>
        <v>p34-5</v>
      </c>
    </row>
    <row r="159" spans="1:4" x14ac:dyDescent="0.25">
      <c r="A159">
        <v>34</v>
      </c>
      <c r="B159">
        <v>4</v>
      </c>
      <c r="D159" t="str">
        <f t="shared" si="2"/>
        <v>p34-4</v>
      </c>
    </row>
    <row r="160" spans="1:4" x14ac:dyDescent="0.25">
      <c r="A160">
        <v>34</v>
      </c>
      <c r="B160">
        <v>3</v>
      </c>
      <c r="D160" t="str">
        <f t="shared" si="2"/>
        <v>p34-3</v>
      </c>
    </row>
    <row r="161" spans="1:4" x14ac:dyDescent="0.25">
      <c r="A161">
        <v>34</v>
      </c>
      <c r="B161">
        <v>2</v>
      </c>
      <c r="D161" t="str">
        <f t="shared" si="2"/>
        <v>p34-2</v>
      </c>
    </row>
    <row r="162" spans="1:4" x14ac:dyDescent="0.25">
      <c r="A162">
        <v>34</v>
      </c>
      <c r="B162">
        <v>1</v>
      </c>
      <c r="D162" t="str">
        <f t="shared" si="2"/>
        <v>p34-1</v>
      </c>
    </row>
    <row r="163" spans="1:4" x14ac:dyDescent="0.25">
      <c r="A163">
        <v>33</v>
      </c>
      <c r="B163">
        <v>6</v>
      </c>
      <c r="D163" t="str">
        <f t="shared" si="2"/>
        <v>p33-6</v>
      </c>
    </row>
    <row r="164" spans="1:4" x14ac:dyDescent="0.25">
      <c r="A164">
        <v>33</v>
      </c>
      <c r="B164">
        <v>5</v>
      </c>
      <c r="D164" t="str">
        <f t="shared" si="2"/>
        <v>p33-5</v>
      </c>
    </row>
    <row r="165" spans="1:4" x14ac:dyDescent="0.25">
      <c r="A165">
        <v>33</v>
      </c>
      <c r="B165">
        <v>4</v>
      </c>
      <c r="D165" t="str">
        <f t="shared" si="2"/>
        <v>p33-4</v>
      </c>
    </row>
    <row r="166" spans="1:4" x14ac:dyDescent="0.25">
      <c r="A166">
        <v>33</v>
      </c>
      <c r="B166">
        <v>3</v>
      </c>
      <c r="D166" t="str">
        <f t="shared" si="2"/>
        <v>p33-3</v>
      </c>
    </row>
    <row r="167" spans="1:4" x14ac:dyDescent="0.25">
      <c r="A167">
        <v>33</v>
      </c>
      <c r="B167">
        <v>2</v>
      </c>
      <c r="D167" t="str">
        <f t="shared" si="2"/>
        <v>p33-2</v>
      </c>
    </row>
    <row r="168" spans="1:4" x14ac:dyDescent="0.25">
      <c r="A168">
        <v>33</v>
      </c>
      <c r="B168">
        <v>1</v>
      </c>
      <c r="D168" t="str">
        <f t="shared" si="2"/>
        <v>p33-1</v>
      </c>
    </row>
    <row r="169" spans="1:4" x14ac:dyDescent="0.25">
      <c r="A169">
        <v>32</v>
      </c>
      <c r="B169">
        <v>6</v>
      </c>
      <c r="D169" t="str">
        <f t="shared" si="2"/>
        <v>p32-6</v>
      </c>
    </row>
    <row r="170" spans="1:4" x14ac:dyDescent="0.25">
      <c r="A170">
        <v>32</v>
      </c>
      <c r="B170">
        <v>5</v>
      </c>
      <c r="D170" t="str">
        <f t="shared" si="2"/>
        <v>p32-5</v>
      </c>
    </row>
    <row r="171" spans="1:4" x14ac:dyDescent="0.25">
      <c r="A171">
        <v>32</v>
      </c>
      <c r="B171">
        <v>4</v>
      </c>
      <c r="D171" t="str">
        <f t="shared" si="2"/>
        <v>p32-4</v>
      </c>
    </row>
    <row r="172" spans="1:4" x14ac:dyDescent="0.25">
      <c r="A172">
        <v>32</v>
      </c>
      <c r="B172">
        <v>3</v>
      </c>
      <c r="D172" t="str">
        <f t="shared" si="2"/>
        <v>p32-3</v>
      </c>
    </row>
    <row r="173" spans="1:4" x14ac:dyDescent="0.25">
      <c r="A173">
        <v>32</v>
      </c>
      <c r="B173">
        <v>2</v>
      </c>
      <c r="D173" t="str">
        <f t="shared" si="2"/>
        <v>p32-2</v>
      </c>
    </row>
    <row r="174" spans="1:4" x14ac:dyDescent="0.25">
      <c r="A174">
        <v>32</v>
      </c>
      <c r="B174">
        <v>1</v>
      </c>
      <c r="D174" t="str">
        <f t="shared" si="2"/>
        <v>p32-1</v>
      </c>
    </row>
    <row r="175" spans="1:4" x14ac:dyDescent="0.25">
      <c r="A175">
        <v>31</v>
      </c>
      <c r="B175">
        <v>6</v>
      </c>
      <c r="D175" t="str">
        <f t="shared" si="2"/>
        <v>p31-6</v>
      </c>
    </row>
    <row r="176" spans="1:4" x14ac:dyDescent="0.25">
      <c r="A176">
        <v>31</v>
      </c>
      <c r="B176">
        <v>5</v>
      </c>
      <c r="D176" t="str">
        <f t="shared" si="2"/>
        <v>p31-5</v>
      </c>
    </row>
    <row r="177" spans="1:4" x14ac:dyDescent="0.25">
      <c r="A177">
        <v>31</v>
      </c>
      <c r="B177">
        <v>4</v>
      </c>
      <c r="D177" t="str">
        <f t="shared" si="2"/>
        <v>p31-4</v>
      </c>
    </row>
    <row r="178" spans="1:4" x14ac:dyDescent="0.25">
      <c r="A178">
        <v>31</v>
      </c>
      <c r="B178">
        <v>3</v>
      </c>
      <c r="D178" t="str">
        <f t="shared" si="2"/>
        <v>p31-3</v>
      </c>
    </row>
    <row r="179" spans="1:4" x14ac:dyDescent="0.25">
      <c r="A179">
        <v>31</v>
      </c>
      <c r="B179">
        <v>2</v>
      </c>
      <c r="D179" t="str">
        <f t="shared" si="2"/>
        <v>p31-2</v>
      </c>
    </row>
    <row r="180" spans="1:4" x14ac:dyDescent="0.25">
      <c r="A180">
        <v>31</v>
      </c>
      <c r="B180">
        <v>1</v>
      </c>
      <c r="D180" t="str">
        <f t="shared" si="2"/>
        <v>p31-1</v>
      </c>
    </row>
    <row r="181" spans="1:4" x14ac:dyDescent="0.25">
      <c r="A181">
        <v>41</v>
      </c>
      <c r="B181">
        <v>6</v>
      </c>
      <c r="D181" t="str">
        <f t="shared" si="2"/>
        <v>p41-6</v>
      </c>
    </row>
    <row r="182" spans="1:4" x14ac:dyDescent="0.25">
      <c r="A182">
        <v>41</v>
      </c>
      <c r="B182">
        <v>5</v>
      </c>
      <c r="D182" t="str">
        <f t="shared" si="2"/>
        <v>p41-5</v>
      </c>
    </row>
    <row r="183" spans="1:4" x14ac:dyDescent="0.25">
      <c r="A183">
        <v>41</v>
      </c>
      <c r="B183">
        <v>4</v>
      </c>
      <c r="D183" t="str">
        <f t="shared" si="2"/>
        <v>p41-4</v>
      </c>
    </row>
    <row r="184" spans="1:4" x14ac:dyDescent="0.25">
      <c r="A184">
        <v>41</v>
      </c>
      <c r="B184">
        <v>3</v>
      </c>
      <c r="D184" t="str">
        <f t="shared" si="2"/>
        <v>p41-3</v>
      </c>
    </row>
    <row r="185" spans="1:4" x14ac:dyDescent="0.25">
      <c r="A185">
        <v>41</v>
      </c>
      <c r="B185">
        <v>2</v>
      </c>
      <c r="D185" t="str">
        <f t="shared" si="2"/>
        <v>p41-2</v>
      </c>
    </row>
    <row r="186" spans="1:4" x14ac:dyDescent="0.25">
      <c r="A186">
        <v>41</v>
      </c>
      <c r="B186">
        <v>1</v>
      </c>
      <c r="D186" t="str">
        <f t="shared" si="2"/>
        <v>p41-1</v>
      </c>
    </row>
    <row r="187" spans="1:4" x14ac:dyDescent="0.25">
      <c r="A187">
        <v>42</v>
      </c>
      <c r="B187">
        <v>6</v>
      </c>
      <c r="D187" t="str">
        <f t="shared" si="2"/>
        <v>p42-6</v>
      </c>
    </row>
    <row r="188" spans="1:4" x14ac:dyDescent="0.25">
      <c r="A188">
        <v>42</v>
      </c>
      <c r="B188">
        <v>5</v>
      </c>
      <c r="D188" t="str">
        <f t="shared" si="2"/>
        <v>p42-5</v>
      </c>
    </row>
    <row r="189" spans="1:4" x14ac:dyDescent="0.25">
      <c r="A189">
        <v>42</v>
      </c>
      <c r="B189">
        <v>4</v>
      </c>
      <c r="D189" t="str">
        <f t="shared" si="2"/>
        <v>p42-4</v>
      </c>
    </row>
    <row r="190" spans="1:4" x14ac:dyDescent="0.25">
      <c r="A190">
        <v>42</v>
      </c>
      <c r="B190">
        <v>3</v>
      </c>
      <c r="D190" t="str">
        <f t="shared" si="2"/>
        <v>p42-3</v>
      </c>
    </row>
    <row r="191" spans="1:4" x14ac:dyDescent="0.25">
      <c r="A191">
        <v>42</v>
      </c>
      <c r="B191">
        <v>2</v>
      </c>
      <c r="D191" t="str">
        <f t="shared" si="2"/>
        <v>p42-2</v>
      </c>
    </row>
    <row r="192" spans="1:4" x14ac:dyDescent="0.25">
      <c r="A192">
        <v>42</v>
      </c>
      <c r="B192">
        <v>1</v>
      </c>
      <c r="D192" t="str">
        <f t="shared" si="2"/>
        <v>p42-1</v>
      </c>
    </row>
    <row r="193" spans="1:4" x14ac:dyDescent="0.25">
      <c r="A193">
        <v>43</v>
      </c>
      <c r="B193">
        <v>6</v>
      </c>
      <c r="D193" t="str">
        <f t="shared" ref="D193:D228" si="3">_xlfn.CONCAT("p",TEXT(A193,"00"),"-",TEXT(B193,"0"))</f>
        <v>p43-6</v>
      </c>
    </row>
    <row r="194" spans="1:4" x14ac:dyDescent="0.25">
      <c r="A194">
        <v>43</v>
      </c>
      <c r="B194">
        <v>5</v>
      </c>
      <c r="D194" t="str">
        <f t="shared" si="3"/>
        <v>p43-5</v>
      </c>
    </row>
    <row r="195" spans="1:4" x14ac:dyDescent="0.25">
      <c r="A195">
        <v>43</v>
      </c>
      <c r="B195">
        <v>4</v>
      </c>
      <c r="D195" t="str">
        <f t="shared" si="3"/>
        <v>p43-4</v>
      </c>
    </row>
    <row r="196" spans="1:4" x14ac:dyDescent="0.25">
      <c r="A196">
        <v>43</v>
      </c>
      <c r="B196">
        <v>3</v>
      </c>
      <c r="D196" t="str">
        <f t="shared" si="3"/>
        <v>p43-3</v>
      </c>
    </row>
    <row r="197" spans="1:4" x14ac:dyDescent="0.25">
      <c r="A197">
        <v>43</v>
      </c>
      <c r="B197">
        <v>2</v>
      </c>
      <c r="D197" t="str">
        <f t="shared" si="3"/>
        <v>p43-2</v>
      </c>
    </row>
    <row r="198" spans="1:4" x14ac:dyDescent="0.25">
      <c r="A198">
        <v>43</v>
      </c>
      <c r="B198">
        <v>1</v>
      </c>
      <c r="D198" t="str">
        <f t="shared" si="3"/>
        <v>p43-1</v>
      </c>
    </row>
    <row r="199" spans="1:4" x14ac:dyDescent="0.25">
      <c r="A199">
        <v>44</v>
      </c>
      <c r="B199">
        <v>6</v>
      </c>
      <c r="D199" t="str">
        <f t="shared" si="3"/>
        <v>p44-6</v>
      </c>
    </row>
    <row r="200" spans="1:4" x14ac:dyDescent="0.25">
      <c r="A200">
        <v>44</v>
      </c>
      <c r="B200">
        <v>5</v>
      </c>
      <c r="D200" t="str">
        <f t="shared" si="3"/>
        <v>p44-5</v>
      </c>
    </row>
    <row r="201" spans="1:4" x14ac:dyDescent="0.25">
      <c r="A201">
        <v>44</v>
      </c>
      <c r="B201">
        <v>4</v>
      </c>
      <c r="D201" t="str">
        <f t="shared" si="3"/>
        <v>p44-4</v>
      </c>
    </row>
    <row r="202" spans="1:4" x14ac:dyDescent="0.25">
      <c r="A202">
        <v>44</v>
      </c>
      <c r="B202">
        <v>3</v>
      </c>
      <c r="D202" t="str">
        <f t="shared" si="3"/>
        <v>p44-3</v>
      </c>
    </row>
    <row r="203" spans="1:4" x14ac:dyDescent="0.25">
      <c r="A203">
        <v>44</v>
      </c>
      <c r="B203">
        <v>2</v>
      </c>
      <c r="D203" t="str">
        <f t="shared" si="3"/>
        <v>p44-2</v>
      </c>
    </row>
    <row r="204" spans="1:4" x14ac:dyDescent="0.25">
      <c r="A204">
        <v>44</v>
      </c>
      <c r="B204">
        <v>1</v>
      </c>
      <c r="D204" t="str">
        <f t="shared" si="3"/>
        <v>p44-1</v>
      </c>
    </row>
    <row r="205" spans="1:4" x14ac:dyDescent="0.25">
      <c r="A205">
        <v>45</v>
      </c>
      <c r="B205">
        <v>6</v>
      </c>
      <c r="D205" t="str">
        <f t="shared" si="3"/>
        <v>p45-6</v>
      </c>
    </row>
    <row r="206" spans="1:4" x14ac:dyDescent="0.25">
      <c r="A206">
        <v>45</v>
      </c>
      <c r="B206">
        <v>5</v>
      </c>
      <c r="D206" t="str">
        <f t="shared" si="3"/>
        <v>p45-5</v>
      </c>
    </row>
    <row r="207" spans="1:4" x14ac:dyDescent="0.25">
      <c r="A207">
        <v>45</v>
      </c>
      <c r="B207">
        <v>4</v>
      </c>
      <c r="D207" t="str">
        <f t="shared" si="3"/>
        <v>p45-4</v>
      </c>
    </row>
    <row r="208" spans="1:4" x14ac:dyDescent="0.25">
      <c r="A208">
        <v>45</v>
      </c>
      <c r="B208">
        <v>3</v>
      </c>
      <c r="D208" t="str">
        <f t="shared" si="3"/>
        <v>p45-3</v>
      </c>
    </row>
    <row r="209" spans="1:4" x14ac:dyDescent="0.25">
      <c r="A209">
        <v>45</v>
      </c>
      <c r="B209">
        <v>2</v>
      </c>
      <c r="D209" t="str">
        <f t="shared" si="3"/>
        <v>p45-2</v>
      </c>
    </row>
    <row r="210" spans="1:4" x14ac:dyDescent="0.25">
      <c r="A210">
        <v>45</v>
      </c>
      <c r="B210">
        <v>1</v>
      </c>
      <c r="D210" t="str">
        <f t="shared" si="3"/>
        <v>p45-1</v>
      </c>
    </row>
    <row r="211" spans="1:4" x14ac:dyDescent="0.25">
      <c r="A211">
        <v>46</v>
      </c>
      <c r="B211">
        <v>6</v>
      </c>
      <c r="D211" t="str">
        <f t="shared" si="3"/>
        <v>p46-6</v>
      </c>
    </row>
    <row r="212" spans="1:4" x14ac:dyDescent="0.25">
      <c r="A212">
        <v>46</v>
      </c>
      <c r="B212">
        <v>5</v>
      </c>
      <c r="D212" t="str">
        <f t="shared" si="3"/>
        <v>p46-5</v>
      </c>
    </row>
    <row r="213" spans="1:4" x14ac:dyDescent="0.25">
      <c r="A213">
        <v>46</v>
      </c>
      <c r="B213">
        <v>4</v>
      </c>
      <c r="D213" t="str">
        <f t="shared" si="3"/>
        <v>p46-4</v>
      </c>
    </row>
    <row r="214" spans="1:4" x14ac:dyDescent="0.25">
      <c r="A214">
        <v>46</v>
      </c>
      <c r="B214">
        <v>3</v>
      </c>
      <c r="D214" t="str">
        <f t="shared" si="3"/>
        <v>p46-3</v>
      </c>
    </row>
    <row r="215" spans="1:4" x14ac:dyDescent="0.25">
      <c r="A215">
        <v>46</v>
      </c>
      <c r="B215">
        <v>2</v>
      </c>
      <c r="D215" t="str">
        <f t="shared" si="3"/>
        <v>p46-2</v>
      </c>
    </row>
    <row r="216" spans="1:4" x14ac:dyDescent="0.25">
      <c r="A216">
        <v>46</v>
      </c>
      <c r="B216">
        <v>1</v>
      </c>
      <c r="D216" t="str">
        <f t="shared" si="3"/>
        <v>p46-1</v>
      </c>
    </row>
    <row r="217" spans="1:4" x14ac:dyDescent="0.25">
      <c r="A217">
        <v>47</v>
      </c>
      <c r="B217">
        <v>6</v>
      </c>
      <c r="D217" t="str">
        <f t="shared" si="3"/>
        <v>p47-6</v>
      </c>
    </row>
    <row r="218" spans="1:4" x14ac:dyDescent="0.25">
      <c r="A218">
        <v>47</v>
      </c>
      <c r="B218">
        <v>5</v>
      </c>
      <c r="D218" t="str">
        <f t="shared" si="3"/>
        <v>p47-5</v>
      </c>
    </row>
    <row r="219" spans="1:4" x14ac:dyDescent="0.25">
      <c r="A219">
        <v>47</v>
      </c>
      <c r="B219">
        <v>4</v>
      </c>
      <c r="D219" t="str">
        <f t="shared" si="3"/>
        <v>p47-4</v>
      </c>
    </row>
    <row r="220" spans="1:4" x14ac:dyDescent="0.25">
      <c r="A220">
        <v>47</v>
      </c>
      <c r="B220">
        <v>3</v>
      </c>
      <c r="D220" t="str">
        <f t="shared" si="3"/>
        <v>p47-3</v>
      </c>
    </row>
    <row r="221" spans="1:4" x14ac:dyDescent="0.25">
      <c r="A221">
        <v>47</v>
      </c>
      <c r="B221">
        <v>2</v>
      </c>
      <c r="D221" t="str">
        <f t="shared" si="3"/>
        <v>p47-2</v>
      </c>
    </row>
    <row r="222" spans="1:4" x14ac:dyDescent="0.25">
      <c r="A222">
        <v>47</v>
      </c>
      <c r="B222">
        <v>1</v>
      </c>
      <c r="D222" t="str">
        <f t="shared" si="3"/>
        <v>p47-1</v>
      </c>
    </row>
    <row r="223" spans="1:4" x14ac:dyDescent="0.25">
      <c r="A223">
        <v>48</v>
      </c>
      <c r="B223">
        <v>6</v>
      </c>
      <c r="D223" t="str">
        <f t="shared" si="3"/>
        <v>p48-6</v>
      </c>
    </row>
    <row r="224" spans="1:4" x14ac:dyDescent="0.25">
      <c r="A224">
        <v>48</v>
      </c>
      <c r="B224">
        <v>5</v>
      </c>
      <c r="D224" t="str">
        <f t="shared" si="3"/>
        <v>p48-5</v>
      </c>
    </row>
    <row r="225" spans="1:4" x14ac:dyDescent="0.25">
      <c r="A225">
        <v>48</v>
      </c>
      <c r="B225">
        <v>4</v>
      </c>
      <c r="D225" t="str">
        <f t="shared" si="3"/>
        <v>p48-4</v>
      </c>
    </row>
    <row r="226" spans="1:4" x14ac:dyDescent="0.25">
      <c r="A226">
        <v>48</v>
      </c>
      <c r="B226">
        <v>3</v>
      </c>
      <c r="D226" t="str">
        <f t="shared" si="3"/>
        <v>p48-3</v>
      </c>
    </row>
    <row r="227" spans="1:4" x14ac:dyDescent="0.25">
      <c r="A227">
        <v>48</v>
      </c>
      <c r="B227">
        <v>2</v>
      </c>
      <c r="D227" t="str">
        <f t="shared" si="3"/>
        <v>p48-2</v>
      </c>
    </row>
    <row r="228" spans="1:4" x14ac:dyDescent="0.25">
      <c r="A228">
        <v>48</v>
      </c>
      <c r="B228">
        <v>1</v>
      </c>
      <c r="D228" t="str">
        <f t="shared" si="3"/>
        <v>p48-1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76A9-EBB6-437A-83E0-FF30F5F38987}">
  <dimension ref="A1:BY88"/>
  <sheetViews>
    <sheetView zoomScaleNormal="100" workbookViewId="0"/>
  </sheetViews>
  <sheetFormatPr defaultRowHeight="12.75" x14ac:dyDescent="0.2"/>
  <cols>
    <col min="1" max="1" width="9.140625" style="1"/>
    <col min="2" max="2" width="6.28515625" style="1" customWidth="1"/>
    <col min="3" max="3" width="14.7109375" style="1" customWidth="1"/>
    <col min="4" max="8" width="5.28515625" style="1" hidden="1" customWidth="1"/>
    <col min="9" max="9" width="7" style="1" hidden="1" customWidth="1"/>
    <col min="10" max="17" width="12.7109375" style="1" customWidth="1"/>
    <col min="18" max="19" width="10.85546875" style="1" bestFit="1" customWidth="1"/>
    <col min="20" max="25" width="9.140625" style="1"/>
    <col min="26" max="26" width="7.5703125" style="1" customWidth="1"/>
    <col min="27" max="36" width="7.7109375" style="1" customWidth="1"/>
    <col min="37" max="16384" width="9.140625" style="1"/>
  </cols>
  <sheetData>
    <row r="1" spans="1:77" ht="15" customHeight="1" x14ac:dyDescent="0.25">
      <c r="A1" s="41" t="s">
        <v>280</v>
      </c>
    </row>
    <row r="2" spans="1:77" ht="15" customHeight="1" thickBot="1" x14ac:dyDescent="0.3">
      <c r="A2" s="41"/>
      <c r="M2" s="40"/>
      <c r="P2" s="8" t="s">
        <v>279</v>
      </c>
      <c r="Q2" s="39">
        <v>39260</v>
      </c>
    </row>
    <row r="3" spans="1:77" ht="15" customHeight="1" thickBot="1" x14ac:dyDescent="0.25">
      <c r="B3" s="8" t="s">
        <v>278</v>
      </c>
      <c r="C3" s="38" t="s">
        <v>277</v>
      </c>
      <c r="D3" s="38"/>
      <c r="E3" s="38"/>
      <c r="F3" s="38"/>
      <c r="G3" s="38"/>
      <c r="H3" s="38"/>
      <c r="I3" s="38"/>
      <c r="K3" s="38"/>
      <c r="L3" s="38"/>
      <c r="M3" s="38"/>
      <c r="N3" s="38"/>
      <c r="O3" s="38"/>
      <c r="P3" s="8" t="s">
        <v>276</v>
      </c>
      <c r="Q3" s="36">
        <v>178</v>
      </c>
    </row>
    <row r="4" spans="1:77" ht="13.5" thickBot="1" x14ac:dyDescent="0.25">
      <c r="B4" s="38" t="s">
        <v>275</v>
      </c>
      <c r="C4" s="38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8" t="s">
        <v>274</v>
      </c>
      <c r="Q4" s="36" t="s">
        <v>273</v>
      </c>
    </row>
    <row r="5" spans="1:77" ht="18" x14ac:dyDescent="0.2">
      <c r="AI5" s="35"/>
      <c r="AJ5" s="99"/>
      <c r="AK5" s="99"/>
      <c r="AL5" s="99"/>
    </row>
    <row r="6" spans="1:77" ht="18" x14ac:dyDescent="0.25">
      <c r="L6" s="109" t="s">
        <v>272</v>
      </c>
      <c r="M6" s="110"/>
      <c r="N6" s="110"/>
      <c r="O6" s="110"/>
      <c r="P6" s="110"/>
      <c r="Q6" s="111"/>
      <c r="AI6" s="35"/>
      <c r="AJ6" s="34"/>
      <c r="AK6" s="34"/>
      <c r="AL6" s="34"/>
    </row>
    <row r="7" spans="1:77" ht="25.5" customHeight="1" x14ac:dyDescent="0.2">
      <c r="B7" s="32" t="s">
        <v>256</v>
      </c>
      <c r="C7" s="33" t="s">
        <v>255</v>
      </c>
      <c r="D7" s="33" t="s">
        <v>271</v>
      </c>
      <c r="E7" s="32" t="s">
        <v>270</v>
      </c>
      <c r="F7" s="33" t="s">
        <v>269</v>
      </c>
      <c r="G7" s="32" t="s">
        <v>268</v>
      </c>
      <c r="H7" s="32" t="s">
        <v>250</v>
      </c>
      <c r="I7" s="32" t="s">
        <v>267</v>
      </c>
      <c r="J7" s="32" t="s">
        <v>248</v>
      </c>
      <c r="K7" s="31" t="s">
        <v>266</v>
      </c>
      <c r="L7" s="30" t="s">
        <v>265</v>
      </c>
      <c r="M7" s="30" t="s">
        <v>264</v>
      </c>
      <c r="N7" s="30" t="s">
        <v>264</v>
      </c>
      <c r="O7" s="30" t="s">
        <v>263</v>
      </c>
      <c r="P7" s="30" t="s">
        <v>262</v>
      </c>
      <c r="Q7" s="30" t="s">
        <v>261</v>
      </c>
      <c r="R7" s="105" t="s">
        <v>260</v>
      </c>
      <c r="S7" s="107" t="s">
        <v>259</v>
      </c>
      <c r="AI7" s="29"/>
      <c r="AJ7" s="2"/>
      <c r="AK7" s="2"/>
    </row>
    <row r="8" spans="1:77" ht="15.75" customHeight="1" thickBot="1" x14ac:dyDescent="0.25">
      <c r="B8" s="100" t="s">
        <v>258</v>
      </c>
      <c r="C8" s="101"/>
      <c r="D8" s="101"/>
      <c r="E8" s="101"/>
      <c r="F8" s="101"/>
      <c r="G8" s="101"/>
      <c r="H8" s="101"/>
      <c r="I8" s="101"/>
      <c r="J8" s="101"/>
      <c r="K8" s="102"/>
      <c r="L8" s="27" t="s">
        <v>257</v>
      </c>
      <c r="M8" s="27" t="s">
        <v>257</v>
      </c>
      <c r="N8" s="28" t="s">
        <v>257</v>
      </c>
      <c r="O8" s="27" t="s">
        <v>257</v>
      </c>
      <c r="P8" s="27" t="s">
        <v>257</v>
      </c>
      <c r="Q8" s="27" t="s">
        <v>257</v>
      </c>
      <c r="R8" s="106"/>
      <c r="S8" s="108"/>
      <c r="AJ8" s="10"/>
      <c r="AK8" s="10"/>
      <c r="AL8" s="10"/>
    </row>
    <row r="9" spans="1:77" ht="15.75" hidden="1" customHeight="1" x14ac:dyDescent="0.2">
      <c r="B9" s="24" t="s">
        <v>256</v>
      </c>
      <c r="C9" s="26" t="s">
        <v>255</v>
      </c>
      <c r="D9" s="26" t="s">
        <v>254</v>
      </c>
      <c r="E9" s="24" t="s">
        <v>253</v>
      </c>
      <c r="F9" s="26" t="s">
        <v>252</v>
      </c>
      <c r="G9" s="24" t="s">
        <v>251</v>
      </c>
      <c r="H9" s="24" t="s">
        <v>250</v>
      </c>
      <c r="I9" s="24" t="s">
        <v>249</v>
      </c>
      <c r="J9" s="23" t="s">
        <v>248</v>
      </c>
      <c r="K9" s="23" t="s">
        <v>247</v>
      </c>
      <c r="L9" s="25" t="s">
        <v>246</v>
      </c>
      <c r="M9" s="25" t="s">
        <v>245</v>
      </c>
      <c r="N9" s="25" t="s">
        <v>244</v>
      </c>
      <c r="O9" s="25" t="s">
        <v>243</v>
      </c>
      <c r="P9" s="25" t="s">
        <v>242</v>
      </c>
      <c r="Q9" s="25" t="s">
        <v>241</v>
      </c>
      <c r="R9" s="24" t="s">
        <v>240</v>
      </c>
      <c r="S9" s="23" t="s">
        <v>239</v>
      </c>
      <c r="AJ9" s="10"/>
      <c r="AK9" s="10"/>
      <c r="AL9" s="10"/>
    </row>
    <row r="10" spans="1:77" ht="24" customHeight="1" x14ac:dyDescent="0.2">
      <c r="B10" s="103">
        <v>2</v>
      </c>
      <c r="C10" s="113" t="s">
        <v>308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115">
        <v>1114</v>
      </c>
      <c r="K10" s="5" t="s">
        <v>234</v>
      </c>
      <c r="L10" s="4">
        <v>31</v>
      </c>
      <c r="M10" s="4">
        <v>47</v>
      </c>
      <c r="N10" s="4">
        <v>48</v>
      </c>
      <c r="O10" s="4">
        <v>30</v>
      </c>
      <c r="P10" s="4">
        <v>40</v>
      </c>
      <c r="Q10" s="4">
        <v>41</v>
      </c>
      <c r="R10" s="3">
        <f t="shared" ref="R10:R41" si="0">AVERAGE(L10:Q10)</f>
        <v>39.5</v>
      </c>
      <c r="S10" s="3">
        <f t="shared" ref="S10:S19" si="1">STDEV(L10:Q10)/SQRT(6)</f>
        <v>3.1278320500521342</v>
      </c>
      <c r="T10" s="7"/>
      <c r="U10" s="7"/>
      <c r="V10" s="7"/>
      <c r="W10" s="7"/>
      <c r="X10" s="7"/>
      <c r="AJ10" s="10"/>
      <c r="AK10" s="10"/>
      <c r="AL10" s="9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</row>
    <row r="11" spans="1:77" ht="24" customHeight="1" thickBot="1" x14ac:dyDescent="0.25">
      <c r="B11" s="104"/>
      <c r="C11" s="114"/>
      <c r="D11" s="12" t="e">
        <v>#N/A</v>
      </c>
      <c r="E11" s="12" t="e">
        <v>#N/A</v>
      </c>
      <c r="F11" s="12" t="e">
        <v>#N/A</v>
      </c>
      <c r="G11" s="12" t="e">
        <v>#N/A</v>
      </c>
      <c r="H11" s="12" t="e">
        <v>#N/A</v>
      </c>
      <c r="I11" s="12" t="e">
        <v>#N/A</v>
      </c>
      <c r="J11" s="116"/>
      <c r="K11" s="12" t="s">
        <v>233</v>
      </c>
      <c r="L11" s="11">
        <v>33</v>
      </c>
      <c r="M11" s="11">
        <v>49</v>
      </c>
      <c r="N11" s="11">
        <v>44</v>
      </c>
      <c r="O11" s="11">
        <v>31</v>
      </c>
      <c r="P11" s="11">
        <v>46</v>
      </c>
      <c r="Q11" s="11">
        <v>49</v>
      </c>
      <c r="R11" s="3">
        <f t="shared" si="0"/>
        <v>42</v>
      </c>
      <c r="S11" s="3">
        <f t="shared" si="1"/>
        <v>3.2659863237109046</v>
      </c>
      <c r="T11" s="7"/>
      <c r="U11" s="7"/>
      <c r="V11" s="7"/>
      <c r="W11" s="7"/>
      <c r="X11" s="7"/>
      <c r="AJ11" s="10"/>
      <c r="AK11" s="10"/>
      <c r="AL11" s="9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</row>
    <row r="12" spans="1:77" ht="24" customHeight="1" x14ac:dyDescent="0.2">
      <c r="B12" s="103">
        <v>4</v>
      </c>
      <c r="C12" s="113" t="s">
        <v>308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117"/>
      <c r="K12" s="22" t="s">
        <v>234</v>
      </c>
      <c r="L12" s="21">
        <v>13</v>
      </c>
      <c r="M12" s="21">
        <v>22</v>
      </c>
      <c r="N12" s="21">
        <v>29</v>
      </c>
      <c r="O12" s="21">
        <v>18</v>
      </c>
      <c r="P12" s="21">
        <v>25</v>
      </c>
      <c r="Q12" s="21">
        <v>10</v>
      </c>
      <c r="R12" s="3">
        <f t="shared" si="0"/>
        <v>19.5</v>
      </c>
      <c r="S12" s="3">
        <f t="shared" si="1"/>
        <v>2.9524001535473929</v>
      </c>
      <c r="T12" s="7"/>
      <c r="U12" s="20"/>
      <c r="V12" s="7"/>
      <c r="W12" s="19"/>
      <c r="X12" s="7"/>
      <c r="AJ12" s="10"/>
      <c r="AK12" s="10"/>
      <c r="AL12" s="10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</row>
    <row r="13" spans="1:77" ht="24" customHeight="1" thickBot="1" x14ac:dyDescent="0.25">
      <c r="B13" s="104"/>
      <c r="C13" s="114"/>
      <c r="D13" s="12" t="e">
        <v>#N/A</v>
      </c>
      <c r="E13" s="12" t="e">
        <v>#N/A</v>
      </c>
      <c r="F13" s="12" t="e">
        <v>#N/A</v>
      </c>
      <c r="G13" s="12" t="e">
        <v>#N/A</v>
      </c>
      <c r="H13" s="12" t="e">
        <v>#N/A</v>
      </c>
      <c r="I13" s="12" t="e">
        <v>#N/A</v>
      </c>
      <c r="J13" s="116"/>
      <c r="K13" s="12" t="s">
        <v>233</v>
      </c>
      <c r="L13" s="11">
        <v>15</v>
      </c>
      <c r="M13" s="11">
        <v>26</v>
      </c>
      <c r="N13" s="11">
        <v>32</v>
      </c>
      <c r="O13" s="11">
        <v>22</v>
      </c>
      <c r="P13" s="11">
        <v>30</v>
      </c>
      <c r="Q13" s="11">
        <v>11</v>
      </c>
      <c r="R13" s="3">
        <f t="shared" si="0"/>
        <v>22.666666666666668</v>
      </c>
      <c r="S13" s="3">
        <f t="shared" si="1"/>
        <v>3.4026133747132925</v>
      </c>
      <c r="T13" s="7"/>
      <c r="U13" s="7"/>
      <c r="V13" s="7"/>
      <c r="W13" s="7"/>
      <c r="X13" s="7"/>
      <c r="AJ13" s="10"/>
      <c r="AK13" s="10"/>
      <c r="AL13" s="9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</row>
    <row r="14" spans="1:77" ht="24" customHeight="1" x14ac:dyDescent="0.2">
      <c r="B14" s="103">
        <v>5</v>
      </c>
      <c r="C14" s="113" t="s">
        <v>308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117"/>
      <c r="K14" s="5" t="s">
        <v>234</v>
      </c>
      <c r="L14" s="4">
        <v>30</v>
      </c>
      <c r="M14" s="4">
        <v>20</v>
      </c>
      <c r="N14" s="4">
        <v>33</v>
      </c>
      <c r="O14" s="4">
        <v>31</v>
      </c>
      <c r="P14" s="4">
        <v>37</v>
      </c>
      <c r="Q14" s="4">
        <v>28</v>
      </c>
      <c r="R14" s="3">
        <f t="shared" si="0"/>
        <v>29.833333333333332</v>
      </c>
      <c r="S14" s="3">
        <f t="shared" si="1"/>
        <v>2.3297591673342049</v>
      </c>
      <c r="T14" s="7"/>
      <c r="U14" s="7"/>
      <c r="V14" s="7"/>
      <c r="W14" s="7"/>
      <c r="X14" s="7"/>
      <c r="AJ14" s="10"/>
      <c r="AK14" s="10"/>
      <c r="AL14" s="10"/>
    </row>
    <row r="15" spans="1:77" ht="24" customHeight="1" thickBot="1" x14ac:dyDescent="0.25">
      <c r="B15" s="104"/>
      <c r="C15" s="114"/>
      <c r="D15" s="12" t="e">
        <v>#N/A</v>
      </c>
      <c r="E15" s="12" t="e">
        <v>#N/A</v>
      </c>
      <c r="F15" s="12" t="e">
        <v>#N/A</v>
      </c>
      <c r="G15" s="12" t="e">
        <v>#N/A</v>
      </c>
      <c r="H15" s="12" t="e">
        <v>#N/A</v>
      </c>
      <c r="I15" s="12" t="e">
        <v>#N/A</v>
      </c>
      <c r="J15" s="116"/>
      <c r="K15" s="12" t="s">
        <v>233</v>
      </c>
      <c r="L15" s="11">
        <v>37</v>
      </c>
      <c r="M15" s="11">
        <v>21</v>
      </c>
      <c r="N15" s="11">
        <v>38</v>
      </c>
      <c r="O15" s="11">
        <v>29</v>
      </c>
      <c r="P15" s="11">
        <v>36</v>
      </c>
      <c r="Q15" s="11">
        <v>37</v>
      </c>
      <c r="R15" s="3">
        <f t="shared" si="0"/>
        <v>33</v>
      </c>
      <c r="S15" s="3">
        <f t="shared" si="1"/>
        <v>2.7446918466985206</v>
      </c>
      <c r="T15" s="7"/>
      <c r="U15" s="7"/>
      <c r="V15" s="7"/>
      <c r="W15" s="7"/>
      <c r="X15" s="7"/>
      <c r="AJ15" s="10"/>
      <c r="AK15" s="10"/>
      <c r="AL15" s="9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</row>
    <row r="16" spans="1:77" ht="24" customHeight="1" x14ac:dyDescent="0.2">
      <c r="B16" s="103">
        <v>6</v>
      </c>
      <c r="C16" s="113" t="s">
        <v>308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117"/>
      <c r="K16" s="5" t="s">
        <v>234</v>
      </c>
      <c r="L16" s="4">
        <v>21</v>
      </c>
      <c r="M16" s="4">
        <v>43</v>
      </c>
      <c r="N16" s="4">
        <v>43</v>
      </c>
      <c r="O16" s="4">
        <v>23</v>
      </c>
      <c r="P16" s="4">
        <v>29</v>
      </c>
      <c r="Q16" s="4">
        <v>42</v>
      </c>
      <c r="R16" s="3">
        <f t="shared" si="0"/>
        <v>33.5</v>
      </c>
      <c r="S16" s="3">
        <f t="shared" si="1"/>
        <v>4.2406760467328013</v>
      </c>
      <c r="T16" s="7"/>
      <c r="U16" s="7"/>
      <c r="V16" s="7"/>
      <c r="W16" s="7"/>
      <c r="X16" s="7"/>
    </row>
    <row r="17" spans="2:77" ht="24" customHeight="1" thickBot="1" x14ac:dyDescent="0.25">
      <c r="B17" s="104"/>
      <c r="C17" s="114"/>
      <c r="D17" s="12" t="e">
        <v>#N/A</v>
      </c>
      <c r="E17" s="12" t="e">
        <v>#N/A</v>
      </c>
      <c r="F17" s="12" t="e">
        <v>#N/A</v>
      </c>
      <c r="G17" s="12" t="e">
        <v>#N/A</v>
      </c>
      <c r="H17" s="12" t="e">
        <v>#N/A</v>
      </c>
      <c r="I17" s="12" t="e">
        <v>#N/A</v>
      </c>
      <c r="J17" s="116"/>
      <c r="K17" s="12" t="s">
        <v>233</v>
      </c>
      <c r="L17" s="11">
        <v>24</v>
      </c>
      <c r="M17" s="11">
        <v>39</v>
      </c>
      <c r="N17" s="11">
        <v>39</v>
      </c>
      <c r="O17" s="11">
        <v>28</v>
      </c>
      <c r="P17" s="11">
        <v>31</v>
      </c>
      <c r="Q17" s="11">
        <v>46</v>
      </c>
      <c r="R17" s="3">
        <f t="shared" si="0"/>
        <v>34.5</v>
      </c>
      <c r="S17" s="3">
        <f t="shared" si="1"/>
        <v>3.3541019662496847</v>
      </c>
      <c r="T17" s="7"/>
      <c r="U17" s="7"/>
      <c r="V17" s="7"/>
      <c r="W17" s="7"/>
      <c r="X17" s="7"/>
      <c r="AJ17" s="10"/>
      <c r="AK17" s="10"/>
      <c r="AL17" s="9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</row>
    <row r="18" spans="2:77" ht="24" customHeight="1" x14ac:dyDescent="0.2">
      <c r="B18" s="103">
        <v>7</v>
      </c>
      <c r="C18" s="113" t="s">
        <v>308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117"/>
      <c r="K18" s="5" t="s">
        <v>234</v>
      </c>
      <c r="L18" s="16">
        <v>28</v>
      </c>
      <c r="M18" s="16">
        <v>25</v>
      </c>
      <c r="N18" s="16">
        <v>45</v>
      </c>
      <c r="O18" s="16">
        <v>42</v>
      </c>
      <c r="P18" s="16">
        <v>42</v>
      </c>
      <c r="Q18" s="16">
        <v>31</v>
      </c>
      <c r="R18" s="3">
        <f t="shared" si="0"/>
        <v>35.5</v>
      </c>
      <c r="S18" s="3">
        <f t="shared" si="1"/>
        <v>3.4713109915419569</v>
      </c>
      <c r="T18" s="7"/>
      <c r="U18" s="7"/>
      <c r="V18" s="7"/>
      <c r="W18" s="7"/>
      <c r="X18" s="7"/>
      <c r="AJ18" s="10"/>
      <c r="AK18" s="10"/>
      <c r="AL18" s="10"/>
    </row>
    <row r="19" spans="2:77" ht="24" customHeight="1" thickBot="1" x14ac:dyDescent="0.25">
      <c r="B19" s="104"/>
      <c r="C19" s="114"/>
      <c r="D19" s="12" t="e">
        <v>#N/A</v>
      </c>
      <c r="E19" s="12" t="e">
        <v>#N/A</v>
      </c>
      <c r="F19" s="12" t="e">
        <v>#N/A</v>
      </c>
      <c r="G19" s="12" t="e">
        <v>#N/A</v>
      </c>
      <c r="H19" s="12" t="e">
        <v>#N/A</v>
      </c>
      <c r="I19" s="12" t="e">
        <v>#N/A</v>
      </c>
      <c r="J19" s="116"/>
      <c r="K19" s="12" t="s">
        <v>233</v>
      </c>
      <c r="L19" s="11">
        <v>26</v>
      </c>
      <c r="M19" s="11">
        <v>28</v>
      </c>
      <c r="N19" s="11">
        <v>43</v>
      </c>
      <c r="O19" s="11">
        <v>40</v>
      </c>
      <c r="P19" s="11">
        <v>43</v>
      </c>
      <c r="Q19" s="11">
        <v>37</v>
      </c>
      <c r="R19" s="3">
        <f t="shared" si="0"/>
        <v>36.166666666666664</v>
      </c>
      <c r="S19" s="3">
        <f t="shared" si="1"/>
        <v>3.0486791311065251</v>
      </c>
      <c r="T19" s="7"/>
      <c r="U19" s="7"/>
      <c r="V19" s="7"/>
      <c r="W19" s="7"/>
      <c r="X19" s="7"/>
      <c r="AJ19" s="10"/>
      <c r="AK19" s="10"/>
      <c r="AL19" s="9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</row>
    <row r="20" spans="2:77" ht="24" customHeight="1" x14ac:dyDescent="0.2">
      <c r="B20" s="103">
        <v>8</v>
      </c>
      <c r="C20" s="113" t="s">
        <v>308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117"/>
      <c r="K20" s="5" t="s">
        <v>234</v>
      </c>
      <c r="L20" s="16">
        <v>28</v>
      </c>
      <c r="M20" s="16">
        <v>15</v>
      </c>
      <c r="N20" s="16">
        <v>29</v>
      </c>
      <c r="O20" s="16">
        <v>17</v>
      </c>
      <c r="P20" s="17" t="s">
        <v>237</v>
      </c>
      <c r="Q20" s="16">
        <v>29</v>
      </c>
      <c r="R20" s="3">
        <f t="shared" si="0"/>
        <v>23.6</v>
      </c>
      <c r="S20" s="3">
        <f>STDEV(L20,M20,N20,O20,Q20)/SQRT(5)</f>
        <v>3.1240998703626599</v>
      </c>
      <c r="T20" s="7"/>
      <c r="U20" s="7"/>
      <c r="V20" s="7"/>
      <c r="W20" s="7"/>
      <c r="X20" s="7"/>
      <c r="AJ20" s="10"/>
      <c r="AK20" s="10"/>
      <c r="AL20" s="10"/>
    </row>
    <row r="21" spans="2:77" ht="24" customHeight="1" thickBot="1" x14ac:dyDescent="0.25">
      <c r="B21" s="104"/>
      <c r="C21" s="114"/>
      <c r="D21" s="12" t="e">
        <v>#N/A</v>
      </c>
      <c r="E21" s="12" t="e">
        <v>#N/A</v>
      </c>
      <c r="F21" s="12" t="e">
        <v>#N/A</v>
      </c>
      <c r="G21" s="12" t="e">
        <v>#N/A</v>
      </c>
      <c r="H21" s="12" t="e">
        <v>#N/A</v>
      </c>
      <c r="I21" s="12" t="e">
        <v>#N/A</v>
      </c>
      <c r="J21" s="116"/>
      <c r="K21" s="12" t="s">
        <v>233</v>
      </c>
      <c r="L21" s="11">
        <v>29</v>
      </c>
      <c r="M21" s="11">
        <v>18</v>
      </c>
      <c r="N21" s="11">
        <v>39</v>
      </c>
      <c r="O21" s="11">
        <v>19</v>
      </c>
      <c r="P21" s="14" t="s">
        <v>237</v>
      </c>
      <c r="Q21" s="11">
        <v>36</v>
      </c>
      <c r="R21" s="3">
        <f t="shared" si="0"/>
        <v>28.2</v>
      </c>
      <c r="S21" s="3">
        <f>STDEV(L21,M21,N21,O21,Q21)/SQRT(5)</f>
        <v>4.2825226210727729</v>
      </c>
      <c r="T21" s="7"/>
      <c r="U21" s="7"/>
      <c r="V21" s="7"/>
      <c r="W21" s="7"/>
      <c r="X21" s="7"/>
      <c r="AJ21" s="10"/>
      <c r="AK21" s="10"/>
      <c r="AL21" s="9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</row>
    <row r="22" spans="2:77" ht="24" customHeight="1" x14ac:dyDescent="0.2">
      <c r="B22" s="103">
        <v>18</v>
      </c>
      <c r="C22" s="113" t="s">
        <v>238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118">
        <v>1133</v>
      </c>
      <c r="K22" s="5" t="s">
        <v>234</v>
      </c>
      <c r="L22" s="4">
        <v>38</v>
      </c>
      <c r="M22" s="4">
        <v>40</v>
      </c>
      <c r="N22" s="4">
        <v>36</v>
      </c>
      <c r="O22" s="4">
        <v>28</v>
      </c>
      <c r="P22" s="4">
        <v>27</v>
      </c>
      <c r="Q22" s="4">
        <v>27</v>
      </c>
      <c r="R22" s="3">
        <f t="shared" si="0"/>
        <v>32.666666666666664</v>
      </c>
      <c r="S22" s="3">
        <f t="shared" ref="S22:S35" si="2">STDEV(L22:Q22)/SQRT(6)</f>
        <v>2.4449494427856311</v>
      </c>
      <c r="T22" s="7"/>
      <c r="U22" s="7"/>
      <c r="V22" s="7"/>
      <c r="W22" s="7"/>
      <c r="X22" s="7"/>
      <c r="AJ22" s="10"/>
      <c r="AK22" s="10"/>
      <c r="AL22" s="10"/>
    </row>
    <row r="23" spans="2:77" ht="24" customHeight="1" thickBot="1" x14ac:dyDescent="0.25">
      <c r="B23" s="104"/>
      <c r="C23" s="114"/>
      <c r="D23" s="12" t="e">
        <v>#N/A</v>
      </c>
      <c r="E23" s="12" t="e">
        <v>#N/A</v>
      </c>
      <c r="F23" s="12" t="e">
        <v>#N/A</v>
      </c>
      <c r="G23" s="12" t="e">
        <v>#N/A</v>
      </c>
      <c r="H23" s="12" t="e">
        <v>#N/A</v>
      </c>
      <c r="I23" s="12" t="e">
        <v>#N/A</v>
      </c>
      <c r="J23" s="116"/>
      <c r="K23" s="12" t="s">
        <v>233</v>
      </c>
      <c r="L23" s="11">
        <v>42</v>
      </c>
      <c r="M23" s="11">
        <v>39</v>
      </c>
      <c r="N23" s="11">
        <v>29</v>
      </c>
      <c r="O23" s="11">
        <v>34</v>
      </c>
      <c r="P23" s="11">
        <v>30</v>
      </c>
      <c r="Q23" s="11">
        <v>28</v>
      </c>
      <c r="R23" s="3">
        <f t="shared" si="0"/>
        <v>33.666666666666664</v>
      </c>
      <c r="S23" s="3">
        <f t="shared" si="2"/>
        <v>2.3475755815545325</v>
      </c>
      <c r="T23" s="7"/>
      <c r="U23" s="7"/>
      <c r="V23" s="7"/>
      <c r="W23" s="7"/>
      <c r="X23" s="7"/>
      <c r="AJ23" s="10"/>
      <c r="AK23" s="10"/>
      <c r="AL23" s="9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</row>
    <row r="24" spans="2:77" ht="24" customHeight="1" x14ac:dyDescent="0.2">
      <c r="B24" s="103">
        <v>17</v>
      </c>
      <c r="C24" s="113" t="s">
        <v>309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117"/>
      <c r="K24" s="5" t="s">
        <v>234</v>
      </c>
      <c r="L24" s="4">
        <v>35</v>
      </c>
      <c r="M24" s="4">
        <v>29</v>
      </c>
      <c r="N24" s="4">
        <v>24</v>
      </c>
      <c r="O24" s="4">
        <v>33</v>
      </c>
      <c r="P24" s="4">
        <v>34</v>
      </c>
      <c r="Q24" s="4">
        <v>39</v>
      </c>
      <c r="R24" s="3">
        <f t="shared" si="0"/>
        <v>32.333333333333336</v>
      </c>
      <c r="S24" s="3">
        <f t="shared" si="2"/>
        <v>2.1239376429431966</v>
      </c>
      <c r="T24" s="7"/>
      <c r="U24" s="7"/>
      <c r="V24" s="7"/>
      <c r="W24" s="7"/>
      <c r="X24" s="7"/>
      <c r="AJ24" s="2"/>
      <c r="AK24" s="2"/>
      <c r="AL24" s="2"/>
    </row>
    <row r="25" spans="2:77" ht="24" customHeight="1" thickBot="1" x14ac:dyDescent="0.25">
      <c r="B25" s="104"/>
      <c r="C25" s="114"/>
      <c r="D25" s="12" t="e">
        <v>#N/A</v>
      </c>
      <c r="E25" s="12" t="e">
        <v>#N/A</v>
      </c>
      <c r="F25" s="12" t="e">
        <v>#N/A</v>
      </c>
      <c r="G25" s="12" t="e">
        <v>#N/A</v>
      </c>
      <c r="H25" s="12" t="e">
        <v>#N/A</v>
      </c>
      <c r="I25" s="12" t="e">
        <v>#N/A</v>
      </c>
      <c r="J25" s="116"/>
      <c r="K25" s="12" t="s">
        <v>233</v>
      </c>
      <c r="L25" s="11">
        <v>37</v>
      </c>
      <c r="M25" s="11">
        <v>31</v>
      </c>
      <c r="N25" s="11">
        <v>25</v>
      </c>
      <c r="O25" s="11">
        <v>35</v>
      </c>
      <c r="P25" s="11">
        <v>36</v>
      </c>
      <c r="Q25" s="11">
        <v>41</v>
      </c>
      <c r="R25" s="3">
        <f t="shared" si="0"/>
        <v>34.166666666666664</v>
      </c>
      <c r="S25" s="3">
        <f t="shared" si="2"/>
        <v>2.2570876022973576</v>
      </c>
      <c r="T25" s="7"/>
      <c r="U25" s="7"/>
      <c r="V25" s="7"/>
      <c r="W25" s="7"/>
      <c r="X25" s="7"/>
      <c r="AJ25" s="10"/>
      <c r="AK25" s="10"/>
      <c r="AL25" s="9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</row>
    <row r="26" spans="2:77" ht="24" customHeight="1" x14ac:dyDescent="0.2">
      <c r="B26" s="112">
        <v>16</v>
      </c>
      <c r="C26" s="113" t="s">
        <v>310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117"/>
      <c r="K26" s="5" t="s">
        <v>234</v>
      </c>
      <c r="L26" s="4">
        <v>29</v>
      </c>
      <c r="M26" s="4">
        <v>29</v>
      </c>
      <c r="N26" s="4">
        <v>45</v>
      </c>
      <c r="O26" s="4">
        <v>36</v>
      </c>
      <c r="P26" s="4">
        <v>23</v>
      </c>
      <c r="Q26" s="4">
        <v>31</v>
      </c>
      <c r="R26" s="3">
        <f t="shared" si="0"/>
        <v>32.166666666666664</v>
      </c>
      <c r="S26" s="3">
        <f t="shared" si="2"/>
        <v>3.0813056395697647</v>
      </c>
      <c r="T26" s="7"/>
      <c r="U26" s="7"/>
      <c r="V26" s="7"/>
      <c r="W26" s="7"/>
      <c r="X26" s="7"/>
      <c r="AJ26" s="10"/>
      <c r="AK26" s="10"/>
      <c r="AL26" s="10"/>
    </row>
    <row r="27" spans="2:77" ht="24" customHeight="1" thickBot="1" x14ac:dyDescent="0.25">
      <c r="B27" s="104"/>
      <c r="C27" s="114"/>
      <c r="D27" s="12" t="e">
        <v>#N/A</v>
      </c>
      <c r="E27" s="12" t="e">
        <v>#N/A</v>
      </c>
      <c r="F27" s="12" t="e">
        <v>#N/A</v>
      </c>
      <c r="G27" s="12" t="e">
        <v>#N/A</v>
      </c>
      <c r="H27" s="12" t="e">
        <v>#N/A</v>
      </c>
      <c r="I27" s="12" t="e">
        <v>#N/A</v>
      </c>
      <c r="J27" s="116"/>
      <c r="K27" s="12" t="s">
        <v>233</v>
      </c>
      <c r="L27" s="11">
        <v>33</v>
      </c>
      <c r="M27" s="11">
        <v>31</v>
      </c>
      <c r="N27" s="11">
        <v>38</v>
      </c>
      <c r="O27" s="11">
        <v>35</v>
      </c>
      <c r="P27" s="11">
        <v>17</v>
      </c>
      <c r="Q27" s="11">
        <v>37</v>
      </c>
      <c r="R27" s="3">
        <f t="shared" si="0"/>
        <v>31.833333333333332</v>
      </c>
      <c r="S27" s="3">
        <f t="shared" si="2"/>
        <v>3.1455435848902864</v>
      </c>
      <c r="T27" s="7"/>
      <c r="U27" s="7"/>
      <c r="V27" s="7"/>
      <c r="W27" s="7"/>
      <c r="X27" s="7"/>
      <c r="AJ27" s="10"/>
      <c r="AK27" s="10"/>
      <c r="AL27" s="9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</row>
    <row r="28" spans="2:77" ht="24" customHeight="1" x14ac:dyDescent="0.2">
      <c r="B28" s="112">
        <v>15</v>
      </c>
      <c r="C28" s="113" t="s">
        <v>311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117"/>
      <c r="K28" s="5" t="s">
        <v>234</v>
      </c>
      <c r="L28" s="4">
        <v>35</v>
      </c>
      <c r="M28" s="4">
        <v>17</v>
      </c>
      <c r="N28" s="4">
        <v>37</v>
      </c>
      <c r="O28" s="4">
        <v>28</v>
      </c>
      <c r="P28" s="4">
        <v>24</v>
      </c>
      <c r="Q28" s="4">
        <v>31</v>
      </c>
      <c r="R28" s="3">
        <f t="shared" si="0"/>
        <v>28.666666666666668</v>
      </c>
      <c r="S28" s="3">
        <f t="shared" si="2"/>
        <v>3.0184617127124707</v>
      </c>
      <c r="T28" s="7"/>
      <c r="U28" s="7"/>
      <c r="V28" s="7"/>
      <c r="W28" s="7"/>
      <c r="X28" s="7"/>
    </row>
    <row r="29" spans="2:77" ht="24" customHeight="1" thickBot="1" x14ac:dyDescent="0.25">
      <c r="B29" s="104"/>
      <c r="C29" s="114"/>
      <c r="D29" s="12" t="e">
        <v>#N/A</v>
      </c>
      <c r="E29" s="12" t="e">
        <v>#N/A</v>
      </c>
      <c r="F29" s="12" t="e">
        <v>#N/A</v>
      </c>
      <c r="G29" s="12" t="e">
        <v>#N/A</v>
      </c>
      <c r="H29" s="12" t="e">
        <v>#N/A</v>
      </c>
      <c r="I29" s="12" t="e">
        <v>#N/A</v>
      </c>
      <c r="J29" s="116"/>
      <c r="K29" s="12" t="s">
        <v>233</v>
      </c>
      <c r="L29" s="11">
        <v>35</v>
      </c>
      <c r="M29" s="11">
        <v>20</v>
      </c>
      <c r="N29" s="11">
        <v>35</v>
      </c>
      <c r="O29" s="11">
        <v>34</v>
      </c>
      <c r="P29" s="11">
        <v>27</v>
      </c>
      <c r="Q29" s="11">
        <v>38</v>
      </c>
      <c r="R29" s="3">
        <f t="shared" si="0"/>
        <v>31.5</v>
      </c>
      <c r="S29" s="3">
        <f t="shared" si="2"/>
        <v>2.7416540019970914</v>
      </c>
      <c r="T29" s="7"/>
      <c r="U29" s="7"/>
      <c r="V29" s="7"/>
      <c r="W29" s="7"/>
      <c r="X29" s="7"/>
      <c r="AJ29" s="10"/>
      <c r="AK29" s="10"/>
      <c r="AL29" s="9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</row>
    <row r="30" spans="2:77" ht="24" customHeight="1" x14ac:dyDescent="0.2">
      <c r="B30" s="112">
        <v>14</v>
      </c>
      <c r="C30" s="113" t="s">
        <v>310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117"/>
      <c r="K30" s="5" t="s">
        <v>234</v>
      </c>
      <c r="L30" s="4">
        <v>33</v>
      </c>
      <c r="M30" s="4">
        <v>26</v>
      </c>
      <c r="N30" s="4">
        <v>46</v>
      </c>
      <c r="O30" s="4">
        <v>24</v>
      </c>
      <c r="P30" s="4">
        <v>33</v>
      </c>
      <c r="Q30" s="4">
        <v>46</v>
      </c>
      <c r="R30" s="3">
        <f t="shared" si="0"/>
        <v>34.666666666666664</v>
      </c>
      <c r="S30" s="3">
        <f t="shared" si="2"/>
        <v>3.8787168554103606</v>
      </c>
      <c r="T30" s="7"/>
      <c r="U30" s="7"/>
      <c r="V30" s="7"/>
      <c r="W30" s="7"/>
      <c r="X30" s="7"/>
    </row>
    <row r="31" spans="2:77" ht="24" customHeight="1" thickBot="1" x14ac:dyDescent="0.25">
      <c r="B31" s="104"/>
      <c r="C31" s="114"/>
      <c r="D31" s="12" t="e">
        <v>#N/A</v>
      </c>
      <c r="E31" s="12" t="e">
        <v>#N/A</v>
      </c>
      <c r="F31" s="12" t="e">
        <v>#N/A</v>
      </c>
      <c r="G31" s="12" t="e">
        <v>#N/A</v>
      </c>
      <c r="H31" s="12" t="e">
        <v>#N/A</v>
      </c>
      <c r="I31" s="12" t="e">
        <v>#N/A</v>
      </c>
      <c r="J31" s="116"/>
      <c r="K31" s="12" t="s">
        <v>233</v>
      </c>
      <c r="L31" s="11">
        <v>32</v>
      </c>
      <c r="M31" s="11">
        <v>35</v>
      </c>
      <c r="N31" s="11">
        <v>38</v>
      </c>
      <c r="O31" s="11">
        <v>30</v>
      </c>
      <c r="P31" s="11">
        <v>35</v>
      </c>
      <c r="Q31" s="11">
        <v>43</v>
      </c>
      <c r="R31" s="3">
        <f t="shared" si="0"/>
        <v>35.5</v>
      </c>
      <c r="S31" s="3">
        <f t="shared" si="2"/>
        <v>1.8752777572046939</v>
      </c>
      <c r="T31" s="7"/>
      <c r="U31" s="7"/>
      <c r="V31" s="7"/>
      <c r="W31" s="7"/>
      <c r="X31" s="7"/>
      <c r="AJ31" s="10"/>
      <c r="AK31" s="10"/>
      <c r="AL31" s="9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</row>
    <row r="32" spans="2:77" ht="24" customHeight="1" x14ac:dyDescent="0.2">
      <c r="B32" s="112">
        <v>13</v>
      </c>
      <c r="C32" s="113" t="s">
        <v>312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117"/>
      <c r="K32" s="5" t="s">
        <v>234</v>
      </c>
      <c r="L32" s="4">
        <v>36</v>
      </c>
      <c r="M32" s="4">
        <v>31</v>
      </c>
      <c r="N32" s="4">
        <v>27</v>
      </c>
      <c r="O32" s="4">
        <v>22</v>
      </c>
      <c r="P32" s="4">
        <v>44</v>
      </c>
      <c r="Q32" s="4">
        <v>39</v>
      </c>
      <c r="R32" s="3">
        <f t="shared" si="0"/>
        <v>33.166666666666664</v>
      </c>
      <c r="S32" s="3">
        <f t="shared" si="2"/>
        <v>3.300673331980073</v>
      </c>
      <c r="T32" s="7"/>
      <c r="U32" s="7"/>
      <c r="V32" s="7"/>
      <c r="W32" s="7"/>
      <c r="X32" s="7"/>
    </row>
    <row r="33" spans="2:77" ht="24" customHeight="1" thickBot="1" x14ac:dyDescent="0.25">
      <c r="B33" s="104"/>
      <c r="C33" s="114"/>
      <c r="D33" s="12" t="e">
        <v>#N/A</v>
      </c>
      <c r="E33" s="12" t="e">
        <v>#N/A</v>
      </c>
      <c r="F33" s="12" t="e">
        <v>#N/A</v>
      </c>
      <c r="G33" s="12" t="e">
        <v>#N/A</v>
      </c>
      <c r="H33" s="12" t="e">
        <v>#N/A</v>
      </c>
      <c r="I33" s="12" t="e">
        <v>#N/A</v>
      </c>
      <c r="J33" s="116"/>
      <c r="K33" s="12" t="s">
        <v>233</v>
      </c>
      <c r="L33" s="11">
        <v>31</v>
      </c>
      <c r="M33" s="11">
        <v>31</v>
      </c>
      <c r="N33" s="11">
        <v>28</v>
      </c>
      <c r="O33" s="11">
        <v>27</v>
      </c>
      <c r="P33" s="11">
        <v>42</v>
      </c>
      <c r="Q33" s="11">
        <v>42</v>
      </c>
      <c r="R33" s="3">
        <f t="shared" si="0"/>
        <v>33.5</v>
      </c>
      <c r="S33" s="3">
        <f t="shared" si="2"/>
        <v>2.7658633371878665</v>
      </c>
      <c r="T33" s="7"/>
      <c r="U33" s="7"/>
      <c r="V33" s="7"/>
      <c r="W33" s="7"/>
      <c r="X33" s="7"/>
      <c r="AJ33" s="10"/>
      <c r="AK33" s="10"/>
      <c r="AL33" s="9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</row>
    <row r="34" spans="2:77" ht="24" customHeight="1" x14ac:dyDescent="0.2">
      <c r="B34" s="112">
        <v>12</v>
      </c>
      <c r="C34" s="113" t="s">
        <v>236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117"/>
      <c r="K34" s="5" t="s">
        <v>234</v>
      </c>
      <c r="L34" s="4">
        <v>31</v>
      </c>
      <c r="M34" s="4">
        <v>32</v>
      </c>
      <c r="N34" s="4">
        <v>43</v>
      </c>
      <c r="O34" s="4">
        <v>44</v>
      </c>
      <c r="P34" s="4">
        <v>39</v>
      </c>
      <c r="Q34" s="4">
        <v>35</v>
      </c>
      <c r="R34" s="3">
        <f t="shared" si="0"/>
        <v>37.333333333333336</v>
      </c>
      <c r="S34" s="3">
        <f t="shared" si="2"/>
        <v>2.2607766610417608</v>
      </c>
      <c r="T34" s="7"/>
      <c r="U34" s="7"/>
      <c r="V34" s="7"/>
      <c r="W34" s="7"/>
      <c r="X34" s="7"/>
    </row>
    <row r="35" spans="2:77" ht="24" customHeight="1" thickBot="1" x14ac:dyDescent="0.25">
      <c r="B35" s="104"/>
      <c r="C35" s="114"/>
      <c r="D35" s="12" t="e">
        <v>#N/A</v>
      </c>
      <c r="E35" s="12" t="e">
        <v>#N/A</v>
      </c>
      <c r="F35" s="12" t="e">
        <v>#N/A</v>
      </c>
      <c r="G35" s="12" t="e">
        <v>#N/A</v>
      </c>
      <c r="H35" s="12" t="e">
        <v>#N/A</v>
      </c>
      <c r="I35" s="12" t="e">
        <v>#N/A</v>
      </c>
      <c r="J35" s="116"/>
      <c r="K35" s="12" t="s">
        <v>233</v>
      </c>
      <c r="L35" s="11">
        <v>30</v>
      </c>
      <c r="M35" s="11">
        <v>35</v>
      </c>
      <c r="N35" s="11">
        <v>40</v>
      </c>
      <c r="O35" s="11">
        <v>41</v>
      </c>
      <c r="P35" s="11">
        <v>37</v>
      </c>
      <c r="Q35" s="11">
        <v>42</v>
      </c>
      <c r="R35" s="3">
        <f t="shared" si="0"/>
        <v>37.5</v>
      </c>
      <c r="S35" s="3">
        <f t="shared" si="2"/>
        <v>1.8393839548428528</v>
      </c>
      <c r="T35" s="7"/>
      <c r="U35" s="7"/>
      <c r="V35" s="7"/>
      <c r="W35" s="7"/>
      <c r="X35" s="7"/>
      <c r="AJ35" s="10"/>
      <c r="AK35" s="10"/>
      <c r="AL35" s="9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</row>
    <row r="36" spans="2:77" ht="24" customHeight="1" x14ac:dyDescent="0.2">
      <c r="B36" s="112">
        <v>11</v>
      </c>
      <c r="C36" s="113" t="s">
        <v>311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117"/>
      <c r="K36" s="5" t="s">
        <v>234</v>
      </c>
      <c r="L36" s="15" t="s">
        <v>237</v>
      </c>
      <c r="M36" s="4">
        <v>34</v>
      </c>
      <c r="N36" s="4">
        <v>31</v>
      </c>
      <c r="O36" s="4">
        <v>32</v>
      </c>
      <c r="P36" s="4">
        <v>41</v>
      </c>
      <c r="Q36" s="4">
        <v>37</v>
      </c>
      <c r="R36" s="3">
        <f t="shared" si="0"/>
        <v>35</v>
      </c>
      <c r="S36" s="3">
        <f>STDEV(L36:Q36)/SQRT(5)</f>
        <v>1.8165902124584949</v>
      </c>
      <c r="T36" s="7"/>
      <c r="U36" s="7"/>
      <c r="V36" s="7"/>
      <c r="W36" s="7"/>
      <c r="X36" s="7"/>
    </row>
    <row r="37" spans="2:77" ht="24" customHeight="1" thickBot="1" x14ac:dyDescent="0.25">
      <c r="B37" s="104"/>
      <c r="C37" s="114"/>
      <c r="D37" s="12" t="e">
        <v>#N/A</v>
      </c>
      <c r="E37" s="12" t="e">
        <v>#N/A</v>
      </c>
      <c r="F37" s="12" t="e">
        <v>#N/A</v>
      </c>
      <c r="G37" s="12" t="e">
        <v>#N/A</v>
      </c>
      <c r="H37" s="12" t="e">
        <v>#N/A</v>
      </c>
      <c r="I37" s="12" t="e">
        <v>#N/A</v>
      </c>
      <c r="J37" s="116"/>
      <c r="K37" s="12" t="s">
        <v>233</v>
      </c>
      <c r="L37" s="14" t="s">
        <v>237</v>
      </c>
      <c r="M37" s="11">
        <v>31</v>
      </c>
      <c r="N37" s="11">
        <v>29</v>
      </c>
      <c r="O37" s="11">
        <v>22</v>
      </c>
      <c r="P37" s="11">
        <v>39</v>
      </c>
      <c r="Q37" s="11">
        <v>31</v>
      </c>
      <c r="R37" s="3">
        <f t="shared" si="0"/>
        <v>30.4</v>
      </c>
      <c r="S37" s="3">
        <f>STDEV(L37:Q37)/SQRT(5)</f>
        <v>2.7129319932501055</v>
      </c>
      <c r="T37" s="7"/>
      <c r="U37" s="7"/>
      <c r="V37" s="7"/>
      <c r="W37" s="7"/>
      <c r="X37" s="7"/>
      <c r="AJ37" s="10"/>
      <c r="AK37" s="10"/>
      <c r="AL37" s="9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</row>
    <row r="38" spans="2:77" ht="24" customHeight="1" x14ac:dyDescent="0.2">
      <c r="B38" s="112">
        <v>21</v>
      </c>
      <c r="C38" s="113" t="s">
        <v>309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118">
        <v>1152</v>
      </c>
      <c r="K38" s="5" t="s">
        <v>234</v>
      </c>
      <c r="L38" s="4">
        <v>33</v>
      </c>
      <c r="M38" s="4">
        <v>34</v>
      </c>
      <c r="N38" s="4">
        <v>33</v>
      </c>
      <c r="O38" s="4">
        <v>23</v>
      </c>
      <c r="P38" s="4">
        <v>20</v>
      </c>
      <c r="Q38" s="4">
        <v>32</v>
      </c>
      <c r="R38" s="3">
        <f t="shared" si="0"/>
        <v>29.166666666666668</v>
      </c>
      <c r="S38" s="3">
        <f t="shared" ref="S38:S55" si="3">STDEV(L38:Q38)/SQRT(6)</f>
        <v>2.468692861504735</v>
      </c>
      <c r="T38" s="7"/>
      <c r="U38" s="7"/>
      <c r="V38" s="7"/>
      <c r="W38" s="7"/>
      <c r="X38" s="7"/>
    </row>
    <row r="39" spans="2:77" ht="24" customHeight="1" thickBot="1" x14ac:dyDescent="0.25">
      <c r="B39" s="104"/>
      <c r="C39" s="114"/>
      <c r="D39" s="12" t="e">
        <v>#N/A</v>
      </c>
      <c r="E39" s="12" t="e">
        <v>#N/A</v>
      </c>
      <c r="F39" s="12" t="e">
        <v>#N/A</v>
      </c>
      <c r="G39" s="12" t="e">
        <v>#N/A</v>
      </c>
      <c r="H39" s="12" t="e">
        <v>#N/A</v>
      </c>
      <c r="I39" s="12" t="e">
        <v>#N/A</v>
      </c>
      <c r="J39" s="116"/>
      <c r="K39" s="12" t="s">
        <v>233</v>
      </c>
      <c r="L39" s="11">
        <v>27</v>
      </c>
      <c r="M39" s="11">
        <v>32</v>
      </c>
      <c r="N39" s="11">
        <v>26</v>
      </c>
      <c r="O39" s="11">
        <v>21</v>
      </c>
      <c r="P39" s="11">
        <v>19</v>
      </c>
      <c r="Q39" s="11">
        <v>31</v>
      </c>
      <c r="R39" s="3">
        <f t="shared" si="0"/>
        <v>26</v>
      </c>
      <c r="S39" s="3">
        <f t="shared" si="3"/>
        <v>2.1291625896895083</v>
      </c>
      <c r="T39" s="7"/>
      <c r="U39" s="7"/>
      <c r="V39" s="7"/>
      <c r="W39" s="7"/>
      <c r="X39" s="7"/>
      <c r="AJ39" s="10"/>
      <c r="AK39" s="10"/>
      <c r="AL39" s="9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</row>
    <row r="40" spans="2:77" ht="24" customHeight="1" x14ac:dyDescent="0.2">
      <c r="B40" s="112">
        <v>22</v>
      </c>
      <c r="C40" s="113" t="s">
        <v>238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117"/>
      <c r="K40" s="5" t="s">
        <v>234</v>
      </c>
      <c r="L40" s="4">
        <v>34</v>
      </c>
      <c r="M40" s="4">
        <v>19</v>
      </c>
      <c r="N40" s="4">
        <v>32</v>
      </c>
      <c r="O40" s="4">
        <v>23</v>
      </c>
      <c r="P40" s="4">
        <v>26</v>
      </c>
      <c r="Q40" s="4">
        <v>19</v>
      </c>
      <c r="R40" s="3">
        <f t="shared" si="0"/>
        <v>25.5</v>
      </c>
      <c r="S40" s="3">
        <f t="shared" si="3"/>
        <v>2.6172504656604803</v>
      </c>
      <c r="T40" s="7"/>
      <c r="U40" s="7"/>
      <c r="V40" s="7"/>
      <c r="W40" s="7"/>
      <c r="X40" s="7"/>
    </row>
    <row r="41" spans="2:77" ht="24" customHeight="1" thickBot="1" x14ac:dyDescent="0.25">
      <c r="B41" s="104"/>
      <c r="C41" s="114"/>
      <c r="D41" s="12" t="e">
        <v>#N/A</v>
      </c>
      <c r="E41" s="12" t="e">
        <v>#N/A</v>
      </c>
      <c r="F41" s="12" t="e">
        <v>#N/A</v>
      </c>
      <c r="G41" s="12" t="e">
        <v>#N/A</v>
      </c>
      <c r="H41" s="12" t="e">
        <v>#N/A</v>
      </c>
      <c r="I41" s="12" t="e">
        <v>#N/A</v>
      </c>
      <c r="J41" s="116"/>
      <c r="K41" s="12" t="s">
        <v>233</v>
      </c>
      <c r="L41" s="11">
        <v>31</v>
      </c>
      <c r="M41" s="11">
        <v>20</v>
      </c>
      <c r="N41" s="11">
        <v>35</v>
      </c>
      <c r="O41" s="11">
        <v>22</v>
      </c>
      <c r="P41" s="11">
        <v>21</v>
      </c>
      <c r="Q41" s="11">
        <v>18</v>
      </c>
      <c r="R41" s="3">
        <f t="shared" si="0"/>
        <v>24.5</v>
      </c>
      <c r="S41" s="3">
        <f t="shared" si="3"/>
        <v>2.7898626011567909</v>
      </c>
      <c r="T41" s="7"/>
      <c r="U41" s="7"/>
      <c r="V41" s="7"/>
      <c r="W41" s="7"/>
      <c r="X41" s="7"/>
      <c r="AJ41" s="10"/>
      <c r="AK41" s="10"/>
      <c r="AL41" s="9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</row>
    <row r="42" spans="2:77" ht="24" customHeight="1" x14ac:dyDescent="0.2">
      <c r="B42" s="112">
        <v>23</v>
      </c>
      <c r="C42" s="113" t="s">
        <v>313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117"/>
      <c r="K42" s="5" t="s">
        <v>234</v>
      </c>
      <c r="L42" s="4">
        <v>29</v>
      </c>
      <c r="M42" s="4">
        <v>39</v>
      </c>
      <c r="N42" s="4">
        <v>26</v>
      </c>
      <c r="O42" s="4">
        <v>31</v>
      </c>
      <c r="P42" s="4">
        <v>30</v>
      </c>
      <c r="Q42" s="4">
        <v>33</v>
      </c>
      <c r="R42" s="3">
        <f t="shared" ref="R42:R73" si="4">AVERAGE(L42:Q42)</f>
        <v>31.333333333333332</v>
      </c>
      <c r="S42" s="3">
        <f t="shared" si="3"/>
        <v>1.80123414481417</v>
      </c>
      <c r="T42" s="7"/>
      <c r="U42" s="7"/>
      <c r="V42" s="7"/>
      <c r="W42" s="7"/>
      <c r="X42" s="7"/>
    </row>
    <row r="43" spans="2:77" ht="24" customHeight="1" thickBot="1" x14ac:dyDescent="0.25">
      <c r="B43" s="104"/>
      <c r="C43" s="114"/>
      <c r="D43" s="12" t="e">
        <v>#N/A</v>
      </c>
      <c r="E43" s="12" t="e">
        <v>#N/A</v>
      </c>
      <c r="F43" s="12" t="e">
        <v>#N/A</v>
      </c>
      <c r="G43" s="12" t="e">
        <v>#N/A</v>
      </c>
      <c r="H43" s="12" t="e">
        <v>#N/A</v>
      </c>
      <c r="I43" s="12" t="e">
        <v>#N/A</v>
      </c>
      <c r="J43" s="116"/>
      <c r="K43" s="12" t="s">
        <v>233</v>
      </c>
      <c r="L43" s="11">
        <v>39</v>
      </c>
      <c r="M43" s="11">
        <v>36</v>
      </c>
      <c r="N43" s="11">
        <v>33</v>
      </c>
      <c r="O43" s="11">
        <v>33</v>
      </c>
      <c r="P43" s="11">
        <v>39</v>
      </c>
      <c r="Q43" s="11">
        <v>37</v>
      </c>
      <c r="R43" s="3">
        <f t="shared" si="4"/>
        <v>36.166666666666664</v>
      </c>
      <c r="S43" s="3">
        <f t="shared" si="3"/>
        <v>1.1080513425729777</v>
      </c>
      <c r="T43" s="7"/>
      <c r="U43" s="7"/>
      <c r="V43" s="7"/>
      <c r="W43" s="7"/>
      <c r="X43" s="7"/>
      <c r="AJ43" s="10"/>
      <c r="AK43" s="10"/>
      <c r="AL43" s="9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</row>
    <row r="44" spans="2:77" ht="24" customHeight="1" x14ac:dyDescent="0.2">
      <c r="B44" s="112">
        <v>24</v>
      </c>
      <c r="C44" s="113" t="s">
        <v>314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117"/>
      <c r="K44" s="5" t="s">
        <v>234</v>
      </c>
      <c r="L44" s="4">
        <v>35</v>
      </c>
      <c r="M44" s="4">
        <v>34</v>
      </c>
      <c r="N44" s="4">
        <v>37</v>
      </c>
      <c r="O44" s="4">
        <v>31</v>
      </c>
      <c r="P44" s="4">
        <v>30</v>
      </c>
      <c r="Q44" s="4">
        <v>32</v>
      </c>
      <c r="R44" s="3">
        <f t="shared" si="4"/>
        <v>33.166666666666664</v>
      </c>
      <c r="S44" s="3">
        <f t="shared" si="3"/>
        <v>1.077548658349641</v>
      </c>
      <c r="T44" s="7"/>
      <c r="U44" s="7"/>
      <c r="V44" s="7"/>
      <c r="W44" s="7"/>
      <c r="X44" s="7"/>
    </row>
    <row r="45" spans="2:77" ht="24" customHeight="1" thickBot="1" x14ac:dyDescent="0.25">
      <c r="B45" s="104"/>
      <c r="C45" s="114"/>
      <c r="D45" s="12" t="e">
        <v>#N/A</v>
      </c>
      <c r="E45" s="12" t="e">
        <v>#N/A</v>
      </c>
      <c r="F45" s="12" t="e">
        <v>#N/A</v>
      </c>
      <c r="G45" s="12" t="e">
        <v>#N/A</v>
      </c>
      <c r="H45" s="12" t="e">
        <v>#N/A</v>
      </c>
      <c r="I45" s="12" t="e">
        <v>#N/A</v>
      </c>
      <c r="J45" s="116"/>
      <c r="K45" s="12" t="s">
        <v>233</v>
      </c>
      <c r="L45" s="11">
        <v>36</v>
      </c>
      <c r="M45" s="11">
        <v>38</v>
      </c>
      <c r="N45" s="11">
        <v>30</v>
      </c>
      <c r="O45" s="11">
        <v>32</v>
      </c>
      <c r="P45" s="11">
        <v>31</v>
      </c>
      <c r="Q45" s="11">
        <v>36</v>
      </c>
      <c r="R45" s="3">
        <f t="shared" si="4"/>
        <v>33.833333333333336</v>
      </c>
      <c r="S45" s="3">
        <f t="shared" si="3"/>
        <v>1.3270686158262923</v>
      </c>
      <c r="T45" s="7"/>
      <c r="U45" s="7"/>
      <c r="V45" s="7"/>
      <c r="W45" s="7"/>
      <c r="X45" s="7"/>
      <c r="AJ45" s="10"/>
      <c r="AK45" s="10"/>
      <c r="AL45" s="9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</row>
    <row r="46" spans="2:77" ht="24" customHeight="1" x14ac:dyDescent="0.2">
      <c r="B46" s="112">
        <v>25</v>
      </c>
      <c r="C46" s="113" t="s">
        <v>236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117"/>
      <c r="K46" s="5" t="s">
        <v>234</v>
      </c>
      <c r="L46" s="4">
        <v>32</v>
      </c>
      <c r="M46" s="4">
        <v>34</v>
      </c>
      <c r="N46" s="4">
        <v>29</v>
      </c>
      <c r="O46" s="4">
        <v>37</v>
      </c>
      <c r="P46" s="4">
        <v>28</v>
      </c>
      <c r="Q46" s="4">
        <v>42</v>
      </c>
      <c r="R46" s="3">
        <f t="shared" si="4"/>
        <v>33.666666666666664</v>
      </c>
      <c r="S46" s="3">
        <f t="shared" si="3"/>
        <v>2.1395742047841591</v>
      </c>
      <c r="T46" s="7"/>
      <c r="U46" s="7"/>
      <c r="V46" s="7"/>
      <c r="W46" s="7"/>
      <c r="X46" s="7"/>
    </row>
    <row r="47" spans="2:77" ht="24" customHeight="1" thickBot="1" x14ac:dyDescent="0.25">
      <c r="B47" s="104"/>
      <c r="C47" s="114"/>
      <c r="D47" s="12" t="e">
        <v>#N/A</v>
      </c>
      <c r="E47" s="12" t="e">
        <v>#N/A</v>
      </c>
      <c r="F47" s="12" t="e">
        <v>#N/A</v>
      </c>
      <c r="G47" s="12" t="e">
        <v>#N/A</v>
      </c>
      <c r="H47" s="12" t="e">
        <v>#N/A</v>
      </c>
      <c r="I47" s="12" t="e">
        <v>#N/A</v>
      </c>
      <c r="J47" s="116"/>
      <c r="K47" s="12" t="s">
        <v>233</v>
      </c>
      <c r="L47" s="11">
        <v>35</v>
      </c>
      <c r="M47" s="11">
        <v>36</v>
      </c>
      <c r="N47" s="11">
        <v>30</v>
      </c>
      <c r="O47" s="11">
        <v>30</v>
      </c>
      <c r="P47" s="11">
        <v>22</v>
      </c>
      <c r="Q47" s="11">
        <v>38</v>
      </c>
      <c r="R47" s="3">
        <f t="shared" si="4"/>
        <v>31.833333333333332</v>
      </c>
      <c r="S47" s="3">
        <f t="shared" si="3"/>
        <v>2.3722937798210761</v>
      </c>
      <c r="T47" s="7"/>
      <c r="U47" s="7"/>
      <c r="V47" s="7"/>
      <c r="W47" s="7"/>
      <c r="X47" s="7"/>
      <c r="AJ47" s="10"/>
      <c r="AK47" s="10"/>
      <c r="AL47" s="9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</row>
    <row r="48" spans="2:77" ht="24" customHeight="1" x14ac:dyDescent="0.2">
      <c r="B48" s="112">
        <v>26</v>
      </c>
      <c r="C48" s="113" t="s">
        <v>314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6"/>
      <c r="K48" s="5" t="s">
        <v>234</v>
      </c>
      <c r="L48" s="4">
        <v>29</v>
      </c>
      <c r="M48" s="4">
        <v>26</v>
      </c>
      <c r="N48" s="4">
        <v>23</v>
      </c>
      <c r="O48" s="4">
        <v>30</v>
      </c>
      <c r="P48" s="4">
        <v>34</v>
      </c>
      <c r="Q48" s="4">
        <v>27</v>
      </c>
      <c r="R48" s="3">
        <f t="shared" si="4"/>
        <v>28.166666666666668</v>
      </c>
      <c r="S48" s="3">
        <f t="shared" si="3"/>
        <v>1.5365907428821446</v>
      </c>
      <c r="T48" s="7"/>
      <c r="U48" s="7"/>
      <c r="V48" s="7"/>
      <c r="W48" s="7"/>
      <c r="X48" s="7"/>
    </row>
    <row r="49" spans="2:77" ht="24" customHeight="1" thickBot="1" x14ac:dyDescent="0.25">
      <c r="B49" s="104"/>
      <c r="C49" s="114"/>
      <c r="D49" s="12" t="e">
        <v>#N/A</v>
      </c>
      <c r="E49" s="12" t="e">
        <v>#N/A</v>
      </c>
      <c r="F49" s="12" t="e">
        <v>#N/A</v>
      </c>
      <c r="G49" s="12" t="e">
        <v>#N/A</v>
      </c>
      <c r="H49" s="12" t="e">
        <v>#N/A</v>
      </c>
      <c r="I49" s="12" t="e">
        <v>#N/A</v>
      </c>
      <c r="J49" s="13"/>
      <c r="K49" s="12" t="s">
        <v>233</v>
      </c>
      <c r="L49" s="11">
        <v>27</v>
      </c>
      <c r="M49" s="11">
        <v>28</v>
      </c>
      <c r="N49" s="11">
        <v>27</v>
      </c>
      <c r="O49" s="11">
        <v>28</v>
      </c>
      <c r="P49" s="11">
        <v>35</v>
      </c>
      <c r="Q49" s="11">
        <v>29</v>
      </c>
      <c r="R49" s="3">
        <f t="shared" si="4"/>
        <v>29</v>
      </c>
      <c r="S49" s="3">
        <f t="shared" si="3"/>
        <v>1.2382783747337807</v>
      </c>
      <c r="T49" s="7"/>
      <c r="U49" s="7"/>
      <c r="V49" s="7"/>
      <c r="W49" s="7"/>
      <c r="X49" s="7"/>
      <c r="AJ49" s="10"/>
      <c r="AK49" s="10"/>
      <c r="AL49" s="9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</row>
    <row r="50" spans="2:77" ht="24" customHeight="1" x14ac:dyDescent="0.2">
      <c r="B50" s="112">
        <v>27</v>
      </c>
      <c r="C50" s="113" t="s">
        <v>312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117"/>
      <c r="K50" s="5" t="s">
        <v>234</v>
      </c>
      <c r="L50" s="4">
        <v>27</v>
      </c>
      <c r="M50" s="4">
        <v>32</v>
      </c>
      <c r="N50" s="4">
        <v>28</v>
      </c>
      <c r="O50" s="4">
        <v>24</v>
      </c>
      <c r="P50" s="4">
        <v>13</v>
      </c>
      <c r="Q50" s="4">
        <v>30</v>
      </c>
      <c r="R50" s="3">
        <f t="shared" si="4"/>
        <v>25.666666666666668</v>
      </c>
      <c r="S50" s="3">
        <f t="shared" si="3"/>
        <v>2.7648588471103639</v>
      </c>
      <c r="AJ50" s="10">
        <v>2</v>
      </c>
      <c r="AK50" s="10" t="s">
        <v>235</v>
      </c>
      <c r="AL50" s="10">
        <v>150</v>
      </c>
    </row>
    <row r="51" spans="2:77" ht="24" customHeight="1" thickBot="1" x14ac:dyDescent="0.25">
      <c r="B51" s="104"/>
      <c r="C51" s="114"/>
      <c r="D51" s="12" t="e">
        <v>#N/A</v>
      </c>
      <c r="E51" s="12" t="e">
        <v>#N/A</v>
      </c>
      <c r="F51" s="12" t="e">
        <v>#N/A</v>
      </c>
      <c r="G51" s="12" t="e">
        <v>#N/A</v>
      </c>
      <c r="H51" s="12" t="e">
        <v>#N/A</v>
      </c>
      <c r="I51" s="12" t="e">
        <v>#N/A</v>
      </c>
      <c r="J51" s="116"/>
      <c r="K51" s="12" t="s">
        <v>233</v>
      </c>
      <c r="L51" s="11">
        <v>23</v>
      </c>
      <c r="M51" s="11">
        <v>32</v>
      </c>
      <c r="N51" s="11">
        <v>31</v>
      </c>
      <c r="O51" s="11">
        <v>31</v>
      </c>
      <c r="P51" s="11">
        <v>21</v>
      </c>
      <c r="Q51" s="11">
        <v>30</v>
      </c>
      <c r="R51" s="3">
        <f t="shared" si="4"/>
        <v>28</v>
      </c>
      <c r="S51" s="3">
        <f t="shared" si="3"/>
        <v>1.932183566158592</v>
      </c>
      <c r="T51" s="7"/>
      <c r="U51" s="7"/>
      <c r="V51" s="7"/>
      <c r="W51" s="7"/>
      <c r="X51" s="7"/>
      <c r="AJ51" s="10"/>
      <c r="AK51" s="10"/>
      <c r="AL51" s="9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</row>
    <row r="52" spans="2:77" ht="24" customHeight="1" x14ac:dyDescent="0.2">
      <c r="B52" s="112">
        <v>28</v>
      </c>
      <c r="C52" s="113" t="s">
        <v>313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117"/>
      <c r="K52" s="5" t="s">
        <v>234</v>
      </c>
      <c r="L52" s="4">
        <v>33</v>
      </c>
      <c r="M52" s="4">
        <v>36</v>
      </c>
      <c r="N52" s="4">
        <v>11</v>
      </c>
      <c r="O52" s="4">
        <v>32</v>
      </c>
      <c r="P52" s="4">
        <v>29</v>
      </c>
      <c r="Q52" s="4">
        <v>28</v>
      </c>
      <c r="R52" s="3">
        <f t="shared" si="4"/>
        <v>28.166666666666668</v>
      </c>
      <c r="S52" s="3">
        <f t="shared" si="3"/>
        <v>3.6278245700572547</v>
      </c>
      <c r="T52" s="7"/>
      <c r="U52" s="7"/>
      <c r="V52" s="7"/>
      <c r="W52" s="7"/>
      <c r="X52" s="7"/>
    </row>
    <row r="53" spans="2:77" ht="24" customHeight="1" thickBot="1" x14ac:dyDescent="0.25">
      <c r="B53" s="104"/>
      <c r="C53" s="114"/>
      <c r="D53" s="12" t="e">
        <v>#N/A</v>
      </c>
      <c r="E53" s="12" t="e">
        <v>#N/A</v>
      </c>
      <c r="F53" s="12" t="e">
        <v>#N/A</v>
      </c>
      <c r="G53" s="12" t="e">
        <v>#N/A</v>
      </c>
      <c r="H53" s="12" t="e">
        <v>#N/A</v>
      </c>
      <c r="I53" s="12" t="e">
        <v>#N/A</v>
      </c>
      <c r="J53" s="116"/>
      <c r="K53" s="12" t="s">
        <v>233</v>
      </c>
      <c r="L53" s="11">
        <v>40</v>
      </c>
      <c r="M53" s="11">
        <v>37</v>
      </c>
      <c r="N53" s="11">
        <v>13</v>
      </c>
      <c r="O53" s="11">
        <v>33</v>
      </c>
      <c r="P53" s="11">
        <v>26</v>
      </c>
      <c r="Q53" s="11">
        <v>33</v>
      </c>
      <c r="R53" s="3">
        <f t="shared" si="4"/>
        <v>30.333333333333332</v>
      </c>
      <c r="S53" s="3">
        <f t="shared" si="3"/>
        <v>3.9637243989852657</v>
      </c>
      <c r="T53" s="7"/>
      <c r="U53" s="7"/>
      <c r="V53" s="7"/>
      <c r="W53" s="7"/>
      <c r="X53" s="7"/>
      <c r="AJ53" s="10"/>
      <c r="AK53" s="10"/>
      <c r="AL53" s="9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</row>
    <row r="54" spans="2:77" ht="24" customHeight="1" x14ac:dyDescent="0.2">
      <c r="B54" s="112">
        <v>38</v>
      </c>
      <c r="C54" s="113" t="s">
        <v>313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118">
        <v>1211</v>
      </c>
      <c r="K54" s="5" t="s">
        <v>234</v>
      </c>
      <c r="L54" s="4">
        <v>30</v>
      </c>
      <c r="M54" s="4">
        <v>32</v>
      </c>
      <c r="N54" s="4">
        <v>41</v>
      </c>
      <c r="O54" s="4">
        <v>30</v>
      </c>
      <c r="P54" s="4">
        <v>27</v>
      </c>
      <c r="Q54" s="4">
        <v>33</v>
      </c>
      <c r="R54" s="3">
        <f t="shared" si="4"/>
        <v>32.166666666666664</v>
      </c>
      <c r="S54" s="3">
        <f t="shared" si="3"/>
        <v>1.9564707454438894</v>
      </c>
      <c r="T54" s="7"/>
      <c r="U54" s="7"/>
      <c r="V54" s="7"/>
      <c r="W54" s="7"/>
      <c r="X54" s="7"/>
    </row>
    <row r="55" spans="2:77" ht="24" customHeight="1" thickBot="1" x14ac:dyDescent="0.25">
      <c r="B55" s="104"/>
      <c r="C55" s="114"/>
      <c r="D55" s="12" t="e">
        <v>#N/A</v>
      </c>
      <c r="E55" s="12" t="e">
        <v>#N/A</v>
      </c>
      <c r="F55" s="12" t="e">
        <v>#N/A</v>
      </c>
      <c r="G55" s="12" t="e">
        <v>#N/A</v>
      </c>
      <c r="H55" s="12" t="e">
        <v>#N/A</v>
      </c>
      <c r="I55" s="12" t="e">
        <v>#N/A</v>
      </c>
      <c r="J55" s="116"/>
      <c r="K55" s="12" t="s">
        <v>233</v>
      </c>
      <c r="L55" s="11">
        <v>31</v>
      </c>
      <c r="M55" s="11">
        <v>29</v>
      </c>
      <c r="N55" s="11">
        <v>41</v>
      </c>
      <c r="O55" s="11">
        <v>36</v>
      </c>
      <c r="P55" s="11">
        <v>30</v>
      </c>
      <c r="Q55" s="11">
        <v>37</v>
      </c>
      <c r="R55" s="3">
        <f t="shared" si="4"/>
        <v>34</v>
      </c>
      <c r="S55" s="3">
        <f t="shared" si="3"/>
        <v>1.932183566158592</v>
      </c>
      <c r="T55" s="7"/>
      <c r="U55" s="7"/>
      <c r="V55" s="7"/>
      <c r="W55" s="7"/>
      <c r="X55" s="7"/>
      <c r="AJ55" s="10"/>
      <c r="AK55" s="10"/>
      <c r="AL55" s="9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</row>
    <row r="56" spans="2:77" ht="24" customHeight="1" x14ac:dyDescent="0.2">
      <c r="B56" s="112">
        <v>37</v>
      </c>
      <c r="C56" s="113" t="s">
        <v>238</v>
      </c>
      <c r="D56" s="5" t="e">
        <v>#N/A</v>
      </c>
      <c r="E56" s="5" t="e">
        <v>#N/A</v>
      </c>
      <c r="F56" s="5" t="e">
        <v>#N/A</v>
      </c>
      <c r="G56" s="5" t="e">
        <v>#N/A</v>
      </c>
      <c r="H56" s="5" t="e">
        <v>#N/A</v>
      </c>
      <c r="I56" s="5" t="e">
        <v>#N/A</v>
      </c>
      <c r="J56" s="117"/>
      <c r="K56" s="5" t="s">
        <v>234</v>
      </c>
      <c r="L56" s="4">
        <v>23</v>
      </c>
      <c r="M56" s="4">
        <v>23</v>
      </c>
      <c r="N56" s="15" t="s">
        <v>237</v>
      </c>
      <c r="O56" s="4">
        <v>31</v>
      </c>
      <c r="P56" s="4">
        <v>32</v>
      </c>
      <c r="Q56" s="4">
        <v>25</v>
      </c>
      <c r="R56" s="3">
        <f t="shared" si="4"/>
        <v>26.8</v>
      </c>
      <c r="S56" s="3">
        <f>STDEV(L56:Q56)/SQRT(5)</f>
        <v>1.9595917942265446</v>
      </c>
      <c r="T56" s="7"/>
      <c r="U56" s="7"/>
      <c r="V56" s="7"/>
      <c r="W56" s="7"/>
      <c r="X56" s="7"/>
    </row>
    <row r="57" spans="2:77" ht="24" customHeight="1" thickBot="1" x14ac:dyDescent="0.25">
      <c r="B57" s="104"/>
      <c r="C57" s="114"/>
      <c r="D57" s="12" t="e">
        <v>#N/A</v>
      </c>
      <c r="E57" s="12" t="e">
        <v>#N/A</v>
      </c>
      <c r="F57" s="12" t="e">
        <v>#N/A</v>
      </c>
      <c r="G57" s="12" t="e">
        <v>#N/A</v>
      </c>
      <c r="H57" s="12" t="e">
        <v>#N/A</v>
      </c>
      <c r="I57" s="12" t="e">
        <v>#N/A</v>
      </c>
      <c r="J57" s="116"/>
      <c r="K57" s="12" t="s">
        <v>233</v>
      </c>
      <c r="L57" s="11">
        <v>17</v>
      </c>
      <c r="M57" s="11">
        <v>25</v>
      </c>
      <c r="N57" s="14" t="s">
        <v>237</v>
      </c>
      <c r="O57" s="11">
        <v>27</v>
      </c>
      <c r="P57" s="11">
        <v>28</v>
      </c>
      <c r="Q57" s="11">
        <v>29</v>
      </c>
      <c r="R57" s="3">
        <f t="shared" si="4"/>
        <v>25.2</v>
      </c>
      <c r="S57" s="3">
        <f>STDEV(L57:Q57)/SQRT(5)</f>
        <v>2.1540659228538037</v>
      </c>
      <c r="T57" s="7"/>
      <c r="U57" s="7"/>
      <c r="V57" s="7"/>
      <c r="W57" s="7"/>
      <c r="X57" s="7"/>
      <c r="AJ57" s="10"/>
      <c r="AK57" s="10"/>
      <c r="AL57" s="9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</row>
    <row r="58" spans="2:77" ht="24" customHeight="1" x14ac:dyDescent="0.2">
      <c r="B58" s="112">
        <v>36</v>
      </c>
      <c r="C58" s="113" t="s">
        <v>314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117"/>
      <c r="K58" s="5" t="s">
        <v>234</v>
      </c>
      <c r="L58" s="4">
        <v>38</v>
      </c>
      <c r="M58" s="4">
        <v>21</v>
      </c>
      <c r="N58" s="4">
        <v>34</v>
      </c>
      <c r="O58" s="4">
        <v>28</v>
      </c>
      <c r="P58" s="4">
        <v>29</v>
      </c>
      <c r="Q58" s="4">
        <v>33</v>
      </c>
      <c r="R58" s="3">
        <f t="shared" si="4"/>
        <v>30.5</v>
      </c>
      <c r="S58" s="3">
        <f t="shared" ref="S58:S85" si="5">STDEV(L58:Q58)/SQRT(6)</f>
        <v>2.4048561980570344</v>
      </c>
      <c r="T58" s="7"/>
      <c r="U58" s="7"/>
      <c r="V58" s="7"/>
      <c r="W58" s="7"/>
      <c r="X58" s="7"/>
    </row>
    <row r="59" spans="2:77" ht="24" customHeight="1" thickBot="1" x14ac:dyDescent="0.25">
      <c r="B59" s="104"/>
      <c r="C59" s="114"/>
      <c r="D59" s="12" t="e">
        <v>#N/A</v>
      </c>
      <c r="E59" s="12" t="e">
        <v>#N/A</v>
      </c>
      <c r="F59" s="12" t="e">
        <v>#N/A</v>
      </c>
      <c r="G59" s="12" t="e">
        <v>#N/A</v>
      </c>
      <c r="H59" s="12" t="e">
        <v>#N/A</v>
      </c>
      <c r="I59" s="12" t="e">
        <v>#N/A</v>
      </c>
      <c r="J59" s="116"/>
      <c r="K59" s="12" t="s">
        <v>233</v>
      </c>
      <c r="L59" s="11">
        <v>29</v>
      </c>
      <c r="M59" s="11">
        <v>21</v>
      </c>
      <c r="N59" s="11">
        <v>31</v>
      </c>
      <c r="O59" s="11">
        <v>24</v>
      </c>
      <c r="P59" s="11">
        <v>33</v>
      </c>
      <c r="Q59" s="11">
        <v>38</v>
      </c>
      <c r="R59" s="3">
        <f t="shared" si="4"/>
        <v>29.333333333333332</v>
      </c>
      <c r="S59" s="3">
        <f t="shared" si="5"/>
        <v>2.512192490855568</v>
      </c>
      <c r="T59" s="7"/>
      <c r="U59" s="7"/>
      <c r="V59" s="7"/>
      <c r="W59" s="7"/>
      <c r="X59" s="7"/>
      <c r="AJ59" s="10"/>
      <c r="AK59" s="10"/>
      <c r="AL59" s="9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</row>
    <row r="60" spans="2:77" ht="24" customHeight="1" x14ac:dyDescent="0.2">
      <c r="B60" s="112">
        <v>35</v>
      </c>
      <c r="C60" s="113" t="s">
        <v>309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117"/>
      <c r="K60" s="5" t="s">
        <v>234</v>
      </c>
      <c r="L60" s="4">
        <v>22</v>
      </c>
      <c r="M60" s="4">
        <v>18</v>
      </c>
      <c r="N60" s="4">
        <v>24</v>
      </c>
      <c r="O60" s="4">
        <v>15</v>
      </c>
      <c r="P60" s="4">
        <v>32</v>
      </c>
      <c r="Q60" s="4">
        <v>33</v>
      </c>
      <c r="R60" s="3">
        <f t="shared" si="4"/>
        <v>24</v>
      </c>
      <c r="S60" s="3">
        <f t="shared" si="5"/>
        <v>2.9776948578836397</v>
      </c>
      <c r="T60" s="7"/>
      <c r="U60" s="7"/>
      <c r="V60" s="7"/>
      <c r="W60" s="7"/>
      <c r="X60" s="7"/>
    </row>
    <row r="61" spans="2:77" ht="24" customHeight="1" thickBot="1" x14ac:dyDescent="0.25">
      <c r="B61" s="104"/>
      <c r="C61" s="114"/>
      <c r="D61" s="12" t="e">
        <v>#N/A</v>
      </c>
      <c r="E61" s="12" t="e">
        <v>#N/A</v>
      </c>
      <c r="F61" s="12" t="e">
        <v>#N/A</v>
      </c>
      <c r="G61" s="12" t="e">
        <v>#N/A</v>
      </c>
      <c r="H61" s="12" t="e">
        <v>#N/A</v>
      </c>
      <c r="I61" s="12" t="e">
        <v>#N/A</v>
      </c>
      <c r="J61" s="116"/>
      <c r="K61" s="12" t="s">
        <v>233</v>
      </c>
      <c r="L61" s="11">
        <v>20</v>
      </c>
      <c r="M61" s="11">
        <v>19</v>
      </c>
      <c r="N61" s="11">
        <v>22</v>
      </c>
      <c r="O61" s="11">
        <v>16</v>
      </c>
      <c r="P61" s="11">
        <v>34</v>
      </c>
      <c r="Q61" s="11">
        <v>26</v>
      </c>
      <c r="R61" s="3">
        <f t="shared" si="4"/>
        <v>22.833333333333332</v>
      </c>
      <c r="S61" s="3">
        <f t="shared" si="5"/>
        <v>2.6130016796354694</v>
      </c>
      <c r="T61" s="7"/>
      <c r="U61" s="7"/>
      <c r="V61" s="7"/>
      <c r="W61" s="7"/>
      <c r="X61" s="7"/>
      <c r="AJ61" s="10"/>
      <c r="AK61" s="10"/>
      <c r="AL61" s="9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</row>
    <row r="62" spans="2:77" ht="24" customHeight="1" x14ac:dyDescent="0.2">
      <c r="B62" s="112">
        <v>34</v>
      </c>
      <c r="C62" s="113" t="s">
        <v>236</v>
      </c>
      <c r="D62" s="5" t="e">
        <v>#N/A</v>
      </c>
      <c r="E62" s="5" t="e">
        <v>#N/A</v>
      </c>
      <c r="F62" s="5" t="e">
        <v>#N/A</v>
      </c>
      <c r="G62" s="5" t="e">
        <v>#N/A</v>
      </c>
      <c r="H62" s="5" t="e">
        <v>#N/A</v>
      </c>
      <c r="I62" s="5" t="e">
        <v>#N/A</v>
      </c>
      <c r="J62" s="117"/>
      <c r="K62" s="5" t="s">
        <v>234</v>
      </c>
      <c r="L62" s="4">
        <v>34</v>
      </c>
      <c r="M62" s="4">
        <v>33</v>
      </c>
      <c r="N62" s="4">
        <v>28</v>
      </c>
      <c r="O62" s="4">
        <v>20</v>
      </c>
      <c r="P62" s="4">
        <v>23</v>
      </c>
      <c r="Q62" s="4">
        <v>34</v>
      </c>
      <c r="R62" s="3">
        <f t="shared" si="4"/>
        <v>28.666666666666668</v>
      </c>
      <c r="S62" s="3">
        <f t="shared" si="5"/>
        <v>2.4720661623652189</v>
      </c>
      <c r="T62" s="7"/>
      <c r="U62" s="7"/>
      <c r="V62" s="7"/>
      <c r="W62" s="7"/>
      <c r="X62" s="7"/>
    </row>
    <row r="63" spans="2:77" ht="24" customHeight="1" thickBot="1" x14ac:dyDescent="0.25">
      <c r="B63" s="104"/>
      <c r="C63" s="114"/>
      <c r="D63" s="12" t="e">
        <v>#N/A</v>
      </c>
      <c r="E63" s="12" t="e">
        <v>#N/A</v>
      </c>
      <c r="F63" s="12" t="e">
        <v>#N/A</v>
      </c>
      <c r="G63" s="12" t="e">
        <v>#N/A</v>
      </c>
      <c r="H63" s="12" t="e">
        <v>#N/A</v>
      </c>
      <c r="I63" s="12" t="e">
        <v>#N/A</v>
      </c>
      <c r="J63" s="116"/>
      <c r="K63" s="12" t="s">
        <v>233</v>
      </c>
      <c r="L63" s="11">
        <v>37</v>
      </c>
      <c r="M63" s="11">
        <v>35</v>
      </c>
      <c r="N63" s="11">
        <v>32</v>
      </c>
      <c r="O63" s="11">
        <v>19</v>
      </c>
      <c r="P63" s="11">
        <v>21</v>
      </c>
      <c r="Q63" s="11">
        <v>33</v>
      </c>
      <c r="R63" s="3">
        <f t="shared" si="4"/>
        <v>29.5</v>
      </c>
      <c r="S63" s="3">
        <f t="shared" si="5"/>
        <v>3.0956959368344519</v>
      </c>
      <c r="T63" s="7"/>
      <c r="U63" s="7"/>
      <c r="V63" s="7"/>
      <c r="W63" s="7"/>
      <c r="X63" s="7"/>
      <c r="AJ63" s="10"/>
      <c r="AK63" s="10"/>
      <c r="AL63" s="9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</row>
    <row r="64" spans="2:77" ht="24" customHeight="1" x14ac:dyDescent="0.2">
      <c r="B64" s="112">
        <v>33</v>
      </c>
      <c r="C64" s="113" t="s">
        <v>309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117"/>
      <c r="K64" s="5" t="s">
        <v>234</v>
      </c>
      <c r="L64" s="4">
        <v>23</v>
      </c>
      <c r="M64" s="4">
        <v>22</v>
      </c>
      <c r="N64" s="4">
        <v>27</v>
      </c>
      <c r="O64" s="4">
        <v>18</v>
      </c>
      <c r="P64" s="4">
        <v>16</v>
      </c>
      <c r="Q64" s="4">
        <v>21</v>
      </c>
      <c r="R64" s="3">
        <f t="shared" si="4"/>
        <v>21.166666666666668</v>
      </c>
      <c r="S64" s="3">
        <f t="shared" si="5"/>
        <v>1.5793810320642863</v>
      </c>
      <c r="T64" s="7"/>
      <c r="U64" s="7"/>
      <c r="V64" s="7"/>
      <c r="W64" s="7"/>
      <c r="X64" s="7"/>
    </row>
    <row r="65" spans="2:77" ht="24" customHeight="1" thickBot="1" x14ac:dyDescent="0.25">
      <c r="B65" s="104"/>
      <c r="C65" s="114"/>
      <c r="D65" s="5" t="e">
        <v>#N/A</v>
      </c>
      <c r="E65" s="5" t="e">
        <v>#N/A</v>
      </c>
      <c r="F65" s="5" t="e">
        <v>#N/A</v>
      </c>
      <c r="G65" s="5" t="e">
        <v>#N/A</v>
      </c>
      <c r="H65" s="5" t="e">
        <v>#N/A</v>
      </c>
      <c r="I65" s="5" t="e">
        <v>#N/A</v>
      </c>
      <c r="J65" s="116"/>
      <c r="K65" s="5" t="s">
        <v>233</v>
      </c>
      <c r="L65" s="4">
        <v>22</v>
      </c>
      <c r="M65" s="4">
        <v>18</v>
      </c>
      <c r="N65" s="4">
        <v>25</v>
      </c>
      <c r="O65" s="4">
        <v>20</v>
      </c>
      <c r="P65" s="4">
        <v>17</v>
      </c>
      <c r="Q65" s="4">
        <v>16</v>
      </c>
      <c r="R65" s="3">
        <f t="shared" si="4"/>
        <v>19.666666666666668</v>
      </c>
      <c r="S65" s="3">
        <f t="shared" si="5"/>
        <v>1.3824294235551833</v>
      </c>
      <c r="T65" s="7"/>
      <c r="U65" s="7"/>
      <c r="V65" s="7"/>
      <c r="W65" s="7"/>
      <c r="X65" s="7"/>
    </row>
    <row r="66" spans="2:77" ht="24" customHeight="1" x14ac:dyDescent="0.2">
      <c r="B66" s="112">
        <v>32</v>
      </c>
      <c r="C66" s="113" t="s">
        <v>311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117"/>
      <c r="K66" s="5" t="s">
        <v>234</v>
      </c>
      <c r="L66" s="4">
        <v>25</v>
      </c>
      <c r="M66" s="4">
        <v>22</v>
      </c>
      <c r="N66" s="4">
        <v>22</v>
      </c>
      <c r="O66" s="4">
        <v>24</v>
      </c>
      <c r="P66" s="4">
        <v>27</v>
      </c>
      <c r="Q66" s="4">
        <v>23</v>
      </c>
      <c r="R66" s="3">
        <f t="shared" si="4"/>
        <v>23.833333333333332</v>
      </c>
      <c r="S66" s="3">
        <f t="shared" si="5"/>
        <v>0.79232428826698098</v>
      </c>
      <c r="AJ66" s="10">
        <v>2</v>
      </c>
      <c r="AK66" s="10" t="s">
        <v>235</v>
      </c>
      <c r="AL66" s="10">
        <v>150</v>
      </c>
    </row>
    <row r="67" spans="2:77" ht="24" customHeight="1" thickBot="1" x14ac:dyDescent="0.25">
      <c r="B67" s="104"/>
      <c r="C67" s="114"/>
      <c r="D67" s="12" t="e">
        <v>#N/A</v>
      </c>
      <c r="E67" s="12" t="e">
        <v>#N/A</v>
      </c>
      <c r="F67" s="12" t="e">
        <v>#N/A</v>
      </c>
      <c r="G67" s="12" t="e">
        <v>#N/A</v>
      </c>
      <c r="H67" s="12" t="e">
        <v>#N/A</v>
      </c>
      <c r="I67" s="12" t="e">
        <v>#N/A</v>
      </c>
      <c r="J67" s="116"/>
      <c r="K67" s="12" t="s">
        <v>233</v>
      </c>
      <c r="L67" s="11">
        <v>26</v>
      </c>
      <c r="M67" s="11">
        <v>24</v>
      </c>
      <c r="N67" s="11">
        <v>20</v>
      </c>
      <c r="O67" s="11">
        <v>19</v>
      </c>
      <c r="P67" s="11">
        <v>28</v>
      </c>
      <c r="Q67" s="11">
        <v>25</v>
      </c>
      <c r="R67" s="3">
        <f t="shared" si="4"/>
        <v>23.666666666666668</v>
      </c>
      <c r="S67" s="3">
        <f t="shared" si="5"/>
        <v>1.429840705968483</v>
      </c>
      <c r="T67" s="7"/>
      <c r="U67" s="7"/>
      <c r="V67" s="7"/>
      <c r="W67" s="7"/>
      <c r="X67" s="7"/>
      <c r="AJ67" s="10"/>
      <c r="AK67" s="10"/>
      <c r="AL67" s="9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</row>
    <row r="68" spans="2:77" ht="24" customHeight="1" x14ac:dyDescent="0.2">
      <c r="B68" s="112">
        <v>31</v>
      </c>
      <c r="C68" s="113" t="s">
        <v>314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117"/>
      <c r="K68" s="5" t="s">
        <v>234</v>
      </c>
      <c r="L68" s="4">
        <v>30</v>
      </c>
      <c r="M68" s="4">
        <v>33</v>
      </c>
      <c r="N68" s="4">
        <v>43</v>
      </c>
      <c r="O68" s="4">
        <v>32</v>
      </c>
      <c r="P68" s="4">
        <v>47</v>
      </c>
      <c r="Q68" s="4">
        <v>29</v>
      </c>
      <c r="R68" s="3">
        <f t="shared" si="4"/>
        <v>35.666666666666664</v>
      </c>
      <c r="S68" s="3">
        <f t="shared" si="5"/>
        <v>3.0514113310255473</v>
      </c>
      <c r="T68" s="7"/>
      <c r="U68" s="7"/>
      <c r="V68" s="7"/>
      <c r="W68" s="7"/>
      <c r="X68" s="7"/>
    </row>
    <row r="69" spans="2:77" ht="24" customHeight="1" thickBot="1" x14ac:dyDescent="0.25">
      <c r="B69" s="104"/>
      <c r="C69" s="114"/>
      <c r="D69" s="12" t="e">
        <v>#N/A</v>
      </c>
      <c r="E69" s="12" t="e">
        <v>#N/A</v>
      </c>
      <c r="F69" s="12" t="e">
        <v>#N/A</v>
      </c>
      <c r="G69" s="12" t="e">
        <v>#N/A</v>
      </c>
      <c r="H69" s="12" t="e">
        <v>#N/A</v>
      </c>
      <c r="I69" s="12" t="e">
        <v>#N/A</v>
      </c>
      <c r="J69" s="116"/>
      <c r="K69" s="12" t="s">
        <v>233</v>
      </c>
      <c r="L69" s="11">
        <v>31</v>
      </c>
      <c r="M69" s="11">
        <v>32</v>
      </c>
      <c r="N69" s="11">
        <v>40</v>
      </c>
      <c r="O69" s="11">
        <v>37</v>
      </c>
      <c r="P69" s="11">
        <v>46</v>
      </c>
      <c r="Q69" s="11">
        <v>30</v>
      </c>
      <c r="R69" s="3">
        <f t="shared" si="4"/>
        <v>36</v>
      </c>
      <c r="S69" s="3">
        <f t="shared" si="5"/>
        <v>2.5429641497014202</v>
      </c>
      <c r="T69" s="7"/>
      <c r="U69" s="7"/>
      <c r="V69" s="7"/>
      <c r="W69" s="7"/>
      <c r="X69" s="7"/>
      <c r="AJ69" s="10"/>
      <c r="AK69" s="10"/>
      <c r="AL69" s="9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</row>
    <row r="70" spans="2:77" ht="24" customHeight="1" x14ac:dyDescent="0.2">
      <c r="B70" s="112">
        <v>41</v>
      </c>
      <c r="C70" s="113" t="s">
        <v>310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118">
        <v>1226</v>
      </c>
      <c r="K70" s="5" t="s">
        <v>234</v>
      </c>
      <c r="L70" s="4">
        <v>42</v>
      </c>
      <c r="M70" s="4">
        <v>22</v>
      </c>
      <c r="N70" s="4">
        <v>33</v>
      </c>
      <c r="O70" s="4">
        <v>32</v>
      </c>
      <c r="P70" s="4">
        <v>35</v>
      </c>
      <c r="Q70" s="4">
        <v>35</v>
      </c>
      <c r="R70" s="3">
        <f t="shared" si="4"/>
        <v>33.166666666666664</v>
      </c>
      <c r="S70" s="3">
        <f t="shared" si="5"/>
        <v>2.6509956200978095</v>
      </c>
      <c r="T70" s="7"/>
      <c r="U70" s="7"/>
      <c r="V70" s="7"/>
      <c r="W70" s="7"/>
      <c r="X70" s="7"/>
    </row>
    <row r="71" spans="2:77" ht="24" customHeight="1" thickBot="1" x14ac:dyDescent="0.25">
      <c r="B71" s="104"/>
      <c r="C71" s="114"/>
      <c r="D71" s="12" t="e">
        <v>#N/A</v>
      </c>
      <c r="E71" s="12" t="e">
        <v>#N/A</v>
      </c>
      <c r="F71" s="12" t="e">
        <v>#N/A</v>
      </c>
      <c r="G71" s="12" t="e">
        <v>#N/A</v>
      </c>
      <c r="H71" s="12" t="e">
        <v>#N/A</v>
      </c>
      <c r="I71" s="12" t="e">
        <v>#N/A</v>
      </c>
      <c r="J71" s="116"/>
      <c r="K71" s="12" t="s">
        <v>233</v>
      </c>
      <c r="L71" s="11">
        <v>42</v>
      </c>
      <c r="M71" s="11">
        <v>22</v>
      </c>
      <c r="N71" s="11">
        <v>37</v>
      </c>
      <c r="O71" s="11">
        <v>34</v>
      </c>
      <c r="P71" s="11">
        <v>37</v>
      </c>
      <c r="Q71" s="11">
        <v>39</v>
      </c>
      <c r="R71" s="3">
        <f t="shared" si="4"/>
        <v>35.166666666666664</v>
      </c>
      <c r="S71" s="3">
        <f t="shared" si="5"/>
        <v>2.8450737151160839</v>
      </c>
      <c r="T71" s="7"/>
      <c r="U71" s="7"/>
      <c r="V71" s="7"/>
      <c r="W71" s="7"/>
      <c r="X71" s="7"/>
      <c r="AJ71" s="10"/>
      <c r="AK71" s="10"/>
      <c r="AL71" s="9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</row>
    <row r="72" spans="2:77" ht="24" customHeight="1" x14ac:dyDescent="0.2">
      <c r="B72" s="112">
        <v>42</v>
      </c>
      <c r="C72" s="113" t="s">
        <v>238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117"/>
      <c r="K72" s="5" t="s">
        <v>234</v>
      </c>
      <c r="L72" s="4">
        <v>32</v>
      </c>
      <c r="M72" s="4">
        <v>34</v>
      </c>
      <c r="N72" s="4">
        <v>39</v>
      </c>
      <c r="O72" s="4">
        <v>35</v>
      </c>
      <c r="P72" s="4">
        <v>32</v>
      </c>
      <c r="Q72" s="4">
        <v>23</v>
      </c>
      <c r="R72" s="3">
        <f t="shared" si="4"/>
        <v>32.5</v>
      </c>
      <c r="S72" s="3">
        <f t="shared" si="5"/>
        <v>2.1717888172349231</v>
      </c>
      <c r="T72" s="7"/>
      <c r="U72" s="7"/>
      <c r="V72" s="7"/>
      <c r="W72" s="7"/>
      <c r="X72" s="7"/>
    </row>
    <row r="73" spans="2:77" ht="24" customHeight="1" thickBot="1" x14ac:dyDescent="0.25">
      <c r="B73" s="104"/>
      <c r="C73" s="114"/>
      <c r="D73" s="12" t="e">
        <v>#N/A</v>
      </c>
      <c r="E73" s="12" t="e">
        <v>#N/A</v>
      </c>
      <c r="F73" s="12" t="e">
        <v>#N/A</v>
      </c>
      <c r="G73" s="12" t="e">
        <v>#N/A</v>
      </c>
      <c r="H73" s="12" t="e">
        <v>#N/A</v>
      </c>
      <c r="I73" s="12" t="e">
        <v>#N/A</v>
      </c>
      <c r="J73" s="119"/>
      <c r="K73" s="12" t="s">
        <v>233</v>
      </c>
      <c r="L73" s="11">
        <v>24</v>
      </c>
      <c r="M73" s="11">
        <v>28</v>
      </c>
      <c r="N73" s="11">
        <v>36</v>
      </c>
      <c r="O73" s="11">
        <v>22</v>
      </c>
      <c r="P73" s="11">
        <v>31</v>
      </c>
      <c r="Q73" s="11">
        <v>24</v>
      </c>
      <c r="R73" s="3">
        <f t="shared" si="4"/>
        <v>27.5</v>
      </c>
      <c r="S73" s="3">
        <f t="shared" si="5"/>
        <v>2.1563858652847827</v>
      </c>
      <c r="T73" s="7"/>
      <c r="U73" s="7"/>
      <c r="V73" s="7"/>
      <c r="W73" s="7"/>
      <c r="X73" s="7"/>
      <c r="AJ73" s="10"/>
      <c r="AK73" s="10"/>
      <c r="AL73" s="9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</row>
    <row r="74" spans="2:77" ht="24" customHeight="1" x14ac:dyDescent="0.2">
      <c r="B74" s="112">
        <v>43</v>
      </c>
      <c r="C74" s="113" t="s">
        <v>312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117"/>
      <c r="K74" s="5" t="s">
        <v>234</v>
      </c>
      <c r="L74" s="4">
        <v>29</v>
      </c>
      <c r="M74" s="4">
        <v>41</v>
      </c>
      <c r="N74" s="4">
        <v>42</v>
      </c>
      <c r="O74" s="4">
        <v>35</v>
      </c>
      <c r="P74" s="4">
        <v>38</v>
      </c>
      <c r="Q74" s="4">
        <v>42</v>
      </c>
      <c r="R74" s="3">
        <f t="shared" ref="R74:R85" si="6">AVERAGE(L74:Q74)</f>
        <v>37.833333333333336</v>
      </c>
      <c r="S74" s="3">
        <f t="shared" si="5"/>
        <v>2.0883273476902833</v>
      </c>
      <c r="T74" s="7"/>
      <c r="U74" s="7"/>
      <c r="V74" s="7"/>
      <c r="W74" s="7"/>
      <c r="X74" s="7"/>
    </row>
    <row r="75" spans="2:77" ht="24" customHeight="1" thickBot="1" x14ac:dyDescent="0.25">
      <c r="B75" s="104"/>
      <c r="C75" s="114"/>
      <c r="D75" s="12" t="e">
        <v>#N/A</v>
      </c>
      <c r="E75" s="12" t="e">
        <v>#N/A</v>
      </c>
      <c r="F75" s="12" t="e">
        <v>#N/A</v>
      </c>
      <c r="G75" s="12" t="e">
        <v>#N/A</v>
      </c>
      <c r="H75" s="12" t="e">
        <v>#N/A</v>
      </c>
      <c r="I75" s="12" t="e">
        <v>#N/A</v>
      </c>
      <c r="J75" s="119"/>
      <c r="K75" s="12" t="s">
        <v>233</v>
      </c>
      <c r="L75" s="11">
        <v>28</v>
      </c>
      <c r="M75" s="11">
        <v>39</v>
      </c>
      <c r="N75" s="11">
        <v>37</v>
      </c>
      <c r="O75" s="11">
        <v>30</v>
      </c>
      <c r="P75" s="11">
        <v>41</v>
      </c>
      <c r="Q75" s="11">
        <v>40</v>
      </c>
      <c r="R75" s="3">
        <f t="shared" si="6"/>
        <v>35.833333333333336</v>
      </c>
      <c r="S75" s="3">
        <f t="shared" si="5"/>
        <v>2.2422706745122829</v>
      </c>
      <c r="T75" s="7"/>
      <c r="U75" s="7"/>
      <c r="V75" s="7"/>
      <c r="W75" s="7"/>
      <c r="X75" s="7"/>
      <c r="AJ75" s="10"/>
      <c r="AK75" s="10"/>
      <c r="AL75" s="9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</row>
    <row r="76" spans="2:77" ht="24" customHeight="1" x14ac:dyDescent="0.2">
      <c r="B76" s="112">
        <v>44</v>
      </c>
      <c r="C76" s="113" t="s">
        <v>312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6"/>
      <c r="K76" s="5" t="s">
        <v>234</v>
      </c>
      <c r="L76" s="4">
        <v>31</v>
      </c>
      <c r="M76" s="4">
        <v>29</v>
      </c>
      <c r="N76" s="4">
        <v>32</v>
      </c>
      <c r="O76" s="4">
        <v>28</v>
      </c>
      <c r="P76" s="4">
        <v>20</v>
      </c>
      <c r="Q76" s="4">
        <v>23</v>
      </c>
      <c r="R76" s="3">
        <f t="shared" si="6"/>
        <v>27.166666666666668</v>
      </c>
      <c r="S76" s="3">
        <f t="shared" si="5"/>
        <v>1.9220937657784638</v>
      </c>
      <c r="T76" s="7"/>
      <c r="U76" s="7"/>
      <c r="V76" s="7"/>
      <c r="W76" s="7"/>
      <c r="X76" s="7"/>
    </row>
    <row r="77" spans="2:77" ht="24" customHeight="1" thickBot="1" x14ac:dyDescent="0.25">
      <c r="B77" s="104"/>
      <c r="C77" s="114"/>
      <c r="D77" s="12" t="e">
        <v>#N/A</v>
      </c>
      <c r="E77" s="12" t="e">
        <v>#N/A</v>
      </c>
      <c r="F77" s="12" t="e">
        <v>#N/A</v>
      </c>
      <c r="G77" s="12" t="e">
        <v>#N/A</v>
      </c>
      <c r="H77" s="12" t="e">
        <v>#N/A</v>
      </c>
      <c r="I77" s="12" t="e">
        <v>#N/A</v>
      </c>
      <c r="J77" s="13"/>
      <c r="K77" s="12" t="s">
        <v>233</v>
      </c>
      <c r="L77" s="11">
        <v>28</v>
      </c>
      <c r="M77" s="11">
        <v>27</v>
      </c>
      <c r="N77" s="11">
        <v>31</v>
      </c>
      <c r="O77" s="11">
        <v>27</v>
      </c>
      <c r="P77" s="11">
        <v>20</v>
      </c>
      <c r="Q77" s="11">
        <v>25</v>
      </c>
      <c r="R77" s="3">
        <f t="shared" si="6"/>
        <v>26.333333333333332</v>
      </c>
      <c r="S77" s="3">
        <f t="shared" si="5"/>
        <v>1.4981470036162789</v>
      </c>
      <c r="T77" s="7"/>
      <c r="U77" s="7"/>
      <c r="V77" s="7"/>
      <c r="W77" s="7"/>
      <c r="X77" s="7"/>
      <c r="AJ77" s="10"/>
      <c r="AK77" s="10"/>
      <c r="AL77" s="9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</row>
    <row r="78" spans="2:77" ht="24" customHeight="1" x14ac:dyDescent="0.2">
      <c r="B78" s="112">
        <v>45</v>
      </c>
      <c r="C78" s="113" t="s">
        <v>313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117"/>
      <c r="K78" s="5" t="s">
        <v>234</v>
      </c>
      <c r="L78" s="4">
        <v>31</v>
      </c>
      <c r="M78" s="4">
        <v>29</v>
      </c>
      <c r="N78" s="4">
        <v>23</v>
      </c>
      <c r="O78" s="4">
        <v>27</v>
      </c>
      <c r="P78" s="4">
        <v>31</v>
      </c>
      <c r="Q78" s="4">
        <v>35</v>
      </c>
      <c r="R78" s="3">
        <f t="shared" si="6"/>
        <v>29.333333333333332</v>
      </c>
      <c r="S78" s="3">
        <f t="shared" si="5"/>
        <v>1.6666666666666641</v>
      </c>
      <c r="T78" s="7"/>
      <c r="U78" s="7"/>
      <c r="V78" s="7"/>
      <c r="W78" s="7"/>
      <c r="X78" s="7"/>
    </row>
    <row r="79" spans="2:77" ht="24" customHeight="1" thickBot="1" x14ac:dyDescent="0.25">
      <c r="B79" s="104"/>
      <c r="C79" s="114"/>
      <c r="D79" s="12" t="e">
        <v>#N/A</v>
      </c>
      <c r="E79" s="12" t="e">
        <v>#N/A</v>
      </c>
      <c r="F79" s="12" t="e">
        <v>#N/A</v>
      </c>
      <c r="G79" s="12" t="e">
        <v>#N/A</v>
      </c>
      <c r="H79" s="12" t="e">
        <v>#N/A</v>
      </c>
      <c r="I79" s="12" t="e">
        <v>#N/A</v>
      </c>
      <c r="J79" s="119"/>
      <c r="K79" s="12" t="s">
        <v>233</v>
      </c>
      <c r="L79" s="11">
        <v>28</v>
      </c>
      <c r="M79" s="11">
        <v>25</v>
      </c>
      <c r="N79" s="11">
        <v>25</v>
      </c>
      <c r="O79" s="11">
        <v>25</v>
      </c>
      <c r="P79" s="11">
        <v>32</v>
      </c>
      <c r="Q79" s="11">
        <v>34</v>
      </c>
      <c r="R79" s="3">
        <f t="shared" si="6"/>
        <v>28.166666666666668</v>
      </c>
      <c r="S79" s="3">
        <f t="shared" si="5"/>
        <v>1.6210421887717075</v>
      </c>
      <c r="T79" s="7"/>
      <c r="U79" s="7"/>
      <c r="V79" s="7"/>
      <c r="W79" s="7"/>
      <c r="X79" s="7"/>
      <c r="AJ79" s="10"/>
      <c r="AK79" s="10"/>
      <c r="AL79" s="9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</row>
    <row r="80" spans="2:77" ht="24" customHeight="1" x14ac:dyDescent="0.2">
      <c r="B80" s="112">
        <v>46</v>
      </c>
      <c r="C80" s="113" t="s">
        <v>236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117"/>
      <c r="K80" s="5" t="s">
        <v>234</v>
      </c>
      <c r="L80" s="4">
        <v>35</v>
      </c>
      <c r="M80" s="4">
        <v>36</v>
      </c>
      <c r="N80" s="4">
        <v>34</v>
      </c>
      <c r="O80" s="4">
        <v>39</v>
      </c>
      <c r="P80" s="4">
        <v>48</v>
      </c>
      <c r="Q80" s="4">
        <v>39</v>
      </c>
      <c r="R80" s="3">
        <f t="shared" si="6"/>
        <v>38.5</v>
      </c>
      <c r="S80" s="3">
        <f t="shared" si="5"/>
        <v>2.0776589389663229</v>
      </c>
      <c r="T80" s="7"/>
      <c r="U80" s="7"/>
      <c r="V80" s="7"/>
      <c r="W80" s="7"/>
      <c r="X80" s="7"/>
    </row>
    <row r="81" spans="2:24" ht="24" customHeight="1" thickBot="1" x14ac:dyDescent="0.25">
      <c r="B81" s="104"/>
      <c r="C81" s="114"/>
      <c r="D81" s="5" t="e">
        <v>#N/A</v>
      </c>
      <c r="E81" s="5" t="e">
        <v>#N/A</v>
      </c>
      <c r="F81" s="5" t="e">
        <v>#N/A</v>
      </c>
      <c r="G81" s="5" t="e">
        <v>#N/A</v>
      </c>
      <c r="H81" s="5" t="e">
        <v>#N/A</v>
      </c>
      <c r="I81" s="5" t="e">
        <v>#N/A</v>
      </c>
      <c r="J81" s="119"/>
      <c r="K81" s="5" t="s">
        <v>233</v>
      </c>
      <c r="L81" s="4">
        <v>30</v>
      </c>
      <c r="M81" s="4">
        <v>35</v>
      </c>
      <c r="N81" s="4">
        <v>36</v>
      </c>
      <c r="O81" s="4">
        <v>32</v>
      </c>
      <c r="P81" s="4">
        <v>34</v>
      </c>
      <c r="Q81" s="4">
        <v>32</v>
      </c>
      <c r="R81" s="3">
        <f t="shared" si="6"/>
        <v>33.166666666666664</v>
      </c>
      <c r="S81" s="3">
        <f t="shared" si="5"/>
        <v>0.90982293759707888</v>
      </c>
      <c r="T81" s="7"/>
      <c r="U81" s="7"/>
      <c r="V81" s="7"/>
      <c r="W81" s="7"/>
      <c r="X81" s="7"/>
    </row>
    <row r="82" spans="2:24" ht="24" customHeight="1" x14ac:dyDescent="0.2">
      <c r="B82" s="112">
        <v>47</v>
      </c>
      <c r="C82" s="113" t="s">
        <v>310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117"/>
      <c r="K82" s="5" t="s">
        <v>234</v>
      </c>
      <c r="L82" s="4">
        <v>37</v>
      </c>
      <c r="M82" s="4">
        <v>40</v>
      </c>
      <c r="N82" s="4">
        <v>36</v>
      </c>
      <c r="O82" s="4">
        <v>35</v>
      </c>
      <c r="P82" s="4">
        <v>34</v>
      </c>
      <c r="Q82" s="4">
        <v>29</v>
      </c>
      <c r="R82" s="3">
        <f t="shared" si="6"/>
        <v>35.166666666666664</v>
      </c>
      <c r="S82" s="3">
        <f t="shared" si="5"/>
        <v>1.4925742118158742</v>
      </c>
    </row>
    <row r="83" spans="2:24" ht="24" customHeight="1" thickBot="1" x14ac:dyDescent="0.25">
      <c r="B83" s="104"/>
      <c r="C83" s="114"/>
      <c r="D83" s="5" t="e">
        <v>#N/A</v>
      </c>
      <c r="E83" s="5" t="e">
        <v>#N/A</v>
      </c>
      <c r="F83" s="5" t="e">
        <v>#N/A</v>
      </c>
      <c r="G83" s="5" t="e">
        <v>#N/A</v>
      </c>
      <c r="H83" s="5" t="e">
        <v>#N/A</v>
      </c>
      <c r="I83" s="5" t="e">
        <v>#N/A</v>
      </c>
      <c r="J83" s="119"/>
      <c r="K83" s="5" t="s">
        <v>233</v>
      </c>
      <c r="L83" s="4">
        <v>31</v>
      </c>
      <c r="M83" s="4">
        <v>35</v>
      </c>
      <c r="N83" s="4">
        <v>40</v>
      </c>
      <c r="O83" s="4">
        <v>40</v>
      </c>
      <c r="P83" s="4">
        <v>36</v>
      </c>
      <c r="Q83" s="4">
        <v>31</v>
      </c>
      <c r="R83" s="3">
        <f t="shared" si="6"/>
        <v>35.5</v>
      </c>
      <c r="S83" s="3">
        <f t="shared" si="5"/>
        <v>1.6482313753434823</v>
      </c>
    </row>
    <row r="84" spans="2:24" ht="24" customHeight="1" x14ac:dyDescent="0.2">
      <c r="B84" s="112">
        <v>48</v>
      </c>
      <c r="C84" s="113" t="s">
        <v>311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118">
        <v>1248</v>
      </c>
      <c r="K84" s="5" t="s">
        <v>234</v>
      </c>
      <c r="L84" s="4">
        <v>44</v>
      </c>
      <c r="M84" s="4">
        <v>41</v>
      </c>
      <c r="N84" s="4">
        <v>35</v>
      </c>
      <c r="O84" s="4">
        <v>26</v>
      </c>
      <c r="P84" s="4">
        <v>34</v>
      </c>
      <c r="Q84" s="4">
        <v>27</v>
      </c>
      <c r="R84" s="3">
        <f t="shared" si="6"/>
        <v>34.5</v>
      </c>
      <c r="S84" s="3">
        <f t="shared" si="5"/>
        <v>2.9524001535473929</v>
      </c>
    </row>
    <row r="85" spans="2:24" ht="24" customHeight="1" thickBot="1" x14ac:dyDescent="0.25">
      <c r="B85" s="104"/>
      <c r="C85" s="114"/>
      <c r="D85" s="5" t="e">
        <v>#N/A</v>
      </c>
      <c r="E85" s="5" t="e">
        <v>#N/A</v>
      </c>
      <c r="F85" s="5" t="e">
        <v>#N/A</v>
      </c>
      <c r="G85" s="5" t="e">
        <v>#N/A</v>
      </c>
      <c r="H85" s="5" t="e">
        <v>#N/A</v>
      </c>
      <c r="I85" s="5" t="e">
        <v>#N/A</v>
      </c>
      <c r="J85" s="116"/>
      <c r="K85" s="5" t="s">
        <v>233</v>
      </c>
      <c r="L85" s="4">
        <v>45</v>
      </c>
      <c r="M85" s="4">
        <v>41</v>
      </c>
      <c r="N85" s="4">
        <v>32</v>
      </c>
      <c r="O85" s="4">
        <v>17</v>
      </c>
      <c r="P85" s="4">
        <v>25</v>
      </c>
      <c r="Q85" s="4">
        <v>32</v>
      </c>
      <c r="R85" s="3">
        <f t="shared" si="6"/>
        <v>32</v>
      </c>
      <c r="S85" s="3">
        <f t="shared" si="5"/>
        <v>4.1793141383086612</v>
      </c>
    </row>
    <row r="86" spans="2:24" x14ac:dyDescent="0.2">
      <c r="K86" s="2"/>
    </row>
    <row r="87" spans="2:24" x14ac:dyDescent="0.2">
      <c r="K87" s="2"/>
    </row>
    <row r="88" spans="2:24" x14ac:dyDescent="0.2">
      <c r="K88" s="2"/>
    </row>
  </sheetData>
  <mergeCells count="117">
    <mergeCell ref="J58:J59"/>
    <mergeCell ref="J60:J61"/>
    <mergeCell ref="J62:J63"/>
    <mergeCell ref="J64:J65"/>
    <mergeCell ref="J66:J67"/>
    <mergeCell ref="J68:J69"/>
    <mergeCell ref="J80:J81"/>
    <mergeCell ref="J82:J83"/>
    <mergeCell ref="J84:J85"/>
    <mergeCell ref="J70:J71"/>
    <mergeCell ref="J72:J73"/>
    <mergeCell ref="J74:J75"/>
    <mergeCell ref="J78:J79"/>
    <mergeCell ref="C84:C85"/>
    <mergeCell ref="J10:J11"/>
    <mergeCell ref="J12:J13"/>
    <mergeCell ref="J14:J15"/>
    <mergeCell ref="J16:J17"/>
    <mergeCell ref="J18:J19"/>
    <mergeCell ref="J20:J21"/>
    <mergeCell ref="J24:J25"/>
    <mergeCell ref="J26:J27"/>
    <mergeCell ref="J22:J23"/>
    <mergeCell ref="J28:J29"/>
    <mergeCell ref="J32:J33"/>
    <mergeCell ref="J30:J31"/>
    <mergeCell ref="J34:J35"/>
    <mergeCell ref="J36:J37"/>
    <mergeCell ref="J40:J41"/>
    <mergeCell ref="J38:J39"/>
    <mergeCell ref="J42:J43"/>
    <mergeCell ref="J44:J45"/>
    <mergeCell ref="J46:J47"/>
    <mergeCell ref="J52:J53"/>
    <mergeCell ref="J50:J51"/>
    <mergeCell ref="J54:J55"/>
    <mergeCell ref="J56:J57"/>
    <mergeCell ref="B84:B85"/>
    <mergeCell ref="C12:C13"/>
    <mergeCell ref="C14:C15"/>
    <mergeCell ref="C16:C17"/>
    <mergeCell ref="C18:C19"/>
    <mergeCell ref="C20:C21"/>
    <mergeCell ref="C22:C23"/>
    <mergeCell ref="B72:B73"/>
    <mergeCell ref="B74:B75"/>
    <mergeCell ref="C24:C25"/>
    <mergeCell ref="C26:C27"/>
    <mergeCell ref="C40:C41"/>
    <mergeCell ref="C42:C43"/>
    <mergeCell ref="C44:C45"/>
    <mergeCell ref="C46:C47"/>
    <mergeCell ref="C36:C37"/>
    <mergeCell ref="C38:C39"/>
    <mergeCell ref="C48:C49"/>
    <mergeCell ref="C50:C51"/>
    <mergeCell ref="C52:C53"/>
    <mergeCell ref="C54:C55"/>
    <mergeCell ref="C56:C57"/>
    <mergeCell ref="C58:C59"/>
    <mergeCell ref="C60:C61"/>
    <mergeCell ref="B80:B81"/>
    <mergeCell ref="C10:C11"/>
    <mergeCell ref="C28:C29"/>
    <mergeCell ref="C30:C31"/>
    <mergeCell ref="C32:C33"/>
    <mergeCell ref="C34:C35"/>
    <mergeCell ref="B60:B61"/>
    <mergeCell ref="B62:B63"/>
    <mergeCell ref="B82:B83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B70:B71"/>
    <mergeCell ref="B48:B49"/>
    <mergeCell ref="B50:B51"/>
    <mergeCell ref="B52:B53"/>
    <mergeCell ref="B54:B55"/>
    <mergeCell ref="B56:B57"/>
    <mergeCell ref="B58:B59"/>
    <mergeCell ref="B76:B77"/>
    <mergeCell ref="B78:B79"/>
    <mergeCell ref="B36:B37"/>
    <mergeCell ref="B38:B39"/>
    <mergeCell ref="B40:B41"/>
    <mergeCell ref="B42:B43"/>
    <mergeCell ref="B44:B45"/>
    <mergeCell ref="B46:B47"/>
    <mergeCell ref="B64:B65"/>
    <mergeCell ref="B66:B67"/>
    <mergeCell ref="B68:B69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AJ5:AL5"/>
    <mergeCell ref="B8:K8"/>
    <mergeCell ref="B10:B11"/>
    <mergeCell ref="R7:R8"/>
    <mergeCell ref="S7:S8"/>
    <mergeCell ref="L6:Q6"/>
    <mergeCell ref="B12:B13"/>
    <mergeCell ref="B14:B15"/>
    <mergeCell ref="B16:B17"/>
  </mergeCells>
  <pageMargins left="0.51" right="0" top="0.49" bottom="0" header="0.64" footer="0"/>
  <pageSetup paperSize="512" scale="60" fitToHeight="2" orientation="portrait" r:id="rId1"/>
  <headerFooter alignWithMargins="0">
    <oddFooter>&amp;L&amp;F   ALARC Remote Sensing&amp;R&amp;D</oddFooter>
  </headerFooter>
  <rowBreaks count="1" manualBreakCount="1">
    <brk id="53" max="1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8BC0-2087-4C7D-8412-17FD859A5BD0}">
  <dimension ref="A1:BZ88"/>
  <sheetViews>
    <sheetView zoomScaleNormal="100" workbookViewId="0"/>
  </sheetViews>
  <sheetFormatPr defaultRowHeight="12.75" x14ac:dyDescent="0.2"/>
  <cols>
    <col min="1" max="1" width="9.140625" style="1"/>
    <col min="2" max="2" width="6.28515625" style="1" customWidth="1"/>
    <col min="3" max="3" width="14.7109375" style="1" customWidth="1"/>
    <col min="4" max="8" width="5.28515625" style="1" hidden="1" customWidth="1"/>
    <col min="9" max="9" width="7" style="1" hidden="1" customWidth="1"/>
    <col min="10" max="17" width="12.7109375" style="1" customWidth="1"/>
    <col min="18" max="18" width="36.140625" style="1" customWidth="1"/>
    <col min="19" max="20" width="10.85546875" style="1" bestFit="1" customWidth="1"/>
    <col min="21" max="26" width="9.140625" style="1"/>
    <col min="27" max="27" width="7.5703125" style="1" customWidth="1"/>
    <col min="28" max="37" width="7.7109375" style="1" customWidth="1"/>
    <col min="38" max="16384" width="9.140625" style="1"/>
  </cols>
  <sheetData>
    <row r="1" spans="1:78" ht="15" customHeight="1" x14ac:dyDescent="0.25">
      <c r="A1" s="41" t="s">
        <v>280</v>
      </c>
    </row>
    <row r="2" spans="1:78" ht="20.100000000000001" customHeight="1" thickBot="1" x14ac:dyDescent="0.3">
      <c r="A2" s="41"/>
      <c r="M2" s="40"/>
      <c r="P2" s="8" t="s">
        <v>279</v>
      </c>
      <c r="Q2" s="39">
        <v>39274</v>
      </c>
      <c r="R2" s="54"/>
    </row>
    <row r="3" spans="1:78" ht="20.100000000000001" customHeight="1" thickBot="1" x14ac:dyDescent="0.25">
      <c r="B3" s="1" t="s">
        <v>278</v>
      </c>
      <c r="D3" s="38"/>
      <c r="E3" s="38"/>
      <c r="F3" s="38"/>
      <c r="G3" s="38"/>
      <c r="H3" s="38"/>
      <c r="I3" s="38"/>
      <c r="J3" s="38" t="s">
        <v>288</v>
      </c>
      <c r="K3" s="38"/>
      <c r="L3" s="38"/>
      <c r="M3" s="38"/>
      <c r="N3" s="38"/>
      <c r="O3" s="38"/>
      <c r="P3" s="8" t="s">
        <v>276</v>
      </c>
      <c r="Q3" s="36">
        <v>192</v>
      </c>
      <c r="R3" s="53"/>
    </row>
    <row r="4" spans="1:78" ht="20.100000000000001" customHeight="1" thickBot="1" x14ac:dyDescent="0.25">
      <c r="B4" s="38"/>
      <c r="C4" s="38" t="s">
        <v>287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8" t="s">
        <v>274</v>
      </c>
      <c r="Q4" s="36" t="s">
        <v>286</v>
      </c>
      <c r="R4" s="53"/>
    </row>
    <row r="5" spans="1:78" ht="18" x14ac:dyDescent="0.2">
      <c r="AJ5" s="35"/>
      <c r="AK5" s="99"/>
      <c r="AL5" s="99"/>
      <c r="AM5" s="99"/>
    </row>
    <row r="6" spans="1:78" ht="18" x14ac:dyDescent="0.25">
      <c r="L6" s="109" t="s">
        <v>272</v>
      </c>
      <c r="M6" s="110"/>
      <c r="N6" s="110"/>
      <c r="O6" s="110"/>
      <c r="P6" s="110"/>
      <c r="Q6" s="111"/>
      <c r="R6" s="52"/>
      <c r="AJ6" s="35"/>
      <c r="AK6" s="34"/>
      <c r="AL6" s="34"/>
      <c r="AM6" s="34"/>
    </row>
    <row r="7" spans="1:78" ht="25.5" customHeight="1" x14ac:dyDescent="0.2">
      <c r="B7" s="32" t="s">
        <v>256</v>
      </c>
      <c r="C7" s="33" t="s">
        <v>255</v>
      </c>
      <c r="D7" s="33" t="s">
        <v>271</v>
      </c>
      <c r="E7" s="32" t="s">
        <v>270</v>
      </c>
      <c r="F7" s="33" t="s">
        <v>269</v>
      </c>
      <c r="G7" s="32" t="s">
        <v>268</v>
      </c>
      <c r="H7" s="32" t="s">
        <v>250</v>
      </c>
      <c r="I7" s="32" t="s">
        <v>267</v>
      </c>
      <c r="J7" s="32" t="s">
        <v>248</v>
      </c>
      <c r="K7" s="31" t="s">
        <v>266</v>
      </c>
      <c r="L7" s="30" t="s">
        <v>265</v>
      </c>
      <c r="M7" s="30" t="s">
        <v>264</v>
      </c>
      <c r="N7" s="30" t="s">
        <v>264</v>
      </c>
      <c r="O7" s="30" t="s">
        <v>263</v>
      </c>
      <c r="P7" s="30" t="s">
        <v>262</v>
      </c>
      <c r="Q7" s="30" t="s">
        <v>261</v>
      </c>
      <c r="R7" s="113" t="s">
        <v>285</v>
      </c>
      <c r="S7" s="105" t="s">
        <v>260</v>
      </c>
      <c r="T7" s="113" t="s">
        <v>259</v>
      </c>
      <c r="AJ7" s="29"/>
      <c r="AK7" s="2"/>
      <c r="AL7" s="2"/>
    </row>
    <row r="8" spans="1:78" ht="15.75" customHeight="1" thickBot="1" x14ac:dyDescent="0.25">
      <c r="B8" s="100" t="s">
        <v>258</v>
      </c>
      <c r="C8" s="101"/>
      <c r="D8" s="101"/>
      <c r="E8" s="101"/>
      <c r="F8" s="101"/>
      <c r="G8" s="101"/>
      <c r="H8" s="101"/>
      <c r="I8" s="101"/>
      <c r="J8" s="101"/>
      <c r="K8" s="102"/>
      <c r="L8" s="27" t="s">
        <v>257</v>
      </c>
      <c r="M8" s="27" t="s">
        <v>257</v>
      </c>
      <c r="N8" s="27" t="s">
        <v>257</v>
      </c>
      <c r="O8" s="27" t="s">
        <v>257</v>
      </c>
      <c r="P8" s="27" t="s">
        <v>257</v>
      </c>
      <c r="Q8" s="27" t="s">
        <v>257</v>
      </c>
      <c r="R8" s="114"/>
      <c r="S8" s="106"/>
      <c r="T8" s="121"/>
      <c r="AK8" s="10"/>
      <c r="AL8" s="10"/>
      <c r="AM8" s="10"/>
    </row>
    <row r="9" spans="1:78" ht="15.75" hidden="1" customHeight="1" x14ac:dyDescent="0.2">
      <c r="B9" s="24" t="s">
        <v>256</v>
      </c>
      <c r="C9" s="26" t="s">
        <v>255</v>
      </c>
      <c r="D9" s="26" t="s">
        <v>254</v>
      </c>
      <c r="E9" s="24" t="s">
        <v>253</v>
      </c>
      <c r="F9" s="26" t="s">
        <v>252</v>
      </c>
      <c r="G9" s="24" t="s">
        <v>251</v>
      </c>
      <c r="H9" s="24" t="s">
        <v>250</v>
      </c>
      <c r="I9" s="24" t="s">
        <v>249</v>
      </c>
      <c r="J9" s="23" t="s">
        <v>248</v>
      </c>
      <c r="K9" s="23" t="s">
        <v>247</v>
      </c>
      <c r="L9" s="25" t="s">
        <v>246</v>
      </c>
      <c r="M9" s="25" t="s">
        <v>245</v>
      </c>
      <c r="N9" s="25" t="s">
        <v>244</v>
      </c>
      <c r="O9" s="25" t="s">
        <v>243</v>
      </c>
      <c r="P9" s="25" t="s">
        <v>242</v>
      </c>
      <c r="Q9" s="25" t="s">
        <v>241</v>
      </c>
      <c r="R9" s="51"/>
      <c r="S9" s="24" t="s">
        <v>240</v>
      </c>
      <c r="T9" s="23" t="s">
        <v>239</v>
      </c>
      <c r="AK9" s="10"/>
      <c r="AL9" s="10"/>
      <c r="AM9" s="10"/>
    </row>
    <row r="10" spans="1:78" ht="24" customHeight="1" x14ac:dyDescent="0.2">
      <c r="B10" s="120">
        <v>2</v>
      </c>
      <c r="C10" s="113" t="s">
        <v>308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115">
        <v>1105</v>
      </c>
      <c r="K10" s="5" t="s">
        <v>234</v>
      </c>
      <c r="L10" s="5">
        <v>37</v>
      </c>
      <c r="M10" s="5">
        <v>71</v>
      </c>
      <c r="N10" s="5">
        <v>57</v>
      </c>
      <c r="O10" s="5">
        <v>64</v>
      </c>
      <c r="P10" s="5">
        <v>48</v>
      </c>
      <c r="Q10" s="5">
        <v>51</v>
      </c>
      <c r="R10" s="126" t="s">
        <v>284</v>
      </c>
      <c r="S10" s="43">
        <f t="shared" ref="S10:S35" si="0">AVERAGE(L10:Q10)</f>
        <v>54.666666666666664</v>
      </c>
      <c r="T10" s="43">
        <f t="shared" ref="T10:T35" si="1">STDEV(L10:Q10)/SQRT(6)</f>
        <v>4.9306298898934884</v>
      </c>
      <c r="U10" s="7"/>
      <c r="V10" s="7"/>
      <c r="W10" s="7"/>
      <c r="X10" s="7"/>
      <c r="Y10" s="7"/>
      <c r="AK10" s="10"/>
      <c r="AL10" s="10"/>
      <c r="AM10" s="9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</row>
    <row r="11" spans="1:78" ht="24" customHeight="1" thickBot="1" x14ac:dyDescent="0.25">
      <c r="B11" s="116"/>
      <c r="C11" s="114"/>
      <c r="D11" s="12" t="e">
        <v>#N/A</v>
      </c>
      <c r="E11" s="12" t="e">
        <v>#N/A</v>
      </c>
      <c r="F11" s="12" t="e">
        <v>#N/A</v>
      </c>
      <c r="G11" s="12" t="e">
        <v>#N/A</v>
      </c>
      <c r="H11" s="12" t="e">
        <v>#N/A</v>
      </c>
      <c r="I11" s="12" t="e">
        <v>#N/A</v>
      </c>
      <c r="J11" s="116"/>
      <c r="K11" s="12" t="s">
        <v>233</v>
      </c>
      <c r="L11" s="12">
        <v>53</v>
      </c>
      <c r="M11" s="12">
        <v>72</v>
      </c>
      <c r="N11" s="12">
        <v>57</v>
      </c>
      <c r="O11" s="12">
        <v>47</v>
      </c>
      <c r="P11" s="12">
        <v>67</v>
      </c>
      <c r="Q11" s="12">
        <v>71</v>
      </c>
      <c r="R11" s="127"/>
      <c r="S11" s="42">
        <f t="shared" si="0"/>
        <v>61.166666666666664</v>
      </c>
      <c r="T11" s="42">
        <f t="shared" si="1"/>
        <v>4.2143933265786986</v>
      </c>
      <c r="U11" s="7"/>
      <c r="V11" s="7"/>
      <c r="W11" s="7"/>
      <c r="X11" s="7"/>
      <c r="Y11" s="7"/>
      <c r="AK11" s="10"/>
      <c r="AL11" s="10"/>
      <c r="AM11" s="9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</row>
    <row r="12" spans="1:78" ht="24" customHeight="1" x14ac:dyDescent="0.2">
      <c r="B12" s="120">
        <v>4</v>
      </c>
      <c r="C12" s="113" t="s">
        <v>308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117"/>
      <c r="K12" s="22" t="s">
        <v>234</v>
      </c>
      <c r="L12" s="22">
        <v>30</v>
      </c>
      <c r="M12" s="22">
        <v>47</v>
      </c>
      <c r="N12" s="22">
        <v>52</v>
      </c>
      <c r="O12" s="22">
        <v>33</v>
      </c>
      <c r="P12" s="22">
        <v>41</v>
      </c>
      <c r="Q12" s="22">
        <v>20</v>
      </c>
      <c r="R12" s="127"/>
      <c r="S12" s="43">
        <f t="shared" si="0"/>
        <v>37.166666666666664</v>
      </c>
      <c r="T12" s="43">
        <f t="shared" si="1"/>
        <v>4.8125992053266948</v>
      </c>
      <c r="U12" s="7"/>
      <c r="V12" s="20"/>
      <c r="W12" s="7"/>
      <c r="X12" s="19"/>
      <c r="Y12" s="7"/>
      <c r="AK12" s="10"/>
      <c r="AL12" s="10"/>
      <c r="AM12" s="10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</row>
    <row r="13" spans="1:78" ht="24" customHeight="1" thickBot="1" x14ac:dyDescent="0.25">
      <c r="B13" s="116"/>
      <c r="C13" s="114"/>
      <c r="D13" s="12" t="e">
        <v>#N/A</v>
      </c>
      <c r="E13" s="12" t="e">
        <v>#N/A</v>
      </c>
      <c r="F13" s="12" t="e">
        <v>#N/A</v>
      </c>
      <c r="G13" s="12" t="e">
        <v>#N/A</v>
      </c>
      <c r="H13" s="12" t="e">
        <v>#N/A</v>
      </c>
      <c r="I13" s="12" t="e">
        <v>#N/A</v>
      </c>
      <c r="J13" s="116"/>
      <c r="K13" s="12" t="s">
        <v>233</v>
      </c>
      <c r="L13" s="12">
        <v>35</v>
      </c>
      <c r="M13" s="12">
        <v>50</v>
      </c>
      <c r="N13" s="12">
        <v>53</v>
      </c>
      <c r="O13" s="12">
        <v>45</v>
      </c>
      <c r="P13" s="12">
        <v>46</v>
      </c>
      <c r="Q13" s="12">
        <v>23</v>
      </c>
      <c r="R13" s="128"/>
      <c r="S13" s="42">
        <f t="shared" si="0"/>
        <v>42</v>
      </c>
      <c r="T13" s="42">
        <f t="shared" si="1"/>
        <v>4.5460605656619517</v>
      </c>
      <c r="U13" s="7"/>
      <c r="V13" s="7"/>
      <c r="W13" s="7"/>
      <c r="X13" s="7"/>
      <c r="Y13" s="7"/>
      <c r="AK13" s="10"/>
      <c r="AL13" s="10"/>
      <c r="AM13" s="9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</row>
    <row r="14" spans="1:78" ht="24" customHeight="1" x14ac:dyDescent="0.2">
      <c r="B14" s="120">
        <v>5</v>
      </c>
      <c r="C14" s="113" t="s">
        <v>308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117"/>
      <c r="K14" s="5" t="s">
        <v>234</v>
      </c>
      <c r="L14" s="5">
        <v>50</v>
      </c>
      <c r="M14" s="5">
        <v>36</v>
      </c>
      <c r="N14" s="5">
        <v>41</v>
      </c>
      <c r="O14" s="5">
        <v>51</v>
      </c>
      <c r="P14" s="5">
        <v>39</v>
      </c>
      <c r="Q14" s="5">
        <v>49</v>
      </c>
      <c r="R14" s="124"/>
      <c r="S14" s="43">
        <f t="shared" si="0"/>
        <v>44.333333333333336</v>
      </c>
      <c r="T14" s="43">
        <f t="shared" si="1"/>
        <v>2.6288992204173844</v>
      </c>
      <c r="U14" s="7"/>
      <c r="V14" s="7"/>
      <c r="W14" s="7"/>
      <c r="X14" s="7"/>
      <c r="Y14" s="7"/>
      <c r="AK14" s="10"/>
      <c r="AL14" s="10"/>
      <c r="AM14" s="10"/>
    </row>
    <row r="15" spans="1:78" ht="24" customHeight="1" thickBot="1" x14ac:dyDescent="0.25">
      <c r="B15" s="116"/>
      <c r="C15" s="114"/>
      <c r="D15" s="12" t="e">
        <v>#N/A</v>
      </c>
      <c r="E15" s="12" t="e">
        <v>#N/A</v>
      </c>
      <c r="F15" s="12" t="e">
        <v>#N/A</v>
      </c>
      <c r="G15" s="12" t="e">
        <v>#N/A</v>
      </c>
      <c r="H15" s="12" t="e">
        <v>#N/A</v>
      </c>
      <c r="I15" s="12" t="e">
        <v>#N/A</v>
      </c>
      <c r="J15" s="116"/>
      <c r="K15" s="12" t="s">
        <v>233</v>
      </c>
      <c r="L15" s="12">
        <v>57</v>
      </c>
      <c r="M15" s="12">
        <v>34</v>
      </c>
      <c r="N15" s="12">
        <v>56</v>
      </c>
      <c r="O15" s="12">
        <v>50</v>
      </c>
      <c r="P15" s="12">
        <v>46</v>
      </c>
      <c r="Q15" s="12">
        <v>48</v>
      </c>
      <c r="R15" s="125"/>
      <c r="S15" s="42">
        <f t="shared" si="0"/>
        <v>48.5</v>
      </c>
      <c r="T15" s="42">
        <f t="shared" si="1"/>
        <v>3.4034296427770228</v>
      </c>
      <c r="U15" s="7"/>
      <c r="V15" s="7"/>
      <c r="W15" s="7"/>
      <c r="X15" s="7"/>
      <c r="Y15" s="7"/>
      <c r="AK15" s="10"/>
      <c r="AL15" s="10"/>
      <c r="AM15" s="9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</row>
    <row r="16" spans="1:78" ht="24" customHeight="1" x14ac:dyDescent="0.2">
      <c r="B16" s="120">
        <v>6</v>
      </c>
      <c r="C16" s="113" t="s">
        <v>308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117"/>
      <c r="K16" s="5" t="s">
        <v>234</v>
      </c>
      <c r="L16" s="5">
        <v>32</v>
      </c>
      <c r="M16" s="5">
        <v>44</v>
      </c>
      <c r="N16" s="5">
        <v>64</v>
      </c>
      <c r="O16" s="5">
        <v>45</v>
      </c>
      <c r="P16" s="5">
        <v>43</v>
      </c>
      <c r="Q16" s="5">
        <v>61</v>
      </c>
      <c r="R16" s="124"/>
      <c r="S16" s="43">
        <f t="shared" si="0"/>
        <v>48.166666666666664</v>
      </c>
      <c r="T16" s="43">
        <f t="shared" si="1"/>
        <v>4.9356976316536185</v>
      </c>
      <c r="U16" s="7"/>
      <c r="V16" s="7"/>
      <c r="W16" s="7"/>
      <c r="X16" s="7"/>
      <c r="Y16" s="7"/>
    </row>
    <row r="17" spans="2:78" ht="24" customHeight="1" thickBot="1" x14ac:dyDescent="0.25">
      <c r="B17" s="116"/>
      <c r="C17" s="114"/>
      <c r="D17" s="12" t="e">
        <v>#N/A</v>
      </c>
      <c r="E17" s="12" t="e">
        <v>#N/A</v>
      </c>
      <c r="F17" s="12" t="e">
        <v>#N/A</v>
      </c>
      <c r="G17" s="12" t="e">
        <v>#N/A</v>
      </c>
      <c r="H17" s="12" t="e">
        <v>#N/A</v>
      </c>
      <c r="I17" s="12" t="e">
        <v>#N/A</v>
      </c>
      <c r="J17" s="116"/>
      <c r="K17" s="12" t="s">
        <v>233</v>
      </c>
      <c r="L17" s="12">
        <v>37</v>
      </c>
      <c r="M17" s="12">
        <v>53</v>
      </c>
      <c r="N17" s="12">
        <v>56</v>
      </c>
      <c r="O17" s="12">
        <v>49</v>
      </c>
      <c r="P17" s="12">
        <v>44</v>
      </c>
      <c r="Q17" s="12">
        <v>67</v>
      </c>
      <c r="R17" s="125"/>
      <c r="S17" s="42">
        <f t="shared" si="0"/>
        <v>51</v>
      </c>
      <c r="T17" s="42">
        <f t="shared" si="1"/>
        <v>4.219004621945798</v>
      </c>
      <c r="U17" s="7"/>
      <c r="V17" s="7"/>
      <c r="W17" s="7"/>
      <c r="X17" s="7"/>
      <c r="Y17" s="7"/>
      <c r="AK17" s="10"/>
      <c r="AL17" s="10"/>
      <c r="AM17" s="9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</row>
    <row r="18" spans="2:78" ht="24" customHeight="1" x14ac:dyDescent="0.2">
      <c r="B18" s="120">
        <v>7</v>
      </c>
      <c r="C18" s="113" t="s">
        <v>308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117"/>
      <c r="K18" s="5" t="s">
        <v>234</v>
      </c>
      <c r="L18" s="49">
        <v>41</v>
      </c>
      <c r="M18" s="49">
        <v>51</v>
      </c>
      <c r="N18" s="49">
        <v>65</v>
      </c>
      <c r="O18" s="49">
        <v>66</v>
      </c>
      <c r="P18" s="49">
        <v>61</v>
      </c>
      <c r="Q18" s="49">
        <v>53</v>
      </c>
      <c r="R18" s="124"/>
      <c r="S18" s="43">
        <f t="shared" si="0"/>
        <v>56.166666666666664</v>
      </c>
      <c r="T18" s="43">
        <f t="shared" si="1"/>
        <v>3.9362983175115684</v>
      </c>
      <c r="U18" s="7"/>
      <c r="V18" s="7"/>
      <c r="W18" s="7"/>
      <c r="X18" s="7"/>
      <c r="Y18" s="7"/>
      <c r="AK18" s="10"/>
      <c r="AL18" s="10"/>
      <c r="AM18" s="10"/>
    </row>
    <row r="19" spans="2:78" ht="24" customHeight="1" thickBot="1" x14ac:dyDescent="0.25">
      <c r="B19" s="116"/>
      <c r="C19" s="114"/>
      <c r="D19" s="12" t="e">
        <v>#N/A</v>
      </c>
      <c r="E19" s="12" t="e">
        <v>#N/A</v>
      </c>
      <c r="F19" s="12" t="e">
        <v>#N/A</v>
      </c>
      <c r="G19" s="12" t="e">
        <v>#N/A</v>
      </c>
      <c r="H19" s="12" t="e">
        <v>#N/A</v>
      </c>
      <c r="I19" s="12" t="e">
        <v>#N/A</v>
      </c>
      <c r="J19" s="116"/>
      <c r="K19" s="12" t="s">
        <v>233</v>
      </c>
      <c r="L19" s="12">
        <v>54</v>
      </c>
      <c r="M19" s="12">
        <v>44</v>
      </c>
      <c r="N19" s="12">
        <v>60</v>
      </c>
      <c r="O19" s="12">
        <v>64</v>
      </c>
      <c r="P19" s="12">
        <v>62</v>
      </c>
      <c r="Q19" s="12">
        <v>56</v>
      </c>
      <c r="R19" s="125"/>
      <c r="S19" s="42">
        <f t="shared" si="0"/>
        <v>56.666666666666664</v>
      </c>
      <c r="T19" s="42">
        <f t="shared" si="1"/>
        <v>2.9514591494904807</v>
      </c>
      <c r="U19" s="7"/>
      <c r="V19" s="7"/>
      <c r="W19" s="7"/>
      <c r="X19" s="7"/>
      <c r="Y19" s="7"/>
      <c r="AK19" s="10"/>
      <c r="AL19" s="10"/>
      <c r="AM19" s="9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</row>
    <row r="20" spans="2:78" ht="24" customHeight="1" x14ac:dyDescent="0.2">
      <c r="B20" s="120">
        <v>8</v>
      </c>
      <c r="C20" s="113" t="s">
        <v>308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117"/>
      <c r="K20" s="5" t="s">
        <v>234</v>
      </c>
      <c r="L20" s="49">
        <v>36</v>
      </c>
      <c r="M20" s="49">
        <v>28</v>
      </c>
      <c r="N20" s="49">
        <v>44</v>
      </c>
      <c r="O20" s="49">
        <v>33</v>
      </c>
      <c r="P20" s="50">
        <v>39</v>
      </c>
      <c r="Q20" s="49">
        <v>38</v>
      </c>
      <c r="R20" s="124"/>
      <c r="S20" s="43">
        <f t="shared" si="0"/>
        <v>36.333333333333336</v>
      </c>
      <c r="T20" s="43">
        <f t="shared" si="1"/>
        <v>2.2310934040908661</v>
      </c>
      <c r="U20" s="7"/>
      <c r="V20" s="7"/>
      <c r="W20" s="7"/>
      <c r="X20" s="7"/>
      <c r="Y20" s="7"/>
      <c r="AK20" s="10"/>
      <c r="AL20" s="10"/>
      <c r="AM20" s="10"/>
    </row>
    <row r="21" spans="2:78" ht="24" customHeight="1" thickBot="1" x14ac:dyDescent="0.25">
      <c r="B21" s="116"/>
      <c r="C21" s="114"/>
      <c r="D21" s="12" t="e">
        <v>#N/A</v>
      </c>
      <c r="E21" s="12" t="e">
        <v>#N/A</v>
      </c>
      <c r="F21" s="12" t="e">
        <v>#N/A</v>
      </c>
      <c r="G21" s="12" t="e">
        <v>#N/A</v>
      </c>
      <c r="H21" s="12" t="e">
        <v>#N/A</v>
      </c>
      <c r="I21" s="12" t="e">
        <v>#N/A</v>
      </c>
      <c r="J21" s="116"/>
      <c r="K21" s="12" t="s">
        <v>233</v>
      </c>
      <c r="L21" s="12">
        <v>40</v>
      </c>
      <c r="M21" s="12">
        <v>32</v>
      </c>
      <c r="N21" s="12">
        <v>48</v>
      </c>
      <c r="O21" s="12">
        <v>42</v>
      </c>
      <c r="P21" s="46">
        <v>47</v>
      </c>
      <c r="Q21" s="12">
        <v>48</v>
      </c>
      <c r="R21" s="125"/>
      <c r="S21" s="42">
        <f t="shared" si="0"/>
        <v>42.833333333333336</v>
      </c>
      <c r="T21" s="42">
        <f t="shared" si="1"/>
        <v>2.5614665937917542</v>
      </c>
      <c r="U21" s="7"/>
      <c r="V21" s="7"/>
      <c r="W21" s="7"/>
      <c r="X21" s="7"/>
      <c r="Y21" s="7"/>
      <c r="AK21" s="10"/>
      <c r="AL21" s="10"/>
      <c r="AM21" s="9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</row>
    <row r="22" spans="2:78" ht="24" customHeight="1" x14ac:dyDescent="0.2">
      <c r="B22" s="120">
        <v>18</v>
      </c>
      <c r="C22" s="113" t="s">
        <v>238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118">
        <v>1118</v>
      </c>
      <c r="K22" s="5" t="s">
        <v>234</v>
      </c>
      <c r="L22" s="5">
        <v>64</v>
      </c>
      <c r="M22" s="5">
        <v>55</v>
      </c>
      <c r="N22" s="5">
        <v>39</v>
      </c>
      <c r="O22" s="5">
        <v>50</v>
      </c>
      <c r="P22" s="5">
        <v>38</v>
      </c>
      <c r="Q22" s="5">
        <v>50</v>
      </c>
      <c r="R22" s="124"/>
      <c r="S22" s="43">
        <f t="shared" si="0"/>
        <v>49.333333333333336</v>
      </c>
      <c r="T22" s="43">
        <f t="shared" si="1"/>
        <v>4.013864859597434</v>
      </c>
      <c r="U22" s="7"/>
      <c r="V22" s="7"/>
      <c r="W22" s="7"/>
      <c r="X22" s="7"/>
      <c r="Y22" s="7"/>
      <c r="AK22" s="10"/>
      <c r="AL22" s="10"/>
      <c r="AM22" s="10"/>
    </row>
    <row r="23" spans="2:78" ht="24" customHeight="1" thickBot="1" x14ac:dyDescent="0.25">
      <c r="B23" s="116"/>
      <c r="C23" s="114"/>
      <c r="D23" s="12" t="e">
        <v>#N/A</v>
      </c>
      <c r="E23" s="12" t="e">
        <v>#N/A</v>
      </c>
      <c r="F23" s="12" t="e">
        <v>#N/A</v>
      </c>
      <c r="G23" s="12" t="e">
        <v>#N/A</v>
      </c>
      <c r="H23" s="12" t="e">
        <v>#N/A</v>
      </c>
      <c r="I23" s="12" t="e">
        <v>#N/A</v>
      </c>
      <c r="J23" s="116"/>
      <c r="K23" s="12" t="s">
        <v>233</v>
      </c>
      <c r="L23" s="12">
        <v>63</v>
      </c>
      <c r="M23" s="12">
        <v>56</v>
      </c>
      <c r="N23" s="12">
        <v>51</v>
      </c>
      <c r="O23" s="12">
        <v>51</v>
      </c>
      <c r="P23" s="12">
        <v>44</v>
      </c>
      <c r="Q23" s="12">
        <v>54</v>
      </c>
      <c r="R23" s="125"/>
      <c r="S23" s="42">
        <f t="shared" si="0"/>
        <v>53.166666666666664</v>
      </c>
      <c r="T23" s="42">
        <f t="shared" si="1"/>
        <v>2.5744470819532763</v>
      </c>
      <c r="U23" s="7"/>
      <c r="V23" s="7"/>
      <c r="W23" s="7"/>
      <c r="X23" s="7"/>
      <c r="Y23" s="7"/>
      <c r="AK23" s="10"/>
      <c r="AL23" s="10"/>
      <c r="AM23" s="9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</row>
    <row r="24" spans="2:78" ht="24" customHeight="1" x14ac:dyDescent="0.2">
      <c r="B24" s="120">
        <v>17</v>
      </c>
      <c r="C24" s="113" t="s">
        <v>309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117"/>
      <c r="K24" s="5" t="s">
        <v>234</v>
      </c>
      <c r="L24" s="5">
        <v>46</v>
      </c>
      <c r="M24" s="5">
        <v>47</v>
      </c>
      <c r="N24" s="5">
        <v>37</v>
      </c>
      <c r="O24" s="5">
        <v>52</v>
      </c>
      <c r="P24" s="5">
        <v>49</v>
      </c>
      <c r="Q24" s="5">
        <v>38</v>
      </c>
      <c r="R24" s="124"/>
      <c r="S24" s="43">
        <f t="shared" si="0"/>
        <v>44.833333333333336</v>
      </c>
      <c r="T24" s="43">
        <f t="shared" si="1"/>
        <v>2.4686928615047412</v>
      </c>
      <c r="U24" s="7"/>
      <c r="V24" s="7"/>
      <c r="W24" s="7"/>
      <c r="X24" s="7"/>
      <c r="Y24" s="7"/>
      <c r="AK24" s="2"/>
      <c r="AL24" s="2"/>
      <c r="AM24" s="2"/>
    </row>
    <row r="25" spans="2:78" ht="24" customHeight="1" thickBot="1" x14ac:dyDescent="0.25">
      <c r="B25" s="116"/>
      <c r="C25" s="114"/>
      <c r="D25" s="12" t="e">
        <v>#N/A</v>
      </c>
      <c r="E25" s="12" t="e">
        <v>#N/A</v>
      </c>
      <c r="F25" s="12" t="e">
        <v>#N/A</v>
      </c>
      <c r="G25" s="12" t="e">
        <v>#N/A</v>
      </c>
      <c r="H25" s="12" t="e">
        <v>#N/A</v>
      </c>
      <c r="I25" s="12" t="e">
        <v>#N/A</v>
      </c>
      <c r="J25" s="116"/>
      <c r="K25" s="12" t="s">
        <v>233</v>
      </c>
      <c r="L25" s="12">
        <v>45</v>
      </c>
      <c r="M25" s="12">
        <v>50</v>
      </c>
      <c r="N25" s="12">
        <v>42</v>
      </c>
      <c r="O25" s="12">
        <v>54</v>
      </c>
      <c r="P25" s="12">
        <v>59</v>
      </c>
      <c r="Q25" s="12">
        <v>34</v>
      </c>
      <c r="R25" s="125"/>
      <c r="S25" s="42">
        <f t="shared" si="0"/>
        <v>47.333333333333336</v>
      </c>
      <c r="T25" s="42">
        <f t="shared" si="1"/>
        <v>3.6484395446699041</v>
      </c>
      <c r="U25" s="7"/>
      <c r="V25" s="7"/>
      <c r="W25" s="7"/>
      <c r="X25" s="7"/>
      <c r="Y25" s="7"/>
      <c r="AK25" s="10"/>
      <c r="AL25" s="10"/>
      <c r="AM25" s="9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</row>
    <row r="26" spans="2:78" ht="24" customHeight="1" x14ac:dyDescent="0.2">
      <c r="B26" s="122">
        <v>16</v>
      </c>
      <c r="C26" s="113" t="s">
        <v>310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117"/>
      <c r="K26" s="5" t="s">
        <v>234</v>
      </c>
      <c r="L26" s="5">
        <v>44</v>
      </c>
      <c r="M26" s="5">
        <v>37</v>
      </c>
      <c r="N26" s="5">
        <v>57</v>
      </c>
      <c r="O26" s="5">
        <v>56</v>
      </c>
      <c r="P26" s="5">
        <v>41</v>
      </c>
      <c r="Q26" s="5">
        <v>50</v>
      </c>
      <c r="R26" s="124"/>
      <c r="S26" s="43">
        <f t="shared" si="0"/>
        <v>47.5</v>
      </c>
      <c r="T26" s="43">
        <f t="shared" si="1"/>
        <v>3.3341665625260339</v>
      </c>
      <c r="U26" s="7"/>
      <c r="V26" s="7"/>
      <c r="W26" s="7"/>
      <c r="X26" s="7"/>
      <c r="Y26" s="7"/>
      <c r="AK26" s="10"/>
      <c r="AL26" s="10"/>
      <c r="AM26" s="10"/>
    </row>
    <row r="27" spans="2:78" ht="24" customHeight="1" thickBot="1" x14ac:dyDescent="0.25">
      <c r="B27" s="116"/>
      <c r="C27" s="114"/>
      <c r="D27" s="12" t="e">
        <v>#N/A</v>
      </c>
      <c r="E27" s="12" t="e">
        <v>#N/A</v>
      </c>
      <c r="F27" s="12" t="e">
        <v>#N/A</v>
      </c>
      <c r="G27" s="12" t="e">
        <v>#N/A</v>
      </c>
      <c r="H27" s="12" t="e">
        <v>#N/A</v>
      </c>
      <c r="I27" s="12" t="e">
        <v>#N/A</v>
      </c>
      <c r="J27" s="116"/>
      <c r="K27" s="12" t="s">
        <v>233</v>
      </c>
      <c r="L27" s="12">
        <v>50</v>
      </c>
      <c r="M27" s="12">
        <v>48</v>
      </c>
      <c r="N27" s="12">
        <v>65</v>
      </c>
      <c r="O27" s="12">
        <v>63</v>
      </c>
      <c r="P27" s="12">
        <v>48</v>
      </c>
      <c r="Q27" s="12">
        <v>61</v>
      </c>
      <c r="R27" s="125"/>
      <c r="S27" s="42">
        <f t="shared" si="0"/>
        <v>55.833333333333336</v>
      </c>
      <c r="T27" s="42">
        <f t="shared" si="1"/>
        <v>3.260027266416301</v>
      </c>
      <c r="U27" s="7"/>
      <c r="V27" s="7"/>
      <c r="W27" s="7"/>
      <c r="X27" s="7"/>
      <c r="Y27" s="7"/>
      <c r="AK27" s="10"/>
      <c r="AL27" s="10"/>
      <c r="AM27" s="9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</row>
    <row r="28" spans="2:78" ht="24" customHeight="1" x14ac:dyDescent="0.2">
      <c r="B28" s="122">
        <v>15</v>
      </c>
      <c r="C28" s="113" t="s">
        <v>311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117"/>
      <c r="K28" s="5" t="s">
        <v>234</v>
      </c>
      <c r="L28" s="5">
        <v>51</v>
      </c>
      <c r="M28" s="5">
        <v>36</v>
      </c>
      <c r="N28" s="5">
        <v>46</v>
      </c>
      <c r="O28" s="45">
        <v>47</v>
      </c>
      <c r="P28" s="5">
        <v>37</v>
      </c>
      <c r="Q28" s="5">
        <v>51</v>
      </c>
      <c r="R28" s="124"/>
      <c r="S28" s="43">
        <f t="shared" si="0"/>
        <v>44.666666666666664</v>
      </c>
      <c r="T28" s="43">
        <f t="shared" si="1"/>
        <v>2.7162065049951192</v>
      </c>
      <c r="U28" s="7"/>
      <c r="V28" s="7"/>
      <c r="W28" s="7"/>
      <c r="X28" s="7"/>
      <c r="Y28" s="7"/>
    </row>
    <row r="29" spans="2:78" ht="24" customHeight="1" thickBot="1" x14ac:dyDescent="0.25">
      <c r="B29" s="116"/>
      <c r="C29" s="114"/>
      <c r="D29" s="12" t="e">
        <v>#N/A</v>
      </c>
      <c r="E29" s="12" t="e">
        <v>#N/A</v>
      </c>
      <c r="F29" s="12" t="e">
        <v>#N/A</v>
      </c>
      <c r="G29" s="12" t="e">
        <v>#N/A</v>
      </c>
      <c r="H29" s="12" t="e">
        <v>#N/A</v>
      </c>
      <c r="I29" s="12" t="e">
        <v>#N/A</v>
      </c>
      <c r="J29" s="116"/>
      <c r="K29" s="12" t="s">
        <v>233</v>
      </c>
      <c r="L29" s="12">
        <v>57</v>
      </c>
      <c r="M29" s="12">
        <v>40</v>
      </c>
      <c r="N29" s="12">
        <v>46</v>
      </c>
      <c r="O29" s="46">
        <v>57</v>
      </c>
      <c r="P29" s="12">
        <v>48</v>
      </c>
      <c r="Q29" s="12">
        <v>39</v>
      </c>
      <c r="R29" s="125"/>
      <c r="S29" s="42">
        <f t="shared" si="0"/>
        <v>47.833333333333336</v>
      </c>
      <c r="T29" s="42">
        <f t="shared" si="1"/>
        <v>3.2188679859713307</v>
      </c>
      <c r="U29" s="7"/>
      <c r="V29" s="7"/>
      <c r="W29" s="7"/>
      <c r="X29" s="7"/>
      <c r="Y29" s="7"/>
      <c r="AK29" s="10"/>
      <c r="AL29" s="10"/>
      <c r="AM29" s="9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</row>
    <row r="30" spans="2:78" ht="24" customHeight="1" x14ac:dyDescent="0.2">
      <c r="B30" s="122">
        <v>14</v>
      </c>
      <c r="C30" s="113" t="s">
        <v>310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117"/>
      <c r="K30" s="5" t="s">
        <v>234</v>
      </c>
      <c r="L30" s="5">
        <v>44</v>
      </c>
      <c r="M30" s="5">
        <v>51</v>
      </c>
      <c r="N30" s="5">
        <v>59</v>
      </c>
      <c r="O30" s="5">
        <v>28</v>
      </c>
      <c r="P30" s="5">
        <v>44</v>
      </c>
      <c r="Q30" s="5">
        <v>42</v>
      </c>
      <c r="R30" s="124"/>
      <c r="S30" s="43">
        <f t="shared" si="0"/>
        <v>44.666666666666664</v>
      </c>
      <c r="T30" s="43">
        <f t="shared" si="1"/>
        <v>4.2084570938897707</v>
      </c>
      <c r="U30" s="7"/>
      <c r="V30" s="7"/>
      <c r="W30" s="7"/>
      <c r="X30" s="7"/>
      <c r="Y30" s="7"/>
    </row>
    <row r="31" spans="2:78" ht="24" customHeight="1" thickBot="1" x14ac:dyDescent="0.25">
      <c r="B31" s="116"/>
      <c r="C31" s="114"/>
      <c r="D31" s="12" t="e">
        <v>#N/A</v>
      </c>
      <c r="E31" s="12" t="e">
        <v>#N/A</v>
      </c>
      <c r="F31" s="12" t="e">
        <v>#N/A</v>
      </c>
      <c r="G31" s="12" t="e">
        <v>#N/A</v>
      </c>
      <c r="H31" s="12" t="e">
        <v>#N/A</v>
      </c>
      <c r="I31" s="12" t="e">
        <v>#N/A</v>
      </c>
      <c r="J31" s="116"/>
      <c r="K31" s="12" t="s">
        <v>233</v>
      </c>
      <c r="L31" s="12">
        <v>57</v>
      </c>
      <c r="M31" s="12">
        <v>54</v>
      </c>
      <c r="N31" s="12">
        <v>62</v>
      </c>
      <c r="O31" s="12">
        <v>45</v>
      </c>
      <c r="P31" s="12">
        <v>59</v>
      </c>
      <c r="Q31" s="12">
        <v>61</v>
      </c>
      <c r="R31" s="125"/>
      <c r="S31" s="42">
        <f t="shared" si="0"/>
        <v>56.333333333333336</v>
      </c>
      <c r="T31" s="42">
        <f t="shared" si="1"/>
        <v>2.5516878945339441</v>
      </c>
      <c r="U31" s="7"/>
      <c r="V31" s="7"/>
      <c r="W31" s="7"/>
      <c r="X31" s="7"/>
      <c r="Y31" s="7"/>
      <c r="AK31" s="10"/>
      <c r="AL31" s="10"/>
      <c r="AM31" s="9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</row>
    <row r="32" spans="2:78" ht="24" customHeight="1" x14ac:dyDescent="0.2">
      <c r="B32" s="122">
        <v>13</v>
      </c>
      <c r="C32" s="113" t="s">
        <v>312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117"/>
      <c r="K32" s="5" t="s">
        <v>234</v>
      </c>
      <c r="L32" s="5">
        <v>53</v>
      </c>
      <c r="M32" s="5">
        <v>47</v>
      </c>
      <c r="N32" s="5">
        <v>45</v>
      </c>
      <c r="O32" s="5">
        <v>47</v>
      </c>
      <c r="P32" s="5">
        <v>62</v>
      </c>
      <c r="Q32" s="5">
        <v>56</v>
      </c>
      <c r="R32" s="124"/>
      <c r="S32" s="43">
        <f t="shared" si="0"/>
        <v>51.666666666666664</v>
      </c>
      <c r="T32" s="43">
        <f t="shared" si="1"/>
        <v>2.6791375063213532</v>
      </c>
      <c r="U32" s="7"/>
      <c r="V32" s="7"/>
      <c r="W32" s="7"/>
      <c r="X32" s="7"/>
      <c r="Y32" s="7"/>
    </row>
    <row r="33" spans="2:78" ht="24" customHeight="1" thickBot="1" x14ac:dyDescent="0.25">
      <c r="B33" s="116"/>
      <c r="C33" s="114"/>
      <c r="D33" s="12" t="e">
        <v>#N/A</v>
      </c>
      <c r="E33" s="12" t="e">
        <v>#N/A</v>
      </c>
      <c r="F33" s="12" t="e">
        <v>#N/A</v>
      </c>
      <c r="G33" s="12" t="e">
        <v>#N/A</v>
      </c>
      <c r="H33" s="12" t="e">
        <v>#N/A</v>
      </c>
      <c r="I33" s="12" t="e">
        <v>#N/A</v>
      </c>
      <c r="J33" s="116"/>
      <c r="K33" s="12" t="s">
        <v>233</v>
      </c>
      <c r="L33" s="12">
        <v>50</v>
      </c>
      <c r="M33" s="12">
        <v>46</v>
      </c>
      <c r="N33" s="12">
        <v>43</v>
      </c>
      <c r="O33" s="12">
        <v>52</v>
      </c>
      <c r="P33" s="12">
        <v>58</v>
      </c>
      <c r="Q33" s="12">
        <v>50</v>
      </c>
      <c r="R33" s="125"/>
      <c r="S33" s="42">
        <f t="shared" si="0"/>
        <v>49.833333333333336</v>
      </c>
      <c r="T33" s="42">
        <f t="shared" si="1"/>
        <v>2.104228546944884</v>
      </c>
      <c r="U33" s="7"/>
      <c r="V33" s="7"/>
      <c r="W33" s="7"/>
      <c r="X33" s="7"/>
      <c r="Y33" s="7"/>
      <c r="AK33" s="10"/>
      <c r="AL33" s="10"/>
      <c r="AM33" s="9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</row>
    <row r="34" spans="2:78" ht="24" customHeight="1" x14ac:dyDescent="0.2">
      <c r="B34" s="122">
        <v>12</v>
      </c>
      <c r="C34" s="113" t="s">
        <v>236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117"/>
      <c r="K34" s="5" t="s">
        <v>234</v>
      </c>
      <c r="L34" s="5">
        <v>48</v>
      </c>
      <c r="M34" s="5">
        <v>53</v>
      </c>
      <c r="N34" s="5">
        <v>55</v>
      </c>
      <c r="O34" s="5">
        <v>62</v>
      </c>
      <c r="P34" s="5">
        <v>52</v>
      </c>
      <c r="Q34" s="5">
        <v>55</v>
      </c>
      <c r="R34" s="124"/>
      <c r="S34" s="43">
        <f t="shared" si="0"/>
        <v>54.166666666666664</v>
      </c>
      <c r="T34" s="43">
        <f t="shared" si="1"/>
        <v>1.8870906472957549</v>
      </c>
      <c r="U34" s="7"/>
      <c r="V34" s="7"/>
      <c r="W34" s="7"/>
      <c r="X34" s="7"/>
      <c r="Y34" s="7"/>
    </row>
    <row r="35" spans="2:78" ht="24" customHeight="1" thickBot="1" x14ac:dyDescent="0.25">
      <c r="B35" s="116"/>
      <c r="C35" s="114"/>
      <c r="D35" s="12" t="e">
        <v>#N/A</v>
      </c>
      <c r="E35" s="12" t="e">
        <v>#N/A</v>
      </c>
      <c r="F35" s="12" t="e">
        <v>#N/A</v>
      </c>
      <c r="G35" s="12" t="e">
        <v>#N/A</v>
      </c>
      <c r="H35" s="12" t="e">
        <v>#N/A</v>
      </c>
      <c r="I35" s="12" t="e">
        <v>#N/A</v>
      </c>
      <c r="J35" s="116"/>
      <c r="K35" s="12" t="s">
        <v>233</v>
      </c>
      <c r="L35" s="12">
        <v>52</v>
      </c>
      <c r="M35" s="12">
        <v>54</v>
      </c>
      <c r="N35" s="12">
        <v>58</v>
      </c>
      <c r="O35" s="12">
        <v>58</v>
      </c>
      <c r="P35" s="12">
        <v>62</v>
      </c>
      <c r="Q35" s="12">
        <v>64</v>
      </c>
      <c r="R35" s="125"/>
      <c r="S35" s="42">
        <f t="shared" si="0"/>
        <v>58</v>
      </c>
      <c r="T35" s="42">
        <f t="shared" si="1"/>
        <v>1.8618986725025257</v>
      </c>
      <c r="U35" s="7"/>
      <c r="V35" s="7"/>
      <c r="W35" s="7"/>
      <c r="X35" s="7"/>
      <c r="Y35" s="7"/>
      <c r="AK35" s="10"/>
      <c r="AL35" s="10"/>
      <c r="AM35" s="9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</row>
    <row r="36" spans="2:78" ht="24" customHeight="1" thickBot="1" x14ac:dyDescent="0.25">
      <c r="B36" s="122">
        <v>11</v>
      </c>
      <c r="C36" s="113" t="s">
        <v>311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117"/>
      <c r="K36" s="5" t="s">
        <v>234</v>
      </c>
      <c r="L36" s="48" t="s">
        <v>237</v>
      </c>
      <c r="M36" s="5">
        <v>51</v>
      </c>
      <c r="N36" s="5">
        <v>59</v>
      </c>
      <c r="O36" s="5">
        <v>54</v>
      </c>
      <c r="P36" s="5">
        <v>59</v>
      </c>
      <c r="Q36" s="5">
        <v>64</v>
      </c>
      <c r="R36" s="124" t="s">
        <v>283</v>
      </c>
      <c r="S36" s="42">
        <f>AVERAGE(M36:Q36)</f>
        <v>57.4</v>
      </c>
      <c r="T36" s="42">
        <f>STDEV(M36:Q36)/SQRT(5)</f>
        <v>2.2494443758403984</v>
      </c>
      <c r="U36" s="7"/>
      <c r="V36" s="7"/>
      <c r="W36" s="7"/>
      <c r="X36" s="7"/>
      <c r="Y36" s="7"/>
    </row>
    <row r="37" spans="2:78" ht="24" customHeight="1" thickBot="1" x14ac:dyDescent="0.25">
      <c r="B37" s="116"/>
      <c r="C37" s="114"/>
      <c r="D37" s="12" t="e">
        <v>#N/A</v>
      </c>
      <c r="E37" s="12" t="e">
        <v>#N/A</v>
      </c>
      <c r="F37" s="12" t="e">
        <v>#N/A</v>
      </c>
      <c r="G37" s="12" t="e">
        <v>#N/A</v>
      </c>
      <c r="H37" s="12" t="e">
        <v>#N/A</v>
      </c>
      <c r="I37" s="12" t="e">
        <v>#N/A</v>
      </c>
      <c r="J37" s="116"/>
      <c r="K37" s="12" t="s">
        <v>233</v>
      </c>
      <c r="L37" s="47" t="s">
        <v>237</v>
      </c>
      <c r="M37" s="12">
        <v>56</v>
      </c>
      <c r="N37" s="12">
        <v>53</v>
      </c>
      <c r="O37" s="12">
        <v>55</v>
      </c>
      <c r="P37" s="12">
        <v>62</v>
      </c>
      <c r="Q37" s="12">
        <v>46</v>
      </c>
      <c r="R37" s="125"/>
      <c r="S37" s="42">
        <f>AVERAGE(M37:Q37)</f>
        <v>54.4</v>
      </c>
      <c r="T37" s="42">
        <f>STDEV(M37:Q37)/SQRT(5)</f>
        <v>2.5806975801127878</v>
      </c>
      <c r="U37" s="7"/>
      <c r="V37" s="7"/>
      <c r="W37" s="7"/>
      <c r="X37" s="7"/>
      <c r="Y37" s="7"/>
      <c r="AK37" s="10"/>
      <c r="AL37" s="10"/>
      <c r="AM37" s="9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</row>
    <row r="38" spans="2:78" ht="24" customHeight="1" x14ac:dyDescent="0.2">
      <c r="B38" s="122">
        <v>21</v>
      </c>
      <c r="C38" s="113" t="s">
        <v>309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118">
        <v>1147</v>
      </c>
      <c r="K38" s="5" t="s">
        <v>234</v>
      </c>
      <c r="L38" s="5">
        <v>53</v>
      </c>
      <c r="M38" s="5">
        <v>60</v>
      </c>
      <c r="N38" s="5">
        <v>41</v>
      </c>
      <c r="O38" s="5">
        <v>39</v>
      </c>
      <c r="P38" s="5">
        <v>45</v>
      </c>
      <c r="Q38" s="5">
        <v>43</v>
      </c>
      <c r="R38" s="124"/>
      <c r="S38" s="43">
        <f t="shared" ref="S38:S85" si="2">AVERAGE(L38:Q38)</f>
        <v>46.833333333333336</v>
      </c>
      <c r="T38" s="43">
        <f t="shared" ref="T38:T85" si="3">STDEV(L38:Q38)/SQRT(6)</f>
        <v>3.2905588853229473</v>
      </c>
      <c r="U38" s="7"/>
      <c r="V38" s="7"/>
      <c r="W38" s="7"/>
      <c r="X38" s="7"/>
      <c r="Y38" s="7"/>
    </row>
    <row r="39" spans="2:78" ht="24" customHeight="1" thickBot="1" x14ac:dyDescent="0.25">
      <c r="B39" s="116"/>
      <c r="C39" s="114"/>
      <c r="D39" s="12" t="e">
        <v>#N/A</v>
      </c>
      <c r="E39" s="12" t="e">
        <v>#N/A</v>
      </c>
      <c r="F39" s="12" t="e">
        <v>#N/A</v>
      </c>
      <c r="G39" s="12" t="e">
        <v>#N/A</v>
      </c>
      <c r="H39" s="12" t="e">
        <v>#N/A</v>
      </c>
      <c r="I39" s="12" t="e">
        <v>#N/A</v>
      </c>
      <c r="J39" s="116"/>
      <c r="K39" s="12" t="s">
        <v>233</v>
      </c>
      <c r="L39" s="12">
        <v>50</v>
      </c>
      <c r="M39" s="12">
        <v>58</v>
      </c>
      <c r="N39" s="12">
        <v>56</v>
      </c>
      <c r="O39" s="12">
        <v>35</v>
      </c>
      <c r="P39" s="12">
        <v>45</v>
      </c>
      <c r="Q39" s="12">
        <v>41</v>
      </c>
      <c r="R39" s="125"/>
      <c r="S39" s="42">
        <f t="shared" si="2"/>
        <v>47.5</v>
      </c>
      <c r="T39" s="42">
        <f t="shared" si="3"/>
        <v>3.6216938946667856</v>
      </c>
      <c r="U39" s="7"/>
      <c r="V39" s="7"/>
      <c r="W39" s="7"/>
      <c r="X39" s="7"/>
      <c r="Y39" s="7"/>
      <c r="AK39" s="10"/>
      <c r="AL39" s="10"/>
      <c r="AM39" s="9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</row>
    <row r="40" spans="2:78" ht="24" customHeight="1" x14ac:dyDescent="0.2">
      <c r="B40" s="122">
        <v>22</v>
      </c>
      <c r="C40" s="113" t="s">
        <v>238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117"/>
      <c r="K40" s="5" t="s">
        <v>234</v>
      </c>
      <c r="L40" s="5">
        <v>35</v>
      </c>
      <c r="M40" s="5">
        <v>31</v>
      </c>
      <c r="N40" s="5">
        <v>33</v>
      </c>
      <c r="O40" s="5">
        <v>44</v>
      </c>
      <c r="P40" s="45">
        <v>37</v>
      </c>
      <c r="Q40" s="5">
        <v>37</v>
      </c>
      <c r="R40" s="124"/>
      <c r="S40" s="43">
        <f t="shared" si="2"/>
        <v>36.166666666666664</v>
      </c>
      <c r="T40" s="43">
        <f t="shared" si="3"/>
        <v>1.8333333333333308</v>
      </c>
      <c r="U40" s="7"/>
      <c r="V40" s="7"/>
      <c r="W40" s="7"/>
      <c r="X40" s="7"/>
      <c r="Y40" s="7"/>
    </row>
    <row r="41" spans="2:78" ht="24" customHeight="1" thickBot="1" x14ac:dyDescent="0.25">
      <c r="B41" s="116"/>
      <c r="C41" s="114"/>
      <c r="D41" s="12" t="e">
        <v>#N/A</v>
      </c>
      <c r="E41" s="12" t="e">
        <v>#N/A</v>
      </c>
      <c r="F41" s="12" t="e">
        <v>#N/A</v>
      </c>
      <c r="G41" s="12" t="e">
        <v>#N/A</v>
      </c>
      <c r="H41" s="12" t="e">
        <v>#N/A</v>
      </c>
      <c r="I41" s="12" t="e">
        <v>#N/A</v>
      </c>
      <c r="J41" s="116"/>
      <c r="K41" s="12" t="s">
        <v>233</v>
      </c>
      <c r="L41" s="12">
        <v>47</v>
      </c>
      <c r="M41" s="12">
        <v>38</v>
      </c>
      <c r="N41" s="12">
        <v>45</v>
      </c>
      <c r="O41" s="12">
        <v>54</v>
      </c>
      <c r="P41" s="46">
        <v>44</v>
      </c>
      <c r="Q41" s="12">
        <v>39</v>
      </c>
      <c r="R41" s="125"/>
      <c r="S41" s="42">
        <f t="shared" si="2"/>
        <v>44.5</v>
      </c>
      <c r="T41" s="42">
        <f t="shared" si="3"/>
        <v>2.3769728648009427</v>
      </c>
      <c r="U41" s="7"/>
      <c r="V41" s="7"/>
      <c r="W41" s="7"/>
      <c r="X41" s="7"/>
      <c r="Y41" s="7"/>
      <c r="AK41" s="10"/>
      <c r="AL41" s="10"/>
      <c r="AM41" s="9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</row>
    <row r="42" spans="2:78" ht="24" customHeight="1" x14ac:dyDescent="0.2">
      <c r="B42" s="122">
        <v>23</v>
      </c>
      <c r="C42" s="113" t="s">
        <v>313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117"/>
      <c r="K42" s="5" t="s">
        <v>234</v>
      </c>
      <c r="L42" s="5">
        <v>53</v>
      </c>
      <c r="M42" s="5">
        <v>52</v>
      </c>
      <c r="N42" s="5">
        <v>46</v>
      </c>
      <c r="O42" s="5">
        <v>40</v>
      </c>
      <c r="P42" s="5">
        <v>45</v>
      </c>
      <c r="Q42" s="5">
        <v>42</v>
      </c>
      <c r="R42" s="124"/>
      <c r="S42" s="43">
        <f t="shared" si="2"/>
        <v>46.333333333333336</v>
      </c>
      <c r="T42" s="43">
        <f t="shared" si="3"/>
        <v>2.1395742047841666</v>
      </c>
      <c r="U42" s="7"/>
      <c r="V42" s="7"/>
      <c r="W42" s="7"/>
      <c r="X42" s="7"/>
      <c r="Y42" s="7"/>
    </row>
    <row r="43" spans="2:78" ht="24" customHeight="1" thickBot="1" x14ac:dyDescent="0.25">
      <c r="B43" s="116"/>
      <c r="C43" s="114"/>
      <c r="D43" s="12" t="e">
        <v>#N/A</v>
      </c>
      <c r="E43" s="12" t="e">
        <v>#N/A</v>
      </c>
      <c r="F43" s="12" t="e">
        <v>#N/A</v>
      </c>
      <c r="G43" s="12" t="e">
        <v>#N/A</v>
      </c>
      <c r="H43" s="12" t="e">
        <v>#N/A</v>
      </c>
      <c r="I43" s="12" t="e">
        <v>#N/A</v>
      </c>
      <c r="J43" s="116"/>
      <c r="K43" s="12" t="s">
        <v>233</v>
      </c>
      <c r="L43" s="12">
        <v>51</v>
      </c>
      <c r="M43" s="12">
        <v>61</v>
      </c>
      <c r="N43" s="12">
        <v>62</v>
      </c>
      <c r="O43" s="12">
        <v>58</v>
      </c>
      <c r="P43" s="12">
        <v>56</v>
      </c>
      <c r="Q43" s="12">
        <v>60</v>
      </c>
      <c r="R43" s="125"/>
      <c r="S43" s="42">
        <f t="shared" si="2"/>
        <v>58</v>
      </c>
      <c r="T43" s="42">
        <f t="shared" si="3"/>
        <v>1.6532795690182991</v>
      </c>
      <c r="U43" s="7"/>
      <c r="V43" s="7"/>
      <c r="W43" s="7"/>
      <c r="X43" s="7"/>
      <c r="Y43" s="7"/>
      <c r="AK43" s="10"/>
      <c r="AL43" s="10"/>
      <c r="AM43" s="9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</row>
    <row r="44" spans="2:78" ht="24" customHeight="1" x14ac:dyDescent="0.2">
      <c r="B44" s="122">
        <v>24</v>
      </c>
      <c r="C44" s="113" t="s">
        <v>314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117"/>
      <c r="K44" s="5" t="s">
        <v>234</v>
      </c>
      <c r="L44" s="5">
        <v>55</v>
      </c>
      <c r="M44" s="5">
        <v>46</v>
      </c>
      <c r="N44" s="5">
        <v>52</v>
      </c>
      <c r="O44" s="5">
        <v>47</v>
      </c>
      <c r="P44" s="5">
        <v>41</v>
      </c>
      <c r="Q44" s="5">
        <v>52</v>
      </c>
      <c r="R44" s="124"/>
      <c r="S44" s="43">
        <f t="shared" si="2"/>
        <v>48.833333333333336</v>
      </c>
      <c r="T44" s="43">
        <f t="shared" si="3"/>
        <v>2.0883273476902779</v>
      </c>
      <c r="U44" s="7"/>
      <c r="V44" s="7"/>
      <c r="W44" s="7"/>
      <c r="X44" s="7"/>
      <c r="Y44" s="7"/>
    </row>
    <row r="45" spans="2:78" ht="24" customHeight="1" thickBot="1" x14ac:dyDescent="0.25">
      <c r="B45" s="116"/>
      <c r="C45" s="114"/>
      <c r="D45" s="12" t="e">
        <v>#N/A</v>
      </c>
      <c r="E45" s="12" t="e">
        <v>#N/A</v>
      </c>
      <c r="F45" s="12" t="e">
        <v>#N/A</v>
      </c>
      <c r="G45" s="12" t="e">
        <v>#N/A</v>
      </c>
      <c r="H45" s="12" t="e">
        <v>#N/A</v>
      </c>
      <c r="I45" s="12" t="e">
        <v>#N/A</v>
      </c>
      <c r="J45" s="116"/>
      <c r="K45" s="12" t="s">
        <v>233</v>
      </c>
      <c r="L45" s="12">
        <v>52</v>
      </c>
      <c r="M45" s="12">
        <v>56</v>
      </c>
      <c r="N45" s="12">
        <v>51</v>
      </c>
      <c r="O45" s="12">
        <v>53</v>
      </c>
      <c r="P45" s="12">
        <v>44</v>
      </c>
      <c r="Q45" s="12">
        <v>52</v>
      </c>
      <c r="R45" s="125"/>
      <c r="S45" s="42">
        <f t="shared" si="2"/>
        <v>51.333333333333336</v>
      </c>
      <c r="T45" s="42">
        <f t="shared" si="3"/>
        <v>1.6261747890200626</v>
      </c>
      <c r="U45" s="7"/>
      <c r="V45" s="7"/>
      <c r="W45" s="7"/>
      <c r="X45" s="7"/>
      <c r="Y45" s="7"/>
      <c r="AK45" s="10"/>
      <c r="AL45" s="10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</row>
    <row r="46" spans="2:78" ht="24" customHeight="1" x14ac:dyDescent="0.2">
      <c r="B46" s="122">
        <v>25</v>
      </c>
      <c r="C46" s="113" t="s">
        <v>236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117"/>
      <c r="K46" s="5" t="s">
        <v>234</v>
      </c>
      <c r="L46" s="5">
        <v>47</v>
      </c>
      <c r="M46" s="5">
        <v>51</v>
      </c>
      <c r="N46" s="5">
        <v>46</v>
      </c>
      <c r="O46" s="5">
        <v>58</v>
      </c>
      <c r="P46" s="5">
        <v>42</v>
      </c>
      <c r="Q46" s="5">
        <v>63</v>
      </c>
      <c r="R46" s="124"/>
      <c r="S46" s="43">
        <f t="shared" si="2"/>
        <v>51.166666666666664</v>
      </c>
      <c r="T46" s="43">
        <f t="shared" si="3"/>
        <v>3.2395129949491586</v>
      </c>
      <c r="U46" s="7"/>
      <c r="V46" s="7"/>
      <c r="W46" s="7"/>
      <c r="X46" s="7"/>
      <c r="Y46" s="7"/>
    </row>
    <row r="47" spans="2:78" ht="24" customHeight="1" thickBot="1" x14ac:dyDescent="0.25">
      <c r="B47" s="116"/>
      <c r="C47" s="114"/>
      <c r="D47" s="12" t="e">
        <v>#N/A</v>
      </c>
      <c r="E47" s="12" t="e">
        <v>#N/A</v>
      </c>
      <c r="F47" s="12" t="e">
        <v>#N/A</v>
      </c>
      <c r="G47" s="12" t="e">
        <v>#N/A</v>
      </c>
      <c r="H47" s="12" t="e">
        <v>#N/A</v>
      </c>
      <c r="I47" s="12" t="e">
        <v>#N/A</v>
      </c>
      <c r="J47" s="116"/>
      <c r="K47" s="12" t="s">
        <v>233</v>
      </c>
      <c r="L47" s="12">
        <v>54</v>
      </c>
      <c r="M47" s="12">
        <v>56</v>
      </c>
      <c r="N47" s="12">
        <v>45</v>
      </c>
      <c r="O47" s="12">
        <v>57</v>
      </c>
      <c r="P47" s="12">
        <v>45</v>
      </c>
      <c r="Q47" s="12">
        <v>67</v>
      </c>
      <c r="R47" s="125"/>
      <c r="S47" s="42">
        <f t="shared" si="2"/>
        <v>54</v>
      </c>
      <c r="T47" s="42">
        <f t="shared" si="3"/>
        <v>3.3862466931200785</v>
      </c>
      <c r="U47" s="7"/>
      <c r="V47" s="7"/>
      <c r="W47" s="7"/>
      <c r="X47" s="7"/>
      <c r="Y47" s="7"/>
      <c r="AK47" s="10"/>
      <c r="AL47" s="10"/>
      <c r="AM47" s="9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</row>
    <row r="48" spans="2:78" ht="24" customHeight="1" x14ac:dyDescent="0.2">
      <c r="B48" s="122">
        <v>26</v>
      </c>
      <c r="C48" s="113" t="s">
        <v>314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6"/>
      <c r="K48" s="5" t="s">
        <v>234</v>
      </c>
      <c r="L48" s="5">
        <v>38</v>
      </c>
      <c r="M48" s="5">
        <v>45</v>
      </c>
      <c r="N48" s="5">
        <v>56</v>
      </c>
      <c r="O48" s="5">
        <v>39</v>
      </c>
      <c r="P48" s="5">
        <v>41</v>
      </c>
      <c r="Q48" s="5">
        <v>43</v>
      </c>
      <c r="R48" s="124"/>
      <c r="S48" s="43">
        <f t="shared" si="2"/>
        <v>43.666666666666664</v>
      </c>
      <c r="T48" s="43">
        <f t="shared" si="3"/>
        <v>2.6791375063213532</v>
      </c>
      <c r="U48" s="7"/>
      <c r="V48" s="7"/>
      <c r="W48" s="7"/>
      <c r="X48" s="7"/>
      <c r="Y48" s="7"/>
    </row>
    <row r="49" spans="2:78" ht="24" customHeight="1" thickBot="1" x14ac:dyDescent="0.25">
      <c r="B49" s="116"/>
      <c r="C49" s="114"/>
      <c r="D49" s="12" t="e">
        <v>#N/A</v>
      </c>
      <c r="E49" s="12" t="e">
        <v>#N/A</v>
      </c>
      <c r="F49" s="12" t="e">
        <v>#N/A</v>
      </c>
      <c r="G49" s="12" t="e">
        <v>#N/A</v>
      </c>
      <c r="H49" s="12" t="e">
        <v>#N/A</v>
      </c>
      <c r="I49" s="12" t="e">
        <v>#N/A</v>
      </c>
      <c r="J49" s="13"/>
      <c r="K49" s="12" t="s">
        <v>233</v>
      </c>
      <c r="L49" s="12">
        <v>46</v>
      </c>
      <c r="M49" s="12">
        <v>50</v>
      </c>
      <c r="N49" s="12">
        <v>44</v>
      </c>
      <c r="O49" s="12">
        <v>48</v>
      </c>
      <c r="P49" s="12">
        <v>52</v>
      </c>
      <c r="Q49" s="12">
        <v>55</v>
      </c>
      <c r="R49" s="125"/>
      <c r="S49" s="42">
        <f t="shared" si="2"/>
        <v>49.166666666666664</v>
      </c>
      <c r="T49" s="42">
        <f t="shared" si="3"/>
        <v>1.6414763002993511</v>
      </c>
      <c r="U49" s="7"/>
      <c r="V49" s="7"/>
      <c r="W49" s="7"/>
      <c r="X49" s="7"/>
      <c r="Y49" s="7"/>
      <c r="AK49" s="10"/>
      <c r="AL49" s="10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</row>
    <row r="50" spans="2:78" ht="24" customHeight="1" x14ac:dyDescent="0.2">
      <c r="B50" s="122">
        <v>27</v>
      </c>
      <c r="C50" s="113" t="s">
        <v>312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117"/>
      <c r="K50" s="5" t="s">
        <v>234</v>
      </c>
      <c r="L50" s="45">
        <v>34</v>
      </c>
      <c r="M50" s="5">
        <v>46</v>
      </c>
      <c r="N50" s="5">
        <v>37</v>
      </c>
      <c r="O50" s="5">
        <v>32</v>
      </c>
      <c r="P50" s="5">
        <v>33</v>
      </c>
      <c r="Q50" s="5">
        <v>34</v>
      </c>
      <c r="R50" s="124"/>
      <c r="S50" s="43">
        <f t="shared" si="2"/>
        <v>36</v>
      </c>
      <c r="T50" s="43">
        <f t="shared" si="3"/>
        <v>2.1134489978863145</v>
      </c>
      <c r="AK50" s="10">
        <v>2</v>
      </c>
      <c r="AL50" s="10" t="s">
        <v>235</v>
      </c>
      <c r="AM50" s="10">
        <v>150</v>
      </c>
    </row>
    <row r="51" spans="2:78" ht="24" customHeight="1" thickBot="1" x14ac:dyDescent="0.25">
      <c r="B51" s="116"/>
      <c r="C51" s="114"/>
      <c r="D51" s="12" t="e">
        <v>#N/A</v>
      </c>
      <c r="E51" s="12" t="e">
        <v>#N/A</v>
      </c>
      <c r="F51" s="12" t="e">
        <v>#N/A</v>
      </c>
      <c r="G51" s="12" t="e">
        <v>#N/A</v>
      </c>
      <c r="H51" s="12" t="e">
        <v>#N/A</v>
      </c>
      <c r="I51" s="12" t="e">
        <v>#N/A</v>
      </c>
      <c r="J51" s="116"/>
      <c r="K51" s="12" t="s">
        <v>233</v>
      </c>
      <c r="L51" s="46">
        <v>36</v>
      </c>
      <c r="M51" s="12">
        <v>54</v>
      </c>
      <c r="N51" s="12">
        <v>42</v>
      </c>
      <c r="O51" s="12">
        <v>43</v>
      </c>
      <c r="P51" s="12">
        <v>31</v>
      </c>
      <c r="Q51" s="12">
        <v>48</v>
      </c>
      <c r="R51" s="125"/>
      <c r="S51" s="42">
        <f t="shared" si="2"/>
        <v>42.333333333333336</v>
      </c>
      <c r="T51" s="42">
        <f t="shared" si="3"/>
        <v>3.353273690655814</v>
      </c>
      <c r="U51" s="7"/>
      <c r="V51" s="7"/>
      <c r="W51" s="7"/>
      <c r="X51" s="7"/>
      <c r="Y51" s="7"/>
      <c r="AK51" s="10"/>
      <c r="AL51" s="10"/>
      <c r="AM51" s="9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</row>
    <row r="52" spans="2:78" ht="24" customHeight="1" x14ac:dyDescent="0.2">
      <c r="B52" s="122">
        <v>28</v>
      </c>
      <c r="C52" s="113" t="s">
        <v>313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117"/>
      <c r="K52" s="5" t="s">
        <v>234</v>
      </c>
      <c r="L52" s="5">
        <v>49</v>
      </c>
      <c r="M52" s="5">
        <v>42</v>
      </c>
      <c r="N52" s="5">
        <v>51</v>
      </c>
      <c r="O52" s="5">
        <v>37</v>
      </c>
      <c r="P52" s="5">
        <v>47</v>
      </c>
      <c r="Q52" s="5">
        <v>43</v>
      </c>
      <c r="R52" s="124"/>
      <c r="S52" s="43">
        <f t="shared" si="2"/>
        <v>44.833333333333336</v>
      </c>
      <c r="T52" s="43">
        <f t="shared" si="3"/>
        <v>2.1042285469448889</v>
      </c>
      <c r="U52" s="7"/>
      <c r="V52" s="7"/>
      <c r="W52" s="7"/>
      <c r="X52" s="7"/>
      <c r="Y52" s="7"/>
    </row>
    <row r="53" spans="2:78" ht="24" customHeight="1" thickBot="1" x14ac:dyDescent="0.25">
      <c r="B53" s="116"/>
      <c r="C53" s="114"/>
      <c r="D53" s="12" t="e">
        <v>#N/A</v>
      </c>
      <c r="E53" s="12" t="e">
        <v>#N/A</v>
      </c>
      <c r="F53" s="12" t="e">
        <v>#N/A</v>
      </c>
      <c r="G53" s="12" t="e">
        <v>#N/A</v>
      </c>
      <c r="H53" s="12" t="e">
        <v>#N/A</v>
      </c>
      <c r="I53" s="12" t="e">
        <v>#N/A</v>
      </c>
      <c r="J53" s="116"/>
      <c r="K53" s="12" t="s">
        <v>233</v>
      </c>
      <c r="L53" s="12">
        <v>60</v>
      </c>
      <c r="M53" s="12">
        <v>58</v>
      </c>
      <c r="N53" s="12">
        <v>57</v>
      </c>
      <c r="O53" s="12">
        <v>46</v>
      </c>
      <c r="P53" s="12">
        <v>56</v>
      </c>
      <c r="Q53" s="12">
        <v>57</v>
      </c>
      <c r="R53" s="125"/>
      <c r="S53" s="42">
        <f t="shared" si="2"/>
        <v>55.666666666666664</v>
      </c>
      <c r="T53" s="42">
        <f t="shared" si="3"/>
        <v>2.0110804171997811</v>
      </c>
      <c r="U53" s="7"/>
      <c r="V53" s="7"/>
      <c r="W53" s="7"/>
      <c r="X53" s="7"/>
      <c r="Y53" s="7"/>
      <c r="AK53" s="10"/>
      <c r="AL53" s="10"/>
      <c r="AM53" s="9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</row>
    <row r="54" spans="2:78" ht="24" customHeight="1" x14ac:dyDescent="0.2">
      <c r="B54" s="122">
        <v>38</v>
      </c>
      <c r="C54" s="113" t="s">
        <v>313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118">
        <v>1209</v>
      </c>
      <c r="K54" s="5" t="s">
        <v>234</v>
      </c>
      <c r="L54" s="5">
        <v>53</v>
      </c>
      <c r="M54" s="5">
        <v>41</v>
      </c>
      <c r="N54" s="5">
        <v>54</v>
      </c>
      <c r="O54" s="5">
        <v>41</v>
      </c>
      <c r="P54" s="5">
        <v>35</v>
      </c>
      <c r="Q54" s="5">
        <v>47</v>
      </c>
      <c r="R54" s="124"/>
      <c r="S54" s="43">
        <f t="shared" si="2"/>
        <v>45.166666666666664</v>
      </c>
      <c r="T54" s="43">
        <f t="shared" si="3"/>
        <v>3.0595932917809732</v>
      </c>
      <c r="U54" s="7"/>
      <c r="V54" s="7"/>
      <c r="W54" s="7"/>
      <c r="X54" s="7"/>
      <c r="Y54" s="7"/>
    </row>
    <row r="55" spans="2:78" ht="24" customHeight="1" thickBot="1" x14ac:dyDescent="0.25">
      <c r="B55" s="116"/>
      <c r="C55" s="114"/>
      <c r="D55" s="12" t="e">
        <v>#N/A</v>
      </c>
      <c r="E55" s="12" t="e">
        <v>#N/A</v>
      </c>
      <c r="F55" s="12" t="e">
        <v>#N/A</v>
      </c>
      <c r="G55" s="12" t="e">
        <v>#N/A</v>
      </c>
      <c r="H55" s="12" t="e">
        <v>#N/A</v>
      </c>
      <c r="I55" s="12" t="e">
        <v>#N/A</v>
      </c>
      <c r="J55" s="116"/>
      <c r="K55" s="12" t="s">
        <v>233</v>
      </c>
      <c r="L55" s="12">
        <v>52</v>
      </c>
      <c r="M55" s="12">
        <v>47</v>
      </c>
      <c r="N55" s="12">
        <v>60</v>
      </c>
      <c r="O55" s="12">
        <v>46</v>
      </c>
      <c r="P55" s="12">
        <v>32</v>
      </c>
      <c r="Q55" s="12">
        <v>44</v>
      </c>
      <c r="R55" s="125"/>
      <c r="S55" s="42">
        <f t="shared" si="2"/>
        <v>46.833333333333336</v>
      </c>
      <c r="T55" s="42">
        <f t="shared" si="3"/>
        <v>3.7807994451497251</v>
      </c>
      <c r="U55" s="7"/>
      <c r="V55" s="7"/>
      <c r="W55" s="7"/>
      <c r="X55" s="7"/>
      <c r="Y55" s="7"/>
      <c r="AK55" s="10"/>
      <c r="AL55" s="10"/>
      <c r="AM55" s="9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</row>
    <row r="56" spans="2:78" ht="24" customHeight="1" x14ac:dyDescent="0.2">
      <c r="B56" s="123">
        <v>37</v>
      </c>
      <c r="C56" s="113" t="s">
        <v>238</v>
      </c>
      <c r="D56" s="5" t="e">
        <v>#N/A</v>
      </c>
      <c r="E56" s="5" t="e">
        <v>#N/A</v>
      </c>
      <c r="F56" s="5" t="e">
        <v>#N/A</v>
      </c>
      <c r="G56" s="5" t="e">
        <v>#N/A</v>
      </c>
      <c r="H56" s="5" t="e">
        <v>#N/A</v>
      </c>
      <c r="I56" s="5" t="e">
        <v>#N/A</v>
      </c>
      <c r="J56" s="117"/>
      <c r="K56" s="5" t="s">
        <v>234</v>
      </c>
      <c r="L56" s="5">
        <v>31</v>
      </c>
      <c r="M56" s="5">
        <v>37</v>
      </c>
      <c r="N56" s="45">
        <v>38</v>
      </c>
      <c r="O56" s="5">
        <v>43</v>
      </c>
      <c r="P56" s="5">
        <v>49</v>
      </c>
      <c r="Q56" s="5">
        <v>54</v>
      </c>
      <c r="R56" s="124"/>
      <c r="S56" s="43">
        <f t="shared" si="2"/>
        <v>42</v>
      </c>
      <c r="T56" s="43">
        <f t="shared" si="3"/>
        <v>3.4448028487370168</v>
      </c>
      <c r="U56" s="7"/>
      <c r="V56" s="7"/>
      <c r="W56" s="7"/>
      <c r="X56" s="7"/>
      <c r="Y56" s="7"/>
    </row>
    <row r="57" spans="2:78" ht="24" customHeight="1" thickBot="1" x14ac:dyDescent="0.25">
      <c r="B57" s="114"/>
      <c r="C57" s="114"/>
      <c r="D57" s="12" t="e">
        <v>#N/A</v>
      </c>
      <c r="E57" s="12" t="e">
        <v>#N/A</v>
      </c>
      <c r="F57" s="12" t="e">
        <v>#N/A</v>
      </c>
      <c r="G57" s="12" t="e">
        <v>#N/A</v>
      </c>
      <c r="H57" s="12" t="e">
        <v>#N/A</v>
      </c>
      <c r="I57" s="12" t="e">
        <v>#N/A</v>
      </c>
      <c r="J57" s="116"/>
      <c r="K57" s="12" t="s">
        <v>233</v>
      </c>
      <c r="L57" s="12">
        <v>44</v>
      </c>
      <c r="M57" s="12">
        <v>52</v>
      </c>
      <c r="N57" s="46">
        <v>43</v>
      </c>
      <c r="O57" s="12">
        <v>45</v>
      </c>
      <c r="P57" s="12">
        <v>43</v>
      </c>
      <c r="Q57" s="12">
        <v>48</v>
      </c>
      <c r="R57" s="125"/>
      <c r="S57" s="42">
        <f t="shared" si="2"/>
        <v>45.833333333333336</v>
      </c>
      <c r="T57" s="42">
        <f t="shared" si="3"/>
        <v>1.447219556406161</v>
      </c>
      <c r="U57" s="7"/>
      <c r="V57" s="7"/>
      <c r="W57" s="7"/>
      <c r="X57" s="7"/>
      <c r="Y57" s="7"/>
      <c r="AK57" s="10"/>
      <c r="AL57" s="10"/>
      <c r="AM57" s="9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</row>
    <row r="58" spans="2:78" ht="24" customHeight="1" x14ac:dyDescent="0.2">
      <c r="B58" s="122">
        <v>36</v>
      </c>
      <c r="C58" s="113" t="s">
        <v>314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117"/>
      <c r="K58" s="5" t="s">
        <v>234</v>
      </c>
      <c r="L58" s="5">
        <v>52</v>
      </c>
      <c r="M58" s="5">
        <v>35</v>
      </c>
      <c r="N58" s="5">
        <v>57</v>
      </c>
      <c r="O58" s="5">
        <v>44</v>
      </c>
      <c r="P58" s="5">
        <v>39</v>
      </c>
      <c r="Q58" s="5">
        <v>55</v>
      </c>
      <c r="R58" s="124"/>
      <c r="S58" s="43">
        <f t="shared" si="2"/>
        <v>47</v>
      </c>
      <c r="T58" s="43">
        <f t="shared" si="3"/>
        <v>3.6787679096857056</v>
      </c>
      <c r="U58" s="7"/>
      <c r="V58" s="7"/>
      <c r="W58" s="7"/>
      <c r="X58" s="7"/>
      <c r="Y58" s="7"/>
    </row>
    <row r="59" spans="2:78" ht="24" customHeight="1" thickBot="1" x14ac:dyDescent="0.25">
      <c r="B59" s="116"/>
      <c r="C59" s="114"/>
      <c r="D59" s="12" t="e">
        <v>#N/A</v>
      </c>
      <c r="E59" s="12" t="e">
        <v>#N/A</v>
      </c>
      <c r="F59" s="12" t="e">
        <v>#N/A</v>
      </c>
      <c r="G59" s="12" t="e">
        <v>#N/A</v>
      </c>
      <c r="H59" s="12" t="e">
        <v>#N/A</v>
      </c>
      <c r="I59" s="12" t="e">
        <v>#N/A</v>
      </c>
      <c r="J59" s="116"/>
      <c r="K59" s="12" t="s">
        <v>233</v>
      </c>
      <c r="L59" s="12">
        <v>38</v>
      </c>
      <c r="M59" s="12">
        <v>40</v>
      </c>
      <c r="N59" s="12">
        <v>50</v>
      </c>
      <c r="O59" s="12">
        <v>45</v>
      </c>
      <c r="P59" s="12">
        <v>40</v>
      </c>
      <c r="Q59" s="12">
        <v>59</v>
      </c>
      <c r="R59" s="125"/>
      <c r="S59" s="42">
        <f t="shared" si="2"/>
        <v>45.333333333333336</v>
      </c>
      <c r="T59" s="42">
        <f t="shared" si="3"/>
        <v>3.2625824808645785</v>
      </c>
      <c r="U59" s="7"/>
      <c r="V59" s="7"/>
      <c r="W59" s="7"/>
      <c r="X59" s="7"/>
      <c r="Y59" s="7"/>
      <c r="AK59" s="10"/>
      <c r="AL59" s="10"/>
      <c r="AM59" s="9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</row>
    <row r="60" spans="2:78" ht="24" customHeight="1" x14ac:dyDescent="0.2">
      <c r="B60" s="122">
        <v>35</v>
      </c>
      <c r="C60" s="113" t="s">
        <v>309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117"/>
      <c r="K60" s="5" t="s">
        <v>234</v>
      </c>
      <c r="L60" s="5">
        <v>29</v>
      </c>
      <c r="M60" s="5">
        <v>31</v>
      </c>
      <c r="N60" s="5">
        <v>39</v>
      </c>
      <c r="O60" s="5">
        <v>23</v>
      </c>
      <c r="P60" s="5">
        <v>53</v>
      </c>
      <c r="Q60" s="5">
        <v>39</v>
      </c>
      <c r="R60" s="124"/>
      <c r="S60" s="43">
        <f t="shared" si="2"/>
        <v>35.666666666666664</v>
      </c>
      <c r="T60" s="43">
        <f t="shared" si="3"/>
        <v>4.2791484095683225</v>
      </c>
      <c r="U60" s="7"/>
      <c r="V60" s="7"/>
      <c r="W60" s="7"/>
      <c r="X60" s="7"/>
      <c r="Y60" s="7"/>
    </row>
    <row r="61" spans="2:78" ht="24" customHeight="1" thickBot="1" x14ac:dyDescent="0.25">
      <c r="B61" s="116"/>
      <c r="C61" s="114"/>
      <c r="D61" s="12" t="e">
        <v>#N/A</v>
      </c>
      <c r="E61" s="12" t="e">
        <v>#N/A</v>
      </c>
      <c r="F61" s="12" t="e">
        <v>#N/A</v>
      </c>
      <c r="G61" s="12" t="e">
        <v>#N/A</v>
      </c>
      <c r="H61" s="12" t="e">
        <v>#N/A</v>
      </c>
      <c r="I61" s="12" t="e">
        <v>#N/A</v>
      </c>
      <c r="J61" s="116"/>
      <c r="K61" s="12" t="s">
        <v>233</v>
      </c>
      <c r="L61" s="12">
        <v>29</v>
      </c>
      <c r="M61" s="12">
        <v>28</v>
      </c>
      <c r="N61" s="12">
        <v>34</v>
      </c>
      <c r="O61" s="12">
        <v>30</v>
      </c>
      <c r="P61" s="12">
        <v>54</v>
      </c>
      <c r="Q61" s="12">
        <v>45</v>
      </c>
      <c r="R61" s="125"/>
      <c r="S61" s="42">
        <f t="shared" si="2"/>
        <v>36.666666666666664</v>
      </c>
      <c r="T61" s="42">
        <f t="shared" si="3"/>
        <v>4.3024540800700128</v>
      </c>
      <c r="U61" s="7"/>
      <c r="V61" s="7"/>
      <c r="W61" s="7"/>
      <c r="X61" s="7"/>
      <c r="Y61" s="7"/>
      <c r="AK61" s="10"/>
      <c r="AL61" s="10"/>
      <c r="AM61" s="9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</row>
    <row r="62" spans="2:78" ht="24" customHeight="1" x14ac:dyDescent="0.2">
      <c r="B62" s="122">
        <v>34</v>
      </c>
      <c r="C62" s="113" t="s">
        <v>236</v>
      </c>
      <c r="D62" s="5" t="e">
        <v>#N/A</v>
      </c>
      <c r="E62" s="5" t="e">
        <v>#N/A</v>
      </c>
      <c r="F62" s="5" t="e">
        <v>#N/A</v>
      </c>
      <c r="G62" s="5" t="e">
        <v>#N/A</v>
      </c>
      <c r="H62" s="5" t="e">
        <v>#N/A</v>
      </c>
      <c r="I62" s="5" t="e">
        <v>#N/A</v>
      </c>
      <c r="J62" s="117"/>
      <c r="K62" s="5" t="s">
        <v>234</v>
      </c>
      <c r="L62" s="5">
        <v>60</v>
      </c>
      <c r="M62" s="5">
        <v>37</v>
      </c>
      <c r="N62" s="5">
        <v>46</v>
      </c>
      <c r="O62" s="5">
        <v>37</v>
      </c>
      <c r="P62" s="5">
        <v>38</v>
      </c>
      <c r="Q62" s="5">
        <v>41</v>
      </c>
      <c r="R62" s="124"/>
      <c r="S62" s="43">
        <f t="shared" si="2"/>
        <v>43.166666666666664</v>
      </c>
      <c r="T62" s="43">
        <f t="shared" si="3"/>
        <v>3.6461547477369178</v>
      </c>
      <c r="U62" s="7"/>
      <c r="V62" s="7"/>
      <c r="W62" s="7"/>
      <c r="X62" s="7"/>
      <c r="Y62" s="7"/>
    </row>
    <row r="63" spans="2:78" ht="24" customHeight="1" thickBot="1" x14ac:dyDescent="0.25">
      <c r="B63" s="116"/>
      <c r="C63" s="114"/>
      <c r="D63" s="12" t="e">
        <v>#N/A</v>
      </c>
      <c r="E63" s="12" t="e">
        <v>#N/A</v>
      </c>
      <c r="F63" s="12" t="e">
        <v>#N/A</v>
      </c>
      <c r="G63" s="12" t="e">
        <v>#N/A</v>
      </c>
      <c r="H63" s="12" t="e">
        <v>#N/A</v>
      </c>
      <c r="I63" s="12" t="e">
        <v>#N/A</v>
      </c>
      <c r="J63" s="116"/>
      <c r="K63" s="12" t="s">
        <v>233</v>
      </c>
      <c r="L63" s="12">
        <v>48</v>
      </c>
      <c r="M63" s="12">
        <v>46</v>
      </c>
      <c r="N63" s="12">
        <v>50</v>
      </c>
      <c r="O63" s="12">
        <v>48</v>
      </c>
      <c r="P63" s="12">
        <v>49</v>
      </c>
      <c r="Q63" s="12">
        <v>46</v>
      </c>
      <c r="R63" s="125"/>
      <c r="S63" s="42">
        <f t="shared" si="2"/>
        <v>47.833333333333336</v>
      </c>
      <c r="T63" s="42">
        <f t="shared" si="3"/>
        <v>0.65404722901161949</v>
      </c>
      <c r="U63" s="7"/>
      <c r="V63" s="7"/>
      <c r="W63" s="7"/>
      <c r="X63" s="7"/>
      <c r="Y63" s="7"/>
      <c r="AK63" s="10"/>
      <c r="AL63" s="10"/>
      <c r="AM63" s="9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</row>
    <row r="64" spans="2:78" ht="24" customHeight="1" x14ac:dyDescent="0.2">
      <c r="B64" s="122">
        <v>33</v>
      </c>
      <c r="C64" s="113" t="s">
        <v>309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117"/>
      <c r="K64" s="5" t="s">
        <v>234</v>
      </c>
      <c r="L64" s="5">
        <v>31</v>
      </c>
      <c r="M64" s="5">
        <v>36</v>
      </c>
      <c r="N64" s="5">
        <v>21</v>
      </c>
      <c r="O64" s="5">
        <v>30</v>
      </c>
      <c r="P64" s="45">
        <v>39</v>
      </c>
      <c r="Q64" s="5">
        <v>43</v>
      </c>
      <c r="R64" s="124"/>
      <c r="S64" s="43">
        <f t="shared" si="2"/>
        <v>33.333333333333336</v>
      </c>
      <c r="T64" s="43">
        <f t="shared" si="3"/>
        <v>3.1692971530679221</v>
      </c>
      <c r="U64" s="7"/>
      <c r="V64" s="7"/>
      <c r="W64" s="7"/>
      <c r="X64" s="7"/>
      <c r="Y64" s="7"/>
    </row>
    <row r="65" spans="2:78" ht="24" customHeight="1" thickBot="1" x14ac:dyDescent="0.25">
      <c r="B65" s="116"/>
      <c r="C65" s="114"/>
      <c r="D65" s="5" t="e">
        <v>#N/A</v>
      </c>
      <c r="E65" s="5" t="e">
        <v>#N/A</v>
      </c>
      <c r="F65" s="5" t="e">
        <v>#N/A</v>
      </c>
      <c r="G65" s="5" t="e">
        <v>#N/A</v>
      </c>
      <c r="H65" s="5" t="e">
        <v>#N/A</v>
      </c>
      <c r="I65" s="5" t="e">
        <v>#N/A</v>
      </c>
      <c r="J65" s="116"/>
      <c r="K65" s="5" t="s">
        <v>233</v>
      </c>
      <c r="L65" s="5">
        <v>36</v>
      </c>
      <c r="M65" s="5">
        <v>29</v>
      </c>
      <c r="N65" s="5">
        <v>24</v>
      </c>
      <c r="O65" s="5">
        <v>35</v>
      </c>
      <c r="P65" s="45">
        <v>37</v>
      </c>
      <c r="Q65" s="5">
        <v>34</v>
      </c>
      <c r="R65" s="125"/>
      <c r="S65" s="42">
        <f t="shared" si="2"/>
        <v>32.5</v>
      </c>
      <c r="T65" s="42">
        <f t="shared" si="3"/>
        <v>2.0453198608856598</v>
      </c>
      <c r="U65" s="7"/>
      <c r="V65" s="7"/>
      <c r="W65" s="7"/>
      <c r="X65" s="7"/>
      <c r="Y65" s="7"/>
    </row>
    <row r="66" spans="2:78" ht="24" customHeight="1" x14ac:dyDescent="0.2">
      <c r="B66" s="122">
        <v>32</v>
      </c>
      <c r="C66" s="113" t="s">
        <v>311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117"/>
      <c r="K66" s="5" t="s">
        <v>234</v>
      </c>
      <c r="L66" s="5">
        <v>53</v>
      </c>
      <c r="M66" s="5">
        <v>43</v>
      </c>
      <c r="N66" s="5">
        <v>34</v>
      </c>
      <c r="O66" s="5">
        <v>39</v>
      </c>
      <c r="P66" s="5">
        <v>51</v>
      </c>
      <c r="Q66" s="5">
        <v>36</v>
      </c>
      <c r="R66" s="124"/>
      <c r="S66" s="43">
        <f t="shared" si="2"/>
        <v>42.666666666666664</v>
      </c>
      <c r="T66" s="43">
        <f t="shared" si="3"/>
        <v>3.2110918876779491</v>
      </c>
      <c r="AK66" s="10">
        <v>2</v>
      </c>
      <c r="AL66" s="10" t="s">
        <v>235</v>
      </c>
      <c r="AM66" s="10">
        <v>150</v>
      </c>
    </row>
    <row r="67" spans="2:78" ht="24" customHeight="1" thickBot="1" x14ac:dyDescent="0.25">
      <c r="B67" s="116"/>
      <c r="C67" s="114"/>
      <c r="D67" s="12" t="e">
        <v>#N/A</v>
      </c>
      <c r="E67" s="12" t="e">
        <v>#N/A</v>
      </c>
      <c r="F67" s="12" t="e">
        <v>#N/A</v>
      </c>
      <c r="G67" s="12" t="e">
        <v>#N/A</v>
      </c>
      <c r="H67" s="12" t="e">
        <v>#N/A</v>
      </c>
      <c r="I67" s="12" t="e">
        <v>#N/A</v>
      </c>
      <c r="J67" s="116"/>
      <c r="K67" s="12" t="s">
        <v>233</v>
      </c>
      <c r="L67" s="12">
        <v>44</v>
      </c>
      <c r="M67" s="12">
        <v>41</v>
      </c>
      <c r="N67" s="12">
        <v>36</v>
      </c>
      <c r="O67" s="12">
        <v>42</v>
      </c>
      <c r="P67" s="12">
        <v>47</v>
      </c>
      <c r="Q67" s="12">
        <v>44</v>
      </c>
      <c r="R67" s="125"/>
      <c r="S67" s="42">
        <f t="shared" si="2"/>
        <v>42.333333333333336</v>
      </c>
      <c r="T67" s="42">
        <f t="shared" si="3"/>
        <v>1.5202339001321843</v>
      </c>
      <c r="U67" s="7"/>
      <c r="V67" s="7"/>
      <c r="W67" s="7"/>
      <c r="X67" s="7"/>
      <c r="Y67" s="7"/>
      <c r="AK67" s="10"/>
      <c r="AL67" s="10"/>
      <c r="AM67" s="9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</row>
    <row r="68" spans="2:78" ht="24" customHeight="1" x14ac:dyDescent="0.2">
      <c r="B68" s="122">
        <v>31</v>
      </c>
      <c r="C68" s="113" t="s">
        <v>314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117"/>
      <c r="K68" s="5" t="s">
        <v>234</v>
      </c>
      <c r="L68" s="5">
        <v>49</v>
      </c>
      <c r="M68" s="5">
        <v>56</v>
      </c>
      <c r="N68" s="5">
        <v>58</v>
      </c>
      <c r="O68" s="5">
        <v>44</v>
      </c>
      <c r="P68" s="5">
        <v>51</v>
      </c>
      <c r="Q68" s="5">
        <v>41</v>
      </c>
      <c r="R68" s="124"/>
      <c r="S68" s="43">
        <f t="shared" si="2"/>
        <v>49.833333333333336</v>
      </c>
      <c r="T68" s="43">
        <f t="shared" si="3"/>
        <v>2.7008229198606242</v>
      </c>
      <c r="U68" s="7"/>
      <c r="V68" s="7"/>
      <c r="W68" s="7"/>
      <c r="X68" s="7"/>
      <c r="Y68" s="7"/>
    </row>
    <row r="69" spans="2:78" ht="24" customHeight="1" thickBot="1" x14ac:dyDescent="0.25">
      <c r="B69" s="116"/>
      <c r="C69" s="114"/>
      <c r="D69" s="12" t="e">
        <v>#N/A</v>
      </c>
      <c r="E69" s="12" t="e">
        <v>#N/A</v>
      </c>
      <c r="F69" s="12" t="e">
        <v>#N/A</v>
      </c>
      <c r="G69" s="12" t="e">
        <v>#N/A</v>
      </c>
      <c r="H69" s="12" t="e">
        <v>#N/A</v>
      </c>
      <c r="I69" s="12" t="e">
        <v>#N/A</v>
      </c>
      <c r="J69" s="116"/>
      <c r="K69" s="12" t="s">
        <v>233</v>
      </c>
      <c r="L69" s="12">
        <v>42</v>
      </c>
      <c r="M69" s="12">
        <v>64</v>
      </c>
      <c r="N69" s="12">
        <v>58</v>
      </c>
      <c r="O69" s="12">
        <v>59</v>
      </c>
      <c r="P69" s="12">
        <v>61</v>
      </c>
      <c r="Q69" s="12">
        <v>47</v>
      </c>
      <c r="R69" s="125"/>
      <c r="S69" s="42">
        <f t="shared" si="2"/>
        <v>55.166666666666664</v>
      </c>
      <c r="T69" s="42">
        <f t="shared" si="3"/>
        <v>3.5347481444148756</v>
      </c>
      <c r="U69" s="7"/>
      <c r="V69" s="7"/>
      <c r="W69" s="7"/>
      <c r="X69" s="7"/>
      <c r="Y69" s="7"/>
      <c r="AK69" s="10"/>
      <c r="AL69" s="10"/>
      <c r="AM69" s="9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</row>
    <row r="70" spans="2:78" ht="24" customHeight="1" x14ac:dyDescent="0.2">
      <c r="B70" s="122">
        <v>41</v>
      </c>
      <c r="C70" s="113" t="s">
        <v>310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118">
        <v>1230</v>
      </c>
      <c r="K70" s="5" t="s">
        <v>234</v>
      </c>
      <c r="L70" s="5">
        <v>48</v>
      </c>
      <c r="M70" s="5">
        <v>36</v>
      </c>
      <c r="N70" s="5">
        <v>46</v>
      </c>
      <c r="O70" s="5">
        <v>34</v>
      </c>
      <c r="P70" s="5">
        <v>32</v>
      </c>
      <c r="Q70" s="5">
        <v>36</v>
      </c>
      <c r="R70" s="124" t="s">
        <v>282</v>
      </c>
      <c r="S70" s="43">
        <f t="shared" si="2"/>
        <v>38.666666666666664</v>
      </c>
      <c r="T70" s="43">
        <f t="shared" si="3"/>
        <v>2.7162065049951192</v>
      </c>
      <c r="U70" s="7"/>
      <c r="V70" s="7"/>
      <c r="W70" s="7"/>
      <c r="X70" s="7"/>
      <c r="Y70" s="7"/>
    </row>
    <row r="71" spans="2:78" ht="24" customHeight="1" thickBot="1" x14ac:dyDescent="0.25">
      <c r="B71" s="116"/>
      <c r="C71" s="114"/>
      <c r="D71" s="12" t="e">
        <v>#N/A</v>
      </c>
      <c r="E71" s="12" t="e">
        <v>#N/A</v>
      </c>
      <c r="F71" s="12" t="e">
        <v>#N/A</v>
      </c>
      <c r="G71" s="12" t="e">
        <v>#N/A</v>
      </c>
      <c r="H71" s="12" t="e">
        <v>#N/A</v>
      </c>
      <c r="I71" s="12" t="e">
        <v>#N/A</v>
      </c>
      <c r="J71" s="116"/>
      <c r="K71" s="12" t="s">
        <v>233</v>
      </c>
      <c r="L71" s="12">
        <v>54</v>
      </c>
      <c r="M71" s="12">
        <v>52</v>
      </c>
      <c r="N71" s="12">
        <v>49</v>
      </c>
      <c r="O71" s="12">
        <v>43</v>
      </c>
      <c r="P71" s="12">
        <v>43</v>
      </c>
      <c r="Q71" s="12">
        <v>43</v>
      </c>
      <c r="R71" s="125"/>
      <c r="S71" s="42">
        <f t="shared" si="2"/>
        <v>47.333333333333336</v>
      </c>
      <c r="T71" s="42">
        <f t="shared" si="3"/>
        <v>2.0439612955674522</v>
      </c>
      <c r="U71" s="7"/>
      <c r="V71" s="7"/>
      <c r="W71" s="7"/>
      <c r="X71" s="7"/>
      <c r="Y71" s="7"/>
      <c r="AK71" s="10"/>
      <c r="AL71" s="10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</row>
    <row r="72" spans="2:78" ht="24" customHeight="1" x14ac:dyDescent="0.2">
      <c r="B72" s="122">
        <v>42</v>
      </c>
      <c r="C72" s="113" t="s">
        <v>238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117"/>
      <c r="K72" s="5" t="s">
        <v>234</v>
      </c>
      <c r="L72" s="5">
        <v>33</v>
      </c>
      <c r="M72" s="5">
        <v>40</v>
      </c>
      <c r="N72" s="5">
        <v>44</v>
      </c>
      <c r="O72" s="5">
        <v>43</v>
      </c>
      <c r="P72" s="5">
        <v>37</v>
      </c>
      <c r="Q72" s="5">
        <v>26</v>
      </c>
      <c r="R72" s="124" t="s">
        <v>282</v>
      </c>
      <c r="S72" s="43">
        <f t="shared" si="2"/>
        <v>37.166666666666664</v>
      </c>
      <c r="T72" s="43">
        <f t="shared" si="3"/>
        <v>2.7738861628488767</v>
      </c>
      <c r="U72" s="7"/>
      <c r="V72" s="7"/>
      <c r="W72" s="7"/>
      <c r="X72" s="7"/>
      <c r="Y72" s="7"/>
    </row>
    <row r="73" spans="2:78" ht="24" customHeight="1" thickBot="1" x14ac:dyDescent="0.25">
      <c r="B73" s="116"/>
      <c r="C73" s="114"/>
      <c r="D73" s="12" t="e">
        <v>#N/A</v>
      </c>
      <c r="E73" s="12" t="e">
        <v>#N/A</v>
      </c>
      <c r="F73" s="12" t="e">
        <v>#N/A</v>
      </c>
      <c r="G73" s="12" t="e">
        <v>#N/A</v>
      </c>
      <c r="H73" s="12" t="e">
        <v>#N/A</v>
      </c>
      <c r="I73" s="12" t="e">
        <v>#N/A</v>
      </c>
      <c r="J73" s="116"/>
      <c r="K73" s="12" t="s">
        <v>233</v>
      </c>
      <c r="L73" s="12">
        <v>37</v>
      </c>
      <c r="M73" s="12">
        <v>48</v>
      </c>
      <c r="N73" s="12">
        <v>54</v>
      </c>
      <c r="O73" s="12">
        <v>35</v>
      </c>
      <c r="P73" s="12">
        <v>44</v>
      </c>
      <c r="Q73" s="12">
        <v>34</v>
      </c>
      <c r="R73" s="125"/>
      <c r="S73" s="42">
        <f t="shared" si="2"/>
        <v>42</v>
      </c>
      <c r="T73" s="42">
        <f t="shared" si="3"/>
        <v>3.2761766334148312</v>
      </c>
      <c r="U73" s="7"/>
      <c r="V73" s="7"/>
      <c r="W73" s="7"/>
      <c r="X73" s="7"/>
      <c r="Y73" s="7"/>
      <c r="AK73" s="10"/>
      <c r="AL73" s="10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</row>
    <row r="74" spans="2:78" ht="24" customHeight="1" x14ac:dyDescent="0.2">
      <c r="B74" s="122">
        <v>43</v>
      </c>
      <c r="C74" s="113" t="s">
        <v>312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117"/>
      <c r="K74" s="5" t="s">
        <v>234</v>
      </c>
      <c r="L74" s="5">
        <v>31</v>
      </c>
      <c r="M74" s="5">
        <v>53</v>
      </c>
      <c r="N74" s="5">
        <v>43</v>
      </c>
      <c r="O74" s="5">
        <v>43</v>
      </c>
      <c r="P74" s="5">
        <v>49</v>
      </c>
      <c r="Q74" s="5">
        <v>55</v>
      </c>
      <c r="R74" s="124"/>
      <c r="S74" s="43">
        <f t="shared" si="2"/>
        <v>45.666666666666664</v>
      </c>
      <c r="T74" s="43">
        <f t="shared" si="3"/>
        <v>3.5652645218989196</v>
      </c>
      <c r="U74" s="7"/>
      <c r="V74" s="7"/>
      <c r="W74" s="7"/>
      <c r="X74" s="7"/>
      <c r="Y74" s="7"/>
    </row>
    <row r="75" spans="2:78" ht="24" customHeight="1" thickBot="1" x14ac:dyDescent="0.25">
      <c r="B75" s="116"/>
      <c r="C75" s="114"/>
      <c r="D75" s="12" t="e">
        <v>#N/A</v>
      </c>
      <c r="E75" s="12" t="e">
        <v>#N/A</v>
      </c>
      <c r="F75" s="12" t="e">
        <v>#N/A</v>
      </c>
      <c r="G75" s="12" t="e">
        <v>#N/A</v>
      </c>
      <c r="H75" s="12" t="e">
        <v>#N/A</v>
      </c>
      <c r="I75" s="12" t="e">
        <v>#N/A</v>
      </c>
      <c r="J75" s="116"/>
      <c r="K75" s="12" t="s">
        <v>233</v>
      </c>
      <c r="L75" s="12">
        <v>41</v>
      </c>
      <c r="M75" s="12">
        <v>58</v>
      </c>
      <c r="N75" s="12">
        <v>56</v>
      </c>
      <c r="O75" s="12">
        <v>38</v>
      </c>
      <c r="P75" s="12">
        <v>60</v>
      </c>
      <c r="Q75" s="12">
        <v>56</v>
      </c>
      <c r="R75" s="125"/>
      <c r="S75" s="42">
        <f t="shared" si="2"/>
        <v>51.5</v>
      </c>
      <c r="T75" s="42">
        <f t="shared" si="3"/>
        <v>3.8622100754188233</v>
      </c>
      <c r="U75" s="7"/>
      <c r="V75" s="7"/>
      <c r="W75" s="7"/>
      <c r="X75" s="7"/>
      <c r="Y75" s="7"/>
      <c r="AK75" s="10"/>
      <c r="AL75" s="10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</row>
    <row r="76" spans="2:78" ht="24" customHeight="1" x14ac:dyDescent="0.2">
      <c r="B76" s="122">
        <v>44</v>
      </c>
      <c r="C76" s="113" t="s">
        <v>312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6"/>
      <c r="K76" s="5" t="s">
        <v>234</v>
      </c>
      <c r="L76" s="5">
        <v>58</v>
      </c>
      <c r="M76" s="5">
        <v>40</v>
      </c>
      <c r="N76" s="5">
        <v>43</v>
      </c>
      <c r="O76" s="5">
        <v>34</v>
      </c>
      <c r="P76" s="5">
        <v>33</v>
      </c>
      <c r="Q76" s="5">
        <v>43</v>
      </c>
      <c r="R76" s="124"/>
      <c r="S76" s="43">
        <f t="shared" si="2"/>
        <v>41.833333333333336</v>
      </c>
      <c r="T76" s="43">
        <f t="shared" si="3"/>
        <v>3.6825413929935849</v>
      </c>
      <c r="U76" s="7"/>
      <c r="V76" s="7"/>
      <c r="W76" s="7"/>
      <c r="X76" s="7"/>
      <c r="Y76" s="7"/>
    </row>
    <row r="77" spans="2:78" ht="24" customHeight="1" thickBot="1" x14ac:dyDescent="0.25">
      <c r="B77" s="116"/>
      <c r="C77" s="114"/>
      <c r="D77" s="12" t="e">
        <v>#N/A</v>
      </c>
      <c r="E77" s="12" t="e">
        <v>#N/A</v>
      </c>
      <c r="F77" s="12" t="e">
        <v>#N/A</v>
      </c>
      <c r="G77" s="12" t="e">
        <v>#N/A</v>
      </c>
      <c r="H77" s="12" t="e">
        <v>#N/A</v>
      </c>
      <c r="I77" s="12" t="e">
        <v>#N/A</v>
      </c>
      <c r="J77" s="13"/>
      <c r="K77" s="12" t="s">
        <v>233</v>
      </c>
      <c r="L77" s="12">
        <v>55</v>
      </c>
      <c r="M77" s="12">
        <v>51</v>
      </c>
      <c r="N77" s="12">
        <v>56</v>
      </c>
      <c r="O77" s="12">
        <v>43</v>
      </c>
      <c r="P77" s="12">
        <v>38</v>
      </c>
      <c r="Q77" s="12">
        <v>48</v>
      </c>
      <c r="R77" s="125"/>
      <c r="S77" s="42">
        <f t="shared" si="2"/>
        <v>48.5</v>
      </c>
      <c r="T77" s="42">
        <f t="shared" si="3"/>
        <v>2.86065260619554</v>
      </c>
      <c r="U77" s="7"/>
      <c r="V77" s="7"/>
      <c r="W77" s="7"/>
      <c r="X77" s="7"/>
      <c r="Y77" s="7"/>
      <c r="AK77" s="10"/>
      <c r="AL77" s="10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</row>
    <row r="78" spans="2:78" ht="24" customHeight="1" x14ac:dyDescent="0.2">
      <c r="B78" s="122">
        <v>45</v>
      </c>
      <c r="C78" s="113" t="s">
        <v>313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117"/>
      <c r="K78" s="5" t="s">
        <v>234</v>
      </c>
      <c r="L78" s="5">
        <v>47</v>
      </c>
      <c r="M78" s="5">
        <v>52</v>
      </c>
      <c r="N78" s="5">
        <v>35</v>
      </c>
      <c r="O78" s="5">
        <v>52</v>
      </c>
      <c r="P78" s="5">
        <v>47</v>
      </c>
      <c r="Q78" s="5">
        <v>59</v>
      </c>
      <c r="R78" s="124"/>
      <c r="S78" s="43">
        <f t="shared" si="2"/>
        <v>48.666666666666664</v>
      </c>
      <c r="T78" s="43">
        <f t="shared" si="3"/>
        <v>3.2727833889689575</v>
      </c>
      <c r="U78" s="7"/>
      <c r="V78" s="7"/>
      <c r="W78" s="7"/>
      <c r="X78" s="7"/>
      <c r="Y78" s="7"/>
    </row>
    <row r="79" spans="2:78" ht="24" customHeight="1" thickBot="1" x14ac:dyDescent="0.25">
      <c r="B79" s="116"/>
      <c r="C79" s="114"/>
      <c r="D79" s="12" t="e">
        <v>#N/A</v>
      </c>
      <c r="E79" s="12" t="e">
        <v>#N/A</v>
      </c>
      <c r="F79" s="12" t="e">
        <v>#N/A</v>
      </c>
      <c r="G79" s="12" t="e">
        <v>#N/A</v>
      </c>
      <c r="H79" s="12" t="e">
        <v>#N/A</v>
      </c>
      <c r="I79" s="12" t="e">
        <v>#N/A</v>
      </c>
      <c r="J79" s="116"/>
      <c r="K79" s="12" t="s">
        <v>233</v>
      </c>
      <c r="L79" s="12">
        <v>56</v>
      </c>
      <c r="M79" s="12">
        <v>48</v>
      </c>
      <c r="N79" s="12">
        <v>45</v>
      </c>
      <c r="O79" s="12">
        <v>68</v>
      </c>
      <c r="P79" s="12">
        <v>53</v>
      </c>
      <c r="Q79" s="12">
        <v>64</v>
      </c>
      <c r="R79" s="125"/>
      <c r="S79" s="42">
        <f t="shared" si="2"/>
        <v>55.666666666666664</v>
      </c>
      <c r="T79" s="42">
        <f t="shared" si="3"/>
        <v>3.657564459825382</v>
      </c>
      <c r="U79" s="7"/>
      <c r="V79" s="7"/>
      <c r="W79" s="7"/>
      <c r="X79" s="7"/>
      <c r="Y79" s="7"/>
      <c r="AK79" s="10"/>
      <c r="AL79" s="10"/>
      <c r="AM79" s="9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</row>
    <row r="80" spans="2:78" ht="24" customHeight="1" x14ac:dyDescent="0.2">
      <c r="B80" s="122">
        <v>46</v>
      </c>
      <c r="C80" s="113" t="s">
        <v>236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117"/>
      <c r="K80" s="44" t="s">
        <v>234</v>
      </c>
      <c r="L80" s="44">
        <v>49</v>
      </c>
      <c r="M80" s="44">
        <v>46</v>
      </c>
      <c r="N80" s="44">
        <v>49</v>
      </c>
      <c r="O80" s="44">
        <v>47</v>
      </c>
      <c r="P80" s="44">
        <v>56</v>
      </c>
      <c r="Q80" s="44">
        <v>59</v>
      </c>
      <c r="R80" s="124"/>
      <c r="S80" s="43">
        <f t="shared" si="2"/>
        <v>51</v>
      </c>
      <c r="T80" s="43">
        <f t="shared" si="3"/>
        <v>2.1447610589527217</v>
      </c>
      <c r="U80" s="7"/>
      <c r="V80" s="7"/>
      <c r="W80" s="7"/>
      <c r="X80" s="7"/>
      <c r="Y80" s="7"/>
    </row>
    <row r="81" spans="2:25" ht="24" customHeight="1" thickBot="1" x14ac:dyDescent="0.25">
      <c r="B81" s="116"/>
      <c r="C81" s="114"/>
      <c r="D81" s="5" t="e">
        <v>#N/A</v>
      </c>
      <c r="E81" s="5" t="e">
        <v>#N/A</v>
      </c>
      <c r="F81" s="5" t="e">
        <v>#N/A</v>
      </c>
      <c r="G81" s="5" t="e">
        <v>#N/A</v>
      </c>
      <c r="H81" s="5" t="e">
        <v>#N/A</v>
      </c>
      <c r="I81" s="5" t="e">
        <v>#N/A</v>
      </c>
      <c r="J81" s="116"/>
      <c r="K81" s="12" t="s">
        <v>233</v>
      </c>
      <c r="L81" s="12">
        <v>53</v>
      </c>
      <c r="M81" s="12">
        <v>51</v>
      </c>
      <c r="N81" s="12">
        <v>54</v>
      </c>
      <c r="O81" s="12">
        <v>54</v>
      </c>
      <c r="P81" s="12">
        <v>54</v>
      </c>
      <c r="Q81" s="12">
        <v>54</v>
      </c>
      <c r="R81" s="125"/>
      <c r="S81" s="42">
        <f t="shared" si="2"/>
        <v>53.333333333333336</v>
      </c>
      <c r="T81" s="42">
        <f t="shared" si="3"/>
        <v>0.4944132324730442</v>
      </c>
      <c r="U81" s="7"/>
      <c r="V81" s="7"/>
      <c r="W81" s="7"/>
      <c r="X81" s="7"/>
      <c r="Y81" s="7"/>
    </row>
    <row r="82" spans="2:25" ht="24" customHeight="1" x14ac:dyDescent="0.2">
      <c r="B82" s="122">
        <v>47</v>
      </c>
      <c r="C82" s="113" t="s">
        <v>310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117"/>
      <c r="K82" s="44" t="s">
        <v>234</v>
      </c>
      <c r="L82" s="44">
        <v>42</v>
      </c>
      <c r="M82" s="44">
        <v>43</v>
      </c>
      <c r="N82" s="44">
        <v>43</v>
      </c>
      <c r="O82" s="44">
        <v>45</v>
      </c>
      <c r="P82" s="44">
        <v>39</v>
      </c>
      <c r="Q82" s="44">
        <v>46</v>
      </c>
      <c r="R82" s="124" t="s">
        <v>282</v>
      </c>
      <c r="S82" s="43">
        <f t="shared" si="2"/>
        <v>43</v>
      </c>
      <c r="T82" s="43">
        <f t="shared" si="3"/>
        <v>1</v>
      </c>
    </row>
    <row r="83" spans="2:25" ht="24" customHeight="1" thickBot="1" x14ac:dyDescent="0.25">
      <c r="B83" s="116"/>
      <c r="C83" s="114"/>
      <c r="D83" s="5" t="e">
        <v>#N/A</v>
      </c>
      <c r="E83" s="5" t="e">
        <v>#N/A</v>
      </c>
      <c r="F83" s="5" t="e">
        <v>#N/A</v>
      </c>
      <c r="G83" s="5" t="e">
        <v>#N/A</v>
      </c>
      <c r="H83" s="5" t="e">
        <v>#N/A</v>
      </c>
      <c r="I83" s="5" t="e">
        <v>#N/A</v>
      </c>
      <c r="J83" s="116"/>
      <c r="K83" s="12" t="s">
        <v>233</v>
      </c>
      <c r="L83" s="12">
        <v>44</v>
      </c>
      <c r="M83" s="12">
        <v>54</v>
      </c>
      <c r="N83" s="12">
        <v>53</v>
      </c>
      <c r="O83" s="12">
        <v>51</v>
      </c>
      <c r="P83" s="12">
        <v>46</v>
      </c>
      <c r="Q83" s="12">
        <v>47</v>
      </c>
      <c r="R83" s="125"/>
      <c r="S83" s="42">
        <f t="shared" si="2"/>
        <v>49.166666666666664</v>
      </c>
      <c r="T83" s="42">
        <f t="shared" si="3"/>
        <v>1.6616591440819355</v>
      </c>
    </row>
    <row r="84" spans="2:25" ht="24" customHeight="1" x14ac:dyDescent="0.2">
      <c r="B84" s="122">
        <v>48</v>
      </c>
      <c r="C84" s="113" t="s">
        <v>311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118">
        <v>1251</v>
      </c>
      <c r="K84" s="44" t="s">
        <v>234</v>
      </c>
      <c r="L84" s="44">
        <v>60</v>
      </c>
      <c r="M84" s="44">
        <v>59</v>
      </c>
      <c r="N84" s="44">
        <v>50</v>
      </c>
      <c r="O84" s="44">
        <v>33</v>
      </c>
      <c r="P84" s="44">
        <v>38</v>
      </c>
      <c r="Q84" s="44">
        <v>38</v>
      </c>
      <c r="R84" s="124"/>
      <c r="S84" s="43">
        <f t="shared" si="2"/>
        <v>46.333333333333336</v>
      </c>
      <c r="T84" s="43">
        <f t="shared" si="3"/>
        <v>4.7516079149881252</v>
      </c>
    </row>
    <row r="85" spans="2:25" ht="24" customHeight="1" thickBot="1" x14ac:dyDescent="0.25">
      <c r="B85" s="116"/>
      <c r="C85" s="114"/>
      <c r="D85" s="5" t="e">
        <v>#N/A</v>
      </c>
      <c r="E85" s="5" t="e">
        <v>#N/A</v>
      </c>
      <c r="F85" s="5" t="e">
        <v>#N/A</v>
      </c>
      <c r="G85" s="5" t="e">
        <v>#N/A</v>
      </c>
      <c r="H85" s="5" t="e">
        <v>#N/A</v>
      </c>
      <c r="I85" s="5" t="e">
        <v>#N/A</v>
      </c>
      <c r="J85" s="116"/>
      <c r="K85" s="12" t="s">
        <v>233</v>
      </c>
      <c r="L85" s="12">
        <v>71</v>
      </c>
      <c r="M85" s="12">
        <v>60</v>
      </c>
      <c r="N85" s="12">
        <v>52</v>
      </c>
      <c r="O85" s="12">
        <v>32</v>
      </c>
      <c r="P85" s="12">
        <v>44</v>
      </c>
      <c r="Q85" s="12">
        <v>49</v>
      </c>
      <c r="R85" s="125"/>
      <c r="S85" s="42">
        <f t="shared" si="2"/>
        <v>51.333333333333336</v>
      </c>
      <c r="T85" s="42">
        <f t="shared" si="3"/>
        <v>5.4630069050335699</v>
      </c>
    </row>
    <row r="86" spans="2:25" x14ac:dyDescent="0.2">
      <c r="K86" s="2"/>
    </row>
    <row r="87" spans="2:25" x14ac:dyDescent="0.2">
      <c r="K87" s="2"/>
    </row>
    <row r="88" spans="2:25" x14ac:dyDescent="0.2">
      <c r="K88" s="2"/>
    </row>
  </sheetData>
  <mergeCells count="155">
    <mergeCell ref="R68:R69"/>
    <mergeCell ref="R70:R71"/>
    <mergeCell ref="R72:R73"/>
    <mergeCell ref="R74:R75"/>
    <mergeCell ref="R84:R85"/>
    <mergeCell ref="R76:R77"/>
    <mergeCell ref="R78:R79"/>
    <mergeCell ref="R80:R81"/>
    <mergeCell ref="R82:R83"/>
    <mergeCell ref="R50:R51"/>
    <mergeCell ref="R52:R53"/>
    <mergeCell ref="R54:R55"/>
    <mergeCell ref="R56:R57"/>
    <mergeCell ref="R58:R59"/>
    <mergeCell ref="R60:R61"/>
    <mergeCell ref="R62:R63"/>
    <mergeCell ref="R64:R65"/>
    <mergeCell ref="R66:R67"/>
    <mergeCell ref="J84:J85"/>
    <mergeCell ref="J70:J71"/>
    <mergeCell ref="J72:J73"/>
    <mergeCell ref="J74:J75"/>
    <mergeCell ref="J78:J79"/>
    <mergeCell ref="R14:R15"/>
    <mergeCell ref="R16:R17"/>
    <mergeCell ref="R18:R19"/>
    <mergeCell ref="R10:R13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J56:J57"/>
    <mergeCell ref="J58:J59"/>
    <mergeCell ref="J60:J61"/>
    <mergeCell ref="J62:J63"/>
    <mergeCell ref="J64:J65"/>
    <mergeCell ref="J66:J67"/>
    <mergeCell ref="J68:J69"/>
    <mergeCell ref="J80:J81"/>
    <mergeCell ref="J82:J83"/>
    <mergeCell ref="C82:C83"/>
    <mergeCell ref="C84:C85"/>
    <mergeCell ref="J10:J11"/>
    <mergeCell ref="J12:J13"/>
    <mergeCell ref="J14:J15"/>
    <mergeCell ref="J16:J17"/>
    <mergeCell ref="J18:J19"/>
    <mergeCell ref="J20:J21"/>
    <mergeCell ref="J24:J25"/>
    <mergeCell ref="J26:J27"/>
    <mergeCell ref="J22:J23"/>
    <mergeCell ref="J28:J29"/>
    <mergeCell ref="J32:J33"/>
    <mergeCell ref="J30:J31"/>
    <mergeCell ref="J34:J35"/>
    <mergeCell ref="J36:J37"/>
    <mergeCell ref="J40:J41"/>
    <mergeCell ref="J38:J39"/>
    <mergeCell ref="J42:J43"/>
    <mergeCell ref="J44:J45"/>
    <mergeCell ref="J46:J47"/>
    <mergeCell ref="J52:J53"/>
    <mergeCell ref="J50:J51"/>
    <mergeCell ref="J54:J55"/>
    <mergeCell ref="B82:B83"/>
    <mergeCell ref="B84:B85"/>
    <mergeCell ref="C12:C13"/>
    <mergeCell ref="C14:C15"/>
    <mergeCell ref="C16:C17"/>
    <mergeCell ref="C18:C19"/>
    <mergeCell ref="C20:C21"/>
    <mergeCell ref="C22:C23"/>
    <mergeCell ref="B72:B73"/>
    <mergeCell ref="B74:B75"/>
    <mergeCell ref="C24:C25"/>
    <mergeCell ref="C26:C27"/>
    <mergeCell ref="C40:C41"/>
    <mergeCell ref="C42:C43"/>
    <mergeCell ref="C44:C45"/>
    <mergeCell ref="C46:C47"/>
    <mergeCell ref="C36:C37"/>
    <mergeCell ref="C38:C39"/>
    <mergeCell ref="C48:C49"/>
    <mergeCell ref="C50:C51"/>
    <mergeCell ref="C52:C53"/>
    <mergeCell ref="C54:C55"/>
    <mergeCell ref="C56:C57"/>
    <mergeCell ref="C58:C59"/>
    <mergeCell ref="B78:B79"/>
    <mergeCell ref="B80:B81"/>
    <mergeCell ref="C10:C11"/>
    <mergeCell ref="C28:C29"/>
    <mergeCell ref="C30:C31"/>
    <mergeCell ref="C32:C33"/>
    <mergeCell ref="C34:C35"/>
    <mergeCell ref="B60:B61"/>
    <mergeCell ref="B62:B63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B68:B69"/>
    <mergeCell ref="B70:B71"/>
    <mergeCell ref="B48:B49"/>
    <mergeCell ref="B50:B51"/>
    <mergeCell ref="B52:B53"/>
    <mergeCell ref="B54:B55"/>
    <mergeCell ref="B56:B57"/>
    <mergeCell ref="B58:B59"/>
    <mergeCell ref="B76:B77"/>
    <mergeCell ref="B34:B35"/>
    <mergeCell ref="B36:B37"/>
    <mergeCell ref="B38:B39"/>
    <mergeCell ref="B40:B41"/>
    <mergeCell ref="B42:B43"/>
    <mergeCell ref="B44:B45"/>
    <mergeCell ref="B46:B47"/>
    <mergeCell ref="B64:B65"/>
    <mergeCell ref="B66:B67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AK5:AM5"/>
    <mergeCell ref="B8:K8"/>
    <mergeCell ref="B10:B11"/>
    <mergeCell ref="S7:S8"/>
    <mergeCell ref="T7:T8"/>
    <mergeCell ref="L6:Q6"/>
    <mergeCell ref="R7:R8"/>
    <mergeCell ref="B12:B13"/>
    <mergeCell ref="B14:B15"/>
  </mergeCells>
  <pageMargins left="0.51" right="0" top="0.49" bottom="0" header="0.64" footer="0"/>
  <pageSetup paperSize="512" scale="59" fitToHeight="2" orientation="portrait" r:id="rId1"/>
  <headerFooter alignWithMargins="0">
    <oddFooter>&amp;L&amp;F   ALARC Remote Sensing&amp;R&amp;D</oddFooter>
  </headerFooter>
  <rowBreaks count="1" manualBreakCount="1">
    <brk id="37" max="17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48DE-1865-48F9-853B-977796A91D7F}">
  <dimension ref="A1:BZ88"/>
  <sheetViews>
    <sheetView zoomScaleNormal="100" workbookViewId="0"/>
  </sheetViews>
  <sheetFormatPr defaultRowHeight="12.75" x14ac:dyDescent="0.2"/>
  <cols>
    <col min="1" max="1" width="9.140625" style="1"/>
    <col min="2" max="2" width="6.28515625" style="1" customWidth="1"/>
    <col min="3" max="3" width="14.7109375" style="1" customWidth="1"/>
    <col min="4" max="8" width="5.28515625" style="1" hidden="1" customWidth="1"/>
    <col min="9" max="9" width="7" style="1" hidden="1" customWidth="1"/>
    <col min="10" max="17" width="12.7109375" style="1" customWidth="1"/>
    <col min="18" max="18" width="36.140625" style="1" customWidth="1"/>
    <col min="19" max="20" width="10.85546875" style="1" bestFit="1" customWidth="1"/>
    <col min="21" max="26" width="9.140625" style="1"/>
    <col min="27" max="27" width="7.5703125" style="1" customWidth="1"/>
    <col min="28" max="37" width="7.7109375" style="1" customWidth="1"/>
    <col min="38" max="16384" width="9.140625" style="1"/>
  </cols>
  <sheetData>
    <row r="1" spans="1:78" ht="15" customHeight="1" x14ac:dyDescent="0.25">
      <c r="A1" s="41" t="s">
        <v>280</v>
      </c>
    </row>
    <row r="2" spans="1:78" ht="20.100000000000001" customHeight="1" thickBot="1" x14ac:dyDescent="0.3">
      <c r="A2" s="41"/>
      <c r="M2" s="40"/>
      <c r="P2" s="8" t="s">
        <v>279</v>
      </c>
      <c r="Q2" s="39">
        <v>39289</v>
      </c>
      <c r="R2" s="54"/>
    </row>
    <row r="3" spans="1:78" ht="20.100000000000001" customHeight="1" thickBot="1" x14ac:dyDescent="0.25">
      <c r="B3" s="1" t="s">
        <v>278</v>
      </c>
      <c r="D3" s="38"/>
      <c r="E3" s="38"/>
      <c r="F3" s="38"/>
      <c r="G3" s="38"/>
      <c r="H3" s="38"/>
      <c r="I3" s="38"/>
      <c r="J3" s="38" t="s">
        <v>290</v>
      </c>
      <c r="K3" s="38"/>
      <c r="L3" s="38"/>
      <c r="M3" s="38"/>
      <c r="N3" s="38"/>
      <c r="O3" s="38"/>
      <c r="P3" s="8" t="s">
        <v>276</v>
      </c>
      <c r="Q3" s="36">
        <v>207</v>
      </c>
      <c r="R3" s="53"/>
    </row>
    <row r="4" spans="1:78" ht="20.100000000000001" customHeight="1" thickBot="1" x14ac:dyDescent="0.25">
      <c r="B4" s="38" t="s">
        <v>289</v>
      </c>
      <c r="C4" s="38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8" t="s">
        <v>274</v>
      </c>
      <c r="Q4" s="36" t="s">
        <v>286</v>
      </c>
      <c r="R4" s="53"/>
    </row>
    <row r="5" spans="1:78" ht="18" x14ac:dyDescent="0.2">
      <c r="AJ5" s="35"/>
      <c r="AK5" s="99"/>
      <c r="AL5" s="99"/>
      <c r="AM5" s="99"/>
    </row>
    <row r="6" spans="1:78" ht="18" x14ac:dyDescent="0.25">
      <c r="L6" s="109" t="s">
        <v>272</v>
      </c>
      <c r="M6" s="110"/>
      <c r="N6" s="110"/>
      <c r="O6" s="110"/>
      <c r="P6" s="110"/>
      <c r="Q6" s="111"/>
      <c r="R6" s="52"/>
      <c r="AJ6" s="35"/>
      <c r="AK6" s="34"/>
      <c r="AL6" s="34"/>
      <c r="AM6" s="34"/>
    </row>
    <row r="7" spans="1:78" ht="25.5" customHeight="1" x14ac:dyDescent="0.2">
      <c r="B7" s="32" t="s">
        <v>256</v>
      </c>
      <c r="C7" s="33" t="s">
        <v>255</v>
      </c>
      <c r="D7" s="33" t="s">
        <v>271</v>
      </c>
      <c r="E7" s="32" t="s">
        <v>270</v>
      </c>
      <c r="F7" s="33" t="s">
        <v>269</v>
      </c>
      <c r="G7" s="32" t="s">
        <v>268</v>
      </c>
      <c r="H7" s="32" t="s">
        <v>250</v>
      </c>
      <c r="I7" s="32" t="s">
        <v>267</v>
      </c>
      <c r="J7" s="32" t="s">
        <v>248</v>
      </c>
      <c r="K7" s="31" t="s">
        <v>266</v>
      </c>
      <c r="L7" s="30" t="s">
        <v>265</v>
      </c>
      <c r="M7" s="30" t="s">
        <v>264</v>
      </c>
      <c r="N7" s="30" t="s">
        <v>264</v>
      </c>
      <c r="O7" s="30" t="s">
        <v>263</v>
      </c>
      <c r="P7" s="30" t="s">
        <v>262</v>
      </c>
      <c r="Q7" s="30" t="s">
        <v>261</v>
      </c>
      <c r="R7" s="113" t="s">
        <v>285</v>
      </c>
      <c r="S7" s="105" t="s">
        <v>260</v>
      </c>
      <c r="T7" s="113" t="s">
        <v>259</v>
      </c>
      <c r="AJ7" s="29"/>
      <c r="AK7" s="2"/>
      <c r="AL7" s="2"/>
    </row>
    <row r="8" spans="1:78" ht="15.75" customHeight="1" thickBot="1" x14ac:dyDescent="0.25">
      <c r="B8" s="100" t="s">
        <v>258</v>
      </c>
      <c r="C8" s="101"/>
      <c r="D8" s="101"/>
      <c r="E8" s="101"/>
      <c r="F8" s="101"/>
      <c r="G8" s="101"/>
      <c r="H8" s="101"/>
      <c r="I8" s="101"/>
      <c r="J8" s="101"/>
      <c r="K8" s="102"/>
      <c r="L8" s="27" t="s">
        <v>257</v>
      </c>
      <c r="M8" s="27" t="s">
        <v>257</v>
      </c>
      <c r="N8" s="28" t="s">
        <v>257</v>
      </c>
      <c r="O8" s="27" t="s">
        <v>257</v>
      </c>
      <c r="P8" s="27" t="s">
        <v>257</v>
      </c>
      <c r="Q8" s="27" t="s">
        <v>257</v>
      </c>
      <c r="R8" s="114"/>
      <c r="S8" s="106"/>
      <c r="T8" s="121"/>
      <c r="AK8" s="10"/>
      <c r="AL8" s="10"/>
      <c r="AM8" s="10"/>
    </row>
    <row r="9" spans="1:78" ht="15.75" hidden="1" customHeight="1" x14ac:dyDescent="0.2">
      <c r="B9" s="24" t="s">
        <v>256</v>
      </c>
      <c r="C9" s="26" t="s">
        <v>255</v>
      </c>
      <c r="D9" s="26" t="s">
        <v>254</v>
      </c>
      <c r="E9" s="24" t="s">
        <v>253</v>
      </c>
      <c r="F9" s="26" t="s">
        <v>252</v>
      </c>
      <c r="G9" s="24" t="s">
        <v>251</v>
      </c>
      <c r="H9" s="24" t="s">
        <v>250</v>
      </c>
      <c r="I9" s="24" t="s">
        <v>249</v>
      </c>
      <c r="J9" s="23" t="s">
        <v>248</v>
      </c>
      <c r="K9" s="23" t="s">
        <v>247</v>
      </c>
      <c r="L9" s="25" t="s">
        <v>246</v>
      </c>
      <c r="M9" s="25" t="s">
        <v>245</v>
      </c>
      <c r="N9" s="25" t="s">
        <v>244</v>
      </c>
      <c r="O9" s="25" t="s">
        <v>243</v>
      </c>
      <c r="P9" s="25" t="s">
        <v>242</v>
      </c>
      <c r="Q9" s="25" t="s">
        <v>241</v>
      </c>
      <c r="R9" s="51"/>
      <c r="S9" s="24" t="s">
        <v>240</v>
      </c>
      <c r="T9" s="23" t="s">
        <v>239</v>
      </c>
      <c r="AK9" s="10"/>
      <c r="AL9" s="10"/>
      <c r="AM9" s="10"/>
    </row>
    <row r="10" spans="1:78" ht="24" customHeight="1" x14ac:dyDescent="0.2">
      <c r="B10" s="120">
        <v>2</v>
      </c>
      <c r="C10" s="113" t="s">
        <v>308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115">
        <v>1111</v>
      </c>
      <c r="K10" s="5" t="s">
        <v>234</v>
      </c>
      <c r="L10" s="5">
        <v>76</v>
      </c>
      <c r="M10" s="5">
        <v>82</v>
      </c>
      <c r="N10" s="5">
        <v>74</v>
      </c>
      <c r="O10" s="5">
        <v>85</v>
      </c>
      <c r="P10" s="5">
        <v>81</v>
      </c>
      <c r="Q10" s="5">
        <v>70</v>
      </c>
      <c r="R10" s="131" t="s">
        <v>284</v>
      </c>
      <c r="S10" s="43">
        <f t="shared" ref="S10:S41" si="0">AVERAGE(L10:Q10)</f>
        <v>78</v>
      </c>
      <c r="T10" s="43">
        <f t="shared" ref="T10:T41" si="1">STDEV(L10:Q10)/SQRT(6)</f>
        <v>2.294921930407801</v>
      </c>
      <c r="U10" s="7"/>
      <c r="V10" s="7"/>
      <c r="W10" s="7"/>
      <c r="X10" s="7"/>
      <c r="Y10" s="7"/>
      <c r="AK10" s="10"/>
      <c r="AL10" s="10"/>
      <c r="AM10" s="9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</row>
    <row r="11" spans="1:78" ht="24" customHeight="1" thickBot="1" x14ac:dyDescent="0.25">
      <c r="B11" s="116"/>
      <c r="C11" s="114"/>
      <c r="D11" s="12" t="e">
        <v>#N/A</v>
      </c>
      <c r="E11" s="12" t="e">
        <v>#N/A</v>
      </c>
      <c r="F11" s="12" t="e">
        <v>#N/A</v>
      </c>
      <c r="G11" s="12" t="e">
        <v>#N/A</v>
      </c>
      <c r="H11" s="12" t="e">
        <v>#N/A</v>
      </c>
      <c r="I11" s="12" t="e">
        <v>#N/A</v>
      </c>
      <c r="J11" s="116"/>
      <c r="K11" s="12" t="s">
        <v>233</v>
      </c>
      <c r="L11" s="12">
        <v>83</v>
      </c>
      <c r="M11" s="12">
        <v>86</v>
      </c>
      <c r="N11" s="12">
        <v>72</v>
      </c>
      <c r="O11" s="12">
        <v>83</v>
      </c>
      <c r="P11" s="12">
        <v>83</v>
      </c>
      <c r="Q11" s="12">
        <v>73</v>
      </c>
      <c r="R11" s="132"/>
      <c r="S11" s="42">
        <f t="shared" si="0"/>
        <v>80</v>
      </c>
      <c r="T11" s="42">
        <f t="shared" si="1"/>
        <v>2.4221202832779936</v>
      </c>
      <c r="U11" s="7"/>
      <c r="V11" s="7"/>
      <c r="W11" s="7"/>
      <c r="X11" s="7"/>
      <c r="Y11" s="7"/>
      <c r="AK11" s="10"/>
      <c r="AL11" s="10"/>
      <c r="AM11" s="9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</row>
    <row r="12" spans="1:78" ht="24" customHeight="1" x14ac:dyDescent="0.2">
      <c r="B12" s="120">
        <v>4</v>
      </c>
      <c r="C12" s="113" t="s">
        <v>308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117"/>
      <c r="K12" s="22" t="s">
        <v>234</v>
      </c>
      <c r="L12" s="22">
        <v>31</v>
      </c>
      <c r="M12" s="22">
        <v>58</v>
      </c>
      <c r="N12" s="22">
        <v>51</v>
      </c>
      <c r="O12" s="22">
        <v>73</v>
      </c>
      <c r="P12" s="22">
        <v>64</v>
      </c>
      <c r="Q12" s="22">
        <v>59</v>
      </c>
      <c r="R12" s="132"/>
      <c r="S12" s="43">
        <f t="shared" si="0"/>
        <v>56</v>
      </c>
      <c r="T12" s="43">
        <f t="shared" si="1"/>
        <v>5.8195074247453862</v>
      </c>
      <c r="U12" s="7"/>
      <c r="V12" s="20"/>
      <c r="W12" s="7"/>
      <c r="X12" s="19"/>
      <c r="Y12" s="7"/>
      <c r="AK12" s="10"/>
      <c r="AL12" s="10"/>
      <c r="AM12" s="10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</row>
    <row r="13" spans="1:78" ht="24" customHeight="1" thickBot="1" x14ac:dyDescent="0.25">
      <c r="B13" s="116"/>
      <c r="C13" s="114"/>
      <c r="D13" s="12" t="e">
        <v>#N/A</v>
      </c>
      <c r="E13" s="12" t="e">
        <v>#N/A</v>
      </c>
      <c r="F13" s="12" t="e">
        <v>#N/A</v>
      </c>
      <c r="G13" s="12" t="e">
        <v>#N/A</v>
      </c>
      <c r="H13" s="12" t="e">
        <v>#N/A</v>
      </c>
      <c r="I13" s="12" t="e">
        <v>#N/A</v>
      </c>
      <c r="J13" s="116"/>
      <c r="K13" s="12" t="s">
        <v>233</v>
      </c>
      <c r="L13" s="12">
        <v>39</v>
      </c>
      <c r="M13" s="12">
        <v>67</v>
      </c>
      <c r="N13" s="12">
        <v>62</v>
      </c>
      <c r="O13" s="12">
        <v>72</v>
      </c>
      <c r="P13" s="12">
        <v>63</v>
      </c>
      <c r="Q13" s="12">
        <v>57</v>
      </c>
      <c r="R13" s="133"/>
      <c r="S13" s="42">
        <f t="shared" si="0"/>
        <v>60</v>
      </c>
      <c r="T13" s="42">
        <f t="shared" si="1"/>
        <v>4.6761807778000488</v>
      </c>
      <c r="U13" s="7"/>
      <c r="V13" s="7"/>
      <c r="W13" s="7"/>
      <c r="X13" s="7"/>
      <c r="Y13" s="7"/>
      <c r="AK13" s="10"/>
      <c r="AL13" s="10"/>
      <c r="AM13" s="9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</row>
    <row r="14" spans="1:78" ht="24" customHeight="1" x14ac:dyDescent="0.2">
      <c r="B14" s="120">
        <v>5</v>
      </c>
      <c r="C14" s="113" t="s">
        <v>308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117"/>
      <c r="K14" s="5" t="s">
        <v>234</v>
      </c>
      <c r="L14" s="5">
        <v>66</v>
      </c>
      <c r="M14" s="5">
        <v>69</v>
      </c>
      <c r="N14" s="5">
        <v>58</v>
      </c>
      <c r="O14" s="5">
        <v>65</v>
      </c>
      <c r="P14" s="5">
        <v>46</v>
      </c>
      <c r="Q14" s="5">
        <v>67</v>
      </c>
      <c r="R14" s="129"/>
      <c r="S14" s="43">
        <f t="shared" si="0"/>
        <v>61.833333333333336</v>
      </c>
      <c r="T14" s="43">
        <f t="shared" si="1"/>
        <v>3.515837184954826</v>
      </c>
      <c r="U14" s="7"/>
      <c r="V14" s="7"/>
      <c r="W14" s="7"/>
      <c r="X14" s="7"/>
      <c r="Y14" s="7"/>
      <c r="AK14" s="10"/>
      <c r="AL14" s="10"/>
      <c r="AM14" s="10"/>
    </row>
    <row r="15" spans="1:78" ht="24" customHeight="1" thickBot="1" x14ac:dyDescent="0.25">
      <c r="B15" s="116"/>
      <c r="C15" s="114"/>
      <c r="D15" s="12" t="e">
        <v>#N/A</v>
      </c>
      <c r="E15" s="12" t="e">
        <v>#N/A</v>
      </c>
      <c r="F15" s="12" t="e">
        <v>#N/A</v>
      </c>
      <c r="G15" s="12" t="e">
        <v>#N/A</v>
      </c>
      <c r="H15" s="12" t="e">
        <v>#N/A</v>
      </c>
      <c r="I15" s="12" t="e">
        <v>#N/A</v>
      </c>
      <c r="J15" s="116"/>
      <c r="K15" s="12" t="s">
        <v>233</v>
      </c>
      <c r="L15" s="12">
        <v>65</v>
      </c>
      <c r="M15" s="12">
        <v>61</v>
      </c>
      <c r="N15" s="12">
        <v>66</v>
      </c>
      <c r="O15" s="12">
        <v>75</v>
      </c>
      <c r="P15" s="12">
        <v>51</v>
      </c>
      <c r="Q15" s="12">
        <v>71</v>
      </c>
      <c r="R15" s="130"/>
      <c r="S15" s="42">
        <f t="shared" si="0"/>
        <v>64.833333333333329</v>
      </c>
      <c r="T15" s="42">
        <f t="shared" si="1"/>
        <v>3.4099527530125311</v>
      </c>
      <c r="U15" s="7"/>
      <c r="V15" s="7"/>
      <c r="W15" s="7"/>
      <c r="X15" s="7"/>
      <c r="Y15" s="7"/>
      <c r="AK15" s="10"/>
      <c r="AL15" s="10"/>
      <c r="AM15" s="9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</row>
    <row r="16" spans="1:78" ht="24" customHeight="1" x14ac:dyDescent="0.2">
      <c r="B16" s="120">
        <v>6</v>
      </c>
      <c r="C16" s="113" t="s">
        <v>308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117"/>
      <c r="K16" s="5" t="s">
        <v>234</v>
      </c>
      <c r="L16" s="5">
        <v>75</v>
      </c>
      <c r="M16" s="5">
        <v>50</v>
      </c>
      <c r="N16" s="5">
        <v>62</v>
      </c>
      <c r="O16" s="5">
        <v>74</v>
      </c>
      <c r="P16" s="5">
        <v>65</v>
      </c>
      <c r="Q16" s="5">
        <v>51</v>
      </c>
      <c r="R16" s="129"/>
      <c r="S16" s="43">
        <f t="shared" si="0"/>
        <v>62.833333333333336</v>
      </c>
      <c r="T16" s="43">
        <f t="shared" si="1"/>
        <v>4.4076952909403504</v>
      </c>
      <c r="U16" s="7"/>
      <c r="V16" s="7"/>
      <c r="W16" s="7"/>
      <c r="X16" s="7"/>
      <c r="Y16" s="7"/>
    </row>
    <row r="17" spans="2:78" ht="24" customHeight="1" thickBot="1" x14ac:dyDescent="0.25">
      <c r="B17" s="116"/>
      <c r="C17" s="114"/>
      <c r="D17" s="12" t="e">
        <v>#N/A</v>
      </c>
      <c r="E17" s="12" t="e">
        <v>#N/A</v>
      </c>
      <c r="F17" s="12" t="e">
        <v>#N/A</v>
      </c>
      <c r="G17" s="12" t="e">
        <v>#N/A</v>
      </c>
      <c r="H17" s="12" t="e">
        <v>#N/A</v>
      </c>
      <c r="I17" s="12" t="e">
        <v>#N/A</v>
      </c>
      <c r="J17" s="116"/>
      <c r="K17" s="12" t="s">
        <v>233</v>
      </c>
      <c r="L17" s="12">
        <v>84</v>
      </c>
      <c r="M17" s="12">
        <v>60</v>
      </c>
      <c r="N17" s="12">
        <v>66</v>
      </c>
      <c r="O17" s="12">
        <v>73</v>
      </c>
      <c r="P17" s="12">
        <v>68</v>
      </c>
      <c r="Q17" s="12">
        <v>72</v>
      </c>
      <c r="R17" s="130"/>
      <c r="S17" s="42">
        <f t="shared" si="0"/>
        <v>70.5</v>
      </c>
      <c r="T17" s="42">
        <f t="shared" si="1"/>
        <v>3.3040379335998353</v>
      </c>
      <c r="U17" s="7"/>
      <c r="V17" s="7"/>
      <c r="W17" s="7"/>
      <c r="X17" s="7"/>
      <c r="Y17" s="7"/>
      <c r="AK17" s="10"/>
      <c r="AL17" s="10"/>
      <c r="AM17" s="9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</row>
    <row r="18" spans="2:78" ht="24" customHeight="1" x14ac:dyDescent="0.2">
      <c r="B18" s="120">
        <v>7</v>
      </c>
      <c r="C18" s="113" t="s">
        <v>308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117"/>
      <c r="K18" s="5" t="s">
        <v>234</v>
      </c>
      <c r="L18" s="49">
        <v>72</v>
      </c>
      <c r="M18" s="49">
        <v>79</v>
      </c>
      <c r="N18" s="49">
        <v>72</v>
      </c>
      <c r="O18" s="49">
        <v>79</v>
      </c>
      <c r="P18" s="49">
        <v>56</v>
      </c>
      <c r="Q18" s="49">
        <v>52</v>
      </c>
      <c r="R18" s="129"/>
      <c r="S18" s="43">
        <f t="shared" si="0"/>
        <v>68.333333333333329</v>
      </c>
      <c r="T18" s="43">
        <f t="shared" si="1"/>
        <v>4.7375568011839615</v>
      </c>
      <c r="U18" s="7"/>
      <c r="V18" s="7"/>
      <c r="W18" s="7"/>
      <c r="X18" s="7"/>
      <c r="Y18" s="7"/>
      <c r="AK18" s="10"/>
      <c r="AL18" s="10"/>
      <c r="AM18" s="10"/>
    </row>
    <row r="19" spans="2:78" ht="24" customHeight="1" thickBot="1" x14ac:dyDescent="0.25">
      <c r="B19" s="116"/>
      <c r="C19" s="114"/>
      <c r="D19" s="12" t="e">
        <v>#N/A</v>
      </c>
      <c r="E19" s="12" t="e">
        <v>#N/A</v>
      </c>
      <c r="F19" s="12" t="e">
        <v>#N/A</v>
      </c>
      <c r="G19" s="12" t="e">
        <v>#N/A</v>
      </c>
      <c r="H19" s="12" t="e">
        <v>#N/A</v>
      </c>
      <c r="I19" s="12" t="e">
        <v>#N/A</v>
      </c>
      <c r="J19" s="116"/>
      <c r="K19" s="12" t="s">
        <v>233</v>
      </c>
      <c r="L19" s="12">
        <v>78</v>
      </c>
      <c r="M19" s="12">
        <v>75</v>
      </c>
      <c r="N19" s="12">
        <v>81</v>
      </c>
      <c r="O19" s="12">
        <v>79</v>
      </c>
      <c r="P19" s="12">
        <v>66</v>
      </c>
      <c r="Q19" s="12">
        <v>72</v>
      </c>
      <c r="R19" s="130"/>
      <c r="S19" s="42">
        <f t="shared" si="0"/>
        <v>75.166666666666671</v>
      </c>
      <c r="T19" s="42">
        <f t="shared" si="1"/>
        <v>2.2422706745122851</v>
      </c>
      <c r="U19" s="7"/>
      <c r="V19" s="7"/>
      <c r="W19" s="7"/>
      <c r="X19" s="7"/>
      <c r="Y19" s="7"/>
      <c r="AK19" s="10"/>
      <c r="AL19" s="10"/>
      <c r="AM19" s="9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</row>
    <row r="20" spans="2:78" ht="24" customHeight="1" x14ac:dyDescent="0.2">
      <c r="B20" s="120">
        <v>8</v>
      </c>
      <c r="C20" s="113" t="s">
        <v>308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117"/>
      <c r="K20" s="5" t="s">
        <v>234</v>
      </c>
      <c r="L20" s="49">
        <v>51</v>
      </c>
      <c r="M20" s="49">
        <v>56</v>
      </c>
      <c r="N20" s="49">
        <v>41</v>
      </c>
      <c r="O20" s="49">
        <v>57</v>
      </c>
      <c r="P20" s="49">
        <v>32</v>
      </c>
      <c r="Q20" s="49">
        <v>54</v>
      </c>
      <c r="R20" s="129"/>
      <c r="S20" s="43">
        <f t="shared" si="0"/>
        <v>48.5</v>
      </c>
      <c r="T20" s="43">
        <f t="shared" si="1"/>
        <v>4.0558599581346497</v>
      </c>
      <c r="U20" s="7"/>
      <c r="V20" s="7"/>
      <c r="W20" s="7"/>
      <c r="X20" s="7"/>
      <c r="Y20" s="7"/>
      <c r="AK20" s="10"/>
      <c r="AL20" s="10"/>
      <c r="AM20" s="10"/>
    </row>
    <row r="21" spans="2:78" ht="24" customHeight="1" thickBot="1" x14ac:dyDescent="0.25">
      <c r="B21" s="116"/>
      <c r="C21" s="114"/>
      <c r="D21" s="12" t="e">
        <v>#N/A</v>
      </c>
      <c r="E21" s="12" t="e">
        <v>#N/A</v>
      </c>
      <c r="F21" s="12" t="e">
        <v>#N/A</v>
      </c>
      <c r="G21" s="12" t="e">
        <v>#N/A</v>
      </c>
      <c r="H21" s="12" t="e">
        <v>#N/A</v>
      </c>
      <c r="I21" s="12" t="e">
        <v>#N/A</v>
      </c>
      <c r="J21" s="116"/>
      <c r="K21" s="12" t="s">
        <v>233</v>
      </c>
      <c r="L21" s="12">
        <v>61</v>
      </c>
      <c r="M21" s="12">
        <v>57</v>
      </c>
      <c r="N21" s="12">
        <v>45</v>
      </c>
      <c r="O21" s="12">
        <v>64</v>
      </c>
      <c r="P21" s="12">
        <v>46</v>
      </c>
      <c r="Q21" s="12">
        <v>50</v>
      </c>
      <c r="R21" s="130"/>
      <c r="S21" s="42">
        <f t="shared" si="0"/>
        <v>53.833333333333336</v>
      </c>
      <c r="T21" s="42">
        <f t="shared" si="1"/>
        <v>3.260027266416301</v>
      </c>
      <c r="U21" s="7"/>
      <c r="V21" s="7"/>
      <c r="W21" s="7"/>
      <c r="X21" s="7"/>
      <c r="Y21" s="7"/>
      <c r="AK21" s="10"/>
      <c r="AL21" s="10"/>
      <c r="AM21" s="9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</row>
    <row r="22" spans="2:78" ht="24" customHeight="1" x14ac:dyDescent="0.2">
      <c r="B22" s="120">
        <v>18</v>
      </c>
      <c r="C22" s="113" t="s">
        <v>238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118">
        <v>1129</v>
      </c>
      <c r="K22" s="5" t="s">
        <v>234</v>
      </c>
      <c r="L22" s="5">
        <v>72</v>
      </c>
      <c r="M22" s="5">
        <v>78</v>
      </c>
      <c r="N22" s="5">
        <v>62</v>
      </c>
      <c r="O22" s="5">
        <v>56</v>
      </c>
      <c r="P22" s="5">
        <v>45</v>
      </c>
      <c r="Q22" s="5">
        <v>61</v>
      </c>
      <c r="R22" s="129"/>
      <c r="S22" s="43">
        <f t="shared" si="0"/>
        <v>62.333333333333336</v>
      </c>
      <c r="T22" s="43">
        <f t="shared" si="1"/>
        <v>4.7656176001764008</v>
      </c>
      <c r="U22" s="7"/>
      <c r="V22" s="7"/>
      <c r="W22" s="7"/>
      <c r="X22" s="7"/>
      <c r="Y22" s="7"/>
      <c r="AK22" s="10"/>
      <c r="AL22" s="10"/>
      <c r="AM22" s="10"/>
    </row>
    <row r="23" spans="2:78" ht="24" customHeight="1" thickBot="1" x14ac:dyDescent="0.25">
      <c r="B23" s="116"/>
      <c r="C23" s="114"/>
      <c r="D23" s="12" t="e">
        <v>#N/A</v>
      </c>
      <c r="E23" s="12" t="e">
        <v>#N/A</v>
      </c>
      <c r="F23" s="12" t="e">
        <v>#N/A</v>
      </c>
      <c r="G23" s="12" t="e">
        <v>#N/A</v>
      </c>
      <c r="H23" s="12" t="e">
        <v>#N/A</v>
      </c>
      <c r="I23" s="12" t="e">
        <v>#N/A</v>
      </c>
      <c r="J23" s="116"/>
      <c r="K23" s="12" t="s">
        <v>233</v>
      </c>
      <c r="L23" s="12">
        <v>86</v>
      </c>
      <c r="M23" s="12">
        <v>78</v>
      </c>
      <c r="N23" s="12">
        <v>69</v>
      </c>
      <c r="O23" s="12">
        <v>64</v>
      </c>
      <c r="P23" s="12">
        <v>63</v>
      </c>
      <c r="Q23" s="12">
        <v>69</v>
      </c>
      <c r="R23" s="130"/>
      <c r="S23" s="42">
        <f t="shared" si="0"/>
        <v>71.5</v>
      </c>
      <c r="T23" s="42">
        <f t="shared" si="1"/>
        <v>3.6216938946667856</v>
      </c>
      <c r="U23" s="7"/>
      <c r="V23" s="7"/>
      <c r="W23" s="7"/>
      <c r="X23" s="7"/>
      <c r="Y23" s="7"/>
      <c r="AK23" s="10"/>
      <c r="AL23" s="10"/>
      <c r="AM23" s="9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</row>
    <row r="24" spans="2:78" ht="24" customHeight="1" x14ac:dyDescent="0.2">
      <c r="B24" s="120">
        <v>17</v>
      </c>
      <c r="C24" s="113" t="s">
        <v>309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117"/>
      <c r="K24" s="5" t="s">
        <v>234</v>
      </c>
      <c r="L24" s="5">
        <v>67</v>
      </c>
      <c r="M24" s="5">
        <v>58</v>
      </c>
      <c r="N24" s="5">
        <v>67</v>
      </c>
      <c r="O24" s="5">
        <v>73</v>
      </c>
      <c r="P24" s="5">
        <v>71</v>
      </c>
      <c r="Q24" s="5">
        <v>72</v>
      </c>
      <c r="R24" s="129"/>
      <c r="S24" s="43">
        <f t="shared" si="0"/>
        <v>68</v>
      </c>
      <c r="T24" s="43">
        <f t="shared" si="1"/>
        <v>2.2509257354845511</v>
      </c>
      <c r="U24" s="7"/>
      <c r="V24" s="7"/>
      <c r="W24" s="7"/>
      <c r="X24" s="7"/>
      <c r="Y24" s="7"/>
      <c r="AK24" s="2"/>
      <c r="AL24" s="2"/>
      <c r="AM24" s="2"/>
    </row>
    <row r="25" spans="2:78" ht="24" customHeight="1" thickBot="1" x14ac:dyDescent="0.25">
      <c r="B25" s="116"/>
      <c r="C25" s="114"/>
      <c r="D25" s="12" t="e">
        <v>#N/A</v>
      </c>
      <c r="E25" s="12" t="e">
        <v>#N/A</v>
      </c>
      <c r="F25" s="12" t="e">
        <v>#N/A</v>
      </c>
      <c r="G25" s="12" t="e">
        <v>#N/A</v>
      </c>
      <c r="H25" s="12" t="e">
        <v>#N/A</v>
      </c>
      <c r="I25" s="12" t="e">
        <v>#N/A</v>
      </c>
      <c r="J25" s="116"/>
      <c r="K25" s="12" t="s">
        <v>233</v>
      </c>
      <c r="L25" s="12">
        <v>78</v>
      </c>
      <c r="M25" s="12">
        <v>71</v>
      </c>
      <c r="N25" s="12">
        <v>66</v>
      </c>
      <c r="O25" s="12">
        <v>83</v>
      </c>
      <c r="P25" s="12">
        <v>82</v>
      </c>
      <c r="Q25" s="12">
        <v>70</v>
      </c>
      <c r="R25" s="130"/>
      <c r="S25" s="42">
        <f t="shared" si="0"/>
        <v>75</v>
      </c>
      <c r="T25" s="42">
        <f t="shared" si="1"/>
        <v>2.8518999514943251</v>
      </c>
      <c r="U25" s="7"/>
      <c r="V25" s="7"/>
      <c r="W25" s="7"/>
      <c r="X25" s="7"/>
      <c r="Y25" s="7"/>
      <c r="AK25" s="10"/>
      <c r="AL25" s="10"/>
      <c r="AM25" s="9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</row>
    <row r="26" spans="2:78" ht="24" customHeight="1" x14ac:dyDescent="0.2">
      <c r="B26" s="122">
        <v>16</v>
      </c>
      <c r="C26" s="113" t="s">
        <v>310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117"/>
      <c r="K26" s="5" t="s">
        <v>234</v>
      </c>
      <c r="L26" s="5">
        <v>61</v>
      </c>
      <c r="M26" s="5">
        <v>45</v>
      </c>
      <c r="N26" s="5">
        <v>62</v>
      </c>
      <c r="O26" s="5">
        <v>64</v>
      </c>
      <c r="P26" s="5">
        <v>54</v>
      </c>
      <c r="Q26" s="5">
        <v>64</v>
      </c>
      <c r="R26" s="129"/>
      <c r="S26" s="43">
        <f t="shared" si="0"/>
        <v>58.333333333333336</v>
      </c>
      <c r="T26" s="43">
        <f t="shared" si="1"/>
        <v>3.0623157540948873</v>
      </c>
      <c r="U26" s="7"/>
      <c r="V26" s="7"/>
      <c r="W26" s="7"/>
      <c r="X26" s="7"/>
      <c r="Y26" s="7"/>
      <c r="AK26" s="10"/>
      <c r="AL26" s="10"/>
      <c r="AM26" s="10"/>
    </row>
    <row r="27" spans="2:78" ht="24" customHeight="1" thickBot="1" x14ac:dyDescent="0.25">
      <c r="B27" s="116"/>
      <c r="C27" s="114"/>
      <c r="D27" s="12" t="e">
        <v>#N/A</v>
      </c>
      <c r="E27" s="12" t="e">
        <v>#N/A</v>
      </c>
      <c r="F27" s="12" t="e">
        <v>#N/A</v>
      </c>
      <c r="G27" s="12" t="e">
        <v>#N/A</v>
      </c>
      <c r="H27" s="12" t="e">
        <v>#N/A</v>
      </c>
      <c r="I27" s="12" t="e">
        <v>#N/A</v>
      </c>
      <c r="J27" s="116"/>
      <c r="K27" s="12" t="s">
        <v>233</v>
      </c>
      <c r="L27" s="12">
        <v>72</v>
      </c>
      <c r="M27" s="12">
        <v>64</v>
      </c>
      <c r="N27" s="12">
        <v>86</v>
      </c>
      <c r="O27" s="12">
        <v>78</v>
      </c>
      <c r="P27" s="12">
        <v>62</v>
      </c>
      <c r="Q27" s="12">
        <v>76</v>
      </c>
      <c r="R27" s="130"/>
      <c r="S27" s="42">
        <f t="shared" si="0"/>
        <v>73</v>
      </c>
      <c r="T27" s="42">
        <f t="shared" si="1"/>
        <v>3.6787679096857056</v>
      </c>
      <c r="U27" s="7"/>
      <c r="V27" s="7"/>
      <c r="W27" s="7"/>
      <c r="X27" s="7"/>
      <c r="Y27" s="7"/>
      <c r="AK27" s="10"/>
      <c r="AL27" s="10"/>
      <c r="AM27" s="9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</row>
    <row r="28" spans="2:78" ht="24" customHeight="1" x14ac:dyDescent="0.2">
      <c r="B28" s="122">
        <v>15</v>
      </c>
      <c r="C28" s="113" t="s">
        <v>311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117"/>
      <c r="K28" s="5" t="s">
        <v>234</v>
      </c>
      <c r="L28" s="5">
        <v>77</v>
      </c>
      <c r="M28" s="5">
        <v>61</v>
      </c>
      <c r="N28" s="5">
        <v>76</v>
      </c>
      <c r="O28" s="45">
        <v>59</v>
      </c>
      <c r="P28" s="5">
        <v>64</v>
      </c>
      <c r="Q28" s="5">
        <v>69</v>
      </c>
      <c r="R28" s="129"/>
      <c r="S28" s="43">
        <f t="shared" si="0"/>
        <v>67.666666666666671</v>
      </c>
      <c r="T28" s="43">
        <f t="shared" si="1"/>
        <v>3.1162655713387255</v>
      </c>
      <c r="U28" s="7"/>
      <c r="V28" s="7"/>
      <c r="W28" s="7"/>
      <c r="X28" s="7"/>
      <c r="Y28" s="7"/>
    </row>
    <row r="29" spans="2:78" ht="24" customHeight="1" thickBot="1" x14ac:dyDescent="0.25">
      <c r="B29" s="116"/>
      <c r="C29" s="114"/>
      <c r="D29" s="12" t="e">
        <v>#N/A</v>
      </c>
      <c r="E29" s="12" t="e">
        <v>#N/A</v>
      </c>
      <c r="F29" s="12" t="e">
        <v>#N/A</v>
      </c>
      <c r="G29" s="12" t="e">
        <v>#N/A</v>
      </c>
      <c r="H29" s="12" t="e">
        <v>#N/A</v>
      </c>
      <c r="I29" s="12" t="e">
        <v>#N/A</v>
      </c>
      <c r="J29" s="116"/>
      <c r="K29" s="12" t="s">
        <v>233</v>
      </c>
      <c r="L29" s="12">
        <v>88</v>
      </c>
      <c r="M29" s="12">
        <v>74</v>
      </c>
      <c r="N29" s="12">
        <v>81</v>
      </c>
      <c r="O29" s="46">
        <v>76</v>
      </c>
      <c r="P29" s="12">
        <v>81</v>
      </c>
      <c r="Q29" s="12">
        <v>70</v>
      </c>
      <c r="R29" s="130"/>
      <c r="S29" s="42">
        <f t="shared" si="0"/>
        <v>78.333333333333329</v>
      </c>
      <c r="T29" s="42">
        <f t="shared" si="1"/>
        <v>2.5905812303633935</v>
      </c>
      <c r="U29" s="7"/>
      <c r="V29" s="7"/>
      <c r="W29" s="7"/>
      <c r="X29" s="7"/>
      <c r="Y29" s="7"/>
      <c r="AK29" s="10"/>
      <c r="AL29" s="10"/>
      <c r="AM29" s="9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</row>
    <row r="30" spans="2:78" ht="24" customHeight="1" x14ac:dyDescent="0.2">
      <c r="B30" s="122">
        <v>14</v>
      </c>
      <c r="C30" s="113" t="s">
        <v>310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117"/>
      <c r="K30" s="5" t="s">
        <v>234</v>
      </c>
      <c r="L30" s="5">
        <v>57</v>
      </c>
      <c r="M30" s="5">
        <v>65</v>
      </c>
      <c r="N30" s="5">
        <v>71</v>
      </c>
      <c r="O30" s="5">
        <v>45</v>
      </c>
      <c r="P30" s="5">
        <v>60</v>
      </c>
      <c r="Q30" s="5">
        <v>57</v>
      </c>
      <c r="R30" s="129"/>
      <c r="S30" s="43">
        <f t="shared" si="0"/>
        <v>59.166666666666664</v>
      </c>
      <c r="T30" s="43">
        <f t="shared" si="1"/>
        <v>3.581588722589145</v>
      </c>
      <c r="U30" s="7"/>
      <c r="V30" s="7"/>
      <c r="W30" s="7"/>
      <c r="X30" s="7"/>
      <c r="Y30" s="7"/>
    </row>
    <row r="31" spans="2:78" ht="24" customHeight="1" thickBot="1" x14ac:dyDescent="0.25">
      <c r="B31" s="116"/>
      <c r="C31" s="114"/>
      <c r="D31" s="12" t="e">
        <v>#N/A</v>
      </c>
      <c r="E31" s="12" t="e">
        <v>#N/A</v>
      </c>
      <c r="F31" s="12" t="e">
        <v>#N/A</v>
      </c>
      <c r="G31" s="12" t="e">
        <v>#N/A</v>
      </c>
      <c r="H31" s="12" t="e">
        <v>#N/A</v>
      </c>
      <c r="I31" s="12" t="e">
        <v>#N/A</v>
      </c>
      <c r="J31" s="116"/>
      <c r="K31" s="12" t="s">
        <v>233</v>
      </c>
      <c r="L31" s="12">
        <v>68</v>
      </c>
      <c r="M31" s="12">
        <v>63</v>
      </c>
      <c r="N31" s="12">
        <v>72</v>
      </c>
      <c r="O31" s="12">
        <v>66</v>
      </c>
      <c r="P31" s="12">
        <v>71</v>
      </c>
      <c r="Q31" s="12">
        <v>73</v>
      </c>
      <c r="R31" s="130"/>
      <c r="S31" s="42">
        <f t="shared" si="0"/>
        <v>68.833333333333329</v>
      </c>
      <c r="T31" s="42">
        <f t="shared" si="1"/>
        <v>1.5793810320642847</v>
      </c>
      <c r="U31" s="7"/>
      <c r="V31" s="7"/>
      <c r="W31" s="7"/>
      <c r="X31" s="7"/>
      <c r="Y31" s="7"/>
      <c r="AK31" s="10"/>
      <c r="AL31" s="10"/>
      <c r="AM31" s="9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</row>
    <row r="32" spans="2:78" ht="24" customHeight="1" x14ac:dyDescent="0.2">
      <c r="B32" s="122">
        <v>13</v>
      </c>
      <c r="C32" s="113" t="s">
        <v>312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117"/>
      <c r="K32" s="5" t="s">
        <v>234</v>
      </c>
      <c r="L32" s="5">
        <v>72</v>
      </c>
      <c r="M32" s="5">
        <v>59</v>
      </c>
      <c r="N32" s="5">
        <v>70</v>
      </c>
      <c r="O32" s="5">
        <v>65</v>
      </c>
      <c r="P32" s="5">
        <v>83</v>
      </c>
      <c r="Q32" s="5">
        <v>68</v>
      </c>
      <c r="R32" s="129"/>
      <c r="S32" s="43">
        <f t="shared" si="0"/>
        <v>69.5</v>
      </c>
      <c r="T32" s="43">
        <f t="shared" si="1"/>
        <v>3.2736320298204968</v>
      </c>
      <c r="U32" s="7"/>
      <c r="V32" s="7"/>
      <c r="W32" s="7"/>
      <c r="X32" s="7"/>
      <c r="Y32" s="7"/>
    </row>
    <row r="33" spans="2:78" ht="24" customHeight="1" thickBot="1" x14ac:dyDescent="0.25">
      <c r="B33" s="116"/>
      <c r="C33" s="114"/>
      <c r="D33" s="12" t="e">
        <v>#N/A</v>
      </c>
      <c r="E33" s="12" t="e">
        <v>#N/A</v>
      </c>
      <c r="F33" s="12" t="e">
        <v>#N/A</v>
      </c>
      <c r="G33" s="12" t="e">
        <v>#N/A</v>
      </c>
      <c r="H33" s="12" t="e">
        <v>#N/A</v>
      </c>
      <c r="I33" s="12" t="e">
        <v>#N/A</v>
      </c>
      <c r="J33" s="116"/>
      <c r="K33" s="12" t="s">
        <v>233</v>
      </c>
      <c r="L33" s="12">
        <v>79</v>
      </c>
      <c r="M33" s="12">
        <v>67</v>
      </c>
      <c r="N33" s="12">
        <v>74</v>
      </c>
      <c r="O33" s="12">
        <v>77</v>
      </c>
      <c r="P33" s="12">
        <v>80</v>
      </c>
      <c r="Q33" s="12">
        <v>80</v>
      </c>
      <c r="R33" s="130"/>
      <c r="S33" s="42">
        <f t="shared" si="0"/>
        <v>76.166666666666671</v>
      </c>
      <c r="T33" s="42">
        <f t="shared" si="1"/>
        <v>2.0561560684388183</v>
      </c>
      <c r="U33" s="7"/>
      <c r="V33" s="7"/>
      <c r="W33" s="7"/>
      <c r="X33" s="7"/>
      <c r="Y33" s="7"/>
      <c r="AK33" s="10"/>
      <c r="AL33" s="10"/>
      <c r="AM33" s="9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</row>
    <row r="34" spans="2:78" ht="24" customHeight="1" x14ac:dyDescent="0.2">
      <c r="B34" s="122">
        <v>12</v>
      </c>
      <c r="C34" s="113" t="s">
        <v>236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117"/>
      <c r="K34" s="5" t="s">
        <v>234</v>
      </c>
      <c r="L34" s="5">
        <v>67</v>
      </c>
      <c r="M34" s="5">
        <v>75</v>
      </c>
      <c r="N34" s="5">
        <v>80</v>
      </c>
      <c r="O34" s="5">
        <v>76</v>
      </c>
      <c r="P34" s="5">
        <v>72</v>
      </c>
      <c r="Q34" s="5">
        <v>74</v>
      </c>
      <c r="R34" s="129"/>
      <c r="S34" s="43">
        <f t="shared" si="0"/>
        <v>74</v>
      </c>
      <c r="T34" s="43">
        <f t="shared" si="1"/>
        <v>1.7701224063135674</v>
      </c>
      <c r="U34" s="7"/>
      <c r="V34" s="7"/>
      <c r="W34" s="7"/>
      <c r="X34" s="7"/>
      <c r="Y34" s="7"/>
    </row>
    <row r="35" spans="2:78" ht="24" customHeight="1" thickBot="1" x14ac:dyDescent="0.25">
      <c r="B35" s="116"/>
      <c r="C35" s="114"/>
      <c r="D35" s="12" t="e">
        <v>#N/A</v>
      </c>
      <c r="E35" s="12" t="e">
        <v>#N/A</v>
      </c>
      <c r="F35" s="12" t="e">
        <v>#N/A</v>
      </c>
      <c r="G35" s="12" t="e">
        <v>#N/A</v>
      </c>
      <c r="H35" s="12" t="e">
        <v>#N/A</v>
      </c>
      <c r="I35" s="12" t="e">
        <v>#N/A</v>
      </c>
      <c r="J35" s="116"/>
      <c r="K35" s="12" t="s">
        <v>233</v>
      </c>
      <c r="L35" s="12">
        <v>68</v>
      </c>
      <c r="M35" s="12">
        <v>69</v>
      </c>
      <c r="N35" s="12">
        <v>75</v>
      </c>
      <c r="O35" s="12">
        <v>77</v>
      </c>
      <c r="P35" s="12">
        <v>80</v>
      </c>
      <c r="Q35" s="12">
        <v>82</v>
      </c>
      <c r="R35" s="130"/>
      <c r="S35" s="42">
        <f t="shared" si="0"/>
        <v>75.166666666666671</v>
      </c>
      <c r="T35" s="42">
        <f t="shared" si="1"/>
        <v>2.3297591673342075</v>
      </c>
      <c r="U35" s="7"/>
      <c r="V35" s="7"/>
      <c r="W35" s="7"/>
      <c r="X35" s="7"/>
      <c r="Y35" s="7"/>
      <c r="AK35" s="10"/>
      <c r="AL35" s="10"/>
      <c r="AM35" s="9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</row>
    <row r="36" spans="2:78" ht="24" customHeight="1" x14ac:dyDescent="0.2">
      <c r="B36" s="122">
        <v>11</v>
      </c>
      <c r="C36" s="113" t="s">
        <v>311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117"/>
      <c r="K36" s="5" t="s">
        <v>234</v>
      </c>
      <c r="L36" s="45">
        <v>69</v>
      </c>
      <c r="M36" s="5">
        <v>71</v>
      </c>
      <c r="N36" s="5">
        <v>77</v>
      </c>
      <c r="O36" s="5">
        <v>73</v>
      </c>
      <c r="P36" s="5">
        <v>67</v>
      </c>
      <c r="Q36" s="5">
        <v>73</v>
      </c>
      <c r="R36" s="129"/>
      <c r="S36" s="43">
        <f t="shared" si="0"/>
        <v>71.666666666666671</v>
      </c>
      <c r="T36" s="43">
        <f t="shared" si="1"/>
        <v>1.4298407059684812</v>
      </c>
      <c r="U36" s="7"/>
      <c r="V36" s="7"/>
      <c r="W36" s="7"/>
      <c r="X36" s="7"/>
      <c r="Y36" s="7"/>
    </row>
    <row r="37" spans="2:78" ht="24" customHeight="1" thickBot="1" x14ac:dyDescent="0.25">
      <c r="B37" s="116"/>
      <c r="C37" s="114"/>
      <c r="D37" s="12" t="e">
        <v>#N/A</v>
      </c>
      <c r="E37" s="12" t="e">
        <v>#N/A</v>
      </c>
      <c r="F37" s="12" t="e">
        <v>#N/A</v>
      </c>
      <c r="G37" s="12" t="e">
        <v>#N/A</v>
      </c>
      <c r="H37" s="12" t="e">
        <v>#N/A</v>
      </c>
      <c r="I37" s="12" t="e">
        <v>#N/A</v>
      </c>
      <c r="J37" s="116"/>
      <c r="K37" s="12" t="s">
        <v>233</v>
      </c>
      <c r="L37" s="46">
        <v>73</v>
      </c>
      <c r="M37" s="12">
        <v>80</v>
      </c>
      <c r="N37" s="12">
        <v>76</v>
      </c>
      <c r="O37" s="12">
        <v>79</v>
      </c>
      <c r="P37" s="12">
        <v>80</v>
      </c>
      <c r="Q37" s="12">
        <v>67</v>
      </c>
      <c r="R37" s="130"/>
      <c r="S37" s="42">
        <f t="shared" si="0"/>
        <v>75.833333333333329</v>
      </c>
      <c r="T37" s="42">
        <f t="shared" si="1"/>
        <v>2.0883273476902779</v>
      </c>
      <c r="U37" s="7"/>
      <c r="V37" s="7"/>
      <c r="W37" s="7"/>
      <c r="X37" s="7"/>
      <c r="Y37" s="7"/>
      <c r="AK37" s="10"/>
      <c r="AL37" s="10"/>
      <c r="AM37" s="9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</row>
    <row r="38" spans="2:78" ht="24" customHeight="1" x14ac:dyDescent="0.2">
      <c r="B38" s="122">
        <v>21</v>
      </c>
      <c r="C38" s="113" t="s">
        <v>309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118">
        <v>1150</v>
      </c>
      <c r="K38" s="5" t="s">
        <v>234</v>
      </c>
      <c r="L38" s="5">
        <v>83</v>
      </c>
      <c r="M38" s="5">
        <v>77</v>
      </c>
      <c r="N38" s="5">
        <v>46</v>
      </c>
      <c r="O38" s="5">
        <v>50</v>
      </c>
      <c r="P38" s="5">
        <v>62</v>
      </c>
      <c r="Q38" s="5">
        <v>52</v>
      </c>
      <c r="R38" s="129"/>
      <c r="S38" s="43">
        <f t="shared" si="0"/>
        <v>61.666666666666664</v>
      </c>
      <c r="T38" s="43">
        <f t="shared" si="1"/>
        <v>6.2325311426774608</v>
      </c>
      <c r="U38" s="7"/>
      <c r="V38" s="7"/>
      <c r="W38" s="7"/>
      <c r="X38" s="7"/>
      <c r="Y38" s="7"/>
    </row>
    <row r="39" spans="2:78" ht="24" customHeight="1" thickBot="1" x14ac:dyDescent="0.25">
      <c r="B39" s="116"/>
      <c r="C39" s="114"/>
      <c r="D39" s="12" t="e">
        <v>#N/A</v>
      </c>
      <c r="E39" s="12" t="e">
        <v>#N/A</v>
      </c>
      <c r="F39" s="12" t="e">
        <v>#N/A</v>
      </c>
      <c r="G39" s="12" t="e">
        <v>#N/A</v>
      </c>
      <c r="H39" s="12" t="e">
        <v>#N/A</v>
      </c>
      <c r="I39" s="12" t="e">
        <v>#N/A</v>
      </c>
      <c r="J39" s="116"/>
      <c r="K39" s="12" t="s">
        <v>233</v>
      </c>
      <c r="L39" s="12">
        <v>81</v>
      </c>
      <c r="M39" s="12">
        <v>83</v>
      </c>
      <c r="N39" s="12">
        <v>63</v>
      </c>
      <c r="O39" s="12">
        <v>61</v>
      </c>
      <c r="P39" s="12">
        <v>62</v>
      </c>
      <c r="Q39" s="12">
        <v>61</v>
      </c>
      <c r="R39" s="130"/>
      <c r="S39" s="42">
        <f t="shared" si="0"/>
        <v>68.5</v>
      </c>
      <c r="T39" s="42">
        <f t="shared" si="1"/>
        <v>4.2875789594284246</v>
      </c>
      <c r="U39" s="7"/>
      <c r="V39" s="7"/>
      <c r="W39" s="7"/>
      <c r="X39" s="7"/>
      <c r="Y39" s="7"/>
      <c r="AK39" s="10"/>
      <c r="AL39" s="10"/>
      <c r="AM39" s="9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</row>
    <row r="40" spans="2:78" ht="24" customHeight="1" x14ac:dyDescent="0.2">
      <c r="B40" s="122">
        <v>22</v>
      </c>
      <c r="C40" s="113" t="s">
        <v>238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117"/>
      <c r="K40" s="5" t="s">
        <v>234</v>
      </c>
      <c r="L40" s="5">
        <v>51</v>
      </c>
      <c r="M40" s="5">
        <v>39</v>
      </c>
      <c r="N40" s="5">
        <v>38</v>
      </c>
      <c r="O40" s="5">
        <v>63</v>
      </c>
      <c r="P40" s="45">
        <v>51</v>
      </c>
      <c r="Q40" s="5">
        <v>56</v>
      </c>
      <c r="R40" s="129"/>
      <c r="S40" s="43">
        <f t="shared" si="0"/>
        <v>49.666666666666664</v>
      </c>
      <c r="T40" s="43">
        <f t="shared" si="1"/>
        <v>3.9637243989852693</v>
      </c>
      <c r="U40" s="7"/>
      <c r="V40" s="7"/>
      <c r="W40" s="7"/>
      <c r="X40" s="7"/>
      <c r="Y40" s="7"/>
    </row>
    <row r="41" spans="2:78" ht="24" customHeight="1" thickBot="1" x14ac:dyDescent="0.25">
      <c r="B41" s="116"/>
      <c r="C41" s="114"/>
      <c r="D41" s="12" t="e">
        <v>#N/A</v>
      </c>
      <c r="E41" s="12" t="e">
        <v>#N/A</v>
      </c>
      <c r="F41" s="12" t="e">
        <v>#N/A</v>
      </c>
      <c r="G41" s="12" t="e">
        <v>#N/A</v>
      </c>
      <c r="H41" s="12" t="e">
        <v>#N/A</v>
      </c>
      <c r="I41" s="12" t="e">
        <v>#N/A</v>
      </c>
      <c r="J41" s="116"/>
      <c r="K41" s="12" t="s">
        <v>233</v>
      </c>
      <c r="L41" s="12">
        <v>64</v>
      </c>
      <c r="M41" s="12">
        <v>54</v>
      </c>
      <c r="N41" s="12">
        <v>61</v>
      </c>
      <c r="O41" s="12">
        <v>65</v>
      </c>
      <c r="P41" s="46">
        <v>67</v>
      </c>
      <c r="Q41" s="12">
        <v>63</v>
      </c>
      <c r="R41" s="130"/>
      <c r="S41" s="42">
        <f t="shared" si="0"/>
        <v>62.333333333333336</v>
      </c>
      <c r="T41" s="42">
        <f t="shared" si="1"/>
        <v>1.855921454276674</v>
      </c>
      <c r="U41" s="7"/>
      <c r="V41" s="7"/>
      <c r="W41" s="7"/>
      <c r="X41" s="7"/>
      <c r="Y41" s="7"/>
      <c r="AK41" s="10"/>
      <c r="AL41" s="10"/>
      <c r="AM41" s="9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</row>
    <row r="42" spans="2:78" ht="24" customHeight="1" x14ac:dyDescent="0.2">
      <c r="B42" s="122">
        <v>23</v>
      </c>
      <c r="C42" s="113" t="s">
        <v>313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117"/>
      <c r="K42" s="5" t="s">
        <v>234</v>
      </c>
      <c r="L42" s="5">
        <v>74</v>
      </c>
      <c r="M42" s="5">
        <v>73</v>
      </c>
      <c r="N42" s="5">
        <v>70</v>
      </c>
      <c r="O42" s="5">
        <v>68</v>
      </c>
      <c r="P42" s="5">
        <v>68</v>
      </c>
      <c r="Q42" s="5">
        <v>68</v>
      </c>
      <c r="R42" s="129"/>
      <c r="S42" s="43">
        <f t="shared" ref="S42:S73" si="2">AVERAGE(L42:Q42)</f>
        <v>70.166666666666671</v>
      </c>
      <c r="T42" s="43">
        <f t="shared" ref="T42:T73" si="3">STDEV(L42:Q42)/SQRT(6)</f>
        <v>1.1080513425729774</v>
      </c>
      <c r="U42" s="7"/>
      <c r="V42" s="7"/>
      <c r="W42" s="7"/>
      <c r="X42" s="7"/>
      <c r="Y42" s="7"/>
    </row>
    <row r="43" spans="2:78" ht="24" customHeight="1" thickBot="1" x14ac:dyDescent="0.25">
      <c r="B43" s="116"/>
      <c r="C43" s="114"/>
      <c r="D43" s="12" t="e">
        <v>#N/A</v>
      </c>
      <c r="E43" s="12" t="e">
        <v>#N/A</v>
      </c>
      <c r="F43" s="12" t="e">
        <v>#N/A</v>
      </c>
      <c r="G43" s="12" t="e">
        <v>#N/A</v>
      </c>
      <c r="H43" s="12" t="e">
        <v>#N/A</v>
      </c>
      <c r="I43" s="12" t="e">
        <v>#N/A</v>
      </c>
      <c r="J43" s="116"/>
      <c r="K43" s="12" t="s">
        <v>233</v>
      </c>
      <c r="L43" s="12">
        <v>83</v>
      </c>
      <c r="M43" s="12">
        <v>81</v>
      </c>
      <c r="N43" s="12">
        <v>85</v>
      </c>
      <c r="O43" s="12">
        <v>84</v>
      </c>
      <c r="P43" s="12">
        <v>81</v>
      </c>
      <c r="Q43" s="12">
        <v>79</v>
      </c>
      <c r="R43" s="130"/>
      <c r="S43" s="42">
        <f t="shared" si="2"/>
        <v>82.166666666666671</v>
      </c>
      <c r="T43" s="42">
        <f t="shared" si="3"/>
        <v>0.90982293759707888</v>
      </c>
      <c r="U43" s="7"/>
      <c r="V43" s="7"/>
      <c r="W43" s="7"/>
      <c r="X43" s="7"/>
      <c r="Y43" s="7"/>
      <c r="AK43" s="10"/>
      <c r="AL43" s="10"/>
      <c r="AM43" s="9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</row>
    <row r="44" spans="2:78" ht="24" customHeight="1" x14ac:dyDescent="0.2">
      <c r="B44" s="122">
        <v>24</v>
      </c>
      <c r="C44" s="113" t="s">
        <v>314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117"/>
      <c r="K44" s="5" t="s">
        <v>234</v>
      </c>
      <c r="L44" s="5">
        <v>78</v>
      </c>
      <c r="M44" s="5">
        <v>65</v>
      </c>
      <c r="N44" s="5">
        <v>69</v>
      </c>
      <c r="O44" s="5">
        <v>67</v>
      </c>
      <c r="P44" s="5">
        <v>68</v>
      </c>
      <c r="Q44" s="5">
        <v>71</v>
      </c>
      <c r="R44" s="129"/>
      <c r="S44" s="43">
        <f t="shared" si="2"/>
        <v>69.666666666666671</v>
      </c>
      <c r="T44" s="43">
        <f t="shared" si="3"/>
        <v>1.8559214542766744</v>
      </c>
      <c r="U44" s="7"/>
      <c r="V44" s="7"/>
      <c r="W44" s="7"/>
      <c r="X44" s="7"/>
      <c r="Y44" s="7"/>
    </row>
    <row r="45" spans="2:78" ht="24" customHeight="1" thickBot="1" x14ac:dyDescent="0.25">
      <c r="B45" s="116"/>
      <c r="C45" s="114"/>
      <c r="D45" s="12" t="e">
        <v>#N/A</v>
      </c>
      <c r="E45" s="12" t="e">
        <v>#N/A</v>
      </c>
      <c r="F45" s="12" t="e">
        <v>#N/A</v>
      </c>
      <c r="G45" s="12" t="e">
        <v>#N/A</v>
      </c>
      <c r="H45" s="12" t="e">
        <v>#N/A</v>
      </c>
      <c r="I45" s="12" t="e">
        <v>#N/A</v>
      </c>
      <c r="J45" s="116"/>
      <c r="K45" s="12" t="s">
        <v>233</v>
      </c>
      <c r="L45" s="12">
        <v>83</v>
      </c>
      <c r="M45" s="12">
        <v>73</v>
      </c>
      <c r="N45" s="12">
        <v>73</v>
      </c>
      <c r="O45" s="12">
        <v>76</v>
      </c>
      <c r="P45" s="12">
        <v>70</v>
      </c>
      <c r="Q45" s="12">
        <v>79</v>
      </c>
      <c r="R45" s="130"/>
      <c r="S45" s="42">
        <f t="shared" si="2"/>
        <v>75.666666666666671</v>
      </c>
      <c r="T45" s="42">
        <f t="shared" si="3"/>
        <v>1.9264244369066523</v>
      </c>
      <c r="U45" s="7"/>
      <c r="V45" s="7"/>
      <c r="W45" s="7"/>
      <c r="X45" s="7"/>
      <c r="Y45" s="7"/>
      <c r="AK45" s="10"/>
      <c r="AL45" s="10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</row>
    <row r="46" spans="2:78" ht="24" customHeight="1" x14ac:dyDescent="0.2">
      <c r="B46" s="122">
        <v>25</v>
      </c>
      <c r="C46" s="113" t="s">
        <v>236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117"/>
      <c r="K46" s="5" t="s">
        <v>234</v>
      </c>
      <c r="L46" s="5">
        <v>64</v>
      </c>
      <c r="M46" s="5">
        <v>64</v>
      </c>
      <c r="N46" s="5">
        <v>66</v>
      </c>
      <c r="O46" s="5">
        <v>76</v>
      </c>
      <c r="P46" s="5">
        <v>69</v>
      </c>
      <c r="Q46" s="5">
        <v>82</v>
      </c>
      <c r="R46" s="129"/>
      <c r="S46" s="43">
        <f t="shared" si="2"/>
        <v>70.166666666666671</v>
      </c>
      <c r="T46" s="43">
        <f t="shared" si="3"/>
        <v>2.9935115017502629</v>
      </c>
      <c r="U46" s="7"/>
      <c r="V46" s="7"/>
      <c r="W46" s="7"/>
      <c r="X46" s="7"/>
      <c r="Y46" s="7"/>
    </row>
    <row r="47" spans="2:78" ht="24" customHeight="1" thickBot="1" x14ac:dyDescent="0.25">
      <c r="B47" s="116"/>
      <c r="C47" s="114"/>
      <c r="D47" s="12" t="e">
        <v>#N/A</v>
      </c>
      <c r="E47" s="12" t="e">
        <v>#N/A</v>
      </c>
      <c r="F47" s="12" t="e">
        <v>#N/A</v>
      </c>
      <c r="G47" s="12" t="e">
        <v>#N/A</v>
      </c>
      <c r="H47" s="12" t="e">
        <v>#N/A</v>
      </c>
      <c r="I47" s="12" t="e">
        <v>#N/A</v>
      </c>
      <c r="J47" s="116"/>
      <c r="K47" s="12" t="s">
        <v>233</v>
      </c>
      <c r="L47" s="12">
        <v>81</v>
      </c>
      <c r="M47" s="12">
        <v>81</v>
      </c>
      <c r="N47" s="12">
        <v>72</v>
      </c>
      <c r="O47" s="12">
        <v>80</v>
      </c>
      <c r="P47" s="12">
        <v>76</v>
      </c>
      <c r="Q47" s="12">
        <v>80</v>
      </c>
      <c r="R47" s="130"/>
      <c r="S47" s="42">
        <f t="shared" si="2"/>
        <v>78.333333333333329</v>
      </c>
      <c r="T47" s="42">
        <f t="shared" si="3"/>
        <v>1.4757295747452437</v>
      </c>
      <c r="U47" s="7"/>
      <c r="V47" s="7"/>
      <c r="W47" s="7"/>
      <c r="X47" s="7"/>
      <c r="Y47" s="7"/>
      <c r="AK47" s="10"/>
      <c r="AL47" s="10"/>
      <c r="AM47" s="9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</row>
    <row r="48" spans="2:78" ht="24" customHeight="1" x14ac:dyDescent="0.2">
      <c r="B48" s="122">
        <v>26</v>
      </c>
      <c r="C48" s="113" t="s">
        <v>314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6"/>
      <c r="K48" s="5" t="s">
        <v>234</v>
      </c>
      <c r="L48" s="5">
        <v>60</v>
      </c>
      <c r="M48" s="5">
        <v>65</v>
      </c>
      <c r="N48" s="5">
        <v>80</v>
      </c>
      <c r="O48" s="5">
        <v>57</v>
      </c>
      <c r="P48" s="5">
        <v>71</v>
      </c>
      <c r="Q48" s="5">
        <v>70</v>
      </c>
      <c r="R48" s="129"/>
      <c r="S48" s="43">
        <f t="shared" si="2"/>
        <v>67.166666666666671</v>
      </c>
      <c r="T48" s="43">
        <f t="shared" si="3"/>
        <v>3.4001633947666505</v>
      </c>
      <c r="U48" s="7"/>
      <c r="V48" s="7"/>
      <c r="W48" s="7"/>
      <c r="X48" s="7"/>
      <c r="Y48" s="7"/>
    </row>
    <row r="49" spans="2:78" ht="24" customHeight="1" thickBot="1" x14ac:dyDescent="0.25">
      <c r="B49" s="116"/>
      <c r="C49" s="114"/>
      <c r="D49" s="12" t="e">
        <v>#N/A</v>
      </c>
      <c r="E49" s="12" t="e">
        <v>#N/A</v>
      </c>
      <c r="F49" s="12" t="e">
        <v>#N/A</v>
      </c>
      <c r="G49" s="12" t="e">
        <v>#N/A</v>
      </c>
      <c r="H49" s="12" t="e">
        <v>#N/A</v>
      </c>
      <c r="I49" s="12" t="e">
        <v>#N/A</v>
      </c>
      <c r="J49" s="13"/>
      <c r="K49" s="12" t="s">
        <v>233</v>
      </c>
      <c r="L49" s="12">
        <v>64</v>
      </c>
      <c r="M49" s="12">
        <v>78</v>
      </c>
      <c r="N49" s="12">
        <v>76</v>
      </c>
      <c r="O49" s="12">
        <v>67</v>
      </c>
      <c r="P49" s="12">
        <v>78</v>
      </c>
      <c r="Q49" s="12">
        <v>81</v>
      </c>
      <c r="R49" s="130"/>
      <c r="S49" s="42">
        <f t="shared" si="2"/>
        <v>74</v>
      </c>
      <c r="T49" s="42">
        <f t="shared" si="3"/>
        <v>2.7928480087537886</v>
      </c>
      <c r="U49" s="7"/>
      <c r="V49" s="7"/>
      <c r="W49" s="7"/>
      <c r="X49" s="7"/>
      <c r="Y49" s="7"/>
      <c r="AK49" s="10"/>
      <c r="AL49" s="10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</row>
    <row r="50" spans="2:78" ht="24" customHeight="1" x14ac:dyDescent="0.2">
      <c r="B50" s="122">
        <v>27</v>
      </c>
      <c r="C50" s="113" t="s">
        <v>312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117"/>
      <c r="K50" s="5" t="s">
        <v>234</v>
      </c>
      <c r="L50" s="5">
        <v>42</v>
      </c>
      <c r="M50" s="5">
        <v>73</v>
      </c>
      <c r="N50" s="5">
        <v>65</v>
      </c>
      <c r="O50" s="5">
        <v>56</v>
      </c>
      <c r="P50" s="5">
        <v>49</v>
      </c>
      <c r="Q50" s="5">
        <v>57</v>
      </c>
      <c r="R50" s="129"/>
      <c r="S50" s="43">
        <f t="shared" si="2"/>
        <v>57</v>
      </c>
      <c r="T50" s="43">
        <f t="shared" si="3"/>
        <v>4.5092497528228952</v>
      </c>
      <c r="AK50" s="10">
        <v>2</v>
      </c>
      <c r="AL50" s="10" t="s">
        <v>235</v>
      </c>
      <c r="AM50" s="10">
        <v>150</v>
      </c>
    </row>
    <row r="51" spans="2:78" ht="24" customHeight="1" thickBot="1" x14ac:dyDescent="0.25">
      <c r="B51" s="116"/>
      <c r="C51" s="114"/>
      <c r="D51" s="12" t="e">
        <v>#N/A</v>
      </c>
      <c r="E51" s="12" t="e">
        <v>#N/A</v>
      </c>
      <c r="F51" s="12" t="e">
        <v>#N/A</v>
      </c>
      <c r="G51" s="12" t="e">
        <v>#N/A</v>
      </c>
      <c r="H51" s="12" t="e">
        <v>#N/A</v>
      </c>
      <c r="I51" s="12" t="e">
        <v>#N/A</v>
      </c>
      <c r="J51" s="116"/>
      <c r="K51" s="12" t="s">
        <v>233</v>
      </c>
      <c r="L51" s="12">
        <v>49</v>
      </c>
      <c r="M51" s="12">
        <v>71</v>
      </c>
      <c r="N51" s="12">
        <v>69</v>
      </c>
      <c r="O51" s="12">
        <v>65</v>
      </c>
      <c r="P51" s="12">
        <v>53</v>
      </c>
      <c r="Q51" s="12">
        <v>67</v>
      </c>
      <c r="R51" s="130"/>
      <c r="S51" s="42">
        <f t="shared" si="2"/>
        <v>62.333333333333336</v>
      </c>
      <c r="T51" s="42">
        <f t="shared" si="3"/>
        <v>3.7118429085533431</v>
      </c>
      <c r="U51" s="7"/>
      <c r="V51" s="7"/>
      <c r="W51" s="7"/>
      <c r="X51" s="7"/>
      <c r="Y51" s="7"/>
      <c r="AK51" s="10"/>
      <c r="AL51" s="10"/>
      <c r="AM51" s="9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</row>
    <row r="52" spans="2:78" ht="24" customHeight="1" x14ac:dyDescent="0.2">
      <c r="B52" s="122">
        <v>28</v>
      </c>
      <c r="C52" s="113" t="s">
        <v>313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117"/>
      <c r="K52" s="5" t="s">
        <v>234</v>
      </c>
      <c r="L52" s="5">
        <v>89</v>
      </c>
      <c r="M52" s="5">
        <v>66</v>
      </c>
      <c r="N52" s="5">
        <v>54</v>
      </c>
      <c r="O52" s="5">
        <v>74</v>
      </c>
      <c r="P52" s="5">
        <v>65</v>
      </c>
      <c r="Q52" s="5">
        <v>77</v>
      </c>
      <c r="R52" s="129"/>
      <c r="S52" s="43">
        <f t="shared" si="2"/>
        <v>70.833333333333329</v>
      </c>
      <c r="T52" s="43">
        <f t="shared" si="3"/>
        <v>4.895008795815496</v>
      </c>
      <c r="U52" s="7"/>
      <c r="V52" s="7"/>
      <c r="W52" s="7"/>
      <c r="X52" s="7"/>
      <c r="Y52" s="7"/>
    </row>
    <row r="53" spans="2:78" ht="24" customHeight="1" thickBot="1" x14ac:dyDescent="0.25">
      <c r="B53" s="116"/>
      <c r="C53" s="114"/>
      <c r="D53" s="12" t="e">
        <v>#N/A</v>
      </c>
      <c r="E53" s="12" t="e">
        <v>#N/A</v>
      </c>
      <c r="F53" s="12" t="e">
        <v>#N/A</v>
      </c>
      <c r="G53" s="12" t="e">
        <v>#N/A</v>
      </c>
      <c r="H53" s="12" t="e">
        <v>#N/A</v>
      </c>
      <c r="I53" s="12" t="e">
        <v>#N/A</v>
      </c>
      <c r="J53" s="116"/>
      <c r="K53" s="12" t="s">
        <v>233</v>
      </c>
      <c r="L53" s="12">
        <v>87</v>
      </c>
      <c r="M53" s="12">
        <v>83</v>
      </c>
      <c r="N53" s="12">
        <v>73</v>
      </c>
      <c r="O53" s="12">
        <v>76</v>
      </c>
      <c r="P53" s="12">
        <v>70</v>
      </c>
      <c r="Q53" s="12">
        <v>81</v>
      </c>
      <c r="R53" s="130"/>
      <c r="S53" s="42">
        <f t="shared" si="2"/>
        <v>78.333333333333329</v>
      </c>
      <c r="T53" s="42">
        <f t="shared" si="3"/>
        <v>2.6288992204173809</v>
      </c>
      <c r="U53" s="7"/>
      <c r="V53" s="7"/>
      <c r="W53" s="7"/>
      <c r="X53" s="7"/>
      <c r="Y53" s="7"/>
      <c r="AK53" s="10"/>
      <c r="AL53" s="10"/>
      <c r="AM53" s="9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</row>
    <row r="54" spans="2:78" ht="24" customHeight="1" x14ac:dyDescent="0.2">
      <c r="B54" s="122">
        <v>38</v>
      </c>
      <c r="C54" s="113" t="s">
        <v>313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118">
        <v>1210</v>
      </c>
      <c r="K54" s="5" t="s">
        <v>234</v>
      </c>
      <c r="L54" s="5">
        <v>70</v>
      </c>
      <c r="M54" s="5">
        <v>69</v>
      </c>
      <c r="N54" s="5">
        <v>75</v>
      </c>
      <c r="O54" s="5">
        <v>69</v>
      </c>
      <c r="P54" s="5">
        <v>57</v>
      </c>
      <c r="Q54" s="5">
        <v>70</v>
      </c>
      <c r="R54" s="129"/>
      <c r="S54" s="43">
        <f t="shared" si="2"/>
        <v>68.333333333333329</v>
      </c>
      <c r="T54" s="43">
        <f t="shared" si="3"/>
        <v>2.4449494427856333</v>
      </c>
      <c r="U54" s="7"/>
      <c r="V54" s="7"/>
      <c r="W54" s="7"/>
      <c r="X54" s="7"/>
      <c r="Y54" s="7"/>
    </row>
    <row r="55" spans="2:78" ht="24" customHeight="1" thickBot="1" x14ac:dyDescent="0.25">
      <c r="B55" s="116"/>
      <c r="C55" s="114"/>
      <c r="D55" s="12" t="e">
        <v>#N/A</v>
      </c>
      <c r="E55" s="12" t="e">
        <v>#N/A</v>
      </c>
      <c r="F55" s="12" t="e">
        <v>#N/A</v>
      </c>
      <c r="G55" s="12" t="e">
        <v>#N/A</v>
      </c>
      <c r="H55" s="12" t="e">
        <v>#N/A</v>
      </c>
      <c r="I55" s="12" t="e">
        <v>#N/A</v>
      </c>
      <c r="J55" s="116"/>
      <c r="K55" s="12" t="s">
        <v>233</v>
      </c>
      <c r="L55" s="12">
        <v>75</v>
      </c>
      <c r="M55" s="12">
        <v>70</v>
      </c>
      <c r="N55" s="12">
        <v>77</v>
      </c>
      <c r="O55" s="12">
        <v>72</v>
      </c>
      <c r="P55" s="12">
        <v>59</v>
      </c>
      <c r="Q55" s="12">
        <v>70</v>
      </c>
      <c r="R55" s="130"/>
      <c r="S55" s="42">
        <f t="shared" si="2"/>
        <v>70.5</v>
      </c>
      <c r="T55" s="42">
        <f t="shared" si="3"/>
        <v>2.5658007197234425</v>
      </c>
      <c r="U55" s="7"/>
      <c r="V55" s="7"/>
      <c r="W55" s="7"/>
      <c r="X55" s="7"/>
      <c r="Y55" s="7"/>
      <c r="AK55" s="10"/>
      <c r="AL55" s="10"/>
      <c r="AM55" s="9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</row>
    <row r="56" spans="2:78" ht="24" customHeight="1" x14ac:dyDescent="0.2">
      <c r="B56" s="122">
        <v>37</v>
      </c>
      <c r="C56" s="113" t="s">
        <v>238</v>
      </c>
      <c r="D56" s="5" t="e">
        <v>#N/A</v>
      </c>
      <c r="E56" s="5" t="e">
        <v>#N/A</v>
      </c>
      <c r="F56" s="5" t="e">
        <v>#N/A</v>
      </c>
      <c r="G56" s="5" t="e">
        <v>#N/A</v>
      </c>
      <c r="H56" s="5" t="e">
        <v>#N/A</v>
      </c>
      <c r="I56" s="5" t="e">
        <v>#N/A</v>
      </c>
      <c r="J56" s="117"/>
      <c r="K56" s="5" t="s">
        <v>234</v>
      </c>
      <c r="L56" s="5">
        <v>57</v>
      </c>
      <c r="M56" s="5">
        <v>55</v>
      </c>
      <c r="N56" s="45">
        <v>50</v>
      </c>
      <c r="O56" s="5">
        <v>67</v>
      </c>
      <c r="P56" s="5">
        <v>57</v>
      </c>
      <c r="Q56" s="5">
        <v>76</v>
      </c>
      <c r="R56" s="129"/>
      <c r="S56" s="43">
        <f t="shared" si="2"/>
        <v>60.333333333333336</v>
      </c>
      <c r="T56" s="43">
        <f t="shared" si="3"/>
        <v>3.8614907886865502</v>
      </c>
      <c r="U56" s="7"/>
      <c r="V56" s="7"/>
      <c r="W56" s="7"/>
      <c r="X56" s="7"/>
      <c r="Y56" s="7"/>
    </row>
    <row r="57" spans="2:78" ht="24" customHeight="1" thickBot="1" x14ac:dyDescent="0.25">
      <c r="B57" s="116"/>
      <c r="C57" s="114"/>
      <c r="D57" s="12" t="e">
        <v>#N/A</v>
      </c>
      <c r="E57" s="12" t="e">
        <v>#N/A</v>
      </c>
      <c r="F57" s="12" t="e">
        <v>#N/A</v>
      </c>
      <c r="G57" s="12" t="e">
        <v>#N/A</v>
      </c>
      <c r="H57" s="12" t="e">
        <v>#N/A</v>
      </c>
      <c r="I57" s="12" t="e">
        <v>#N/A</v>
      </c>
      <c r="J57" s="116"/>
      <c r="K57" s="12" t="s">
        <v>233</v>
      </c>
      <c r="L57" s="12">
        <v>69</v>
      </c>
      <c r="M57" s="12">
        <v>68</v>
      </c>
      <c r="N57" s="46">
        <v>63</v>
      </c>
      <c r="O57" s="12">
        <v>78</v>
      </c>
      <c r="P57" s="12">
        <v>64</v>
      </c>
      <c r="Q57" s="12">
        <v>65</v>
      </c>
      <c r="R57" s="130"/>
      <c r="S57" s="42">
        <f t="shared" si="2"/>
        <v>67.833333333333329</v>
      </c>
      <c r="T57" s="42">
        <f t="shared" si="3"/>
        <v>2.2422706745122851</v>
      </c>
      <c r="U57" s="7"/>
      <c r="V57" s="7"/>
      <c r="W57" s="7"/>
      <c r="X57" s="7"/>
      <c r="Y57" s="7"/>
      <c r="AK57" s="10"/>
      <c r="AL57" s="10"/>
      <c r="AM57" s="9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</row>
    <row r="58" spans="2:78" ht="24" customHeight="1" x14ac:dyDescent="0.2">
      <c r="B58" s="122">
        <v>36</v>
      </c>
      <c r="C58" s="113" t="s">
        <v>314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117"/>
      <c r="K58" s="5" t="s">
        <v>234</v>
      </c>
      <c r="L58" s="5">
        <v>68</v>
      </c>
      <c r="M58" s="5">
        <v>57</v>
      </c>
      <c r="N58" s="5">
        <v>71</v>
      </c>
      <c r="O58" s="5">
        <v>60</v>
      </c>
      <c r="P58" s="5">
        <v>56</v>
      </c>
      <c r="Q58" s="5">
        <v>74</v>
      </c>
      <c r="R58" s="129"/>
      <c r="S58" s="43">
        <f t="shared" si="2"/>
        <v>64.333333333333329</v>
      </c>
      <c r="T58" s="43">
        <f t="shared" si="3"/>
        <v>3.12694383988228</v>
      </c>
      <c r="U58" s="7"/>
      <c r="V58" s="7"/>
      <c r="W58" s="7"/>
      <c r="X58" s="7"/>
      <c r="Y58" s="7"/>
    </row>
    <row r="59" spans="2:78" ht="24" customHeight="1" thickBot="1" x14ac:dyDescent="0.25">
      <c r="B59" s="116"/>
      <c r="C59" s="114"/>
      <c r="D59" s="12" t="e">
        <v>#N/A</v>
      </c>
      <c r="E59" s="12" t="e">
        <v>#N/A</v>
      </c>
      <c r="F59" s="12" t="e">
        <v>#N/A</v>
      </c>
      <c r="G59" s="12" t="e">
        <v>#N/A</v>
      </c>
      <c r="H59" s="12" t="e">
        <v>#N/A</v>
      </c>
      <c r="I59" s="12" t="e">
        <v>#N/A</v>
      </c>
      <c r="J59" s="116"/>
      <c r="K59" s="12" t="s">
        <v>233</v>
      </c>
      <c r="L59" s="12">
        <v>62</v>
      </c>
      <c r="M59" s="12">
        <v>64</v>
      </c>
      <c r="N59" s="12">
        <v>74</v>
      </c>
      <c r="O59" s="12">
        <v>66</v>
      </c>
      <c r="P59" s="12">
        <v>68</v>
      </c>
      <c r="Q59" s="12">
        <v>76</v>
      </c>
      <c r="R59" s="130"/>
      <c r="S59" s="42">
        <f t="shared" si="2"/>
        <v>68.333333333333329</v>
      </c>
      <c r="T59" s="42">
        <f t="shared" si="3"/>
        <v>2.2754730887834684</v>
      </c>
      <c r="U59" s="7"/>
      <c r="V59" s="7"/>
      <c r="W59" s="7"/>
      <c r="X59" s="7"/>
      <c r="Y59" s="7"/>
      <c r="AK59" s="10"/>
      <c r="AL59" s="10"/>
      <c r="AM59" s="9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</row>
    <row r="60" spans="2:78" ht="24" customHeight="1" x14ac:dyDescent="0.2">
      <c r="B60" s="122">
        <v>35</v>
      </c>
      <c r="C60" s="113" t="s">
        <v>309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117"/>
      <c r="K60" s="5" t="s">
        <v>234</v>
      </c>
      <c r="L60" s="5">
        <v>50</v>
      </c>
      <c r="M60" s="5">
        <v>48</v>
      </c>
      <c r="N60" s="5">
        <v>54</v>
      </c>
      <c r="O60" s="5">
        <v>52</v>
      </c>
      <c r="P60" s="5">
        <v>75</v>
      </c>
      <c r="Q60" s="5">
        <v>57</v>
      </c>
      <c r="R60" s="129"/>
      <c r="S60" s="43">
        <f t="shared" si="2"/>
        <v>56</v>
      </c>
      <c r="T60" s="43">
        <f t="shared" si="3"/>
        <v>4.0083246708153109</v>
      </c>
      <c r="U60" s="7"/>
      <c r="V60" s="7"/>
      <c r="W60" s="7"/>
      <c r="X60" s="7"/>
      <c r="Y60" s="7"/>
    </row>
    <row r="61" spans="2:78" ht="24" customHeight="1" thickBot="1" x14ac:dyDescent="0.25">
      <c r="B61" s="116"/>
      <c r="C61" s="114"/>
      <c r="D61" s="12" t="e">
        <v>#N/A</v>
      </c>
      <c r="E61" s="12" t="e">
        <v>#N/A</v>
      </c>
      <c r="F61" s="12" t="e">
        <v>#N/A</v>
      </c>
      <c r="G61" s="12" t="e">
        <v>#N/A</v>
      </c>
      <c r="H61" s="12" t="e">
        <v>#N/A</v>
      </c>
      <c r="I61" s="12" t="e">
        <v>#N/A</v>
      </c>
      <c r="J61" s="116"/>
      <c r="K61" s="12" t="s">
        <v>233</v>
      </c>
      <c r="L61" s="12">
        <v>48</v>
      </c>
      <c r="M61" s="12">
        <v>48</v>
      </c>
      <c r="N61" s="12">
        <v>46</v>
      </c>
      <c r="O61" s="12">
        <v>57</v>
      </c>
      <c r="P61" s="12">
        <v>75</v>
      </c>
      <c r="Q61" s="12">
        <v>56</v>
      </c>
      <c r="R61" s="130"/>
      <c r="S61" s="42">
        <f t="shared" si="2"/>
        <v>55</v>
      </c>
      <c r="T61" s="42">
        <f t="shared" si="3"/>
        <v>4.4121045620731465</v>
      </c>
      <c r="U61" s="7"/>
      <c r="V61" s="7"/>
      <c r="W61" s="7"/>
      <c r="X61" s="7"/>
      <c r="Y61" s="7"/>
      <c r="AK61" s="10"/>
      <c r="AL61" s="10"/>
      <c r="AM61" s="9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</row>
    <row r="62" spans="2:78" ht="24" customHeight="1" x14ac:dyDescent="0.2">
      <c r="B62" s="122">
        <v>34</v>
      </c>
      <c r="C62" s="113" t="s">
        <v>236</v>
      </c>
      <c r="D62" s="5" t="e">
        <v>#N/A</v>
      </c>
      <c r="E62" s="5" t="e">
        <v>#N/A</v>
      </c>
      <c r="F62" s="5" t="e">
        <v>#N/A</v>
      </c>
      <c r="G62" s="5" t="e">
        <v>#N/A</v>
      </c>
      <c r="H62" s="5" t="e">
        <v>#N/A</v>
      </c>
      <c r="I62" s="5" t="e">
        <v>#N/A</v>
      </c>
      <c r="J62" s="117"/>
      <c r="K62" s="5" t="s">
        <v>234</v>
      </c>
      <c r="L62" s="5">
        <v>73</v>
      </c>
      <c r="M62" s="5">
        <v>54</v>
      </c>
      <c r="N62" s="5">
        <v>63</v>
      </c>
      <c r="O62" s="5">
        <v>50</v>
      </c>
      <c r="P62" s="5">
        <v>51</v>
      </c>
      <c r="Q62" s="5">
        <v>67</v>
      </c>
      <c r="R62" s="129"/>
      <c r="S62" s="43">
        <f t="shared" si="2"/>
        <v>59.666666666666664</v>
      </c>
      <c r="T62" s="43">
        <f t="shared" si="3"/>
        <v>3.8441875315569276</v>
      </c>
      <c r="U62" s="7"/>
      <c r="V62" s="7"/>
      <c r="W62" s="7"/>
      <c r="X62" s="7"/>
      <c r="Y62" s="7"/>
    </row>
    <row r="63" spans="2:78" ht="24" customHeight="1" thickBot="1" x14ac:dyDescent="0.25">
      <c r="B63" s="116"/>
      <c r="C63" s="114"/>
      <c r="D63" s="12" t="e">
        <v>#N/A</v>
      </c>
      <c r="E63" s="12" t="e">
        <v>#N/A</v>
      </c>
      <c r="F63" s="12" t="e">
        <v>#N/A</v>
      </c>
      <c r="G63" s="12" t="e">
        <v>#N/A</v>
      </c>
      <c r="H63" s="12" t="e">
        <v>#N/A</v>
      </c>
      <c r="I63" s="12" t="e">
        <v>#N/A</v>
      </c>
      <c r="J63" s="116"/>
      <c r="K63" s="12" t="s">
        <v>233</v>
      </c>
      <c r="L63" s="12">
        <v>67</v>
      </c>
      <c r="M63" s="12">
        <v>68</v>
      </c>
      <c r="N63" s="12">
        <v>69</v>
      </c>
      <c r="O63" s="12">
        <v>64</v>
      </c>
      <c r="P63" s="12">
        <v>70</v>
      </c>
      <c r="Q63" s="12">
        <v>68</v>
      </c>
      <c r="R63" s="130"/>
      <c r="S63" s="42">
        <f t="shared" si="2"/>
        <v>67.666666666666671</v>
      </c>
      <c r="T63" s="42">
        <f t="shared" si="3"/>
        <v>0.84327404271156781</v>
      </c>
      <c r="U63" s="7"/>
      <c r="V63" s="7"/>
      <c r="W63" s="7"/>
      <c r="X63" s="7"/>
      <c r="Y63" s="7"/>
      <c r="AK63" s="10"/>
      <c r="AL63" s="10"/>
      <c r="AM63" s="9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</row>
    <row r="64" spans="2:78" ht="24" customHeight="1" x14ac:dyDescent="0.2">
      <c r="B64" s="122">
        <v>33</v>
      </c>
      <c r="C64" s="113" t="s">
        <v>309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117"/>
      <c r="K64" s="5" t="s">
        <v>234</v>
      </c>
      <c r="L64" s="5">
        <v>55</v>
      </c>
      <c r="M64" s="5">
        <v>61</v>
      </c>
      <c r="N64" s="5">
        <v>38</v>
      </c>
      <c r="O64" s="5">
        <v>46</v>
      </c>
      <c r="P64" s="45">
        <v>55</v>
      </c>
      <c r="Q64" s="5">
        <v>62</v>
      </c>
      <c r="R64" s="129"/>
      <c r="S64" s="43">
        <f t="shared" si="2"/>
        <v>52.833333333333336</v>
      </c>
      <c r="T64" s="43">
        <f t="shared" si="3"/>
        <v>3.7719726639754079</v>
      </c>
      <c r="U64" s="7"/>
      <c r="V64" s="7"/>
      <c r="W64" s="7"/>
      <c r="X64" s="7"/>
      <c r="Y64" s="7"/>
    </row>
    <row r="65" spans="2:78" ht="24" customHeight="1" thickBot="1" x14ac:dyDescent="0.25">
      <c r="B65" s="116"/>
      <c r="C65" s="114"/>
      <c r="D65" s="5" t="e">
        <v>#N/A</v>
      </c>
      <c r="E65" s="5" t="e">
        <v>#N/A</v>
      </c>
      <c r="F65" s="5" t="e">
        <v>#N/A</v>
      </c>
      <c r="G65" s="5" t="e">
        <v>#N/A</v>
      </c>
      <c r="H65" s="5" t="e">
        <v>#N/A</v>
      </c>
      <c r="I65" s="5" t="e">
        <v>#N/A</v>
      </c>
      <c r="J65" s="116"/>
      <c r="K65" s="5" t="s">
        <v>233</v>
      </c>
      <c r="L65" s="5">
        <v>63</v>
      </c>
      <c r="M65" s="5">
        <v>64</v>
      </c>
      <c r="N65" s="5">
        <v>51</v>
      </c>
      <c r="O65" s="5">
        <v>61</v>
      </c>
      <c r="P65" s="45">
        <v>57</v>
      </c>
      <c r="Q65" s="5">
        <v>56</v>
      </c>
      <c r="R65" s="130"/>
      <c r="S65" s="42">
        <f t="shared" si="2"/>
        <v>58.666666666666664</v>
      </c>
      <c r="T65" s="42">
        <f t="shared" si="3"/>
        <v>2.0110804171997811</v>
      </c>
      <c r="U65" s="7"/>
      <c r="V65" s="7"/>
      <c r="W65" s="7"/>
      <c r="X65" s="7"/>
      <c r="Y65" s="7"/>
    </row>
    <row r="66" spans="2:78" ht="24" customHeight="1" x14ac:dyDescent="0.2">
      <c r="B66" s="122">
        <v>32</v>
      </c>
      <c r="C66" s="113" t="s">
        <v>311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117"/>
      <c r="K66" s="5" t="s">
        <v>234</v>
      </c>
      <c r="L66" s="5">
        <v>72</v>
      </c>
      <c r="M66" s="5">
        <v>62</v>
      </c>
      <c r="N66" s="5">
        <v>57</v>
      </c>
      <c r="O66" s="5">
        <v>52</v>
      </c>
      <c r="P66" s="5">
        <v>74</v>
      </c>
      <c r="Q66" s="5">
        <v>57</v>
      </c>
      <c r="R66" s="129"/>
      <c r="S66" s="43">
        <f t="shared" si="2"/>
        <v>62.333333333333336</v>
      </c>
      <c r="T66" s="43">
        <f t="shared" si="3"/>
        <v>3.6209268304000664</v>
      </c>
      <c r="AK66" s="10">
        <v>2</v>
      </c>
      <c r="AL66" s="10" t="s">
        <v>235</v>
      </c>
      <c r="AM66" s="10">
        <v>150</v>
      </c>
    </row>
    <row r="67" spans="2:78" ht="24" customHeight="1" thickBot="1" x14ac:dyDescent="0.25">
      <c r="B67" s="116"/>
      <c r="C67" s="114"/>
      <c r="D67" s="12" t="e">
        <v>#N/A</v>
      </c>
      <c r="E67" s="12" t="e">
        <v>#N/A</v>
      </c>
      <c r="F67" s="12" t="e">
        <v>#N/A</v>
      </c>
      <c r="G67" s="12" t="e">
        <v>#N/A</v>
      </c>
      <c r="H67" s="12" t="e">
        <v>#N/A</v>
      </c>
      <c r="I67" s="12" t="e">
        <v>#N/A</v>
      </c>
      <c r="J67" s="116"/>
      <c r="K67" s="12" t="s">
        <v>233</v>
      </c>
      <c r="L67" s="12">
        <v>72</v>
      </c>
      <c r="M67" s="12">
        <v>63</v>
      </c>
      <c r="N67" s="12">
        <v>60</v>
      </c>
      <c r="O67" s="12">
        <v>68</v>
      </c>
      <c r="P67" s="12">
        <v>70</v>
      </c>
      <c r="Q67" s="12">
        <v>67</v>
      </c>
      <c r="R67" s="130"/>
      <c r="S67" s="42">
        <f t="shared" si="2"/>
        <v>66.666666666666671</v>
      </c>
      <c r="T67" s="42">
        <f t="shared" si="3"/>
        <v>1.8196458751941578</v>
      </c>
      <c r="U67" s="7"/>
      <c r="V67" s="7"/>
      <c r="W67" s="7"/>
      <c r="X67" s="7"/>
      <c r="Y67" s="7"/>
      <c r="AK67" s="10"/>
      <c r="AL67" s="10"/>
      <c r="AM67" s="9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</row>
    <row r="68" spans="2:78" ht="24" customHeight="1" x14ac:dyDescent="0.2">
      <c r="B68" s="122">
        <v>31</v>
      </c>
      <c r="C68" s="113" t="s">
        <v>314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117"/>
      <c r="K68" s="5" t="s">
        <v>234</v>
      </c>
      <c r="L68" s="5">
        <v>60</v>
      </c>
      <c r="M68" s="5">
        <v>74</v>
      </c>
      <c r="N68" s="5">
        <v>69</v>
      </c>
      <c r="O68" s="5">
        <v>58</v>
      </c>
      <c r="P68" s="5">
        <v>68</v>
      </c>
      <c r="Q68" s="5">
        <v>59</v>
      </c>
      <c r="R68" s="129"/>
      <c r="S68" s="43">
        <f t="shared" si="2"/>
        <v>64.666666666666671</v>
      </c>
      <c r="T68" s="43">
        <f t="shared" si="3"/>
        <v>2.6791375063213496</v>
      </c>
      <c r="U68" s="7"/>
      <c r="V68" s="7"/>
      <c r="W68" s="7"/>
      <c r="X68" s="7"/>
      <c r="Y68" s="7"/>
    </row>
    <row r="69" spans="2:78" ht="24" customHeight="1" thickBot="1" x14ac:dyDescent="0.25">
      <c r="B69" s="116"/>
      <c r="C69" s="114"/>
      <c r="D69" s="12" t="e">
        <v>#N/A</v>
      </c>
      <c r="E69" s="12" t="e">
        <v>#N/A</v>
      </c>
      <c r="F69" s="12" t="e">
        <v>#N/A</v>
      </c>
      <c r="G69" s="12" t="e">
        <v>#N/A</v>
      </c>
      <c r="H69" s="12" t="e">
        <v>#N/A</v>
      </c>
      <c r="I69" s="12" t="e">
        <v>#N/A</v>
      </c>
      <c r="J69" s="116"/>
      <c r="K69" s="12" t="s">
        <v>233</v>
      </c>
      <c r="L69" s="12">
        <v>76</v>
      </c>
      <c r="M69" s="12">
        <v>74</v>
      </c>
      <c r="N69" s="12">
        <v>78</v>
      </c>
      <c r="O69" s="12">
        <v>73</v>
      </c>
      <c r="P69" s="12">
        <v>74</v>
      </c>
      <c r="Q69" s="12">
        <v>67</v>
      </c>
      <c r="R69" s="130"/>
      <c r="S69" s="42">
        <f t="shared" si="2"/>
        <v>73.666666666666671</v>
      </c>
      <c r="T69" s="42">
        <f t="shared" si="3"/>
        <v>1.5202339001321841</v>
      </c>
      <c r="U69" s="7"/>
      <c r="V69" s="7"/>
      <c r="W69" s="7"/>
      <c r="X69" s="7"/>
      <c r="Y69" s="7"/>
      <c r="AK69" s="10"/>
      <c r="AL69" s="10"/>
      <c r="AM69" s="9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</row>
    <row r="70" spans="2:78" ht="24" customHeight="1" x14ac:dyDescent="0.2">
      <c r="B70" s="122">
        <v>41</v>
      </c>
      <c r="C70" s="113" t="s">
        <v>310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118">
        <v>1231</v>
      </c>
      <c r="K70" s="5" t="s">
        <v>234</v>
      </c>
      <c r="L70" s="5">
        <v>69</v>
      </c>
      <c r="M70" s="5">
        <v>48</v>
      </c>
      <c r="N70" s="5">
        <v>47</v>
      </c>
      <c r="O70" s="5">
        <v>44</v>
      </c>
      <c r="P70" s="5">
        <v>35</v>
      </c>
      <c r="Q70" s="5">
        <v>41</v>
      </c>
      <c r="R70" s="129"/>
      <c r="S70" s="43">
        <f t="shared" si="2"/>
        <v>47.333333333333336</v>
      </c>
      <c r="T70" s="43">
        <f t="shared" si="3"/>
        <v>4.7375568011839686</v>
      </c>
      <c r="U70" s="7"/>
      <c r="V70" s="7"/>
      <c r="W70" s="7"/>
      <c r="X70" s="7"/>
      <c r="Y70" s="7"/>
    </row>
    <row r="71" spans="2:78" ht="24" customHeight="1" thickBot="1" x14ac:dyDescent="0.25">
      <c r="B71" s="116"/>
      <c r="C71" s="114"/>
      <c r="D71" s="12" t="e">
        <v>#N/A</v>
      </c>
      <c r="E71" s="12" t="e">
        <v>#N/A</v>
      </c>
      <c r="F71" s="12" t="e">
        <v>#N/A</v>
      </c>
      <c r="G71" s="12" t="e">
        <v>#N/A</v>
      </c>
      <c r="H71" s="12" t="e">
        <v>#N/A</v>
      </c>
      <c r="I71" s="12" t="e">
        <v>#N/A</v>
      </c>
      <c r="J71" s="116"/>
      <c r="K71" s="12" t="s">
        <v>233</v>
      </c>
      <c r="L71" s="12">
        <v>67</v>
      </c>
      <c r="M71" s="12">
        <v>57</v>
      </c>
      <c r="N71" s="12">
        <v>54</v>
      </c>
      <c r="O71" s="12">
        <v>49</v>
      </c>
      <c r="P71" s="12">
        <v>49</v>
      </c>
      <c r="Q71" s="12">
        <v>49</v>
      </c>
      <c r="R71" s="130"/>
      <c r="S71" s="42">
        <f t="shared" si="2"/>
        <v>54.166666666666664</v>
      </c>
      <c r="T71" s="42">
        <f t="shared" si="3"/>
        <v>2.9030635159737272</v>
      </c>
      <c r="U71" s="7"/>
      <c r="V71" s="7"/>
      <c r="W71" s="7"/>
      <c r="X71" s="7"/>
      <c r="Y71" s="7"/>
      <c r="AK71" s="10"/>
      <c r="AL71" s="10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</row>
    <row r="72" spans="2:78" ht="24" customHeight="1" x14ac:dyDescent="0.2">
      <c r="B72" s="122">
        <v>42</v>
      </c>
      <c r="C72" s="113" t="s">
        <v>238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117"/>
      <c r="K72" s="5" t="s">
        <v>234</v>
      </c>
      <c r="L72" s="5">
        <v>45</v>
      </c>
      <c r="M72" s="5">
        <v>48</v>
      </c>
      <c r="N72" s="5">
        <v>64</v>
      </c>
      <c r="O72" s="5">
        <v>48</v>
      </c>
      <c r="P72" s="5">
        <v>48</v>
      </c>
      <c r="Q72" s="5">
        <v>37</v>
      </c>
      <c r="R72" s="129"/>
      <c r="S72" s="43">
        <f t="shared" si="2"/>
        <v>48.333333333333336</v>
      </c>
      <c r="T72" s="43">
        <f t="shared" si="3"/>
        <v>3.5839146815241665</v>
      </c>
      <c r="U72" s="7"/>
      <c r="V72" s="7"/>
      <c r="W72" s="7"/>
      <c r="X72" s="7"/>
      <c r="Y72" s="7"/>
    </row>
    <row r="73" spans="2:78" ht="24" customHeight="1" thickBot="1" x14ac:dyDescent="0.25">
      <c r="B73" s="116"/>
      <c r="C73" s="114"/>
      <c r="D73" s="12" t="e">
        <v>#N/A</v>
      </c>
      <c r="E73" s="12" t="e">
        <v>#N/A</v>
      </c>
      <c r="F73" s="12" t="e">
        <v>#N/A</v>
      </c>
      <c r="G73" s="12" t="e">
        <v>#N/A</v>
      </c>
      <c r="H73" s="12" t="e">
        <v>#N/A</v>
      </c>
      <c r="I73" s="12" t="e">
        <v>#N/A</v>
      </c>
      <c r="J73" s="116"/>
      <c r="K73" s="12" t="s">
        <v>233</v>
      </c>
      <c r="L73" s="12">
        <v>54</v>
      </c>
      <c r="M73" s="12">
        <v>62</v>
      </c>
      <c r="N73" s="12">
        <v>63</v>
      </c>
      <c r="O73" s="12">
        <v>53</v>
      </c>
      <c r="P73" s="12">
        <v>59</v>
      </c>
      <c r="Q73" s="12">
        <v>46</v>
      </c>
      <c r="R73" s="130"/>
      <c r="S73" s="42">
        <f t="shared" si="2"/>
        <v>56.166666666666664</v>
      </c>
      <c r="T73" s="42">
        <f t="shared" si="3"/>
        <v>2.6257274124410563</v>
      </c>
      <c r="U73" s="7"/>
      <c r="V73" s="7"/>
      <c r="W73" s="7"/>
      <c r="X73" s="7"/>
      <c r="Y73" s="7"/>
      <c r="AK73" s="10"/>
      <c r="AL73" s="10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</row>
    <row r="74" spans="2:78" ht="24" customHeight="1" x14ac:dyDescent="0.2">
      <c r="B74" s="122">
        <v>43</v>
      </c>
      <c r="C74" s="113" t="s">
        <v>312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117"/>
      <c r="K74" s="5" t="s">
        <v>234</v>
      </c>
      <c r="L74" s="5">
        <v>56</v>
      </c>
      <c r="M74" s="5">
        <v>78</v>
      </c>
      <c r="N74" s="5">
        <v>63</v>
      </c>
      <c r="O74" s="5">
        <v>69</v>
      </c>
      <c r="P74" s="5">
        <v>67</v>
      </c>
      <c r="Q74" s="5">
        <v>82</v>
      </c>
      <c r="R74" s="129"/>
      <c r="S74" s="43">
        <f t="shared" ref="S74:S85" si="4">AVERAGE(L74:Q74)</f>
        <v>69.166666666666671</v>
      </c>
      <c r="T74" s="43">
        <f t="shared" ref="T74:T85" si="5">STDEV(L74:Q74)/SQRT(6)</f>
        <v>3.9108112258768521</v>
      </c>
      <c r="U74" s="7"/>
      <c r="V74" s="7"/>
      <c r="W74" s="7"/>
      <c r="X74" s="7"/>
      <c r="Y74" s="7"/>
    </row>
    <row r="75" spans="2:78" ht="24" customHeight="1" thickBot="1" x14ac:dyDescent="0.25">
      <c r="B75" s="116"/>
      <c r="C75" s="114"/>
      <c r="D75" s="12" t="e">
        <v>#N/A</v>
      </c>
      <c r="E75" s="12" t="e">
        <v>#N/A</v>
      </c>
      <c r="F75" s="12" t="e">
        <v>#N/A</v>
      </c>
      <c r="G75" s="12" t="e">
        <v>#N/A</v>
      </c>
      <c r="H75" s="12" t="e">
        <v>#N/A</v>
      </c>
      <c r="I75" s="12" t="e">
        <v>#N/A</v>
      </c>
      <c r="J75" s="116"/>
      <c r="K75" s="12" t="s">
        <v>233</v>
      </c>
      <c r="L75" s="12">
        <v>61</v>
      </c>
      <c r="M75" s="12">
        <v>76</v>
      </c>
      <c r="N75" s="12">
        <v>83</v>
      </c>
      <c r="O75" s="12">
        <v>74</v>
      </c>
      <c r="P75" s="12">
        <v>80</v>
      </c>
      <c r="Q75" s="12">
        <v>77</v>
      </c>
      <c r="R75" s="130"/>
      <c r="S75" s="42">
        <f t="shared" si="4"/>
        <v>75.166666666666671</v>
      </c>
      <c r="T75" s="42">
        <f t="shared" si="5"/>
        <v>3.1135902820449011</v>
      </c>
      <c r="U75" s="7"/>
      <c r="V75" s="7"/>
      <c r="W75" s="7"/>
      <c r="X75" s="7"/>
      <c r="Y75" s="7"/>
      <c r="AK75" s="10"/>
      <c r="AL75" s="10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</row>
    <row r="76" spans="2:78" ht="24" customHeight="1" x14ac:dyDescent="0.2">
      <c r="B76" s="122">
        <v>44</v>
      </c>
      <c r="C76" s="113" t="s">
        <v>312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6"/>
      <c r="K76" s="5" t="s">
        <v>234</v>
      </c>
      <c r="L76" s="5">
        <v>74</v>
      </c>
      <c r="M76" s="5">
        <v>56</v>
      </c>
      <c r="N76" s="5">
        <v>36</v>
      </c>
      <c r="O76" s="5">
        <v>56</v>
      </c>
      <c r="P76" s="5">
        <v>58</v>
      </c>
      <c r="Q76" s="5">
        <v>63</v>
      </c>
      <c r="R76" s="129"/>
      <c r="S76" s="43">
        <f t="shared" si="4"/>
        <v>57.166666666666664</v>
      </c>
      <c r="T76" s="43">
        <f t="shared" si="5"/>
        <v>5.0623885447264652</v>
      </c>
      <c r="U76" s="7"/>
      <c r="V76" s="7"/>
      <c r="W76" s="7"/>
      <c r="X76" s="7"/>
      <c r="Y76" s="7"/>
    </row>
    <row r="77" spans="2:78" ht="24" customHeight="1" thickBot="1" x14ac:dyDescent="0.25">
      <c r="B77" s="116"/>
      <c r="C77" s="114"/>
      <c r="D77" s="12" t="e">
        <v>#N/A</v>
      </c>
      <c r="E77" s="12" t="e">
        <v>#N/A</v>
      </c>
      <c r="F77" s="12" t="e">
        <v>#N/A</v>
      </c>
      <c r="G77" s="12" t="e">
        <v>#N/A</v>
      </c>
      <c r="H77" s="12" t="e">
        <v>#N/A</v>
      </c>
      <c r="I77" s="12" t="e">
        <v>#N/A</v>
      </c>
      <c r="J77" s="13"/>
      <c r="K77" s="12" t="s">
        <v>233</v>
      </c>
      <c r="L77" s="12">
        <v>86</v>
      </c>
      <c r="M77" s="12">
        <v>77</v>
      </c>
      <c r="N77" s="12">
        <v>62</v>
      </c>
      <c r="O77" s="12">
        <v>66</v>
      </c>
      <c r="P77" s="12">
        <v>61</v>
      </c>
      <c r="Q77" s="12">
        <v>65</v>
      </c>
      <c r="R77" s="130"/>
      <c r="S77" s="42">
        <f t="shared" si="4"/>
        <v>69.5</v>
      </c>
      <c r="T77" s="42">
        <f t="shared" si="5"/>
        <v>4.0393893928001878</v>
      </c>
      <c r="U77" s="7"/>
      <c r="V77" s="7"/>
      <c r="W77" s="7"/>
      <c r="X77" s="7"/>
      <c r="Y77" s="7"/>
      <c r="AK77" s="10"/>
      <c r="AL77" s="10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</row>
    <row r="78" spans="2:78" ht="24" customHeight="1" x14ac:dyDescent="0.2">
      <c r="B78" s="122">
        <v>45</v>
      </c>
      <c r="C78" s="113" t="s">
        <v>313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117"/>
      <c r="K78" s="5" t="s">
        <v>234</v>
      </c>
      <c r="L78" s="5">
        <v>65</v>
      </c>
      <c r="M78" s="5">
        <v>76</v>
      </c>
      <c r="N78" s="5">
        <v>62</v>
      </c>
      <c r="O78" s="5">
        <v>78</v>
      </c>
      <c r="P78" s="5">
        <v>69</v>
      </c>
      <c r="Q78" s="5">
        <v>79</v>
      </c>
      <c r="R78" s="129"/>
      <c r="S78" s="43">
        <f t="shared" si="4"/>
        <v>71.5</v>
      </c>
      <c r="T78" s="43">
        <f t="shared" si="5"/>
        <v>2.9297326385411577</v>
      </c>
      <c r="U78" s="7"/>
      <c r="V78" s="7"/>
      <c r="W78" s="7"/>
      <c r="X78" s="7"/>
      <c r="Y78" s="7"/>
    </row>
    <row r="79" spans="2:78" ht="24" customHeight="1" thickBot="1" x14ac:dyDescent="0.25">
      <c r="B79" s="116"/>
      <c r="C79" s="114"/>
      <c r="D79" s="12" t="e">
        <v>#N/A</v>
      </c>
      <c r="E79" s="12" t="e">
        <v>#N/A</v>
      </c>
      <c r="F79" s="12" t="e">
        <v>#N/A</v>
      </c>
      <c r="G79" s="12" t="e">
        <v>#N/A</v>
      </c>
      <c r="H79" s="12" t="e">
        <v>#N/A</v>
      </c>
      <c r="I79" s="12" t="e">
        <v>#N/A</v>
      </c>
      <c r="J79" s="116"/>
      <c r="K79" s="12" t="s">
        <v>233</v>
      </c>
      <c r="L79" s="12">
        <v>82</v>
      </c>
      <c r="M79" s="12">
        <v>75</v>
      </c>
      <c r="N79" s="12">
        <v>72</v>
      </c>
      <c r="O79" s="12">
        <v>91</v>
      </c>
      <c r="P79" s="12">
        <v>89</v>
      </c>
      <c r="Q79" s="12">
        <v>82</v>
      </c>
      <c r="R79" s="130"/>
      <c r="S79" s="42">
        <f t="shared" si="4"/>
        <v>81.833333333333329</v>
      </c>
      <c r="T79" s="42">
        <f t="shared" si="5"/>
        <v>3.0486791311065269</v>
      </c>
      <c r="U79" s="7"/>
      <c r="V79" s="7"/>
      <c r="W79" s="7"/>
      <c r="X79" s="7"/>
      <c r="Y79" s="7"/>
      <c r="AK79" s="10"/>
      <c r="AL79" s="10"/>
      <c r="AM79" s="9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</row>
    <row r="80" spans="2:78" ht="24" customHeight="1" x14ac:dyDescent="0.2">
      <c r="B80" s="122">
        <v>46</v>
      </c>
      <c r="C80" s="113" t="s">
        <v>236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117"/>
      <c r="K80" s="44" t="s">
        <v>234</v>
      </c>
      <c r="L80" s="44">
        <v>55</v>
      </c>
      <c r="M80" s="44">
        <v>71</v>
      </c>
      <c r="N80" s="44">
        <v>76</v>
      </c>
      <c r="O80" s="44">
        <v>67</v>
      </c>
      <c r="P80" s="44">
        <v>72</v>
      </c>
      <c r="Q80" s="44">
        <v>77</v>
      </c>
      <c r="R80" s="129"/>
      <c r="S80" s="43">
        <f t="shared" si="4"/>
        <v>69.666666666666671</v>
      </c>
      <c r="T80" s="43">
        <f t="shared" si="5"/>
        <v>3.2829526005986955</v>
      </c>
      <c r="U80" s="7"/>
      <c r="V80" s="7"/>
      <c r="W80" s="7"/>
      <c r="X80" s="7"/>
      <c r="Y80" s="7"/>
    </row>
    <row r="81" spans="2:25" ht="24" customHeight="1" thickBot="1" x14ac:dyDescent="0.25">
      <c r="B81" s="116"/>
      <c r="C81" s="114"/>
      <c r="D81" s="5" t="e">
        <v>#N/A</v>
      </c>
      <c r="E81" s="5" t="e">
        <v>#N/A</v>
      </c>
      <c r="F81" s="5" t="e">
        <v>#N/A</v>
      </c>
      <c r="G81" s="5" t="e">
        <v>#N/A</v>
      </c>
      <c r="H81" s="5" t="e">
        <v>#N/A</v>
      </c>
      <c r="I81" s="5" t="e">
        <v>#N/A</v>
      </c>
      <c r="J81" s="116"/>
      <c r="K81" s="12" t="s">
        <v>233</v>
      </c>
      <c r="L81" s="12">
        <v>71</v>
      </c>
      <c r="M81" s="12">
        <v>71</v>
      </c>
      <c r="N81" s="12">
        <v>79</v>
      </c>
      <c r="O81" s="12">
        <v>79</v>
      </c>
      <c r="P81" s="12">
        <v>73</v>
      </c>
      <c r="Q81" s="12">
        <v>80</v>
      </c>
      <c r="R81" s="130"/>
      <c r="S81" s="42">
        <f t="shared" si="4"/>
        <v>75.5</v>
      </c>
      <c r="T81" s="42">
        <f t="shared" si="5"/>
        <v>1.7464249196572983</v>
      </c>
      <c r="U81" s="7"/>
      <c r="V81" s="7"/>
      <c r="W81" s="7"/>
      <c r="X81" s="7"/>
      <c r="Y81" s="7"/>
    </row>
    <row r="82" spans="2:25" ht="24" customHeight="1" x14ac:dyDescent="0.2">
      <c r="B82" s="122">
        <v>47</v>
      </c>
      <c r="C82" s="113" t="s">
        <v>310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117"/>
      <c r="K82" s="44" t="s">
        <v>234</v>
      </c>
      <c r="L82" s="44">
        <v>53</v>
      </c>
      <c r="M82" s="44">
        <v>54</v>
      </c>
      <c r="N82" s="44">
        <v>53</v>
      </c>
      <c r="O82" s="44">
        <v>48</v>
      </c>
      <c r="P82" s="44">
        <v>54</v>
      </c>
      <c r="Q82" s="44">
        <v>54</v>
      </c>
      <c r="R82" s="129"/>
      <c r="S82" s="43">
        <f t="shared" si="4"/>
        <v>52.666666666666664</v>
      </c>
      <c r="T82" s="43">
        <f t="shared" si="5"/>
        <v>0.95452140421842369</v>
      </c>
    </row>
    <row r="83" spans="2:25" ht="24" customHeight="1" thickBot="1" x14ac:dyDescent="0.25">
      <c r="B83" s="116"/>
      <c r="C83" s="114"/>
      <c r="D83" s="5" t="e">
        <v>#N/A</v>
      </c>
      <c r="E83" s="5" t="e">
        <v>#N/A</v>
      </c>
      <c r="F83" s="5" t="e">
        <v>#N/A</v>
      </c>
      <c r="G83" s="5" t="e">
        <v>#N/A</v>
      </c>
      <c r="H83" s="5" t="e">
        <v>#N/A</v>
      </c>
      <c r="I83" s="5" t="e">
        <v>#N/A</v>
      </c>
      <c r="J83" s="116"/>
      <c r="K83" s="12" t="s">
        <v>233</v>
      </c>
      <c r="L83" s="12">
        <v>54</v>
      </c>
      <c r="M83" s="12">
        <v>64</v>
      </c>
      <c r="N83" s="12">
        <v>60</v>
      </c>
      <c r="O83" s="12">
        <v>67</v>
      </c>
      <c r="P83" s="12">
        <v>62</v>
      </c>
      <c r="Q83" s="12">
        <v>59</v>
      </c>
      <c r="R83" s="130"/>
      <c r="S83" s="42">
        <f t="shared" si="4"/>
        <v>61</v>
      </c>
      <c r="T83" s="42">
        <f t="shared" si="5"/>
        <v>1.825741858350554</v>
      </c>
    </row>
    <row r="84" spans="2:25" ht="24" customHeight="1" x14ac:dyDescent="0.2">
      <c r="B84" s="122">
        <v>48</v>
      </c>
      <c r="C84" s="113" t="s">
        <v>311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118">
        <v>1249</v>
      </c>
      <c r="K84" s="44" t="s">
        <v>234</v>
      </c>
      <c r="L84" s="44">
        <v>87</v>
      </c>
      <c r="M84" s="44">
        <v>72</v>
      </c>
      <c r="N84" s="44">
        <v>65</v>
      </c>
      <c r="O84" s="44">
        <v>60</v>
      </c>
      <c r="P84" s="44">
        <v>56</v>
      </c>
      <c r="Q84" s="44">
        <v>58</v>
      </c>
      <c r="R84" s="129"/>
      <c r="S84" s="43">
        <f t="shared" si="4"/>
        <v>66.333333333333329</v>
      </c>
      <c r="T84" s="43">
        <f t="shared" si="5"/>
        <v>4.751607914988119</v>
      </c>
    </row>
    <row r="85" spans="2:25" ht="24" customHeight="1" thickBot="1" x14ac:dyDescent="0.25">
      <c r="B85" s="116"/>
      <c r="C85" s="114"/>
      <c r="D85" s="5" t="e">
        <v>#N/A</v>
      </c>
      <c r="E85" s="5" t="e">
        <v>#N/A</v>
      </c>
      <c r="F85" s="5" t="e">
        <v>#N/A</v>
      </c>
      <c r="G85" s="5" t="e">
        <v>#N/A</v>
      </c>
      <c r="H85" s="5" t="e">
        <v>#N/A</v>
      </c>
      <c r="I85" s="5" t="e">
        <v>#N/A</v>
      </c>
      <c r="J85" s="116"/>
      <c r="K85" s="12" t="s">
        <v>233</v>
      </c>
      <c r="L85" s="12">
        <v>90</v>
      </c>
      <c r="M85" s="12">
        <v>59</v>
      </c>
      <c r="N85" s="12">
        <v>74</v>
      </c>
      <c r="O85" s="12">
        <v>66</v>
      </c>
      <c r="P85" s="12">
        <v>66</v>
      </c>
      <c r="Q85" s="12">
        <v>73</v>
      </c>
      <c r="R85" s="130"/>
      <c r="S85" s="42">
        <f t="shared" si="4"/>
        <v>71.333333333333329</v>
      </c>
      <c r="T85" s="42">
        <f t="shared" si="5"/>
        <v>4.348690735280111</v>
      </c>
    </row>
    <row r="86" spans="2:25" x14ac:dyDescent="0.2">
      <c r="K86" s="2"/>
    </row>
    <row r="87" spans="2:25" x14ac:dyDescent="0.2">
      <c r="K87" s="2"/>
    </row>
    <row r="88" spans="2:25" x14ac:dyDescent="0.2">
      <c r="K88" s="2"/>
    </row>
  </sheetData>
  <mergeCells count="155">
    <mergeCell ref="AK5:AM5"/>
    <mergeCell ref="B8:K8"/>
    <mergeCell ref="B10:B11"/>
    <mergeCell ref="S7:S8"/>
    <mergeCell ref="T7:T8"/>
    <mergeCell ref="L6:Q6"/>
    <mergeCell ref="R7:R8"/>
    <mergeCell ref="B32:B33"/>
    <mergeCell ref="B34:B35"/>
    <mergeCell ref="B20:B21"/>
    <mergeCell ref="B22:B23"/>
    <mergeCell ref="B24:B25"/>
    <mergeCell ref="B26:B27"/>
    <mergeCell ref="B12:B13"/>
    <mergeCell ref="B14:B15"/>
    <mergeCell ref="B16:B17"/>
    <mergeCell ref="B18:B19"/>
    <mergeCell ref="C10:C11"/>
    <mergeCell ref="C28:C29"/>
    <mergeCell ref="C30:C31"/>
    <mergeCell ref="C32:C33"/>
    <mergeCell ref="C34:C35"/>
    <mergeCell ref="R32:R33"/>
    <mergeCell ref="R34:R35"/>
    <mergeCell ref="C36:C37"/>
    <mergeCell ref="C38:C39"/>
    <mergeCell ref="B68:B69"/>
    <mergeCell ref="B70:B71"/>
    <mergeCell ref="B60:B61"/>
    <mergeCell ref="B62:B63"/>
    <mergeCell ref="B64:B65"/>
    <mergeCell ref="B66:B67"/>
    <mergeCell ref="B52:B53"/>
    <mergeCell ref="B54:B55"/>
    <mergeCell ref="B56:B57"/>
    <mergeCell ref="B58:B59"/>
    <mergeCell ref="B44:B45"/>
    <mergeCell ref="B46:B47"/>
    <mergeCell ref="B48:B49"/>
    <mergeCell ref="B50:B51"/>
    <mergeCell ref="B36:B37"/>
    <mergeCell ref="B38:B39"/>
    <mergeCell ref="B40:B41"/>
    <mergeCell ref="C52:C53"/>
    <mergeCell ref="C54:C55"/>
    <mergeCell ref="C40:C41"/>
    <mergeCell ref="C42:C43"/>
    <mergeCell ref="C44:C45"/>
    <mergeCell ref="C46:C47"/>
    <mergeCell ref="B82:B83"/>
    <mergeCell ref="B84:B85"/>
    <mergeCell ref="C12:C13"/>
    <mergeCell ref="C14:C15"/>
    <mergeCell ref="C16:C17"/>
    <mergeCell ref="C18:C19"/>
    <mergeCell ref="C20:C21"/>
    <mergeCell ref="C22:C23"/>
    <mergeCell ref="C24:C25"/>
    <mergeCell ref="C26:C27"/>
    <mergeCell ref="B76:B77"/>
    <mergeCell ref="B78:B79"/>
    <mergeCell ref="B80:B81"/>
    <mergeCell ref="B72:B73"/>
    <mergeCell ref="B74:B75"/>
    <mergeCell ref="B42:B43"/>
    <mergeCell ref="B28:B29"/>
    <mergeCell ref="B30:B31"/>
    <mergeCell ref="C80:C81"/>
    <mergeCell ref="C74:C75"/>
    <mergeCell ref="C76:C77"/>
    <mergeCell ref="C78:C79"/>
    <mergeCell ref="C64:C65"/>
    <mergeCell ref="C82:C83"/>
    <mergeCell ref="C84:C85"/>
    <mergeCell ref="J10:J11"/>
    <mergeCell ref="J12:J13"/>
    <mergeCell ref="J14:J15"/>
    <mergeCell ref="J16:J17"/>
    <mergeCell ref="J18:J19"/>
    <mergeCell ref="J20:J21"/>
    <mergeCell ref="J24:J25"/>
    <mergeCell ref="C72:C73"/>
    <mergeCell ref="C66:C67"/>
    <mergeCell ref="C68:C69"/>
    <mergeCell ref="C70:C71"/>
    <mergeCell ref="C56:C57"/>
    <mergeCell ref="C58:C59"/>
    <mergeCell ref="C60:C61"/>
    <mergeCell ref="C62:C63"/>
    <mergeCell ref="C48:C49"/>
    <mergeCell ref="C50:C51"/>
    <mergeCell ref="J84:J85"/>
    <mergeCell ref="J70:J71"/>
    <mergeCell ref="J72:J73"/>
    <mergeCell ref="J74:J75"/>
    <mergeCell ref="J78:J79"/>
    <mergeCell ref="R14:R15"/>
    <mergeCell ref="R16:R17"/>
    <mergeCell ref="R18:R19"/>
    <mergeCell ref="R10:R13"/>
    <mergeCell ref="J80:J81"/>
    <mergeCell ref="J34:J35"/>
    <mergeCell ref="J36:J37"/>
    <mergeCell ref="J40:J41"/>
    <mergeCell ref="J38:J39"/>
    <mergeCell ref="J26:J27"/>
    <mergeCell ref="J22:J23"/>
    <mergeCell ref="J28:J29"/>
    <mergeCell ref="J32:J33"/>
    <mergeCell ref="J30:J31"/>
    <mergeCell ref="R36:R37"/>
    <mergeCell ref="R38:R39"/>
    <mergeCell ref="R40:R41"/>
    <mergeCell ref="R42:R43"/>
    <mergeCell ref="R28:R29"/>
    <mergeCell ref="R30:R31"/>
    <mergeCell ref="R20:R21"/>
    <mergeCell ref="R22:R23"/>
    <mergeCell ref="R24:R25"/>
    <mergeCell ref="R26:R27"/>
    <mergeCell ref="J82:J83"/>
    <mergeCell ref="J54:J55"/>
    <mergeCell ref="J56:J57"/>
    <mergeCell ref="J58:J59"/>
    <mergeCell ref="J60:J61"/>
    <mergeCell ref="J42:J43"/>
    <mergeCell ref="J44:J45"/>
    <mergeCell ref="J46:J47"/>
    <mergeCell ref="J52:J53"/>
    <mergeCell ref="J50:J51"/>
    <mergeCell ref="J62:J63"/>
    <mergeCell ref="J64:J65"/>
    <mergeCell ref="J66:J67"/>
    <mergeCell ref="J68:J69"/>
    <mergeCell ref="R60:R61"/>
    <mergeCell ref="R62:R63"/>
    <mergeCell ref="R64:R65"/>
    <mergeCell ref="R66:R67"/>
    <mergeCell ref="R52:R53"/>
    <mergeCell ref="R54:R55"/>
    <mergeCell ref="R56:R57"/>
    <mergeCell ref="R58:R59"/>
    <mergeCell ref="R44:R45"/>
    <mergeCell ref="R46:R47"/>
    <mergeCell ref="R48:R49"/>
    <mergeCell ref="R50:R51"/>
    <mergeCell ref="R84:R85"/>
    <mergeCell ref="R76:R77"/>
    <mergeCell ref="R78:R79"/>
    <mergeCell ref="R80:R81"/>
    <mergeCell ref="R82:R83"/>
    <mergeCell ref="R68:R69"/>
    <mergeCell ref="R70:R71"/>
    <mergeCell ref="R72:R73"/>
    <mergeCell ref="R74:R75"/>
  </mergeCells>
  <pageMargins left="0.51" right="0" top="0.49" bottom="0" header="0.64" footer="0"/>
  <pageSetup paperSize="512" scale="59" fitToHeight="2" orientation="portrait" r:id="rId1"/>
  <headerFooter alignWithMargins="0">
    <oddFooter>&amp;L&amp;F   ALARC Remote Sensing&amp;R&amp;D</oddFooter>
  </headerFooter>
  <rowBreaks count="1" manualBreakCount="1">
    <brk id="37" max="1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09FE-0B14-422C-A064-76D297DD3D0B}">
  <dimension ref="A1:BZ88"/>
  <sheetViews>
    <sheetView zoomScaleNormal="100" workbookViewId="0"/>
  </sheetViews>
  <sheetFormatPr defaultRowHeight="12.75" x14ac:dyDescent="0.2"/>
  <cols>
    <col min="1" max="1" width="9.140625" style="1"/>
    <col min="2" max="2" width="6.28515625" style="1" customWidth="1"/>
    <col min="3" max="3" width="14.7109375" style="1" customWidth="1"/>
    <col min="4" max="8" width="5.28515625" style="1" hidden="1" customWidth="1"/>
    <col min="9" max="9" width="7" style="1" hidden="1" customWidth="1"/>
    <col min="10" max="17" width="12.7109375" style="1" customWidth="1"/>
    <col min="18" max="18" width="36.140625" style="1" customWidth="1"/>
    <col min="19" max="20" width="10.85546875" style="1" bestFit="1" customWidth="1"/>
    <col min="21" max="26" width="9.140625" style="1"/>
    <col min="27" max="27" width="7.5703125" style="1" customWidth="1"/>
    <col min="28" max="37" width="7.7109375" style="1" customWidth="1"/>
    <col min="38" max="16384" width="9.140625" style="1"/>
  </cols>
  <sheetData>
    <row r="1" spans="1:78" ht="15" customHeight="1" x14ac:dyDescent="0.25">
      <c r="A1" s="41" t="s">
        <v>280</v>
      </c>
    </row>
    <row r="2" spans="1:78" ht="20.100000000000001" customHeight="1" thickBot="1" x14ac:dyDescent="0.3">
      <c r="A2" s="41"/>
      <c r="M2" s="40"/>
      <c r="P2" s="8" t="s">
        <v>279</v>
      </c>
      <c r="Q2" s="39" t="s">
        <v>294</v>
      </c>
      <c r="R2" s="54"/>
    </row>
    <row r="3" spans="1:78" ht="20.100000000000001" customHeight="1" thickBot="1" x14ac:dyDescent="0.25">
      <c r="B3" s="1" t="s">
        <v>278</v>
      </c>
      <c r="D3" s="38"/>
      <c r="E3" s="38"/>
      <c r="F3" s="38"/>
      <c r="G3" s="38"/>
      <c r="H3" s="38"/>
      <c r="I3" s="38"/>
      <c r="J3" s="38" t="s">
        <v>293</v>
      </c>
      <c r="K3" s="38"/>
      <c r="L3" s="38"/>
      <c r="M3" s="38"/>
      <c r="N3" s="38"/>
      <c r="O3" s="38"/>
      <c r="P3" s="8" t="s">
        <v>276</v>
      </c>
      <c r="Q3" s="36">
        <v>220</v>
      </c>
      <c r="R3" s="53"/>
    </row>
    <row r="4" spans="1:78" ht="20.100000000000001" customHeight="1" thickBot="1" x14ac:dyDescent="0.25">
      <c r="B4" s="38"/>
      <c r="C4" s="38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8" t="s">
        <v>274</v>
      </c>
      <c r="Q4" s="36" t="s">
        <v>286</v>
      </c>
      <c r="R4" s="53"/>
    </row>
    <row r="5" spans="1:78" ht="18" x14ac:dyDescent="0.2">
      <c r="AJ5" s="35"/>
      <c r="AK5" s="99"/>
      <c r="AL5" s="99"/>
      <c r="AM5" s="99"/>
    </row>
    <row r="6" spans="1:78" ht="18" x14ac:dyDescent="0.25">
      <c r="L6" s="109" t="s">
        <v>272</v>
      </c>
      <c r="M6" s="110"/>
      <c r="N6" s="110"/>
      <c r="O6" s="110"/>
      <c r="P6" s="110"/>
      <c r="Q6" s="111"/>
      <c r="R6" s="52"/>
      <c r="AJ6" s="35"/>
      <c r="AK6" s="34"/>
      <c r="AL6" s="34"/>
      <c r="AM6" s="34"/>
    </row>
    <row r="7" spans="1:78" ht="25.5" customHeight="1" x14ac:dyDescent="0.2">
      <c r="B7" s="32" t="s">
        <v>256</v>
      </c>
      <c r="C7" s="33" t="s">
        <v>255</v>
      </c>
      <c r="D7" s="33" t="s">
        <v>271</v>
      </c>
      <c r="E7" s="32" t="s">
        <v>270</v>
      </c>
      <c r="F7" s="33" t="s">
        <v>269</v>
      </c>
      <c r="G7" s="32" t="s">
        <v>268</v>
      </c>
      <c r="H7" s="32" t="s">
        <v>250</v>
      </c>
      <c r="I7" s="32" t="s">
        <v>267</v>
      </c>
      <c r="J7" s="32" t="s">
        <v>248</v>
      </c>
      <c r="K7" s="31" t="s">
        <v>266</v>
      </c>
      <c r="L7" s="30" t="s">
        <v>265</v>
      </c>
      <c r="M7" s="30" t="s">
        <v>264</v>
      </c>
      <c r="N7" s="30" t="s">
        <v>264</v>
      </c>
      <c r="O7" s="30" t="s">
        <v>263</v>
      </c>
      <c r="P7" s="30" t="s">
        <v>262</v>
      </c>
      <c r="Q7" s="30" t="s">
        <v>261</v>
      </c>
      <c r="R7" s="113" t="s">
        <v>285</v>
      </c>
      <c r="S7" s="105" t="s">
        <v>260</v>
      </c>
      <c r="T7" s="113" t="s">
        <v>259</v>
      </c>
      <c r="AJ7" s="29"/>
      <c r="AK7" s="2"/>
      <c r="AL7" s="2"/>
    </row>
    <row r="8" spans="1:78" ht="15.75" customHeight="1" thickBot="1" x14ac:dyDescent="0.25">
      <c r="B8" s="100" t="s">
        <v>258</v>
      </c>
      <c r="C8" s="101"/>
      <c r="D8" s="101"/>
      <c r="E8" s="101"/>
      <c r="F8" s="101"/>
      <c r="G8" s="101"/>
      <c r="H8" s="101"/>
      <c r="I8" s="101"/>
      <c r="J8" s="101"/>
      <c r="K8" s="102"/>
      <c r="L8" s="27" t="s">
        <v>257</v>
      </c>
      <c r="M8" s="27" t="s">
        <v>257</v>
      </c>
      <c r="N8" s="28" t="s">
        <v>257</v>
      </c>
      <c r="O8" s="27" t="s">
        <v>257</v>
      </c>
      <c r="P8" s="27" t="s">
        <v>257</v>
      </c>
      <c r="Q8" s="27" t="s">
        <v>257</v>
      </c>
      <c r="R8" s="114"/>
      <c r="S8" s="106"/>
      <c r="T8" s="121"/>
      <c r="AK8" s="10"/>
      <c r="AL8" s="10"/>
      <c r="AM8" s="10"/>
    </row>
    <row r="9" spans="1:78" ht="15.75" hidden="1" customHeight="1" x14ac:dyDescent="0.2">
      <c r="B9" s="24" t="s">
        <v>256</v>
      </c>
      <c r="C9" s="26" t="s">
        <v>255</v>
      </c>
      <c r="D9" s="26" t="s">
        <v>254</v>
      </c>
      <c r="E9" s="24" t="s">
        <v>253</v>
      </c>
      <c r="F9" s="26" t="s">
        <v>252</v>
      </c>
      <c r="G9" s="24" t="s">
        <v>251</v>
      </c>
      <c r="H9" s="24" t="s">
        <v>250</v>
      </c>
      <c r="I9" s="24" t="s">
        <v>249</v>
      </c>
      <c r="J9" s="23" t="s">
        <v>248</v>
      </c>
      <c r="K9" s="23" t="s">
        <v>247</v>
      </c>
      <c r="L9" s="25" t="s">
        <v>246</v>
      </c>
      <c r="M9" s="25" t="s">
        <v>245</v>
      </c>
      <c r="N9" s="25" t="s">
        <v>244</v>
      </c>
      <c r="O9" s="25" t="s">
        <v>243</v>
      </c>
      <c r="P9" s="25" t="s">
        <v>242</v>
      </c>
      <c r="Q9" s="25" t="s">
        <v>241</v>
      </c>
      <c r="R9" s="51"/>
      <c r="S9" s="24" t="s">
        <v>240</v>
      </c>
      <c r="T9" s="23" t="s">
        <v>239</v>
      </c>
      <c r="AK9" s="10"/>
      <c r="AL9" s="10"/>
      <c r="AM9" s="10"/>
    </row>
    <row r="10" spans="1:78" ht="24" customHeight="1" x14ac:dyDescent="0.2">
      <c r="B10" s="120">
        <v>2</v>
      </c>
      <c r="C10" s="113" t="s">
        <v>308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115">
        <v>1232</v>
      </c>
      <c r="K10" s="5" t="s">
        <v>234</v>
      </c>
      <c r="L10" s="5">
        <v>76</v>
      </c>
      <c r="M10" s="5">
        <v>102</v>
      </c>
      <c r="N10" s="5">
        <v>87</v>
      </c>
      <c r="O10" s="5">
        <v>77</v>
      </c>
      <c r="P10" s="5">
        <v>92</v>
      </c>
      <c r="Q10" s="5">
        <v>71</v>
      </c>
      <c r="R10" s="134" t="s">
        <v>284</v>
      </c>
      <c r="S10" s="43">
        <f t="shared" ref="S10:S41" si="0">AVERAGE(L10:Q10)</f>
        <v>84.166666666666671</v>
      </c>
      <c r="T10" s="43">
        <f t="shared" ref="T10:T41" si="1">STDEV(L10:Q10)/SQRT(6)</f>
        <v>4.7568663821656649</v>
      </c>
      <c r="U10" s="7"/>
      <c r="V10" s="7"/>
      <c r="W10" s="7"/>
      <c r="X10" s="7"/>
      <c r="Y10" s="7"/>
      <c r="AK10" s="10"/>
      <c r="AL10" s="10"/>
      <c r="AM10" s="9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</row>
    <row r="11" spans="1:78" ht="24" customHeight="1" thickBot="1" x14ac:dyDescent="0.25">
      <c r="B11" s="116"/>
      <c r="C11" s="114"/>
      <c r="D11" s="12" t="e">
        <v>#N/A</v>
      </c>
      <c r="E11" s="12" t="e">
        <v>#N/A</v>
      </c>
      <c r="F11" s="12" t="e">
        <v>#N/A</v>
      </c>
      <c r="G11" s="12" t="e">
        <v>#N/A</v>
      </c>
      <c r="H11" s="12" t="e">
        <v>#N/A</v>
      </c>
      <c r="I11" s="12" t="e">
        <v>#N/A</v>
      </c>
      <c r="J11" s="116"/>
      <c r="K11" s="12" t="s">
        <v>233</v>
      </c>
      <c r="L11" s="12">
        <v>81</v>
      </c>
      <c r="M11" s="12">
        <v>91</v>
      </c>
      <c r="N11" s="12">
        <v>85</v>
      </c>
      <c r="O11" s="12">
        <v>81</v>
      </c>
      <c r="P11" s="12">
        <v>89</v>
      </c>
      <c r="Q11" s="12">
        <v>89</v>
      </c>
      <c r="R11" s="135"/>
      <c r="S11" s="42">
        <f t="shared" si="0"/>
        <v>86</v>
      </c>
      <c r="T11" s="42">
        <f t="shared" si="1"/>
        <v>1.7701224063135674</v>
      </c>
      <c r="U11" s="7"/>
      <c r="V11" s="7"/>
      <c r="W11" s="7"/>
      <c r="X11" s="7"/>
      <c r="Y11" s="7"/>
      <c r="AK11" s="10"/>
      <c r="AL11" s="10"/>
      <c r="AM11" s="9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</row>
    <row r="12" spans="1:78" ht="24" customHeight="1" x14ac:dyDescent="0.2">
      <c r="B12" s="120">
        <v>4</v>
      </c>
      <c r="C12" s="113" t="s">
        <v>308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117"/>
      <c r="K12" s="22" t="s">
        <v>234</v>
      </c>
      <c r="L12" s="22">
        <v>75</v>
      </c>
      <c r="M12" s="22">
        <v>90</v>
      </c>
      <c r="N12" s="22">
        <v>91</v>
      </c>
      <c r="O12" s="22">
        <v>74</v>
      </c>
      <c r="P12" s="22">
        <v>91</v>
      </c>
      <c r="Q12" s="22">
        <v>41</v>
      </c>
      <c r="R12" s="135"/>
      <c r="S12" s="43">
        <f t="shared" si="0"/>
        <v>77</v>
      </c>
      <c r="T12" s="43">
        <f t="shared" si="1"/>
        <v>7.8951461882180078</v>
      </c>
      <c r="U12" s="7"/>
      <c r="V12" s="20"/>
      <c r="W12" s="7"/>
      <c r="X12" s="19"/>
      <c r="Y12" s="7"/>
      <c r="AK12" s="10"/>
      <c r="AL12" s="10"/>
      <c r="AM12" s="10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</row>
    <row r="13" spans="1:78" ht="24" customHeight="1" thickBot="1" x14ac:dyDescent="0.25">
      <c r="B13" s="116"/>
      <c r="C13" s="114"/>
      <c r="D13" s="12" t="e">
        <v>#N/A</v>
      </c>
      <c r="E13" s="12" t="e">
        <v>#N/A</v>
      </c>
      <c r="F13" s="12" t="e">
        <v>#N/A</v>
      </c>
      <c r="G13" s="12" t="e">
        <v>#N/A</v>
      </c>
      <c r="H13" s="12" t="e">
        <v>#N/A</v>
      </c>
      <c r="I13" s="12" t="e">
        <v>#N/A</v>
      </c>
      <c r="J13" s="116"/>
      <c r="K13" s="12" t="s">
        <v>233</v>
      </c>
      <c r="L13" s="12">
        <v>94</v>
      </c>
      <c r="M13" s="12">
        <v>98</v>
      </c>
      <c r="N13" s="12">
        <v>104</v>
      </c>
      <c r="O13" s="12">
        <v>104</v>
      </c>
      <c r="P13" s="12">
        <v>108</v>
      </c>
      <c r="Q13" s="12">
        <v>72</v>
      </c>
      <c r="R13" s="136"/>
      <c r="S13" s="42">
        <f t="shared" si="0"/>
        <v>96.666666666666671</v>
      </c>
      <c r="T13" s="42">
        <f t="shared" si="1"/>
        <v>5.333333333333341</v>
      </c>
      <c r="U13" s="7"/>
      <c r="V13" s="7"/>
      <c r="W13" s="7"/>
      <c r="X13" s="7"/>
      <c r="Y13" s="7"/>
      <c r="AK13" s="10"/>
      <c r="AL13" s="10"/>
      <c r="AM13" s="9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</row>
    <row r="14" spans="1:78" ht="24" customHeight="1" x14ac:dyDescent="0.2">
      <c r="B14" s="120">
        <v>5</v>
      </c>
      <c r="C14" s="113" t="s">
        <v>308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117"/>
      <c r="K14" s="5" t="s">
        <v>234</v>
      </c>
      <c r="L14" s="5">
        <v>99</v>
      </c>
      <c r="M14" s="5">
        <v>54</v>
      </c>
      <c r="N14" s="5">
        <v>86</v>
      </c>
      <c r="O14" s="5">
        <v>82</v>
      </c>
      <c r="P14" s="5">
        <v>82</v>
      </c>
      <c r="Q14" s="5">
        <v>95</v>
      </c>
      <c r="R14" s="124"/>
      <c r="S14" s="43">
        <f t="shared" si="0"/>
        <v>83</v>
      </c>
      <c r="T14" s="43">
        <f t="shared" si="1"/>
        <v>6.4601341575336759</v>
      </c>
      <c r="U14" s="7"/>
      <c r="V14" s="7"/>
      <c r="W14" s="7"/>
      <c r="X14" s="7"/>
      <c r="Y14" s="7"/>
      <c r="AK14" s="10"/>
      <c r="AL14" s="10"/>
      <c r="AM14" s="10"/>
    </row>
    <row r="15" spans="1:78" ht="24" customHeight="1" thickBot="1" x14ac:dyDescent="0.25">
      <c r="B15" s="116"/>
      <c r="C15" s="114"/>
      <c r="D15" s="12" t="e">
        <v>#N/A</v>
      </c>
      <c r="E15" s="12" t="e">
        <v>#N/A</v>
      </c>
      <c r="F15" s="12" t="e">
        <v>#N/A</v>
      </c>
      <c r="G15" s="12" t="e">
        <v>#N/A</v>
      </c>
      <c r="H15" s="12" t="e">
        <v>#N/A</v>
      </c>
      <c r="I15" s="12" t="e">
        <v>#N/A</v>
      </c>
      <c r="J15" s="116"/>
      <c r="K15" s="12" t="s">
        <v>233</v>
      </c>
      <c r="L15" s="12">
        <v>104</v>
      </c>
      <c r="M15" s="12">
        <v>74</v>
      </c>
      <c r="N15" s="12">
        <v>102</v>
      </c>
      <c r="O15" s="12">
        <v>99</v>
      </c>
      <c r="P15" s="12">
        <v>96</v>
      </c>
      <c r="Q15" s="12">
        <v>101</v>
      </c>
      <c r="R15" s="125"/>
      <c r="S15" s="42">
        <f t="shared" si="0"/>
        <v>96</v>
      </c>
      <c r="T15" s="42">
        <f t="shared" si="1"/>
        <v>4.5387222871640871</v>
      </c>
      <c r="U15" s="7"/>
      <c r="V15" s="7"/>
      <c r="W15" s="7"/>
      <c r="X15" s="7"/>
      <c r="Y15" s="7"/>
      <c r="AK15" s="10"/>
      <c r="AL15" s="10"/>
      <c r="AM15" s="9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</row>
    <row r="16" spans="1:78" ht="24" customHeight="1" x14ac:dyDescent="0.2">
      <c r="B16" s="120">
        <v>6</v>
      </c>
      <c r="C16" s="113" t="s">
        <v>308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117"/>
      <c r="K16" s="5" t="s">
        <v>234</v>
      </c>
      <c r="L16" s="5">
        <v>62</v>
      </c>
      <c r="M16" s="5">
        <v>79</v>
      </c>
      <c r="N16" s="5">
        <v>92</v>
      </c>
      <c r="O16" s="5">
        <v>68</v>
      </c>
      <c r="P16" s="5">
        <v>52</v>
      </c>
      <c r="Q16" s="5">
        <v>79</v>
      </c>
      <c r="R16" s="124"/>
      <c r="S16" s="43">
        <f t="shared" si="0"/>
        <v>72</v>
      </c>
      <c r="T16" s="43">
        <f t="shared" si="1"/>
        <v>5.8137767414994537</v>
      </c>
      <c r="U16" s="7"/>
      <c r="V16" s="7"/>
      <c r="W16" s="7"/>
      <c r="X16" s="7"/>
      <c r="Y16" s="7"/>
    </row>
    <row r="17" spans="2:78" ht="24" customHeight="1" thickBot="1" x14ac:dyDescent="0.25">
      <c r="B17" s="116"/>
      <c r="C17" s="114"/>
      <c r="D17" s="12" t="e">
        <v>#N/A</v>
      </c>
      <c r="E17" s="12" t="e">
        <v>#N/A</v>
      </c>
      <c r="F17" s="12" t="e">
        <v>#N/A</v>
      </c>
      <c r="G17" s="12" t="e">
        <v>#N/A</v>
      </c>
      <c r="H17" s="12" t="e">
        <v>#N/A</v>
      </c>
      <c r="I17" s="12" t="e">
        <v>#N/A</v>
      </c>
      <c r="J17" s="116"/>
      <c r="K17" s="12" t="s">
        <v>233</v>
      </c>
      <c r="L17" s="12">
        <v>79</v>
      </c>
      <c r="M17" s="12">
        <v>79</v>
      </c>
      <c r="N17" s="12">
        <v>86</v>
      </c>
      <c r="O17" s="12">
        <v>76</v>
      </c>
      <c r="P17" s="12">
        <v>74</v>
      </c>
      <c r="Q17" s="12">
        <v>93</v>
      </c>
      <c r="R17" s="125"/>
      <c r="S17" s="42">
        <f t="shared" si="0"/>
        <v>81.166666666666671</v>
      </c>
      <c r="T17" s="42">
        <f t="shared" si="1"/>
        <v>2.8915585954829126</v>
      </c>
      <c r="U17" s="7"/>
      <c r="V17" s="7"/>
      <c r="W17" s="7"/>
      <c r="X17" s="7"/>
      <c r="Y17" s="7"/>
      <c r="AK17" s="10"/>
      <c r="AL17" s="10"/>
      <c r="AM17" s="9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</row>
    <row r="18" spans="2:78" ht="24" customHeight="1" x14ac:dyDescent="0.2">
      <c r="B18" s="120">
        <v>7</v>
      </c>
      <c r="C18" s="113" t="s">
        <v>308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117"/>
      <c r="K18" s="5" t="s">
        <v>234</v>
      </c>
      <c r="L18" s="49">
        <v>65</v>
      </c>
      <c r="M18" s="49">
        <v>66</v>
      </c>
      <c r="N18" s="49">
        <v>103</v>
      </c>
      <c r="O18" s="49">
        <v>73</v>
      </c>
      <c r="P18" s="49">
        <v>87</v>
      </c>
      <c r="Q18" s="49">
        <v>90</v>
      </c>
      <c r="R18" s="124"/>
      <c r="S18" s="43">
        <f t="shared" si="0"/>
        <v>80.666666666666671</v>
      </c>
      <c r="T18" s="43">
        <f t="shared" si="1"/>
        <v>6.1788168590578785</v>
      </c>
      <c r="U18" s="7"/>
      <c r="V18" s="7"/>
      <c r="W18" s="7"/>
      <c r="X18" s="7"/>
      <c r="Y18" s="7"/>
      <c r="AK18" s="10"/>
      <c r="AL18" s="10"/>
      <c r="AM18" s="10"/>
    </row>
    <row r="19" spans="2:78" ht="24" customHeight="1" thickBot="1" x14ac:dyDescent="0.25">
      <c r="B19" s="116"/>
      <c r="C19" s="114"/>
      <c r="D19" s="12" t="e">
        <v>#N/A</v>
      </c>
      <c r="E19" s="12" t="e">
        <v>#N/A</v>
      </c>
      <c r="F19" s="12" t="e">
        <v>#N/A</v>
      </c>
      <c r="G19" s="12" t="e">
        <v>#N/A</v>
      </c>
      <c r="H19" s="12" t="e">
        <v>#N/A</v>
      </c>
      <c r="I19" s="12" t="e">
        <v>#N/A</v>
      </c>
      <c r="J19" s="116"/>
      <c r="K19" s="12" t="s">
        <v>233</v>
      </c>
      <c r="L19" s="12">
        <v>85</v>
      </c>
      <c r="M19" s="12">
        <v>74</v>
      </c>
      <c r="N19" s="12">
        <v>81</v>
      </c>
      <c r="O19" s="12">
        <v>91</v>
      </c>
      <c r="P19" s="12">
        <v>89</v>
      </c>
      <c r="Q19" s="12">
        <v>92</v>
      </c>
      <c r="R19" s="125"/>
      <c r="S19" s="42">
        <f t="shared" si="0"/>
        <v>85.333333333333329</v>
      </c>
      <c r="T19" s="42">
        <f t="shared" si="1"/>
        <v>2.8126697479638656</v>
      </c>
      <c r="U19" s="7"/>
      <c r="V19" s="7"/>
      <c r="W19" s="7"/>
      <c r="X19" s="7"/>
      <c r="Y19" s="7"/>
      <c r="AK19" s="10"/>
      <c r="AL19" s="10"/>
      <c r="AM19" s="9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</row>
    <row r="20" spans="2:78" ht="24" customHeight="1" x14ac:dyDescent="0.2">
      <c r="B20" s="120">
        <v>8</v>
      </c>
      <c r="C20" s="113" t="s">
        <v>308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117"/>
      <c r="K20" s="5" t="s">
        <v>234</v>
      </c>
      <c r="L20" s="49">
        <v>63</v>
      </c>
      <c r="M20" s="49">
        <v>43</v>
      </c>
      <c r="N20" s="49">
        <v>75</v>
      </c>
      <c r="O20" s="49">
        <v>54</v>
      </c>
      <c r="P20" s="49">
        <v>65</v>
      </c>
      <c r="Q20" s="49">
        <v>75</v>
      </c>
      <c r="R20" s="124"/>
      <c r="S20" s="43">
        <f t="shared" si="0"/>
        <v>62.5</v>
      </c>
      <c r="T20" s="43">
        <f t="shared" si="1"/>
        <v>5.0711602880077331</v>
      </c>
      <c r="U20" s="7"/>
      <c r="V20" s="7"/>
      <c r="W20" s="7"/>
      <c r="X20" s="7"/>
      <c r="Y20" s="7"/>
      <c r="AK20" s="10"/>
      <c r="AL20" s="10"/>
      <c r="AM20" s="10"/>
    </row>
    <row r="21" spans="2:78" ht="24" customHeight="1" thickBot="1" x14ac:dyDescent="0.25">
      <c r="B21" s="116"/>
      <c r="C21" s="114"/>
      <c r="D21" s="12" t="e">
        <v>#N/A</v>
      </c>
      <c r="E21" s="12" t="e">
        <v>#N/A</v>
      </c>
      <c r="F21" s="12" t="e">
        <v>#N/A</v>
      </c>
      <c r="G21" s="12" t="e">
        <v>#N/A</v>
      </c>
      <c r="H21" s="12" t="e">
        <v>#N/A</v>
      </c>
      <c r="I21" s="12" t="e">
        <v>#N/A</v>
      </c>
      <c r="J21" s="116"/>
      <c r="K21" s="12" t="s">
        <v>233</v>
      </c>
      <c r="L21" s="12">
        <v>77</v>
      </c>
      <c r="M21" s="12">
        <v>78</v>
      </c>
      <c r="N21" s="12">
        <v>86</v>
      </c>
      <c r="O21" s="12">
        <v>70</v>
      </c>
      <c r="P21" s="12">
        <v>86</v>
      </c>
      <c r="Q21" s="12">
        <v>85</v>
      </c>
      <c r="R21" s="125"/>
      <c r="S21" s="42">
        <f t="shared" si="0"/>
        <v>80.333333333333329</v>
      </c>
      <c r="T21" s="42">
        <f t="shared" si="1"/>
        <v>2.6415483674878599</v>
      </c>
      <c r="U21" s="7"/>
      <c r="V21" s="7"/>
      <c r="W21" s="7"/>
      <c r="X21" s="7"/>
      <c r="Y21" s="7"/>
      <c r="AK21" s="10"/>
      <c r="AL21" s="10"/>
      <c r="AM21" s="9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</row>
    <row r="22" spans="2:78" ht="24" customHeight="1" x14ac:dyDescent="0.2">
      <c r="B22" s="120">
        <v>18</v>
      </c>
      <c r="C22" s="113" t="s">
        <v>238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118">
        <v>1253</v>
      </c>
      <c r="K22" s="5" t="s">
        <v>234</v>
      </c>
      <c r="L22" s="5">
        <v>83</v>
      </c>
      <c r="M22" s="5">
        <v>88</v>
      </c>
      <c r="N22" s="5">
        <v>90</v>
      </c>
      <c r="O22" s="5">
        <v>61</v>
      </c>
      <c r="P22" s="5">
        <v>60</v>
      </c>
      <c r="Q22" s="5">
        <v>83</v>
      </c>
      <c r="R22" s="124"/>
      <c r="S22" s="43">
        <f t="shared" si="0"/>
        <v>77.5</v>
      </c>
      <c r="T22" s="43">
        <f t="shared" si="1"/>
        <v>5.4939360510778918</v>
      </c>
      <c r="U22" s="7"/>
      <c r="V22" s="7"/>
      <c r="W22" s="7"/>
      <c r="X22" s="7"/>
      <c r="Y22" s="7"/>
      <c r="AK22" s="10"/>
      <c r="AL22" s="10"/>
      <c r="AM22" s="10"/>
    </row>
    <row r="23" spans="2:78" ht="24" customHeight="1" thickBot="1" x14ac:dyDescent="0.25">
      <c r="B23" s="116"/>
      <c r="C23" s="114"/>
      <c r="D23" s="12" t="e">
        <v>#N/A</v>
      </c>
      <c r="E23" s="12" t="e">
        <v>#N/A</v>
      </c>
      <c r="F23" s="12" t="e">
        <v>#N/A</v>
      </c>
      <c r="G23" s="12" t="e">
        <v>#N/A</v>
      </c>
      <c r="H23" s="12" t="e">
        <v>#N/A</v>
      </c>
      <c r="I23" s="12" t="e">
        <v>#N/A</v>
      </c>
      <c r="J23" s="116"/>
      <c r="K23" s="12" t="s">
        <v>233</v>
      </c>
      <c r="L23" s="12">
        <v>101</v>
      </c>
      <c r="M23" s="12">
        <v>96</v>
      </c>
      <c r="N23" s="12">
        <v>78</v>
      </c>
      <c r="O23" s="12">
        <v>87</v>
      </c>
      <c r="P23" s="12">
        <v>75</v>
      </c>
      <c r="Q23" s="12">
        <v>83</v>
      </c>
      <c r="R23" s="125"/>
      <c r="S23" s="42">
        <f t="shared" si="0"/>
        <v>86.666666666666671</v>
      </c>
      <c r="T23" s="42">
        <f t="shared" si="1"/>
        <v>4.1526430673059931</v>
      </c>
      <c r="U23" s="7"/>
      <c r="V23" s="7"/>
      <c r="W23" s="7"/>
      <c r="X23" s="7"/>
      <c r="Y23" s="7"/>
      <c r="AK23" s="10"/>
      <c r="AL23" s="10"/>
      <c r="AM23" s="9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</row>
    <row r="24" spans="2:78" ht="24" customHeight="1" x14ac:dyDescent="0.2">
      <c r="B24" s="120">
        <v>17</v>
      </c>
      <c r="C24" s="113" t="s">
        <v>309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117"/>
      <c r="K24" s="5" t="s">
        <v>234</v>
      </c>
      <c r="L24" s="5">
        <v>86</v>
      </c>
      <c r="M24" s="5">
        <v>69</v>
      </c>
      <c r="N24" s="5">
        <v>96</v>
      </c>
      <c r="O24" s="5">
        <v>101</v>
      </c>
      <c r="P24" s="5">
        <v>93</v>
      </c>
      <c r="Q24" s="5">
        <v>88</v>
      </c>
      <c r="R24" s="124"/>
      <c r="S24" s="43">
        <f t="shared" si="0"/>
        <v>88.833333333333329</v>
      </c>
      <c r="T24" s="43">
        <f t="shared" si="1"/>
        <v>4.5417813441179513</v>
      </c>
      <c r="U24" s="7"/>
      <c r="V24" s="7"/>
      <c r="W24" s="7"/>
      <c r="X24" s="7"/>
      <c r="Y24" s="7"/>
      <c r="AK24" s="2"/>
      <c r="AL24" s="2"/>
      <c r="AM24" s="2"/>
    </row>
    <row r="25" spans="2:78" ht="24" customHeight="1" thickBot="1" x14ac:dyDescent="0.25">
      <c r="B25" s="116"/>
      <c r="C25" s="114"/>
      <c r="D25" s="12" t="e">
        <v>#N/A</v>
      </c>
      <c r="E25" s="12" t="e">
        <v>#N/A</v>
      </c>
      <c r="F25" s="12" t="e">
        <v>#N/A</v>
      </c>
      <c r="G25" s="12" t="e">
        <v>#N/A</v>
      </c>
      <c r="H25" s="12" t="e">
        <v>#N/A</v>
      </c>
      <c r="I25" s="12" t="e">
        <v>#N/A</v>
      </c>
      <c r="J25" s="116"/>
      <c r="K25" s="12" t="s">
        <v>233</v>
      </c>
      <c r="L25" s="12">
        <v>100</v>
      </c>
      <c r="M25" s="12">
        <v>110</v>
      </c>
      <c r="N25" s="12">
        <v>98</v>
      </c>
      <c r="O25" s="12">
        <v>117</v>
      </c>
      <c r="P25" s="12">
        <v>115</v>
      </c>
      <c r="Q25" s="12">
        <v>99</v>
      </c>
      <c r="R25" s="125"/>
      <c r="S25" s="42">
        <f t="shared" si="0"/>
        <v>106.5</v>
      </c>
      <c r="T25" s="42">
        <f t="shared" si="1"/>
        <v>3.4904631975331486</v>
      </c>
      <c r="U25" s="7"/>
      <c r="V25" s="7"/>
      <c r="W25" s="7"/>
      <c r="X25" s="7"/>
      <c r="Y25" s="7"/>
      <c r="AK25" s="10"/>
      <c r="AL25" s="10"/>
      <c r="AM25" s="9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</row>
    <row r="26" spans="2:78" ht="24" customHeight="1" x14ac:dyDescent="0.2">
      <c r="B26" s="122">
        <v>16</v>
      </c>
      <c r="C26" s="113" t="s">
        <v>310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117"/>
      <c r="K26" s="5" t="s">
        <v>234</v>
      </c>
      <c r="L26" s="5">
        <v>72</v>
      </c>
      <c r="M26" s="5">
        <v>51</v>
      </c>
      <c r="N26" s="5">
        <v>77</v>
      </c>
      <c r="O26" s="5">
        <v>75</v>
      </c>
      <c r="P26" s="5">
        <v>59</v>
      </c>
      <c r="Q26" s="5">
        <v>79</v>
      </c>
      <c r="R26" s="124"/>
      <c r="S26" s="43">
        <f t="shared" si="0"/>
        <v>68.833333333333329</v>
      </c>
      <c r="T26" s="43">
        <f t="shared" si="1"/>
        <v>4.592868868631502</v>
      </c>
      <c r="U26" s="7"/>
      <c r="V26" s="7"/>
      <c r="W26" s="7"/>
      <c r="X26" s="7"/>
      <c r="Y26" s="7"/>
      <c r="AK26" s="10"/>
      <c r="AL26" s="10"/>
      <c r="AM26" s="10"/>
    </row>
    <row r="27" spans="2:78" ht="24" customHeight="1" thickBot="1" x14ac:dyDescent="0.25">
      <c r="B27" s="116"/>
      <c r="C27" s="114"/>
      <c r="D27" s="12" t="e">
        <v>#N/A</v>
      </c>
      <c r="E27" s="12" t="e">
        <v>#N/A</v>
      </c>
      <c r="F27" s="12" t="e">
        <v>#N/A</v>
      </c>
      <c r="G27" s="12" t="e">
        <v>#N/A</v>
      </c>
      <c r="H27" s="12" t="e">
        <v>#N/A</v>
      </c>
      <c r="I27" s="12" t="e">
        <v>#N/A</v>
      </c>
      <c r="J27" s="116"/>
      <c r="K27" s="12" t="s">
        <v>233</v>
      </c>
      <c r="L27" s="12">
        <v>87</v>
      </c>
      <c r="M27" s="12">
        <v>86</v>
      </c>
      <c r="N27" s="12">
        <v>113</v>
      </c>
      <c r="O27" s="12">
        <v>101</v>
      </c>
      <c r="P27" s="12">
        <v>72</v>
      </c>
      <c r="Q27" s="12">
        <v>89</v>
      </c>
      <c r="R27" s="125"/>
      <c r="S27" s="42">
        <f t="shared" si="0"/>
        <v>91.333333333333329</v>
      </c>
      <c r="T27" s="42">
        <f t="shared" si="1"/>
        <v>5.7426281246288156</v>
      </c>
      <c r="U27" s="7"/>
      <c r="V27" s="7"/>
      <c r="W27" s="7"/>
      <c r="X27" s="7"/>
      <c r="Y27" s="7"/>
      <c r="AK27" s="10"/>
      <c r="AL27" s="10"/>
      <c r="AM27" s="9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</row>
    <row r="28" spans="2:78" ht="24" customHeight="1" x14ac:dyDescent="0.2">
      <c r="B28" s="122">
        <v>15</v>
      </c>
      <c r="C28" s="113" t="s">
        <v>311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117"/>
      <c r="K28" s="5" t="s">
        <v>234</v>
      </c>
      <c r="L28" s="5">
        <v>107</v>
      </c>
      <c r="M28" s="5">
        <v>95</v>
      </c>
      <c r="N28" s="5">
        <v>98</v>
      </c>
      <c r="O28" s="45">
        <v>78</v>
      </c>
      <c r="P28" s="5">
        <v>87</v>
      </c>
      <c r="Q28" s="5">
        <v>95</v>
      </c>
      <c r="R28" s="124"/>
      <c r="S28" s="43">
        <f t="shared" si="0"/>
        <v>93.333333333333329</v>
      </c>
      <c r="T28" s="43">
        <f t="shared" si="1"/>
        <v>4.0387016615629223</v>
      </c>
      <c r="U28" s="7"/>
      <c r="V28" s="7"/>
      <c r="W28" s="7"/>
      <c r="X28" s="7"/>
      <c r="Y28" s="7"/>
    </row>
    <row r="29" spans="2:78" ht="24" customHeight="1" thickBot="1" x14ac:dyDescent="0.25">
      <c r="B29" s="116"/>
      <c r="C29" s="114"/>
      <c r="D29" s="12" t="e">
        <v>#N/A</v>
      </c>
      <c r="E29" s="12" t="e">
        <v>#N/A</v>
      </c>
      <c r="F29" s="12" t="e">
        <v>#N/A</v>
      </c>
      <c r="G29" s="12" t="e">
        <v>#N/A</v>
      </c>
      <c r="H29" s="12" t="e">
        <v>#N/A</v>
      </c>
      <c r="I29" s="12" t="e">
        <v>#N/A</v>
      </c>
      <c r="J29" s="116"/>
      <c r="K29" s="12" t="s">
        <v>233</v>
      </c>
      <c r="L29" s="12">
        <v>106</v>
      </c>
      <c r="M29" s="12">
        <v>99</v>
      </c>
      <c r="N29" s="12">
        <v>107</v>
      </c>
      <c r="O29" s="46">
        <v>108</v>
      </c>
      <c r="P29" s="12">
        <v>106</v>
      </c>
      <c r="Q29" s="12">
        <v>116</v>
      </c>
      <c r="R29" s="125"/>
      <c r="S29" s="42">
        <f t="shared" si="0"/>
        <v>107</v>
      </c>
      <c r="T29" s="42">
        <f t="shared" si="1"/>
        <v>2.2211108331943579</v>
      </c>
      <c r="U29" s="7"/>
      <c r="V29" s="7"/>
      <c r="W29" s="7"/>
      <c r="X29" s="7"/>
      <c r="Y29" s="7"/>
      <c r="AK29" s="10"/>
      <c r="AL29" s="10"/>
      <c r="AM29" s="9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</row>
    <row r="30" spans="2:78" ht="24" customHeight="1" x14ac:dyDescent="0.2">
      <c r="B30" s="122">
        <v>14</v>
      </c>
      <c r="C30" s="113" t="s">
        <v>310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117"/>
      <c r="K30" s="5" t="s">
        <v>234</v>
      </c>
      <c r="L30" s="5">
        <v>72</v>
      </c>
      <c r="M30" s="5">
        <v>68</v>
      </c>
      <c r="N30" s="5">
        <v>77</v>
      </c>
      <c r="O30" s="5">
        <v>55</v>
      </c>
      <c r="P30" s="5">
        <v>84</v>
      </c>
      <c r="Q30" s="5">
        <v>89</v>
      </c>
      <c r="R30" s="124"/>
      <c r="S30" s="43">
        <f t="shared" si="0"/>
        <v>74.166666666666671</v>
      </c>
      <c r="T30" s="43">
        <f t="shared" si="1"/>
        <v>4.9491862406303246</v>
      </c>
      <c r="U30" s="7"/>
      <c r="V30" s="7"/>
      <c r="W30" s="7"/>
      <c r="X30" s="7"/>
      <c r="Y30" s="7"/>
    </row>
    <row r="31" spans="2:78" ht="24" customHeight="1" thickBot="1" x14ac:dyDescent="0.25">
      <c r="B31" s="116"/>
      <c r="C31" s="114"/>
      <c r="D31" s="12" t="e">
        <v>#N/A</v>
      </c>
      <c r="E31" s="12" t="e">
        <v>#N/A</v>
      </c>
      <c r="F31" s="12" t="e">
        <v>#N/A</v>
      </c>
      <c r="G31" s="12" t="e">
        <v>#N/A</v>
      </c>
      <c r="H31" s="12" t="e">
        <v>#N/A</v>
      </c>
      <c r="I31" s="12" t="e">
        <v>#N/A</v>
      </c>
      <c r="J31" s="116"/>
      <c r="K31" s="12" t="s">
        <v>233</v>
      </c>
      <c r="L31" s="12">
        <v>84</v>
      </c>
      <c r="M31" s="12">
        <v>82</v>
      </c>
      <c r="N31" s="12">
        <v>77</v>
      </c>
      <c r="O31" s="12">
        <v>90</v>
      </c>
      <c r="P31" s="12">
        <v>93</v>
      </c>
      <c r="Q31" s="12">
        <v>85</v>
      </c>
      <c r="R31" s="125"/>
      <c r="S31" s="42">
        <f t="shared" si="0"/>
        <v>85.166666666666671</v>
      </c>
      <c r="T31" s="42">
        <f t="shared" si="1"/>
        <v>2.3297591673342071</v>
      </c>
      <c r="U31" s="7"/>
      <c r="V31" s="7"/>
      <c r="W31" s="7"/>
      <c r="X31" s="7"/>
      <c r="Y31" s="7"/>
      <c r="AK31" s="10"/>
      <c r="AL31" s="10"/>
      <c r="AM31" s="9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</row>
    <row r="32" spans="2:78" ht="24" customHeight="1" x14ac:dyDescent="0.2">
      <c r="B32" s="122">
        <v>13</v>
      </c>
      <c r="C32" s="113" t="s">
        <v>312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117"/>
      <c r="K32" s="5" t="s">
        <v>234</v>
      </c>
      <c r="L32" s="45">
        <v>86</v>
      </c>
      <c r="M32" s="5">
        <v>94</v>
      </c>
      <c r="N32" s="5">
        <v>103</v>
      </c>
      <c r="O32" s="5">
        <v>82</v>
      </c>
      <c r="P32" s="5">
        <v>103</v>
      </c>
      <c r="Q32" s="5">
        <v>86</v>
      </c>
      <c r="R32" s="124"/>
      <c r="S32" s="43">
        <f t="shared" si="0"/>
        <v>92.333333333333329</v>
      </c>
      <c r="T32" s="43">
        <f t="shared" si="1"/>
        <v>3.729760194853164</v>
      </c>
      <c r="U32" s="7"/>
      <c r="V32" s="7"/>
      <c r="W32" s="7"/>
      <c r="X32" s="7"/>
      <c r="Y32" s="7"/>
    </row>
    <row r="33" spans="2:78" ht="24" customHeight="1" thickBot="1" x14ac:dyDescent="0.25">
      <c r="B33" s="116"/>
      <c r="C33" s="114"/>
      <c r="D33" s="12" t="e">
        <v>#N/A</v>
      </c>
      <c r="E33" s="12" t="e">
        <v>#N/A</v>
      </c>
      <c r="F33" s="12" t="e">
        <v>#N/A</v>
      </c>
      <c r="G33" s="12" t="e">
        <v>#N/A</v>
      </c>
      <c r="H33" s="12" t="e">
        <v>#N/A</v>
      </c>
      <c r="I33" s="12" t="e">
        <v>#N/A</v>
      </c>
      <c r="J33" s="116"/>
      <c r="K33" s="12" t="s">
        <v>233</v>
      </c>
      <c r="L33" s="46">
        <v>110</v>
      </c>
      <c r="M33" s="12">
        <v>96</v>
      </c>
      <c r="N33" s="12">
        <v>104</v>
      </c>
      <c r="O33" s="12">
        <v>97</v>
      </c>
      <c r="P33" s="12">
        <v>111</v>
      </c>
      <c r="Q33" s="12">
        <v>102</v>
      </c>
      <c r="R33" s="125"/>
      <c r="S33" s="42">
        <f t="shared" si="0"/>
        <v>103.33333333333333</v>
      </c>
      <c r="T33" s="42">
        <f t="shared" si="1"/>
        <v>2.5776819905574944</v>
      </c>
      <c r="U33" s="7"/>
      <c r="V33" s="7"/>
      <c r="W33" s="7"/>
      <c r="X33" s="7"/>
      <c r="Y33" s="7"/>
      <c r="AK33" s="10"/>
      <c r="AL33" s="10"/>
      <c r="AM33" s="9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</row>
    <row r="34" spans="2:78" ht="24" customHeight="1" x14ac:dyDescent="0.2">
      <c r="B34" s="122">
        <v>12</v>
      </c>
      <c r="C34" s="113" t="s">
        <v>236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117"/>
      <c r="K34" s="5" t="s">
        <v>234</v>
      </c>
      <c r="L34" s="5">
        <v>92</v>
      </c>
      <c r="M34" s="5">
        <v>96</v>
      </c>
      <c r="N34" s="5">
        <v>98</v>
      </c>
      <c r="O34" s="5">
        <v>90</v>
      </c>
      <c r="P34" s="5">
        <v>85</v>
      </c>
      <c r="Q34" s="5">
        <v>90</v>
      </c>
      <c r="R34" s="124"/>
      <c r="S34" s="43">
        <f t="shared" si="0"/>
        <v>91.833333333333329</v>
      </c>
      <c r="T34" s="43">
        <f t="shared" si="1"/>
        <v>1.9046726169548873</v>
      </c>
      <c r="U34" s="7"/>
      <c r="V34" s="7"/>
      <c r="W34" s="7"/>
      <c r="X34" s="7"/>
      <c r="Y34" s="7"/>
    </row>
    <row r="35" spans="2:78" ht="24" customHeight="1" thickBot="1" x14ac:dyDescent="0.25">
      <c r="B35" s="116"/>
      <c r="C35" s="114"/>
      <c r="D35" s="12" t="e">
        <v>#N/A</v>
      </c>
      <c r="E35" s="12" t="e">
        <v>#N/A</v>
      </c>
      <c r="F35" s="12" t="e">
        <v>#N/A</v>
      </c>
      <c r="G35" s="12" t="e">
        <v>#N/A</v>
      </c>
      <c r="H35" s="12" t="e">
        <v>#N/A</v>
      </c>
      <c r="I35" s="12" t="e">
        <v>#N/A</v>
      </c>
      <c r="J35" s="116"/>
      <c r="K35" s="12" t="s">
        <v>233</v>
      </c>
      <c r="L35" s="12">
        <v>92</v>
      </c>
      <c r="M35" s="12">
        <v>94</v>
      </c>
      <c r="N35" s="12">
        <v>93</v>
      </c>
      <c r="O35" s="12">
        <v>94</v>
      </c>
      <c r="P35" s="12">
        <v>107</v>
      </c>
      <c r="Q35" s="12">
        <v>96</v>
      </c>
      <c r="R35" s="125"/>
      <c r="S35" s="42">
        <f t="shared" si="0"/>
        <v>96</v>
      </c>
      <c r="T35" s="42">
        <f t="shared" si="1"/>
        <v>2.2656860623955239</v>
      </c>
      <c r="U35" s="7"/>
      <c r="V35" s="7"/>
      <c r="W35" s="7"/>
      <c r="X35" s="7"/>
      <c r="Y35" s="7"/>
      <c r="AK35" s="10"/>
      <c r="AL35" s="10"/>
      <c r="AM35" s="9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</row>
    <row r="36" spans="2:78" ht="24" customHeight="1" x14ac:dyDescent="0.2">
      <c r="B36" s="122">
        <v>11</v>
      </c>
      <c r="C36" s="113" t="s">
        <v>311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117"/>
      <c r="K36" s="5" t="s">
        <v>234</v>
      </c>
      <c r="L36" s="45">
        <v>82</v>
      </c>
      <c r="M36" s="5">
        <v>91</v>
      </c>
      <c r="N36" s="5">
        <v>92</v>
      </c>
      <c r="O36" s="5">
        <v>97</v>
      </c>
      <c r="P36" s="5">
        <v>88</v>
      </c>
      <c r="Q36" s="5">
        <v>102</v>
      </c>
      <c r="R36" s="124"/>
      <c r="S36" s="43">
        <f t="shared" si="0"/>
        <v>92</v>
      </c>
      <c r="T36" s="43">
        <f t="shared" si="1"/>
        <v>2.8401877872187726</v>
      </c>
      <c r="U36" s="7"/>
      <c r="V36" s="7"/>
      <c r="W36" s="7"/>
      <c r="X36" s="7"/>
      <c r="Y36" s="7"/>
    </row>
    <row r="37" spans="2:78" ht="24" customHeight="1" thickBot="1" x14ac:dyDescent="0.25">
      <c r="B37" s="116"/>
      <c r="C37" s="114"/>
      <c r="D37" s="12" t="e">
        <v>#N/A</v>
      </c>
      <c r="E37" s="12" t="e">
        <v>#N/A</v>
      </c>
      <c r="F37" s="12" t="e">
        <v>#N/A</v>
      </c>
      <c r="G37" s="12" t="e">
        <v>#N/A</v>
      </c>
      <c r="H37" s="12" t="e">
        <v>#N/A</v>
      </c>
      <c r="I37" s="12" t="e">
        <v>#N/A</v>
      </c>
      <c r="J37" s="116"/>
      <c r="K37" s="12" t="s">
        <v>233</v>
      </c>
      <c r="L37" s="46">
        <v>99</v>
      </c>
      <c r="M37" s="12">
        <v>109</v>
      </c>
      <c r="N37" s="12">
        <v>96</v>
      </c>
      <c r="O37" s="12">
        <v>106</v>
      </c>
      <c r="P37" s="12">
        <v>105</v>
      </c>
      <c r="Q37" s="12">
        <v>91</v>
      </c>
      <c r="R37" s="125"/>
      <c r="S37" s="42">
        <f t="shared" si="0"/>
        <v>101</v>
      </c>
      <c r="T37" s="42">
        <f t="shared" si="1"/>
        <v>2.7928480087537886</v>
      </c>
      <c r="U37" s="7"/>
      <c r="V37" s="7"/>
      <c r="W37" s="7"/>
      <c r="X37" s="7"/>
      <c r="Y37" s="7"/>
      <c r="AK37" s="10"/>
      <c r="AL37" s="10"/>
      <c r="AM37" s="9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</row>
    <row r="38" spans="2:78" ht="24" customHeight="1" x14ac:dyDescent="0.2">
      <c r="B38" s="122">
        <v>21</v>
      </c>
      <c r="C38" s="113" t="s">
        <v>309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118">
        <v>1318</v>
      </c>
      <c r="K38" s="5" t="s">
        <v>234</v>
      </c>
      <c r="L38" s="56">
        <v>112</v>
      </c>
      <c r="M38" s="5">
        <v>98</v>
      </c>
      <c r="N38" s="5">
        <v>46</v>
      </c>
      <c r="O38" s="5">
        <v>51</v>
      </c>
      <c r="P38" s="5">
        <v>84</v>
      </c>
      <c r="Q38" s="5">
        <v>68</v>
      </c>
      <c r="R38" s="137" t="s">
        <v>292</v>
      </c>
      <c r="S38" s="43">
        <f t="shared" si="0"/>
        <v>76.5</v>
      </c>
      <c r="T38" s="43">
        <f t="shared" si="1"/>
        <v>10.695014414825879</v>
      </c>
      <c r="U38" s="7"/>
      <c r="V38" s="7"/>
      <c r="W38" s="7"/>
      <c r="X38" s="7"/>
      <c r="Y38" s="7"/>
    </row>
    <row r="39" spans="2:78" ht="24" customHeight="1" thickBot="1" x14ac:dyDescent="0.25">
      <c r="B39" s="116"/>
      <c r="C39" s="114"/>
      <c r="D39" s="12" t="e">
        <v>#N/A</v>
      </c>
      <c r="E39" s="12" t="e">
        <v>#N/A</v>
      </c>
      <c r="F39" s="12" t="e">
        <v>#N/A</v>
      </c>
      <c r="G39" s="12" t="e">
        <v>#N/A</v>
      </c>
      <c r="H39" s="12" t="e">
        <v>#N/A</v>
      </c>
      <c r="I39" s="12" t="e">
        <v>#N/A</v>
      </c>
      <c r="J39" s="116"/>
      <c r="K39" s="12" t="s">
        <v>233</v>
      </c>
      <c r="L39" s="55">
        <v>104</v>
      </c>
      <c r="M39" s="12">
        <v>104</v>
      </c>
      <c r="N39" s="12">
        <v>80</v>
      </c>
      <c r="O39" s="12">
        <v>89</v>
      </c>
      <c r="P39" s="12">
        <v>93</v>
      </c>
      <c r="Q39" s="12">
        <v>92</v>
      </c>
      <c r="R39" s="138"/>
      <c r="S39" s="42">
        <f t="shared" si="0"/>
        <v>93.666666666666671</v>
      </c>
      <c r="T39" s="42">
        <f t="shared" si="1"/>
        <v>3.7653389990514503</v>
      </c>
      <c r="U39" s="7"/>
      <c r="V39" s="7"/>
      <c r="W39" s="7"/>
      <c r="X39" s="7"/>
      <c r="Y39" s="7"/>
      <c r="AK39" s="10"/>
      <c r="AL39" s="10"/>
      <c r="AM39" s="9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</row>
    <row r="40" spans="2:78" ht="24" customHeight="1" x14ac:dyDescent="0.2">
      <c r="B40" s="122">
        <v>22</v>
      </c>
      <c r="C40" s="113" t="s">
        <v>238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117"/>
      <c r="K40" s="5" t="s">
        <v>234</v>
      </c>
      <c r="L40" s="5">
        <v>55</v>
      </c>
      <c r="M40" s="5">
        <v>52</v>
      </c>
      <c r="N40" s="5">
        <v>71</v>
      </c>
      <c r="O40" s="5">
        <v>81</v>
      </c>
      <c r="P40" s="45">
        <v>58</v>
      </c>
      <c r="Q40" s="5">
        <v>68</v>
      </c>
      <c r="R40" s="124"/>
      <c r="S40" s="43">
        <f t="shared" si="0"/>
        <v>64.166666666666671</v>
      </c>
      <c r="T40" s="43">
        <f t="shared" si="1"/>
        <v>4.5270790190192622</v>
      </c>
      <c r="U40" s="7"/>
      <c r="V40" s="7"/>
      <c r="W40" s="7"/>
      <c r="X40" s="7"/>
      <c r="Y40" s="7"/>
    </row>
    <row r="41" spans="2:78" ht="24" customHeight="1" thickBot="1" x14ac:dyDescent="0.25">
      <c r="B41" s="116"/>
      <c r="C41" s="114"/>
      <c r="D41" s="12" t="e">
        <v>#N/A</v>
      </c>
      <c r="E41" s="12" t="e">
        <v>#N/A</v>
      </c>
      <c r="F41" s="12" t="e">
        <v>#N/A</v>
      </c>
      <c r="G41" s="12" t="e">
        <v>#N/A</v>
      </c>
      <c r="H41" s="12" t="e">
        <v>#N/A</v>
      </c>
      <c r="I41" s="12" t="e">
        <v>#N/A</v>
      </c>
      <c r="J41" s="116"/>
      <c r="K41" s="12" t="s">
        <v>233</v>
      </c>
      <c r="L41" s="12">
        <v>74</v>
      </c>
      <c r="M41" s="12">
        <v>80</v>
      </c>
      <c r="N41" s="12">
        <v>91</v>
      </c>
      <c r="O41" s="12">
        <v>93</v>
      </c>
      <c r="P41" s="46">
        <v>82</v>
      </c>
      <c r="Q41" s="12">
        <v>89</v>
      </c>
      <c r="R41" s="125"/>
      <c r="S41" s="42">
        <f t="shared" si="0"/>
        <v>84.833333333333329</v>
      </c>
      <c r="T41" s="42">
        <f t="shared" si="1"/>
        <v>3.0046260628866581</v>
      </c>
      <c r="U41" s="7"/>
      <c r="V41" s="7"/>
      <c r="W41" s="7"/>
      <c r="X41" s="7"/>
      <c r="Y41" s="7"/>
      <c r="AK41" s="10"/>
      <c r="AL41" s="10"/>
      <c r="AM41" s="9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</row>
    <row r="42" spans="2:78" ht="24" customHeight="1" x14ac:dyDescent="0.2">
      <c r="B42" s="122">
        <v>23</v>
      </c>
      <c r="C42" s="113" t="s">
        <v>313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117"/>
      <c r="K42" s="5" t="s">
        <v>234</v>
      </c>
      <c r="L42" s="5">
        <v>85</v>
      </c>
      <c r="M42" s="5">
        <v>100</v>
      </c>
      <c r="N42" s="5">
        <v>86</v>
      </c>
      <c r="O42" s="5">
        <v>97</v>
      </c>
      <c r="P42" s="5">
        <v>85</v>
      </c>
      <c r="Q42" s="5">
        <v>83</v>
      </c>
      <c r="R42" s="124"/>
      <c r="S42" s="43">
        <f t="shared" ref="S42:S73" si="2">AVERAGE(L42:Q42)</f>
        <v>89.333333333333329</v>
      </c>
      <c r="T42" s="43">
        <f t="shared" ref="T42:T73" si="3">STDEV(L42:Q42)/SQRT(6)</f>
        <v>2.9514591494904878</v>
      </c>
      <c r="U42" s="7"/>
      <c r="V42" s="7"/>
      <c r="W42" s="7"/>
      <c r="X42" s="7"/>
      <c r="Y42" s="7"/>
    </row>
    <row r="43" spans="2:78" ht="24" customHeight="1" thickBot="1" x14ac:dyDescent="0.25">
      <c r="B43" s="116"/>
      <c r="C43" s="114"/>
      <c r="D43" s="12" t="e">
        <v>#N/A</v>
      </c>
      <c r="E43" s="12" t="e">
        <v>#N/A</v>
      </c>
      <c r="F43" s="12" t="e">
        <v>#N/A</v>
      </c>
      <c r="G43" s="12" t="e">
        <v>#N/A</v>
      </c>
      <c r="H43" s="12" t="e">
        <v>#N/A</v>
      </c>
      <c r="I43" s="12" t="e">
        <v>#N/A</v>
      </c>
      <c r="J43" s="116"/>
      <c r="K43" s="12" t="s">
        <v>233</v>
      </c>
      <c r="L43" s="12">
        <v>105</v>
      </c>
      <c r="M43" s="12">
        <v>98</v>
      </c>
      <c r="N43" s="12">
        <v>107</v>
      </c>
      <c r="O43" s="12">
        <v>101</v>
      </c>
      <c r="P43" s="12">
        <v>99</v>
      </c>
      <c r="Q43" s="12">
        <v>98</v>
      </c>
      <c r="R43" s="125"/>
      <c r="S43" s="42">
        <f t="shared" si="2"/>
        <v>101.33333333333333</v>
      </c>
      <c r="T43" s="42">
        <f t="shared" si="3"/>
        <v>1.5634719199411433</v>
      </c>
      <c r="U43" s="7"/>
      <c r="V43" s="7"/>
      <c r="W43" s="7"/>
      <c r="X43" s="7"/>
      <c r="Y43" s="7"/>
      <c r="AK43" s="10"/>
      <c r="AL43" s="10"/>
      <c r="AM43" s="9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</row>
    <row r="44" spans="2:78" ht="24" customHeight="1" x14ac:dyDescent="0.2">
      <c r="B44" s="122">
        <v>24</v>
      </c>
      <c r="C44" s="113" t="s">
        <v>314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117"/>
      <c r="K44" s="5" t="s">
        <v>234</v>
      </c>
      <c r="L44" s="5">
        <v>96</v>
      </c>
      <c r="M44" s="5">
        <v>79</v>
      </c>
      <c r="N44" s="5">
        <v>92</v>
      </c>
      <c r="O44" s="5">
        <v>94</v>
      </c>
      <c r="P44" s="5">
        <v>75</v>
      </c>
      <c r="Q44" s="5">
        <v>89</v>
      </c>
      <c r="R44" s="124"/>
      <c r="S44" s="43">
        <f t="shared" si="2"/>
        <v>87.5</v>
      </c>
      <c r="T44" s="43">
        <f t="shared" si="3"/>
        <v>3.4904631975331486</v>
      </c>
      <c r="U44" s="7"/>
      <c r="V44" s="7"/>
      <c r="W44" s="7"/>
      <c r="X44" s="7"/>
      <c r="Y44" s="7"/>
    </row>
    <row r="45" spans="2:78" ht="24" customHeight="1" thickBot="1" x14ac:dyDescent="0.25">
      <c r="B45" s="116"/>
      <c r="C45" s="114"/>
      <c r="D45" s="12" t="e">
        <v>#N/A</v>
      </c>
      <c r="E45" s="12" t="e">
        <v>#N/A</v>
      </c>
      <c r="F45" s="12" t="e">
        <v>#N/A</v>
      </c>
      <c r="G45" s="12" t="e">
        <v>#N/A</v>
      </c>
      <c r="H45" s="12" t="e">
        <v>#N/A</v>
      </c>
      <c r="I45" s="12" t="e">
        <v>#N/A</v>
      </c>
      <c r="J45" s="116"/>
      <c r="K45" s="12" t="s">
        <v>233</v>
      </c>
      <c r="L45" s="12">
        <v>108</v>
      </c>
      <c r="M45" s="12">
        <v>103</v>
      </c>
      <c r="N45" s="12">
        <v>107</v>
      </c>
      <c r="O45" s="12">
        <v>103</v>
      </c>
      <c r="P45" s="12">
        <v>107</v>
      </c>
      <c r="Q45" s="12">
        <v>106</v>
      </c>
      <c r="R45" s="125"/>
      <c r="S45" s="42">
        <f t="shared" si="2"/>
        <v>105.66666666666667</v>
      </c>
      <c r="T45" s="42">
        <f t="shared" si="3"/>
        <v>0.88191710368819687</v>
      </c>
      <c r="U45" s="7"/>
      <c r="V45" s="7"/>
      <c r="W45" s="7"/>
      <c r="X45" s="7"/>
      <c r="Y45" s="7"/>
      <c r="AK45" s="10"/>
      <c r="AL45" s="10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</row>
    <row r="46" spans="2:78" ht="24" customHeight="1" x14ac:dyDescent="0.2">
      <c r="B46" s="122">
        <v>25</v>
      </c>
      <c r="C46" s="113" t="s">
        <v>236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117"/>
      <c r="K46" s="5" t="s">
        <v>234</v>
      </c>
      <c r="L46" s="5">
        <v>94</v>
      </c>
      <c r="M46" s="5">
        <v>78</v>
      </c>
      <c r="N46" s="5">
        <v>76</v>
      </c>
      <c r="O46" s="5">
        <v>90</v>
      </c>
      <c r="P46" s="5">
        <v>86</v>
      </c>
      <c r="Q46" s="5">
        <v>111</v>
      </c>
      <c r="R46" s="124"/>
      <c r="S46" s="43">
        <f t="shared" si="2"/>
        <v>89.166666666666671</v>
      </c>
      <c r="T46" s="43">
        <f t="shared" si="3"/>
        <v>5.1924089891986744</v>
      </c>
      <c r="U46" s="7"/>
      <c r="V46" s="7"/>
      <c r="W46" s="7"/>
      <c r="X46" s="7"/>
      <c r="Y46" s="7"/>
    </row>
    <row r="47" spans="2:78" ht="24" customHeight="1" thickBot="1" x14ac:dyDescent="0.25">
      <c r="B47" s="116"/>
      <c r="C47" s="114"/>
      <c r="D47" s="12" t="e">
        <v>#N/A</v>
      </c>
      <c r="E47" s="12" t="e">
        <v>#N/A</v>
      </c>
      <c r="F47" s="12" t="e">
        <v>#N/A</v>
      </c>
      <c r="G47" s="12" t="e">
        <v>#N/A</v>
      </c>
      <c r="H47" s="12" t="e">
        <v>#N/A</v>
      </c>
      <c r="I47" s="12" t="e">
        <v>#N/A</v>
      </c>
      <c r="J47" s="116"/>
      <c r="K47" s="12" t="s">
        <v>233</v>
      </c>
      <c r="L47" s="12">
        <v>108</v>
      </c>
      <c r="M47" s="12">
        <v>100</v>
      </c>
      <c r="N47" s="12">
        <v>111</v>
      </c>
      <c r="O47" s="12">
        <v>112</v>
      </c>
      <c r="P47" s="12">
        <v>103</v>
      </c>
      <c r="Q47" s="12">
        <v>105</v>
      </c>
      <c r="R47" s="125"/>
      <c r="S47" s="42">
        <f t="shared" si="2"/>
        <v>106.5</v>
      </c>
      <c r="T47" s="42">
        <f t="shared" si="3"/>
        <v>1.9104973174542801</v>
      </c>
      <c r="U47" s="7"/>
      <c r="V47" s="7"/>
      <c r="W47" s="7"/>
      <c r="X47" s="7"/>
      <c r="Y47" s="7"/>
      <c r="AK47" s="10"/>
      <c r="AL47" s="10"/>
      <c r="AM47" s="9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</row>
    <row r="48" spans="2:78" ht="24" customHeight="1" x14ac:dyDescent="0.2">
      <c r="B48" s="122">
        <v>26</v>
      </c>
      <c r="C48" s="113" t="s">
        <v>314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6"/>
      <c r="K48" s="5" t="s">
        <v>234</v>
      </c>
      <c r="L48" s="5">
        <v>83</v>
      </c>
      <c r="M48" s="5">
        <v>86</v>
      </c>
      <c r="N48" s="5">
        <v>97</v>
      </c>
      <c r="O48" s="5">
        <v>82</v>
      </c>
      <c r="P48" s="5">
        <v>88</v>
      </c>
      <c r="Q48" s="5">
        <v>85</v>
      </c>
      <c r="R48" s="124"/>
      <c r="S48" s="43">
        <f t="shared" si="2"/>
        <v>86.833333333333329</v>
      </c>
      <c r="T48" s="43">
        <f t="shared" si="3"/>
        <v>2.2123391341393495</v>
      </c>
      <c r="U48" s="7"/>
      <c r="V48" s="7"/>
      <c r="W48" s="7"/>
      <c r="X48" s="7"/>
      <c r="Y48" s="7"/>
    </row>
    <row r="49" spans="2:78" ht="24" customHeight="1" thickBot="1" x14ac:dyDescent="0.25">
      <c r="B49" s="116"/>
      <c r="C49" s="114"/>
      <c r="D49" s="12" t="e">
        <v>#N/A</v>
      </c>
      <c r="E49" s="12" t="e">
        <v>#N/A</v>
      </c>
      <c r="F49" s="12" t="e">
        <v>#N/A</v>
      </c>
      <c r="G49" s="12" t="e">
        <v>#N/A</v>
      </c>
      <c r="H49" s="12" t="e">
        <v>#N/A</v>
      </c>
      <c r="I49" s="12" t="e">
        <v>#N/A</v>
      </c>
      <c r="J49" s="13"/>
      <c r="K49" s="12" t="s">
        <v>233</v>
      </c>
      <c r="L49" s="12">
        <v>103</v>
      </c>
      <c r="M49" s="12">
        <v>105</v>
      </c>
      <c r="N49" s="12">
        <v>110</v>
      </c>
      <c r="O49" s="12">
        <v>100</v>
      </c>
      <c r="P49" s="12">
        <v>112</v>
      </c>
      <c r="Q49" s="12">
        <v>100</v>
      </c>
      <c r="R49" s="125"/>
      <c r="S49" s="42">
        <f t="shared" si="2"/>
        <v>105</v>
      </c>
      <c r="T49" s="42">
        <f t="shared" si="3"/>
        <v>2.0655911179772892</v>
      </c>
      <c r="U49" s="7"/>
      <c r="V49" s="7"/>
      <c r="W49" s="7"/>
      <c r="X49" s="7"/>
      <c r="Y49" s="7"/>
      <c r="AK49" s="10"/>
      <c r="AL49" s="10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</row>
    <row r="50" spans="2:78" ht="24" customHeight="1" x14ac:dyDescent="0.2">
      <c r="B50" s="122">
        <v>27</v>
      </c>
      <c r="C50" s="113" t="s">
        <v>312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117"/>
      <c r="K50" s="5" t="s">
        <v>234</v>
      </c>
      <c r="L50" s="45">
        <v>52</v>
      </c>
      <c r="M50" s="5">
        <v>83</v>
      </c>
      <c r="N50" s="5">
        <v>69</v>
      </c>
      <c r="O50" s="5">
        <v>74</v>
      </c>
      <c r="P50" s="5">
        <v>71</v>
      </c>
      <c r="Q50" s="5">
        <v>81</v>
      </c>
      <c r="R50" s="124"/>
      <c r="S50" s="43">
        <f t="shared" si="2"/>
        <v>71.666666666666671</v>
      </c>
      <c r="T50" s="43">
        <f t="shared" si="3"/>
        <v>4.5289194198076741</v>
      </c>
      <c r="AK50" s="10">
        <v>2</v>
      </c>
      <c r="AL50" s="10" t="s">
        <v>235</v>
      </c>
      <c r="AM50" s="10">
        <v>150</v>
      </c>
    </row>
    <row r="51" spans="2:78" ht="24" customHeight="1" thickBot="1" x14ac:dyDescent="0.25">
      <c r="B51" s="116"/>
      <c r="C51" s="114"/>
      <c r="D51" s="12" t="e">
        <v>#N/A</v>
      </c>
      <c r="E51" s="12" t="e">
        <v>#N/A</v>
      </c>
      <c r="F51" s="12" t="e">
        <v>#N/A</v>
      </c>
      <c r="G51" s="12" t="e">
        <v>#N/A</v>
      </c>
      <c r="H51" s="12" t="e">
        <v>#N/A</v>
      </c>
      <c r="I51" s="12" t="e">
        <v>#N/A</v>
      </c>
      <c r="J51" s="116"/>
      <c r="K51" s="12" t="s">
        <v>233</v>
      </c>
      <c r="L51" s="46">
        <v>81</v>
      </c>
      <c r="M51" s="12">
        <v>107</v>
      </c>
      <c r="N51" s="12">
        <v>94</v>
      </c>
      <c r="O51" s="12">
        <v>93</v>
      </c>
      <c r="P51" s="12">
        <v>87</v>
      </c>
      <c r="Q51" s="12">
        <v>108</v>
      </c>
      <c r="R51" s="125"/>
      <c r="S51" s="42">
        <f t="shared" si="2"/>
        <v>95</v>
      </c>
      <c r="T51" s="42">
        <f t="shared" si="3"/>
        <v>4.3893811257017399</v>
      </c>
      <c r="U51" s="7"/>
      <c r="V51" s="7"/>
      <c r="W51" s="7"/>
      <c r="X51" s="7"/>
      <c r="Y51" s="7"/>
      <c r="AK51" s="10"/>
      <c r="AL51" s="10"/>
      <c r="AM51" s="9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</row>
    <row r="52" spans="2:78" ht="24" customHeight="1" x14ac:dyDescent="0.2">
      <c r="B52" s="122">
        <v>28</v>
      </c>
      <c r="C52" s="113" t="s">
        <v>313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117"/>
      <c r="K52" s="5" t="s">
        <v>234</v>
      </c>
      <c r="L52" s="5">
        <v>107</v>
      </c>
      <c r="M52" s="5">
        <v>79</v>
      </c>
      <c r="N52" s="5">
        <v>74</v>
      </c>
      <c r="O52" s="5">
        <v>83</v>
      </c>
      <c r="P52" s="5">
        <v>74</v>
      </c>
      <c r="Q52" s="5">
        <v>98</v>
      </c>
      <c r="R52" s="124"/>
      <c r="S52" s="43">
        <f t="shared" si="2"/>
        <v>85.833333333333329</v>
      </c>
      <c r="T52" s="43">
        <f t="shared" si="3"/>
        <v>5.5702583223561417</v>
      </c>
      <c r="U52" s="7"/>
      <c r="V52" s="7"/>
      <c r="W52" s="7"/>
      <c r="X52" s="7"/>
      <c r="Y52" s="7"/>
    </row>
    <row r="53" spans="2:78" ht="24" customHeight="1" thickBot="1" x14ac:dyDescent="0.25">
      <c r="B53" s="116"/>
      <c r="C53" s="114"/>
      <c r="D53" s="12" t="e">
        <v>#N/A</v>
      </c>
      <c r="E53" s="12" t="e">
        <v>#N/A</v>
      </c>
      <c r="F53" s="12" t="e">
        <v>#N/A</v>
      </c>
      <c r="G53" s="12" t="e">
        <v>#N/A</v>
      </c>
      <c r="H53" s="12" t="e">
        <v>#N/A</v>
      </c>
      <c r="I53" s="12" t="e">
        <v>#N/A</v>
      </c>
      <c r="J53" s="116"/>
      <c r="K53" s="12" t="s">
        <v>233</v>
      </c>
      <c r="L53" s="12">
        <v>98</v>
      </c>
      <c r="M53" s="12">
        <v>103</v>
      </c>
      <c r="N53" s="12">
        <v>101</v>
      </c>
      <c r="O53" s="12">
        <v>105</v>
      </c>
      <c r="P53" s="12">
        <v>95</v>
      </c>
      <c r="Q53" s="12">
        <v>98</v>
      </c>
      <c r="R53" s="125"/>
      <c r="S53" s="42">
        <f t="shared" si="2"/>
        <v>100</v>
      </c>
      <c r="T53" s="42">
        <f t="shared" si="3"/>
        <v>1.5055453054181622</v>
      </c>
      <c r="U53" s="7"/>
      <c r="V53" s="7"/>
      <c r="W53" s="7"/>
      <c r="X53" s="7"/>
      <c r="Y53" s="7"/>
      <c r="AK53" s="10"/>
      <c r="AL53" s="10"/>
      <c r="AM53" s="9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</row>
    <row r="54" spans="2:78" ht="24" customHeight="1" x14ac:dyDescent="0.2">
      <c r="B54" s="122">
        <v>38</v>
      </c>
      <c r="C54" s="113" t="s">
        <v>313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118">
        <v>1343</v>
      </c>
      <c r="K54" s="5" t="s">
        <v>234</v>
      </c>
      <c r="L54" s="5">
        <v>86</v>
      </c>
      <c r="M54" s="5">
        <v>76</v>
      </c>
      <c r="N54" s="5">
        <v>90</v>
      </c>
      <c r="O54" s="5">
        <v>89</v>
      </c>
      <c r="P54" s="5">
        <v>73</v>
      </c>
      <c r="Q54" s="5">
        <v>94</v>
      </c>
      <c r="R54" s="124"/>
      <c r="S54" s="43">
        <f t="shared" si="2"/>
        <v>84.666666666666671</v>
      </c>
      <c r="T54" s="43">
        <f t="shared" si="3"/>
        <v>3.4026133747132925</v>
      </c>
      <c r="U54" s="7"/>
      <c r="V54" s="7"/>
      <c r="W54" s="7"/>
      <c r="X54" s="7"/>
      <c r="Y54" s="7"/>
    </row>
    <row r="55" spans="2:78" ht="24" customHeight="1" thickBot="1" x14ac:dyDescent="0.25">
      <c r="B55" s="116"/>
      <c r="C55" s="114"/>
      <c r="D55" s="12" t="e">
        <v>#N/A</v>
      </c>
      <c r="E55" s="12" t="e">
        <v>#N/A</v>
      </c>
      <c r="F55" s="12" t="e">
        <v>#N/A</v>
      </c>
      <c r="G55" s="12" t="e">
        <v>#N/A</v>
      </c>
      <c r="H55" s="12" t="e">
        <v>#N/A</v>
      </c>
      <c r="I55" s="12" t="e">
        <v>#N/A</v>
      </c>
      <c r="J55" s="116"/>
      <c r="K55" s="12" t="s">
        <v>233</v>
      </c>
      <c r="L55" s="12">
        <v>94</v>
      </c>
      <c r="M55" s="12">
        <v>95</v>
      </c>
      <c r="N55" s="12">
        <v>92</v>
      </c>
      <c r="O55" s="12">
        <v>94</v>
      </c>
      <c r="P55" s="12">
        <v>85</v>
      </c>
      <c r="Q55" s="12">
        <v>84</v>
      </c>
      <c r="R55" s="125"/>
      <c r="S55" s="42">
        <f t="shared" si="2"/>
        <v>90.666666666666671</v>
      </c>
      <c r="T55" s="42">
        <f t="shared" si="3"/>
        <v>1.9944367068868789</v>
      </c>
      <c r="U55" s="7"/>
      <c r="V55" s="7"/>
      <c r="W55" s="7"/>
      <c r="X55" s="7"/>
      <c r="Y55" s="7"/>
      <c r="AK55" s="10"/>
      <c r="AL55" s="10"/>
      <c r="AM55" s="9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</row>
    <row r="56" spans="2:78" ht="24" customHeight="1" x14ac:dyDescent="0.2">
      <c r="B56" s="122">
        <v>37</v>
      </c>
      <c r="C56" s="113" t="s">
        <v>238</v>
      </c>
      <c r="D56" s="5" t="e">
        <v>#N/A</v>
      </c>
      <c r="E56" s="5" t="e">
        <v>#N/A</v>
      </c>
      <c r="F56" s="5" t="e">
        <v>#N/A</v>
      </c>
      <c r="G56" s="5" t="e">
        <v>#N/A</v>
      </c>
      <c r="H56" s="5" t="e">
        <v>#N/A</v>
      </c>
      <c r="I56" s="5" t="e">
        <v>#N/A</v>
      </c>
      <c r="J56" s="117"/>
      <c r="K56" s="5" t="s">
        <v>234</v>
      </c>
      <c r="L56" s="5">
        <v>75</v>
      </c>
      <c r="M56" s="5">
        <v>59</v>
      </c>
      <c r="N56" s="45">
        <v>58</v>
      </c>
      <c r="O56" s="5">
        <v>79</v>
      </c>
      <c r="P56" s="5">
        <v>68</v>
      </c>
      <c r="Q56" s="5">
        <v>98</v>
      </c>
      <c r="R56" s="124"/>
      <c r="S56" s="43">
        <f t="shared" si="2"/>
        <v>72.833333333333329</v>
      </c>
      <c r="T56" s="43">
        <f t="shared" si="3"/>
        <v>6.0850454211762246</v>
      </c>
      <c r="U56" s="7"/>
      <c r="V56" s="7"/>
      <c r="W56" s="7"/>
      <c r="X56" s="7"/>
      <c r="Y56" s="7"/>
    </row>
    <row r="57" spans="2:78" ht="24" customHeight="1" thickBot="1" x14ac:dyDescent="0.25">
      <c r="B57" s="116"/>
      <c r="C57" s="114"/>
      <c r="D57" s="12" t="e">
        <v>#N/A</v>
      </c>
      <c r="E57" s="12" t="e">
        <v>#N/A</v>
      </c>
      <c r="F57" s="12" t="e">
        <v>#N/A</v>
      </c>
      <c r="G57" s="12" t="e">
        <v>#N/A</v>
      </c>
      <c r="H57" s="12" t="e">
        <v>#N/A</v>
      </c>
      <c r="I57" s="12" t="e">
        <v>#N/A</v>
      </c>
      <c r="J57" s="116"/>
      <c r="K57" s="12" t="s">
        <v>233</v>
      </c>
      <c r="L57" s="12">
        <v>91</v>
      </c>
      <c r="M57" s="12">
        <v>83</v>
      </c>
      <c r="N57" s="46">
        <v>81</v>
      </c>
      <c r="O57" s="12">
        <v>101</v>
      </c>
      <c r="P57" s="12">
        <v>94</v>
      </c>
      <c r="Q57" s="12">
        <v>87</v>
      </c>
      <c r="R57" s="125"/>
      <c r="S57" s="42">
        <f t="shared" si="2"/>
        <v>89.5</v>
      </c>
      <c r="T57" s="42">
        <f t="shared" si="3"/>
        <v>3.0304015135511886</v>
      </c>
      <c r="U57" s="7"/>
      <c r="V57" s="7"/>
      <c r="W57" s="7"/>
      <c r="X57" s="7"/>
      <c r="Y57" s="7"/>
      <c r="AK57" s="10"/>
      <c r="AL57" s="10"/>
      <c r="AM57" s="9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</row>
    <row r="58" spans="2:78" ht="24" customHeight="1" x14ac:dyDescent="0.2">
      <c r="B58" s="122">
        <v>36</v>
      </c>
      <c r="C58" s="113" t="s">
        <v>314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117"/>
      <c r="K58" s="5" t="s">
        <v>234</v>
      </c>
      <c r="L58" s="5">
        <v>89</v>
      </c>
      <c r="M58" s="5">
        <v>86</v>
      </c>
      <c r="N58" s="5">
        <v>91</v>
      </c>
      <c r="O58" s="5">
        <v>76</v>
      </c>
      <c r="P58" s="5">
        <v>83</v>
      </c>
      <c r="Q58" s="5">
        <v>95</v>
      </c>
      <c r="R58" s="124"/>
      <c r="S58" s="43">
        <f t="shared" si="2"/>
        <v>86.666666666666671</v>
      </c>
      <c r="T58" s="43">
        <f t="shared" si="3"/>
        <v>2.7162065049951152</v>
      </c>
      <c r="U58" s="7"/>
      <c r="V58" s="7"/>
      <c r="W58" s="7"/>
      <c r="X58" s="7"/>
      <c r="Y58" s="7"/>
    </row>
    <row r="59" spans="2:78" ht="24" customHeight="1" thickBot="1" x14ac:dyDescent="0.25">
      <c r="B59" s="116"/>
      <c r="C59" s="114"/>
      <c r="D59" s="12" t="e">
        <v>#N/A</v>
      </c>
      <c r="E59" s="12" t="e">
        <v>#N/A</v>
      </c>
      <c r="F59" s="12" t="e">
        <v>#N/A</v>
      </c>
      <c r="G59" s="12" t="e">
        <v>#N/A</v>
      </c>
      <c r="H59" s="12" t="e">
        <v>#N/A</v>
      </c>
      <c r="I59" s="12" t="e">
        <v>#N/A</v>
      </c>
      <c r="J59" s="116"/>
      <c r="K59" s="12" t="s">
        <v>233</v>
      </c>
      <c r="L59" s="12">
        <v>87</v>
      </c>
      <c r="M59" s="12">
        <v>88</v>
      </c>
      <c r="N59" s="12">
        <v>94</v>
      </c>
      <c r="O59" s="12">
        <v>96</v>
      </c>
      <c r="P59" s="12">
        <v>107</v>
      </c>
      <c r="Q59" s="12">
        <v>94</v>
      </c>
      <c r="R59" s="125"/>
      <c r="S59" s="42">
        <f t="shared" si="2"/>
        <v>94.333333333333329</v>
      </c>
      <c r="T59" s="42">
        <f t="shared" si="3"/>
        <v>2.9287843515318399</v>
      </c>
      <c r="U59" s="7"/>
      <c r="V59" s="7"/>
      <c r="W59" s="7"/>
      <c r="X59" s="7"/>
      <c r="Y59" s="7"/>
      <c r="AK59" s="10"/>
      <c r="AL59" s="10"/>
      <c r="AM59" s="9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</row>
    <row r="60" spans="2:78" ht="24" customHeight="1" x14ac:dyDescent="0.2">
      <c r="B60" s="122">
        <v>35</v>
      </c>
      <c r="C60" s="113" t="s">
        <v>309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117"/>
      <c r="K60" s="5" t="s">
        <v>234</v>
      </c>
      <c r="L60" s="5">
        <v>62</v>
      </c>
      <c r="M60" s="5">
        <v>61</v>
      </c>
      <c r="N60" s="5">
        <v>67</v>
      </c>
      <c r="O60" s="5">
        <v>75</v>
      </c>
      <c r="P60" s="5">
        <v>98</v>
      </c>
      <c r="Q60" s="5">
        <v>48</v>
      </c>
      <c r="R60" s="124"/>
      <c r="S60" s="43">
        <f t="shared" si="2"/>
        <v>68.5</v>
      </c>
      <c r="T60" s="43">
        <f t="shared" si="3"/>
        <v>6.9125489751128226</v>
      </c>
      <c r="U60" s="7"/>
      <c r="V60" s="7"/>
      <c r="W60" s="7"/>
      <c r="X60" s="7"/>
      <c r="Y60" s="7"/>
    </row>
    <row r="61" spans="2:78" ht="24" customHeight="1" thickBot="1" x14ac:dyDescent="0.25">
      <c r="B61" s="116"/>
      <c r="C61" s="114"/>
      <c r="D61" s="12" t="e">
        <v>#N/A</v>
      </c>
      <c r="E61" s="12" t="e">
        <v>#N/A</v>
      </c>
      <c r="F61" s="12" t="e">
        <v>#N/A</v>
      </c>
      <c r="G61" s="12" t="e">
        <v>#N/A</v>
      </c>
      <c r="H61" s="12" t="e">
        <v>#N/A</v>
      </c>
      <c r="I61" s="12" t="e">
        <v>#N/A</v>
      </c>
      <c r="J61" s="116"/>
      <c r="K61" s="12" t="s">
        <v>233</v>
      </c>
      <c r="L61" s="12">
        <v>80</v>
      </c>
      <c r="M61" s="12">
        <v>80</v>
      </c>
      <c r="N61" s="12">
        <v>94</v>
      </c>
      <c r="O61" s="12">
        <v>91</v>
      </c>
      <c r="P61" s="12">
        <v>98</v>
      </c>
      <c r="Q61" s="12">
        <v>73</v>
      </c>
      <c r="R61" s="125"/>
      <c r="S61" s="42">
        <f t="shared" si="2"/>
        <v>86</v>
      </c>
      <c r="T61" s="42">
        <f t="shared" si="3"/>
        <v>3.9749213828703582</v>
      </c>
      <c r="U61" s="7"/>
      <c r="V61" s="7"/>
      <c r="W61" s="7"/>
      <c r="X61" s="7"/>
      <c r="Y61" s="7"/>
      <c r="AK61" s="10"/>
      <c r="AL61" s="10"/>
      <c r="AM61" s="9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</row>
    <row r="62" spans="2:78" ht="24" customHeight="1" x14ac:dyDescent="0.2">
      <c r="B62" s="122">
        <v>34</v>
      </c>
      <c r="C62" s="113" t="s">
        <v>236</v>
      </c>
      <c r="D62" s="5" t="e">
        <v>#N/A</v>
      </c>
      <c r="E62" s="5" t="e">
        <v>#N/A</v>
      </c>
      <c r="F62" s="5" t="e">
        <v>#N/A</v>
      </c>
      <c r="G62" s="5" t="e">
        <v>#N/A</v>
      </c>
      <c r="H62" s="5" t="e">
        <v>#N/A</v>
      </c>
      <c r="I62" s="5" t="e">
        <v>#N/A</v>
      </c>
      <c r="J62" s="117"/>
      <c r="K62" s="5" t="s">
        <v>234</v>
      </c>
      <c r="L62" s="5">
        <v>90</v>
      </c>
      <c r="M62" s="5">
        <v>66</v>
      </c>
      <c r="N62" s="5">
        <v>83</v>
      </c>
      <c r="O62" s="5">
        <v>65</v>
      </c>
      <c r="P62" s="5">
        <v>69</v>
      </c>
      <c r="Q62" s="5">
        <v>96</v>
      </c>
      <c r="R62" s="124"/>
      <c r="S62" s="43">
        <f t="shared" si="2"/>
        <v>78.166666666666671</v>
      </c>
      <c r="T62" s="43">
        <f t="shared" si="3"/>
        <v>5.4370130688744167</v>
      </c>
      <c r="U62" s="7"/>
      <c r="V62" s="7"/>
      <c r="W62" s="7"/>
      <c r="X62" s="7"/>
      <c r="Y62" s="7"/>
    </row>
    <row r="63" spans="2:78" ht="24" customHeight="1" thickBot="1" x14ac:dyDescent="0.25">
      <c r="B63" s="116"/>
      <c r="C63" s="114"/>
      <c r="D63" s="12" t="e">
        <v>#N/A</v>
      </c>
      <c r="E63" s="12" t="e">
        <v>#N/A</v>
      </c>
      <c r="F63" s="12" t="e">
        <v>#N/A</v>
      </c>
      <c r="G63" s="12" t="e">
        <v>#N/A</v>
      </c>
      <c r="H63" s="12" t="e">
        <v>#N/A</v>
      </c>
      <c r="I63" s="12" t="e">
        <v>#N/A</v>
      </c>
      <c r="J63" s="116"/>
      <c r="K63" s="12" t="s">
        <v>233</v>
      </c>
      <c r="L63" s="12">
        <v>92</v>
      </c>
      <c r="M63" s="12">
        <v>98</v>
      </c>
      <c r="N63" s="12">
        <v>92</v>
      </c>
      <c r="O63" s="12">
        <v>91</v>
      </c>
      <c r="P63" s="12">
        <v>90</v>
      </c>
      <c r="Q63" s="12">
        <v>95</v>
      </c>
      <c r="R63" s="125"/>
      <c r="S63" s="42">
        <f t="shared" si="2"/>
        <v>93</v>
      </c>
      <c r="T63" s="42">
        <f t="shared" si="3"/>
        <v>1.2110601416389968</v>
      </c>
      <c r="U63" s="7"/>
      <c r="V63" s="7"/>
      <c r="W63" s="7"/>
      <c r="X63" s="7"/>
      <c r="Y63" s="7"/>
      <c r="AK63" s="10"/>
      <c r="AL63" s="10"/>
      <c r="AM63" s="9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</row>
    <row r="64" spans="2:78" ht="24" customHeight="1" x14ac:dyDescent="0.2">
      <c r="B64" s="122">
        <v>33</v>
      </c>
      <c r="C64" s="113" t="s">
        <v>309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117"/>
      <c r="K64" s="5" t="s">
        <v>234</v>
      </c>
      <c r="L64" s="5">
        <v>81</v>
      </c>
      <c r="M64" s="5">
        <v>79</v>
      </c>
      <c r="N64" s="5">
        <v>48</v>
      </c>
      <c r="O64" s="5">
        <v>81</v>
      </c>
      <c r="P64" s="45">
        <v>67</v>
      </c>
      <c r="Q64" s="5">
        <v>86</v>
      </c>
      <c r="R64" s="124"/>
      <c r="S64" s="43">
        <f t="shared" si="2"/>
        <v>73.666666666666671</v>
      </c>
      <c r="T64" s="43">
        <f t="shared" si="3"/>
        <v>5.7484297372799471</v>
      </c>
      <c r="U64" s="7"/>
      <c r="V64" s="7"/>
      <c r="W64" s="7"/>
      <c r="X64" s="7"/>
      <c r="Y64" s="7"/>
    </row>
    <row r="65" spans="2:78" ht="24" customHeight="1" thickBot="1" x14ac:dyDescent="0.25">
      <c r="B65" s="116"/>
      <c r="C65" s="114"/>
      <c r="D65" s="5" t="e">
        <v>#N/A</v>
      </c>
      <c r="E65" s="5" t="e">
        <v>#N/A</v>
      </c>
      <c r="F65" s="5" t="e">
        <v>#N/A</v>
      </c>
      <c r="G65" s="5" t="e">
        <v>#N/A</v>
      </c>
      <c r="H65" s="5" t="e">
        <v>#N/A</v>
      </c>
      <c r="I65" s="5" t="e">
        <v>#N/A</v>
      </c>
      <c r="J65" s="116"/>
      <c r="K65" s="5" t="s">
        <v>233</v>
      </c>
      <c r="L65" s="5">
        <v>98</v>
      </c>
      <c r="M65" s="5">
        <v>92</v>
      </c>
      <c r="N65" s="5">
        <v>79</v>
      </c>
      <c r="O65" s="5">
        <v>91</v>
      </c>
      <c r="P65" s="45">
        <v>92</v>
      </c>
      <c r="Q65" s="5">
        <v>85</v>
      </c>
      <c r="R65" s="125"/>
      <c r="S65" s="42">
        <f t="shared" si="2"/>
        <v>89.5</v>
      </c>
      <c r="T65" s="42">
        <f t="shared" si="3"/>
        <v>2.6925824035672523</v>
      </c>
      <c r="U65" s="7"/>
      <c r="V65" s="7"/>
      <c r="W65" s="7"/>
      <c r="X65" s="7"/>
      <c r="Y65" s="7"/>
    </row>
    <row r="66" spans="2:78" ht="24" customHeight="1" x14ac:dyDescent="0.2">
      <c r="B66" s="122">
        <v>32</v>
      </c>
      <c r="C66" s="113" t="s">
        <v>311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117"/>
      <c r="K66" s="5" t="s">
        <v>234</v>
      </c>
      <c r="L66" s="5">
        <v>99</v>
      </c>
      <c r="M66" s="5">
        <v>71</v>
      </c>
      <c r="N66" s="5">
        <v>93</v>
      </c>
      <c r="O66" s="5">
        <v>73</v>
      </c>
      <c r="P66" s="5">
        <v>98</v>
      </c>
      <c r="Q66" s="5">
        <v>73</v>
      </c>
      <c r="R66" s="124"/>
      <c r="S66" s="43">
        <f t="shared" si="2"/>
        <v>84.5</v>
      </c>
      <c r="T66" s="43">
        <f t="shared" si="3"/>
        <v>5.512107884769069</v>
      </c>
      <c r="AK66" s="10">
        <v>2</v>
      </c>
      <c r="AL66" s="10" t="s">
        <v>235</v>
      </c>
      <c r="AM66" s="10">
        <v>150</v>
      </c>
    </row>
    <row r="67" spans="2:78" ht="24" customHeight="1" thickBot="1" x14ac:dyDescent="0.25">
      <c r="B67" s="116"/>
      <c r="C67" s="114"/>
      <c r="D67" s="12" t="e">
        <v>#N/A</v>
      </c>
      <c r="E67" s="12" t="e">
        <v>#N/A</v>
      </c>
      <c r="F67" s="12" t="e">
        <v>#N/A</v>
      </c>
      <c r="G67" s="12" t="e">
        <v>#N/A</v>
      </c>
      <c r="H67" s="12" t="e">
        <v>#N/A</v>
      </c>
      <c r="I67" s="12" t="e">
        <v>#N/A</v>
      </c>
      <c r="J67" s="116"/>
      <c r="K67" s="12" t="s">
        <v>233</v>
      </c>
      <c r="L67" s="12">
        <v>104</v>
      </c>
      <c r="M67" s="12">
        <v>95</v>
      </c>
      <c r="N67" s="12">
        <v>88</v>
      </c>
      <c r="O67" s="12">
        <v>101</v>
      </c>
      <c r="P67" s="12">
        <v>103</v>
      </c>
      <c r="Q67" s="12">
        <v>100</v>
      </c>
      <c r="R67" s="125"/>
      <c r="S67" s="42">
        <f t="shared" si="2"/>
        <v>98.5</v>
      </c>
      <c r="T67" s="42">
        <f t="shared" si="3"/>
        <v>2.459674775249769</v>
      </c>
      <c r="U67" s="7"/>
      <c r="V67" s="7"/>
      <c r="W67" s="7"/>
      <c r="X67" s="7"/>
      <c r="Y67" s="7"/>
      <c r="AK67" s="10"/>
      <c r="AL67" s="10"/>
      <c r="AM67" s="9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</row>
    <row r="68" spans="2:78" ht="24" customHeight="1" x14ac:dyDescent="0.2">
      <c r="B68" s="122">
        <v>31</v>
      </c>
      <c r="C68" s="113" t="s">
        <v>314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117"/>
      <c r="K68" s="5" t="s">
        <v>234</v>
      </c>
      <c r="L68" s="5">
        <v>82</v>
      </c>
      <c r="M68" s="5">
        <v>87</v>
      </c>
      <c r="N68" s="5">
        <v>82</v>
      </c>
      <c r="O68" s="5">
        <v>75</v>
      </c>
      <c r="P68" s="5">
        <v>86</v>
      </c>
      <c r="Q68" s="5">
        <v>74</v>
      </c>
      <c r="R68" s="124"/>
      <c r="S68" s="43">
        <f t="shared" si="2"/>
        <v>81</v>
      </c>
      <c r="T68" s="43">
        <f t="shared" si="3"/>
        <v>2.2211108331943579</v>
      </c>
      <c r="U68" s="7"/>
      <c r="V68" s="7"/>
      <c r="W68" s="7"/>
      <c r="X68" s="7"/>
      <c r="Y68" s="7"/>
    </row>
    <row r="69" spans="2:78" ht="24" customHeight="1" thickBot="1" x14ac:dyDescent="0.25">
      <c r="B69" s="116"/>
      <c r="C69" s="114"/>
      <c r="D69" s="12" t="e">
        <v>#N/A</v>
      </c>
      <c r="E69" s="12" t="e">
        <v>#N/A</v>
      </c>
      <c r="F69" s="12" t="e">
        <v>#N/A</v>
      </c>
      <c r="G69" s="12" t="e">
        <v>#N/A</v>
      </c>
      <c r="H69" s="12" t="e">
        <v>#N/A</v>
      </c>
      <c r="I69" s="12" t="e">
        <v>#N/A</v>
      </c>
      <c r="J69" s="116"/>
      <c r="K69" s="12" t="s">
        <v>233</v>
      </c>
      <c r="L69" s="12">
        <v>102</v>
      </c>
      <c r="M69" s="12">
        <v>86</v>
      </c>
      <c r="N69" s="12">
        <v>94</v>
      </c>
      <c r="O69" s="12">
        <v>95</v>
      </c>
      <c r="P69" s="12">
        <v>93</v>
      </c>
      <c r="Q69" s="12">
        <v>97</v>
      </c>
      <c r="R69" s="125"/>
      <c r="S69" s="42">
        <f t="shared" si="2"/>
        <v>94.5</v>
      </c>
      <c r="T69" s="42">
        <f t="shared" si="3"/>
        <v>2.1408720964441885</v>
      </c>
      <c r="U69" s="7"/>
      <c r="V69" s="7"/>
      <c r="W69" s="7"/>
      <c r="X69" s="7"/>
      <c r="Y69" s="7"/>
      <c r="AK69" s="10"/>
      <c r="AL69" s="10"/>
      <c r="AM69" s="9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</row>
    <row r="70" spans="2:78" ht="24" customHeight="1" x14ac:dyDescent="0.2">
      <c r="B70" s="122">
        <v>41</v>
      </c>
      <c r="C70" s="113" t="s">
        <v>310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118">
        <v>1402</v>
      </c>
      <c r="K70" s="5" t="s">
        <v>234</v>
      </c>
      <c r="L70" s="5">
        <v>84</v>
      </c>
      <c r="M70" s="5">
        <v>57</v>
      </c>
      <c r="N70" s="5">
        <v>66</v>
      </c>
      <c r="O70" s="5">
        <v>46</v>
      </c>
      <c r="P70" s="5">
        <v>44</v>
      </c>
      <c r="Q70" s="5">
        <v>58</v>
      </c>
      <c r="R70" s="124"/>
      <c r="S70" s="43">
        <f t="shared" si="2"/>
        <v>59.166666666666664</v>
      </c>
      <c r="T70" s="43">
        <f t="shared" si="3"/>
        <v>5.9800594571551784</v>
      </c>
      <c r="U70" s="7"/>
      <c r="V70" s="7"/>
      <c r="W70" s="7"/>
      <c r="X70" s="7"/>
      <c r="Y70" s="7"/>
    </row>
    <row r="71" spans="2:78" ht="24" customHeight="1" thickBot="1" x14ac:dyDescent="0.25">
      <c r="B71" s="116"/>
      <c r="C71" s="114"/>
      <c r="D71" s="12" t="e">
        <v>#N/A</v>
      </c>
      <c r="E71" s="12" t="e">
        <v>#N/A</v>
      </c>
      <c r="F71" s="12" t="e">
        <v>#N/A</v>
      </c>
      <c r="G71" s="12" t="e">
        <v>#N/A</v>
      </c>
      <c r="H71" s="12" t="e">
        <v>#N/A</v>
      </c>
      <c r="I71" s="12" t="e">
        <v>#N/A</v>
      </c>
      <c r="J71" s="116"/>
      <c r="K71" s="12" t="s">
        <v>233</v>
      </c>
      <c r="L71" s="12">
        <v>86</v>
      </c>
      <c r="M71" s="12">
        <v>79</v>
      </c>
      <c r="N71" s="12">
        <v>67</v>
      </c>
      <c r="O71" s="12">
        <v>68</v>
      </c>
      <c r="P71" s="12">
        <v>57</v>
      </c>
      <c r="Q71" s="12">
        <v>66</v>
      </c>
      <c r="R71" s="125"/>
      <c r="S71" s="42">
        <f t="shared" si="2"/>
        <v>70.5</v>
      </c>
      <c r="T71" s="42">
        <f t="shared" si="3"/>
        <v>4.217028969942386</v>
      </c>
      <c r="U71" s="7"/>
      <c r="V71" s="7"/>
      <c r="W71" s="7"/>
      <c r="X71" s="7"/>
      <c r="Y71" s="7"/>
      <c r="AK71" s="10"/>
      <c r="AL71" s="10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</row>
    <row r="72" spans="2:78" ht="24" customHeight="1" x14ac:dyDescent="0.2">
      <c r="B72" s="122">
        <v>42</v>
      </c>
      <c r="C72" s="113" t="s">
        <v>238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117"/>
      <c r="K72" s="5" t="s">
        <v>234</v>
      </c>
      <c r="L72" s="5">
        <v>74</v>
      </c>
      <c r="M72" s="5">
        <v>64</v>
      </c>
      <c r="N72" s="5">
        <v>77</v>
      </c>
      <c r="O72" s="5">
        <v>61</v>
      </c>
      <c r="P72" s="5">
        <v>67</v>
      </c>
      <c r="Q72" s="5">
        <v>57</v>
      </c>
      <c r="R72" s="124"/>
      <c r="S72" s="43">
        <f t="shared" si="2"/>
        <v>66.666666666666671</v>
      </c>
      <c r="T72" s="43">
        <f t="shared" si="3"/>
        <v>3.12694383988228</v>
      </c>
      <c r="U72" s="7"/>
      <c r="V72" s="7"/>
      <c r="W72" s="7"/>
      <c r="X72" s="7"/>
      <c r="Y72" s="7"/>
    </row>
    <row r="73" spans="2:78" ht="24" customHeight="1" thickBot="1" x14ac:dyDescent="0.25">
      <c r="B73" s="116"/>
      <c r="C73" s="114"/>
      <c r="D73" s="12" t="e">
        <v>#N/A</v>
      </c>
      <c r="E73" s="12" t="e">
        <v>#N/A</v>
      </c>
      <c r="F73" s="12" t="e">
        <v>#N/A</v>
      </c>
      <c r="G73" s="12" t="e">
        <v>#N/A</v>
      </c>
      <c r="H73" s="12" t="e">
        <v>#N/A</v>
      </c>
      <c r="I73" s="12" t="e">
        <v>#N/A</v>
      </c>
      <c r="J73" s="116"/>
      <c r="K73" s="12" t="s">
        <v>233</v>
      </c>
      <c r="L73" s="12">
        <v>87</v>
      </c>
      <c r="M73" s="12">
        <v>82</v>
      </c>
      <c r="N73" s="12">
        <v>78</v>
      </c>
      <c r="O73" s="12">
        <v>70</v>
      </c>
      <c r="P73" s="12">
        <v>83</v>
      </c>
      <c r="Q73" s="12">
        <v>73</v>
      </c>
      <c r="R73" s="125"/>
      <c r="S73" s="42">
        <f t="shared" si="2"/>
        <v>78.833333333333329</v>
      </c>
      <c r="T73" s="42">
        <f t="shared" si="3"/>
        <v>2.6257274124410643</v>
      </c>
      <c r="U73" s="7"/>
      <c r="V73" s="7"/>
      <c r="W73" s="7"/>
      <c r="X73" s="7"/>
      <c r="Y73" s="7"/>
      <c r="AK73" s="10"/>
      <c r="AL73" s="10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</row>
    <row r="74" spans="2:78" ht="24" customHeight="1" x14ac:dyDescent="0.2">
      <c r="B74" s="122">
        <v>43</v>
      </c>
      <c r="C74" s="113" t="s">
        <v>312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117"/>
      <c r="K74" s="5" t="s">
        <v>234</v>
      </c>
      <c r="L74" s="5">
        <v>97</v>
      </c>
      <c r="M74" s="5">
        <v>113</v>
      </c>
      <c r="N74" s="5">
        <v>98</v>
      </c>
      <c r="O74" s="5">
        <v>87</v>
      </c>
      <c r="P74" s="5">
        <v>92</v>
      </c>
      <c r="Q74" s="5">
        <v>104</v>
      </c>
      <c r="R74" s="124"/>
      <c r="S74" s="43">
        <f t="shared" ref="S74:S85" si="4">AVERAGE(L74:Q74)</f>
        <v>98.5</v>
      </c>
      <c r="T74" s="43">
        <f t="shared" ref="T74:T85" si="5">STDEV(L74:Q74)/SQRT(6)</f>
        <v>3.7305048809332324</v>
      </c>
      <c r="U74" s="7"/>
      <c r="V74" s="7"/>
      <c r="W74" s="7"/>
      <c r="X74" s="7"/>
      <c r="Y74" s="7"/>
    </row>
    <row r="75" spans="2:78" ht="24" customHeight="1" thickBot="1" x14ac:dyDescent="0.25">
      <c r="B75" s="116"/>
      <c r="C75" s="114"/>
      <c r="D75" s="12" t="e">
        <v>#N/A</v>
      </c>
      <c r="E75" s="12" t="e">
        <v>#N/A</v>
      </c>
      <c r="F75" s="12" t="e">
        <v>#N/A</v>
      </c>
      <c r="G75" s="12" t="e">
        <v>#N/A</v>
      </c>
      <c r="H75" s="12" t="e">
        <v>#N/A</v>
      </c>
      <c r="I75" s="12" t="e">
        <v>#N/A</v>
      </c>
      <c r="J75" s="116"/>
      <c r="K75" s="12" t="s">
        <v>233</v>
      </c>
      <c r="L75" s="12">
        <v>85</v>
      </c>
      <c r="M75" s="12">
        <v>103</v>
      </c>
      <c r="N75" s="12">
        <v>102</v>
      </c>
      <c r="O75" s="12">
        <v>98</v>
      </c>
      <c r="P75" s="12">
        <v>104</v>
      </c>
      <c r="Q75" s="12">
        <v>102</v>
      </c>
      <c r="R75" s="125"/>
      <c r="S75" s="42">
        <f t="shared" si="4"/>
        <v>99</v>
      </c>
      <c r="T75" s="42">
        <f t="shared" si="5"/>
        <v>2.9211869733608862</v>
      </c>
      <c r="U75" s="7"/>
      <c r="V75" s="7"/>
      <c r="W75" s="7"/>
      <c r="X75" s="7"/>
      <c r="Y75" s="7"/>
      <c r="AK75" s="10"/>
      <c r="AL75" s="10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</row>
    <row r="76" spans="2:78" ht="24" customHeight="1" x14ac:dyDescent="0.2">
      <c r="B76" s="122">
        <v>44</v>
      </c>
      <c r="C76" s="113" t="s">
        <v>312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6"/>
      <c r="K76" s="5" t="s">
        <v>234</v>
      </c>
      <c r="L76" s="5">
        <v>86</v>
      </c>
      <c r="M76" s="5">
        <v>64</v>
      </c>
      <c r="N76" s="5">
        <v>75</v>
      </c>
      <c r="O76" s="5">
        <v>76</v>
      </c>
      <c r="P76" s="5">
        <v>72</v>
      </c>
      <c r="Q76" s="5">
        <v>88</v>
      </c>
      <c r="R76" s="124" t="s">
        <v>291</v>
      </c>
      <c r="S76" s="43">
        <f t="shared" si="4"/>
        <v>76.833333333333329</v>
      </c>
      <c r="T76" s="43">
        <f t="shared" si="5"/>
        <v>3.6552853665768965</v>
      </c>
      <c r="U76" s="7"/>
      <c r="V76" s="7"/>
      <c r="W76" s="7"/>
      <c r="X76" s="7"/>
      <c r="Y76" s="7"/>
    </row>
    <row r="77" spans="2:78" ht="24" customHeight="1" thickBot="1" x14ac:dyDescent="0.25">
      <c r="B77" s="116"/>
      <c r="C77" s="114"/>
      <c r="D77" s="12" t="e">
        <v>#N/A</v>
      </c>
      <c r="E77" s="12" t="e">
        <v>#N/A</v>
      </c>
      <c r="F77" s="12" t="e">
        <v>#N/A</v>
      </c>
      <c r="G77" s="12" t="e">
        <v>#N/A</v>
      </c>
      <c r="H77" s="12" t="e">
        <v>#N/A</v>
      </c>
      <c r="I77" s="12" t="e">
        <v>#N/A</v>
      </c>
      <c r="J77" s="13"/>
      <c r="K77" s="12" t="s">
        <v>233</v>
      </c>
      <c r="L77" s="12">
        <v>105</v>
      </c>
      <c r="M77" s="12">
        <v>93</v>
      </c>
      <c r="N77" s="12">
        <v>98</v>
      </c>
      <c r="O77" s="12">
        <v>79</v>
      </c>
      <c r="P77" s="12">
        <v>80</v>
      </c>
      <c r="Q77" s="12">
        <v>89</v>
      </c>
      <c r="R77" s="125"/>
      <c r="S77" s="42">
        <f t="shared" si="4"/>
        <v>90.666666666666671</v>
      </c>
      <c r="T77" s="42">
        <f t="shared" si="5"/>
        <v>4.1526430673059931</v>
      </c>
      <c r="U77" s="7"/>
      <c r="V77" s="7"/>
      <c r="W77" s="7"/>
      <c r="X77" s="7"/>
      <c r="Y77" s="7"/>
      <c r="AK77" s="10"/>
      <c r="AL77" s="10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</row>
    <row r="78" spans="2:78" ht="24" customHeight="1" x14ac:dyDescent="0.2">
      <c r="B78" s="122">
        <v>45</v>
      </c>
      <c r="C78" s="113" t="s">
        <v>313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117"/>
      <c r="K78" s="5" t="s">
        <v>234</v>
      </c>
      <c r="L78" s="5">
        <v>93</v>
      </c>
      <c r="M78" s="5">
        <v>89</v>
      </c>
      <c r="N78" s="5">
        <v>86</v>
      </c>
      <c r="O78" s="5">
        <v>102</v>
      </c>
      <c r="P78" s="5">
        <v>87</v>
      </c>
      <c r="Q78" s="5">
        <v>105</v>
      </c>
      <c r="R78" s="124"/>
      <c r="S78" s="43">
        <f t="shared" si="4"/>
        <v>93.666666666666671</v>
      </c>
      <c r="T78" s="43">
        <f t="shared" si="5"/>
        <v>3.2829526005987022</v>
      </c>
      <c r="U78" s="7"/>
      <c r="V78" s="7"/>
      <c r="W78" s="7"/>
      <c r="X78" s="7"/>
      <c r="Y78" s="7"/>
    </row>
    <row r="79" spans="2:78" ht="24" customHeight="1" thickBot="1" x14ac:dyDescent="0.25">
      <c r="B79" s="116"/>
      <c r="C79" s="114"/>
      <c r="D79" s="12" t="e">
        <v>#N/A</v>
      </c>
      <c r="E79" s="12" t="e">
        <v>#N/A</v>
      </c>
      <c r="F79" s="12" t="e">
        <v>#N/A</v>
      </c>
      <c r="G79" s="12" t="e">
        <v>#N/A</v>
      </c>
      <c r="H79" s="12" t="e">
        <v>#N/A</v>
      </c>
      <c r="I79" s="12" t="e">
        <v>#N/A</v>
      </c>
      <c r="J79" s="116"/>
      <c r="K79" s="12" t="s">
        <v>233</v>
      </c>
      <c r="L79" s="12">
        <v>101</v>
      </c>
      <c r="M79" s="12">
        <v>104</v>
      </c>
      <c r="N79" s="12">
        <v>103</v>
      </c>
      <c r="O79" s="12">
        <v>110</v>
      </c>
      <c r="P79" s="12">
        <v>120</v>
      </c>
      <c r="Q79" s="12">
        <v>104</v>
      </c>
      <c r="R79" s="125"/>
      <c r="S79" s="42">
        <f t="shared" si="4"/>
        <v>107</v>
      </c>
      <c r="T79" s="42">
        <f t="shared" si="5"/>
        <v>2.8751811537130436</v>
      </c>
      <c r="U79" s="7"/>
      <c r="V79" s="7"/>
      <c r="W79" s="7"/>
      <c r="X79" s="7"/>
      <c r="Y79" s="7"/>
      <c r="AK79" s="10"/>
      <c r="AL79" s="10"/>
      <c r="AM79" s="9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</row>
    <row r="80" spans="2:78" ht="24" customHeight="1" x14ac:dyDescent="0.2">
      <c r="B80" s="122">
        <v>46</v>
      </c>
      <c r="C80" s="113" t="s">
        <v>236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117"/>
      <c r="K80" s="44" t="s">
        <v>234</v>
      </c>
      <c r="L80" s="44">
        <v>79</v>
      </c>
      <c r="M80" s="44">
        <v>97</v>
      </c>
      <c r="N80" s="44">
        <v>112</v>
      </c>
      <c r="O80" s="44">
        <v>88</v>
      </c>
      <c r="P80" s="44">
        <v>98</v>
      </c>
      <c r="Q80" s="44">
        <v>106</v>
      </c>
      <c r="R80" s="124"/>
      <c r="S80" s="43">
        <f t="shared" si="4"/>
        <v>96.666666666666671</v>
      </c>
      <c r="T80" s="43">
        <f t="shared" si="5"/>
        <v>4.8694056219533817</v>
      </c>
      <c r="U80" s="7"/>
      <c r="V80" s="7"/>
      <c r="W80" s="7"/>
      <c r="X80" s="7"/>
      <c r="Y80" s="7"/>
    </row>
    <row r="81" spans="2:25" ht="24" customHeight="1" thickBot="1" x14ac:dyDescent="0.25">
      <c r="B81" s="116"/>
      <c r="C81" s="114"/>
      <c r="D81" s="5" t="e">
        <v>#N/A</v>
      </c>
      <c r="E81" s="5" t="e">
        <v>#N/A</v>
      </c>
      <c r="F81" s="5" t="e">
        <v>#N/A</v>
      </c>
      <c r="G81" s="5" t="e">
        <v>#N/A</v>
      </c>
      <c r="H81" s="5" t="e">
        <v>#N/A</v>
      </c>
      <c r="I81" s="5" t="e">
        <v>#N/A</v>
      </c>
      <c r="J81" s="116"/>
      <c r="K81" s="12" t="s">
        <v>233</v>
      </c>
      <c r="L81" s="12">
        <v>99</v>
      </c>
      <c r="M81" s="12">
        <v>102</v>
      </c>
      <c r="N81" s="12">
        <v>114</v>
      </c>
      <c r="O81" s="12">
        <v>107</v>
      </c>
      <c r="P81" s="12">
        <v>113</v>
      </c>
      <c r="Q81" s="12">
        <v>117</v>
      </c>
      <c r="R81" s="125"/>
      <c r="S81" s="42">
        <f t="shared" si="4"/>
        <v>108.66666666666667</v>
      </c>
      <c r="T81" s="42">
        <f t="shared" si="5"/>
        <v>2.9287843515318399</v>
      </c>
      <c r="U81" s="7"/>
      <c r="V81" s="7"/>
      <c r="W81" s="7"/>
      <c r="X81" s="7"/>
      <c r="Y81" s="7"/>
    </row>
    <row r="82" spans="2:25" ht="24" customHeight="1" x14ac:dyDescent="0.2">
      <c r="B82" s="122">
        <v>47</v>
      </c>
      <c r="C82" s="113" t="s">
        <v>310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117"/>
      <c r="K82" s="44" t="s">
        <v>234</v>
      </c>
      <c r="L82" s="44">
        <v>64</v>
      </c>
      <c r="M82" s="44">
        <v>70</v>
      </c>
      <c r="N82" s="44">
        <v>68</v>
      </c>
      <c r="O82" s="44">
        <v>67</v>
      </c>
      <c r="P82" s="44">
        <v>76</v>
      </c>
      <c r="Q82" s="44">
        <v>82</v>
      </c>
      <c r="R82" s="124"/>
      <c r="S82" s="43">
        <f t="shared" si="4"/>
        <v>71.166666666666671</v>
      </c>
      <c r="T82" s="43">
        <f t="shared" si="5"/>
        <v>2.7131367660166177</v>
      </c>
    </row>
    <row r="83" spans="2:25" ht="24" customHeight="1" thickBot="1" x14ac:dyDescent="0.25">
      <c r="B83" s="116"/>
      <c r="C83" s="114"/>
      <c r="D83" s="5" t="e">
        <v>#N/A</v>
      </c>
      <c r="E83" s="5" t="e">
        <v>#N/A</v>
      </c>
      <c r="F83" s="5" t="e">
        <v>#N/A</v>
      </c>
      <c r="G83" s="5" t="e">
        <v>#N/A</v>
      </c>
      <c r="H83" s="5" t="e">
        <v>#N/A</v>
      </c>
      <c r="I83" s="5" t="e">
        <v>#N/A</v>
      </c>
      <c r="J83" s="116"/>
      <c r="K83" s="12" t="s">
        <v>233</v>
      </c>
      <c r="L83" s="12">
        <v>78</v>
      </c>
      <c r="M83" s="12">
        <v>75</v>
      </c>
      <c r="N83" s="12">
        <v>66</v>
      </c>
      <c r="O83" s="12">
        <v>79</v>
      </c>
      <c r="P83" s="12">
        <v>88</v>
      </c>
      <c r="Q83" s="12">
        <v>70</v>
      </c>
      <c r="R83" s="125"/>
      <c r="S83" s="42">
        <f t="shared" si="4"/>
        <v>76</v>
      </c>
      <c r="T83" s="42">
        <f t="shared" si="5"/>
        <v>3.130495168499706</v>
      </c>
    </row>
    <row r="84" spans="2:25" ht="24" customHeight="1" x14ac:dyDescent="0.2">
      <c r="B84" s="122">
        <v>48</v>
      </c>
      <c r="C84" s="113" t="s">
        <v>311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118">
        <v>1423</v>
      </c>
      <c r="K84" s="44" t="s">
        <v>234</v>
      </c>
      <c r="L84" s="44">
        <v>95</v>
      </c>
      <c r="M84" s="44">
        <v>91</v>
      </c>
      <c r="N84" s="44">
        <v>88</v>
      </c>
      <c r="O84" s="44">
        <v>75</v>
      </c>
      <c r="P84" s="44">
        <v>72</v>
      </c>
      <c r="Q84" s="44">
        <v>76</v>
      </c>
      <c r="R84" s="124"/>
      <c r="S84" s="43">
        <f t="shared" si="4"/>
        <v>82.833333333333329</v>
      </c>
      <c r="T84" s="43">
        <f t="shared" si="5"/>
        <v>3.9447574210730876</v>
      </c>
    </row>
    <row r="85" spans="2:25" ht="24" customHeight="1" thickBot="1" x14ac:dyDescent="0.25">
      <c r="B85" s="116"/>
      <c r="C85" s="114"/>
      <c r="D85" s="5" t="e">
        <v>#N/A</v>
      </c>
      <c r="E85" s="5" t="e">
        <v>#N/A</v>
      </c>
      <c r="F85" s="5" t="e">
        <v>#N/A</v>
      </c>
      <c r="G85" s="5" t="e">
        <v>#N/A</v>
      </c>
      <c r="H85" s="5" t="e">
        <v>#N/A</v>
      </c>
      <c r="I85" s="5" t="e">
        <v>#N/A</v>
      </c>
      <c r="J85" s="116"/>
      <c r="K85" s="12" t="s">
        <v>233</v>
      </c>
      <c r="L85" s="12">
        <v>111</v>
      </c>
      <c r="M85" s="12">
        <v>108</v>
      </c>
      <c r="N85" s="12">
        <v>94</v>
      </c>
      <c r="O85" s="12">
        <v>89</v>
      </c>
      <c r="P85" s="12">
        <v>98</v>
      </c>
      <c r="Q85" s="12">
        <v>98</v>
      </c>
      <c r="R85" s="125"/>
      <c r="S85" s="42">
        <f t="shared" si="4"/>
        <v>99.666666666666671</v>
      </c>
      <c r="T85" s="42">
        <f t="shared" si="5"/>
        <v>3.4123957045519275</v>
      </c>
    </row>
    <row r="86" spans="2:25" x14ac:dyDescent="0.2">
      <c r="K86" s="2"/>
    </row>
    <row r="87" spans="2:25" x14ac:dyDescent="0.2">
      <c r="K87" s="2"/>
    </row>
    <row r="88" spans="2:25" x14ac:dyDescent="0.2">
      <c r="K88" s="2"/>
    </row>
  </sheetData>
  <mergeCells count="155">
    <mergeCell ref="R68:R69"/>
    <mergeCell ref="R70:R71"/>
    <mergeCell ref="R72:R73"/>
    <mergeCell ref="R74:R75"/>
    <mergeCell ref="R84:R85"/>
    <mergeCell ref="R76:R77"/>
    <mergeCell ref="R78:R79"/>
    <mergeCell ref="R80:R81"/>
    <mergeCell ref="R82:R83"/>
    <mergeCell ref="R50:R51"/>
    <mergeCell ref="R52:R53"/>
    <mergeCell ref="R54:R55"/>
    <mergeCell ref="R56:R57"/>
    <mergeCell ref="R58:R59"/>
    <mergeCell ref="R60:R61"/>
    <mergeCell ref="R62:R63"/>
    <mergeCell ref="R64:R65"/>
    <mergeCell ref="R66:R67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J58:J59"/>
    <mergeCell ref="J60:J61"/>
    <mergeCell ref="J62:J63"/>
    <mergeCell ref="J64:J65"/>
    <mergeCell ref="J66:J67"/>
    <mergeCell ref="J68:J69"/>
    <mergeCell ref="J80:J81"/>
    <mergeCell ref="J82:J83"/>
    <mergeCell ref="J84:J85"/>
    <mergeCell ref="J70:J71"/>
    <mergeCell ref="J72:J73"/>
    <mergeCell ref="J74:J75"/>
    <mergeCell ref="J78:J79"/>
    <mergeCell ref="C82:C83"/>
    <mergeCell ref="C84:C85"/>
    <mergeCell ref="J12:J13"/>
    <mergeCell ref="J14:J15"/>
    <mergeCell ref="J16:J17"/>
    <mergeCell ref="J18:J19"/>
    <mergeCell ref="J20:J21"/>
    <mergeCell ref="J24:J25"/>
    <mergeCell ref="J26:J27"/>
    <mergeCell ref="J22:J23"/>
    <mergeCell ref="J28:J29"/>
    <mergeCell ref="J32:J33"/>
    <mergeCell ref="J30:J31"/>
    <mergeCell ref="J34:J35"/>
    <mergeCell ref="J36:J37"/>
    <mergeCell ref="J40:J41"/>
    <mergeCell ref="J38:J39"/>
    <mergeCell ref="J42:J43"/>
    <mergeCell ref="J44:J45"/>
    <mergeCell ref="J46:J47"/>
    <mergeCell ref="J52:J53"/>
    <mergeCell ref="J50:J51"/>
    <mergeCell ref="J54:J55"/>
    <mergeCell ref="J56:J57"/>
    <mergeCell ref="B82:B83"/>
    <mergeCell ref="B84:B85"/>
    <mergeCell ref="C12:C13"/>
    <mergeCell ref="C14:C15"/>
    <mergeCell ref="C16:C17"/>
    <mergeCell ref="C18:C19"/>
    <mergeCell ref="C20:C21"/>
    <mergeCell ref="C22:C23"/>
    <mergeCell ref="C24:C25"/>
    <mergeCell ref="B74:B75"/>
    <mergeCell ref="C26:C27"/>
    <mergeCell ref="C40:C41"/>
    <mergeCell ref="C42:C43"/>
    <mergeCell ref="C44:C45"/>
    <mergeCell ref="C46:C47"/>
    <mergeCell ref="C48:C49"/>
    <mergeCell ref="C38:C39"/>
    <mergeCell ref="C50:C51"/>
    <mergeCell ref="C52:C53"/>
    <mergeCell ref="C54:C55"/>
    <mergeCell ref="C56:C57"/>
    <mergeCell ref="C58:C59"/>
    <mergeCell ref="C60:C61"/>
    <mergeCell ref="C62:C63"/>
    <mergeCell ref="B76:B77"/>
    <mergeCell ref="B78:B79"/>
    <mergeCell ref="B80:B81"/>
    <mergeCell ref="C10:C11"/>
    <mergeCell ref="C28:C29"/>
    <mergeCell ref="C30:C31"/>
    <mergeCell ref="C32:C33"/>
    <mergeCell ref="C34:C35"/>
    <mergeCell ref="C36:C37"/>
    <mergeCell ref="B62:B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B64:B65"/>
    <mergeCell ref="B66:B67"/>
    <mergeCell ref="B68:B69"/>
    <mergeCell ref="B70:B71"/>
    <mergeCell ref="B72:B73"/>
    <mergeCell ref="B50:B51"/>
    <mergeCell ref="B52:B53"/>
    <mergeCell ref="B54:B55"/>
    <mergeCell ref="B56:B57"/>
    <mergeCell ref="B58:B59"/>
    <mergeCell ref="B32:B33"/>
    <mergeCell ref="B34:B35"/>
    <mergeCell ref="B36:B37"/>
    <mergeCell ref="B60:B61"/>
    <mergeCell ref="B38:B39"/>
    <mergeCell ref="B40:B41"/>
    <mergeCell ref="B42:B43"/>
    <mergeCell ref="B44:B45"/>
    <mergeCell ref="B46:B47"/>
    <mergeCell ref="B48:B49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AK5:AM5"/>
    <mergeCell ref="B8:K8"/>
    <mergeCell ref="B10:B11"/>
    <mergeCell ref="S7:S8"/>
    <mergeCell ref="T7:T8"/>
    <mergeCell ref="L6:Q6"/>
    <mergeCell ref="R7:R8"/>
    <mergeCell ref="R10:R13"/>
    <mergeCell ref="B12:B13"/>
    <mergeCell ref="J10:J11"/>
  </mergeCells>
  <pageMargins left="0.51" right="0" top="0.49" bottom="0" header="0.64" footer="0"/>
  <pageSetup paperSize="512" scale="59" fitToHeight="2" orientation="portrait" r:id="rId1"/>
  <headerFooter alignWithMargins="0">
    <oddFooter>&amp;L&amp;F   ALARC Remote Sensing&amp;R&amp;D</oddFooter>
  </headerFooter>
  <rowBreaks count="1" manualBreakCount="1">
    <brk id="37" max="17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18B7-90A3-44E6-A119-DD14FFDEFEA1}">
  <dimension ref="A1:BZ95"/>
  <sheetViews>
    <sheetView zoomScaleNormal="100" workbookViewId="0"/>
  </sheetViews>
  <sheetFormatPr defaultRowHeight="12.75" x14ac:dyDescent="0.2"/>
  <cols>
    <col min="1" max="1" width="9.140625" style="1"/>
    <col min="2" max="2" width="6.28515625" style="1" customWidth="1"/>
    <col min="3" max="3" width="14.7109375" style="1" customWidth="1"/>
    <col min="4" max="8" width="5.28515625" style="1" hidden="1" customWidth="1"/>
    <col min="9" max="9" width="7" style="1" hidden="1" customWidth="1"/>
    <col min="10" max="17" width="12.7109375" style="1" customWidth="1"/>
    <col min="18" max="18" width="36.140625" style="1" customWidth="1"/>
    <col min="19" max="20" width="10.85546875" style="1" bestFit="1" customWidth="1"/>
    <col min="21" max="26" width="9.140625" style="1"/>
    <col min="27" max="27" width="7.5703125" style="1" customWidth="1"/>
    <col min="28" max="37" width="7.7109375" style="1" customWidth="1"/>
    <col min="38" max="16384" width="9.140625" style="1"/>
  </cols>
  <sheetData>
    <row r="1" spans="1:78" ht="15" customHeight="1" x14ac:dyDescent="0.25">
      <c r="A1" s="41" t="s">
        <v>280</v>
      </c>
    </row>
    <row r="2" spans="1:78" ht="20.100000000000001" customHeight="1" thickBot="1" x14ac:dyDescent="0.3">
      <c r="A2" s="41"/>
      <c r="M2" s="40"/>
      <c r="P2" s="8" t="s">
        <v>279</v>
      </c>
      <c r="Q2" s="39">
        <v>39317</v>
      </c>
      <c r="R2" s="54"/>
    </row>
    <row r="3" spans="1:78" ht="20.100000000000001" customHeight="1" thickBot="1" x14ac:dyDescent="0.25">
      <c r="B3" s="1" t="s">
        <v>278</v>
      </c>
      <c r="D3" s="38"/>
      <c r="E3" s="38"/>
      <c r="F3" s="38"/>
      <c r="G3" s="38"/>
      <c r="H3" s="38"/>
      <c r="I3" s="38"/>
      <c r="J3" s="38" t="s">
        <v>303</v>
      </c>
      <c r="K3" s="38"/>
      <c r="L3" s="38"/>
      <c r="M3" s="38"/>
      <c r="N3" s="38"/>
      <c r="O3" s="38"/>
      <c r="P3" s="8" t="s">
        <v>276</v>
      </c>
      <c r="Q3" s="36">
        <v>235</v>
      </c>
      <c r="R3" s="53"/>
    </row>
    <row r="4" spans="1:78" ht="20.100000000000001" customHeight="1" thickBot="1" x14ac:dyDescent="0.25">
      <c r="B4" s="38"/>
      <c r="C4" s="38"/>
      <c r="D4" s="37"/>
      <c r="E4" s="37"/>
      <c r="F4" s="37"/>
      <c r="G4" s="37"/>
      <c r="H4" s="37"/>
      <c r="I4" s="37"/>
      <c r="J4" s="37" t="s">
        <v>302</v>
      </c>
      <c r="K4" s="37"/>
      <c r="L4" s="37"/>
      <c r="M4" s="37"/>
      <c r="N4" s="37"/>
      <c r="O4" s="37"/>
      <c r="P4" s="8" t="s">
        <v>274</v>
      </c>
      <c r="Q4" s="36" t="s">
        <v>286</v>
      </c>
      <c r="R4" s="53"/>
    </row>
    <row r="5" spans="1:78" ht="18" x14ac:dyDescent="0.2">
      <c r="AJ5" s="35"/>
      <c r="AK5" s="99"/>
      <c r="AL5" s="99"/>
      <c r="AM5" s="99"/>
    </row>
    <row r="6" spans="1:78" ht="18" x14ac:dyDescent="0.25">
      <c r="L6" s="109" t="s">
        <v>272</v>
      </c>
      <c r="M6" s="110"/>
      <c r="N6" s="110"/>
      <c r="O6" s="110"/>
      <c r="P6" s="110"/>
      <c r="Q6" s="111"/>
      <c r="R6" s="52"/>
      <c r="AJ6" s="35"/>
      <c r="AK6" s="34"/>
      <c r="AL6" s="34"/>
      <c r="AM6" s="34"/>
    </row>
    <row r="7" spans="1:78" ht="25.5" customHeight="1" x14ac:dyDescent="0.2">
      <c r="B7" s="32" t="s">
        <v>256</v>
      </c>
      <c r="C7" s="33" t="s">
        <v>255</v>
      </c>
      <c r="D7" s="33" t="s">
        <v>271</v>
      </c>
      <c r="E7" s="32" t="s">
        <v>270</v>
      </c>
      <c r="F7" s="33" t="s">
        <v>269</v>
      </c>
      <c r="G7" s="32" t="s">
        <v>268</v>
      </c>
      <c r="H7" s="32" t="s">
        <v>250</v>
      </c>
      <c r="I7" s="32" t="s">
        <v>267</v>
      </c>
      <c r="J7" s="32" t="s">
        <v>248</v>
      </c>
      <c r="K7" s="31" t="s">
        <v>266</v>
      </c>
      <c r="L7" s="30" t="s">
        <v>265</v>
      </c>
      <c r="M7" s="30" t="s">
        <v>264</v>
      </c>
      <c r="N7" s="30" t="s">
        <v>264</v>
      </c>
      <c r="O7" s="30" t="s">
        <v>263</v>
      </c>
      <c r="P7" s="30" t="s">
        <v>262</v>
      </c>
      <c r="Q7" s="30" t="s">
        <v>261</v>
      </c>
      <c r="R7" s="113" t="s">
        <v>285</v>
      </c>
      <c r="S7" s="105" t="s">
        <v>260</v>
      </c>
      <c r="T7" s="113" t="s">
        <v>259</v>
      </c>
      <c r="AJ7" s="29"/>
      <c r="AK7" s="2"/>
      <c r="AL7" s="2"/>
    </row>
    <row r="8" spans="1:78" ht="15.75" customHeight="1" thickBot="1" x14ac:dyDescent="0.25">
      <c r="B8" s="100" t="s">
        <v>258</v>
      </c>
      <c r="C8" s="101"/>
      <c r="D8" s="101"/>
      <c r="E8" s="101"/>
      <c r="F8" s="101"/>
      <c r="G8" s="101"/>
      <c r="H8" s="101"/>
      <c r="I8" s="101"/>
      <c r="J8" s="101"/>
      <c r="K8" s="102"/>
      <c r="L8" s="27" t="s">
        <v>257</v>
      </c>
      <c r="M8" s="27" t="s">
        <v>257</v>
      </c>
      <c r="N8" s="28" t="s">
        <v>257</v>
      </c>
      <c r="O8" s="27" t="s">
        <v>257</v>
      </c>
      <c r="P8" s="27" t="s">
        <v>257</v>
      </c>
      <c r="Q8" s="27" t="s">
        <v>257</v>
      </c>
      <c r="R8" s="114"/>
      <c r="S8" s="106"/>
      <c r="T8" s="121"/>
      <c r="AK8" s="10"/>
      <c r="AL8" s="10"/>
      <c r="AM8" s="10"/>
    </row>
    <row r="9" spans="1:78" ht="15.75" hidden="1" customHeight="1" x14ac:dyDescent="0.2">
      <c r="B9" s="24" t="s">
        <v>256</v>
      </c>
      <c r="C9" s="26" t="s">
        <v>255</v>
      </c>
      <c r="D9" s="26" t="s">
        <v>254</v>
      </c>
      <c r="E9" s="24" t="s">
        <v>253</v>
      </c>
      <c r="F9" s="26" t="s">
        <v>252</v>
      </c>
      <c r="G9" s="24" t="s">
        <v>251</v>
      </c>
      <c r="H9" s="24" t="s">
        <v>250</v>
      </c>
      <c r="I9" s="24" t="s">
        <v>249</v>
      </c>
      <c r="J9" s="23" t="s">
        <v>248</v>
      </c>
      <c r="K9" s="23" t="s">
        <v>247</v>
      </c>
      <c r="L9" s="25" t="s">
        <v>246</v>
      </c>
      <c r="M9" s="25" t="s">
        <v>245</v>
      </c>
      <c r="N9" s="25" t="s">
        <v>244</v>
      </c>
      <c r="O9" s="25" t="s">
        <v>243</v>
      </c>
      <c r="P9" s="25" t="s">
        <v>242</v>
      </c>
      <c r="Q9" s="25" t="s">
        <v>241</v>
      </c>
      <c r="R9" s="51"/>
      <c r="S9" s="24" t="s">
        <v>240</v>
      </c>
      <c r="T9" s="23" t="s">
        <v>239</v>
      </c>
      <c r="AK9" s="10"/>
      <c r="AL9" s="10"/>
      <c r="AM9" s="10"/>
    </row>
    <row r="10" spans="1:78" ht="24" customHeight="1" x14ac:dyDescent="0.2">
      <c r="B10" s="120">
        <v>2</v>
      </c>
      <c r="C10" s="113" t="s">
        <v>308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115">
        <v>1118</v>
      </c>
      <c r="K10" s="5" t="s">
        <v>234</v>
      </c>
      <c r="L10" s="5">
        <v>88</v>
      </c>
      <c r="M10" s="5">
        <v>121</v>
      </c>
      <c r="N10" s="30">
        <v>110</v>
      </c>
      <c r="O10" s="81">
        <v>94</v>
      </c>
      <c r="P10" s="72" t="s">
        <v>299</v>
      </c>
      <c r="Q10" s="65" t="s">
        <v>299</v>
      </c>
      <c r="R10" s="134" t="s">
        <v>284</v>
      </c>
      <c r="S10" s="43">
        <f t="shared" ref="S10:S41" si="0">AVERAGE(L10:Q10)</f>
        <v>103.25</v>
      </c>
      <c r="T10" s="43">
        <f t="shared" ref="T10:T41" si="1">STDEV(L10:Q10)/SQRT(6)</f>
        <v>6.1407111423135134</v>
      </c>
      <c r="U10" s="7"/>
      <c r="V10" s="7"/>
      <c r="W10" s="7"/>
      <c r="X10" s="7"/>
      <c r="Y10" s="7"/>
      <c r="AK10" s="10"/>
      <c r="AL10" s="10"/>
      <c r="AM10" s="9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</row>
    <row r="11" spans="1:78" ht="24" customHeight="1" thickBot="1" x14ac:dyDescent="0.25">
      <c r="B11" s="116"/>
      <c r="C11" s="114"/>
      <c r="D11" s="12" t="e">
        <v>#N/A</v>
      </c>
      <c r="E11" s="12" t="e">
        <v>#N/A</v>
      </c>
      <c r="F11" s="12" t="e">
        <v>#N/A</v>
      </c>
      <c r="G11" s="12" t="e">
        <v>#N/A</v>
      </c>
      <c r="H11" s="12" t="e">
        <v>#N/A</v>
      </c>
      <c r="I11" s="12" t="e">
        <v>#N/A</v>
      </c>
      <c r="J11" s="116"/>
      <c r="K11" s="12" t="s">
        <v>233</v>
      </c>
      <c r="L11" s="12">
        <v>98</v>
      </c>
      <c r="M11" s="12">
        <v>96</v>
      </c>
      <c r="N11" s="12">
        <v>95</v>
      </c>
      <c r="O11" s="12">
        <v>88</v>
      </c>
      <c r="P11" s="12">
        <v>99</v>
      </c>
      <c r="Q11" s="12">
        <v>94</v>
      </c>
      <c r="R11" s="142"/>
      <c r="S11" s="42">
        <f t="shared" si="0"/>
        <v>95</v>
      </c>
      <c r="T11" s="42">
        <f t="shared" si="1"/>
        <v>1.5916448515084429</v>
      </c>
      <c r="U11" s="7"/>
      <c r="V11" s="7"/>
      <c r="W11" s="7"/>
      <c r="X11" s="7"/>
      <c r="Y11" s="7"/>
      <c r="AK11" s="10"/>
      <c r="AL11" s="10"/>
      <c r="AM11" s="9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</row>
    <row r="12" spans="1:78" ht="24" customHeight="1" x14ac:dyDescent="0.2">
      <c r="B12" s="120">
        <v>4</v>
      </c>
      <c r="C12" s="113" t="s">
        <v>308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117"/>
      <c r="K12" s="80" t="s">
        <v>234</v>
      </c>
      <c r="L12" s="75">
        <v>98</v>
      </c>
      <c r="M12" s="72" t="s">
        <v>299</v>
      </c>
      <c r="N12" s="67" t="s">
        <v>299</v>
      </c>
      <c r="O12" s="66">
        <v>104</v>
      </c>
      <c r="P12" s="22">
        <v>120</v>
      </c>
      <c r="Q12" s="22">
        <v>84</v>
      </c>
      <c r="R12" s="142"/>
      <c r="S12" s="43">
        <f t="shared" si="0"/>
        <v>101.5</v>
      </c>
      <c r="T12" s="43">
        <f t="shared" si="1"/>
        <v>6.0873274559165589</v>
      </c>
      <c r="U12" s="7"/>
      <c r="V12" s="20"/>
      <c r="W12" s="7"/>
      <c r="X12" s="19"/>
      <c r="Y12" s="7"/>
      <c r="AK12" s="10"/>
      <c r="AL12" s="10"/>
      <c r="AM12" s="10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</row>
    <row r="13" spans="1:78" ht="24" customHeight="1" thickBot="1" x14ac:dyDescent="0.25">
      <c r="B13" s="116"/>
      <c r="C13" s="114"/>
      <c r="D13" s="12" t="e">
        <v>#N/A</v>
      </c>
      <c r="E13" s="12" t="e">
        <v>#N/A</v>
      </c>
      <c r="F13" s="12" t="e">
        <v>#N/A</v>
      </c>
      <c r="G13" s="12" t="e">
        <v>#N/A</v>
      </c>
      <c r="H13" s="12" t="e">
        <v>#N/A</v>
      </c>
      <c r="I13" s="12" t="e">
        <v>#N/A</v>
      </c>
      <c r="J13" s="116"/>
      <c r="K13" s="12" t="s">
        <v>233</v>
      </c>
      <c r="L13" s="27">
        <v>117</v>
      </c>
      <c r="M13" s="12">
        <v>120</v>
      </c>
      <c r="N13" s="12">
        <v>129</v>
      </c>
      <c r="O13" s="12">
        <v>127</v>
      </c>
      <c r="P13" s="12">
        <v>128</v>
      </c>
      <c r="Q13" s="12">
        <v>115</v>
      </c>
      <c r="R13" s="125"/>
      <c r="S13" s="42">
        <f t="shared" si="0"/>
        <v>122.66666666666667</v>
      </c>
      <c r="T13" s="42">
        <f t="shared" si="1"/>
        <v>2.4855135843076335</v>
      </c>
      <c r="U13" s="7"/>
      <c r="V13" s="7"/>
      <c r="W13" s="7"/>
      <c r="X13" s="7"/>
      <c r="Y13" s="7"/>
      <c r="AK13" s="10"/>
      <c r="AL13" s="10"/>
      <c r="AM13" s="9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</row>
    <row r="14" spans="1:78" ht="24" customHeight="1" x14ac:dyDescent="0.2">
      <c r="B14" s="120">
        <v>5</v>
      </c>
      <c r="C14" s="113" t="s">
        <v>308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117"/>
      <c r="K14" s="5" t="s">
        <v>234</v>
      </c>
      <c r="L14" s="65" t="s">
        <v>299</v>
      </c>
      <c r="M14" s="5">
        <v>72</v>
      </c>
      <c r="N14" s="5">
        <v>106</v>
      </c>
      <c r="O14" s="65" t="s">
        <v>299</v>
      </c>
      <c r="P14" s="48" t="s">
        <v>297</v>
      </c>
      <c r="Q14" s="65" t="s">
        <v>299</v>
      </c>
      <c r="R14" s="124"/>
      <c r="S14" s="43">
        <f t="shared" si="0"/>
        <v>89</v>
      </c>
      <c r="T14" s="43">
        <f t="shared" si="1"/>
        <v>9.8149545762236379</v>
      </c>
      <c r="U14" s="7"/>
      <c r="V14" s="7"/>
      <c r="W14" s="7"/>
      <c r="X14" s="7"/>
      <c r="Y14" s="7"/>
      <c r="AK14" s="10"/>
      <c r="AL14" s="10"/>
      <c r="AM14" s="10"/>
    </row>
    <row r="15" spans="1:78" ht="24" customHeight="1" thickBot="1" x14ac:dyDescent="0.25">
      <c r="B15" s="116"/>
      <c r="C15" s="114"/>
      <c r="D15" s="12" t="e">
        <v>#N/A</v>
      </c>
      <c r="E15" s="12" t="e">
        <v>#N/A</v>
      </c>
      <c r="F15" s="12" t="e">
        <v>#N/A</v>
      </c>
      <c r="G15" s="12" t="e">
        <v>#N/A</v>
      </c>
      <c r="H15" s="12" t="e">
        <v>#N/A</v>
      </c>
      <c r="I15" s="12" t="e">
        <v>#N/A</v>
      </c>
      <c r="J15" s="116"/>
      <c r="K15" s="12" t="s">
        <v>233</v>
      </c>
      <c r="L15" s="12">
        <v>125</v>
      </c>
      <c r="M15" s="12">
        <v>102</v>
      </c>
      <c r="N15" s="12">
        <v>120</v>
      </c>
      <c r="O15" s="12">
        <v>122</v>
      </c>
      <c r="P15" s="12">
        <v>119</v>
      </c>
      <c r="Q15" s="12">
        <v>124</v>
      </c>
      <c r="R15" s="125"/>
      <c r="S15" s="42">
        <f t="shared" si="0"/>
        <v>118.66666666666667</v>
      </c>
      <c r="T15" s="42">
        <f t="shared" si="1"/>
        <v>3.4608926273113099</v>
      </c>
      <c r="U15" s="7"/>
      <c r="V15" s="7"/>
      <c r="W15" s="7"/>
      <c r="X15" s="7"/>
      <c r="Y15" s="7"/>
      <c r="AK15" s="10"/>
      <c r="AL15" s="10"/>
      <c r="AM15" s="9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</row>
    <row r="16" spans="1:78" ht="24" customHeight="1" x14ac:dyDescent="0.2">
      <c r="B16" s="120">
        <v>6</v>
      </c>
      <c r="C16" s="113" t="s">
        <v>308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117"/>
      <c r="K16" s="5" t="s">
        <v>234</v>
      </c>
      <c r="L16" s="5">
        <v>74</v>
      </c>
      <c r="M16" s="5">
        <v>93</v>
      </c>
      <c r="N16" s="5">
        <v>90</v>
      </c>
      <c r="O16" s="5">
        <v>78</v>
      </c>
      <c r="P16" s="5">
        <v>59</v>
      </c>
      <c r="Q16" s="65" t="s">
        <v>299</v>
      </c>
      <c r="R16" s="124"/>
      <c r="S16" s="43">
        <f t="shared" si="0"/>
        <v>78.8</v>
      </c>
      <c r="T16" s="43">
        <f t="shared" si="1"/>
        <v>5.5632724182804472</v>
      </c>
      <c r="U16" s="7"/>
      <c r="V16" s="7"/>
      <c r="W16" s="7"/>
      <c r="X16" s="7"/>
      <c r="Y16" s="7"/>
    </row>
    <row r="17" spans="2:78" ht="24" customHeight="1" thickBot="1" x14ac:dyDescent="0.25">
      <c r="B17" s="116"/>
      <c r="C17" s="114"/>
      <c r="D17" s="12" t="e">
        <v>#N/A</v>
      </c>
      <c r="E17" s="12" t="e">
        <v>#N/A</v>
      </c>
      <c r="F17" s="12" t="e">
        <v>#N/A</v>
      </c>
      <c r="G17" s="12" t="e">
        <v>#N/A</v>
      </c>
      <c r="H17" s="12" t="e">
        <v>#N/A</v>
      </c>
      <c r="I17" s="12" t="e">
        <v>#N/A</v>
      </c>
      <c r="J17" s="116"/>
      <c r="K17" s="12" t="s">
        <v>233</v>
      </c>
      <c r="L17" s="12">
        <v>89</v>
      </c>
      <c r="M17" s="12">
        <v>85</v>
      </c>
      <c r="N17" s="12">
        <v>96</v>
      </c>
      <c r="O17" s="12">
        <v>84</v>
      </c>
      <c r="P17" s="12">
        <v>83</v>
      </c>
      <c r="Q17" s="12">
        <v>111</v>
      </c>
      <c r="R17" s="125"/>
      <c r="S17" s="42">
        <f t="shared" si="0"/>
        <v>91.333333333333329</v>
      </c>
      <c r="T17" s="42">
        <f t="shared" si="1"/>
        <v>4.3868490336965698</v>
      </c>
      <c r="U17" s="7"/>
      <c r="V17" s="7"/>
      <c r="W17" s="7"/>
      <c r="X17" s="7"/>
      <c r="Y17" s="7"/>
      <c r="AK17" s="10"/>
      <c r="AL17" s="10"/>
      <c r="AM17" s="9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</row>
    <row r="18" spans="2:78" ht="24" customHeight="1" x14ac:dyDescent="0.2">
      <c r="B18" s="120">
        <v>7</v>
      </c>
      <c r="C18" s="113" t="s">
        <v>308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117"/>
      <c r="K18" s="5" t="s">
        <v>234</v>
      </c>
      <c r="L18" s="49">
        <v>77</v>
      </c>
      <c r="M18" s="49">
        <v>61</v>
      </c>
      <c r="N18" s="79">
        <v>111</v>
      </c>
      <c r="O18" s="78">
        <v>93</v>
      </c>
      <c r="P18" s="72" t="s">
        <v>299</v>
      </c>
      <c r="Q18" s="65" t="s">
        <v>299</v>
      </c>
      <c r="R18" s="124"/>
      <c r="S18" s="43">
        <f t="shared" si="0"/>
        <v>85.5</v>
      </c>
      <c r="T18" s="43">
        <f t="shared" si="1"/>
        <v>8.7527773370005892</v>
      </c>
      <c r="U18" s="7"/>
      <c r="V18" s="7"/>
      <c r="W18" s="7"/>
      <c r="X18" s="7"/>
      <c r="Y18" s="7"/>
      <c r="AK18" s="10"/>
      <c r="AL18" s="10"/>
      <c r="AM18" s="10"/>
    </row>
    <row r="19" spans="2:78" ht="24" customHeight="1" thickBot="1" x14ac:dyDescent="0.25">
      <c r="B19" s="116"/>
      <c r="C19" s="114"/>
      <c r="D19" s="12" t="e">
        <v>#N/A</v>
      </c>
      <c r="E19" s="12" t="e">
        <v>#N/A</v>
      </c>
      <c r="F19" s="12" t="e">
        <v>#N/A</v>
      </c>
      <c r="G19" s="12" t="e">
        <v>#N/A</v>
      </c>
      <c r="H19" s="12" t="e">
        <v>#N/A</v>
      </c>
      <c r="I19" s="12" t="e">
        <v>#N/A</v>
      </c>
      <c r="J19" s="116"/>
      <c r="K19" s="12" t="s">
        <v>233</v>
      </c>
      <c r="L19" s="12">
        <v>102</v>
      </c>
      <c r="M19" s="12">
        <v>87</v>
      </c>
      <c r="N19" s="12">
        <v>86</v>
      </c>
      <c r="O19" s="12">
        <v>104</v>
      </c>
      <c r="P19" s="12">
        <v>98</v>
      </c>
      <c r="Q19" s="12">
        <v>101</v>
      </c>
      <c r="R19" s="125"/>
      <c r="S19" s="42">
        <f t="shared" si="0"/>
        <v>96.333333333333329</v>
      </c>
      <c r="T19" s="42">
        <f t="shared" si="1"/>
        <v>3.2110918876779455</v>
      </c>
      <c r="U19" s="7"/>
      <c r="V19" s="7"/>
      <c r="W19" s="7"/>
      <c r="X19" s="7"/>
      <c r="Y19" s="7"/>
      <c r="AK19" s="10"/>
      <c r="AL19" s="10"/>
      <c r="AM19" s="9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</row>
    <row r="20" spans="2:78" ht="24" customHeight="1" x14ac:dyDescent="0.2">
      <c r="B20" s="120">
        <v>8</v>
      </c>
      <c r="C20" s="113" t="s">
        <v>308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117"/>
      <c r="K20" s="5" t="s">
        <v>234</v>
      </c>
      <c r="L20" s="49">
        <v>94</v>
      </c>
      <c r="M20" s="49">
        <v>66</v>
      </c>
      <c r="N20" s="49">
        <v>105</v>
      </c>
      <c r="O20" s="49">
        <v>79</v>
      </c>
      <c r="P20" s="79">
        <v>83</v>
      </c>
      <c r="Q20" s="78">
        <v>108</v>
      </c>
      <c r="R20" s="143"/>
      <c r="S20" s="43">
        <f t="shared" si="0"/>
        <v>89.166666666666671</v>
      </c>
      <c r="T20" s="43">
        <f t="shared" si="1"/>
        <v>6.6000841745474128</v>
      </c>
      <c r="U20" s="7"/>
      <c r="V20" s="7"/>
      <c r="W20" s="7"/>
      <c r="X20" s="7"/>
      <c r="Y20" s="7"/>
      <c r="AK20" s="10"/>
      <c r="AL20" s="10"/>
      <c r="AM20" s="10"/>
    </row>
    <row r="21" spans="2:78" ht="24" customHeight="1" thickBot="1" x14ac:dyDescent="0.25">
      <c r="B21" s="116"/>
      <c r="C21" s="114"/>
      <c r="D21" s="12" t="e">
        <v>#N/A</v>
      </c>
      <c r="E21" s="12" t="e">
        <v>#N/A</v>
      </c>
      <c r="F21" s="12" t="e">
        <v>#N/A</v>
      </c>
      <c r="G21" s="12" t="e">
        <v>#N/A</v>
      </c>
      <c r="H21" s="12" t="e">
        <v>#N/A</v>
      </c>
      <c r="I21" s="12" t="e">
        <v>#N/A</v>
      </c>
      <c r="J21" s="116"/>
      <c r="K21" s="12" t="s">
        <v>233</v>
      </c>
      <c r="L21" s="12">
        <v>98</v>
      </c>
      <c r="M21" s="12">
        <v>99</v>
      </c>
      <c r="N21" s="12">
        <v>104</v>
      </c>
      <c r="O21" s="12">
        <v>87</v>
      </c>
      <c r="P21" s="12">
        <v>106</v>
      </c>
      <c r="Q21" s="12">
        <v>103</v>
      </c>
      <c r="R21" s="125"/>
      <c r="S21" s="42">
        <f t="shared" si="0"/>
        <v>99.5</v>
      </c>
      <c r="T21" s="42">
        <f t="shared" si="1"/>
        <v>2.7898626011567909</v>
      </c>
      <c r="U21" s="7"/>
      <c r="V21" s="7"/>
      <c r="W21" s="7"/>
      <c r="X21" s="7"/>
      <c r="Y21" s="7"/>
      <c r="AK21" s="10"/>
      <c r="AL21" s="10"/>
      <c r="AM21" s="9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</row>
    <row r="22" spans="2:78" ht="24" customHeight="1" x14ac:dyDescent="0.2">
      <c r="B22" s="120">
        <v>18</v>
      </c>
      <c r="C22" s="113" t="s">
        <v>238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118">
        <v>1137</v>
      </c>
      <c r="K22" s="5" t="s">
        <v>234</v>
      </c>
      <c r="L22" s="48" t="s">
        <v>297</v>
      </c>
      <c r="M22" s="65" t="s">
        <v>299</v>
      </c>
      <c r="N22" s="5">
        <v>101</v>
      </c>
      <c r="O22" s="5">
        <v>76</v>
      </c>
      <c r="P22" s="5">
        <v>73</v>
      </c>
      <c r="Q22" s="5">
        <v>93</v>
      </c>
      <c r="R22" s="124"/>
      <c r="S22" s="43">
        <f t="shared" si="0"/>
        <v>85.75</v>
      </c>
      <c r="T22" s="43">
        <f t="shared" si="1"/>
        <v>5.4911545031785236</v>
      </c>
      <c r="U22" s="7"/>
      <c r="V22" s="7"/>
      <c r="W22" s="7"/>
      <c r="X22" s="7"/>
      <c r="Y22" s="7"/>
      <c r="AK22" s="10"/>
      <c r="AL22" s="10"/>
      <c r="AM22" s="10"/>
    </row>
    <row r="23" spans="2:78" ht="24" customHeight="1" thickBot="1" x14ac:dyDescent="0.25">
      <c r="B23" s="116"/>
      <c r="C23" s="114"/>
      <c r="D23" s="12" t="e">
        <v>#N/A</v>
      </c>
      <c r="E23" s="12" t="e">
        <v>#N/A</v>
      </c>
      <c r="F23" s="12" t="e">
        <v>#N/A</v>
      </c>
      <c r="G23" s="12" t="e">
        <v>#N/A</v>
      </c>
      <c r="H23" s="12" t="e">
        <v>#N/A</v>
      </c>
      <c r="I23" s="12" t="e">
        <v>#N/A</v>
      </c>
      <c r="J23" s="116"/>
      <c r="K23" s="12" t="s">
        <v>233</v>
      </c>
      <c r="L23" s="12">
        <v>109</v>
      </c>
      <c r="M23" s="12">
        <v>102</v>
      </c>
      <c r="N23" s="12">
        <v>94</v>
      </c>
      <c r="O23" s="12">
        <v>96</v>
      </c>
      <c r="P23" s="12">
        <v>94</v>
      </c>
      <c r="Q23" s="12">
        <v>106</v>
      </c>
      <c r="R23" s="125"/>
      <c r="S23" s="42">
        <f t="shared" si="0"/>
        <v>100.16666666666667</v>
      </c>
      <c r="T23" s="42">
        <f t="shared" si="1"/>
        <v>2.6383917660406526</v>
      </c>
      <c r="U23" s="7"/>
      <c r="V23" s="7"/>
      <c r="W23" s="7"/>
      <c r="X23" s="7"/>
      <c r="Y23" s="7"/>
      <c r="AK23" s="10"/>
      <c r="AL23" s="10"/>
      <c r="AM23" s="9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</row>
    <row r="24" spans="2:78" ht="24" customHeight="1" x14ac:dyDescent="0.2">
      <c r="B24" s="120">
        <v>17</v>
      </c>
      <c r="C24" s="113" t="s">
        <v>309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117"/>
      <c r="K24" s="5" t="s">
        <v>234</v>
      </c>
      <c r="L24" s="65" t="s">
        <v>299</v>
      </c>
      <c r="M24" s="65" t="s">
        <v>299</v>
      </c>
      <c r="N24" s="65" t="s">
        <v>299</v>
      </c>
      <c r="O24" s="48" t="s">
        <v>297</v>
      </c>
      <c r="P24" s="48" t="s">
        <v>297</v>
      </c>
      <c r="Q24" s="65" t="s">
        <v>299</v>
      </c>
      <c r="R24" s="124"/>
      <c r="S24" s="43" t="e">
        <f t="shared" si="0"/>
        <v>#DIV/0!</v>
      </c>
      <c r="T24" s="43" t="e">
        <f t="shared" si="1"/>
        <v>#DIV/0!</v>
      </c>
      <c r="U24" s="7"/>
      <c r="V24" s="7"/>
      <c r="W24" s="7"/>
      <c r="X24" s="7"/>
      <c r="Y24" s="7"/>
      <c r="AK24" s="2"/>
      <c r="AL24" s="2"/>
      <c r="AM24" s="2"/>
    </row>
    <row r="25" spans="2:78" ht="24" customHeight="1" thickBot="1" x14ac:dyDescent="0.25">
      <c r="B25" s="116"/>
      <c r="C25" s="114"/>
      <c r="D25" s="12" t="e">
        <v>#N/A</v>
      </c>
      <c r="E25" s="12" t="e">
        <v>#N/A</v>
      </c>
      <c r="F25" s="12" t="e">
        <v>#N/A</v>
      </c>
      <c r="G25" s="12" t="e">
        <v>#N/A</v>
      </c>
      <c r="H25" s="12" t="e">
        <v>#N/A</v>
      </c>
      <c r="I25" s="12" t="e">
        <v>#N/A</v>
      </c>
      <c r="J25" s="116"/>
      <c r="K25" s="12" t="s">
        <v>233</v>
      </c>
      <c r="L25" s="12">
        <v>129</v>
      </c>
      <c r="M25" s="12">
        <v>123</v>
      </c>
      <c r="N25" s="12">
        <v>121</v>
      </c>
      <c r="O25" s="12">
        <v>129</v>
      </c>
      <c r="P25" s="12">
        <v>128</v>
      </c>
      <c r="Q25" s="12">
        <v>126</v>
      </c>
      <c r="R25" s="125"/>
      <c r="S25" s="42">
        <f t="shared" si="0"/>
        <v>126</v>
      </c>
      <c r="T25" s="42">
        <f t="shared" si="1"/>
        <v>1.3662601021279466</v>
      </c>
      <c r="U25" s="7"/>
      <c r="V25" s="7"/>
      <c r="W25" s="7"/>
      <c r="X25" s="7"/>
      <c r="Y25" s="7"/>
      <c r="AK25" s="10"/>
      <c r="AL25" s="10"/>
      <c r="AM25" s="9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</row>
    <row r="26" spans="2:78" ht="24" customHeight="1" x14ac:dyDescent="0.2">
      <c r="B26" s="122">
        <v>16</v>
      </c>
      <c r="C26" s="113" t="s">
        <v>310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117"/>
      <c r="K26" s="5" t="s">
        <v>234</v>
      </c>
      <c r="L26" s="65" t="s">
        <v>299</v>
      </c>
      <c r="M26" s="65" t="s">
        <v>299</v>
      </c>
      <c r="N26" s="48" t="s">
        <v>297</v>
      </c>
      <c r="O26" s="48" t="s">
        <v>297</v>
      </c>
      <c r="P26" s="65" t="s">
        <v>299</v>
      </c>
      <c r="Q26" s="65" t="s">
        <v>299</v>
      </c>
      <c r="R26" s="124"/>
      <c r="S26" s="43" t="e">
        <f t="shared" si="0"/>
        <v>#DIV/0!</v>
      </c>
      <c r="T26" s="43" t="e">
        <f t="shared" si="1"/>
        <v>#DIV/0!</v>
      </c>
      <c r="U26" s="7"/>
      <c r="V26" s="7"/>
      <c r="W26" s="7"/>
      <c r="X26" s="7"/>
      <c r="Y26" s="7"/>
      <c r="AK26" s="10"/>
      <c r="AL26" s="10"/>
      <c r="AM26" s="10"/>
    </row>
    <row r="27" spans="2:78" ht="24" customHeight="1" thickBot="1" x14ac:dyDescent="0.25">
      <c r="B27" s="116"/>
      <c r="C27" s="114"/>
      <c r="D27" s="12" t="e">
        <v>#N/A</v>
      </c>
      <c r="E27" s="12" t="e">
        <v>#N/A</v>
      </c>
      <c r="F27" s="12" t="e">
        <v>#N/A</v>
      </c>
      <c r="G27" s="12" t="e">
        <v>#N/A</v>
      </c>
      <c r="H27" s="12" t="e">
        <v>#N/A</v>
      </c>
      <c r="I27" s="12" t="e">
        <v>#N/A</v>
      </c>
      <c r="J27" s="116"/>
      <c r="K27" s="12" t="s">
        <v>233</v>
      </c>
      <c r="L27" s="12">
        <v>100</v>
      </c>
      <c r="M27" s="12">
        <v>90</v>
      </c>
      <c r="N27" s="12">
        <v>122</v>
      </c>
      <c r="O27" s="12">
        <v>107</v>
      </c>
      <c r="P27" s="12">
        <v>97</v>
      </c>
      <c r="Q27" s="12">
        <v>98</v>
      </c>
      <c r="R27" s="125"/>
      <c r="S27" s="42">
        <f t="shared" si="0"/>
        <v>102.33333333333333</v>
      </c>
      <c r="T27" s="42">
        <f t="shared" si="1"/>
        <v>4.5215533220835118</v>
      </c>
      <c r="U27" s="7"/>
      <c r="V27" s="7"/>
      <c r="W27" s="7"/>
      <c r="X27" s="7"/>
      <c r="Y27" s="7"/>
      <c r="AK27" s="10"/>
      <c r="AL27" s="10"/>
      <c r="AM27" s="9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</row>
    <row r="28" spans="2:78" ht="24" customHeight="1" x14ac:dyDescent="0.2">
      <c r="B28" s="122">
        <v>15</v>
      </c>
      <c r="C28" s="113" t="s">
        <v>311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117"/>
      <c r="K28" s="5" t="s">
        <v>234</v>
      </c>
      <c r="L28" s="48" t="s">
        <v>297</v>
      </c>
      <c r="M28" s="48" t="s">
        <v>297</v>
      </c>
      <c r="N28" s="48" t="s">
        <v>297</v>
      </c>
      <c r="O28" s="48" t="s">
        <v>297</v>
      </c>
      <c r="P28" s="48" t="s">
        <v>297</v>
      </c>
      <c r="Q28" s="48" t="s">
        <v>297</v>
      </c>
      <c r="R28" s="124"/>
      <c r="S28" s="43" t="e">
        <f t="shared" si="0"/>
        <v>#DIV/0!</v>
      </c>
      <c r="T28" s="43" t="e">
        <f t="shared" si="1"/>
        <v>#DIV/0!</v>
      </c>
      <c r="U28" s="7"/>
      <c r="V28" s="7"/>
      <c r="W28" s="7"/>
      <c r="X28" s="7"/>
      <c r="Y28" s="7"/>
    </row>
    <row r="29" spans="2:78" ht="24" customHeight="1" thickBot="1" x14ac:dyDescent="0.25">
      <c r="B29" s="116"/>
      <c r="C29" s="114"/>
      <c r="D29" s="12" t="e">
        <v>#N/A</v>
      </c>
      <c r="E29" s="12" t="e">
        <v>#N/A</v>
      </c>
      <c r="F29" s="12" t="e">
        <v>#N/A</v>
      </c>
      <c r="G29" s="12" t="e">
        <v>#N/A</v>
      </c>
      <c r="H29" s="12" t="e">
        <v>#N/A</v>
      </c>
      <c r="I29" s="12" t="e">
        <v>#N/A</v>
      </c>
      <c r="J29" s="116"/>
      <c r="K29" s="12" t="s">
        <v>233</v>
      </c>
      <c r="L29" s="12">
        <v>126</v>
      </c>
      <c r="M29" s="12">
        <v>124</v>
      </c>
      <c r="N29" s="12">
        <v>138</v>
      </c>
      <c r="O29" s="12">
        <v>121</v>
      </c>
      <c r="P29" s="12">
        <v>121</v>
      </c>
      <c r="Q29" s="12">
        <v>129</v>
      </c>
      <c r="R29" s="125"/>
      <c r="S29" s="42">
        <f t="shared" si="0"/>
        <v>126.5</v>
      </c>
      <c r="T29" s="42">
        <f t="shared" si="1"/>
        <v>2.6172504656604803</v>
      </c>
      <c r="U29" s="7"/>
      <c r="V29" s="7"/>
      <c r="W29" s="7"/>
      <c r="X29" s="7"/>
      <c r="Y29" s="7"/>
      <c r="AK29" s="10"/>
      <c r="AL29" s="10"/>
      <c r="AM29" s="9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</row>
    <row r="30" spans="2:78" ht="24" customHeight="1" x14ac:dyDescent="0.2">
      <c r="B30" s="122">
        <v>14</v>
      </c>
      <c r="C30" s="113" t="s">
        <v>310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117"/>
      <c r="K30" s="5" t="s">
        <v>234</v>
      </c>
      <c r="L30" s="65" t="s">
        <v>299</v>
      </c>
      <c r="M30" s="5">
        <v>79</v>
      </c>
      <c r="N30" s="5">
        <v>92</v>
      </c>
      <c r="O30" s="5">
        <v>65</v>
      </c>
      <c r="P30" s="65" t="s">
        <v>299</v>
      </c>
      <c r="Q30" s="65" t="s">
        <v>299</v>
      </c>
      <c r="R30" s="124"/>
      <c r="S30" s="43">
        <f t="shared" si="0"/>
        <v>78.666666666666671</v>
      </c>
      <c r="T30" s="43">
        <f t="shared" si="1"/>
        <v>5.5126118028470863</v>
      </c>
      <c r="U30" s="7"/>
      <c r="V30" s="7"/>
      <c r="W30" s="7"/>
      <c r="X30" s="7"/>
      <c r="Y30" s="7"/>
    </row>
    <row r="31" spans="2:78" ht="24" customHeight="1" thickBot="1" x14ac:dyDescent="0.25">
      <c r="B31" s="116"/>
      <c r="C31" s="114"/>
      <c r="D31" s="12" t="e">
        <v>#N/A</v>
      </c>
      <c r="E31" s="12" t="e">
        <v>#N/A</v>
      </c>
      <c r="F31" s="12" t="e">
        <v>#N/A</v>
      </c>
      <c r="G31" s="12" t="e">
        <v>#N/A</v>
      </c>
      <c r="H31" s="12" t="e">
        <v>#N/A</v>
      </c>
      <c r="I31" s="12" t="e">
        <v>#N/A</v>
      </c>
      <c r="J31" s="116"/>
      <c r="K31" s="12" t="s">
        <v>233</v>
      </c>
      <c r="L31" s="12">
        <v>95</v>
      </c>
      <c r="M31" s="12">
        <v>88</v>
      </c>
      <c r="N31" s="12">
        <v>81</v>
      </c>
      <c r="O31" s="12">
        <v>95</v>
      </c>
      <c r="P31" s="12">
        <v>102</v>
      </c>
      <c r="Q31" s="12">
        <v>92</v>
      </c>
      <c r="R31" s="125"/>
      <c r="S31" s="42">
        <f t="shared" si="0"/>
        <v>92.166666666666671</v>
      </c>
      <c r="T31" s="42">
        <f t="shared" si="1"/>
        <v>2.9145230217729359</v>
      </c>
      <c r="U31" s="7"/>
      <c r="V31" s="7"/>
      <c r="W31" s="7"/>
      <c r="X31" s="7"/>
      <c r="Y31" s="7"/>
      <c r="AK31" s="10"/>
      <c r="AL31" s="10"/>
      <c r="AM31" s="9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</row>
    <row r="32" spans="2:78" ht="24" customHeight="1" x14ac:dyDescent="0.2">
      <c r="B32" s="122">
        <v>13</v>
      </c>
      <c r="C32" s="113" t="s">
        <v>312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117"/>
      <c r="K32" s="5" t="s">
        <v>234</v>
      </c>
      <c r="L32" s="48" t="s">
        <v>297</v>
      </c>
      <c r="M32" s="65" t="s">
        <v>299</v>
      </c>
      <c r="N32" s="65" t="s">
        <v>299</v>
      </c>
      <c r="O32" s="48" t="s">
        <v>297</v>
      </c>
      <c r="P32" s="48" t="s">
        <v>297</v>
      </c>
      <c r="Q32" s="65" t="s">
        <v>299</v>
      </c>
      <c r="R32" s="124"/>
      <c r="S32" s="43" t="e">
        <f t="shared" si="0"/>
        <v>#DIV/0!</v>
      </c>
      <c r="T32" s="43" t="e">
        <f t="shared" si="1"/>
        <v>#DIV/0!</v>
      </c>
      <c r="U32" s="7"/>
      <c r="V32" s="7"/>
      <c r="W32" s="7"/>
      <c r="X32" s="7"/>
      <c r="Y32" s="7"/>
    </row>
    <row r="33" spans="2:78" ht="24" customHeight="1" thickBot="1" x14ac:dyDescent="0.25">
      <c r="B33" s="116"/>
      <c r="C33" s="114"/>
      <c r="D33" s="12" t="e">
        <v>#N/A</v>
      </c>
      <c r="E33" s="12" t="e">
        <v>#N/A</v>
      </c>
      <c r="F33" s="12" t="e">
        <v>#N/A</v>
      </c>
      <c r="G33" s="12" t="e">
        <v>#N/A</v>
      </c>
      <c r="H33" s="12" t="e">
        <v>#N/A</v>
      </c>
      <c r="I33" s="12" t="e">
        <v>#N/A</v>
      </c>
      <c r="J33" s="116"/>
      <c r="K33" s="12" t="s">
        <v>233</v>
      </c>
      <c r="L33" s="12">
        <v>122</v>
      </c>
      <c r="M33" s="12">
        <v>113</v>
      </c>
      <c r="N33" s="12">
        <v>120</v>
      </c>
      <c r="O33" s="12">
        <v>104</v>
      </c>
      <c r="P33" s="12">
        <v>124</v>
      </c>
      <c r="Q33" s="12">
        <v>118</v>
      </c>
      <c r="R33" s="125"/>
      <c r="S33" s="42">
        <f t="shared" si="0"/>
        <v>116.83333333333333</v>
      </c>
      <c r="T33" s="42">
        <f t="shared" si="1"/>
        <v>2.9935115017502629</v>
      </c>
      <c r="U33" s="7"/>
      <c r="V33" s="7"/>
      <c r="W33" s="7"/>
      <c r="X33" s="7"/>
      <c r="Y33" s="7"/>
      <c r="AK33" s="10"/>
      <c r="AL33" s="10"/>
      <c r="AM33" s="9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</row>
    <row r="34" spans="2:78" ht="24" customHeight="1" x14ac:dyDescent="0.2">
      <c r="B34" s="122">
        <v>12</v>
      </c>
      <c r="C34" s="113" t="s">
        <v>236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117"/>
      <c r="K34" s="5" t="s">
        <v>234</v>
      </c>
      <c r="L34" s="67" t="s">
        <v>299</v>
      </c>
      <c r="M34" s="76" t="s">
        <v>299</v>
      </c>
      <c r="N34" s="48" t="s">
        <v>297</v>
      </c>
      <c r="O34" s="48" t="s">
        <v>297</v>
      </c>
      <c r="P34" s="48" t="s">
        <v>297</v>
      </c>
      <c r="Q34" s="48" t="s">
        <v>297</v>
      </c>
      <c r="R34" s="124"/>
      <c r="S34" s="43" t="e">
        <f t="shared" si="0"/>
        <v>#DIV/0!</v>
      </c>
      <c r="T34" s="43" t="e">
        <f t="shared" si="1"/>
        <v>#DIV/0!</v>
      </c>
      <c r="U34" s="7"/>
      <c r="V34" s="7"/>
      <c r="W34" s="7"/>
      <c r="X34" s="7"/>
      <c r="Y34" s="7"/>
    </row>
    <row r="35" spans="2:78" ht="24" customHeight="1" thickBot="1" x14ac:dyDescent="0.25">
      <c r="B35" s="116"/>
      <c r="C35" s="114"/>
      <c r="D35" s="12" t="e">
        <v>#N/A</v>
      </c>
      <c r="E35" s="12" t="e">
        <v>#N/A</v>
      </c>
      <c r="F35" s="12" t="e">
        <v>#N/A</v>
      </c>
      <c r="G35" s="12" t="e">
        <v>#N/A</v>
      </c>
      <c r="H35" s="12" t="e">
        <v>#N/A</v>
      </c>
      <c r="I35" s="12" t="e">
        <v>#N/A</v>
      </c>
      <c r="J35" s="116"/>
      <c r="K35" s="12" t="s">
        <v>233</v>
      </c>
      <c r="L35" s="12">
        <v>118</v>
      </c>
      <c r="M35" s="12">
        <v>127</v>
      </c>
      <c r="N35" s="12">
        <v>108</v>
      </c>
      <c r="O35" s="12">
        <v>110</v>
      </c>
      <c r="P35" s="12">
        <v>123</v>
      </c>
      <c r="Q35" s="12">
        <v>109</v>
      </c>
      <c r="R35" s="125"/>
      <c r="S35" s="42">
        <f t="shared" si="0"/>
        <v>115.83333333333333</v>
      </c>
      <c r="T35" s="42">
        <f t="shared" si="1"/>
        <v>3.2804132530995416</v>
      </c>
      <c r="U35" s="7"/>
      <c r="V35" s="7"/>
      <c r="W35" s="7"/>
      <c r="X35" s="7"/>
      <c r="Y35" s="7"/>
      <c r="AK35" s="10"/>
      <c r="AL35" s="10"/>
      <c r="AM35" s="9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</row>
    <row r="36" spans="2:78" ht="24" customHeight="1" x14ac:dyDescent="0.2">
      <c r="B36" s="122">
        <v>11</v>
      </c>
      <c r="C36" s="113" t="s">
        <v>311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117"/>
      <c r="K36" s="5" t="s">
        <v>234</v>
      </c>
      <c r="L36" s="77" t="s">
        <v>297</v>
      </c>
      <c r="M36" s="48" t="s">
        <v>297</v>
      </c>
      <c r="N36" s="48" t="s">
        <v>297</v>
      </c>
      <c r="O36" s="48" t="s">
        <v>297</v>
      </c>
      <c r="P36" s="48" t="s">
        <v>297</v>
      </c>
      <c r="Q36" s="48" t="s">
        <v>297</v>
      </c>
      <c r="R36" s="124"/>
      <c r="S36" s="43" t="e">
        <f t="shared" si="0"/>
        <v>#DIV/0!</v>
      </c>
      <c r="T36" s="43" t="e">
        <f t="shared" si="1"/>
        <v>#DIV/0!</v>
      </c>
      <c r="U36" s="7"/>
      <c r="V36" s="7"/>
      <c r="W36" s="7"/>
      <c r="X36" s="7"/>
      <c r="Y36" s="7"/>
    </row>
    <row r="37" spans="2:78" ht="24" customHeight="1" thickBot="1" x14ac:dyDescent="0.25">
      <c r="B37" s="116"/>
      <c r="C37" s="114"/>
      <c r="D37" s="12" t="e">
        <v>#N/A</v>
      </c>
      <c r="E37" s="12" t="e">
        <v>#N/A</v>
      </c>
      <c r="F37" s="12" t="e">
        <v>#N/A</v>
      </c>
      <c r="G37" s="12" t="e">
        <v>#N/A</v>
      </c>
      <c r="H37" s="12" t="e">
        <v>#N/A</v>
      </c>
      <c r="I37" s="12" t="e">
        <v>#N/A</v>
      </c>
      <c r="J37" s="116"/>
      <c r="K37" s="12" t="s">
        <v>233</v>
      </c>
      <c r="L37" s="46">
        <v>114</v>
      </c>
      <c r="M37" s="12">
        <v>126</v>
      </c>
      <c r="N37" s="12">
        <v>130</v>
      </c>
      <c r="O37" s="12">
        <v>131</v>
      </c>
      <c r="P37" s="12">
        <v>117</v>
      </c>
      <c r="Q37" s="12">
        <v>113</v>
      </c>
      <c r="R37" s="125"/>
      <c r="S37" s="42">
        <f t="shared" si="0"/>
        <v>121.83333333333333</v>
      </c>
      <c r="T37" s="42">
        <f t="shared" si="1"/>
        <v>3.3208098075285459</v>
      </c>
      <c r="U37" s="7"/>
      <c r="V37" s="7"/>
      <c r="W37" s="7"/>
      <c r="X37" s="7"/>
      <c r="Y37" s="7"/>
      <c r="AK37" s="10"/>
      <c r="AL37" s="10"/>
      <c r="AM37" s="9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</row>
    <row r="38" spans="2:78" ht="24" customHeight="1" x14ac:dyDescent="0.2">
      <c r="B38" s="122">
        <v>21</v>
      </c>
      <c r="C38" s="113" t="s">
        <v>309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118">
        <v>1153</v>
      </c>
      <c r="K38" s="5" t="s">
        <v>234</v>
      </c>
      <c r="L38" s="65" t="s">
        <v>299</v>
      </c>
      <c r="M38" s="48" t="s">
        <v>297</v>
      </c>
      <c r="N38" s="65" t="s">
        <v>299</v>
      </c>
      <c r="O38" s="5">
        <v>84</v>
      </c>
      <c r="P38" s="30">
        <v>102</v>
      </c>
      <c r="Q38" s="66">
        <v>97</v>
      </c>
      <c r="R38" s="124"/>
      <c r="S38" s="43">
        <f t="shared" si="0"/>
        <v>94.333333333333329</v>
      </c>
      <c r="T38" s="43">
        <f t="shared" si="1"/>
        <v>3.7932688922470148</v>
      </c>
      <c r="U38" s="7"/>
      <c r="V38" s="7"/>
      <c r="W38" s="7"/>
      <c r="X38" s="7"/>
      <c r="Y38" s="7"/>
    </row>
    <row r="39" spans="2:78" ht="24" customHeight="1" thickBot="1" x14ac:dyDescent="0.25">
      <c r="B39" s="116"/>
      <c r="C39" s="114"/>
      <c r="D39" s="12" t="e">
        <v>#N/A</v>
      </c>
      <c r="E39" s="12" t="e">
        <v>#N/A</v>
      </c>
      <c r="F39" s="12" t="e">
        <v>#N/A</v>
      </c>
      <c r="G39" s="12" t="e">
        <v>#N/A</v>
      </c>
      <c r="H39" s="12" t="e">
        <v>#N/A</v>
      </c>
      <c r="I39" s="12" t="e">
        <v>#N/A</v>
      </c>
      <c r="J39" s="116"/>
      <c r="K39" s="12" t="s">
        <v>233</v>
      </c>
      <c r="L39" s="12">
        <v>113</v>
      </c>
      <c r="M39" s="12">
        <v>117</v>
      </c>
      <c r="N39" s="12">
        <v>114</v>
      </c>
      <c r="O39" s="12">
        <v>99</v>
      </c>
      <c r="P39" s="12">
        <v>100</v>
      </c>
      <c r="Q39" s="12">
        <v>108</v>
      </c>
      <c r="R39" s="125"/>
      <c r="S39" s="42">
        <f t="shared" si="0"/>
        <v>108.5</v>
      </c>
      <c r="T39" s="42">
        <f t="shared" si="1"/>
        <v>3.0849095070466279</v>
      </c>
      <c r="U39" s="7"/>
      <c r="V39" s="7"/>
      <c r="W39" s="7"/>
      <c r="X39" s="7"/>
      <c r="Y39" s="7"/>
      <c r="AK39" s="10"/>
      <c r="AL39" s="10"/>
      <c r="AM39" s="9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</row>
    <row r="40" spans="2:78" ht="24" customHeight="1" x14ac:dyDescent="0.2">
      <c r="B40" s="122">
        <v>22</v>
      </c>
      <c r="C40" s="113" t="s">
        <v>238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117"/>
      <c r="K40" s="5" t="s">
        <v>234</v>
      </c>
      <c r="L40" s="5">
        <v>79</v>
      </c>
      <c r="M40" s="5">
        <v>56</v>
      </c>
      <c r="N40" s="5">
        <v>73</v>
      </c>
      <c r="O40" s="5">
        <v>89</v>
      </c>
      <c r="P40" s="45">
        <v>67</v>
      </c>
      <c r="Q40" s="5">
        <v>93</v>
      </c>
      <c r="R40" s="124"/>
      <c r="S40" s="43">
        <f t="shared" si="0"/>
        <v>76.166666666666671</v>
      </c>
      <c r="T40" s="43">
        <f t="shared" si="1"/>
        <v>5.6475166617234986</v>
      </c>
      <c r="U40" s="7"/>
      <c r="V40" s="7"/>
      <c r="W40" s="7"/>
      <c r="X40" s="7"/>
      <c r="Y40" s="7"/>
    </row>
    <row r="41" spans="2:78" ht="24" customHeight="1" thickBot="1" x14ac:dyDescent="0.25">
      <c r="B41" s="116"/>
      <c r="C41" s="114"/>
      <c r="D41" s="12" t="e">
        <v>#N/A</v>
      </c>
      <c r="E41" s="12" t="e">
        <v>#N/A</v>
      </c>
      <c r="F41" s="12" t="e">
        <v>#N/A</v>
      </c>
      <c r="G41" s="12" t="e">
        <v>#N/A</v>
      </c>
      <c r="H41" s="12" t="e">
        <v>#N/A</v>
      </c>
      <c r="I41" s="12" t="e">
        <v>#N/A</v>
      </c>
      <c r="J41" s="116"/>
      <c r="K41" s="12" t="s">
        <v>233</v>
      </c>
      <c r="L41" s="12">
        <v>85</v>
      </c>
      <c r="M41" s="12">
        <v>87</v>
      </c>
      <c r="N41" s="12">
        <v>94</v>
      </c>
      <c r="O41" s="12">
        <v>92</v>
      </c>
      <c r="P41" s="46">
        <v>93</v>
      </c>
      <c r="Q41" s="12">
        <v>98</v>
      </c>
      <c r="R41" s="125"/>
      <c r="S41" s="42">
        <f t="shared" si="0"/>
        <v>91.5</v>
      </c>
      <c r="T41" s="42">
        <f t="shared" si="1"/>
        <v>1.9450792614526877</v>
      </c>
      <c r="U41" s="7"/>
      <c r="V41" s="7"/>
      <c r="W41" s="7"/>
      <c r="X41" s="7"/>
      <c r="Y41" s="7"/>
      <c r="AK41" s="10"/>
      <c r="AL41" s="10"/>
      <c r="AM41" s="9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</row>
    <row r="42" spans="2:78" ht="24" customHeight="1" x14ac:dyDescent="0.2">
      <c r="B42" s="122">
        <v>23</v>
      </c>
      <c r="C42" s="113" t="s">
        <v>313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117"/>
      <c r="K42" s="5" t="s">
        <v>234</v>
      </c>
      <c r="L42" s="48" t="s">
        <v>297</v>
      </c>
      <c r="M42" s="48" t="s">
        <v>297</v>
      </c>
      <c r="N42" s="48" t="s">
        <v>297</v>
      </c>
      <c r="O42" s="48" t="s">
        <v>297</v>
      </c>
      <c r="P42" s="48" t="s">
        <v>297</v>
      </c>
      <c r="Q42" s="48" t="s">
        <v>297</v>
      </c>
      <c r="R42" s="124"/>
      <c r="S42" s="43" t="e">
        <f t="shared" ref="S42:S73" si="2">AVERAGE(L42:Q42)</f>
        <v>#DIV/0!</v>
      </c>
      <c r="T42" s="43" t="e">
        <f t="shared" ref="T42:T73" si="3">STDEV(L42:Q42)/SQRT(6)</f>
        <v>#DIV/0!</v>
      </c>
      <c r="U42" s="7"/>
      <c r="V42" s="7"/>
      <c r="W42" s="7"/>
      <c r="X42" s="7"/>
      <c r="Y42" s="7"/>
    </row>
    <row r="43" spans="2:78" ht="24" customHeight="1" thickBot="1" x14ac:dyDescent="0.25">
      <c r="B43" s="116"/>
      <c r="C43" s="114"/>
      <c r="D43" s="12" t="e">
        <v>#N/A</v>
      </c>
      <c r="E43" s="12" t="e">
        <v>#N/A</v>
      </c>
      <c r="F43" s="12" t="e">
        <v>#N/A</v>
      </c>
      <c r="G43" s="12" t="e">
        <v>#N/A</v>
      </c>
      <c r="H43" s="12" t="e">
        <v>#N/A</v>
      </c>
      <c r="I43" s="12" t="e">
        <v>#N/A</v>
      </c>
      <c r="J43" s="116"/>
      <c r="K43" s="12" t="s">
        <v>233</v>
      </c>
      <c r="L43" s="12">
        <v>107</v>
      </c>
      <c r="M43" s="12">
        <v>110</v>
      </c>
      <c r="N43" s="12">
        <v>118</v>
      </c>
      <c r="O43" s="12">
        <v>109</v>
      </c>
      <c r="P43" s="12">
        <v>103</v>
      </c>
      <c r="Q43" s="12">
        <v>114</v>
      </c>
      <c r="R43" s="125"/>
      <c r="S43" s="42">
        <f t="shared" si="2"/>
        <v>110.16666666666667</v>
      </c>
      <c r="T43" s="42">
        <f t="shared" si="3"/>
        <v>2.1512270400350073</v>
      </c>
      <c r="U43" s="7"/>
      <c r="V43" s="7"/>
      <c r="W43" s="7"/>
      <c r="X43" s="7"/>
      <c r="Y43" s="7"/>
      <c r="AK43" s="10"/>
      <c r="AL43" s="10"/>
      <c r="AM43" s="9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</row>
    <row r="44" spans="2:78" ht="24" customHeight="1" x14ac:dyDescent="0.2">
      <c r="B44" s="122">
        <v>24</v>
      </c>
      <c r="C44" s="113" t="s">
        <v>314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117"/>
      <c r="K44" s="5" t="s">
        <v>234</v>
      </c>
      <c r="L44" s="48" t="s">
        <v>297</v>
      </c>
      <c r="M44" s="48" t="s">
        <v>297</v>
      </c>
      <c r="N44" s="48" t="s">
        <v>297</v>
      </c>
      <c r="O44" s="48" t="s">
        <v>297</v>
      </c>
      <c r="P44" s="48" t="s">
        <v>297</v>
      </c>
      <c r="Q44" s="48" t="s">
        <v>297</v>
      </c>
      <c r="R44" s="124"/>
      <c r="S44" s="43" t="e">
        <f t="shared" si="2"/>
        <v>#DIV/0!</v>
      </c>
      <c r="T44" s="43" t="e">
        <f t="shared" si="3"/>
        <v>#DIV/0!</v>
      </c>
      <c r="U44" s="7"/>
      <c r="V44" s="7"/>
      <c r="W44" s="7"/>
      <c r="X44" s="7"/>
      <c r="Y44" s="7"/>
    </row>
    <row r="45" spans="2:78" ht="24" customHeight="1" thickBot="1" x14ac:dyDescent="0.25">
      <c r="B45" s="116"/>
      <c r="C45" s="114"/>
      <c r="D45" s="12" t="e">
        <v>#N/A</v>
      </c>
      <c r="E45" s="12" t="e">
        <v>#N/A</v>
      </c>
      <c r="F45" s="12" t="e">
        <v>#N/A</v>
      </c>
      <c r="G45" s="12" t="e">
        <v>#N/A</v>
      </c>
      <c r="H45" s="12" t="e">
        <v>#N/A</v>
      </c>
      <c r="I45" s="12" t="e">
        <v>#N/A</v>
      </c>
      <c r="J45" s="116"/>
      <c r="K45" s="12" t="s">
        <v>233</v>
      </c>
      <c r="L45" s="12">
        <v>124</v>
      </c>
      <c r="M45" s="12">
        <v>113</v>
      </c>
      <c r="N45" s="12">
        <v>121</v>
      </c>
      <c r="O45" s="12">
        <v>117</v>
      </c>
      <c r="P45" s="12">
        <v>112</v>
      </c>
      <c r="Q45" s="12">
        <v>128</v>
      </c>
      <c r="R45" s="125"/>
      <c r="S45" s="42">
        <f t="shared" si="2"/>
        <v>119.16666666666667</v>
      </c>
      <c r="T45" s="42">
        <f t="shared" si="3"/>
        <v>2.5744470819532843</v>
      </c>
      <c r="U45" s="7"/>
      <c r="V45" s="7"/>
      <c r="W45" s="7"/>
      <c r="X45" s="7"/>
      <c r="Y45" s="7"/>
      <c r="AK45" s="10"/>
      <c r="AL45" s="10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</row>
    <row r="46" spans="2:78" ht="24" customHeight="1" x14ac:dyDescent="0.2">
      <c r="B46" s="122">
        <v>25</v>
      </c>
      <c r="C46" s="113" t="s">
        <v>236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117"/>
      <c r="K46" s="5" t="s">
        <v>234</v>
      </c>
      <c r="L46" s="48" t="s">
        <v>297</v>
      </c>
      <c r="M46" s="69" t="s">
        <v>297</v>
      </c>
      <c r="N46" s="68" t="s">
        <v>297</v>
      </c>
      <c r="O46" s="48" t="s">
        <v>297</v>
      </c>
      <c r="P46" s="48" t="s">
        <v>297</v>
      </c>
      <c r="Q46" s="48" t="s">
        <v>297</v>
      </c>
      <c r="R46" s="124"/>
      <c r="S46" s="43" t="e">
        <f t="shared" si="2"/>
        <v>#DIV/0!</v>
      </c>
      <c r="T46" s="43" t="e">
        <f t="shared" si="3"/>
        <v>#DIV/0!</v>
      </c>
      <c r="U46" s="7"/>
      <c r="V46" s="7"/>
      <c r="W46" s="7"/>
      <c r="X46" s="7"/>
      <c r="Y46" s="7"/>
    </row>
    <row r="47" spans="2:78" ht="24" customHeight="1" thickBot="1" x14ac:dyDescent="0.25">
      <c r="B47" s="116"/>
      <c r="C47" s="114"/>
      <c r="D47" s="12" t="e">
        <v>#N/A</v>
      </c>
      <c r="E47" s="12" t="e">
        <v>#N/A</v>
      </c>
      <c r="F47" s="12" t="e">
        <v>#N/A</v>
      </c>
      <c r="G47" s="12" t="e">
        <v>#N/A</v>
      </c>
      <c r="H47" s="12" t="e">
        <v>#N/A</v>
      </c>
      <c r="I47" s="12" t="e">
        <v>#N/A</v>
      </c>
      <c r="J47" s="116"/>
      <c r="K47" s="12" t="s">
        <v>233</v>
      </c>
      <c r="L47" s="12">
        <v>122</v>
      </c>
      <c r="M47" s="12">
        <v>112</v>
      </c>
      <c r="N47" s="12">
        <v>127</v>
      </c>
      <c r="O47" s="12">
        <v>129</v>
      </c>
      <c r="P47" s="12">
        <v>118</v>
      </c>
      <c r="Q47" s="12">
        <v>116</v>
      </c>
      <c r="R47" s="125"/>
      <c r="S47" s="42">
        <f t="shared" si="2"/>
        <v>120.66666666666667</v>
      </c>
      <c r="T47" s="42">
        <f t="shared" si="3"/>
        <v>2.6791375063213496</v>
      </c>
      <c r="U47" s="7"/>
      <c r="V47" s="7"/>
      <c r="W47" s="7"/>
      <c r="X47" s="7"/>
      <c r="Y47" s="7"/>
      <c r="AK47" s="10"/>
      <c r="AL47" s="10"/>
      <c r="AM47" s="9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</row>
    <row r="48" spans="2:78" ht="24" customHeight="1" x14ac:dyDescent="0.2">
      <c r="B48" s="122">
        <v>26</v>
      </c>
      <c r="C48" s="113" t="s">
        <v>314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6"/>
      <c r="K48" s="5" t="s">
        <v>234</v>
      </c>
      <c r="L48" s="48" t="s">
        <v>297</v>
      </c>
      <c r="M48" s="48" t="s">
        <v>297</v>
      </c>
      <c r="N48" s="48" t="s">
        <v>297</v>
      </c>
      <c r="O48" s="48" t="s">
        <v>297</v>
      </c>
      <c r="P48" s="48" t="s">
        <v>297</v>
      </c>
      <c r="Q48" s="48" t="s">
        <v>297</v>
      </c>
      <c r="R48" s="124"/>
      <c r="S48" s="43" t="e">
        <f t="shared" si="2"/>
        <v>#DIV/0!</v>
      </c>
      <c r="T48" s="43" t="e">
        <f t="shared" si="3"/>
        <v>#DIV/0!</v>
      </c>
      <c r="U48" s="7"/>
      <c r="V48" s="7"/>
      <c r="W48" s="7"/>
      <c r="X48" s="7"/>
      <c r="Y48" s="7"/>
    </row>
    <row r="49" spans="2:78" ht="24" customHeight="1" thickBot="1" x14ac:dyDescent="0.25">
      <c r="B49" s="116"/>
      <c r="C49" s="114"/>
      <c r="D49" s="12" t="e">
        <v>#N/A</v>
      </c>
      <c r="E49" s="12" t="e">
        <v>#N/A</v>
      </c>
      <c r="F49" s="12" t="e">
        <v>#N/A</v>
      </c>
      <c r="G49" s="12" t="e">
        <v>#N/A</v>
      </c>
      <c r="H49" s="12" t="e">
        <v>#N/A</v>
      </c>
      <c r="I49" s="12" t="e">
        <v>#N/A</v>
      </c>
      <c r="J49" s="13"/>
      <c r="K49" s="12" t="s">
        <v>233</v>
      </c>
      <c r="L49" s="12">
        <v>118</v>
      </c>
      <c r="M49" s="12">
        <v>121</v>
      </c>
      <c r="N49" s="12">
        <v>126</v>
      </c>
      <c r="O49" s="12">
        <v>120</v>
      </c>
      <c r="P49" s="12">
        <v>134</v>
      </c>
      <c r="Q49" s="12">
        <v>125</v>
      </c>
      <c r="R49" s="125"/>
      <c r="S49" s="42">
        <f t="shared" si="2"/>
        <v>124</v>
      </c>
      <c r="T49" s="42">
        <f t="shared" si="3"/>
        <v>2.3523038352503134</v>
      </c>
      <c r="U49" s="7"/>
      <c r="V49" s="7"/>
      <c r="W49" s="7"/>
      <c r="X49" s="7"/>
      <c r="Y49" s="7"/>
      <c r="AK49" s="10"/>
      <c r="AL49" s="10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</row>
    <row r="50" spans="2:78" ht="24" customHeight="1" x14ac:dyDescent="0.2">
      <c r="B50" s="122">
        <v>27</v>
      </c>
      <c r="C50" s="113" t="s">
        <v>312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117"/>
      <c r="K50" s="5" t="s">
        <v>234</v>
      </c>
      <c r="L50" s="65" t="s">
        <v>299</v>
      </c>
      <c r="M50" s="67" t="s">
        <v>299</v>
      </c>
      <c r="N50" s="76" t="s">
        <v>299</v>
      </c>
      <c r="O50" s="65" t="s">
        <v>299</v>
      </c>
      <c r="P50" s="5">
        <v>94</v>
      </c>
      <c r="Q50" s="5">
        <v>93</v>
      </c>
      <c r="R50" s="124"/>
      <c r="S50" s="43">
        <f t="shared" si="2"/>
        <v>93.5</v>
      </c>
      <c r="T50" s="43">
        <f t="shared" si="3"/>
        <v>0.28867513459481292</v>
      </c>
      <c r="AK50" s="10">
        <v>2</v>
      </c>
      <c r="AL50" s="10" t="s">
        <v>235</v>
      </c>
      <c r="AM50" s="10">
        <v>150</v>
      </c>
    </row>
    <row r="51" spans="2:78" ht="24" customHeight="1" thickBot="1" x14ac:dyDescent="0.25">
      <c r="B51" s="116"/>
      <c r="C51" s="114"/>
      <c r="D51" s="12" t="e">
        <v>#N/A</v>
      </c>
      <c r="E51" s="12" t="e">
        <v>#N/A</v>
      </c>
      <c r="F51" s="12" t="e">
        <v>#N/A</v>
      </c>
      <c r="G51" s="12" t="e">
        <v>#N/A</v>
      </c>
      <c r="H51" s="12" t="e">
        <v>#N/A</v>
      </c>
      <c r="I51" s="12" t="e">
        <v>#N/A</v>
      </c>
      <c r="J51" s="116"/>
      <c r="K51" s="12" t="s">
        <v>233</v>
      </c>
      <c r="L51" s="12">
        <v>98</v>
      </c>
      <c r="M51" s="12">
        <v>118</v>
      </c>
      <c r="N51" s="12">
        <v>106</v>
      </c>
      <c r="O51" s="12">
        <v>110</v>
      </c>
      <c r="P51" s="12">
        <v>109</v>
      </c>
      <c r="Q51" s="12">
        <v>122</v>
      </c>
      <c r="R51" s="125"/>
      <c r="S51" s="42">
        <f t="shared" si="2"/>
        <v>110.5</v>
      </c>
      <c r="T51" s="42">
        <f t="shared" si="3"/>
        <v>3.5000000000000004</v>
      </c>
      <c r="U51" s="7"/>
      <c r="V51" s="7"/>
      <c r="W51" s="7"/>
      <c r="X51" s="7"/>
      <c r="Y51" s="7"/>
      <c r="AK51" s="10"/>
      <c r="AL51" s="10"/>
      <c r="AM51" s="9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</row>
    <row r="52" spans="2:78" ht="24" customHeight="1" x14ac:dyDescent="0.2">
      <c r="B52" s="122">
        <v>28</v>
      </c>
      <c r="C52" s="113" t="s">
        <v>313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117"/>
      <c r="K52" s="5" t="s">
        <v>234</v>
      </c>
      <c r="L52" s="48" t="s">
        <v>297</v>
      </c>
      <c r="M52" s="67" t="s">
        <v>299</v>
      </c>
      <c r="N52" s="66">
        <v>96</v>
      </c>
      <c r="O52" s="65" t="s">
        <v>299</v>
      </c>
      <c r="P52" s="48" t="s">
        <v>297</v>
      </c>
      <c r="Q52" s="48" t="s">
        <v>297</v>
      </c>
      <c r="R52" s="124"/>
      <c r="S52" s="43">
        <f t="shared" si="2"/>
        <v>96</v>
      </c>
      <c r="T52" s="43" t="e">
        <f t="shared" si="3"/>
        <v>#DIV/0!</v>
      </c>
      <c r="U52" s="7"/>
      <c r="V52" s="7"/>
      <c r="W52" s="7"/>
      <c r="X52" s="7"/>
      <c r="Y52" s="7"/>
    </row>
    <row r="53" spans="2:78" ht="24" customHeight="1" thickBot="1" x14ac:dyDescent="0.25">
      <c r="B53" s="116"/>
      <c r="C53" s="114"/>
      <c r="D53" s="12" t="e">
        <v>#N/A</v>
      </c>
      <c r="E53" s="12" t="e">
        <v>#N/A</v>
      </c>
      <c r="F53" s="12" t="e">
        <v>#N/A</v>
      </c>
      <c r="G53" s="12" t="e">
        <v>#N/A</v>
      </c>
      <c r="H53" s="12" t="e">
        <v>#N/A</v>
      </c>
      <c r="I53" s="12" t="e">
        <v>#N/A</v>
      </c>
      <c r="J53" s="116"/>
      <c r="K53" s="12" t="s">
        <v>233</v>
      </c>
      <c r="L53" s="12">
        <v>100</v>
      </c>
      <c r="M53" s="12">
        <v>105</v>
      </c>
      <c r="N53" s="12">
        <v>105</v>
      </c>
      <c r="O53" s="12">
        <v>90</v>
      </c>
      <c r="P53" s="12">
        <v>96</v>
      </c>
      <c r="Q53" s="12">
        <v>97</v>
      </c>
      <c r="R53" s="125"/>
      <c r="S53" s="42">
        <f t="shared" si="2"/>
        <v>98.833333333333329</v>
      </c>
      <c r="T53" s="42">
        <f t="shared" si="3"/>
        <v>2.3582008207765326</v>
      </c>
      <c r="U53" s="7"/>
      <c r="V53" s="7"/>
      <c r="W53" s="7"/>
      <c r="X53" s="7"/>
      <c r="Y53" s="7"/>
      <c r="AK53" s="10"/>
      <c r="AL53" s="10"/>
      <c r="AM53" s="9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</row>
    <row r="54" spans="2:78" ht="24" customHeight="1" x14ac:dyDescent="0.2">
      <c r="B54" s="122">
        <v>38</v>
      </c>
      <c r="C54" s="113" t="s">
        <v>313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118">
        <v>1211</v>
      </c>
      <c r="K54" s="5" t="s">
        <v>234</v>
      </c>
      <c r="L54" s="65" t="s">
        <v>299</v>
      </c>
      <c r="M54" s="5">
        <v>94</v>
      </c>
      <c r="N54" s="65" t="s">
        <v>299</v>
      </c>
      <c r="O54" s="65" t="s">
        <v>299</v>
      </c>
      <c r="P54" s="65" t="s">
        <v>299</v>
      </c>
      <c r="Q54" s="65" t="s">
        <v>299</v>
      </c>
      <c r="R54" s="124"/>
      <c r="S54" s="43">
        <f t="shared" si="2"/>
        <v>94</v>
      </c>
      <c r="T54" s="43" t="e">
        <f t="shared" si="3"/>
        <v>#DIV/0!</v>
      </c>
      <c r="U54" s="7"/>
      <c r="V54" s="7"/>
      <c r="W54" s="7"/>
      <c r="X54" s="7"/>
      <c r="Y54" s="7"/>
    </row>
    <row r="55" spans="2:78" ht="24" customHeight="1" thickBot="1" x14ac:dyDescent="0.25">
      <c r="B55" s="116"/>
      <c r="C55" s="114"/>
      <c r="D55" s="12" t="e">
        <v>#N/A</v>
      </c>
      <c r="E55" s="12" t="e">
        <v>#N/A</v>
      </c>
      <c r="F55" s="12" t="e">
        <v>#N/A</v>
      </c>
      <c r="G55" s="12" t="e">
        <v>#N/A</v>
      </c>
      <c r="H55" s="12" t="e">
        <v>#N/A</v>
      </c>
      <c r="I55" s="12" t="e">
        <v>#N/A</v>
      </c>
      <c r="J55" s="116"/>
      <c r="K55" s="12" t="s">
        <v>233</v>
      </c>
      <c r="L55" s="12">
        <v>98</v>
      </c>
      <c r="M55" s="12">
        <v>97</v>
      </c>
      <c r="N55" s="12">
        <v>95</v>
      </c>
      <c r="O55" s="12">
        <v>119</v>
      </c>
      <c r="P55" s="12">
        <v>94</v>
      </c>
      <c r="Q55" s="12">
        <v>89</v>
      </c>
      <c r="R55" s="125"/>
      <c r="S55" s="42">
        <f t="shared" si="2"/>
        <v>98.666666666666671</v>
      </c>
      <c r="T55" s="42">
        <f t="shared" si="3"/>
        <v>4.2635405214185296</v>
      </c>
      <c r="U55" s="7"/>
      <c r="V55" s="7"/>
      <c r="W55" s="7"/>
      <c r="X55" s="7"/>
      <c r="Y55" s="7"/>
      <c r="AK55" s="10"/>
      <c r="AL55" s="10"/>
      <c r="AM55" s="9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</row>
    <row r="56" spans="2:78" ht="24" customHeight="1" x14ac:dyDescent="0.2">
      <c r="B56" s="122">
        <v>37</v>
      </c>
      <c r="C56" s="113" t="s">
        <v>238</v>
      </c>
      <c r="D56" s="5" t="e">
        <v>#N/A</v>
      </c>
      <c r="E56" s="5" t="e">
        <v>#N/A</v>
      </c>
      <c r="F56" s="5" t="e">
        <v>#N/A</v>
      </c>
      <c r="G56" s="5" t="e">
        <v>#N/A</v>
      </c>
      <c r="H56" s="5" t="e">
        <v>#N/A</v>
      </c>
      <c r="I56" s="5" t="e">
        <v>#N/A</v>
      </c>
      <c r="J56" s="117"/>
      <c r="K56" s="30" t="s">
        <v>234</v>
      </c>
      <c r="L56" s="66">
        <v>99</v>
      </c>
      <c r="M56" s="5">
        <v>86</v>
      </c>
      <c r="N56" s="45">
        <v>72</v>
      </c>
      <c r="O56" s="5">
        <v>108</v>
      </c>
      <c r="P56" s="5">
        <v>79</v>
      </c>
      <c r="Q56" s="65" t="s">
        <v>299</v>
      </c>
      <c r="R56" s="124"/>
      <c r="S56" s="43">
        <f t="shared" si="2"/>
        <v>88.8</v>
      </c>
      <c r="T56" s="43">
        <f t="shared" si="3"/>
        <v>5.9819171954594514</v>
      </c>
      <c r="U56" s="7"/>
      <c r="V56" s="7"/>
      <c r="W56" s="7"/>
      <c r="X56" s="7"/>
      <c r="Y56" s="7"/>
    </row>
    <row r="57" spans="2:78" ht="24" customHeight="1" thickBot="1" x14ac:dyDescent="0.25">
      <c r="B57" s="116"/>
      <c r="C57" s="114"/>
      <c r="D57" s="12" t="e">
        <v>#N/A</v>
      </c>
      <c r="E57" s="12" t="e">
        <v>#N/A</v>
      </c>
      <c r="F57" s="12" t="e">
        <v>#N/A</v>
      </c>
      <c r="G57" s="12" t="e">
        <v>#N/A</v>
      </c>
      <c r="H57" s="12" t="e">
        <v>#N/A</v>
      </c>
      <c r="I57" s="12" t="e">
        <v>#N/A</v>
      </c>
      <c r="J57" s="116"/>
      <c r="K57" s="12" t="s">
        <v>233</v>
      </c>
      <c r="L57" s="12">
        <v>94</v>
      </c>
      <c r="M57" s="12">
        <v>101</v>
      </c>
      <c r="N57" s="46">
        <v>81</v>
      </c>
      <c r="O57" s="12">
        <v>107</v>
      </c>
      <c r="P57" s="12">
        <v>103</v>
      </c>
      <c r="Q57" s="12">
        <v>98</v>
      </c>
      <c r="R57" s="125"/>
      <c r="S57" s="42">
        <f t="shared" si="2"/>
        <v>97.333333333333329</v>
      </c>
      <c r="T57" s="42">
        <f t="shared" si="3"/>
        <v>3.729760194853164</v>
      </c>
      <c r="U57" s="7"/>
      <c r="V57" s="7"/>
      <c r="W57" s="7"/>
      <c r="X57" s="7"/>
      <c r="Y57" s="7"/>
      <c r="AK57" s="10"/>
      <c r="AL57" s="10"/>
      <c r="AM57" s="9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</row>
    <row r="58" spans="2:78" ht="24" customHeight="1" x14ac:dyDescent="0.2">
      <c r="B58" s="122">
        <v>36</v>
      </c>
      <c r="C58" s="113" t="s">
        <v>314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117"/>
      <c r="K58" s="5" t="s">
        <v>234</v>
      </c>
      <c r="L58" s="48" t="s">
        <v>297</v>
      </c>
      <c r="M58" s="65" t="s">
        <v>299</v>
      </c>
      <c r="N58" s="30">
        <v>108</v>
      </c>
      <c r="O58" s="75">
        <v>93</v>
      </c>
      <c r="P58" s="72" t="s">
        <v>299</v>
      </c>
      <c r="Q58" s="74" t="s">
        <v>299</v>
      </c>
      <c r="R58" s="143"/>
      <c r="S58" s="43">
        <f t="shared" si="2"/>
        <v>100.5</v>
      </c>
      <c r="T58" s="43">
        <f t="shared" si="3"/>
        <v>4.3301270189221936</v>
      </c>
      <c r="U58" s="7"/>
      <c r="V58" s="7"/>
      <c r="W58" s="7"/>
      <c r="X58" s="7"/>
      <c r="Y58" s="7"/>
    </row>
    <row r="59" spans="2:78" ht="24" customHeight="1" thickBot="1" x14ac:dyDescent="0.25">
      <c r="B59" s="116"/>
      <c r="C59" s="114"/>
      <c r="D59" s="12" t="e">
        <v>#N/A</v>
      </c>
      <c r="E59" s="12" t="e">
        <v>#N/A</v>
      </c>
      <c r="F59" s="12" t="e">
        <v>#N/A</v>
      </c>
      <c r="G59" s="12" t="e">
        <v>#N/A</v>
      </c>
      <c r="H59" s="12" t="e">
        <v>#N/A</v>
      </c>
      <c r="I59" s="12" t="e">
        <v>#N/A</v>
      </c>
      <c r="J59" s="116"/>
      <c r="K59" s="12" t="s">
        <v>233</v>
      </c>
      <c r="L59" s="12">
        <v>106</v>
      </c>
      <c r="M59" s="12">
        <v>99</v>
      </c>
      <c r="N59" s="12">
        <v>113</v>
      </c>
      <c r="O59" s="12">
        <v>121</v>
      </c>
      <c r="P59" s="12">
        <v>114</v>
      </c>
      <c r="Q59" s="12">
        <v>119</v>
      </c>
      <c r="R59" s="125"/>
      <c r="S59" s="42">
        <f t="shared" si="2"/>
        <v>112</v>
      </c>
      <c r="T59" s="42">
        <f t="shared" si="3"/>
        <v>3.3665016461206929</v>
      </c>
      <c r="U59" s="7"/>
      <c r="V59" s="7"/>
      <c r="W59" s="7"/>
      <c r="X59" s="7"/>
      <c r="Y59" s="7"/>
      <c r="AK59" s="10"/>
      <c r="AL59" s="10"/>
      <c r="AM59" s="9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</row>
    <row r="60" spans="2:78" ht="24" customHeight="1" x14ac:dyDescent="0.2">
      <c r="B60" s="122">
        <v>35</v>
      </c>
      <c r="C60" s="113" t="s">
        <v>309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117"/>
      <c r="K60" s="5" t="s">
        <v>234</v>
      </c>
      <c r="L60" s="5">
        <v>84</v>
      </c>
      <c r="M60" s="5">
        <v>76</v>
      </c>
      <c r="N60" s="5">
        <v>83</v>
      </c>
      <c r="O60" s="73">
        <v>90</v>
      </c>
      <c r="P60" s="72" t="s">
        <v>299</v>
      </c>
      <c r="Q60" s="65" t="s">
        <v>299</v>
      </c>
      <c r="R60" s="124"/>
      <c r="S60" s="43">
        <f t="shared" si="2"/>
        <v>83.25</v>
      </c>
      <c r="T60" s="43">
        <f t="shared" si="3"/>
        <v>2.3422448870925328</v>
      </c>
      <c r="U60" s="7"/>
      <c r="V60" s="7"/>
      <c r="W60" s="7"/>
      <c r="X60" s="7"/>
      <c r="Y60" s="7"/>
    </row>
    <row r="61" spans="2:78" ht="24" customHeight="1" thickBot="1" x14ac:dyDescent="0.25">
      <c r="B61" s="116"/>
      <c r="C61" s="114"/>
      <c r="D61" s="12" t="e">
        <v>#N/A</v>
      </c>
      <c r="E61" s="12" t="e">
        <v>#N/A</v>
      </c>
      <c r="F61" s="12" t="e">
        <v>#N/A</v>
      </c>
      <c r="G61" s="12" t="e">
        <v>#N/A</v>
      </c>
      <c r="H61" s="12" t="e">
        <v>#N/A</v>
      </c>
      <c r="I61" s="12" t="e">
        <v>#N/A</v>
      </c>
      <c r="J61" s="116"/>
      <c r="K61" s="12" t="s">
        <v>233</v>
      </c>
      <c r="L61" s="12">
        <v>92</v>
      </c>
      <c r="M61" s="12">
        <v>90</v>
      </c>
      <c r="N61" s="12">
        <v>101</v>
      </c>
      <c r="O61" s="12">
        <v>99</v>
      </c>
      <c r="P61" s="12">
        <v>109</v>
      </c>
      <c r="Q61" s="12">
        <v>84</v>
      </c>
      <c r="R61" s="125"/>
      <c r="S61" s="42">
        <f t="shared" si="2"/>
        <v>95.833333333333329</v>
      </c>
      <c r="T61" s="42">
        <f t="shared" si="3"/>
        <v>3.6461547477369152</v>
      </c>
      <c r="U61" s="7"/>
      <c r="V61" s="7"/>
      <c r="W61" s="7"/>
      <c r="X61" s="7"/>
      <c r="Y61" s="7"/>
      <c r="AK61" s="10"/>
      <c r="AL61" s="10"/>
      <c r="AM61" s="9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</row>
    <row r="62" spans="2:78" ht="24" customHeight="1" x14ac:dyDescent="0.2">
      <c r="B62" s="122">
        <v>34</v>
      </c>
      <c r="C62" s="113" t="s">
        <v>236</v>
      </c>
      <c r="D62" s="5" t="e">
        <v>#N/A</v>
      </c>
      <c r="E62" s="5" t="e">
        <v>#N/A</v>
      </c>
      <c r="F62" s="5" t="e">
        <v>#N/A</v>
      </c>
      <c r="G62" s="5" t="e">
        <v>#N/A</v>
      </c>
      <c r="H62" s="5" t="e">
        <v>#N/A</v>
      </c>
      <c r="I62" s="5" t="e">
        <v>#N/A</v>
      </c>
      <c r="J62" s="117"/>
      <c r="K62" s="5" t="s">
        <v>234</v>
      </c>
      <c r="L62" s="69" t="s">
        <v>297</v>
      </c>
      <c r="M62" s="66">
        <v>87</v>
      </c>
      <c r="N62" s="5">
        <v>108</v>
      </c>
      <c r="O62" s="73">
        <v>103</v>
      </c>
      <c r="P62" s="72" t="s">
        <v>299</v>
      </c>
      <c r="Q62" s="65" t="s">
        <v>299</v>
      </c>
      <c r="R62" s="124"/>
      <c r="S62" s="43">
        <f t="shared" si="2"/>
        <v>99.333333333333329</v>
      </c>
      <c r="T62" s="43">
        <f t="shared" si="3"/>
        <v>4.4783429475148013</v>
      </c>
      <c r="U62" s="7"/>
      <c r="V62" s="7"/>
      <c r="W62" s="7"/>
      <c r="X62" s="7"/>
      <c r="Y62" s="7"/>
    </row>
    <row r="63" spans="2:78" ht="24" customHeight="1" thickBot="1" x14ac:dyDescent="0.25">
      <c r="B63" s="116"/>
      <c r="C63" s="114"/>
      <c r="D63" s="12" t="e">
        <v>#N/A</v>
      </c>
      <c r="E63" s="12" t="e">
        <v>#N/A</v>
      </c>
      <c r="F63" s="12" t="e">
        <v>#N/A</v>
      </c>
      <c r="G63" s="12" t="e">
        <v>#N/A</v>
      </c>
      <c r="H63" s="12" t="e">
        <v>#N/A</v>
      </c>
      <c r="I63" s="12" t="e">
        <v>#N/A</v>
      </c>
      <c r="J63" s="116"/>
      <c r="K63" s="12" t="s">
        <v>233</v>
      </c>
      <c r="L63" s="12">
        <v>112</v>
      </c>
      <c r="M63" s="12">
        <v>115</v>
      </c>
      <c r="N63" s="12">
        <v>109</v>
      </c>
      <c r="O63" s="12">
        <v>100</v>
      </c>
      <c r="P63" s="12">
        <v>114</v>
      </c>
      <c r="Q63" s="12">
        <v>111</v>
      </c>
      <c r="R63" s="125"/>
      <c r="S63" s="42">
        <f t="shared" si="2"/>
        <v>110.16666666666667</v>
      </c>
      <c r="T63" s="42">
        <f t="shared" si="3"/>
        <v>2.2123391341393495</v>
      </c>
      <c r="U63" s="7"/>
      <c r="V63" s="7"/>
      <c r="W63" s="7"/>
      <c r="X63" s="7"/>
      <c r="Y63" s="7"/>
      <c r="AK63" s="10"/>
      <c r="AL63" s="10"/>
      <c r="AM63" s="9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</row>
    <row r="64" spans="2:78" ht="24" customHeight="1" x14ac:dyDescent="0.2">
      <c r="B64" s="122">
        <v>33</v>
      </c>
      <c r="C64" s="113" t="s">
        <v>309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117"/>
      <c r="K64" s="5" t="s">
        <v>234</v>
      </c>
      <c r="L64" s="5">
        <v>97</v>
      </c>
      <c r="M64" s="5">
        <v>116</v>
      </c>
      <c r="N64" s="5">
        <v>76</v>
      </c>
      <c r="O64" s="5">
        <v>104</v>
      </c>
      <c r="P64" s="71" t="s">
        <v>299</v>
      </c>
      <c r="Q64" s="5">
        <v>101</v>
      </c>
      <c r="R64" s="124"/>
      <c r="S64" s="43">
        <f t="shared" si="2"/>
        <v>98.8</v>
      </c>
      <c r="T64" s="43">
        <f t="shared" si="3"/>
        <v>5.9539902586416895</v>
      </c>
      <c r="U64" s="7"/>
      <c r="V64" s="7"/>
      <c r="W64" s="7"/>
      <c r="X64" s="7"/>
      <c r="Y64" s="7"/>
    </row>
    <row r="65" spans="2:78" ht="24" customHeight="1" thickBot="1" x14ac:dyDescent="0.25">
      <c r="B65" s="116"/>
      <c r="C65" s="114"/>
      <c r="D65" s="5" t="e">
        <v>#N/A</v>
      </c>
      <c r="E65" s="5" t="e">
        <v>#N/A</v>
      </c>
      <c r="F65" s="5" t="e">
        <v>#N/A</v>
      </c>
      <c r="G65" s="5" t="e">
        <v>#N/A</v>
      </c>
      <c r="H65" s="5" t="e">
        <v>#N/A</v>
      </c>
      <c r="I65" s="5" t="e">
        <v>#N/A</v>
      </c>
      <c r="J65" s="116"/>
      <c r="K65" s="5" t="s">
        <v>233</v>
      </c>
      <c r="L65" s="5">
        <v>105</v>
      </c>
      <c r="M65" s="5">
        <v>104</v>
      </c>
      <c r="N65" s="5">
        <v>92</v>
      </c>
      <c r="O65" s="5">
        <v>99</v>
      </c>
      <c r="P65" s="45">
        <v>102</v>
      </c>
      <c r="Q65" s="5">
        <v>102</v>
      </c>
      <c r="R65" s="125"/>
      <c r="S65" s="42">
        <f t="shared" si="2"/>
        <v>100.66666666666667</v>
      </c>
      <c r="T65" s="42">
        <f t="shared" si="3"/>
        <v>1.9264244369066523</v>
      </c>
      <c r="U65" s="7"/>
      <c r="V65" s="7"/>
      <c r="W65" s="7"/>
      <c r="X65" s="7"/>
      <c r="Y65" s="7"/>
    </row>
    <row r="66" spans="2:78" ht="24" customHeight="1" x14ac:dyDescent="0.2">
      <c r="B66" s="122">
        <v>32</v>
      </c>
      <c r="C66" s="113" t="s">
        <v>311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117"/>
      <c r="K66" s="5" t="s">
        <v>234</v>
      </c>
      <c r="L66" s="65" t="s">
        <v>299</v>
      </c>
      <c r="M66" s="30">
        <v>77</v>
      </c>
      <c r="N66" s="70">
        <v>114</v>
      </c>
      <c r="O66" s="65" t="s">
        <v>299</v>
      </c>
      <c r="P66" s="48" t="s">
        <v>297</v>
      </c>
      <c r="Q66" s="65" t="s">
        <v>299</v>
      </c>
      <c r="R66" s="124"/>
      <c r="S66" s="43">
        <f t="shared" si="2"/>
        <v>95.5</v>
      </c>
      <c r="T66" s="43">
        <f t="shared" si="3"/>
        <v>10.680979980008079</v>
      </c>
      <c r="AK66" s="10">
        <v>2</v>
      </c>
      <c r="AL66" s="10" t="s">
        <v>235</v>
      </c>
      <c r="AM66" s="10">
        <v>150</v>
      </c>
    </row>
    <row r="67" spans="2:78" ht="24" customHeight="1" thickBot="1" x14ac:dyDescent="0.25">
      <c r="B67" s="116"/>
      <c r="C67" s="114"/>
      <c r="D67" s="12" t="e">
        <v>#N/A</v>
      </c>
      <c r="E67" s="12" t="e">
        <v>#N/A</v>
      </c>
      <c r="F67" s="12" t="e">
        <v>#N/A</v>
      </c>
      <c r="G67" s="12" t="e">
        <v>#N/A</v>
      </c>
      <c r="H67" s="12" t="e">
        <v>#N/A</v>
      </c>
      <c r="I67" s="12" t="e">
        <v>#N/A</v>
      </c>
      <c r="J67" s="116"/>
      <c r="K67" s="12" t="s">
        <v>233</v>
      </c>
      <c r="L67" s="12">
        <v>113</v>
      </c>
      <c r="M67" s="12">
        <v>107</v>
      </c>
      <c r="N67" s="12">
        <v>96</v>
      </c>
      <c r="O67" s="12">
        <v>111</v>
      </c>
      <c r="P67" s="12">
        <v>114</v>
      </c>
      <c r="Q67" s="12">
        <v>108</v>
      </c>
      <c r="R67" s="125"/>
      <c r="S67" s="42">
        <f t="shared" si="2"/>
        <v>108.16666666666667</v>
      </c>
      <c r="T67" s="42">
        <f t="shared" si="3"/>
        <v>2.6760252448568398</v>
      </c>
      <c r="U67" s="7"/>
      <c r="V67" s="7"/>
      <c r="W67" s="7"/>
      <c r="X67" s="7"/>
      <c r="Y67" s="7"/>
      <c r="AK67" s="10"/>
      <c r="AL67" s="10"/>
      <c r="AM67" s="9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</row>
    <row r="68" spans="2:78" ht="24" customHeight="1" x14ac:dyDescent="0.2">
      <c r="B68" s="122">
        <v>31</v>
      </c>
      <c r="C68" s="113" t="s">
        <v>314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117"/>
      <c r="K68" s="5" t="s">
        <v>234</v>
      </c>
      <c r="L68" s="65" t="s">
        <v>299</v>
      </c>
      <c r="M68" s="65" t="s">
        <v>299</v>
      </c>
      <c r="N68" s="65" t="s">
        <v>299</v>
      </c>
      <c r="O68" s="65" t="s">
        <v>299</v>
      </c>
      <c r="P68" s="48" t="s">
        <v>297</v>
      </c>
      <c r="Q68" s="65" t="s">
        <v>299</v>
      </c>
      <c r="R68" s="124"/>
      <c r="S68" s="43" t="e">
        <f t="shared" si="2"/>
        <v>#DIV/0!</v>
      </c>
      <c r="T68" s="43" t="e">
        <f t="shared" si="3"/>
        <v>#DIV/0!</v>
      </c>
      <c r="U68" s="7"/>
      <c r="V68" s="7"/>
      <c r="W68" s="7"/>
      <c r="X68" s="7"/>
      <c r="Y68" s="7"/>
    </row>
    <row r="69" spans="2:78" ht="24" customHeight="1" thickBot="1" x14ac:dyDescent="0.25">
      <c r="B69" s="116"/>
      <c r="C69" s="114"/>
      <c r="D69" s="12" t="e">
        <v>#N/A</v>
      </c>
      <c r="E69" s="12" t="e">
        <v>#N/A</v>
      </c>
      <c r="F69" s="12" t="e">
        <v>#N/A</v>
      </c>
      <c r="G69" s="12" t="e">
        <v>#N/A</v>
      </c>
      <c r="H69" s="12" t="e">
        <v>#N/A</v>
      </c>
      <c r="I69" s="12" t="e">
        <v>#N/A</v>
      </c>
      <c r="J69" s="116"/>
      <c r="K69" s="12" t="s">
        <v>233</v>
      </c>
      <c r="L69" s="12">
        <v>119</v>
      </c>
      <c r="M69" s="12">
        <v>104</v>
      </c>
      <c r="N69" s="12">
        <v>100</v>
      </c>
      <c r="O69" s="12">
        <v>98</v>
      </c>
      <c r="P69" s="12">
        <v>107</v>
      </c>
      <c r="Q69" s="12">
        <v>108</v>
      </c>
      <c r="R69" s="125"/>
      <c r="S69" s="42">
        <f t="shared" si="2"/>
        <v>106</v>
      </c>
      <c r="T69" s="42">
        <f t="shared" si="3"/>
        <v>3.0441200151548999</v>
      </c>
      <c r="U69" s="7"/>
      <c r="V69" s="7"/>
      <c r="W69" s="7"/>
      <c r="X69" s="7"/>
      <c r="Y69" s="7"/>
      <c r="AK69" s="10"/>
      <c r="AL69" s="10"/>
      <c r="AM69" s="9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</row>
    <row r="70" spans="2:78" ht="24" customHeight="1" x14ac:dyDescent="0.2">
      <c r="B70" s="122">
        <v>41</v>
      </c>
      <c r="C70" s="113" t="s">
        <v>310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118">
        <v>1228</v>
      </c>
      <c r="K70" s="5" t="s">
        <v>234</v>
      </c>
      <c r="L70" s="30">
        <v>108</v>
      </c>
      <c r="M70" s="66">
        <v>86</v>
      </c>
      <c r="N70" s="5">
        <v>77</v>
      </c>
      <c r="O70" s="5">
        <v>62</v>
      </c>
      <c r="P70" s="5">
        <v>69</v>
      </c>
      <c r="Q70" s="5">
        <v>71</v>
      </c>
      <c r="R70" s="124"/>
      <c r="S70" s="43">
        <f t="shared" si="2"/>
        <v>78.833333333333329</v>
      </c>
      <c r="T70" s="43">
        <f t="shared" si="3"/>
        <v>6.7003316667493813</v>
      </c>
      <c r="U70" s="7"/>
      <c r="V70" s="7"/>
      <c r="W70" s="7"/>
      <c r="X70" s="7"/>
      <c r="Y70" s="7"/>
    </row>
    <row r="71" spans="2:78" ht="24" customHeight="1" thickBot="1" x14ac:dyDescent="0.25">
      <c r="B71" s="116"/>
      <c r="C71" s="114"/>
      <c r="D71" s="12" t="e">
        <v>#N/A</v>
      </c>
      <c r="E71" s="12" t="e">
        <v>#N/A</v>
      </c>
      <c r="F71" s="12" t="e">
        <v>#N/A</v>
      </c>
      <c r="G71" s="12" t="e">
        <v>#N/A</v>
      </c>
      <c r="H71" s="12" t="e">
        <v>#N/A</v>
      </c>
      <c r="I71" s="12" t="e">
        <v>#N/A</v>
      </c>
      <c r="J71" s="116"/>
      <c r="K71" s="12" t="s">
        <v>233</v>
      </c>
      <c r="L71" s="12">
        <v>93</v>
      </c>
      <c r="M71" s="12">
        <v>83</v>
      </c>
      <c r="N71" s="12">
        <v>73</v>
      </c>
      <c r="O71" s="12">
        <v>74</v>
      </c>
      <c r="P71" s="12">
        <v>65</v>
      </c>
      <c r="Q71" s="12">
        <v>72</v>
      </c>
      <c r="R71" s="125"/>
      <c r="S71" s="42">
        <f t="shared" si="2"/>
        <v>76.666666666666671</v>
      </c>
      <c r="T71" s="42">
        <f t="shared" si="3"/>
        <v>4.0221608343995721</v>
      </c>
      <c r="U71" s="7"/>
      <c r="V71" s="7"/>
      <c r="W71" s="7"/>
      <c r="X71" s="7"/>
      <c r="Y71" s="7"/>
      <c r="AK71" s="10"/>
      <c r="AL71" s="10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</row>
    <row r="72" spans="2:78" ht="24" customHeight="1" x14ac:dyDescent="0.2">
      <c r="B72" s="122">
        <v>42</v>
      </c>
      <c r="C72" s="113" t="s">
        <v>238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117"/>
      <c r="K72" s="5" t="s">
        <v>234</v>
      </c>
      <c r="L72" s="30">
        <v>93</v>
      </c>
      <c r="M72" s="66">
        <v>86</v>
      </c>
      <c r="N72" s="5">
        <v>83</v>
      </c>
      <c r="O72" s="30">
        <v>74</v>
      </c>
      <c r="P72" s="66">
        <v>100</v>
      </c>
      <c r="Q72" s="5">
        <v>74</v>
      </c>
      <c r="R72" s="124"/>
      <c r="S72" s="43">
        <f t="shared" si="2"/>
        <v>85</v>
      </c>
      <c r="T72" s="43">
        <f t="shared" si="3"/>
        <v>4.2268979957726289</v>
      </c>
      <c r="U72" s="7"/>
      <c r="V72" s="7"/>
      <c r="W72" s="7"/>
      <c r="X72" s="7"/>
      <c r="Y72" s="7"/>
    </row>
    <row r="73" spans="2:78" ht="24" customHeight="1" thickBot="1" x14ac:dyDescent="0.25">
      <c r="B73" s="116"/>
      <c r="C73" s="114"/>
      <c r="D73" s="12" t="e">
        <v>#N/A</v>
      </c>
      <c r="E73" s="12" t="e">
        <v>#N/A</v>
      </c>
      <c r="F73" s="12" t="e">
        <v>#N/A</v>
      </c>
      <c r="G73" s="12" t="e">
        <v>#N/A</v>
      </c>
      <c r="H73" s="12" t="e">
        <v>#N/A</v>
      </c>
      <c r="I73" s="12" t="e">
        <v>#N/A</v>
      </c>
      <c r="J73" s="116"/>
      <c r="K73" s="12" t="s">
        <v>233</v>
      </c>
      <c r="L73" s="12">
        <v>94</v>
      </c>
      <c r="M73" s="12">
        <v>88</v>
      </c>
      <c r="N73" s="12">
        <v>87</v>
      </c>
      <c r="O73" s="12">
        <v>79</v>
      </c>
      <c r="P73" s="12">
        <v>91</v>
      </c>
      <c r="Q73" s="12">
        <v>97</v>
      </c>
      <c r="R73" s="125"/>
      <c r="S73" s="42">
        <f t="shared" si="2"/>
        <v>89.333333333333329</v>
      </c>
      <c r="T73" s="42">
        <f t="shared" si="3"/>
        <v>2.5647178748895132</v>
      </c>
      <c r="U73" s="7"/>
      <c r="V73" s="7"/>
      <c r="W73" s="7"/>
      <c r="X73" s="7"/>
      <c r="Y73" s="7"/>
      <c r="AK73" s="10"/>
      <c r="AL73" s="10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</row>
    <row r="74" spans="2:78" ht="24" customHeight="1" x14ac:dyDescent="0.2">
      <c r="B74" s="122">
        <v>43</v>
      </c>
      <c r="C74" s="113" t="s">
        <v>312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117"/>
      <c r="K74" s="5" t="s">
        <v>234</v>
      </c>
      <c r="L74" s="48" t="s">
        <v>297</v>
      </c>
      <c r="M74" s="48" t="s">
        <v>297</v>
      </c>
      <c r="N74" s="48" t="s">
        <v>297</v>
      </c>
      <c r="O74" s="65" t="s">
        <v>299</v>
      </c>
      <c r="P74" s="65" t="s">
        <v>299</v>
      </c>
      <c r="Q74" s="48" t="s">
        <v>297</v>
      </c>
      <c r="R74" s="124"/>
      <c r="S74" s="43" t="e">
        <f t="shared" ref="S74:S85" si="4">AVERAGE(L74:Q74)</f>
        <v>#DIV/0!</v>
      </c>
      <c r="T74" s="43" t="e">
        <f t="shared" ref="T74:T85" si="5">STDEV(L74:Q74)/SQRT(6)</f>
        <v>#DIV/0!</v>
      </c>
      <c r="U74" s="7"/>
      <c r="V74" s="7"/>
      <c r="W74" s="7"/>
      <c r="X74" s="7"/>
      <c r="Y74" s="7"/>
    </row>
    <row r="75" spans="2:78" ht="24" customHeight="1" thickBot="1" x14ac:dyDescent="0.25">
      <c r="B75" s="116"/>
      <c r="C75" s="114"/>
      <c r="D75" s="12" t="e">
        <v>#N/A</v>
      </c>
      <c r="E75" s="12" t="e">
        <v>#N/A</v>
      </c>
      <c r="F75" s="12" t="e">
        <v>#N/A</v>
      </c>
      <c r="G75" s="12" t="e">
        <v>#N/A</v>
      </c>
      <c r="H75" s="12" t="e">
        <v>#N/A</v>
      </c>
      <c r="I75" s="12" t="e">
        <v>#N/A</v>
      </c>
      <c r="J75" s="116"/>
      <c r="K75" s="12" t="s">
        <v>233</v>
      </c>
      <c r="L75" s="12">
        <v>91</v>
      </c>
      <c r="M75" s="12">
        <v>102</v>
      </c>
      <c r="N75" s="12">
        <v>111</v>
      </c>
      <c r="O75" s="12">
        <v>103</v>
      </c>
      <c r="P75" s="12">
        <v>120</v>
      </c>
      <c r="Q75" s="12">
        <v>116</v>
      </c>
      <c r="R75" s="125"/>
      <c r="S75" s="42">
        <f t="shared" si="4"/>
        <v>107.16666666666667</v>
      </c>
      <c r="T75" s="42">
        <f t="shared" si="5"/>
        <v>4.3314098295025278</v>
      </c>
      <c r="U75" s="7"/>
      <c r="V75" s="7"/>
      <c r="W75" s="7"/>
      <c r="X75" s="7"/>
      <c r="Y75" s="7"/>
      <c r="AK75" s="10"/>
      <c r="AL75" s="10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</row>
    <row r="76" spans="2:78" ht="24" customHeight="1" x14ac:dyDescent="0.2">
      <c r="B76" s="122">
        <v>44</v>
      </c>
      <c r="C76" s="113" t="s">
        <v>312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6"/>
      <c r="K76" s="5" t="s">
        <v>234</v>
      </c>
      <c r="L76" s="67" t="s">
        <v>299</v>
      </c>
      <c r="M76" s="66">
        <v>78</v>
      </c>
      <c r="N76" s="5">
        <v>73</v>
      </c>
      <c r="O76" s="5">
        <v>94</v>
      </c>
      <c r="P76" s="5">
        <v>84</v>
      </c>
      <c r="Q76" s="5">
        <v>106</v>
      </c>
      <c r="R76" s="124"/>
      <c r="S76" s="43">
        <f t="shared" si="4"/>
        <v>87</v>
      </c>
      <c r="T76" s="43">
        <f t="shared" si="5"/>
        <v>5.3851648071345046</v>
      </c>
      <c r="U76" s="7"/>
      <c r="V76" s="7"/>
      <c r="W76" s="7"/>
      <c r="X76" s="7"/>
      <c r="Y76" s="7"/>
    </row>
    <row r="77" spans="2:78" ht="24" customHeight="1" thickBot="1" x14ac:dyDescent="0.25">
      <c r="B77" s="116"/>
      <c r="C77" s="114"/>
      <c r="D77" s="12" t="e">
        <v>#N/A</v>
      </c>
      <c r="E77" s="12" t="e">
        <v>#N/A</v>
      </c>
      <c r="F77" s="12" t="e">
        <v>#N/A</v>
      </c>
      <c r="G77" s="12" t="e">
        <v>#N/A</v>
      </c>
      <c r="H77" s="12" t="e">
        <v>#N/A</v>
      </c>
      <c r="I77" s="12" t="e">
        <v>#N/A</v>
      </c>
      <c r="J77" s="13"/>
      <c r="K77" s="12" t="s">
        <v>233</v>
      </c>
      <c r="L77" s="12">
        <v>118</v>
      </c>
      <c r="M77" s="12">
        <v>99</v>
      </c>
      <c r="N77" s="12">
        <v>104</v>
      </c>
      <c r="O77" s="12">
        <v>85</v>
      </c>
      <c r="P77" s="12">
        <v>90</v>
      </c>
      <c r="Q77" s="12">
        <v>98</v>
      </c>
      <c r="R77" s="125"/>
      <c r="S77" s="42">
        <f t="shared" si="4"/>
        <v>99</v>
      </c>
      <c r="T77" s="42">
        <f t="shared" si="5"/>
        <v>4.7046076705006268</v>
      </c>
      <c r="U77" s="7"/>
      <c r="V77" s="7"/>
      <c r="W77" s="7"/>
      <c r="X77" s="7"/>
      <c r="Y77" s="7"/>
      <c r="AK77" s="10"/>
      <c r="AL77" s="10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</row>
    <row r="78" spans="2:78" ht="24" customHeight="1" x14ac:dyDescent="0.2">
      <c r="B78" s="122">
        <v>45</v>
      </c>
      <c r="C78" s="113" t="s">
        <v>313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117"/>
      <c r="K78" s="5" t="s">
        <v>234</v>
      </c>
      <c r="L78" s="48" t="s">
        <v>297</v>
      </c>
      <c r="M78" s="48" t="s">
        <v>297</v>
      </c>
      <c r="N78" s="48" t="s">
        <v>297</v>
      </c>
      <c r="O78" s="69" t="s">
        <v>297</v>
      </c>
      <c r="P78" s="68" t="s">
        <v>297</v>
      </c>
      <c r="Q78" s="48" t="s">
        <v>297</v>
      </c>
      <c r="R78" s="124"/>
      <c r="S78" s="43" t="e">
        <f t="shared" si="4"/>
        <v>#DIV/0!</v>
      </c>
      <c r="T78" s="43" t="e">
        <f t="shared" si="5"/>
        <v>#DIV/0!</v>
      </c>
      <c r="U78" s="7"/>
      <c r="V78" s="7"/>
      <c r="W78" s="7"/>
      <c r="X78" s="7"/>
      <c r="Y78" s="7"/>
    </row>
    <row r="79" spans="2:78" ht="24" customHeight="1" thickBot="1" x14ac:dyDescent="0.25">
      <c r="B79" s="116"/>
      <c r="C79" s="114"/>
      <c r="D79" s="12" t="e">
        <v>#N/A</v>
      </c>
      <c r="E79" s="12" t="e">
        <v>#N/A</v>
      </c>
      <c r="F79" s="12" t="e">
        <v>#N/A</v>
      </c>
      <c r="G79" s="12" t="e">
        <v>#N/A</v>
      </c>
      <c r="H79" s="12" t="e">
        <v>#N/A</v>
      </c>
      <c r="I79" s="12" t="e">
        <v>#N/A</v>
      </c>
      <c r="J79" s="116"/>
      <c r="K79" s="12" t="s">
        <v>233</v>
      </c>
      <c r="L79" s="12">
        <v>108</v>
      </c>
      <c r="M79" s="12">
        <v>103</v>
      </c>
      <c r="N79" s="12">
        <v>115</v>
      </c>
      <c r="O79" s="12">
        <v>126</v>
      </c>
      <c r="P79" s="12">
        <v>135</v>
      </c>
      <c r="Q79" s="12">
        <v>111</v>
      </c>
      <c r="R79" s="125"/>
      <c r="S79" s="42">
        <f t="shared" si="4"/>
        <v>116.33333333333333</v>
      </c>
      <c r="T79" s="42">
        <f t="shared" si="5"/>
        <v>4.8967109142543608</v>
      </c>
      <c r="U79" s="7"/>
      <c r="V79" s="7"/>
      <c r="W79" s="7"/>
      <c r="X79" s="7"/>
      <c r="Y79" s="7"/>
      <c r="AK79" s="10"/>
      <c r="AL79" s="10"/>
      <c r="AM79" s="9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</row>
    <row r="80" spans="2:78" ht="24" customHeight="1" x14ac:dyDescent="0.2">
      <c r="B80" s="122">
        <v>46</v>
      </c>
      <c r="C80" s="113" t="s">
        <v>236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117"/>
      <c r="K80" s="44" t="s">
        <v>234</v>
      </c>
      <c r="L80" s="48" t="s">
        <v>297</v>
      </c>
      <c r="M80" s="48" t="s">
        <v>297</v>
      </c>
      <c r="N80" s="48" t="s">
        <v>297</v>
      </c>
      <c r="O80" s="48" t="s">
        <v>297</v>
      </c>
      <c r="P80" s="48" t="s">
        <v>297</v>
      </c>
      <c r="Q80" s="48" t="s">
        <v>297</v>
      </c>
      <c r="R80" s="124"/>
      <c r="S80" s="43" t="e">
        <f t="shared" si="4"/>
        <v>#DIV/0!</v>
      </c>
      <c r="T80" s="43" t="e">
        <f t="shared" si="5"/>
        <v>#DIV/0!</v>
      </c>
      <c r="U80" s="7"/>
      <c r="V80" s="7"/>
      <c r="W80" s="7"/>
      <c r="X80" s="7"/>
      <c r="Y80" s="7"/>
    </row>
    <row r="81" spans="2:25" ht="24" customHeight="1" thickBot="1" x14ac:dyDescent="0.25">
      <c r="B81" s="116"/>
      <c r="C81" s="114"/>
      <c r="D81" s="5" t="e">
        <v>#N/A</v>
      </c>
      <c r="E81" s="5" t="e">
        <v>#N/A</v>
      </c>
      <c r="F81" s="5" t="e">
        <v>#N/A</v>
      </c>
      <c r="G81" s="5" t="e">
        <v>#N/A</v>
      </c>
      <c r="H81" s="5" t="e">
        <v>#N/A</v>
      </c>
      <c r="I81" s="5" t="e">
        <v>#N/A</v>
      </c>
      <c r="J81" s="116"/>
      <c r="K81" s="12" t="s">
        <v>233</v>
      </c>
      <c r="L81" s="12">
        <v>116</v>
      </c>
      <c r="M81" s="12">
        <v>122</v>
      </c>
      <c r="N81" s="12">
        <v>128</v>
      </c>
      <c r="O81" s="12">
        <v>130</v>
      </c>
      <c r="P81" s="12">
        <v>138</v>
      </c>
      <c r="Q81" s="12">
        <v>139</v>
      </c>
      <c r="R81" s="125"/>
      <c r="S81" s="42">
        <f t="shared" si="4"/>
        <v>128.83333333333334</v>
      </c>
      <c r="T81" s="42">
        <f t="shared" si="5"/>
        <v>3.6552853665768845</v>
      </c>
      <c r="U81" s="7"/>
      <c r="V81" s="7"/>
      <c r="W81" s="7"/>
      <c r="X81" s="7"/>
      <c r="Y81" s="7"/>
    </row>
    <row r="82" spans="2:25" ht="24" customHeight="1" x14ac:dyDescent="0.2">
      <c r="B82" s="122">
        <v>47</v>
      </c>
      <c r="C82" s="113" t="s">
        <v>310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117"/>
      <c r="K82" s="44" t="s">
        <v>234</v>
      </c>
      <c r="L82" s="44">
        <v>88</v>
      </c>
      <c r="M82" s="44">
        <v>83</v>
      </c>
      <c r="N82" s="44">
        <v>88</v>
      </c>
      <c r="O82" s="44">
        <v>96</v>
      </c>
      <c r="P82" s="44">
        <v>98</v>
      </c>
      <c r="Q82" s="44">
        <v>99</v>
      </c>
      <c r="R82" s="124"/>
      <c r="S82" s="43">
        <f t="shared" si="4"/>
        <v>92</v>
      </c>
      <c r="T82" s="43">
        <f t="shared" si="5"/>
        <v>2.6708300832013507</v>
      </c>
    </row>
    <row r="83" spans="2:25" ht="24" customHeight="1" thickBot="1" x14ac:dyDescent="0.25">
      <c r="B83" s="116"/>
      <c r="C83" s="114"/>
      <c r="D83" s="5" t="e">
        <v>#N/A</v>
      </c>
      <c r="E83" s="5" t="e">
        <v>#N/A</v>
      </c>
      <c r="F83" s="5" t="e">
        <v>#N/A</v>
      </c>
      <c r="G83" s="5" t="e">
        <v>#N/A</v>
      </c>
      <c r="H83" s="5" t="e">
        <v>#N/A</v>
      </c>
      <c r="I83" s="5" t="e">
        <v>#N/A</v>
      </c>
      <c r="J83" s="116"/>
      <c r="K83" s="12" t="s">
        <v>233</v>
      </c>
      <c r="L83" s="12">
        <v>87</v>
      </c>
      <c r="M83" s="12">
        <v>83</v>
      </c>
      <c r="N83" s="12">
        <v>78</v>
      </c>
      <c r="O83" s="12">
        <v>92</v>
      </c>
      <c r="P83" s="12">
        <v>92</v>
      </c>
      <c r="Q83" s="12">
        <v>91</v>
      </c>
      <c r="R83" s="125"/>
      <c r="S83" s="42">
        <f t="shared" si="4"/>
        <v>87.166666666666671</v>
      </c>
      <c r="T83" s="42">
        <f t="shared" si="5"/>
        <v>2.3297591673342071</v>
      </c>
    </row>
    <row r="84" spans="2:25" ht="24" customHeight="1" x14ac:dyDescent="0.2">
      <c r="B84" s="122">
        <v>48</v>
      </c>
      <c r="C84" s="113" t="s">
        <v>311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118">
        <v>1243</v>
      </c>
      <c r="K84" s="44" t="s">
        <v>234</v>
      </c>
      <c r="L84" s="48" t="s">
        <v>297</v>
      </c>
      <c r="M84" s="48" t="s">
        <v>297</v>
      </c>
      <c r="N84" s="67" t="s">
        <v>299</v>
      </c>
      <c r="O84" s="66">
        <v>88</v>
      </c>
      <c r="P84" s="65" t="s">
        <v>299</v>
      </c>
      <c r="Q84" s="48" t="s">
        <v>297</v>
      </c>
      <c r="R84" s="124"/>
      <c r="S84" s="43">
        <f t="shared" si="4"/>
        <v>88</v>
      </c>
      <c r="T84" s="43" t="e">
        <f t="shared" si="5"/>
        <v>#DIV/0!</v>
      </c>
    </row>
    <row r="85" spans="2:25" ht="24" customHeight="1" thickBot="1" x14ac:dyDescent="0.25">
      <c r="B85" s="116"/>
      <c r="C85" s="114"/>
      <c r="D85" s="5" t="e">
        <v>#N/A</v>
      </c>
      <c r="E85" s="5" t="e">
        <v>#N/A</v>
      </c>
      <c r="F85" s="5" t="e">
        <v>#N/A</v>
      </c>
      <c r="G85" s="5" t="e">
        <v>#N/A</v>
      </c>
      <c r="H85" s="5" t="e">
        <v>#N/A</v>
      </c>
      <c r="I85" s="5" t="e">
        <v>#N/A</v>
      </c>
      <c r="J85" s="116"/>
      <c r="K85" s="12" t="s">
        <v>233</v>
      </c>
      <c r="L85" s="12">
        <v>132</v>
      </c>
      <c r="M85" s="12">
        <v>126</v>
      </c>
      <c r="N85" s="12">
        <v>110</v>
      </c>
      <c r="O85" s="12">
        <v>98</v>
      </c>
      <c r="P85" s="12">
        <v>114</v>
      </c>
      <c r="Q85" s="12">
        <v>114</v>
      </c>
      <c r="R85" s="125"/>
      <c r="S85" s="42">
        <f t="shared" si="4"/>
        <v>115.66666666666667</v>
      </c>
      <c r="T85" s="42">
        <f t="shared" si="5"/>
        <v>4.9103066208854127</v>
      </c>
    </row>
    <row r="86" spans="2:25" ht="24.95" customHeight="1" x14ac:dyDescent="0.2">
      <c r="K86" s="2"/>
    </row>
    <row r="87" spans="2:25" s="57" customFormat="1" ht="27.95" customHeight="1" x14ac:dyDescent="0.25">
      <c r="C87" s="139" t="s">
        <v>301</v>
      </c>
      <c r="D87" s="140"/>
      <c r="E87" s="140"/>
      <c r="F87" s="140"/>
      <c r="G87" s="140"/>
      <c r="H87" s="140"/>
      <c r="I87" s="140"/>
      <c r="J87" s="141"/>
      <c r="K87" s="64" t="s">
        <v>296</v>
      </c>
      <c r="L87" s="144" t="s">
        <v>300</v>
      </c>
      <c r="M87" s="144"/>
      <c r="N87" s="144"/>
      <c r="O87" s="144"/>
      <c r="P87" s="144"/>
      <c r="Q87" s="144"/>
    </row>
    <row r="88" spans="2:25" s="57" customFormat="1" ht="27.95" customHeight="1" x14ac:dyDescent="0.25">
      <c r="J88" s="63" t="s">
        <v>299</v>
      </c>
      <c r="K88" s="62" t="s">
        <v>296</v>
      </c>
      <c r="L88" s="57" t="s">
        <v>298</v>
      </c>
    </row>
    <row r="89" spans="2:25" s="57" customFormat="1" ht="27.95" customHeight="1" x14ac:dyDescent="0.25">
      <c r="J89" s="61" t="s">
        <v>297</v>
      </c>
      <c r="K89" s="60" t="s">
        <v>296</v>
      </c>
      <c r="L89" s="57" t="s">
        <v>295</v>
      </c>
    </row>
    <row r="90" spans="2:25" s="57" customFormat="1" ht="27.95" customHeight="1" x14ac:dyDescent="0.25">
      <c r="J90" s="34"/>
      <c r="K90" s="59"/>
    </row>
    <row r="91" spans="2:25" s="57" customFormat="1" ht="27.95" customHeight="1" x14ac:dyDescent="0.25">
      <c r="K91" s="35"/>
    </row>
    <row r="92" spans="2:25" s="57" customFormat="1" ht="27.95" customHeight="1" x14ac:dyDescent="0.25"/>
    <row r="93" spans="2:25" s="57" customFormat="1" ht="27.95" customHeight="1" x14ac:dyDescent="0.25"/>
    <row r="94" spans="2:25" s="57" customFormat="1" ht="27.95" customHeight="1" x14ac:dyDescent="0.25">
      <c r="L94" s="58"/>
    </row>
    <row r="95" spans="2:25" s="57" customFormat="1" ht="27.95" customHeight="1" x14ac:dyDescent="0.25"/>
  </sheetData>
  <mergeCells count="157">
    <mergeCell ref="R52:R53"/>
    <mergeCell ref="R54:R55"/>
    <mergeCell ref="R56:R57"/>
    <mergeCell ref="R58:R59"/>
    <mergeCell ref="R60:R61"/>
    <mergeCell ref="L87:Q87"/>
    <mergeCell ref="R70:R71"/>
    <mergeCell ref="R72:R73"/>
    <mergeCell ref="R74:R75"/>
    <mergeCell ref="R84:R85"/>
    <mergeCell ref="R76:R77"/>
    <mergeCell ref="R78:R79"/>
    <mergeCell ref="R80:R81"/>
    <mergeCell ref="R82:R83"/>
    <mergeCell ref="R62:R63"/>
    <mergeCell ref="R64:R65"/>
    <mergeCell ref="R66:R67"/>
    <mergeCell ref="R68:R69"/>
    <mergeCell ref="J84:J85"/>
    <mergeCell ref="J70:J71"/>
    <mergeCell ref="J72:J73"/>
    <mergeCell ref="J74:J75"/>
    <mergeCell ref="J78:J79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J56:J57"/>
    <mergeCell ref="J58:J59"/>
    <mergeCell ref="J60:J61"/>
    <mergeCell ref="J62:J63"/>
    <mergeCell ref="J64:J65"/>
    <mergeCell ref="J66:J67"/>
    <mergeCell ref="J68:J69"/>
    <mergeCell ref="J80:J81"/>
    <mergeCell ref="J82:J83"/>
    <mergeCell ref="C82:C83"/>
    <mergeCell ref="C84:C85"/>
    <mergeCell ref="J10:J11"/>
    <mergeCell ref="J12:J13"/>
    <mergeCell ref="J14:J15"/>
    <mergeCell ref="J16:J17"/>
    <mergeCell ref="J18:J19"/>
    <mergeCell ref="J20:J21"/>
    <mergeCell ref="J24:J25"/>
    <mergeCell ref="J26:J27"/>
    <mergeCell ref="J22:J23"/>
    <mergeCell ref="J28:J29"/>
    <mergeCell ref="J32:J33"/>
    <mergeCell ref="J30:J31"/>
    <mergeCell ref="J34:J35"/>
    <mergeCell ref="J36:J37"/>
    <mergeCell ref="J40:J41"/>
    <mergeCell ref="J38:J39"/>
    <mergeCell ref="J42:J43"/>
    <mergeCell ref="J44:J45"/>
    <mergeCell ref="J46:J47"/>
    <mergeCell ref="J52:J53"/>
    <mergeCell ref="J50:J51"/>
    <mergeCell ref="J54:J55"/>
    <mergeCell ref="B82:B83"/>
    <mergeCell ref="B84:B85"/>
    <mergeCell ref="C12:C13"/>
    <mergeCell ref="C14:C15"/>
    <mergeCell ref="C16:C17"/>
    <mergeCell ref="C18:C19"/>
    <mergeCell ref="C20:C21"/>
    <mergeCell ref="C22:C23"/>
    <mergeCell ref="B74:B75"/>
    <mergeCell ref="B76:B77"/>
    <mergeCell ref="C24:C25"/>
    <mergeCell ref="C26:C27"/>
    <mergeCell ref="C42:C43"/>
    <mergeCell ref="C44:C45"/>
    <mergeCell ref="C46:C47"/>
    <mergeCell ref="C48:C49"/>
    <mergeCell ref="C38:C39"/>
    <mergeCell ref="C40:C41"/>
    <mergeCell ref="C50:C51"/>
    <mergeCell ref="C52:C53"/>
    <mergeCell ref="C54:C55"/>
    <mergeCell ref="C56:C57"/>
    <mergeCell ref="C58:C59"/>
    <mergeCell ref="C60:C61"/>
    <mergeCell ref="B78:B79"/>
    <mergeCell ref="B80:B81"/>
    <mergeCell ref="C10:C11"/>
    <mergeCell ref="C28:C29"/>
    <mergeCell ref="C30:C31"/>
    <mergeCell ref="C32:C33"/>
    <mergeCell ref="C34:C35"/>
    <mergeCell ref="C36:C37"/>
    <mergeCell ref="B62:B63"/>
    <mergeCell ref="B64:B65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B42:B43"/>
    <mergeCell ref="B44:B45"/>
    <mergeCell ref="B46:B47"/>
    <mergeCell ref="B48:B49"/>
    <mergeCell ref="B66:B67"/>
    <mergeCell ref="B68:B69"/>
    <mergeCell ref="B70:B71"/>
    <mergeCell ref="B72:B73"/>
    <mergeCell ref="B50:B51"/>
    <mergeCell ref="B52:B53"/>
    <mergeCell ref="B54:B55"/>
    <mergeCell ref="B56:B57"/>
    <mergeCell ref="B58:B59"/>
    <mergeCell ref="B60:B61"/>
    <mergeCell ref="C87:J87"/>
    <mergeCell ref="AK5:AM5"/>
    <mergeCell ref="B8:K8"/>
    <mergeCell ref="B10:B11"/>
    <mergeCell ref="S7:S8"/>
    <mergeCell ref="T7:T8"/>
    <mergeCell ref="L6:Q6"/>
    <mergeCell ref="R7:R8"/>
    <mergeCell ref="R10:R13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</mergeCells>
  <pageMargins left="0.51" right="0" top="0.49" bottom="0" header="0.64" footer="0"/>
  <pageSetup paperSize="512" scale="59" fitToHeight="2" orientation="portrait" r:id="rId1"/>
  <headerFooter alignWithMargins="0">
    <oddFooter>&amp;L&amp;F   ALARC Remote Sensing&amp;R&amp;D</oddFooter>
  </headerFooter>
  <rowBreaks count="1" manualBreakCount="1">
    <brk id="37" max="17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27F7-0CD1-4558-90EE-5DF1A326F026}">
  <dimension ref="A1:BZ95"/>
  <sheetViews>
    <sheetView zoomScaleNormal="100" workbookViewId="0"/>
  </sheetViews>
  <sheetFormatPr defaultRowHeight="12.75" x14ac:dyDescent="0.2"/>
  <cols>
    <col min="1" max="1" width="9.140625" style="1"/>
    <col min="2" max="2" width="6.28515625" style="1" customWidth="1"/>
    <col min="3" max="3" width="14.7109375" style="1" customWidth="1"/>
    <col min="4" max="8" width="5.28515625" style="1" hidden="1" customWidth="1"/>
    <col min="9" max="9" width="7" style="1" hidden="1" customWidth="1"/>
    <col min="10" max="17" width="12.7109375" style="1" customWidth="1"/>
    <col min="18" max="18" width="36.140625" style="1" customWidth="1"/>
    <col min="19" max="20" width="10.85546875" style="1" bestFit="1" customWidth="1"/>
    <col min="21" max="26" width="9.140625" style="1"/>
    <col min="27" max="27" width="7.5703125" style="1" customWidth="1"/>
    <col min="28" max="37" width="7.7109375" style="1" customWidth="1"/>
    <col min="38" max="16384" width="9.140625" style="1"/>
  </cols>
  <sheetData>
    <row r="1" spans="1:78" ht="15" customHeight="1" x14ac:dyDescent="0.25">
      <c r="A1" s="41" t="s">
        <v>280</v>
      </c>
    </row>
    <row r="2" spans="1:78" ht="20.100000000000001" customHeight="1" thickBot="1" x14ac:dyDescent="0.3">
      <c r="A2" s="41"/>
      <c r="M2" s="40"/>
      <c r="P2" s="8" t="s">
        <v>279</v>
      </c>
      <c r="Q2" s="39">
        <v>39332</v>
      </c>
      <c r="R2" s="54"/>
    </row>
    <row r="3" spans="1:78" ht="20.100000000000001" customHeight="1" thickBot="1" x14ac:dyDescent="0.25">
      <c r="B3" s="1" t="s">
        <v>278</v>
      </c>
      <c r="D3" s="38"/>
      <c r="E3" s="38"/>
      <c r="F3" s="38"/>
      <c r="G3" s="38"/>
      <c r="H3" s="38"/>
      <c r="I3" s="38"/>
      <c r="J3" s="38" t="s">
        <v>306</v>
      </c>
      <c r="K3" s="38"/>
      <c r="L3" s="38"/>
      <c r="M3" s="38"/>
      <c r="N3" s="38"/>
      <c r="O3" s="38"/>
      <c r="P3" s="8" t="s">
        <v>276</v>
      </c>
      <c r="Q3" s="36">
        <v>250</v>
      </c>
      <c r="R3" s="53"/>
    </row>
    <row r="4" spans="1:78" ht="20.100000000000001" customHeight="1" thickBot="1" x14ac:dyDescent="0.25">
      <c r="B4" s="38" t="s">
        <v>305</v>
      </c>
      <c r="C4" s="38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8" t="s">
        <v>274</v>
      </c>
      <c r="Q4" s="36" t="s">
        <v>286</v>
      </c>
      <c r="R4" s="53"/>
    </row>
    <row r="5" spans="1:78" ht="18" x14ac:dyDescent="0.2">
      <c r="AJ5" s="35"/>
      <c r="AK5" s="99"/>
      <c r="AL5" s="99"/>
      <c r="AM5" s="99"/>
    </row>
    <row r="6" spans="1:78" ht="18" x14ac:dyDescent="0.25">
      <c r="L6" s="109" t="s">
        <v>272</v>
      </c>
      <c r="M6" s="110"/>
      <c r="N6" s="110"/>
      <c r="O6" s="110"/>
      <c r="P6" s="110"/>
      <c r="Q6" s="111"/>
      <c r="R6" s="52"/>
      <c r="AJ6" s="35"/>
      <c r="AK6" s="34"/>
      <c r="AL6" s="34"/>
      <c r="AM6" s="34"/>
    </row>
    <row r="7" spans="1:78" ht="25.5" customHeight="1" x14ac:dyDescent="0.2">
      <c r="B7" s="32" t="s">
        <v>256</v>
      </c>
      <c r="C7" s="33" t="s">
        <v>255</v>
      </c>
      <c r="D7" s="33" t="s">
        <v>271</v>
      </c>
      <c r="E7" s="32" t="s">
        <v>270</v>
      </c>
      <c r="F7" s="33" t="s">
        <v>269</v>
      </c>
      <c r="G7" s="32" t="s">
        <v>268</v>
      </c>
      <c r="H7" s="32" t="s">
        <v>250</v>
      </c>
      <c r="I7" s="32" t="s">
        <v>267</v>
      </c>
      <c r="J7" s="32" t="s">
        <v>248</v>
      </c>
      <c r="K7" s="31" t="s">
        <v>266</v>
      </c>
      <c r="L7" s="30" t="s">
        <v>265</v>
      </c>
      <c r="M7" s="30" t="s">
        <v>264</v>
      </c>
      <c r="N7" s="30" t="s">
        <v>304</v>
      </c>
      <c r="O7" s="30" t="s">
        <v>263</v>
      </c>
      <c r="P7" s="30" t="s">
        <v>262</v>
      </c>
      <c r="Q7" s="30" t="s">
        <v>261</v>
      </c>
      <c r="R7" s="113" t="s">
        <v>285</v>
      </c>
      <c r="S7" s="105" t="s">
        <v>260</v>
      </c>
      <c r="T7" s="113" t="s">
        <v>259</v>
      </c>
      <c r="AJ7" s="29"/>
      <c r="AK7" s="2"/>
      <c r="AL7" s="2"/>
    </row>
    <row r="8" spans="1:78" ht="15.75" customHeight="1" thickBot="1" x14ac:dyDescent="0.25">
      <c r="B8" s="100" t="s">
        <v>258</v>
      </c>
      <c r="C8" s="101"/>
      <c r="D8" s="101"/>
      <c r="E8" s="101"/>
      <c r="F8" s="101"/>
      <c r="G8" s="101"/>
      <c r="H8" s="101"/>
      <c r="I8" s="101"/>
      <c r="J8" s="101"/>
      <c r="K8" s="102"/>
      <c r="L8" s="27" t="s">
        <v>257</v>
      </c>
      <c r="M8" s="27" t="s">
        <v>257</v>
      </c>
      <c r="N8" s="28" t="s">
        <v>257</v>
      </c>
      <c r="O8" s="27" t="s">
        <v>257</v>
      </c>
      <c r="P8" s="27" t="s">
        <v>257</v>
      </c>
      <c r="Q8" s="27" t="s">
        <v>257</v>
      </c>
      <c r="R8" s="114"/>
      <c r="S8" s="106"/>
      <c r="T8" s="121"/>
      <c r="AK8" s="10"/>
      <c r="AL8" s="10"/>
      <c r="AM8" s="10"/>
    </row>
    <row r="9" spans="1:78" ht="15.75" hidden="1" customHeight="1" x14ac:dyDescent="0.2">
      <c r="B9" s="24" t="s">
        <v>256</v>
      </c>
      <c r="C9" s="26" t="s">
        <v>255</v>
      </c>
      <c r="D9" s="26" t="s">
        <v>254</v>
      </c>
      <c r="E9" s="24" t="s">
        <v>253</v>
      </c>
      <c r="F9" s="26" t="s">
        <v>252</v>
      </c>
      <c r="G9" s="24" t="s">
        <v>251</v>
      </c>
      <c r="H9" s="24" t="s">
        <v>250</v>
      </c>
      <c r="I9" s="24" t="s">
        <v>249</v>
      </c>
      <c r="J9" s="23" t="s">
        <v>248</v>
      </c>
      <c r="K9" s="23" t="s">
        <v>247</v>
      </c>
      <c r="L9" s="25" t="s">
        <v>246</v>
      </c>
      <c r="M9" s="25" t="s">
        <v>245</v>
      </c>
      <c r="N9" s="25" t="s">
        <v>244</v>
      </c>
      <c r="O9" s="25" t="s">
        <v>243</v>
      </c>
      <c r="P9" s="25" t="s">
        <v>242</v>
      </c>
      <c r="Q9" s="25" t="s">
        <v>241</v>
      </c>
      <c r="R9" s="51"/>
      <c r="S9" s="24" t="s">
        <v>240</v>
      </c>
      <c r="T9" s="23" t="s">
        <v>239</v>
      </c>
      <c r="AK9" s="10"/>
      <c r="AL9" s="10"/>
      <c r="AM9" s="10"/>
    </row>
    <row r="10" spans="1:78" ht="24" customHeight="1" x14ac:dyDescent="0.2">
      <c r="B10" s="120">
        <v>2</v>
      </c>
      <c r="C10" s="113" t="s">
        <v>308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115">
        <v>1225</v>
      </c>
      <c r="K10" s="30" t="s">
        <v>234</v>
      </c>
      <c r="L10" s="84" t="s">
        <v>297</v>
      </c>
      <c r="M10" s="84" t="s">
        <v>297</v>
      </c>
      <c r="N10" s="84" t="s">
        <v>297</v>
      </c>
      <c r="O10" s="84" t="s">
        <v>297</v>
      </c>
      <c r="P10" s="84" t="s">
        <v>297</v>
      </c>
      <c r="Q10" s="89" t="s">
        <v>299</v>
      </c>
      <c r="R10" s="146" t="s">
        <v>284</v>
      </c>
      <c r="S10" s="43" t="e">
        <f t="shared" ref="S10:S41" si="0">AVERAGE(L10:Q10)</f>
        <v>#DIV/0!</v>
      </c>
      <c r="T10" s="43" t="e">
        <f t="shared" ref="T10:T41" si="1">STDEV(L10:Q10)/SQRT(6)</f>
        <v>#DIV/0!</v>
      </c>
      <c r="U10" s="7"/>
      <c r="V10" s="7"/>
      <c r="W10" s="7"/>
      <c r="X10" s="7"/>
      <c r="Y10" s="7"/>
      <c r="AK10" s="10"/>
      <c r="AL10" s="10"/>
      <c r="AM10" s="9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</row>
    <row r="11" spans="1:78" ht="24" customHeight="1" thickBot="1" x14ac:dyDescent="0.25">
      <c r="B11" s="116"/>
      <c r="C11" s="114"/>
      <c r="D11" s="12" t="e">
        <v>#N/A</v>
      </c>
      <c r="E11" s="12" t="e">
        <v>#N/A</v>
      </c>
      <c r="F11" s="12" t="e">
        <v>#N/A</v>
      </c>
      <c r="G11" s="12" t="e">
        <v>#N/A</v>
      </c>
      <c r="H11" s="12" t="e">
        <v>#N/A</v>
      </c>
      <c r="I11" s="12" t="e">
        <v>#N/A</v>
      </c>
      <c r="J11" s="116"/>
      <c r="K11" s="83" t="s">
        <v>233</v>
      </c>
      <c r="L11" s="82">
        <v>86</v>
      </c>
      <c r="M11" s="82">
        <v>100</v>
      </c>
      <c r="N11" s="82">
        <v>89</v>
      </c>
      <c r="O11" s="82">
        <v>93</v>
      </c>
      <c r="P11" s="82">
        <v>101</v>
      </c>
      <c r="Q11" s="82">
        <v>96</v>
      </c>
      <c r="R11" s="147"/>
      <c r="S11" s="42">
        <f t="shared" si="0"/>
        <v>94.166666666666671</v>
      </c>
      <c r="T11" s="42">
        <f t="shared" si="1"/>
        <v>2.4415386769639982</v>
      </c>
      <c r="U11" s="7"/>
      <c r="V11" s="7"/>
      <c r="W11" s="7"/>
      <c r="X11" s="7"/>
      <c r="Y11" s="7"/>
      <c r="AK11" s="10"/>
      <c r="AL11" s="10"/>
      <c r="AM11" s="9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</row>
    <row r="12" spans="1:78" ht="24" customHeight="1" x14ac:dyDescent="0.2">
      <c r="B12" s="120">
        <v>4</v>
      </c>
      <c r="C12" s="113" t="s">
        <v>308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117"/>
      <c r="K12" s="80" t="s">
        <v>234</v>
      </c>
      <c r="L12" s="84" t="s">
        <v>297</v>
      </c>
      <c r="M12" s="84" t="s">
        <v>297</v>
      </c>
      <c r="N12" s="84" t="s">
        <v>297</v>
      </c>
      <c r="O12" s="84" t="s">
        <v>297</v>
      </c>
      <c r="P12" s="84" t="s">
        <v>297</v>
      </c>
      <c r="Q12" s="84" t="s">
        <v>297</v>
      </c>
      <c r="R12" s="147"/>
      <c r="S12" s="43" t="e">
        <f t="shared" si="0"/>
        <v>#DIV/0!</v>
      </c>
      <c r="T12" s="43" t="e">
        <f t="shared" si="1"/>
        <v>#DIV/0!</v>
      </c>
      <c r="U12" s="7"/>
      <c r="V12" s="20"/>
      <c r="W12" s="7"/>
      <c r="X12" s="19"/>
      <c r="Y12" s="7"/>
      <c r="AK12" s="10"/>
      <c r="AL12" s="10"/>
      <c r="AM12" s="10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</row>
    <row r="13" spans="1:78" ht="24" customHeight="1" thickBot="1" x14ac:dyDescent="0.25">
      <c r="B13" s="116"/>
      <c r="C13" s="114"/>
      <c r="D13" s="12" t="e">
        <v>#N/A</v>
      </c>
      <c r="E13" s="12" t="e">
        <v>#N/A</v>
      </c>
      <c r="F13" s="12" t="e">
        <v>#N/A</v>
      </c>
      <c r="G13" s="12" t="e">
        <v>#N/A</v>
      </c>
      <c r="H13" s="12" t="e">
        <v>#N/A</v>
      </c>
      <c r="I13" s="12" t="e">
        <v>#N/A</v>
      </c>
      <c r="J13" s="116"/>
      <c r="K13" s="83" t="s">
        <v>233</v>
      </c>
      <c r="L13" s="98">
        <v>118</v>
      </c>
      <c r="M13" s="82">
        <v>125</v>
      </c>
      <c r="N13" s="82">
        <v>126</v>
      </c>
      <c r="O13" s="82">
        <v>137</v>
      </c>
      <c r="P13" s="82">
        <v>123</v>
      </c>
      <c r="Q13" s="82">
        <v>121</v>
      </c>
      <c r="R13" s="148"/>
      <c r="S13" s="42">
        <f t="shared" si="0"/>
        <v>125</v>
      </c>
      <c r="T13" s="42">
        <f t="shared" si="1"/>
        <v>2.6708300832013507</v>
      </c>
      <c r="U13" s="7"/>
      <c r="V13" s="7"/>
      <c r="W13" s="7"/>
      <c r="X13" s="7"/>
      <c r="Y13" s="7"/>
      <c r="AK13" s="10"/>
      <c r="AL13" s="10"/>
      <c r="AM13" s="9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</row>
    <row r="14" spans="1:78" ht="24" customHeight="1" x14ac:dyDescent="0.2">
      <c r="B14" s="120">
        <v>5</v>
      </c>
      <c r="C14" s="113" t="s">
        <v>308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117"/>
      <c r="K14" s="30" t="s">
        <v>234</v>
      </c>
      <c r="L14" s="84" t="s">
        <v>297</v>
      </c>
      <c r="M14" s="84" t="s">
        <v>297</v>
      </c>
      <c r="N14" s="84" t="s">
        <v>297</v>
      </c>
      <c r="O14" s="84" t="s">
        <v>297</v>
      </c>
      <c r="P14" s="84" t="s">
        <v>297</v>
      </c>
      <c r="Q14" s="84" t="s">
        <v>297</v>
      </c>
      <c r="R14" s="143"/>
      <c r="S14" s="43" t="e">
        <f t="shared" si="0"/>
        <v>#DIV/0!</v>
      </c>
      <c r="T14" s="43" t="e">
        <f t="shared" si="1"/>
        <v>#DIV/0!</v>
      </c>
      <c r="U14" s="7"/>
      <c r="V14" s="7"/>
      <c r="W14" s="7"/>
      <c r="X14" s="7"/>
      <c r="Y14" s="7"/>
      <c r="AK14" s="10"/>
      <c r="AL14" s="10"/>
      <c r="AM14" s="10"/>
    </row>
    <row r="15" spans="1:78" ht="24" customHeight="1" thickBot="1" x14ac:dyDescent="0.25">
      <c r="B15" s="116"/>
      <c r="C15" s="114"/>
      <c r="D15" s="12" t="e">
        <v>#N/A</v>
      </c>
      <c r="E15" s="12" t="e">
        <v>#N/A</v>
      </c>
      <c r="F15" s="12" t="e">
        <v>#N/A</v>
      </c>
      <c r="G15" s="12" t="e">
        <v>#N/A</v>
      </c>
      <c r="H15" s="12" t="e">
        <v>#N/A</v>
      </c>
      <c r="I15" s="12" t="e">
        <v>#N/A</v>
      </c>
      <c r="J15" s="116"/>
      <c r="K15" s="83" t="s">
        <v>233</v>
      </c>
      <c r="L15" s="82">
        <v>122</v>
      </c>
      <c r="M15" s="82">
        <v>108</v>
      </c>
      <c r="N15" s="82">
        <v>134</v>
      </c>
      <c r="O15" s="82">
        <v>129</v>
      </c>
      <c r="P15" s="82">
        <v>119</v>
      </c>
      <c r="Q15" s="82">
        <v>129</v>
      </c>
      <c r="R15" s="145"/>
      <c r="S15" s="42">
        <f t="shared" si="0"/>
        <v>123.5</v>
      </c>
      <c r="T15" s="42">
        <f t="shared" si="1"/>
        <v>3.801315561749643</v>
      </c>
      <c r="U15" s="7"/>
      <c r="V15" s="7"/>
      <c r="W15" s="7"/>
      <c r="X15" s="7"/>
      <c r="Y15" s="7"/>
      <c r="AK15" s="10"/>
      <c r="AL15" s="10"/>
      <c r="AM15" s="9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</row>
    <row r="16" spans="1:78" ht="24" customHeight="1" x14ac:dyDescent="0.2">
      <c r="B16" s="120">
        <v>6</v>
      </c>
      <c r="C16" s="113" t="s">
        <v>308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117"/>
      <c r="K16" s="30" t="s">
        <v>234</v>
      </c>
      <c r="L16" s="84" t="s">
        <v>297</v>
      </c>
      <c r="M16" s="84" t="s">
        <v>297</v>
      </c>
      <c r="N16" s="89" t="s">
        <v>299</v>
      </c>
      <c r="O16" s="89" t="s">
        <v>299</v>
      </c>
      <c r="P16" s="90">
        <v>67</v>
      </c>
      <c r="Q16" s="89" t="s">
        <v>299</v>
      </c>
      <c r="R16" s="143"/>
      <c r="S16" s="43">
        <f t="shared" si="0"/>
        <v>67</v>
      </c>
      <c r="T16" s="43" t="e">
        <f t="shared" si="1"/>
        <v>#DIV/0!</v>
      </c>
      <c r="U16" s="7"/>
      <c r="V16" s="7"/>
      <c r="W16" s="7"/>
      <c r="X16" s="7"/>
      <c r="Y16" s="7"/>
    </row>
    <row r="17" spans="2:78" ht="24" customHeight="1" thickBot="1" x14ac:dyDescent="0.25">
      <c r="B17" s="116"/>
      <c r="C17" s="114"/>
      <c r="D17" s="12" t="e">
        <v>#N/A</v>
      </c>
      <c r="E17" s="12" t="e">
        <v>#N/A</v>
      </c>
      <c r="F17" s="12" t="e">
        <v>#N/A</v>
      </c>
      <c r="G17" s="12" t="e">
        <v>#N/A</v>
      </c>
      <c r="H17" s="12" t="e">
        <v>#N/A</v>
      </c>
      <c r="I17" s="12" t="e">
        <v>#N/A</v>
      </c>
      <c r="J17" s="116"/>
      <c r="K17" s="83" t="s">
        <v>233</v>
      </c>
      <c r="L17" s="82">
        <v>88</v>
      </c>
      <c r="M17" s="82">
        <v>88</v>
      </c>
      <c r="N17" s="82">
        <v>99</v>
      </c>
      <c r="O17" s="82">
        <v>84</v>
      </c>
      <c r="P17" s="82">
        <v>80</v>
      </c>
      <c r="Q17" s="82">
        <v>103</v>
      </c>
      <c r="R17" s="145"/>
      <c r="S17" s="42">
        <f t="shared" si="0"/>
        <v>90.333333333333329</v>
      </c>
      <c r="T17" s="42">
        <f t="shared" si="1"/>
        <v>3.6209268304000726</v>
      </c>
      <c r="U17" s="7"/>
      <c r="V17" s="7"/>
      <c r="W17" s="7"/>
      <c r="X17" s="7"/>
      <c r="Y17" s="7"/>
      <c r="AK17" s="10"/>
      <c r="AL17" s="10"/>
      <c r="AM17" s="9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</row>
    <row r="18" spans="2:78" ht="24" customHeight="1" x14ac:dyDescent="0.2">
      <c r="B18" s="120">
        <v>7</v>
      </c>
      <c r="C18" s="113" t="s">
        <v>308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117"/>
      <c r="K18" s="30" t="s">
        <v>234</v>
      </c>
      <c r="L18" s="89" t="s">
        <v>299</v>
      </c>
      <c r="M18" s="97">
        <v>69</v>
      </c>
      <c r="N18" s="89" t="s">
        <v>299</v>
      </c>
      <c r="O18" s="84" t="s">
        <v>297</v>
      </c>
      <c r="P18" s="84" t="s">
        <v>297</v>
      </c>
      <c r="Q18" s="89" t="s">
        <v>299</v>
      </c>
      <c r="R18" s="143"/>
      <c r="S18" s="43">
        <f t="shared" si="0"/>
        <v>69</v>
      </c>
      <c r="T18" s="43" t="e">
        <f t="shared" si="1"/>
        <v>#DIV/0!</v>
      </c>
      <c r="U18" s="7"/>
      <c r="V18" s="7"/>
      <c r="W18" s="7"/>
      <c r="X18" s="7"/>
      <c r="Y18" s="7"/>
      <c r="AK18" s="10"/>
      <c r="AL18" s="10"/>
      <c r="AM18" s="10"/>
    </row>
    <row r="19" spans="2:78" ht="24" customHeight="1" thickBot="1" x14ac:dyDescent="0.25">
      <c r="B19" s="116"/>
      <c r="C19" s="114"/>
      <c r="D19" s="12" t="e">
        <v>#N/A</v>
      </c>
      <c r="E19" s="12" t="e">
        <v>#N/A</v>
      </c>
      <c r="F19" s="12" t="e">
        <v>#N/A</v>
      </c>
      <c r="G19" s="12" t="e">
        <v>#N/A</v>
      </c>
      <c r="H19" s="12" t="e">
        <v>#N/A</v>
      </c>
      <c r="I19" s="12" t="e">
        <v>#N/A</v>
      </c>
      <c r="J19" s="116"/>
      <c r="K19" s="83" t="s">
        <v>233</v>
      </c>
      <c r="L19" s="82">
        <v>102</v>
      </c>
      <c r="M19" s="82">
        <v>88</v>
      </c>
      <c r="N19" s="82">
        <v>92</v>
      </c>
      <c r="O19" s="82">
        <v>94</v>
      </c>
      <c r="P19" s="82">
        <v>105</v>
      </c>
      <c r="Q19" s="82">
        <v>86</v>
      </c>
      <c r="R19" s="145"/>
      <c r="S19" s="42">
        <f t="shared" si="0"/>
        <v>94.5</v>
      </c>
      <c r="T19" s="42">
        <f t="shared" si="1"/>
        <v>3.0956959368344519</v>
      </c>
      <c r="U19" s="7"/>
      <c r="V19" s="7"/>
      <c r="W19" s="7"/>
      <c r="X19" s="7"/>
      <c r="Y19" s="7"/>
      <c r="AK19" s="10"/>
      <c r="AL19" s="10"/>
      <c r="AM19" s="9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</row>
    <row r="20" spans="2:78" ht="24" customHeight="1" x14ac:dyDescent="0.2">
      <c r="B20" s="120">
        <v>8</v>
      </c>
      <c r="C20" s="113" t="s">
        <v>308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117"/>
      <c r="K20" s="30" t="s">
        <v>234</v>
      </c>
      <c r="L20" s="84" t="s">
        <v>297</v>
      </c>
      <c r="M20" s="84" t="s">
        <v>297</v>
      </c>
      <c r="N20" s="84" t="s">
        <v>297</v>
      </c>
      <c r="O20" s="84" t="s">
        <v>297</v>
      </c>
      <c r="P20" s="92" t="s">
        <v>297</v>
      </c>
      <c r="Q20" s="84" t="s">
        <v>297</v>
      </c>
      <c r="R20" s="143"/>
      <c r="S20" s="43" t="e">
        <f t="shared" si="0"/>
        <v>#DIV/0!</v>
      </c>
      <c r="T20" s="43" t="e">
        <f t="shared" si="1"/>
        <v>#DIV/0!</v>
      </c>
      <c r="U20" s="7"/>
      <c r="V20" s="7"/>
      <c r="W20" s="7"/>
      <c r="X20" s="7"/>
      <c r="Y20" s="7"/>
      <c r="AK20" s="10"/>
      <c r="AL20" s="10"/>
      <c r="AM20" s="10"/>
    </row>
    <row r="21" spans="2:78" ht="24" customHeight="1" thickBot="1" x14ac:dyDescent="0.25">
      <c r="B21" s="116"/>
      <c r="C21" s="114"/>
      <c r="D21" s="12" t="e">
        <v>#N/A</v>
      </c>
      <c r="E21" s="12" t="e">
        <v>#N/A</v>
      </c>
      <c r="F21" s="12" t="e">
        <v>#N/A</v>
      </c>
      <c r="G21" s="12" t="e">
        <v>#N/A</v>
      </c>
      <c r="H21" s="12" t="e">
        <v>#N/A</v>
      </c>
      <c r="I21" s="12" t="e">
        <v>#N/A</v>
      </c>
      <c r="J21" s="116"/>
      <c r="K21" s="83" t="s">
        <v>233</v>
      </c>
      <c r="L21" s="82">
        <v>107</v>
      </c>
      <c r="M21" s="82">
        <v>105</v>
      </c>
      <c r="N21" s="82">
        <v>107</v>
      </c>
      <c r="O21" s="82">
        <v>111</v>
      </c>
      <c r="P21" s="95">
        <v>109</v>
      </c>
      <c r="Q21" s="82">
        <v>108</v>
      </c>
      <c r="R21" s="145"/>
      <c r="S21" s="42">
        <f t="shared" si="0"/>
        <v>107.83333333333333</v>
      </c>
      <c r="T21" s="42">
        <f t="shared" si="1"/>
        <v>0.83333333333333326</v>
      </c>
      <c r="U21" s="7"/>
      <c r="V21" s="7"/>
      <c r="W21" s="7"/>
      <c r="X21" s="7"/>
      <c r="Y21" s="7"/>
      <c r="AK21" s="10"/>
      <c r="AL21" s="10"/>
      <c r="AM21" s="9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</row>
    <row r="22" spans="2:78" ht="24" customHeight="1" x14ac:dyDescent="0.2">
      <c r="B22" s="120">
        <v>18</v>
      </c>
      <c r="C22" s="113" t="s">
        <v>238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118">
        <v>1235</v>
      </c>
      <c r="K22" s="30" t="s">
        <v>234</v>
      </c>
      <c r="L22" s="84" t="s">
        <v>297</v>
      </c>
      <c r="M22" s="84" t="s">
        <v>297</v>
      </c>
      <c r="N22" s="84" t="s">
        <v>297</v>
      </c>
      <c r="O22" s="84" t="s">
        <v>297</v>
      </c>
      <c r="P22" s="84" t="s">
        <v>297</v>
      </c>
      <c r="Q22" s="84" t="s">
        <v>297</v>
      </c>
      <c r="R22" s="143"/>
      <c r="S22" s="43" t="e">
        <f t="shared" si="0"/>
        <v>#DIV/0!</v>
      </c>
      <c r="T22" s="43" t="e">
        <f t="shared" si="1"/>
        <v>#DIV/0!</v>
      </c>
      <c r="U22" s="7"/>
      <c r="V22" s="7"/>
      <c r="W22" s="7"/>
      <c r="X22" s="7"/>
      <c r="Y22" s="7"/>
      <c r="AK22" s="10"/>
      <c r="AL22" s="10"/>
      <c r="AM22" s="10"/>
    </row>
    <row r="23" spans="2:78" ht="24" customHeight="1" thickBot="1" x14ac:dyDescent="0.25">
      <c r="B23" s="116"/>
      <c r="C23" s="114"/>
      <c r="D23" s="12" t="e">
        <v>#N/A</v>
      </c>
      <c r="E23" s="12" t="e">
        <v>#N/A</v>
      </c>
      <c r="F23" s="12" t="e">
        <v>#N/A</v>
      </c>
      <c r="G23" s="12" t="e">
        <v>#N/A</v>
      </c>
      <c r="H23" s="12" t="e">
        <v>#N/A</v>
      </c>
      <c r="I23" s="12" t="e">
        <v>#N/A</v>
      </c>
      <c r="J23" s="116"/>
      <c r="K23" s="83" t="s">
        <v>233</v>
      </c>
      <c r="L23" s="82">
        <v>110</v>
      </c>
      <c r="M23" s="82">
        <v>101</v>
      </c>
      <c r="N23" s="82">
        <v>99</v>
      </c>
      <c r="O23" s="82">
        <v>97</v>
      </c>
      <c r="P23" s="82">
        <v>100</v>
      </c>
      <c r="Q23" s="82">
        <v>91</v>
      </c>
      <c r="R23" s="145"/>
      <c r="S23" s="42">
        <f t="shared" si="0"/>
        <v>99.666666666666671</v>
      </c>
      <c r="T23" s="42">
        <f t="shared" si="1"/>
        <v>2.5254262566501087</v>
      </c>
      <c r="U23" s="7"/>
      <c r="V23" s="7"/>
      <c r="W23" s="7"/>
      <c r="X23" s="7"/>
      <c r="Y23" s="7"/>
      <c r="AK23" s="10"/>
      <c r="AL23" s="10"/>
      <c r="AM23" s="9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</row>
    <row r="24" spans="2:78" ht="24" customHeight="1" x14ac:dyDescent="0.2">
      <c r="B24" s="120">
        <v>17</v>
      </c>
      <c r="C24" s="113" t="s">
        <v>309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117"/>
      <c r="K24" s="30" t="s">
        <v>234</v>
      </c>
      <c r="L24" s="84" t="s">
        <v>297</v>
      </c>
      <c r="M24" s="84" t="s">
        <v>297</v>
      </c>
      <c r="N24" s="84" t="s">
        <v>297</v>
      </c>
      <c r="O24" s="84" t="s">
        <v>297</v>
      </c>
      <c r="P24" s="84" t="s">
        <v>297</v>
      </c>
      <c r="Q24" s="84" t="s">
        <v>297</v>
      </c>
      <c r="R24" s="143"/>
      <c r="S24" s="43" t="e">
        <f t="shared" si="0"/>
        <v>#DIV/0!</v>
      </c>
      <c r="T24" s="43" t="e">
        <f t="shared" si="1"/>
        <v>#DIV/0!</v>
      </c>
      <c r="U24" s="7"/>
      <c r="V24" s="7"/>
      <c r="W24" s="7"/>
      <c r="X24" s="7"/>
      <c r="Y24" s="7"/>
      <c r="AK24" s="2"/>
      <c r="AL24" s="2"/>
      <c r="AM24" s="2"/>
    </row>
    <row r="25" spans="2:78" ht="24" customHeight="1" thickBot="1" x14ac:dyDescent="0.25">
      <c r="B25" s="116"/>
      <c r="C25" s="114"/>
      <c r="D25" s="12" t="e">
        <v>#N/A</v>
      </c>
      <c r="E25" s="12" t="e">
        <v>#N/A</v>
      </c>
      <c r="F25" s="12" t="e">
        <v>#N/A</v>
      </c>
      <c r="G25" s="12" t="e">
        <v>#N/A</v>
      </c>
      <c r="H25" s="12" t="e">
        <v>#N/A</v>
      </c>
      <c r="I25" s="12" t="e">
        <v>#N/A</v>
      </c>
      <c r="J25" s="116"/>
      <c r="K25" s="83" t="s">
        <v>233</v>
      </c>
      <c r="L25" s="82">
        <v>111</v>
      </c>
      <c r="M25" s="82">
        <v>127</v>
      </c>
      <c r="N25" s="82">
        <v>114</v>
      </c>
      <c r="O25" s="82">
        <v>126</v>
      </c>
      <c r="P25" s="82">
        <v>123</v>
      </c>
      <c r="Q25" s="82">
        <v>119</v>
      </c>
      <c r="R25" s="145"/>
      <c r="S25" s="42">
        <f t="shared" si="0"/>
        <v>120</v>
      </c>
      <c r="T25" s="42">
        <f t="shared" si="1"/>
        <v>2.6583202716502514</v>
      </c>
      <c r="U25" s="7"/>
      <c r="V25" s="7"/>
      <c r="W25" s="7"/>
      <c r="X25" s="7"/>
      <c r="Y25" s="7"/>
      <c r="AK25" s="10"/>
      <c r="AL25" s="10"/>
      <c r="AM25" s="9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</row>
    <row r="26" spans="2:78" ht="24" customHeight="1" x14ac:dyDescent="0.2">
      <c r="B26" s="122">
        <v>16</v>
      </c>
      <c r="C26" s="113" t="s">
        <v>310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117"/>
      <c r="K26" s="30" t="s">
        <v>234</v>
      </c>
      <c r="L26" s="84" t="s">
        <v>297</v>
      </c>
      <c r="M26" s="84" t="s">
        <v>297</v>
      </c>
      <c r="N26" s="84" t="s">
        <v>297</v>
      </c>
      <c r="O26" s="84" t="s">
        <v>297</v>
      </c>
      <c r="P26" s="84" t="s">
        <v>297</v>
      </c>
      <c r="Q26" s="84" t="s">
        <v>297</v>
      </c>
      <c r="R26" s="143"/>
      <c r="S26" s="43" t="e">
        <f t="shared" si="0"/>
        <v>#DIV/0!</v>
      </c>
      <c r="T26" s="43" t="e">
        <f t="shared" si="1"/>
        <v>#DIV/0!</v>
      </c>
      <c r="U26" s="7"/>
      <c r="V26" s="7"/>
      <c r="W26" s="7"/>
      <c r="X26" s="7"/>
      <c r="Y26" s="7"/>
      <c r="AK26" s="10"/>
      <c r="AL26" s="10"/>
      <c r="AM26" s="10"/>
    </row>
    <row r="27" spans="2:78" ht="24" customHeight="1" thickBot="1" x14ac:dyDescent="0.25">
      <c r="B27" s="116"/>
      <c r="C27" s="114"/>
      <c r="D27" s="12" t="e">
        <v>#N/A</v>
      </c>
      <c r="E27" s="12" t="e">
        <v>#N/A</v>
      </c>
      <c r="F27" s="12" t="e">
        <v>#N/A</v>
      </c>
      <c r="G27" s="12" t="e">
        <v>#N/A</v>
      </c>
      <c r="H27" s="12" t="e">
        <v>#N/A</v>
      </c>
      <c r="I27" s="12" t="e">
        <v>#N/A</v>
      </c>
      <c r="J27" s="116"/>
      <c r="K27" s="83" t="s">
        <v>233</v>
      </c>
      <c r="L27" s="82">
        <v>97</v>
      </c>
      <c r="M27" s="82">
        <v>98</v>
      </c>
      <c r="N27" s="82">
        <v>107</v>
      </c>
      <c r="O27" s="82">
        <v>99</v>
      </c>
      <c r="P27" s="82">
        <v>98</v>
      </c>
      <c r="Q27" s="82">
        <v>100</v>
      </c>
      <c r="R27" s="145"/>
      <c r="S27" s="42">
        <f t="shared" si="0"/>
        <v>99.833333333333329</v>
      </c>
      <c r="T27" s="42">
        <f t="shared" si="1"/>
        <v>1.4925742118158742</v>
      </c>
      <c r="U27" s="7"/>
      <c r="V27" s="7"/>
      <c r="W27" s="7"/>
      <c r="X27" s="7"/>
      <c r="Y27" s="7"/>
      <c r="AK27" s="10"/>
      <c r="AL27" s="10"/>
      <c r="AM27" s="9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</row>
    <row r="28" spans="2:78" ht="24" customHeight="1" x14ac:dyDescent="0.2">
      <c r="B28" s="122">
        <v>15</v>
      </c>
      <c r="C28" s="113" t="s">
        <v>311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117"/>
      <c r="K28" s="30" t="s">
        <v>234</v>
      </c>
      <c r="L28" s="84" t="s">
        <v>297</v>
      </c>
      <c r="M28" s="84" t="s">
        <v>297</v>
      </c>
      <c r="N28" s="84" t="s">
        <v>297</v>
      </c>
      <c r="O28" s="84" t="s">
        <v>297</v>
      </c>
      <c r="P28" s="84" t="s">
        <v>297</v>
      </c>
      <c r="Q28" s="84" t="s">
        <v>297</v>
      </c>
      <c r="R28" s="143"/>
      <c r="S28" s="43" t="e">
        <f t="shared" si="0"/>
        <v>#DIV/0!</v>
      </c>
      <c r="T28" s="43" t="e">
        <f t="shared" si="1"/>
        <v>#DIV/0!</v>
      </c>
      <c r="U28" s="7"/>
      <c r="V28" s="7"/>
      <c r="W28" s="7"/>
      <c r="X28" s="7"/>
      <c r="Y28" s="7"/>
    </row>
    <row r="29" spans="2:78" ht="24" customHeight="1" thickBot="1" x14ac:dyDescent="0.25">
      <c r="B29" s="116"/>
      <c r="C29" s="114"/>
      <c r="D29" s="12" t="e">
        <v>#N/A</v>
      </c>
      <c r="E29" s="12" t="e">
        <v>#N/A</v>
      </c>
      <c r="F29" s="12" t="e">
        <v>#N/A</v>
      </c>
      <c r="G29" s="12" t="e">
        <v>#N/A</v>
      </c>
      <c r="H29" s="12" t="e">
        <v>#N/A</v>
      </c>
      <c r="I29" s="12" t="e">
        <v>#N/A</v>
      </c>
      <c r="J29" s="116"/>
      <c r="K29" s="83" t="s">
        <v>233</v>
      </c>
      <c r="L29" s="82">
        <v>132</v>
      </c>
      <c r="M29" s="82">
        <v>121</v>
      </c>
      <c r="N29" s="82">
        <v>130</v>
      </c>
      <c r="O29" s="82">
        <v>124</v>
      </c>
      <c r="P29" s="82">
        <v>110</v>
      </c>
      <c r="Q29" s="82">
        <v>121</v>
      </c>
      <c r="R29" s="145"/>
      <c r="S29" s="42">
        <f t="shared" si="0"/>
        <v>123</v>
      </c>
      <c r="T29" s="42">
        <f t="shared" si="1"/>
        <v>3.2041639575194445</v>
      </c>
      <c r="U29" s="7"/>
      <c r="V29" s="7"/>
      <c r="W29" s="7"/>
      <c r="X29" s="7"/>
      <c r="Y29" s="7"/>
      <c r="AK29" s="10"/>
      <c r="AL29" s="10"/>
      <c r="AM29" s="9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</row>
    <row r="30" spans="2:78" ht="24" customHeight="1" x14ac:dyDescent="0.2">
      <c r="B30" s="122">
        <v>14</v>
      </c>
      <c r="C30" s="113" t="s">
        <v>310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117"/>
      <c r="K30" s="30" t="s">
        <v>234</v>
      </c>
      <c r="L30" s="89" t="s">
        <v>299</v>
      </c>
      <c r="M30" s="89" t="s">
        <v>299</v>
      </c>
      <c r="N30" s="90">
        <v>97</v>
      </c>
      <c r="O30" s="89" t="s">
        <v>299</v>
      </c>
      <c r="P30" s="84" t="s">
        <v>297</v>
      </c>
      <c r="Q30" s="84" t="s">
        <v>297</v>
      </c>
      <c r="R30" s="143"/>
      <c r="S30" s="43">
        <f t="shared" si="0"/>
        <v>97</v>
      </c>
      <c r="T30" s="43" t="e">
        <f t="shared" si="1"/>
        <v>#DIV/0!</v>
      </c>
      <c r="U30" s="7"/>
      <c r="V30" s="7"/>
      <c r="W30" s="7"/>
      <c r="X30" s="7"/>
      <c r="Y30" s="7"/>
    </row>
    <row r="31" spans="2:78" ht="24" customHeight="1" thickBot="1" x14ac:dyDescent="0.25">
      <c r="B31" s="116"/>
      <c r="C31" s="114"/>
      <c r="D31" s="12" t="e">
        <v>#N/A</v>
      </c>
      <c r="E31" s="12" t="e">
        <v>#N/A</v>
      </c>
      <c r="F31" s="12" t="e">
        <v>#N/A</v>
      </c>
      <c r="G31" s="12" t="e">
        <v>#N/A</v>
      </c>
      <c r="H31" s="12" t="e">
        <v>#N/A</v>
      </c>
      <c r="I31" s="12" t="e">
        <v>#N/A</v>
      </c>
      <c r="J31" s="116"/>
      <c r="K31" s="83" t="s">
        <v>233</v>
      </c>
      <c r="L31" s="82">
        <v>105</v>
      </c>
      <c r="M31" s="82">
        <v>81</v>
      </c>
      <c r="N31" s="82">
        <v>100</v>
      </c>
      <c r="O31" s="82">
        <v>94</v>
      </c>
      <c r="P31" s="82">
        <v>81</v>
      </c>
      <c r="Q31" s="82">
        <v>93</v>
      </c>
      <c r="R31" s="145"/>
      <c r="S31" s="42">
        <f t="shared" si="0"/>
        <v>92.333333333333329</v>
      </c>
      <c r="T31" s="42">
        <f t="shared" si="1"/>
        <v>3.9972212570456715</v>
      </c>
      <c r="U31" s="7"/>
      <c r="V31" s="7"/>
      <c r="W31" s="7"/>
      <c r="X31" s="7"/>
      <c r="Y31" s="7"/>
      <c r="AK31" s="10"/>
      <c r="AL31" s="10"/>
      <c r="AM31" s="9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</row>
    <row r="32" spans="2:78" ht="24" customHeight="1" x14ac:dyDescent="0.2">
      <c r="B32" s="122">
        <v>13</v>
      </c>
      <c r="C32" s="113" t="s">
        <v>312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117"/>
      <c r="K32" s="30" t="s">
        <v>234</v>
      </c>
      <c r="L32" s="84" t="s">
        <v>297</v>
      </c>
      <c r="M32" s="84" t="s">
        <v>297</v>
      </c>
      <c r="N32" s="84" t="s">
        <v>297</v>
      </c>
      <c r="O32" s="84" t="s">
        <v>297</v>
      </c>
      <c r="P32" s="84" t="s">
        <v>297</v>
      </c>
      <c r="Q32" s="84" t="s">
        <v>297</v>
      </c>
      <c r="R32" s="143"/>
      <c r="S32" s="43" t="e">
        <f t="shared" si="0"/>
        <v>#DIV/0!</v>
      </c>
      <c r="T32" s="43" t="e">
        <f t="shared" si="1"/>
        <v>#DIV/0!</v>
      </c>
      <c r="U32" s="7"/>
      <c r="V32" s="7"/>
      <c r="W32" s="7"/>
      <c r="X32" s="7"/>
      <c r="Y32" s="7"/>
    </row>
    <row r="33" spans="2:78" ht="24" customHeight="1" thickBot="1" x14ac:dyDescent="0.25">
      <c r="B33" s="116"/>
      <c r="C33" s="114"/>
      <c r="D33" s="12" t="e">
        <v>#N/A</v>
      </c>
      <c r="E33" s="12" t="e">
        <v>#N/A</v>
      </c>
      <c r="F33" s="12" t="e">
        <v>#N/A</v>
      </c>
      <c r="G33" s="12" t="e">
        <v>#N/A</v>
      </c>
      <c r="H33" s="12" t="e">
        <v>#N/A</v>
      </c>
      <c r="I33" s="12" t="e">
        <v>#N/A</v>
      </c>
      <c r="J33" s="116"/>
      <c r="K33" s="83" t="s">
        <v>233</v>
      </c>
      <c r="L33" s="82">
        <v>112</v>
      </c>
      <c r="M33" s="82">
        <v>109</v>
      </c>
      <c r="N33" s="82">
        <v>121</v>
      </c>
      <c r="O33" s="82">
        <v>106</v>
      </c>
      <c r="P33" s="82">
        <v>103</v>
      </c>
      <c r="Q33" s="82">
        <v>121</v>
      </c>
      <c r="R33" s="145"/>
      <c r="S33" s="42">
        <f t="shared" si="0"/>
        <v>112</v>
      </c>
      <c r="T33" s="42">
        <f t="shared" si="1"/>
        <v>3.0983866769659336</v>
      </c>
      <c r="U33" s="7"/>
      <c r="V33" s="7"/>
      <c r="W33" s="7"/>
      <c r="X33" s="7"/>
      <c r="Y33" s="7"/>
      <c r="AK33" s="10"/>
      <c r="AL33" s="10"/>
      <c r="AM33" s="9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</row>
    <row r="34" spans="2:78" ht="24" customHeight="1" x14ac:dyDescent="0.2">
      <c r="B34" s="122">
        <v>12</v>
      </c>
      <c r="C34" s="113" t="s">
        <v>236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117"/>
      <c r="K34" s="30" t="s">
        <v>234</v>
      </c>
      <c r="L34" s="84" t="s">
        <v>297</v>
      </c>
      <c r="M34" s="84" t="s">
        <v>297</v>
      </c>
      <c r="N34" s="84" t="s">
        <v>297</v>
      </c>
      <c r="O34" s="84" t="s">
        <v>297</v>
      </c>
      <c r="P34" s="84" t="s">
        <v>297</v>
      </c>
      <c r="Q34" s="84" t="s">
        <v>297</v>
      </c>
      <c r="R34" s="143"/>
      <c r="S34" s="43" t="e">
        <f t="shared" si="0"/>
        <v>#DIV/0!</v>
      </c>
      <c r="T34" s="43" t="e">
        <f t="shared" si="1"/>
        <v>#DIV/0!</v>
      </c>
      <c r="U34" s="7"/>
      <c r="V34" s="7"/>
      <c r="W34" s="7"/>
      <c r="X34" s="7"/>
      <c r="Y34" s="7"/>
    </row>
    <row r="35" spans="2:78" ht="24" customHeight="1" thickBot="1" x14ac:dyDescent="0.25">
      <c r="B35" s="116"/>
      <c r="C35" s="114"/>
      <c r="D35" s="12" t="e">
        <v>#N/A</v>
      </c>
      <c r="E35" s="12" t="e">
        <v>#N/A</v>
      </c>
      <c r="F35" s="12" t="e">
        <v>#N/A</v>
      </c>
      <c r="G35" s="12" t="e">
        <v>#N/A</v>
      </c>
      <c r="H35" s="12" t="e">
        <v>#N/A</v>
      </c>
      <c r="I35" s="12" t="e">
        <v>#N/A</v>
      </c>
      <c r="J35" s="116"/>
      <c r="K35" s="83" t="s">
        <v>233</v>
      </c>
      <c r="L35" s="82">
        <v>112</v>
      </c>
      <c r="M35" s="82">
        <v>116</v>
      </c>
      <c r="N35" s="82">
        <v>109</v>
      </c>
      <c r="O35" s="82">
        <v>122</v>
      </c>
      <c r="P35" s="82">
        <v>102</v>
      </c>
      <c r="Q35" s="82">
        <v>108</v>
      </c>
      <c r="R35" s="145"/>
      <c r="S35" s="42">
        <f t="shared" si="0"/>
        <v>111.5</v>
      </c>
      <c r="T35" s="42">
        <f t="shared" si="1"/>
        <v>2.8254793103707794</v>
      </c>
      <c r="U35" s="7"/>
      <c r="V35" s="7"/>
      <c r="W35" s="7"/>
      <c r="X35" s="7"/>
      <c r="Y35" s="7"/>
      <c r="AK35" s="10"/>
      <c r="AL35" s="10"/>
      <c r="AM35" s="9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</row>
    <row r="36" spans="2:78" ht="24" customHeight="1" x14ac:dyDescent="0.2">
      <c r="B36" s="122">
        <v>11</v>
      </c>
      <c r="C36" s="113" t="s">
        <v>311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117"/>
      <c r="K36" s="30" t="s">
        <v>234</v>
      </c>
      <c r="L36" s="92" t="s">
        <v>297</v>
      </c>
      <c r="M36" s="84" t="s">
        <v>297</v>
      </c>
      <c r="N36" s="84" t="s">
        <v>297</v>
      </c>
      <c r="O36" s="84" t="s">
        <v>297</v>
      </c>
      <c r="P36" s="84" t="s">
        <v>297</v>
      </c>
      <c r="Q36" s="84" t="s">
        <v>297</v>
      </c>
      <c r="R36" s="143"/>
      <c r="S36" s="43" t="e">
        <f t="shared" si="0"/>
        <v>#DIV/0!</v>
      </c>
      <c r="T36" s="43" t="e">
        <f t="shared" si="1"/>
        <v>#DIV/0!</v>
      </c>
      <c r="U36" s="7"/>
      <c r="V36" s="7"/>
      <c r="W36" s="7"/>
      <c r="X36" s="7"/>
      <c r="Y36" s="7"/>
    </row>
    <row r="37" spans="2:78" ht="24" customHeight="1" thickBot="1" x14ac:dyDescent="0.25">
      <c r="B37" s="116"/>
      <c r="C37" s="114"/>
      <c r="D37" s="12" t="e">
        <v>#N/A</v>
      </c>
      <c r="E37" s="12" t="e">
        <v>#N/A</v>
      </c>
      <c r="F37" s="12" t="e">
        <v>#N/A</v>
      </c>
      <c r="G37" s="12" t="e">
        <v>#N/A</v>
      </c>
      <c r="H37" s="12" t="e">
        <v>#N/A</v>
      </c>
      <c r="I37" s="12" t="e">
        <v>#N/A</v>
      </c>
      <c r="J37" s="116"/>
      <c r="K37" s="83" t="s">
        <v>233</v>
      </c>
      <c r="L37" s="95">
        <v>103</v>
      </c>
      <c r="M37" s="82">
        <v>115</v>
      </c>
      <c r="N37" s="82">
        <v>122</v>
      </c>
      <c r="O37" s="82">
        <v>126</v>
      </c>
      <c r="P37" s="82">
        <v>118</v>
      </c>
      <c r="Q37" s="82">
        <v>115</v>
      </c>
      <c r="R37" s="145"/>
      <c r="S37" s="42">
        <f t="shared" si="0"/>
        <v>116.5</v>
      </c>
      <c r="T37" s="42">
        <f t="shared" si="1"/>
        <v>3.2119568282694382</v>
      </c>
      <c r="U37" s="7"/>
      <c r="V37" s="7"/>
      <c r="W37" s="7"/>
      <c r="X37" s="7"/>
      <c r="Y37" s="7"/>
      <c r="AK37" s="10"/>
      <c r="AL37" s="10"/>
      <c r="AM37" s="9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</row>
    <row r="38" spans="2:78" ht="24" customHeight="1" x14ac:dyDescent="0.2">
      <c r="B38" s="122">
        <v>21</v>
      </c>
      <c r="C38" s="113" t="s">
        <v>309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118">
        <v>1249</v>
      </c>
      <c r="K38" s="30" t="s">
        <v>234</v>
      </c>
      <c r="L38" s="96" t="s">
        <v>299</v>
      </c>
      <c r="M38" s="84" t="s">
        <v>297</v>
      </c>
      <c r="N38" s="89" t="s">
        <v>299</v>
      </c>
      <c r="O38" s="89" t="s">
        <v>299</v>
      </c>
      <c r="P38" s="84" t="s">
        <v>297</v>
      </c>
      <c r="Q38" s="84" t="s">
        <v>297</v>
      </c>
      <c r="R38" s="143"/>
      <c r="S38" s="43" t="e">
        <f t="shared" si="0"/>
        <v>#DIV/0!</v>
      </c>
      <c r="T38" s="43" t="e">
        <f t="shared" si="1"/>
        <v>#DIV/0!</v>
      </c>
      <c r="U38" s="7"/>
      <c r="V38" s="7"/>
      <c r="W38" s="7"/>
      <c r="X38" s="7"/>
      <c r="Y38" s="7"/>
    </row>
    <row r="39" spans="2:78" ht="24" customHeight="1" thickBot="1" x14ac:dyDescent="0.25">
      <c r="B39" s="116"/>
      <c r="C39" s="114"/>
      <c r="D39" s="12" t="e">
        <v>#N/A</v>
      </c>
      <c r="E39" s="12" t="e">
        <v>#N/A</v>
      </c>
      <c r="F39" s="12" t="e">
        <v>#N/A</v>
      </c>
      <c r="G39" s="12" t="e">
        <v>#N/A</v>
      </c>
      <c r="H39" s="12" t="e">
        <v>#N/A</v>
      </c>
      <c r="I39" s="12" t="e">
        <v>#N/A</v>
      </c>
      <c r="J39" s="116"/>
      <c r="K39" s="83" t="s">
        <v>233</v>
      </c>
      <c r="L39" s="95">
        <v>113</v>
      </c>
      <c r="M39" s="82">
        <v>118</v>
      </c>
      <c r="N39" s="82">
        <v>112</v>
      </c>
      <c r="O39" s="82">
        <v>98</v>
      </c>
      <c r="P39" s="82">
        <v>104</v>
      </c>
      <c r="Q39" s="82">
        <v>113</v>
      </c>
      <c r="R39" s="145"/>
      <c r="S39" s="42">
        <f t="shared" si="0"/>
        <v>109.66666666666667</v>
      </c>
      <c r="T39" s="42">
        <f t="shared" si="1"/>
        <v>2.9739610697593952</v>
      </c>
      <c r="U39" s="7"/>
      <c r="V39" s="7"/>
      <c r="W39" s="7"/>
      <c r="X39" s="7"/>
      <c r="Y39" s="7"/>
      <c r="AK39" s="10"/>
      <c r="AL39" s="10"/>
      <c r="AM39" s="9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</row>
    <row r="40" spans="2:78" ht="24" customHeight="1" x14ac:dyDescent="0.2">
      <c r="B40" s="122">
        <v>22</v>
      </c>
      <c r="C40" s="113" t="s">
        <v>238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117"/>
      <c r="K40" s="30" t="s">
        <v>234</v>
      </c>
      <c r="L40" s="89" t="s">
        <v>299</v>
      </c>
      <c r="M40" s="89" t="s">
        <v>299</v>
      </c>
      <c r="N40" s="89" t="s">
        <v>299</v>
      </c>
      <c r="O40" s="89" t="s">
        <v>299</v>
      </c>
      <c r="P40" s="96" t="s">
        <v>299</v>
      </c>
      <c r="Q40" s="84" t="s">
        <v>297</v>
      </c>
      <c r="R40" s="143"/>
      <c r="S40" s="43" t="e">
        <f t="shared" si="0"/>
        <v>#DIV/0!</v>
      </c>
      <c r="T40" s="43" t="e">
        <f t="shared" si="1"/>
        <v>#DIV/0!</v>
      </c>
      <c r="U40" s="7"/>
      <c r="V40" s="7"/>
      <c r="W40" s="7"/>
      <c r="X40" s="7"/>
      <c r="Y40" s="7"/>
    </row>
    <row r="41" spans="2:78" ht="24" customHeight="1" thickBot="1" x14ac:dyDescent="0.25">
      <c r="B41" s="116"/>
      <c r="C41" s="114"/>
      <c r="D41" s="12" t="e">
        <v>#N/A</v>
      </c>
      <c r="E41" s="12" t="e">
        <v>#N/A</v>
      </c>
      <c r="F41" s="12" t="e">
        <v>#N/A</v>
      </c>
      <c r="G41" s="12" t="e">
        <v>#N/A</v>
      </c>
      <c r="H41" s="12" t="e">
        <v>#N/A</v>
      </c>
      <c r="I41" s="12" t="e">
        <v>#N/A</v>
      </c>
      <c r="J41" s="116"/>
      <c r="K41" s="83" t="s">
        <v>233</v>
      </c>
      <c r="L41" s="82">
        <v>86</v>
      </c>
      <c r="M41" s="82">
        <v>89</v>
      </c>
      <c r="N41" s="82">
        <v>108</v>
      </c>
      <c r="O41" s="82">
        <v>114</v>
      </c>
      <c r="P41" s="95">
        <v>82</v>
      </c>
      <c r="Q41" s="82">
        <v>99</v>
      </c>
      <c r="R41" s="145"/>
      <c r="S41" s="42">
        <f t="shared" si="0"/>
        <v>96.333333333333329</v>
      </c>
      <c r="T41" s="42">
        <f t="shared" si="1"/>
        <v>5.2323778320929639</v>
      </c>
      <c r="U41" s="7"/>
      <c r="V41" s="7"/>
      <c r="W41" s="7"/>
      <c r="X41" s="7"/>
      <c r="Y41" s="7"/>
      <c r="AK41" s="10"/>
      <c r="AL41" s="10"/>
      <c r="AM41" s="9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</row>
    <row r="42" spans="2:78" ht="24" customHeight="1" x14ac:dyDescent="0.2">
      <c r="B42" s="122">
        <v>23</v>
      </c>
      <c r="C42" s="113" t="s">
        <v>313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117"/>
      <c r="K42" s="30" t="s">
        <v>234</v>
      </c>
      <c r="L42" s="84" t="s">
        <v>297</v>
      </c>
      <c r="M42" s="84" t="s">
        <v>297</v>
      </c>
      <c r="N42" s="84" t="s">
        <v>297</v>
      </c>
      <c r="O42" s="84" t="s">
        <v>297</v>
      </c>
      <c r="P42" s="84" t="s">
        <v>297</v>
      </c>
      <c r="Q42" s="84" t="s">
        <v>297</v>
      </c>
      <c r="R42" s="143"/>
      <c r="S42" s="43" t="e">
        <f t="shared" ref="S42:S73" si="2">AVERAGE(L42:Q42)</f>
        <v>#DIV/0!</v>
      </c>
      <c r="T42" s="43" t="e">
        <f t="shared" ref="T42:T73" si="3">STDEV(L42:Q42)/SQRT(6)</f>
        <v>#DIV/0!</v>
      </c>
      <c r="U42" s="7"/>
      <c r="V42" s="7"/>
      <c r="W42" s="7"/>
      <c r="X42" s="7"/>
      <c r="Y42" s="7"/>
    </row>
    <row r="43" spans="2:78" ht="24" customHeight="1" thickBot="1" x14ac:dyDescent="0.25">
      <c r="B43" s="116"/>
      <c r="C43" s="114"/>
      <c r="D43" s="12" t="e">
        <v>#N/A</v>
      </c>
      <c r="E43" s="12" t="e">
        <v>#N/A</v>
      </c>
      <c r="F43" s="12" t="e">
        <v>#N/A</v>
      </c>
      <c r="G43" s="12" t="e">
        <v>#N/A</v>
      </c>
      <c r="H43" s="12" t="e">
        <v>#N/A</v>
      </c>
      <c r="I43" s="12" t="e">
        <v>#N/A</v>
      </c>
      <c r="J43" s="116"/>
      <c r="K43" s="83" t="s">
        <v>233</v>
      </c>
      <c r="L43" s="82">
        <v>107</v>
      </c>
      <c r="M43" s="82">
        <v>115</v>
      </c>
      <c r="N43" s="82">
        <v>119</v>
      </c>
      <c r="O43" s="82">
        <v>112</v>
      </c>
      <c r="P43" s="82">
        <v>116</v>
      </c>
      <c r="Q43" s="82">
        <v>98</v>
      </c>
      <c r="R43" s="145"/>
      <c r="S43" s="42">
        <f t="shared" si="2"/>
        <v>111.16666666666667</v>
      </c>
      <c r="T43" s="42">
        <f t="shared" si="3"/>
        <v>3.1135902820449011</v>
      </c>
      <c r="U43" s="7"/>
      <c r="V43" s="7"/>
      <c r="W43" s="7"/>
      <c r="X43" s="7"/>
      <c r="Y43" s="7"/>
      <c r="AK43" s="10"/>
      <c r="AL43" s="10"/>
      <c r="AM43" s="9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</row>
    <row r="44" spans="2:78" ht="24" customHeight="1" x14ac:dyDescent="0.2">
      <c r="B44" s="122">
        <v>24</v>
      </c>
      <c r="C44" s="113" t="s">
        <v>314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117"/>
      <c r="K44" s="30" t="s">
        <v>234</v>
      </c>
      <c r="L44" s="84" t="s">
        <v>297</v>
      </c>
      <c r="M44" s="84" t="s">
        <v>297</v>
      </c>
      <c r="N44" s="84" t="s">
        <v>297</v>
      </c>
      <c r="O44" s="84" t="s">
        <v>297</v>
      </c>
      <c r="P44" s="84" t="s">
        <v>297</v>
      </c>
      <c r="Q44" s="84" t="s">
        <v>297</v>
      </c>
      <c r="R44" s="143"/>
      <c r="S44" s="43" t="e">
        <f t="shared" si="2"/>
        <v>#DIV/0!</v>
      </c>
      <c r="T44" s="43" t="e">
        <f t="shared" si="3"/>
        <v>#DIV/0!</v>
      </c>
      <c r="U44" s="7"/>
      <c r="V44" s="7"/>
      <c r="W44" s="7"/>
      <c r="X44" s="7"/>
      <c r="Y44" s="7"/>
    </row>
    <row r="45" spans="2:78" ht="24" customHeight="1" thickBot="1" x14ac:dyDescent="0.25">
      <c r="B45" s="116"/>
      <c r="C45" s="114"/>
      <c r="D45" s="12" t="e">
        <v>#N/A</v>
      </c>
      <c r="E45" s="12" t="e">
        <v>#N/A</v>
      </c>
      <c r="F45" s="12" t="e">
        <v>#N/A</v>
      </c>
      <c r="G45" s="12" t="e">
        <v>#N/A</v>
      </c>
      <c r="H45" s="12" t="e">
        <v>#N/A</v>
      </c>
      <c r="I45" s="12" t="e">
        <v>#N/A</v>
      </c>
      <c r="J45" s="116"/>
      <c r="K45" s="83" t="s">
        <v>233</v>
      </c>
      <c r="L45" s="82">
        <v>129</v>
      </c>
      <c r="M45" s="82">
        <v>116</v>
      </c>
      <c r="N45" s="82">
        <v>106</v>
      </c>
      <c r="O45" s="82">
        <v>114</v>
      </c>
      <c r="P45" s="82">
        <v>113</v>
      </c>
      <c r="Q45" s="82">
        <v>126</v>
      </c>
      <c r="R45" s="145"/>
      <c r="S45" s="42">
        <f t="shared" si="2"/>
        <v>117.33333333333333</v>
      </c>
      <c r="T45" s="42">
        <f t="shared" si="3"/>
        <v>3.5182066138556705</v>
      </c>
      <c r="U45" s="7"/>
      <c r="V45" s="7"/>
      <c r="W45" s="7"/>
      <c r="X45" s="7"/>
      <c r="Y45" s="7"/>
      <c r="AK45" s="10"/>
      <c r="AL45" s="10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</row>
    <row r="46" spans="2:78" ht="24" customHeight="1" x14ac:dyDescent="0.2">
      <c r="B46" s="122">
        <v>25</v>
      </c>
      <c r="C46" s="113" t="s">
        <v>236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117"/>
      <c r="K46" s="30" t="s">
        <v>234</v>
      </c>
      <c r="L46" s="84" t="s">
        <v>297</v>
      </c>
      <c r="M46" s="84" t="s">
        <v>297</v>
      </c>
      <c r="N46" s="84" t="s">
        <v>297</v>
      </c>
      <c r="O46" s="84" t="s">
        <v>297</v>
      </c>
      <c r="P46" s="84" t="s">
        <v>297</v>
      </c>
      <c r="Q46" s="84" t="s">
        <v>297</v>
      </c>
      <c r="R46" s="143"/>
      <c r="S46" s="43" t="e">
        <f t="shared" si="2"/>
        <v>#DIV/0!</v>
      </c>
      <c r="T46" s="43" t="e">
        <f t="shared" si="3"/>
        <v>#DIV/0!</v>
      </c>
      <c r="U46" s="7"/>
      <c r="V46" s="7"/>
      <c r="W46" s="7"/>
      <c r="X46" s="7"/>
      <c r="Y46" s="7"/>
    </row>
    <row r="47" spans="2:78" ht="24" customHeight="1" thickBot="1" x14ac:dyDescent="0.25">
      <c r="B47" s="116"/>
      <c r="C47" s="114"/>
      <c r="D47" s="12" t="e">
        <v>#N/A</v>
      </c>
      <c r="E47" s="12" t="e">
        <v>#N/A</v>
      </c>
      <c r="F47" s="12" t="e">
        <v>#N/A</v>
      </c>
      <c r="G47" s="12" t="e">
        <v>#N/A</v>
      </c>
      <c r="H47" s="12" t="e">
        <v>#N/A</v>
      </c>
      <c r="I47" s="12" t="e">
        <v>#N/A</v>
      </c>
      <c r="J47" s="116"/>
      <c r="K47" s="83" t="s">
        <v>233</v>
      </c>
      <c r="L47" s="82">
        <v>121</v>
      </c>
      <c r="M47" s="82">
        <v>127</v>
      </c>
      <c r="N47" s="82">
        <v>119</v>
      </c>
      <c r="O47" s="82">
        <v>126</v>
      </c>
      <c r="P47" s="82">
        <v>116</v>
      </c>
      <c r="Q47" s="82">
        <v>129</v>
      </c>
      <c r="R47" s="145"/>
      <c r="S47" s="42">
        <f t="shared" si="2"/>
        <v>123</v>
      </c>
      <c r="T47" s="42">
        <f t="shared" si="3"/>
        <v>2.0816659994661326</v>
      </c>
      <c r="U47" s="7"/>
      <c r="V47" s="7"/>
      <c r="W47" s="7"/>
      <c r="X47" s="7"/>
      <c r="Y47" s="7"/>
      <c r="AK47" s="10"/>
      <c r="AL47" s="10"/>
      <c r="AM47" s="9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</row>
    <row r="48" spans="2:78" ht="24" customHeight="1" x14ac:dyDescent="0.2">
      <c r="B48" s="122">
        <v>26</v>
      </c>
      <c r="C48" s="113" t="s">
        <v>314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6"/>
      <c r="K48" s="30" t="s">
        <v>234</v>
      </c>
      <c r="L48" s="84" t="s">
        <v>297</v>
      </c>
      <c r="M48" s="84" t="s">
        <v>297</v>
      </c>
      <c r="N48" s="84" t="s">
        <v>297</v>
      </c>
      <c r="O48" s="84" t="s">
        <v>297</v>
      </c>
      <c r="P48" s="84" t="s">
        <v>297</v>
      </c>
      <c r="Q48" s="84" t="s">
        <v>297</v>
      </c>
      <c r="R48" s="143"/>
      <c r="S48" s="43" t="e">
        <f t="shared" si="2"/>
        <v>#DIV/0!</v>
      </c>
      <c r="T48" s="43" t="e">
        <f t="shared" si="3"/>
        <v>#DIV/0!</v>
      </c>
      <c r="U48" s="7"/>
      <c r="V48" s="7"/>
      <c r="W48" s="7"/>
      <c r="X48" s="7"/>
      <c r="Y48" s="7"/>
    </row>
    <row r="49" spans="2:78" ht="24" customHeight="1" thickBot="1" x14ac:dyDescent="0.25">
      <c r="B49" s="116"/>
      <c r="C49" s="114"/>
      <c r="D49" s="12" t="e">
        <v>#N/A</v>
      </c>
      <c r="E49" s="12" t="e">
        <v>#N/A</v>
      </c>
      <c r="F49" s="12" t="e">
        <v>#N/A</v>
      </c>
      <c r="G49" s="12" t="e">
        <v>#N/A</v>
      </c>
      <c r="H49" s="12" t="e">
        <v>#N/A</v>
      </c>
      <c r="I49" s="12" t="e">
        <v>#N/A</v>
      </c>
      <c r="J49" s="13"/>
      <c r="K49" s="83" t="s">
        <v>233</v>
      </c>
      <c r="L49" s="82">
        <v>132</v>
      </c>
      <c r="M49" s="82">
        <v>135</v>
      </c>
      <c r="N49" s="82">
        <v>127</v>
      </c>
      <c r="O49" s="82">
        <v>128</v>
      </c>
      <c r="P49" s="82">
        <v>138</v>
      </c>
      <c r="Q49" s="82">
        <v>121</v>
      </c>
      <c r="R49" s="145"/>
      <c r="S49" s="42">
        <f t="shared" si="2"/>
        <v>130.16666666666666</v>
      </c>
      <c r="T49" s="42">
        <f t="shared" si="3"/>
        <v>2.4955515978993059</v>
      </c>
      <c r="U49" s="7"/>
      <c r="V49" s="7"/>
      <c r="W49" s="7"/>
      <c r="X49" s="7"/>
      <c r="Y49" s="7"/>
      <c r="AK49" s="10"/>
      <c r="AL49" s="10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</row>
    <row r="50" spans="2:78" ht="24" customHeight="1" x14ac:dyDescent="0.2">
      <c r="B50" s="122">
        <v>27</v>
      </c>
      <c r="C50" s="113" t="s">
        <v>312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117"/>
      <c r="K50" s="30" t="s">
        <v>234</v>
      </c>
      <c r="L50" s="89" t="s">
        <v>299</v>
      </c>
      <c r="M50" s="84" t="s">
        <v>297</v>
      </c>
      <c r="N50" s="84" t="s">
        <v>297</v>
      </c>
      <c r="O50" s="84" t="s">
        <v>297</v>
      </c>
      <c r="P50" s="84" t="s">
        <v>297</v>
      </c>
      <c r="Q50" s="84" t="s">
        <v>297</v>
      </c>
      <c r="R50" s="143"/>
      <c r="S50" s="43" t="e">
        <f t="shared" si="2"/>
        <v>#DIV/0!</v>
      </c>
      <c r="T50" s="43" t="e">
        <f t="shared" si="3"/>
        <v>#DIV/0!</v>
      </c>
      <c r="AK50" s="10">
        <v>2</v>
      </c>
      <c r="AL50" s="10" t="s">
        <v>235</v>
      </c>
      <c r="AM50" s="10">
        <v>150</v>
      </c>
    </row>
    <row r="51" spans="2:78" ht="24" customHeight="1" thickBot="1" x14ac:dyDescent="0.25">
      <c r="B51" s="116"/>
      <c r="C51" s="114"/>
      <c r="D51" s="12" t="e">
        <v>#N/A</v>
      </c>
      <c r="E51" s="12" t="e">
        <v>#N/A</v>
      </c>
      <c r="F51" s="12" t="e">
        <v>#N/A</v>
      </c>
      <c r="G51" s="12" t="e">
        <v>#N/A</v>
      </c>
      <c r="H51" s="12" t="e">
        <v>#N/A</v>
      </c>
      <c r="I51" s="12" t="e">
        <v>#N/A</v>
      </c>
      <c r="J51" s="116"/>
      <c r="K51" s="83" t="s">
        <v>233</v>
      </c>
      <c r="L51" s="82">
        <v>96</v>
      </c>
      <c r="M51" s="82">
        <v>118</v>
      </c>
      <c r="N51" s="82">
        <v>116</v>
      </c>
      <c r="O51" s="82">
        <v>113</v>
      </c>
      <c r="P51" s="82">
        <v>115</v>
      </c>
      <c r="Q51" s="82">
        <v>127</v>
      </c>
      <c r="R51" s="145"/>
      <c r="S51" s="42">
        <f t="shared" si="2"/>
        <v>114.16666666666667</v>
      </c>
      <c r="T51" s="42">
        <f t="shared" si="3"/>
        <v>4.1425971456456052</v>
      </c>
      <c r="U51" s="7"/>
      <c r="V51" s="7"/>
      <c r="W51" s="7"/>
      <c r="X51" s="7"/>
      <c r="Y51" s="7"/>
      <c r="AK51" s="10"/>
      <c r="AL51" s="10"/>
      <c r="AM51" s="9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</row>
    <row r="52" spans="2:78" ht="24" customHeight="1" x14ac:dyDescent="0.2">
      <c r="B52" s="122">
        <v>28</v>
      </c>
      <c r="C52" s="113" t="s">
        <v>313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117"/>
      <c r="K52" s="30" t="s">
        <v>234</v>
      </c>
      <c r="L52" s="84" t="s">
        <v>297</v>
      </c>
      <c r="M52" s="84" t="s">
        <v>297</v>
      </c>
      <c r="N52" s="84" t="s">
        <v>297</v>
      </c>
      <c r="O52" s="84" t="s">
        <v>297</v>
      </c>
      <c r="P52" s="84" t="s">
        <v>297</v>
      </c>
      <c r="Q52" s="84" t="s">
        <v>297</v>
      </c>
      <c r="R52" s="143"/>
      <c r="S52" s="43" t="e">
        <f t="shared" si="2"/>
        <v>#DIV/0!</v>
      </c>
      <c r="T52" s="43" t="e">
        <f t="shared" si="3"/>
        <v>#DIV/0!</v>
      </c>
      <c r="U52" s="7"/>
      <c r="V52" s="7"/>
      <c r="W52" s="7"/>
      <c r="X52" s="7"/>
      <c r="Y52" s="7"/>
    </row>
    <row r="53" spans="2:78" ht="24" customHeight="1" thickBot="1" x14ac:dyDescent="0.25">
      <c r="B53" s="116"/>
      <c r="C53" s="114"/>
      <c r="D53" s="12" t="e">
        <v>#N/A</v>
      </c>
      <c r="E53" s="12" t="e">
        <v>#N/A</v>
      </c>
      <c r="F53" s="12" t="e">
        <v>#N/A</v>
      </c>
      <c r="G53" s="12" t="e">
        <v>#N/A</v>
      </c>
      <c r="H53" s="12" t="e">
        <v>#N/A</v>
      </c>
      <c r="I53" s="12" t="e">
        <v>#N/A</v>
      </c>
      <c r="J53" s="116"/>
      <c r="K53" s="83" t="s">
        <v>233</v>
      </c>
      <c r="L53" s="82">
        <v>103</v>
      </c>
      <c r="M53" s="82">
        <v>107</v>
      </c>
      <c r="N53" s="82">
        <v>107</v>
      </c>
      <c r="O53" s="82">
        <v>90</v>
      </c>
      <c r="P53" s="82">
        <v>98</v>
      </c>
      <c r="Q53" s="82">
        <v>97</v>
      </c>
      <c r="R53" s="145"/>
      <c r="S53" s="42">
        <f t="shared" si="2"/>
        <v>100.33333333333333</v>
      </c>
      <c r="T53" s="42">
        <f t="shared" si="3"/>
        <v>2.7039066387564334</v>
      </c>
      <c r="U53" s="7"/>
      <c r="V53" s="7"/>
      <c r="W53" s="7"/>
      <c r="X53" s="7"/>
      <c r="Y53" s="7"/>
      <c r="AK53" s="10"/>
      <c r="AL53" s="10"/>
      <c r="AM53" s="9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</row>
    <row r="54" spans="2:78" ht="24" customHeight="1" x14ac:dyDescent="0.2">
      <c r="B54" s="122">
        <v>38</v>
      </c>
      <c r="C54" s="113" t="s">
        <v>313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118">
        <v>1302</v>
      </c>
      <c r="K54" s="30" t="s">
        <v>234</v>
      </c>
      <c r="L54" s="84" t="s">
        <v>297</v>
      </c>
      <c r="M54" s="84" t="s">
        <v>297</v>
      </c>
      <c r="N54" s="84" t="s">
        <v>297</v>
      </c>
      <c r="O54" s="84" t="s">
        <v>297</v>
      </c>
      <c r="P54" s="84" t="s">
        <v>297</v>
      </c>
      <c r="Q54" s="84" t="s">
        <v>297</v>
      </c>
      <c r="R54" s="143"/>
      <c r="S54" s="43" t="e">
        <f t="shared" si="2"/>
        <v>#DIV/0!</v>
      </c>
      <c r="T54" s="43" t="e">
        <f t="shared" si="3"/>
        <v>#DIV/0!</v>
      </c>
      <c r="U54" s="7"/>
      <c r="V54" s="7"/>
      <c r="W54" s="7"/>
      <c r="X54" s="7"/>
      <c r="Y54" s="7"/>
    </row>
    <row r="55" spans="2:78" ht="24" customHeight="1" thickBot="1" x14ac:dyDescent="0.25">
      <c r="B55" s="116"/>
      <c r="C55" s="114"/>
      <c r="D55" s="12" t="e">
        <v>#N/A</v>
      </c>
      <c r="E55" s="12" t="e">
        <v>#N/A</v>
      </c>
      <c r="F55" s="12" t="e">
        <v>#N/A</v>
      </c>
      <c r="G55" s="12" t="e">
        <v>#N/A</v>
      </c>
      <c r="H55" s="12" t="e">
        <v>#N/A</v>
      </c>
      <c r="I55" s="12" t="e">
        <v>#N/A</v>
      </c>
      <c r="J55" s="116"/>
      <c r="K55" s="83" t="s">
        <v>233</v>
      </c>
      <c r="L55" s="82">
        <v>100</v>
      </c>
      <c r="M55" s="82">
        <v>91</v>
      </c>
      <c r="N55" s="82">
        <v>89</v>
      </c>
      <c r="O55" s="82">
        <v>112</v>
      </c>
      <c r="P55" s="82">
        <v>93</v>
      </c>
      <c r="Q55" s="82">
        <v>98</v>
      </c>
      <c r="R55" s="145"/>
      <c r="S55" s="42">
        <f t="shared" si="2"/>
        <v>97.166666666666671</v>
      </c>
      <c r="T55" s="42">
        <f t="shared" si="3"/>
        <v>3.4197140881138655</v>
      </c>
      <c r="U55" s="7"/>
      <c r="V55" s="7"/>
      <c r="W55" s="7"/>
      <c r="X55" s="7"/>
      <c r="Y55" s="7"/>
      <c r="AK55" s="10"/>
      <c r="AL55" s="10"/>
      <c r="AM55" s="9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</row>
    <row r="56" spans="2:78" ht="24" customHeight="1" x14ac:dyDescent="0.2">
      <c r="B56" s="122">
        <v>37</v>
      </c>
      <c r="C56" s="113" t="s">
        <v>238</v>
      </c>
      <c r="D56" s="5" t="e">
        <v>#N/A</v>
      </c>
      <c r="E56" s="5" t="e">
        <v>#N/A</v>
      </c>
      <c r="F56" s="5" t="e">
        <v>#N/A</v>
      </c>
      <c r="G56" s="5" t="e">
        <v>#N/A</v>
      </c>
      <c r="H56" s="5" t="e">
        <v>#N/A</v>
      </c>
      <c r="I56" s="5" t="e">
        <v>#N/A</v>
      </c>
      <c r="J56" s="117"/>
      <c r="K56" s="30" t="s">
        <v>234</v>
      </c>
      <c r="L56" s="84" t="s">
        <v>297</v>
      </c>
      <c r="M56" s="89" t="s">
        <v>299</v>
      </c>
      <c r="N56" s="96" t="s">
        <v>299</v>
      </c>
      <c r="O56" s="84" t="s">
        <v>297</v>
      </c>
      <c r="P56" s="84" t="s">
        <v>297</v>
      </c>
      <c r="Q56" s="84" t="s">
        <v>297</v>
      </c>
      <c r="R56" s="143"/>
      <c r="S56" s="43" t="e">
        <f t="shared" si="2"/>
        <v>#DIV/0!</v>
      </c>
      <c r="T56" s="43" t="e">
        <f t="shared" si="3"/>
        <v>#DIV/0!</v>
      </c>
      <c r="U56" s="7"/>
      <c r="V56" s="7"/>
      <c r="W56" s="7"/>
      <c r="X56" s="7"/>
      <c r="Y56" s="7"/>
    </row>
    <row r="57" spans="2:78" ht="24" customHeight="1" thickBot="1" x14ac:dyDescent="0.25">
      <c r="B57" s="116"/>
      <c r="C57" s="114"/>
      <c r="D57" s="12" t="e">
        <v>#N/A</v>
      </c>
      <c r="E57" s="12" t="e">
        <v>#N/A</v>
      </c>
      <c r="F57" s="12" t="e">
        <v>#N/A</v>
      </c>
      <c r="G57" s="12" t="e">
        <v>#N/A</v>
      </c>
      <c r="H57" s="12" t="e">
        <v>#N/A</v>
      </c>
      <c r="I57" s="12" t="e">
        <v>#N/A</v>
      </c>
      <c r="J57" s="116"/>
      <c r="K57" s="83" t="s">
        <v>233</v>
      </c>
      <c r="L57" s="82">
        <v>91</v>
      </c>
      <c r="M57" s="82">
        <v>94</v>
      </c>
      <c r="N57" s="95">
        <v>86</v>
      </c>
      <c r="O57" s="82">
        <v>84</v>
      </c>
      <c r="P57" s="82">
        <v>103</v>
      </c>
      <c r="Q57" s="82">
        <v>98</v>
      </c>
      <c r="R57" s="145"/>
      <c r="S57" s="42">
        <f t="shared" si="2"/>
        <v>92.666666666666671</v>
      </c>
      <c r="T57" s="42">
        <f t="shared" si="3"/>
        <v>2.9401436094933264</v>
      </c>
      <c r="U57" s="7"/>
      <c r="V57" s="7"/>
      <c r="W57" s="7"/>
      <c r="X57" s="7"/>
      <c r="Y57" s="7"/>
      <c r="AK57" s="10"/>
      <c r="AL57" s="10"/>
      <c r="AM57" s="9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</row>
    <row r="58" spans="2:78" ht="24" customHeight="1" x14ac:dyDescent="0.2">
      <c r="B58" s="122">
        <v>36</v>
      </c>
      <c r="C58" s="113" t="s">
        <v>314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117"/>
      <c r="K58" s="30" t="s">
        <v>234</v>
      </c>
      <c r="L58" s="84" t="s">
        <v>297</v>
      </c>
      <c r="M58" s="84" t="s">
        <v>297</v>
      </c>
      <c r="N58" s="84" t="s">
        <v>297</v>
      </c>
      <c r="O58" s="84" t="s">
        <v>297</v>
      </c>
      <c r="P58" s="84" t="s">
        <v>297</v>
      </c>
      <c r="Q58" s="84" t="s">
        <v>297</v>
      </c>
      <c r="R58" s="143"/>
      <c r="S58" s="43" t="e">
        <f t="shared" si="2"/>
        <v>#DIV/0!</v>
      </c>
      <c r="T58" s="43" t="e">
        <f t="shared" si="3"/>
        <v>#DIV/0!</v>
      </c>
      <c r="U58" s="7"/>
      <c r="V58" s="7"/>
      <c r="W58" s="7"/>
      <c r="X58" s="7"/>
      <c r="Y58" s="7"/>
    </row>
    <row r="59" spans="2:78" ht="24" customHeight="1" thickBot="1" x14ac:dyDescent="0.25">
      <c r="B59" s="116"/>
      <c r="C59" s="114"/>
      <c r="D59" s="12" t="e">
        <v>#N/A</v>
      </c>
      <c r="E59" s="12" t="e">
        <v>#N/A</v>
      </c>
      <c r="F59" s="12" t="e">
        <v>#N/A</v>
      </c>
      <c r="G59" s="12" t="e">
        <v>#N/A</v>
      </c>
      <c r="H59" s="12" t="e">
        <v>#N/A</v>
      </c>
      <c r="I59" s="12" t="e">
        <v>#N/A</v>
      </c>
      <c r="J59" s="116"/>
      <c r="K59" s="83" t="s">
        <v>233</v>
      </c>
      <c r="L59" s="82">
        <v>97</v>
      </c>
      <c r="M59" s="82">
        <v>103</v>
      </c>
      <c r="N59" s="82">
        <v>116</v>
      </c>
      <c r="O59" s="82">
        <v>124</v>
      </c>
      <c r="P59" s="82">
        <v>111</v>
      </c>
      <c r="Q59" s="82">
        <v>117</v>
      </c>
      <c r="R59" s="145"/>
      <c r="S59" s="42">
        <f t="shared" si="2"/>
        <v>111.33333333333333</v>
      </c>
      <c r="T59" s="42">
        <f t="shared" si="3"/>
        <v>4.0387016615629223</v>
      </c>
      <c r="U59" s="7"/>
      <c r="V59" s="7"/>
      <c r="W59" s="7"/>
      <c r="X59" s="7"/>
      <c r="Y59" s="7"/>
      <c r="AK59" s="10"/>
      <c r="AL59" s="10"/>
      <c r="AM59" s="9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</row>
    <row r="60" spans="2:78" ht="24" customHeight="1" x14ac:dyDescent="0.2">
      <c r="B60" s="122">
        <v>35</v>
      </c>
      <c r="C60" s="113" t="s">
        <v>309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117"/>
      <c r="K60" s="30" t="s">
        <v>234</v>
      </c>
      <c r="L60" s="94">
        <v>79</v>
      </c>
      <c r="M60" s="90">
        <v>69</v>
      </c>
      <c r="N60" s="93">
        <v>89</v>
      </c>
      <c r="O60" s="86" t="s">
        <v>299</v>
      </c>
      <c r="P60" s="84" t="s">
        <v>297</v>
      </c>
      <c r="Q60" s="84" t="s">
        <v>297</v>
      </c>
      <c r="R60" s="143"/>
      <c r="S60" s="43">
        <f t="shared" si="2"/>
        <v>79</v>
      </c>
      <c r="T60" s="43">
        <f t="shared" si="3"/>
        <v>4.0824829046386304</v>
      </c>
      <c r="U60" s="7"/>
      <c r="V60" s="7"/>
      <c r="W60" s="7"/>
      <c r="X60" s="7"/>
      <c r="Y60" s="7"/>
    </row>
    <row r="61" spans="2:78" ht="24" customHeight="1" thickBot="1" x14ac:dyDescent="0.25">
      <c r="B61" s="116"/>
      <c r="C61" s="114"/>
      <c r="D61" s="12" t="e">
        <v>#N/A</v>
      </c>
      <c r="E61" s="12" t="e">
        <v>#N/A</v>
      </c>
      <c r="F61" s="12" t="e">
        <v>#N/A</v>
      </c>
      <c r="G61" s="12" t="e">
        <v>#N/A</v>
      </c>
      <c r="H61" s="12" t="e">
        <v>#N/A</v>
      </c>
      <c r="I61" s="12" t="e">
        <v>#N/A</v>
      </c>
      <c r="J61" s="116"/>
      <c r="K61" s="83" t="s">
        <v>233</v>
      </c>
      <c r="L61" s="82">
        <v>112</v>
      </c>
      <c r="M61" s="82">
        <v>85</v>
      </c>
      <c r="N61" s="82">
        <v>102</v>
      </c>
      <c r="O61" s="82">
        <v>102</v>
      </c>
      <c r="P61" s="82">
        <v>108</v>
      </c>
      <c r="Q61" s="82">
        <v>88</v>
      </c>
      <c r="R61" s="145"/>
      <c r="S61" s="42">
        <f t="shared" si="2"/>
        <v>99.5</v>
      </c>
      <c r="T61" s="42">
        <f t="shared" si="3"/>
        <v>4.4102154142399899</v>
      </c>
      <c r="U61" s="7"/>
      <c r="V61" s="7"/>
      <c r="W61" s="7"/>
      <c r="X61" s="7"/>
      <c r="Y61" s="7"/>
      <c r="AK61" s="10"/>
      <c r="AL61" s="10"/>
      <c r="AM61" s="9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</row>
    <row r="62" spans="2:78" ht="24" customHeight="1" x14ac:dyDescent="0.2">
      <c r="B62" s="122">
        <v>34</v>
      </c>
      <c r="C62" s="113" t="s">
        <v>236</v>
      </c>
      <c r="D62" s="5" t="e">
        <v>#N/A</v>
      </c>
      <c r="E62" s="5" t="e">
        <v>#N/A</v>
      </c>
      <c r="F62" s="5" t="e">
        <v>#N/A</v>
      </c>
      <c r="G62" s="5" t="e">
        <v>#N/A</v>
      </c>
      <c r="H62" s="5" t="e">
        <v>#N/A</v>
      </c>
      <c r="I62" s="5" t="e">
        <v>#N/A</v>
      </c>
      <c r="J62" s="117"/>
      <c r="K62" s="30" t="s">
        <v>234</v>
      </c>
      <c r="L62" s="84" t="s">
        <v>297</v>
      </c>
      <c r="M62" s="84" t="s">
        <v>297</v>
      </c>
      <c r="N62" s="84" t="s">
        <v>297</v>
      </c>
      <c r="O62" s="84" t="s">
        <v>297</v>
      </c>
      <c r="P62" s="84" t="s">
        <v>297</v>
      </c>
      <c r="Q62" s="84" t="s">
        <v>297</v>
      </c>
      <c r="R62" s="143"/>
      <c r="S62" s="43" t="e">
        <f t="shared" si="2"/>
        <v>#DIV/0!</v>
      </c>
      <c r="T62" s="43" t="e">
        <f t="shared" si="3"/>
        <v>#DIV/0!</v>
      </c>
      <c r="U62" s="7"/>
      <c r="V62" s="7"/>
      <c r="W62" s="7"/>
      <c r="X62" s="7"/>
      <c r="Y62" s="7"/>
    </row>
    <row r="63" spans="2:78" ht="24" customHeight="1" thickBot="1" x14ac:dyDescent="0.25">
      <c r="B63" s="116"/>
      <c r="C63" s="114"/>
      <c r="D63" s="12" t="e">
        <v>#N/A</v>
      </c>
      <c r="E63" s="12" t="e">
        <v>#N/A</v>
      </c>
      <c r="F63" s="12" t="e">
        <v>#N/A</v>
      </c>
      <c r="G63" s="12" t="e">
        <v>#N/A</v>
      </c>
      <c r="H63" s="12" t="e">
        <v>#N/A</v>
      </c>
      <c r="I63" s="12" t="e">
        <v>#N/A</v>
      </c>
      <c r="J63" s="116"/>
      <c r="K63" s="83" t="s">
        <v>233</v>
      </c>
      <c r="L63" s="82">
        <v>117</v>
      </c>
      <c r="M63" s="82">
        <v>115</v>
      </c>
      <c r="N63" s="82">
        <v>117</v>
      </c>
      <c r="O63" s="82">
        <v>118</v>
      </c>
      <c r="P63" s="82">
        <v>131</v>
      </c>
      <c r="Q63" s="82">
        <v>116</v>
      </c>
      <c r="R63" s="145"/>
      <c r="S63" s="42">
        <f t="shared" si="2"/>
        <v>119</v>
      </c>
      <c r="T63" s="42">
        <f t="shared" si="3"/>
        <v>2.4358434541926814</v>
      </c>
      <c r="U63" s="7"/>
      <c r="V63" s="7"/>
      <c r="W63" s="7"/>
      <c r="X63" s="7"/>
      <c r="Y63" s="7"/>
      <c r="AK63" s="10"/>
      <c r="AL63" s="10"/>
      <c r="AM63" s="9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</row>
    <row r="64" spans="2:78" ht="24" customHeight="1" x14ac:dyDescent="0.2">
      <c r="B64" s="122">
        <v>33</v>
      </c>
      <c r="C64" s="113" t="s">
        <v>309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117"/>
      <c r="K64" s="30" t="s">
        <v>234</v>
      </c>
      <c r="L64" s="84" t="s">
        <v>297</v>
      </c>
      <c r="M64" s="84" t="s">
        <v>297</v>
      </c>
      <c r="N64" s="84" t="s">
        <v>297</v>
      </c>
      <c r="O64" s="84" t="s">
        <v>297</v>
      </c>
      <c r="P64" s="92" t="s">
        <v>297</v>
      </c>
      <c r="Q64" s="84" t="s">
        <v>297</v>
      </c>
      <c r="R64" s="143"/>
      <c r="S64" s="43" t="e">
        <f t="shared" si="2"/>
        <v>#DIV/0!</v>
      </c>
      <c r="T64" s="43" t="e">
        <f t="shared" si="3"/>
        <v>#DIV/0!</v>
      </c>
      <c r="U64" s="7"/>
      <c r="V64" s="7"/>
      <c r="W64" s="7"/>
      <c r="X64" s="7"/>
      <c r="Y64" s="7"/>
    </row>
    <row r="65" spans="2:78" ht="24" customHeight="1" thickBot="1" x14ac:dyDescent="0.25">
      <c r="B65" s="116"/>
      <c r="C65" s="114"/>
      <c r="D65" s="5" t="e">
        <v>#N/A</v>
      </c>
      <c r="E65" s="5" t="e">
        <v>#N/A</v>
      </c>
      <c r="F65" s="5" t="e">
        <v>#N/A</v>
      </c>
      <c r="G65" s="5" t="e">
        <v>#N/A</v>
      </c>
      <c r="H65" s="5" t="e">
        <v>#N/A</v>
      </c>
      <c r="I65" s="5" t="e">
        <v>#N/A</v>
      </c>
      <c r="J65" s="116"/>
      <c r="K65" s="30" t="s">
        <v>233</v>
      </c>
      <c r="L65" s="90">
        <v>96</v>
      </c>
      <c r="M65" s="90">
        <v>110</v>
      </c>
      <c r="N65" s="90">
        <v>99</v>
      </c>
      <c r="O65" s="90">
        <v>106</v>
      </c>
      <c r="P65" s="91">
        <v>92</v>
      </c>
      <c r="Q65" s="90">
        <v>103</v>
      </c>
      <c r="R65" s="145"/>
      <c r="S65" s="42">
        <f t="shared" si="2"/>
        <v>101</v>
      </c>
      <c r="T65" s="42">
        <f t="shared" si="3"/>
        <v>2.7080128015453204</v>
      </c>
      <c r="U65" s="7"/>
      <c r="V65" s="7"/>
      <c r="W65" s="7"/>
      <c r="X65" s="7"/>
      <c r="Y65" s="7"/>
    </row>
    <row r="66" spans="2:78" ht="24" customHeight="1" x14ac:dyDescent="0.2">
      <c r="B66" s="122">
        <v>32</v>
      </c>
      <c r="C66" s="113" t="s">
        <v>311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117"/>
      <c r="K66" s="30" t="s">
        <v>234</v>
      </c>
      <c r="L66" s="84" t="s">
        <v>297</v>
      </c>
      <c r="M66" s="84" t="s">
        <v>297</v>
      </c>
      <c r="N66" s="84" t="s">
        <v>297</v>
      </c>
      <c r="O66" s="84" t="s">
        <v>297</v>
      </c>
      <c r="P66" s="84" t="s">
        <v>297</v>
      </c>
      <c r="Q66" s="84" t="s">
        <v>297</v>
      </c>
      <c r="R66" s="143"/>
      <c r="S66" s="43" t="e">
        <f t="shared" si="2"/>
        <v>#DIV/0!</v>
      </c>
      <c r="T66" s="43" t="e">
        <f t="shared" si="3"/>
        <v>#DIV/0!</v>
      </c>
      <c r="AK66" s="10">
        <v>2</v>
      </c>
      <c r="AL66" s="10" t="s">
        <v>235</v>
      </c>
      <c r="AM66" s="10">
        <v>150</v>
      </c>
    </row>
    <row r="67" spans="2:78" ht="24" customHeight="1" thickBot="1" x14ac:dyDescent="0.25">
      <c r="B67" s="116"/>
      <c r="C67" s="114"/>
      <c r="D67" s="12" t="e">
        <v>#N/A</v>
      </c>
      <c r="E67" s="12" t="e">
        <v>#N/A</v>
      </c>
      <c r="F67" s="12" t="e">
        <v>#N/A</v>
      </c>
      <c r="G67" s="12" t="e">
        <v>#N/A</v>
      </c>
      <c r="H67" s="12" t="e">
        <v>#N/A</v>
      </c>
      <c r="I67" s="12" t="e">
        <v>#N/A</v>
      </c>
      <c r="J67" s="116"/>
      <c r="K67" s="83" t="s">
        <v>233</v>
      </c>
      <c r="L67" s="82">
        <v>109</v>
      </c>
      <c r="M67" s="82">
        <v>113</v>
      </c>
      <c r="N67" s="82">
        <v>108</v>
      </c>
      <c r="O67" s="82">
        <v>119</v>
      </c>
      <c r="P67" s="82">
        <v>108</v>
      </c>
      <c r="Q67" s="82">
        <v>120</v>
      </c>
      <c r="R67" s="145"/>
      <c r="S67" s="42">
        <f t="shared" si="2"/>
        <v>112.83333333333333</v>
      </c>
      <c r="T67" s="42">
        <f t="shared" si="3"/>
        <v>2.2422706745122851</v>
      </c>
      <c r="U67" s="7"/>
      <c r="V67" s="7"/>
      <c r="W67" s="7"/>
      <c r="X67" s="7"/>
      <c r="Y67" s="7"/>
      <c r="AK67" s="10"/>
      <c r="AL67" s="10"/>
      <c r="AM67" s="9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</row>
    <row r="68" spans="2:78" ht="24" customHeight="1" x14ac:dyDescent="0.2">
      <c r="B68" s="122">
        <v>31</v>
      </c>
      <c r="C68" s="113" t="s">
        <v>314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117"/>
      <c r="K68" s="30" t="s">
        <v>234</v>
      </c>
      <c r="L68" s="84" t="s">
        <v>297</v>
      </c>
      <c r="M68" s="84" t="s">
        <v>297</v>
      </c>
      <c r="N68" s="84" t="s">
        <v>297</v>
      </c>
      <c r="O68" s="84" t="s">
        <v>297</v>
      </c>
      <c r="P68" s="84" t="s">
        <v>297</v>
      </c>
      <c r="Q68" s="84" t="s">
        <v>297</v>
      </c>
      <c r="R68" s="143"/>
      <c r="S68" s="43" t="e">
        <f t="shared" si="2"/>
        <v>#DIV/0!</v>
      </c>
      <c r="T68" s="43" t="e">
        <f t="shared" si="3"/>
        <v>#DIV/0!</v>
      </c>
      <c r="U68" s="7"/>
      <c r="V68" s="7"/>
      <c r="W68" s="7"/>
      <c r="X68" s="7"/>
      <c r="Y68" s="7"/>
    </row>
    <row r="69" spans="2:78" ht="24" customHeight="1" thickBot="1" x14ac:dyDescent="0.25">
      <c r="B69" s="116"/>
      <c r="C69" s="114"/>
      <c r="D69" s="12" t="e">
        <v>#N/A</v>
      </c>
      <c r="E69" s="12" t="e">
        <v>#N/A</v>
      </c>
      <c r="F69" s="12" t="e">
        <v>#N/A</v>
      </c>
      <c r="G69" s="12" t="e">
        <v>#N/A</v>
      </c>
      <c r="H69" s="12" t="e">
        <v>#N/A</v>
      </c>
      <c r="I69" s="12" t="e">
        <v>#N/A</v>
      </c>
      <c r="J69" s="116"/>
      <c r="K69" s="83" t="s">
        <v>233</v>
      </c>
      <c r="L69" s="82">
        <v>114</v>
      </c>
      <c r="M69" s="82">
        <v>105</v>
      </c>
      <c r="N69" s="82">
        <v>104</v>
      </c>
      <c r="O69" s="82">
        <v>88</v>
      </c>
      <c r="P69" s="82">
        <v>101</v>
      </c>
      <c r="Q69" s="82">
        <v>103</v>
      </c>
      <c r="R69" s="145"/>
      <c r="S69" s="42">
        <f t="shared" si="2"/>
        <v>102.5</v>
      </c>
      <c r="T69" s="42">
        <f t="shared" si="3"/>
        <v>3.4326860231214473</v>
      </c>
      <c r="U69" s="7"/>
      <c r="V69" s="7"/>
      <c r="W69" s="7"/>
      <c r="X69" s="7"/>
      <c r="Y69" s="7"/>
      <c r="AK69" s="10"/>
      <c r="AL69" s="10"/>
      <c r="AM69" s="9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</row>
    <row r="70" spans="2:78" ht="24" customHeight="1" x14ac:dyDescent="0.2">
      <c r="B70" s="122">
        <v>41</v>
      </c>
      <c r="C70" s="113" t="s">
        <v>310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118">
        <v>1314</v>
      </c>
      <c r="K70" s="30" t="s">
        <v>234</v>
      </c>
      <c r="L70" s="89" t="s">
        <v>299</v>
      </c>
      <c r="M70" s="89" t="s">
        <v>299</v>
      </c>
      <c r="N70" s="90">
        <v>89</v>
      </c>
      <c r="O70" s="90">
        <v>65</v>
      </c>
      <c r="P70" s="90">
        <v>75</v>
      </c>
      <c r="Q70" s="90">
        <v>72</v>
      </c>
      <c r="R70" s="143"/>
      <c r="S70" s="43">
        <f t="shared" si="2"/>
        <v>75.25</v>
      </c>
      <c r="T70" s="43">
        <f t="shared" si="3"/>
        <v>4.1146756318761701</v>
      </c>
      <c r="U70" s="7"/>
      <c r="V70" s="7"/>
      <c r="W70" s="7"/>
      <c r="X70" s="7"/>
      <c r="Y70" s="7"/>
    </row>
    <row r="71" spans="2:78" ht="24" customHeight="1" thickBot="1" x14ac:dyDescent="0.25">
      <c r="B71" s="116"/>
      <c r="C71" s="114"/>
      <c r="D71" s="12" t="e">
        <v>#N/A</v>
      </c>
      <c r="E71" s="12" t="e">
        <v>#N/A</v>
      </c>
      <c r="F71" s="12" t="e">
        <v>#N/A</v>
      </c>
      <c r="G71" s="12" t="e">
        <v>#N/A</v>
      </c>
      <c r="H71" s="12" t="e">
        <v>#N/A</v>
      </c>
      <c r="I71" s="12" t="e">
        <v>#N/A</v>
      </c>
      <c r="J71" s="116"/>
      <c r="K71" s="83" t="s">
        <v>233</v>
      </c>
      <c r="L71" s="82">
        <v>93</v>
      </c>
      <c r="M71" s="82">
        <v>82</v>
      </c>
      <c r="N71" s="82">
        <v>67</v>
      </c>
      <c r="O71" s="82">
        <v>78</v>
      </c>
      <c r="P71" s="82">
        <v>70</v>
      </c>
      <c r="Q71" s="82">
        <v>74</v>
      </c>
      <c r="R71" s="145"/>
      <c r="S71" s="42">
        <f t="shared" si="2"/>
        <v>77.333333333333329</v>
      </c>
      <c r="T71" s="42">
        <f t="shared" si="3"/>
        <v>3.8268060369509884</v>
      </c>
      <c r="U71" s="7"/>
      <c r="V71" s="7"/>
      <c r="W71" s="7"/>
      <c r="X71" s="7"/>
      <c r="Y71" s="7"/>
      <c r="AK71" s="10"/>
      <c r="AL71" s="10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</row>
    <row r="72" spans="2:78" ht="24" customHeight="1" x14ac:dyDescent="0.2">
      <c r="B72" s="122">
        <v>42</v>
      </c>
      <c r="C72" s="113" t="s">
        <v>238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117"/>
      <c r="K72" s="30" t="s">
        <v>234</v>
      </c>
      <c r="L72" s="84" t="s">
        <v>297</v>
      </c>
      <c r="M72" s="89" t="s">
        <v>299</v>
      </c>
      <c r="N72" s="90">
        <v>93</v>
      </c>
      <c r="O72" s="89" t="s">
        <v>299</v>
      </c>
      <c r="P72" s="84" t="s">
        <v>297</v>
      </c>
      <c r="Q72" s="89" t="s">
        <v>299</v>
      </c>
      <c r="R72" s="143"/>
      <c r="S72" s="43">
        <f t="shared" si="2"/>
        <v>93</v>
      </c>
      <c r="T72" s="43" t="e">
        <f t="shared" si="3"/>
        <v>#DIV/0!</v>
      </c>
      <c r="U72" s="7"/>
      <c r="V72" s="7"/>
      <c r="W72" s="7"/>
      <c r="X72" s="7"/>
      <c r="Y72" s="7"/>
    </row>
    <row r="73" spans="2:78" ht="24" customHeight="1" thickBot="1" x14ac:dyDescent="0.25">
      <c r="B73" s="116"/>
      <c r="C73" s="114"/>
      <c r="D73" s="12" t="e">
        <v>#N/A</v>
      </c>
      <c r="E73" s="12" t="e">
        <v>#N/A</v>
      </c>
      <c r="F73" s="12" t="e">
        <v>#N/A</v>
      </c>
      <c r="G73" s="12" t="e">
        <v>#N/A</v>
      </c>
      <c r="H73" s="12" t="e">
        <v>#N/A</v>
      </c>
      <c r="I73" s="12" t="e">
        <v>#N/A</v>
      </c>
      <c r="J73" s="116"/>
      <c r="K73" s="83" t="s">
        <v>233</v>
      </c>
      <c r="L73" s="82">
        <v>95</v>
      </c>
      <c r="M73" s="82">
        <v>88</v>
      </c>
      <c r="N73" s="82">
        <v>95</v>
      </c>
      <c r="O73" s="82">
        <v>91</v>
      </c>
      <c r="P73" s="82">
        <v>90</v>
      </c>
      <c r="Q73" s="82">
        <v>92</v>
      </c>
      <c r="R73" s="145"/>
      <c r="S73" s="42">
        <f t="shared" si="2"/>
        <v>91.833333333333329</v>
      </c>
      <c r="T73" s="42">
        <f t="shared" si="3"/>
        <v>1.1377365443917342</v>
      </c>
      <c r="U73" s="7"/>
      <c r="V73" s="7"/>
      <c r="W73" s="7"/>
      <c r="X73" s="7"/>
      <c r="Y73" s="7"/>
      <c r="AK73" s="10"/>
      <c r="AL73" s="10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</row>
    <row r="74" spans="2:78" ht="24" customHeight="1" x14ac:dyDescent="0.2">
      <c r="B74" s="122">
        <v>43</v>
      </c>
      <c r="C74" s="113" t="s">
        <v>312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117"/>
      <c r="K74" s="30" t="s">
        <v>234</v>
      </c>
      <c r="L74" s="84" t="s">
        <v>297</v>
      </c>
      <c r="M74" s="84" t="s">
        <v>297</v>
      </c>
      <c r="N74" s="84" t="s">
        <v>297</v>
      </c>
      <c r="O74" s="84" t="s">
        <v>297</v>
      </c>
      <c r="P74" s="84" t="s">
        <v>297</v>
      </c>
      <c r="Q74" s="84" t="s">
        <v>297</v>
      </c>
      <c r="R74" s="143"/>
      <c r="S74" s="43" t="e">
        <f t="shared" ref="S74:S85" si="4">AVERAGE(L74:Q74)</f>
        <v>#DIV/0!</v>
      </c>
      <c r="T74" s="43" t="e">
        <f t="shared" ref="T74:T85" si="5">STDEV(L74:Q74)/SQRT(6)</f>
        <v>#DIV/0!</v>
      </c>
      <c r="U74" s="7"/>
      <c r="V74" s="7"/>
      <c r="W74" s="7"/>
      <c r="X74" s="7"/>
      <c r="Y74" s="7"/>
    </row>
    <row r="75" spans="2:78" ht="24" customHeight="1" thickBot="1" x14ac:dyDescent="0.25">
      <c r="B75" s="116"/>
      <c r="C75" s="114"/>
      <c r="D75" s="12" t="e">
        <v>#N/A</v>
      </c>
      <c r="E75" s="12" t="e">
        <v>#N/A</v>
      </c>
      <c r="F75" s="12" t="e">
        <v>#N/A</v>
      </c>
      <c r="G75" s="12" t="e">
        <v>#N/A</v>
      </c>
      <c r="H75" s="12" t="e">
        <v>#N/A</v>
      </c>
      <c r="I75" s="12" t="e">
        <v>#N/A</v>
      </c>
      <c r="J75" s="116"/>
      <c r="K75" s="83" t="s">
        <v>233</v>
      </c>
      <c r="L75" s="82">
        <v>96</v>
      </c>
      <c r="M75" s="82">
        <v>103</v>
      </c>
      <c r="N75" s="82">
        <v>102</v>
      </c>
      <c r="O75" s="82">
        <v>100</v>
      </c>
      <c r="P75" s="82">
        <v>112</v>
      </c>
      <c r="Q75" s="82">
        <v>98</v>
      </c>
      <c r="R75" s="145"/>
      <c r="S75" s="42">
        <f t="shared" si="4"/>
        <v>101.83333333333333</v>
      </c>
      <c r="T75" s="42">
        <f t="shared" si="5"/>
        <v>2.2864334186190027</v>
      </c>
      <c r="U75" s="7"/>
      <c r="V75" s="7"/>
      <c r="W75" s="7"/>
      <c r="X75" s="7"/>
      <c r="Y75" s="7"/>
      <c r="AK75" s="10"/>
      <c r="AL75" s="10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</row>
    <row r="76" spans="2:78" ht="24" customHeight="1" x14ac:dyDescent="0.2">
      <c r="B76" s="122">
        <v>44</v>
      </c>
      <c r="C76" s="113" t="s">
        <v>312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6"/>
      <c r="K76" s="30" t="s">
        <v>234</v>
      </c>
      <c r="L76" s="84" t="s">
        <v>297</v>
      </c>
      <c r="M76" s="89" t="s">
        <v>299</v>
      </c>
      <c r="N76" s="89" t="s">
        <v>299</v>
      </c>
      <c r="O76" s="89" t="s">
        <v>299</v>
      </c>
      <c r="P76" s="89" t="s">
        <v>299</v>
      </c>
      <c r="Q76" s="84" t="s">
        <v>297</v>
      </c>
      <c r="R76" s="143"/>
      <c r="S76" s="43" t="e">
        <f t="shared" si="4"/>
        <v>#DIV/0!</v>
      </c>
      <c r="T76" s="43" t="e">
        <f t="shared" si="5"/>
        <v>#DIV/0!</v>
      </c>
      <c r="U76" s="7"/>
      <c r="V76" s="7"/>
      <c r="W76" s="7"/>
      <c r="X76" s="7"/>
      <c r="Y76" s="7"/>
    </row>
    <row r="77" spans="2:78" ht="24" customHeight="1" thickBot="1" x14ac:dyDescent="0.25">
      <c r="B77" s="116"/>
      <c r="C77" s="114"/>
      <c r="D77" s="12" t="e">
        <v>#N/A</v>
      </c>
      <c r="E77" s="12" t="e">
        <v>#N/A</v>
      </c>
      <c r="F77" s="12" t="e">
        <v>#N/A</v>
      </c>
      <c r="G77" s="12" t="e">
        <v>#N/A</v>
      </c>
      <c r="H77" s="12" t="e">
        <v>#N/A</v>
      </c>
      <c r="I77" s="12" t="e">
        <v>#N/A</v>
      </c>
      <c r="J77" s="13"/>
      <c r="K77" s="83" t="s">
        <v>233</v>
      </c>
      <c r="L77" s="82">
        <v>122</v>
      </c>
      <c r="M77" s="82">
        <v>103</v>
      </c>
      <c r="N77" s="82">
        <v>122</v>
      </c>
      <c r="O77" s="82">
        <v>106</v>
      </c>
      <c r="P77" s="82">
        <v>86</v>
      </c>
      <c r="Q77" s="82">
        <v>104</v>
      </c>
      <c r="R77" s="145"/>
      <c r="S77" s="42">
        <f t="shared" si="4"/>
        <v>107.16666666666667</v>
      </c>
      <c r="T77" s="42">
        <f t="shared" si="5"/>
        <v>5.5282104799935894</v>
      </c>
      <c r="U77" s="7"/>
      <c r="V77" s="7"/>
      <c r="W77" s="7"/>
      <c r="X77" s="7"/>
      <c r="Y77" s="7"/>
      <c r="AK77" s="10"/>
      <c r="AL77" s="10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</row>
    <row r="78" spans="2:78" ht="24" customHeight="1" x14ac:dyDescent="0.2">
      <c r="B78" s="122">
        <v>45</v>
      </c>
      <c r="C78" s="113" t="s">
        <v>313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117"/>
      <c r="K78" s="30" t="s">
        <v>234</v>
      </c>
      <c r="L78" s="84" t="s">
        <v>297</v>
      </c>
      <c r="M78" s="84" t="s">
        <v>297</v>
      </c>
      <c r="N78" s="84" t="s">
        <v>297</v>
      </c>
      <c r="O78" s="84" t="s">
        <v>297</v>
      </c>
      <c r="P78" s="84" t="s">
        <v>297</v>
      </c>
      <c r="Q78" s="84" t="s">
        <v>297</v>
      </c>
      <c r="R78" s="143"/>
      <c r="S78" s="43" t="e">
        <f t="shared" si="4"/>
        <v>#DIV/0!</v>
      </c>
      <c r="T78" s="43" t="e">
        <f t="shared" si="5"/>
        <v>#DIV/0!</v>
      </c>
      <c r="U78" s="7"/>
      <c r="V78" s="7"/>
      <c r="W78" s="7"/>
      <c r="X78" s="7"/>
      <c r="Y78" s="7"/>
    </row>
    <row r="79" spans="2:78" ht="24" customHeight="1" thickBot="1" x14ac:dyDescent="0.25">
      <c r="B79" s="116"/>
      <c r="C79" s="114"/>
      <c r="D79" s="12" t="e">
        <v>#N/A</v>
      </c>
      <c r="E79" s="12" t="e">
        <v>#N/A</v>
      </c>
      <c r="F79" s="12" t="e">
        <v>#N/A</v>
      </c>
      <c r="G79" s="12" t="e">
        <v>#N/A</v>
      </c>
      <c r="H79" s="12" t="e">
        <v>#N/A</v>
      </c>
      <c r="I79" s="12" t="e">
        <v>#N/A</v>
      </c>
      <c r="J79" s="116"/>
      <c r="K79" s="83" t="s">
        <v>233</v>
      </c>
      <c r="L79" s="82">
        <v>110</v>
      </c>
      <c r="M79" s="82">
        <v>103</v>
      </c>
      <c r="N79" s="82">
        <v>114</v>
      </c>
      <c r="O79" s="82">
        <v>124</v>
      </c>
      <c r="P79" s="82">
        <v>114</v>
      </c>
      <c r="Q79" s="82">
        <v>98</v>
      </c>
      <c r="R79" s="145"/>
      <c r="S79" s="42">
        <f t="shared" si="4"/>
        <v>110.5</v>
      </c>
      <c r="T79" s="42">
        <f t="shared" si="5"/>
        <v>3.7394295465128553</v>
      </c>
      <c r="U79" s="7"/>
      <c r="V79" s="7"/>
      <c r="W79" s="7"/>
      <c r="X79" s="7"/>
      <c r="Y79" s="7"/>
      <c r="AK79" s="10"/>
      <c r="AL79" s="10"/>
      <c r="AM79" s="9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</row>
    <row r="80" spans="2:78" ht="24" customHeight="1" x14ac:dyDescent="0.2">
      <c r="B80" s="122">
        <v>46</v>
      </c>
      <c r="C80" s="113" t="s">
        <v>236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117"/>
      <c r="K80" s="85" t="s">
        <v>234</v>
      </c>
      <c r="L80" s="84" t="s">
        <v>297</v>
      </c>
      <c r="M80" s="84" t="s">
        <v>297</v>
      </c>
      <c r="N80" s="84" t="s">
        <v>297</v>
      </c>
      <c r="O80" s="84" t="s">
        <v>297</v>
      </c>
      <c r="P80" s="84" t="s">
        <v>297</v>
      </c>
      <c r="Q80" s="84" t="s">
        <v>297</v>
      </c>
      <c r="R80" s="143"/>
      <c r="S80" s="43" t="e">
        <f t="shared" si="4"/>
        <v>#DIV/0!</v>
      </c>
      <c r="T80" s="43" t="e">
        <f t="shared" si="5"/>
        <v>#DIV/0!</v>
      </c>
      <c r="U80" s="7"/>
      <c r="V80" s="7"/>
      <c r="W80" s="7"/>
      <c r="X80" s="7"/>
      <c r="Y80" s="7"/>
    </row>
    <row r="81" spans="2:25" ht="24" customHeight="1" thickBot="1" x14ac:dyDescent="0.25">
      <c r="B81" s="116"/>
      <c r="C81" s="114"/>
      <c r="D81" s="5" t="e">
        <v>#N/A</v>
      </c>
      <c r="E81" s="5" t="e">
        <v>#N/A</v>
      </c>
      <c r="F81" s="5" t="e">
        <v>#N/A</v>
      </c>
      <c r="G81" s="5" t="e">
        <v>#N/A</v>
      </c>
      <c r="H81" s="5" t="e">
        <v>#N/A</v>
      </c>
      <c r="I81" s="5" t="e">
        <v>#N/A</v>
      </c>
      <c r="J81" s="116"/>
      <c r="K81" s="83" t="s">
        <v>233</v>
      </c>
      <c r="L81" s="82">
        <v>112</v>
      </c>
      <c r="M81" s="82">
        <v>112</v>
      </c>
      <c r="N81" s="82">
        <v>127</v>
      </c>
      <c r="O81" s="82">
        <v>134</v>
      </c>
      <c r="P81" s="82">
        <v>144</v>
      </c>
      <c r="Q81" s="82">
        <v>147</v>
      </c>
      <c r="R81" s="145"/>
      <c r="S81" s="42">
        <f t="shared" si="4"/>
        <v>129.33333333333334</v>
      </c>
      <c r="T81" s="42">
        <f t="shared" si="5"/>
        <v>6.2057321172534472</v>
      </c>
      <c r="U81" s="7"/>
      <c r="V81" s="7"/>
      <c r="W81" s="7"/>
      <c r="X81" s="7"/>
      <c r="Y81" s="7"/>
    </row>
    <row r="82" spans="2:25" ht="24" customHeight="1" x14ac:dyDescent="0.2">
      <c r="B82" s="122">
        <v>47</v>
      </c>
      <c r="C82" s="113" t="s">
        <v>310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117"/>
      <c r="K82" s="85" t="s">
        <v>234</v>
      </c>
      <c r="L82" s="88">
        <v>94</v>
      </c>
      <c r="M82" s="88">
        <v>84</v>
      </c>
      <c r="N82" s="88">
        <v>91</v>
      </c>
      <c r="O82" s="87">
        <v>99</v>
      </c>
      <c r="P82" s="86" t="s">
        <v>299</v>
      </c>
      <c r="Q82" s="84" t="s">
        <v>297</v>
      </c>
      <c r="R82" s="143"/>
      <c r="S82" s="43">
        <f t="shared" si="4"/>
        <v>92</v>
      </c>
      <c r="T82" s="43">
        <f t="shared" si="5"/>
        <v>2.5603819159562029</v>
      </c>
    </row>
    <row r="83" spans="2:25" ht="24" customHeight="1" thickBot="1" x14ac:dyDescent="0.25">
      <c r="B83" s="116"/>
      <c r="C83" s="114"/>
      <c r="D83" s="5" t="e">
        <v>#N/A</v>
      </c>
      <c r="E83" s="5" t="e">
        <v>#N/A</v>
      </c>
      <c r="F83" s="5" t="e">
        <v>#N/A</v>
      </c>
      <c r="G83" s="5" t="e">
        <v>#N/A</v>
      </c>
      <c r="H83" s="5" t="e">
        <v>#N/A</v>
      </c>
      <c r="I83" s="5" t="e">
        <v>#N/A</v>
      </c>
      <c r="J83" s="116"/>
      <c r="K83" s="83" t="s">
        <v>233</v>
      </c>
      <c r="L83" s="82">
        <v>91</v>
      </c>
      <c r="M83" s="82">
        <v>84</v>
      </c>
      <c r="N83" s="82">
        <v>82</v>
      </c>
      <c r="O83" s="82">
        <v>88</v>
      </c>
      <c r="P83" s="82">
        <v>98</v>
      </c>
      <c r="Q83" s="82">
        <v>88</v>
      </c>
      <c r="R83" s="145"/>
      <c r="S83" s="42">
        <f t="shared" si="4"/>
        <v>88.5</v>
      </c>
      <c r="T83" s="42">
        <f t="shared" si="5"/>
        <v>2.3057898140695015</v>
      </c>
    </row>
    <row r="84" spans="2:25" ht="24" customHeight="1" x14ac:dyDescent="0.2">
      <c r="B84" s="122">
        <v>48</v>
      </c>
      <c r="C84" s="113" t="s">
        <v>311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118">
        <v>1328</v>
      </c>
      <c r="K84" s="85" t="s">
        <v>234</v>
      </c>
      <c r="L84" s="84" t="s">
        <v>297</v>
      </c>
      <c r="M84" s="84" t="s">
        <v>297</v>
      </c>
      <c r="N84" s="84" t="s">
        <v>297</v>
      </c>
      <c r="O84" s="84" t="s">
        <v>297</v>
      </c>
      <c r="P84" s="84" t="s">
        <v>297</v>
      </c>
      <c r="Q84" s="84" t="s">
        <v>297</v>
      </c>
      <c r="R84" s="143"/>
      <c r="S84" s="43" t="e">
        <f t="shared" si="4"/>
        <v>#DIV/0!</v>
      </c>
      <c r="T84" s="43" t="e">
        <f t="shared" si="5"/>
        <v>#DIV/0!</v>
      </c>
    </row>
    <row r="85" spans="2:25" ht="24" customHeight="1" thickBot="1" x14ac:dyDescent="0.25">
      <c r="B85" s="116"/>
      <c r="C85" s="114"/>
      <c r="D85" s="5" t="e">
        <v>#N/A</v>
      </c>
      <c r="E85" s="5" t="e">
        <v>#N/A</v>
      </c>
      <c r="F85" s="5" t="e">
        <v>#N/A</v>
      </c>
      <c r="G85" s="5" t="e">
        <v>#N/A</v>
      </c>
      <c r="H85" s="5" t="e">
        <v>#N/A</v>
      </c>
      <c r="I85" s="5" t="e">
        <v>#N/A</v>
      </c>
      <c r="J85" s="116"/>
      <c r="K85" s="83" t="s">
        <v>233</v>
      </c>
      <c r="L85" s="82">
        <v>137</v>
      </c>
      <c r="M85" s="82">
        <v>131</v>
      </c>
      <c r="N85" s="82">
        <v>109</v>
      </c>
      <c r="O85" s="82">
        <v>96</v>
      </c>
      <c r="P85" s="82">
        <v>117</v>
      </c>
      <c r="Q85" s="82">
        <v>120</v>
      </c>
      <c r="R85" s="145"/>
      <c r="S85" s="42">
        <f t="shared" si="4"/>
        <v>118.33333333333333</v>
      </c>
      <c r="T85" s="42">
        <f t="shared" si="5"/>
        <v>6.0534654904809928</v>
      </c>
    </row>
    <row r="86" spans="2:25" ht="24.95" customHeight="1" x14ac:dyDescent="0.2">
      <c r="K86" s="2"/>
    </row>
    <row r="87" spans="2:25" s="57" customFormat="1" ht="27.95" customHeight="1" x14ac:dyDescent="0.25">
      <c r="C87" s="139" t="s">
        <v>301</v>
      </c>
      <c r="D87" s="140"/>
      <c r="E87" s="140"/>
      <c r="F87" s="140"/>
      <c r="G87" s="140"/>
      <c r="H87" s="140"/>
      <c r="I87" s="140"/>
      <c r="J87" s="141"/>
      <c r="K87" s="64" t="s">
        <v>296</v>
      </c>
      <c r="L87" s="144" t="s">
        <v>300</v>
      </c>
      <c r="M87" s="144"/>
      <c r="N87" s="144"/>
      <c r="O87" s="144"/>
      <c r="P87" s="144"/>
      <c r="Q87" s="144"/>
    </row>
    <row r="88" spans="2:25" s="57" customFormat="1" ht="27.95" customHeight="1" x14ac:dyDescent="0.25">
      <c r="J88" s="63" t="s">
        <v>299</v>
      </c>
      <c r="K88" s="62" t="s">
        <v>296</v>
      </c>
      <c r="L88" s="57" t="s">
        <v>298</v>
      </c>
    </row>
    <row r="89" spans="2:25" s="57" customFormat="1" ht="27.95" customHeight="1" x14ac:dyDescent="0.25">
      <c r="J89" s="61" t="s">
        <v>297</v>
      </c>
      <c r="K89" s="60" t="s">
        <v>296</v>
      </c>
      <c r="L89" s="57" t="s">
        <v>295</v>
      </c>
    </row>
    <row r="90" spans="2:25" s="57" customFormat="1" ht="27.95" customHeight="1" x14ac:dyDescent="0.25">
      <c r="J90" s="34"/>
      <c r="K90" s="59"/>
    </row>
    <row r="91" spans="2:25" s="57" customFormat="1" ht="27.95" customHeight="1" x14ac:dyDescent="0.25">
      <c r="K91" s="35"/>
    </row>
    <row r="92" spans="2:25" s="57" customFormat="1" ht="27.95" customHeight="1" x14ac:dyDescent="0.25"/>
    <row r="93" spans="2:25" s="57" customFormat="1" ht="27.95" customHeight="1" x14ac:dyDescent="0.25"/>
    <row r="94" spans="2:25" s="57" customFormat="1" ht="27.95" customHeight="1" x14ac:dyDescent="0.25">
      <c r="L94" s="58"/>
    </row>
    <row r="95" spans="2:25" s="57" customFormat="1" ht="27.95" customHeight="1" x14ac:dyDescent="0.25"/>
  </sheetData>
  <mergeCells count="157">
    <mergeCell ref="AK5:AM5"/>
    <mergeCell ref="B8:K8"/>
    <mergeCell ref="B10:B11"/>
    <mergeCell ref="S7:S8"/>
    <mergeCell ref="T7:T8"/>
    <mergeCell ref="B30:B31"/>
    <mergeCell ref="B32:B33"/>
    <mergeCell ref="L6:Q6"/>
    <mergeCell ref="R7:R8"/>
    <mergeCell ref="R10:R13"/>
    <mergeCell ref="B12:B13"/>
    <mergeCell ref="B14:B15"/>
    <mergeCell ref="B16:B17"/>
    <mergeCell ref="C12:C13"/>
    <mergeCell ref="C14:C15"/>
    <mergeCell ref="C16:C17"/>
    <mergeCell ref="R14:R15"/>
    <mergeCell ref="C10:C11"/>
    <mergeCell ref="C28:C29"/>
    <mergeCell ref="C30:C31"/>
    <mergeCell ref="C32:C33"/>
    <mergeCell ref="R16:R17"/>
    <mergeCell ref="R18:R19"/>
    <mergeCell ref="R20:R21"/>
    <mergeCell ref="B34:B35"/>
    <mergeCell ref="B36:B37"/>
    <mergeCell ref="B22:B23"/>
    <mergeCell ref="B24:B25"/>
    <mergeCell ref="B26:B27"/>
    <mergeCell ref="B28:B29"/>
    <mergeCell ref="B18:B19"/>
    <mergeCell ref="B20:B21"/>
    <mergeCell ref="C87:J87"/>
    <mergeCell ref="C36:C37"/>
    <mergeCell ref="C38:C39"/>
    <mergeCell ref="C40:C41"/>
    <mergeCell ref="B70:B71"/>
    <mergeCell ref="B72:B73"/>
    <mergeCell ref="B74:B75"/>
    <mergeCell ref="B76:B77"/>
    <mergeCell ref="B62:B63"/>
    <mergeCell ref="B64:B65"/>
    <mergeCell ref="B66:B67"/>
    <mergeCell ref="B68:B69"/>
    <mergeCell ref="B46:B47"/>
    <mergeCell ref="B48:B49"/>
    <mergeCell ref="B50:B51"/>
    <mergeCell ref="B52:B53"/>
    <mergeCell ref="B38:B39"/>
    <mergeCell ref="B40:B41"/>
    <mergeCell ref="B42:B43"/>
    <mergeCell ref="B44:B45"/>
    <mergeCell ref="B82:B83"/>
    <mergeCell ref="B84:B85"/>
    <mergeCell ref="B54:B55"/>
    <mergeCell ref="B56:B57"/>
    <mergeCell ref="B58:B59"/>
    <mergeCell ref="B60:B61"/>
    <mergeCell ref="C58:C59"/>
    <mergeCell ref="C60:C61"/>
    <mergeCell ref="C62:C63"/>
    <mergeCell ref="B78:B79"/>
    <mergeCell ref="B80:B81"/>
    <mergeCell ref="J10:J11"/>
    <mergeCell ref="J12:J13"/>
    <mergeCell ref="J14:J15"/>
    <mergeCell ref="J16:J17"/>
    <mergeCell ref="J18:J19"/>
    <mergeCell ref="C64:C65"/>
    <mergeCell ref="C50:C51"/>
    <mergeCell ref="C52:C53"/>
    <mergeCell ref="C54:C55"/>
    <mergeCell ref="C56:C57"/>
    <mergeCell ref="C48:C49"/>
    <mergeCell ref="C18:C19"/>
    <mergeCell ref="C20:C21"/>
    <mergeCell ref="C22:C23"/>
    <mergeCell ref="C42:C43"/>
    <mergeCell ref="C44:C45"/>
    <mergeCell ref="C46:C47"/>
    <mergeCell ref="C24:C25"/>
    <mergeCell ref="C26:C27"/>
    <mergeCell ref="C34:C35"/>
    <mergeCell ref="C84:C85"/>
    <mergeCell ref="J24:J25"/>
    <mergeCell ref="J26:J27"/>
    <mergeCell ref="C74:C75"/>
    <mergeCell ref="C76:C77"/>
    <mergeCell ref="J42:J43"/>
    <mergeCell ref="J44:J45"/>
    <mergeCell ref="J46:J47"/>
    <mergeCell ref="J52:J53"/>
    <mergeCell ref="J50:J51"/>
    <mergeCell ref="J28:J29"/>
    <mergeCell ref="J32:J33"/>
    <mergeCell ref="J30:J31"/>
    <mergeCell ref="C82:C83"/>
    <mergeCell ref="J34:J35"/>
    <mergeCell ref="J36:J37"/>
    <mergeCell ref="J40:J41"/>
    <mergeCell ref="J38:J39"/>
    <mergeCell ref="C80:C81"/>
    <mergeCell ref="C66:C67"/>
    <mergeCell ref="C68:C69"/>
    <mergeCell ref="C70:C71"/>
    <mergeCell ref="C72:C73"/>
    <mergeCell ref="C78:C79"/>
    <mergeCell ref="J84:J85"/>
    <mergeCell ref="J70:J71"/>
    <mergeCell ref="J72:J73"/>
    <mergeCell ref="J74:J75"/>
    <mergeCell ref="J78:J79"/>
    <mergeCell ref="J62:J63"/>
    <mergeCell ref="J64:J65"/>
    <mergeCell ref="J66:J67"/>
    <mergeCell ref="J68:J69"/>
    <mergeCell ref="J80:J81"/>
    <mergeCell ref="J82:J83"/>
    <mergeCell ref="J54:J55"/>
    <mergeCell ref="J56:J57"/>
    <mergeCell ref="J58:J59"/>
    <mergeCell ref="J60:J61"/>
    <mergeCell ref="R30:R31"/>
    <mergeCell ref="J20:J21"/>
    <mergeCell ref="J22:J23"/>
    <mergeCell ref="R38:R39"/>
    <mergeCell ref="R40:R41"/>
    <mergeCell ref="R42:R43"/>
    <mergeCell ref="R44:R45"/>
    <mergeCell ref="R32:R33"/>
    <mergeCell ref="R34:R35"/>
    <mergeCell ref="R36:R37"/>
    <mergeCell ref="R22:R23"/>
    <mergeCell ref="R24:R25"/>
    <mergeCell ref="R26:R27"/>
    <mergeCell ref="R28:R29"/>
    <mergeCell ref="R62:R63"/>
    <mergeCell ref="R64:R65"/>
    <mergeCell ref="R66:R67"/>
    <mergeCell ref="R68:R69"/>
    <mergeCell ref="R54:R55"/>
    <mergeCell ref="R56:R57"/>
    <mergeCell ref="R58:R59"/>
    <mergeCell ref="R60:R61"/>
    <mergeCell ref="R46:R47"/>
    <mergeCell ref="R48:R49"/>
    <mergeCell ref="R50:R51"/>
    <mergeCell ref="R52:R53"/>
    <mergeCell ref="L87:Q87"/>
    <mergeCell ref="R70:R71"/>
    <mergeCell ref="R72:R73"/>
    <mergeCell ref="R74:R75"/>
    <mergeCell ref="R84:R85"/>
    <mergeCell ref="R76:R77"/>
    <mergeCell ref="R78:R79"/>
    <mergeCell ref="R80:R81"/>
    <mergeCell ref="R82:R83"/>
  </mergeCells>
  <pageMargins left="0.51" right="0" top="0.49" bottom="0" header="0.64" footer="0"/>
  <pageSetup paperSize="512" scale="59" fitToHeight="2" orientation="portrait" r:id="rId1"/>
  <headerFooter alignWithMargins="0">
    <oddFooter>&amp;L&amp;F   ALARC Remote Sensing&amp;R&amp;D</oddFooter>
  </headerFooter>
  <rowBreaks count="1" manualBreakCount="1">
    <brk id="37" max="17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F93C-04E8-4896-BF7E-4083800C8592}">
  <dimension ref="B1:P288"/>
  <sheetViews>
    <sheetView zoomScale="87" zoomScaleNormal="100" workbookViewId="0">
      <selection activeCell="G61" sqref="G61:G288"/>
    </sheetView>
  </sheetViews>
  <sheetFormatPr defaultRowHeight="12.75" x14ac:dyDescent="0.2"/>
  <cols>
    <col min="1" max="1" width="9.140625" style="1"/>
    <col min="2" max="3" width="9.140625" style="19"/>
    <col min="4" max="4" width="7.5703125" style="19" customWidth="1"/>
    <col min="5" max="10" width="10.7109375" style="1" customWidth="1"/>
    <col min="11" max="11" width="40" style="1" customWidth="1"/>
    <col min="12" max="12" width="10.5703125" style="151" customWidth="1"/>
    <col min="13" max="13" width="13.140625" style="150" customWidth="1"/>
    <col min="14" max="14" width="11.5703125" style="1" customWidth="1"/>
    <col min="15" max="15" width="3.140625" style="1" customWidth="1"/>
    <col min="16" max="16" width="13.140625" style="1" customWidth="1"/>
    <col min="17" max="16384" width="9.140625" style="1"/>
  </cols>
  <sheetData>
    <row r="1" spans="2:16" ht="19.5" x14ac:dyDescent="0.3">
      <c r="B1" s="200"/>
      <c r="C1" s="200"/>
      <c r="D1" s="200"/>
      <c r="E1" s="209" t="s">
        <v>394</v>
      </c>
      <c r="F1" s="201"/>
      <c r="G1" s="201"/>
      <c r="H1" s="201"/>
      <c r="I1" s="201"/>
      <c r="J1" s="201"/>
      <c r="K1" s="153"/>
      <c r="L1" s="155"/>
      <c r="M1" s="154"/>
      <c r="N1" s="153"/>
      <c r="O1" s="153"/>
    </row>
    <row r="2" spans="2:16" ht="16.5" x14ac:dyDescent="0.3">
      <c r="B2" s="200"/>
      <c r="C2" s="200"/>
      <c r="D2" s="200"/>
      <c r="E2" s="208" t="s">
        <v>393</v>
      </c>
      <c r="F2" s="201"/>
      <c r="G2" s="201"/>
      <c r="H2" s="201"/>
      <c r="I2" s="201"/>
      <c r="J2" s="201"/>
      <c r="K2" s="153"/>
      <c r="L2" s="155"/>
      <c r="M2" s="154"/>
      <c r="N2" s="153"/>
      <c r="O2" s="153"/>
    </row>
    <row r="3" spans="2:16" ht="15" x14ac:dyDescent="0.3">
      <c r="B3" s="200"/>
      <c r="C3" s="200"/>
      <c r="D3" s="200"/>
      <c r="E3" s="201" t="s">
        <v>392</v>
      </c>
      <c r="F3" s="201"/>
      <c r="G3" s="201"/>
      <c r="H3" s="201"/>
      <c r="I3" s="201"/>
      <c r="J3" s="201"/>
      <c r="K3" s="153"/>
      <c r="L3" s="155"/>
      <c r="M3" s="154"/>
      <c r="N3" s="153"/>
      <c r="O3" s="153"/>
    </row>
    <row r="4" spans="2:16" ht="15" x14ac:dyDescent="0.3">
      <c r="D4" s="205"/>
      <c r="E4" s="207" t="s">
        <v>391</v>
      </c>
      <c r="F4" s="206"/>
      <c r="G4" s="206"/>
      <c r="H4" s="206"/>
      <c r="I4" s="206"/>
      <c r="J4" s="205"/>
      <c r="K4" s="205"/>
      <c r="L4" s="155"/>
      <c r="M4" s="154"/>
      <c r="N4" s="153"/>
      <c r="O4" s="153"/>
    </row>
    <row r="5" spans="2:16" ht="26.25" customHeight="1" x14ac:dyDescent="0.3">
      <c r="B5" s="200" t="s">
        <v>278</v>
      </c>
      <c r="C5" s="200"/>
      <c r="D5" s="203" t="s">
        <v>390</v>
      </c>
      <c r="E5" s="203"/>
      <c r="F5" s="203"/>
      <c r="G5" s="203"/>
      <c r="H5" s="203"/>
      <c r="I5" s="203"/>
      <c r="J5" s="203"/>
      <c r="K5" s="204" t="s">
        <v>389</v>
      </c>
      <c r="L5" s="155"/>
      <c r="M5" s="154"/>
      <c r="N5" s="153"/>
      <c r="O5" s="153"/>
    </row>
    <row r="6" spans="2:16" ht="21.75" customHeight="1" x14ac:dyDescent="0.3">
      <c r="B6" s="200"/>
      <c r="C6" s="200"/>
      <c r="D6" s="203"/>
      <c r="E6" s="203"/>
      <c r="F6" s="203"/>
      <c r="G6" s="203"/>
      <c r="H6" s="203"/>
      <c r="I6" s="203"/>
      <c r="J6" s="203"/>
      <c r="K6" s="202" t="s">
        <v>388</v>
      </c>
      <c r="L6" s="155"/>
      <c r="M6" s="154"/>
      <c r="N6" s="153"/>
      <c r="O6" s="153"/>
    </row>
    <row r="7" spans="2:16" ht="15" x14ac:dyDescent="0.3">
      <c r="B7" s="200"/>
      <c r="C7" s="200"/>
      <c r="D7" s="200"/>
      <c r="E7" s="159"/>
      <c r="F7" s="159"/>
      <c r="G7" s="159"/>
      <c r="H7" s="159"/>
      <c r="I7" s="159"/>
      <c r="J7" s="159"/>
      <c r="K7" s="153"/>
      <c r="L7" s="155"/>
      <c r="M7" s="154"/>
      <c r="N7" s="153"/>
      <c r="O7" s="153"/>
    </row>
    <row r="8" spans="2:16" ht="15" x14ac:dyDescent="0.3">
      <c r="B8" s="200"/>
      <c r="C8" s="200"/>
      <c r="D8" s="200"/>
      <c r="E8" s="201" t="s">
        <v>387</v>
      </c>
      <c r="F8" s="201"/>
      <c r="G8" s="201"/>
      <c r="H8" s="201"/>
      <c r="I8" s="201"/>
      <c r="J8" s="201"/>
      <c r="K8" s="153"/>
      <c r="M8" s="155"/>
      <c r="N8" s="153"/>
      <c r="O8" s="153"/>
    </row>
    <row r="9" spans="2:16" ht="16.5" x14ac:dyDescent="0.35">
      <c r="B9" s="200"/>
      <c r="C9" s="200"/>
      <c r="D9" s="200"/>
      <c r="E9" s="197" t="s">
        <v>386</v>
      </c>
      <c r="F9" s="198" t="s">
        <v>384</v>
      </c>
      <c r="G9" s="198" t="s">
        <v>385</v>
      </c>
      <c r="H9" s="199"/>
      <c r="I9" s="198" t="s">
        <v>384</v>
      </c>
      <c r="J9" s="197" t="s">
        <v>383</v>
      </c>
      <c r="K9" s="153"/>
      <c r="L9" s="196" t="s">
        <v>382</v>
      </c>
      <c r="M9" s="196"/>
      <c r="N9" s="153"/>
      <c r="O9" s="153"/>
      <c r="P9" s="195" t="s">
        <v>381</v>
      </c>
    </row>
    <row r="10" spans="2:16" ht="16.5" x14ac:dyDescent="0.35">
      <c r="B10" s="194" t="s">
        <v>256</v>
      </c>
      <c r="C10" s="194" t="s">
        <v>380</v>
      </c>
      <c r="D10" s="194" t="s">
        <v>248</v>
      </c>
      <c r="E10" s="193" t="s">
        <v>379</v>
      </c>
      <c r="F10" s="193" t="s">
        <v>378</v>
      </c>
      <c r="G10" s="193" t="s">
        <v>377</v>
      </c>
      <c r="H10" s="193" t="s">
        <v>376</v>
      </c>
      <c r="I10" s="193" t="s">
        <v>375</v>
      </c>
      <c r="J10" s="193" t="s">
        <v>374</v>
      </c>
      <c r="K10" s="192" t="s">
        <v>373</v>
      </c>
      <c r="L10" s="191" t="s">
        <v>372</v>
      </c>
      <c r="M10" s="191" t="s">
        <v>371</v>
      </c>
      <c r="N10" s="191" t="s">
        <v>370</v>
      </c>
      <c r="O10" s="153"/>
      <c r="P10" s="190"/>
    </row>
    <row r="11" spans="2:16" ht="16.5" x14ac:dyDescent="0.3">
      <c r="B11" s="172" t="s">
        <v>369</v>
      </c>
      <c r="C11" s="171" t="s">
        <v>368</v>
      </c>
      <c r="D11" s="189"/>
      <c r="E11" s="187"/>
      <c r="F11" s="184"/>
      <c r="G11" s="186"/>
      <c r="H11" s="185"/>
      <c r="I11" s="184"/>
      <c r="J11" s="184"/>
      <c r="K11" s="173"/>
      <c r="L11" s="154"/>
      <c r="M11" s="154"/>
      <c r="N11" s="153"/>
      <c r="O11" s="153"/>
      <c r="P11" s="176" t="s">
        <v>367</v>
      </c>
    </row>
    <row r="12" spans="2:16" ht="16.5" x14ac:dyDescent="0.3">
      <c r="B12" s="172" t="s">
        <v>366</v>
      </c>
      <c r="C12" s="183" t="s">
        <v>358</v>
      </c>
      <c r="D12" s="170">
        <v>1034</v>
      </c>
      <c r="E12" s="181">
        <v>5</v>
      </c>
      <c r="F12" s="167">
        <v>8</v>
      </c>
      <c r="G12" s="169">
        <v>13</v>
      </c>
      <c r="H12" s="168">
        <v>6</v>
      </c>
      <c r="I12" s="167">
        <v>11</v>
      </c>
      <c r="J12" s="167">
        <v>11</v>
      </c>
      <c r="K12" s="173"/>
      <c r="L12" s="154">
        <f>AVERAGE(E12:J12)</f>
        <v>9</v>
      </c>
      <c r="M12" s="154">
        <f>STDEV(E12:J12)/SQRT(COUNT(E12:J12))</f>
        <v>1.2909944487358058</v>
      </c>
      <c r="N12" s="154">
        <f>STDEV(E12:J12)</f>
        <v>3.1622776601683795</v>
      </c>
      <c r="O12" s="153"/>
      <c r="P12" s="154">
        <f>AVERAGE(E11:J18)</f>
        <v>8.3333333333333339</v>
      </c>
    </row>
    <row r="13" spans="2:16" ht="16.5" x14ac:dyDescent="0.3">
      <c r="B13" s="172" t="s">
        <v>365</v>
      </c>
      <c r="C13" s="174" t="s">
        <v>364</v>
      </c>
      <c r="D13" s="188"/>
      <c r="E13" s="187"/>
      <c r="F13" s="184"/>
      <c r="G13" s="186"/>
      <c r="H13" s="185"/>
      <c r="I13" s="184"/>
      <c r="J13" s="184"/>
      <c r="K13" s="173"/>
      <c r="L13" s="154"/>
      <c r="M13" s="154"/>
      <c r="N13" s="153"/>
      <c r="O13" s="153"/>
    </row>
    <row r="14" spans="2:16" ht="16.5" x14ac:dyDescent="0.3">
      <c r="B14" s="172" t="s">
        <v>363</v>
      </c>
      <c r="C14" s="183" t="s">
        <v>358</v>
      </c>
      <c r="D14" s="170"/>
      <c r="E14" s="181">
        <v>7</v>
      </c>
      <c r="F14" s="167">
        <v>5</v>
      </c>
      <c r="G14" s="169">
        <v>10</v>
      </c>
      <c r="H14" s="168">
        <v>6</v>
      </c>
      <c r="I14" s="167">
        <v>10</v>
      </c>
      <c r="J14" s="167">
        <v>6</v>
      </c>
      <c r="K14" s="173"/>
      <c r="L14" s="154">
        <f>AVERAGE(E14:J14)</f>
        <v>7.333333333333333</v>
      </c>
      <c r="M14" s="154">
        <f>STDEV(E14:J14)/SQRT(COUNT(E14:J14))</f>
        <v>0.88191710368819642</v>
      </c>
      <c r="N14" s="154">
        <f>STDEV(E14:J14)</f>
        <v>2.1602468994692856</v>
      </c>
      <c r="O14" s="153"/>
    </row>
    <row r="15" spans="2:16" ht="16.5" x14ac:dyDescent="0.3">
      <c r="B15" s="172" t="s">
        <v>362</v>
      </c>
      <c r="C15" s="183" t="s">
        <v>358</v>
      </c>
      <c r="D15" s="170"/>
      <c r="E15" s="181">
        <v>10</v>
      </c>
      <c r="F15" s="167">
        <v>4</v>
      </c>
      <c r="G15" s="169">
        <v>7</v>
      </c>
      <c r="H15" s="168">
        <v>11</v>
      </c>
      <c r="I15" s="167">
        <v>6</v>
      </c>
      <c r="J15" s="167">
        <v>9</v>
      </c>
      <c r="K15" s="173"/>
      <c r="L15" s="154">
        <f>AVERAGE(E15:J15)</f>
        <v>7.833333333333333</v>
      </c>
      <c r="M15" s="154">
        <f>STDEV(E15:J15)/SQRT(COUNT(E15:J15))</f>
        <v>1.0775486583496408</v>
      </c>
      <c r="N15" s="154">
        <f>STDEV(E15:J15)</f>
        <v>2.6394443859772201</v>
      </c>
      <c r="O15" s="153"/>
    </row>
    <row r="16" spans="2:16" ht="16.5" x14ac:dyDescent="0.3">
      <c r="B16" s="172" t="s">
        <v>361</v>
      </c>
      <c r="C16" s="183" t="s">
        <v>358</v>
      </c>
      <c r="D16" s="170"/>
      <c r="E16" s="181">
        <v>5</v>
      </c>
      <c r="F16" s="167">
        <v>10</v>
      </c>
      <c r="G16" s="169">
        <v>12</v>
      </c>
      <c r="H16" s="168">
        <v>8</v>
      </c>
      <c r="I16" s="167">
        <v>3</v>
      </c>
      <c r="J16" s="167">
        <v>12</v>
      </c>
      <c r="K16" s="173"/>
      <c r="L16" s="154">
        <f>AVERAGE(E16:J16)</f>
        <v>8.3333333333333339</v>
      </c>
      <c r="M16" s="154">
        <f>STDEV(E16:J16)/SQRT(COUNT(E16:J16))</f>
        <v>1.5202339001321838</v>
      </c>
      <c r="N16" s="154">
        <f>STDEV(E16:J16)</f>
        <v>3.7237973450050506</v>
      </c>
      <c r="O16" s="153"/>
    </row>
    <row r="17" spans="2:16" ht="16.5" x14ac:dyDescent="0.3">
      <c r="B17" s="172" t="s">
        <v>360</v>
      </c>
      <c r="C17" s="183" t="s">
        <v>358</v>
      </c>
      <c r="D17" s="170"/>
      <c r="E17" s="181">
        <v>8</v>
      </c>
      <c r="F17" s="167">
        <v>6</v>
      </c>
      <c r="G17" s="169">
        <v>11</v>
      </c>
      <c r="H17" s="168">
        <v>14</v>
      </c>
      <c r="I17" s="167">
        <v>10</v>
      </c>
      <c r="J17" s="167">
        <v>10</v>
      </c>
      <c r="K17" s="173"/>
      <c r="L17" s="154">
        <f>AVERAGE(E17:J17)</f>
        <v>9.8333333333333339</v>
      </c>
      <c r="M17" s="154">
        <f>STDEV(E17:J17)/SQRT(COUNT(E17:J17))</f>
        <v>1.1080513425729781</v>
      </c>
      <c r="N17" s="154">
        <f>STDEV(E17:J17)</f>
        <v>2.7141603981096392</v>
      </c>
      <c r="O17" s="153"/>
    </row>
    <row r="18" spans="2:16" ht="16.5" x14ac:dyDescent="0.3">
      <c r="B18" s="172" t="s">
        <v>359</v>
      </c>
      <c r="C18" s="182" t="s">
        <v>358</v>
      </c>
      <c r="D18" s="170">
        <v>1018</v>
      </c>
      <c r="E18" s="181">
        <v>8</v>
      </c>
      <c r="F18" s="167">
        <v>11</v>
      </c>
      <c r="G18" s="169">
        <v>13</v>
      </c>
      <c r="H18" s="168">
        <v>6</v>
      </c>
      <c r="I18" s="167">
        <v>3</v>
      </c>
      <c r="J18" s="167">
        <v>5</v>
      </c>
      <c r="K18" s="173"/>
      <c r="L18" s="154">
        <f>AVERAGE(E18:J18)</f>
        <v>7.666666666666667</v>
      </c>
      <c r="M18" s="154">
        <f>STDEV(E18:J18)/SQRT(COUNT(E18:J18))</f>
        <v>1.5420044674960502</v>
      </c>
      <c r="N18" s="154">
        <f>STDEV(E18:J18)</f>
        <v>3.7771241264574114</v>
      </c>
      <c r="O18" s="153"/>
    </row>
    <row r="19" spans="2:16" ht="3" customHeight="1" x14ac:dyDescent="0.3">
      <c r="B19" s="160"/>
      <c r="C19" s="180"/>
      <c r="D19" s="179"/>
      <c r="E19" s="178"/>
      <c r="F19" s="178"/>
      <c r="G19" s="178"/>
      <c r="H19" s="178"/>
      <c r="I19" s="178"/>
      <c r="J19" s="178"/>
      <c r="K19" s="161"/>
      <c r="L19" s="154" t="e">
        <f>AVERAGE(E19:J19)</f>
        <v>#DIV/0!</v>
      </c>
      <c r="M19" s="154" t="e">
        <f>STDEV(E19:J19)/SQRT(COUNT(E19:J19))</f>
        <v>#DIV/0!</v>
      </c>
      <c r="N19" s="153" t="e">
        <f>STDEV(E19:J19)</f>
        <v>#DIV/0!</v>
      </c>
      <c r="O19" s="153"/>
    </row>
    <row r="20" spans="2:16" ht="16.5" x14ac:dyDescent="0.3">
      <c r="B20" s="172" t="s">
        <v>357</v>
      </c>
      <c r="C20" s="174" t="s">
        <v>311</v>
      </c>
      <c r="D20" s="170">
        <v>957</v>
      </c>
      <c r="E20" s="167">
        <v>1</v>
      </c>
      <c r="F20" s="167">
        <v>3</v>
      </c>
      <c r="G20" s="169">
        <v>3</v>
      </c>
      <c r="H20" s="168">
        <v>4</v>
      </c>
      <c r="I20" s="167">
        <v>6</v>
      </c>
      <c r="J20" s="167">
        <v>4</v>
      </c>
      <c r="K20" s="173"/>
      <c r="L20" s="154">
        <f>AVERAGE(E20:J20)</f>
        <v>3.5</v>
      </c>
      <c r="M20" s="154">
        <f>STDEV(E20:J20)/SQRT(COUNT(E20:J20))</f>
        <v>0.67082039324993703</v>
      </c>
      <c r="N20" s="154">
        <f>STDEV(E20:J20)</f>
        <v>1.6431676725154984</v>
      </c>
      <c r="O20" s="153"/>
      <c r="P20" s="176" t="s">
        <v>356</v>
      </c>
    </row>
    <row r="21" spans="2:16" ht="16.5" x14ac:dyDescent="0.3">
      <c r="B21" s="172" t="s">
        <v>355</v>
      </c>
      <c r="C21" s="174" t="s">
        <v>236</v>
      </c>
      <c r="D21" s="170"/>
      <c r="E21" s="167">
        <v>12</v>
      </c>
      <c r="F21" s="167">
        <v>10</v>
      </c>
      <c r="G21" s="169">
        <v>9</v>
      </c>
      <c r="H21" s="168">
        <v>11</v>
      </c>
      <c r="I21" s="167">
        <v>10</v>
      </c>
      <c r="J21" s="167">
        <v>10</v>
      </c>
      <c r="K21" s="173"/>
      <c r="L21" s="154">
        <f>AVERAGE(E21:J21)</f>
        <v>10.333333333333334</v>
      </c>
      <c r="M21" s="154">
        <f>STDEV(E21:J21)/SQRT(COUNT(E21:J21))</f>
        <v>0.42163702135578401</v>
      </c>
      <c r="N21" s="154">
        <f>STDEV(E21:J21)</f>
        <v>1.0327955589886446</v>
      </c>
      <c r="O21" s="153"/>
      <c r="P21" s="154">
        <f>AVERAGE(E20:J27)</f>
        <v>5.5</v>
      </c>
    </row>
    <row r="22" spans="2:16" ht="16.5" x14ac:dyDescent="0.3">
      <c r="B22" s="172" t="s">
        <v>354</v>
      </c>
      <c r="C22" s="174" t="s">
        <v>312</v>
      </c>
      <c r="D22" s="170"/>
      <c r="E22" s="167">
        <v>2</v>
      </c>
      <c r="F22" s="167">
        <v>2</v>
      </c>
      <c r="G22" s="169">
        <v>2</v>
      </c>
      <c r="H22" s="168">
        <v>3</v>
      </c>
      <c r="I22" s="167">
        <v>4</v>
      </c>
      <c r="J22" s="167">
        <v>5</v>
      </c>
      <c r="K22" s="173"/>
      <c r="L22" s="154">
        <f>AVERAGE(E22:J22)</f>
        <v>3</v>
      </c>
      <c r="M22" s="154">
        <f>STDEV(E22:J22)/SQRT(COUNT(E22:J22))</f>
        <v>0.51639777949432231</v>
      </c>
      <c r="N22" s="154">
        <f>STDEV(E22:J22)</f>
        <v>1.2649110640673518</v>
      </c>
      <c r="O22" s="153"/>
    </row>
    <row r="23" spans="2:16" ht="16.5" x14ac:dyDescent="0.3">
      <c r="B23" s="172" t="s">
        <v>353</v>
      </c>
      <c r="C23" s="174" t="s">
        <v>310</v>
      </c>
      <c r="D23" s="170"/>
      <c r="E23" s="167">
        <v>8</v>
      </c>
      <c r="F23" s="167">
        <v>10</v>
      </c>
      <c r="G23" s="169">
        <v>10</v>
      </c>
      <c r="H23" s="168">
        <v>8</v>
      </c>
      <c r="I23" s="167">
        <v>9</v>
      </c>
      <c r="J23" s="167">
        <v>10</v>
      </c>
      <c r="K23" s="173"/>
      <c r="L23" s="154">
        <f>AVERAGE(E23:J23)</f>
        <v>9.1666666666666661</v>
      </c>
      <c r="M23" s="154">
        <f>STDEV(E23:J23)/SQRT(COUNT(E23:J23))</f>
        <v>0.40138648595974324</v>
      </c>
      <c r="N23" s="154">
        <f>STDEV(E23:J23)</f>
        <v>0.98319208025017513</v>
      </c>
      <c r="O23" s="153"/>
    </row>
    <row r="24" spans="2:16" ht="16.5" x14ac:dyDescent="0.3">
      <c r="B24" s="172" t="s">
        <v>352</v>
      </c>
      <c r="C24" s="174" t="s">
        <v>311</v>
      </c>
      <c r="D24" s="170"/>
      <c r="E24" s="167">
        <v>6</v>
      </c>
      <c r="F24" s="167">
        <v>2</v>
      </c>
      <c r="G24" s="169">
        <v>3</v>
      </c>
      <c r="H24" s="168">
        <v>1</v>
      </c>
      <c r="I24" s="167">
        <v>5</v>
      </c>
      <c r="J24" s="167">
        <v>4</v>
      </c>
      <c r="K24" s="173"/>
      <c r="L24" s="154">
        <f>AVERAGE(E24:J24)</f>
        <v>3.5</v>
      </c>
      <c r="M24" s="154">
        <f>STDEV(E24:J24)/SQRT(COUNT(E24:J24))</f>
        <v>0.76376261582597338</v>
      </c>
      <c r="N24" s="154">
        <f>STDEV(E24:J24)</f>
        <v>1.8708286933869707</v>
      </c>
      <c r="O24" s="153"/>
    </row>
    <row r="25" spans="2:16" ht="16.5" x14ac:dyDescent="0.3">
      <c r="B25" s="172" t="s">
        <v>351</v>
      </c>
      <c r="C25" s="174" t="s">
        <v>310</v>
      </c>
      <c r="D25" s="170"/>
      <c r="E25" s="167">
        <v>4</v>
      </c>
      <c r="F25" s="167">
        <v>5</v>
      </c>
      <c r="G25" s="169">
        <v>9</v>
      </c>
      <c r="H25" s="168">
        <v>10</v>
      </c>
      <c r="I25" s="167">
        <v>4</v>
      </c>
      <c r="J25" s="167">
        <v>11</v>
      </c>
      <c r="K25" s="173"/>
      <c r="L25" s="154">
        <f>AVERAGE(E25:J25)</f>
        <v>7.166666666666667</v>
      </c>
      <c r="M25" s="154">
        <f>STDEV(E25:J25)/SQRT(COUNT(E25:J25))</f>
        <v>1.3017082793177757</v>
      </c>
      <c r="N25" s="154">
        <f>STDEV(E25:J25)</f>
        <v>3.1885210782848312</v>
      </c>
      <c r="O25" s="153"/>
    </row>
    <row r="26" spans="2:16" ht="16.5" x14ac:dyDescent="0.3">
      <c r="B26" s="172" t="s">
        <v>350</v>
      </c>
      <c r="C26" s="174" t="s">
        <v>309</v>
      </c>
      <c r="D26" s="170"/>
      <c r="E26" s="167">
        <v>4</v>
      </c>
      <c r="F26" s="167">
        <v>2</v>
      </c>
      <c r="G26" s="169">
        <v>3</v>
      </c>
      <c r="H26" s="168">
        <v>4</v>
      </c>
      <c r="I26" s="167">
        <v>3</v>
      </c>
      <c r="J26" s="167">
        <v>5</v>
      </c>
      <c r="K26" s="173"/>
      <c r="L26" s="154">
        <f>AVERAGE(E26:J26)</f>
        <v>3.5</v>
      </c>
      <c r="M26" s="154">
        <f>STDEV(E26:J26)/SQRT(COUNT(E26:J26))</f>
        <v>0.4281744192888377</v>
      </c>
      <c r="N26" s="154">
        <f>STDEV(E26:J26)</f>
        <v>1.0488088481701516</v>
      </c>
      <c r="O26" s="153"/>
    </row>
    <row r="27" spans="2:16" ht="16.5" x14ac:dyDescent="0.3">
      <c r="B27" s="172" t="s">
        <v>349</v>
      </c>
      <c r="C27" s="174" t="s">
        <v>238</v>
      </c>
      <c r="D27" s="170">
        <v>1015</v>
      </c>
      <c r="E27" s="167">
        <v>7</v>
      </c>
      <c r="F27" s="167">
        <v>4</v>
      </c>
      <c r="G27" s="169">
        <v>4</v>
      </c>
      <c r="H27" s="168">
        <v>2</v>
      </c>
      <c r="I27" s="167">
        <v>2</v>
      </c>
      <c r="J27" s="167">
        <v>4</v>
      </c>
      <c r="K27" s="173"/>
      <c r="L27" s="154">
        <f>AVERAGE(E27:J27)</f>
        <v>3.8333333333333335</v>
      </c>
      <c r="M27" s="154">
        <f>STDEV(E27:J27)/SQRT(COUNT(E27:J27))</f>
        <v>0.74907350180814103</v>
      </c>
      <c r="N27" s="154">
        <f>STDEV(E27:J27)</f>
        <v>1.8348478592697177</v>
      </c>
      <c r="O27" s="153"/>
    </row>
    <row r="28" spans="2:16" ht="3" customHeight="1" x14ac:dyDescent="0.3">
      <c r="B28" s="160"/>
      <c r="C28" s="180"/>
      <c r="D28" s="179"/>
      <c r="E28" s="178"/>
      <c r="F28" s="178"/>
      <c r="G28" s="178"/>
      <c r="H28" s="178"/>
      <c r="I28" s="178"/>
      <c r="J28" s="178"/>
      <c r="K28" s="161"/>
      <c r="L28" s="154"/>
      <c r="M28" s="154"/>
      <c r="N28" s="153"/>
      <c r="O28" s="153"/>
    </row>
    <row r="29" spans="2:16" ht="16.5" x14ac:dyDescent="0.3">
      <c r="B29" s="172" t="s">
        <v>348</v>
      </c>
      <c r="C29" s="174" t="s">
        <v>309</v>
      </c>
      <c r="D29" s="170">
        <v>955</v>
      </c>
      <c r="E29" s="167">
        <v>1</v>
      </c>
      <c r="F29" s="167">
        <v>4</v>
      </c>
      <c r="G29" s="169">
        <v>2</v>
      </c>
      <c r="H29" s="168">
        <v>2</v>
      </c>
      <c r="I29" s="167">
        <v>4</v>
      </c>
      <c r="J29" s="167">
        <v>2</v>
      </c>
      <c r="K29" s="173"/>
      <c r="L29" s="154">
        <f>AVERAGE(E29:J29)</f>
        <v>2.5</v>
      </c>
      <c r="M29" s="154">
        <f>STDEV(E29:J29)/SQRT(COUNT(E29:J29))</f>
        <v>0.5</v>
      </c>
      <c r="N29" s="154">
        <f>STDEV(E29:J29)</f>
        <v>1.2247448713915889</v>
      </c>
      <c r="O29" s="153"/>
      <c r="P29" s="176" t="s">
        <v>347</v>
      </c>
    </row>
    <row r="30" spans="2:16" ht="16.5" x14ac:dyDescent="0.3">
      <c r="B30" s="172" t="s">
        <v>346</v>
      </c>
      <c r="C30" s="174" t="s">
        <v>238</v>
      </c>
      <c r="D30" s="170"/>
      <c r="E30" s="167">
        <v>3</v>
      </c>
      <c r="F30" s="167">
        <v>2</v>
      </c>
      <c r="G30" s="169">
        <v>2</v>
      </c>
      <c r="H30" s="168">
        <v>2</v>
      </c>
      <c r="I30" s="167">
        <v>0</v>
      </c>
      <c r="J30" s="167">
        <v>5</v>
      </c>
      <c r="K30" s="173"/>
      <c r="L30" s="154">
        <f>AVERAGE(E30:J30)</f>
        <v>2.3333333333333335</v>
      </c>
      <c r="M30" s="154">
        <f>STDEV(E30:J30)/SQRT(COUNT(E30:J30))</f>
        <v>0.66666666666666674</v>
      </c>
      <c r="N30" s="154">
        <f>STDEV(E30:J30)</f>
        <v>1.6329931618554521</v>
      </c>
      <c r="O30" s="153"/>
      <c r="P30" s="154">
        <f>AVERAGE(E29:J36)</f>
        <v>6.75</v>
      </c>
    </row>
    <row r="31" spans="2:16" ht="16.5" x14ac:dyDescent="0.3">
      <c r="B31" s="172" t="s">
        <v>345</v>
      </c>
      <c r="C31" s="174" t="s">
        <v>313</v>
      </c>
      <c r="D31" s="170"/>
      <c r="E31" s="167">
        <v>5</v>
      </c>
      <c r="F31" s="167">
        <v>10</v>
      </c>
      <c r="G31" s="169">
        <v>11</v>
      </c>
      <c r="H31" s="168">
        <v>9</v>
      </c>
      <c r="I31" s="167">
        <v>13</v>
      </c>
      <c r="J31" s="167">
        <v>12</v>
      </c>
      <c r="K31" s="173"/>
      <c r="L31" s="154">
        <f>AVERAGE(E31:J31)</f>
        <v>10</v>
      </c>
      <c r="M31" s="154">
        <f>STDEV(E31:J31)/SQRT(COUNT(E31:J31))</f>
        <v>1.1547005383792517</v>
      </c>
      <c r="N31" s="154">
        <f>STDEV(E31:J31)</f>
        <v>2.8284271247461903</v>
      </c>
      <c r="O31" s="153"/>
    </row>
    <row r="32" spans="2:16" ht="16.5" x14ac:dyDescent="0.3">
      <c r="B32" s="172" t="s">
        <v>344</v>
      </c>
      <c r="C32" s="174" t="s">
        <v>314</v>
      </c>
      <c r="D32" s="170"/>
      <c r="E32" s="167">
        <v>11</v>
      </c>
      <c r="F32" s="167">
        <v>12</v>
      </c>
      <c r="G32" s="169">
        <v>13</v>
      </c>
      <c r="H32" s="168">
        <v>9</v>
      </c>
      <c r="I32" s="167">
        <v>8</v>
      </c>
      <c r="J32" s="167">
        <v>8</v>
      </c>
      <c r="K32" s="173"/>
      <c r="L32" s="154">
        <f>AVERAGE(E32:J32)</f>
        <v>10.166666666666666</v>
      </c>
      <c r="M32" s="154">
        <f>STDEV(E32:J32)/SQRT(COUNT(E32:J32))</f>
        <v>0.87241682188682756</v>
      </c>
      <c r="N32" s="154">
        <f>STDEV(E32:J32)</f>
        <v>2.1369760566432827</v>
      </c>
      <c r="O32" s="153"/>
    </row>
    <row r="33" spans="2:16" ht="16.5" x14ac:dyDescent="0.3">
      <c r="B33" s="172" t="s">
        <v>343</v>
      </c>
      <c r="C33" s="174" t="s">
        <v>236</v>
      </c>
      <c r="D33" s="170"/>
      <c r="E33" s="167">
        <v>8</v>
      </c>
      <c r="F33" s="167">
        <v>9</v>
      </c>
      <c r="G33" s="169">
        <v>8</v>
      </c>
      <c r="H33" s="168">
        <v>11</v>
      </c>
      <c r="I33" s="167">
        <v>5</v>
      </c>
      <c r="J33" s="167">
        <v>11</v>
      </c>
      <c r="K33" s="173"/>
      <c r="L33" s="154">
        <f>AVERAGE(E33:J33)</f>
        <v>8.6666666666666661</v>
      </c>
      <c r="M33" s="154">
        <f>STDEV(E33:J33)/SQRT(COUNT(E33:J33))</f>
        <v>0.91893658347268126</v>
      </c>
      <c r="N33" s="154">
        <f>STDEV(E33:J33)</f>
        <v>2.2509257354845502</v>
      </c>
      <c r="O33" s="153"/>
    </row>
    <row r="34" spans="2:16" ht="16.5" x14ac:dyDescent="0.3">
      <c r="B34" s="172" t="s">
        <v>342</v>
      </c>
      <c r="C34" s="174" t="s">
        <v>314</v>
      </c>
      <c r="D34" s="170"/>
      <c r="E34" s="167">
        <v>6</v>
      </c>
      <c r="F34" s="167">
        <v>9</v>
      </c>
      <c r="G34" s="169">
        <v>10</v>
      </c>
      <c r="H34" s="168">
        <v>8</v>
      </c>
      <c r="I34" s="167">
        <v>8</v>
      </c>
      <c r="J34" s="167">
        <v>8</v>
      </c>
      <c r="K34" s="173"/>
      <c r="L34" s="154">
        <f>AVERAGE(E34:J34)</f>
        <v>8.1666666666666661</v>
      </c>
      <c r="M34" s="154">
        <f>STDEV(E34:J34)/SQRT(COUNT(E34:J34))</f>
        <v>0.542627353203323</v>
      </c>
      <c r="N34" s="154">
        <f>STDEV(E34:J34)</f>
        <v>1.3291601358251244</v>
      </c>
      <c r="O34" s="153"/>
    </row>
    <row r="35" spans="2:16" ht="16.5" x14ac:dyDescent="0.3">
      <c r="B35" s="172" t="s">
        <v>341</v>
      </c>
      <c r="C35" s="174" t="s">
        <v>312</v>
      </c>
      <c r="D35" s="170"/>
      <c r="E35" s="167">
        <v>2</v>
      </c>
      <c r="F35" s="167">
        <v>5</v>
      </c>
      <c r="G35" s="169">
        <v>4</v>
      </c>
      <c r="H35" s="168">
        <v>3</v>
      </c>
      <c r="I35" s="167">
        <v>2</v>
      </c>
      <c r="J35" s="167">
        <v>2</v>
      </c>
      <c r="K35" s="173"/>
      <c r="L35" s="154">
        <f>AVERAGE(E35:J35)</f>
        <v>3</v>
      </c>
      <c r="M35" s="154">
        <f>STDEV(E35:J35)/SQRT(COUNT(E35:J35))</f>
        <v>0.51639777949432231</v>
      </c>
      <c r="N35" s="154">
        <f>STDEV(E35:J35)</f>
        <v>1.2649110640673518</v>
      </c>
      <c r="O35" s="153"/>
    </row>
    <row r="36" spans="2:16" ht="16.5" x14ac:dyDescent="0.3">
      <c r="B36" s="172" t="s">
        <v>340</v>
      </c>
      <c r="C36" s="174" t="s">
        <v>313</v>
      </c>
      <c r="D36" s="170">
        <v>938</v>
      </c>
      <c r="E36" s="167">
        <v>11</v>
      </c>
      <c r="F36" s="167">
        <v>13</v>
      </c>
      <c r="G36" s="169">
        <v>10</v>
      </c>
      <c r="H36" s="168">
        <v>8</v>
      </c>
      <c r="I36" s="167">
        <v>4</v>
      </c>
      <c r="J36" s="167">
        <v>9</v>
      </c>
      <c r="K36" s="173"/>
      <c r="L36" s="154">
        <f>AVERAGE(E36:J36)</f>
        <v>9.1666666666666661</v>
      </c>
      <c r="M36" s="154">
        <f>STDEV(E36:J36)/SQRT(COUNT(E36:J36))</f>
        <v>1.2494443209327539</v>
      </c>
      <c r="N36" s="154">
        <f>STDEV(E36:J36)</f>
        <v>3.060501048303474</v>
      </c>
      <c r="O36" s="153"/>
    </row>
    <row r="37" spans="2:16" ht="3" customHeight="1" x14ac:dyDescent="0.3">
      <c r="B37" s="160"/>
      <c r="C37" s="180"/>
      <c r="D37" s="179"/>
      <c r="E37" s="178"/>
      <c r="F37" s="178"/>
      <c r="G37" s="178"/>
      <c r="H37" s="178"/>
      <c r="I37" s="178"/>
      <c r="J37" s="178"/>
      <c r="K37" s="161"/>
      <c r="L37" s="154"/>
      <c r="M37" s="154"/>
      <c r="N37" s="153"/>
      <c r="O37" s="153"/>
    </row>
    <row r="38" spans="2:16" ht="16.5" x14ac:dyDescent="0.3">
      <c r="B38" s="172" t="s">
        <v>339</v>
      </c>
      <c r="C38" s="174" t="s">
        <v>314</v>
      </c>
      <c r="D38" s="170">
        <v>917</v>
      </c>
      <c r="E38" s="167">
        <v>5</v>
      </c>
      <c r="F38" s="167">
        <v>12</v>
      </c>
      <c r="G38" s="169">
        <v>11</v>
      </c>
      <c r="H38" s="168">
        <v>14</v>
      </c>
      <c r="I38" s="167">
        <v>11</v>
      </c>
      <c r="J38" s="167">
        <v>9</v>
      </c>
      <c r="K38" s="173"/>
      <c r="L38" s="154">
        <f>AVERAGE(E38:J38)</f>
        <v>10.333333333333334</v>
      </c>
      <c r="M38" s="154">
        <f>STDEV(E38:J38)/SQRT(COUNT(E38:J38))</f>
        <v>1.2560962454277853</v>
      </c>
      <c r="N38" s="154">
        <f>STDEV(E38:J38)</f>
        <v>3.0767948691238214</v>
      </c>
      <c r="O38" s="153"/>
      <c r="P38" s="176" t="s">
        <v>338</v>
      </c>
    </row>
    <row r="39" spans="2:16" ht="16.5" x14ac:dyDescent="0.3">
      <c r="B39" s="172" t="s">
        <v>337</v>
      </c>
      <c r="C39" s="174" t="s">
        <v>311</v>
      </c>
      <c r="D39" s="170"/>
      <c r="E39" s="167">
        <v>4</v>
      </c>
      <c r="F39" s="167">
        <v>1</v>
      </c>
      <c r="G39" s="169">
        <v>4</v>
      </c>
      <c r="H39" s="168">
        <v>4</v>
      </c>
      <c r="I39" s="167">
        <v>4</v>
      </c>
      <c r="J39" s="167">
        <v>4</v>
      </c>
      <c r="K39" s="173"/>
      <c r="L39" s="154">
        <f>AVERAGE(E39:J39)</f>
        <v>3.5</v>
      </c>
      <c r="M39" s="154">
        <f>STDEV(E39:J39)/SQRT(COUNT(E39:J39))</f>
        <v>0.5</v>
      </c>
      <c r="N39" s="154">
        <f>STDEV(E39:J39)</f>
        <v>1.2247448713915889</v>
      </c>
      <c r="O39" s="153"/>
      <c r="P39" s="154">
        <f>AVERAGE(E38:J45)</f>
        <v>6.395833333333333</v>
      </c>
    </row>
    <row r="40" spans="2:16" ht="16.5" x14ac:dyDescent="0.3">
      <c r="B40" s="172" t="s">
        <v>336</v>
      </c>
      <c r="C40" s="174" t="s">
        <v>309</v>
      </c>
      <c r="D40" s="170"/>
      <c r="E40" s="167">
        <v>4</v>
      </c>
      <c r="F40" s="167">
        <v>4</v>
      </c>
      <c r="G40" s="169">
        <v>3</v>
      </c>
      <c r="H40" s="168">
        <v>3</v>
      </c>
      <c r="I40" s="167">
        <v>0</v>
      </c>
      <c r="J40" s="167">
        <v>3</v>
      </c>
      <c r="K40" s="173"/>
      <c r="L40" s="154">
        <f>AVERAGE(E40:J40)</f>
        <v>2.8333333333333335</v>
      </c>
      <c r="M40" s="154">
        <f>STDEV(E40:J40)/SQRT(COUNT(E40:J40))</f>
        <v>0.60092521257733167</v>
      </c>
      <c r="N40" s="154">
        <f>STDEV(E40:J40)</f>
        <v>1.4719601443879746</v>
      </c>
      <c r="O40" s="153"/>
    </row>
    <row r="41" spans="2:16" ht="16.5" x14ac:dyDescent="0.3">
      <c r="B41" s="172" t="s">
        <v>335</v>
      </c>
      <c r="C41" s="174" t="s">
        <v>236</v>
      </c>
      <c r="D41" s="170"/>
      <c r="E41" s="167">
        <v>11</v>
      </c>
      <c r="F41" s="167">
        <v>9</v>
      </c>
      <c r="G41" s="169">
        <v>11</v>
      </c>
      <c r="H41" s="168">
        <v>5</v>
      </c>
      <c r="I41" s="167">
        <v>4</v>
      </c>
      <c r="J41" s="167">
        <v>11</v>
      </c>
      <c r="K41" s="173"/>
      <c r="L41" s="154">
        <f>AVERAGE(E41:J41)</f>
        <v>8.5</v>
      </c>
      <c r="M41" s="154">
        <f>STDEV(E41:J41)/SQRT(COUNT(E41:J41))</f>
        <v>1.3102162671355699</v>
      </c>
      <c r="N41" s="154">
        <f>STDEV(E41:J41)</f>
        <v>3.2093613071762426</v>
      </c>
      <c r="O41" s="153"/>
    </row>
    <row r="42" spans="2:16" ht="16.5" x14ac:dyDescent="0.3">
      <c r="B42" s="172" t="s">
        <v>334</v>
      </c>
      <c r="C42" s="174" t="s">
        <v>309</v>
      </c>
      <c r="D42" s="170"/>
      <c r="E42" s="167">
        <v>1</v>
      </c>
      <c r="F42" s="167">
        <v>2</v>
      </c>
      <c r="G42" s="169">
        <v>2</v>
      </c>
      <c r="H42" s="168">
        <v>4</v>
      </c>
      <c r="I42" s="167">
        <v>6</v>
      </c>
      <c r="J42" s="167">
        <v>3</v>
      </c>
      <c r="K42" s="173"/>
      <c r="L42" s="154">
        <f>AVERAGE(E42:J42)</f>
        <v>3</v>
      </c>
      <c r="M42" s="154">
        <f>STDEV(E42:J42)/SQRT(COUNT(E42:J42))</f>
        <v>0.73029674334022154</v>
      </c>
      <c r="N42" s="154">
        <f>STDEV(E42:J42)</f>
        <v>1.7888543819998317</v>
      </c>
      <c r="O42" s="153"/>
    </row>
    <row r="43" spans="2:16" ht="16.5" x14ac:dyDescent="0.3">
      <c r="B43" s="172" t="s">
        <v>333</v>
      </c>
      <c r="C43" s="174" t="s">
        <v>314</v>
      </c>
      <c r="D43" s="170"/>
      <c r="E43" s="167">
        <v>9</v>
      </c>
      <c r="F43" s="167">
        <v>7</v>
      </c>
      <c r="G43" s="169">
        <v>13</v>
      </c>
      <c r="H43" s="168">
        <v>6</v>
      </c>
      <c r="I43" s="167">
        <v>4</v>
      </c>
      <c r="J43" s="167">
        <v>10</v>
      </c>
      <c r="K43" s="173"/>
      <c r="L43" s="154">
        <f>AVERAGE(E43:J43)</f>
        <v>8.1666666666666661</v>
      </c>
      <c r="M43" s="154">
        <f>STDEV(E43:J43)/SQRT(COUNT(E43:J43))</f>
        <v>1.3017082793177757</v>
      </c>
      <c r="N43" s="154">
        <f>STDEV(E43:J43)</f>
        <v>3.1885210782848312</v>
      </c>
      <c r="O43" s="153"/>
    </row>
    <row r="44" spans="2:16" ht="16.5" x14ac:dyDescent="0.3">
      <c r="B44" s="172" t="s">
        <v>332</v>
      </c>
      <c r="C44" s="174" t="s">
        <v>238</v>
      </c>
      <c r="D44" s="170"/>
      <c r="E44" s="167">
        <v>5</v>
      </c>
      <c r="F44" s="167">
        <v>6</v>
      </c>
      <c r="G44" s="169">
        <v>0</v>
      </c>
      <c r="H44" s="168">
        <v>4</v>
      </c>
      <c r="I44" s="167">
        <v>4</v>
      </c>
      <c r="J44" s="167">
        <v>6</v>
      </c>
      <c r="K44" s="173"/>
      <c r="L44" s="154">
        <f>AVERAGE(E44:J44)</f>
        <v>4.166666666666667</v>
      </c>
      <c r="M44" s="154">
        <f>STDEV(E44:J44)/SQRT(COUNT(E44:J44))</f>
        <v>0.90982293759707866</v>
      </c>
      <c r="N44" s="154">
        <f>STDEV(E44:J44)</f>
        <v>2.2286019533929036</v>
      </c>
      <c r="O44" s="153"/>
    </row>
    <row r="45" spans="2:16" ht="16.5" x14ac:dyDescent="0.3">
      <c r="B45" s="172" t="s">
        <v>331</v>
      </c>
      <c r="C45" s="174" t="s">
        <v>313</v>
      </c>
      <c r="D45" s="170">
        <v>936</v>
      </c>
      <c r="E45" s="167">
        <v>11</v>
      </c>
      <c r="F45" s="167">
        <v>11</v>
      </c>
      <c r="G45" s="169">
        <v>17</v>
      </c>
      <c r="H45" s="168">
        <v>10</v>
      </c>
      <c r="I45" s="167">
        <v>4</v>
      </c>
      <c r="J45" s="167">
        <v>11</v>
      </c>
      <c r="K45" s="173"/>
      <c r="L45" s="154">
        <f>AVERAGE(E45:J45)</f>
        <v>10.666666666666666</v>
      </c>
      <c r="M45" s="154">
        <f>STDEV(E45:J45)/SQRT(COUNT(E45:J45))</f>
        <v>1.6865480854231361</v>
      </c>
      <c r="N45" s="154">
        <f>STDEV(E45:J45)</f>
        <v>4.1311822359545785</v>
      </c>
      <c r="O45" s="153"/>
    </row>
    <row r="46" spans="2:16" ht="3" customHeight="1" x14ac:dyDescent="0.3">
      <c r="B46" s="160"/>
      <c r="C46" s="180"/>
      <c r="D46" s="179"/>
      <c r="E46" s="178"/>
      <c r="F46" s="178"/>
      <c r="G46" s="178"/>
      <c r="H46" s="178"/>
      <c r="I46" s="178"/>
      <c r="J46" s="178"/>
      <c r="K46" s="161"/>
      <c r="L46" s="154"/>
      <c r="M46" s="154"/>
      <c r="N46" s="153"/>
      <c r="O46" s="153"/>
    </row>
    <row r="47" spans="2:16" ht="16.5" x14ac:dyDescent="0.3">
      <c r="B47" s="172" t="s">
        <v>330</v>
      </c>
      <c r="C47" s="177" t="s">
        <v>310</v>
      </c>
      <c r="D47" s="170"/>
      <c r="E47" s="167">
        <v>5</v>
      </c>
      <c r="F47" s="167">
        <v>11</v>
      </c>
      <c r="G47" s="169">
        <v>10</v>
      </c>
      <c r="H47" s="168">
        <v>10</v>
      </c>
      <c r="I47" s="167">
        <v>10</v>
      </c>
      <c r="J47" s="167">
        <v>9</v>
      </c>
      <c r="K47" s="173"/>
      <c r="L47" s="154">
        <f>AVERAGE(E47:J47)</f>
        <v>9.1666666666666661</v>
      </c>
      <c r="M47" s="154">
        <f>STDEV(E47:J47)/SQRT(COUNT(E47:J47))</f>
        <v>0.87241682188682645</v>
      </c>
      <c r="N47" s="154">
        <f>STDEV(E47:J47)</f>
        <v>2.1369760566432801</v>
      </c>
      <c r="O47" s="153"/>
      <c r="P47" s="176" t="s">
        <v>329</v>
      </c>
    </row>
    <row r="48" spans="2:16" ht="16.5" x14ac:dyDescent="0.3">
      <c r="B48" s="172" t="s">
        <v>328</v>
      </c>
      <c r="C48" s="174" t="s">
        <v>238</v>
      </c>
      <c r="D48" s="170"/>
      <c r="E48" s="167">
        <v>4</v>
      </c>
      <c r="F48" s="167">
        <v>4</v>
      </c>
      <c r="G48" s="169">
        <v>5</v>
      </c>
      <c r="H48" s="168">
        <v>2</v>
      </c>
      <c r="I48" s="167">
        <v>4</v>
      </c>
      <c r="J48" s="167">
        <v>4</v>
      </c>
      <c r="K48" s="173"/>
      <c r="L48" s="154">
        <f>AVERAGE(E48:J48)</f>
        <v>3.8333333333333335</v>
      </c>
      <c r="M48" s="154">
        <f>STDEV(E48:J48)/SQRT(COUNT(E48:J48))</f>
        <v>0.40138648595974302</v>
      </c>
      <c r="N48" s="154">
        <f>STDEV(E48:J48)</f>
        <v>0.98319208025017457</v>
      </c>
      <c r="O48" s="153"/>
      <c r="P48" s="154">
        <f>AVERAGE(E47:J54)</f>
        <v>6.041666666666667</v>
      </c>
    </row>
    <row r="49" spans="2:15" ht="16.5" x14ac:dyDescent="0.3">
      <c r="B49" s="172" t="s">
        <v>327</v>
      </c>
      <c r="C49" s="174" t="s">
        <v>312</v>
      </c>
      <c r="D49" s="170"/>
      <c r="E49" s="167">
        <v>4</v>
      </c>
      <c r="F49" s="167">
        <v>3</v>
      </c>
      <c r="G49" s="169">
        <v>6</v>
      </c>
      <c r="H49" s="168">
        <v>3</v>
      </c>
      <c r="I49" s="167">
        <v>3</v>
      </c>
      <c r="J49" s="167">
        <v>4</v>
      </c>
      <c r="K49" s="173"/>
      <c r="L49" s="154">
        <f>AVERAGE(E49:J49)</f>
        <v>3.8333333333333335</v>
      </c>
      <c r="M49" s="154">
        <f>STDEV(E49:J49)/SQRT(COUNT(E49:J49))</f>
        <v>0.47726070210921168</v>
      </c>
      <c r="N49" s="154">
        <f>STDEV(E49:J49)</f>
        <v>1.1690451944500118</v>
      </c>
      <c r="O49" s="153"/>
    </row>
    <row r="50" spans="2:15" ht="18.75" x14ac:dyDescent="0.3">
      <c r="B50" s="172" t="s">
        <v>326</v>
      </c>
      <c r="C50" s="174" t="s">
        <v>325</v>
      </c>
      <c r="D50" s="170"/>
      <c r="E50" s="167">
        <v>3</v>
      </c>
      <c r="F50" s="167">
        <v>5</v>
      </c>
      <c r="G50" s="169">
        <v>1</v>
      </c>
      <c r="H50" s="168">
        <v>4</v>
      </c>
      <c r="I50" s="167">
        <v>2</v>
      </c>
      <c r="J50" s="167">
        <v>2</v>
      </c>
      <c r="K50" s="173" t="s">
        <v>324</v>
      </c>
      <c r="L50" s="154">
        <f>AVERAGE(E50:J50)</f>
        <v>2.8333333333333335</v>
      </c>
      <c r="M50" s="154">
        <f>STDEV(E50:J50)/SQRT(COUNT(E50:J50))</f>
        <v>0.60092521257733167</v>
      </c>
      <c r="N50" s="154">
        <f>STDEV(E50:J50)</f>
        <v>1.4719601443879746</v>
      </c>
      <c r="O50" s="153"/>
    </row>
    <row r="51" spans="2:15" ht="18.75" x14ac:dyDescent="0.3">
      <c r="B51" s="172" t="s">
        <v>323</v>
      </c>
      <c r="C51" s="175" t="s">
        <v>322</v>
      </c>
      <c r="D51" s="170"/>
      <c r="E51" s="167">
        <v>6</v>
      </c>
      <c r="F51" s="167">
        <v>10</v>
      </c>
      <c r="G51" s="169">
        <v>6</v>
      </c>
      <c r="H51" s="168">
        <v>11</v>
      </c>
      <c r="I51" s="167">
        <v>6</v>
      </c>
      <c r="J51" s="167">
        <v>7</v>
      </c>
      <c r="K51" s="173"/>
      <c r="L51" s="154">
        <f>AVERAGE(E51:J51)</f>
        <v>7.666666666666667</v>
      </c>
      <c r="M51" s="154">
        <f>STDEV(E51:J51)/SQRT(COUNT(E51:J51))</f>
        <v>0.91893658347268126</v>
      </c>
      <c r="N51" s="154">
        <f>STDEV(E51:J51)</f>
        <v>2.2509257354845502</v>
      </c>
      <c r="O51" s="153"/>
    </row>
    <row r="52" spans="2:15" ht="16.5" x14ac:dyDescent="0.3">
      <c r="B52" s="172" t="s">
        <v>321</v>
      </c>
      <c r="C52" s="174" t="s">
        <v>236</v>
      </c>
      <c r="D52" s="170"/>
      <c r="E52" s="167">
        <v>5</v>
      </c>
      <c r="F52" s="167">
        <v>8</v>
      </c>
      <c r="G52" s="169">
        <v>13</v>
      </c>
      <c r="H52" s="168">
        <v>10</v>
      </c>
      <c r="I52" s="167">
        <v>8</v>
      </c>
      <c r="J52" s="167">
        <v>10</v>
      </c>
      <c r="K52" s="173"/>
      <c r="L52" s="154">
        <f>AVERAGE(E52:J52)</f>
        <v>9</v>
      </c>
      <c r="M52" s="154">
        <f>STDEV(E52:J52)/SQRT(COUNT(E52:J52))</f>
        <v>1.0954451150103324</v>
      </c>
      <c r="N52" s="154">
        <f>STDEV(E52:J52)</f>
        <v>2.6832815729997477</v>
      </c>
      <c r="O52" s="153"/>
    </row>
    <row r="53" spans="2:15" ht="16.5" x14ac:dyDescent="0.3">
      <c r="B53" s="172" t="s">
        <v>320</v>
      </c>
      <c r="C53" s="174" t="s">
        <v>310</v>
      </c>
      <c r="D53" s="170"/>
      <c r="E53" s="167">
        <v>3</v>
      </c>
      <c r="F53" s="167">
        <v>12</v>
      </c>
      <c r="G53" s="169">
        <v>6</v>
      </c>
      <c r="H53" s="168">
        <v>13</v>
      </c>
      <c r="I53" s="167">
        <v>10</v>
      </c>
      <c r="J53" s="167">
        <v>10</v>
      </c>
      <c r="K53" s="173"/>
      <c r="L53" s="154">
        <f>AVERAGE(E53:J53)</f>
        <v>9</v>
      </c>
      <c r="M53" s="154">
        <f>STDEV(E53:J53)/SQRT(COUNT(E53:J53))</f>
        <v>1.5491933384829668</v>
      </c>
      <c r="N53" s="154">
        <f>STDEV(E53:J53)</f>
        <v>3.7947331922020551</v>
      </c>
      <c r="O53" s="153"/>
    </row>
    <row r="54" spans="2:15" ht="16.5" x14ac:dyDescent="0.3">
      <c r="B54" s="172" t="s">
        <v>319</v>
      </c>
      <c r="C54" s="171" t="s">
        <v>311</v>
      </c>
      <c r="D54" s="170">
        <v>853</v>
      </c>
      <c r="E54" s="167">
        <v>4</v>
      </c>
      <c r="F54" s="167">
        <v>5</v>
      </c>
      <c r="G54" s="169">
        <v>3</v>
      </c>
      <c r="H54" s="168">
        <v>1</v>
      </c>
      <c r="I54" s="167">
        <v>2</v>
      </c>
      <c r="J54" s="167">
        <v>3</v>
      </c>
      <c r="K54" s="166" t="s">
        <v>318</v>
      </c>
      <c r="L54" s="154">
        <f>AVERAGE(E54:J54)</f>
        <v>3</v>
      </c>
      <c r="M54" s="154">
        <f>STDEV(E54:J54)/SQRT(COUNT(E54:J54))</f>
        <v>0.57735026918962584</v>
      </c>
      <c r="N54" s="154">
        <f>STDEV(E54:J54)</f>
        <v>1.4142135623730951</v>
      </c>
      <c r="O54" s="153"/>
    </row>
    <row r="55" spans="2:15" ht="16.5" x14ac:dyDescent="0.3">
      <c r="B55" s="160"/>
      <c r="C55" s="160"/>
      <c r="D55" s="160"/>
      <c r="E55" s="165"/>
      <c r="F55" s="165"/>
      <c r="G55" s="165"/>
      <c r="H55" s="165"/>
      <c r="I55" s="165"/>
      <c r="J55" s="165"/>
      <c r="K55" s="164"/>
      <c r="L55" s="155"/>
      <c r="M55" s="154"/>
      <c r="N55" s="153"/>
      <c r="O55" s="153"/>
    </row>
    <row r="56" spans="2:15" ht="16.5" x14ac:dyDescent="0.3">
      <c r="B56" s="163" t="s">
        <v>317</v>
      </c>
      <c r="D56" s="163"/>
      <c r="E56" s="162"/>
      <c r="F56" s="162"/>
      <c r="G56" s="162"/>
      <c r="H56" s="162"/>
      <c r="I56" s="162"/>
      <c r="J56" s="162"/>
      <c r="K56" s="161"/>
      <c r="L56" s="155"/>
      <c r="M56" s="154"/>
      <c r="N56" s="153"/>
      <c r="O56" s="153"/>
    </row>
    <row r="57" spans="2:15" ht="16.5" x14ac:dyDescent="0.3">
      <c r="B57" s="160"/>
      <c r="C57" s="160"/>
      <c r="D57" s="160"/>
      <c r="E57" s="159"/>
      <c r="F57" s="159"/>
      <c r="G57" s="159"/>
      <c r="H57" s="159"/>
      <c r="I57" s="159"/>
      <c r="J57" s="159"/>
      <c r="K57" s="158"/>
      <c r="L57" s="155"/>
      <c r="M57" s="154"/>
      <c r="N57" s="153"/>
      <c r="O57" s="153"/>
    </row>
    <row r="58" spans="2:15" ht="16.5" x14ac:dyDescent="0.3">
      <c r="B58" s="160"/>
      <c r="C58" s="160"/>
      <c r="D58" s="160"/>
      <c r="E58" s="159"/>
      <c r="F58" s="159"/>
      <c r="G58" s="159"/>
      <c r="H58" s="159"/>
      <c r="I58" s="159"/>
      <c r="J58" s="159"/>
      <c r="K58" s="158"/>
      <c r="L58" s="155"/>
      <c r="M58" s="154"/>
      <c r="N58" s="153"/>
      <c r="O58" s="153"/>
    </row>
    <row r="59" spans="2:15" ht="16.5" x14ac:dyDescent="0.3">
      <c r="B59" s="160"/>
      <c r="C59" s="160"/>
      <c r="D59" s="160"/>
      <c r="E59" s="159"/>
      <c r="F59" s="159"/>
      <c r="G59" s="159"/>
      <c r="H59" s="159"/>
      <c r="I59" s="159"/>
      <c r="J59" s="159"/>
      <c r="K59" s="158"/>
      <c r="L59" s="155"/>
      <c r="M59" s="154"/>
      <c r="N59" s="153"/>
      <c r="O59" s="153"/>
    </row>
    <row r="60" spans="2:15" ht="16.5" x14ac:dyDescent="0.3">
      <c r="B60" s="160"/>
      <c r="C60" s="160"/>
      <c r="D60" s="160"/>
      <c r="E60" s="1" t="s">
        <v>307</v>
      </c>
      <c r="F60" s="1" t="s">
        <v>316</v>
      </c>
      <c r="G60" s="1" t="s">
        <v>315</v>
      </c>
      <c r="H60" s="159"/>
      <c r="I60" s="159"/>
      <c r="J60" s="159"/>
      <c r="K60" s="158"/>
      <c r="L60" s="155"/>
      <c r="M60" s="154"/>
      <c r="N60" s="153"/>
      <c r="O60" s="153"/>
    </row>
    <row r="61" spans="2:15" ht="16.5" x14ac:dyDescent="0.3">
      <c r="B61" s="160"/>
      <c r="C61" s="160"/>
      <c r="D61" s="160"/>
      <c r="E61" s="1" t="s">
        <v>5</v>
      </c>
      <c r="F61" s="1">
        <v>11</v>
      </c>
      <c r="G61" s="152">
        <f>F61/(1*1.016)</f>
        <v>10.826771653543307</v>
      </c>
      <c r="H61" s="159"/>
      <c r="I61" s="159"/>
      <c r="J61" s="159"/>
      <c r="K61" s="158"/>
      <c r="L61" s="155"/>
      <c r="M61" s="154"/>
      <c r="N61" s="153"/>
      <c r="O61" s="153"/>
    </row>
    <row r="62" spans="2:15" ht="16.5" x14ac:dyDescent="0.35">
      <c r="B62" s="157"/>
      <c r="C62" s="157"/>
      <c r="D62" s="157"/>
      <c r="E62" s="1" t="s">
        <v>6</v>
      </c>
      <c r="F62" s="1">
        <v>11</v>
      </c>
      <c r="G62" s="152">
        <f>F62/(1*1.016)</f>
        <v>10.826771653543307</v>
      </c>
      <c r="H62" s="153"/>
      <c r="I62" s="153"/>
      <c r="J62" s="153"/>
      <c r="K62" s="158"/>
      <c r="L62" s="155"/>
      <c r="M62" s="154"/>
      <c r="N62" s="153"/>
      <c r="O62" s="153"/>
    </row>
    <row r="63" spans="2:15" ht="16.5" x14ac:dyDescent="0.35">
      <c r="B63" s="157"/>
      <c r="C63" s="157"/>
      <c r="D63" s="157"/>
      <c r="E63" s="1" t="s">
        <v>7</v>
      </c>
      <c r="F63" s="1">
        <v>6</v>
      </c>
      <c r="G63" s="152">
        <f>F63/(1*1.016)</f>
        <v>5.9055118110236222</v>
      </c>
      <c r="H63" s="153"/>
      <c r="I63" s="153"/>
      <c r="J63" s="153"/>
      <c r="K63" s="158"/>
      <c r="L63" s="155"/>
      <c r="M63" s="154"/>
      <c r="N63" s="153"/>
      <c r="O63" s="153"/>
    </row>
    <row r="64" spans="2:15" ht="16.5" x14ac:dyDescent="0.35">
      <c r="B64" s="157"/>
      <c r="C64" s="157"/>
      <c r="D64" s="157"/>
      <c r="E64" s="1" t="s">
        <v>8</v>
      </c>
      <c r="F64" s="1">
        <v>13</v>
      </c>
      <c r="G64" s="152">
        <f>F64/(1*1.016)</f>
        <v>12.795275590551181</v>
      </c>
      <c r="H64" s="153"/>
      <c r="I64" s="153"/>
      <c r="J64" s="153"/>
      <c r="K64" s="158"/>
      <c r="L64" s="155"/>
      <c r="M64" s="154"/>
      <c r="N64" s="153"/>
      <c r="O64" s="153"/>
    </row>
    <row r="65" spans="2:15" ht="16.5" x14ac:dyDescent="0.35">
      <c r="B65" s="157"/>
      <c r="C65" s="157"/>
      <c r="D65" s="157"/>
      <c r="E65" s="1" t="s">
        <v>9</v>
      </c>
      <c r="F65" s="1">
        <v>8</v>
      </c>
      <c r="G65" s="152">
        <f>F65/(1*1.016)</f>
        <v>7.8740157480314963</v>
      </c>
      <c r="H65" s="153"/>
      <c r="I65" s="153"/>
      <c r="J65" s="153"/>
      <c r="K65" s="158"/>
      <c r="L65" s="155"/>
      <c r="M65" s="154"/>
      <c r="N65" s="153"/>
      <c r="O65" s="153"/>
    </row>
    <row r="66" spans="2:15" ht="16.5" x14ac:dyDescent="0.35">
      <c r="B66" s="157"/>
      <c r="C66" s="157"/>
      <c r="D66" s="157"/>
      <c r="E66" s="1" t="s">
        <v>10</v>
      </c>
      <c r="F66" s="1">
        <v>5</v>
      </c>
      <c r="G66" s="152">
        <f>F66/(1*1.016)</f>
        <v>4.9212598425196852</v>
      </c>
      <c r="H66" s="153"/>
      <c r="I66" s="153"/>
      <c r="J66" s="153"/>
      <c r="K66" s="158"/>
      <c r="L66" s="155"/>
      <c r="M66" s="154"/>
      <c r="N66" s="153"/>
      <c r="O66" s="153"/>
    </row>
    <row r="67" spans="2:15" ht="16.5" x14ac:dyDescent="0.35">
      <c r="B67" s="157"/>
      <c r="C67" s="157"/>
      <c r="D67" s="157"/>
      <c r="E67" s="1" t="s">
        <v>11</v>
      </c>
      <c r="F67" s="1">
        <v>6</v>
      </c>
      <c r="G67" s="152">
        <f>F67/(1*1.016)</f>
        <v>5.9055118110236222</v>
      </c>
      <c r="H67" s="153"/>
      <c r="I67" s="153"/>
      <c r="J67" s="153"/>
      <c r="K67" s="158"/>
      <c r="L67" s="155"/>
      <c r="M67" s="154"/>
      <c r="N67" s="153"/>
      <c r="O67" s="153"/>
    </row>
    <row r="68" spans="2:15" ht="16.5" x14ac:dyDescent="0.35">
      <c r="B68" s="157"/>
      <c r="C68" s="157"/>
      <c r="D68" s="157"/>
      <c r="E68" s="1" t="s">
        <v>12</v>
      </c>
      <c r="F68" s="1">
        <v>10</v>
      </c>
      <c r="G68" s="152">
        <f>F68/(1*1.016)</f>
        <v>9.8425196850393704</v>
      </c>
      <c r="H68" s="153"/>
      <c r="I68" s="153"/>
      <c r="J68" s="153"/>
      <c r="K68" s="158"/>
      <c r="L68" s="155"/>
      <c r="M68" s="154"/>
      <c r="N68" s="153"/>
      <c r="O68" s="153"/>
    </row>
    <row r="69" spans="2:15" ht="16.5" x14ac:dyDescent="0.35">
      <c r="B69" s="157"/>
      <c r="C69" s="157"/>
      <c r="D69" s="157"/>
      <c r="E69" s="1" t="s">
        <v>13</v>
      </c>
      <c r="F69" s="1">
        <v>6</v>
      </c>
      <c r="G69" s="152">
        <f>F69/(1*1.016)</f>
        <v>5.9055118110236222</v>
      </c>
      <c r="H69" s="153"/>
      <c r="I69" s="153"/>
      <c r="J69" s="153"/>
      <c r="K69" s="158"/>
      <c r="L69" s="155"/>
      <c r="M69" s="154"/>
      <c r="N69" s="153"/>
      <c r="O69" s="153"/>
    </row>
    <row r="70" spans="2:15" ht="16.5" x14ac:dyDescent="0.35">
      <c r="B70" s="157"/>
      <c r="C70" s="157"/>
      <c r="D70" s="157"/>
      <c r="E70" s="1" t="s">
        <v>14</v>
      </c>
      <c r="F70" s="1">
        <v>10</v>
      </c>
      <c r="G70" s="152">
        <f>F70/(1*1.016)</f>
        <v>9.8425196850393704</v>
      </c>
      <c r="H70" s="153"/>
      <c r="I70" s="153"/>
      <c r="J70" s="153"/>
      <c r="K70" s="158"/>
      <c r="L70" s="155"/>
      <c r="M70" s="154"/>
      <c r="N70" s="153"/>
      <c r="O70" s="153"/>
    </row>
    <row r="71" spans="2:15" ht="16.5" x14ac:dyDescent="0.35">
      <c r="B71" s="157"/>
      <c r="C71" s="157"/>
      <c r="D71" s="157"/>
      <c r="E71" s="1" t="s">
        <v>15</v>
      </c>
      <c r="F71" s="1">
        <v>5</v>
      </c>
      <c r="G71" s="152">
        <f>F71/(1*1.016)</f>
        <v>4.9212598425196852</v>
      </c>
      <c r="H71" s="153"/>
      <c r="I71" s="153"/>
      <c r="J71" s="153"/>
      <c r="K71" s="158"/>
      <c r="L71" s="155"/>
      <c r="M71" s="154"/>
      <c r="N71" s="153"/>
      <c r="O71" s="153"/>
    </row>
    <row r="72" spans="2:15" ht="16.5" x14ac:dyDescent="0.35">
      <c r="B72" s="157"/>
      <c r="C72" s="157"/>
      <c r="D72" s="157"/>
      <c r="E72" s="1" t="s">
        <v>16</v>
      </c>
      <c r="F72" s="1">
        <v>7</v>
      </c>
      <c r="G72" s="152">
        <f>F72/(1*1.016)</f>
        <v>6.8897637795275593</v>
      </c>
      <c r="H72" s="153"/>
      <c r="I72" s="153"/>
      <c r="J72" s="153"/>
      <c r="K72" s="158"/>
      <c r="L72" s="155"/>
      <c r="M72" s="154"/>
      <c r="N72" s="153"/>
      <c r="O72" s="153"/>
    </row>
    <row r="73" spans="2:15" ht="16.5" x14ac:dyDescent="0.35">
      <c r="B73" s="157"/>
      <c r="C73" s="157"/>
      <c r="D73" s="157"/>
      <c r="E73" s="1" t="s">
        <v>17</v>
      </c>
      <c r="F73" s="1">
        <v>9</v>
      </c>
      <c r="G73" s="152">
        <f>F73/(1*1.016)</f>
        <v>8.8582677165354333</v>
      </c>
      <c r="H73" s="153"/>
      <c r="I73" s="153"/>
      <c r="J73" s="153"/>
      <c r="K73" s="158"/>
      <c r="L73" s="155"/>
      <c r="M73" s="154"/>
      <c r="N73" s="153"/>
      <c r="O73" s="153"/>
    </row>
    <row r="74" spans="2:15" ht="16.5" x14ac:dyDescent="0.35">
      <c r="B74" s="157"/>
      <c r="C74" s="157"/>
      <c r="D74" s="157"/>
      <c r="E74" s="1" t="s">
        <v>18</v>
      </c>
      <c r="F74" s="1">
        <v>6</v>
      </c>
      <c r="G74" s="152">
        <f>F74/(1*1.016)</f>
        <v>5.9055118110236222</v>
      </c>
      <c r="H74" s="153"/>
      <c r="I74" s="153"/>
      <c r="J74" s="153"/>
      <c r="K74" s="158"/>
      <c r="L74" s="155"/>
      <c r="M74" s="154"/>
      <c r="N74" s="153"/>
      <c r="O74" s="153"/>
    </row>
    <row r="75" spans="2:15" ht="16.5" x14ac:dyDescent="0.35">
      <c r="B75" s="157"/>
      <c r="C75" s="157"/>
      <c r="D75" s="157"/>
      <c r="E75" s="1" t="s">
        <v>19</v>
      </c>
      <c r="F75" s="1">
        <v>11</v>
      </c>
      <c r="G75" s="152">
        <f>F75/(1*1.016)</f>
        <v>10.826771653543307</v>
      </c>
      <c r="H75" s="153"/>
      <c r="I75" s="153"/>
      <c r="J75" s="153"/>
      <c r="K75" s="158"/>
      <c r="L75" s="155"/>
      <c r="M75" s="154"/>
      <c r="N75" s="153"/>
      <c r="O75" s="153"/>
    </row>
    <row r="76" spans="2:15" ht="16.5" x14ac:dyDescent="0.35">
      <c r="B76" s="157"/>
      <c r="C76" s="157"/>
      <c r="D76" s="157"/>
      <c r="E76" s="1" t="s">
        <v>20</v>
      </c>
      <c r="F76" s="1">
        <v>7</v>
      </c>
      <c r="G76" s="152">
        <f>F76/(1*1.016)</f>
        <v>6.8897637795275593</v>
      </c>
      <c r="H76" s="153"/>
      <c r="I76" s="153"/>
      <c r="J76" s="153"/>
      <c r="K76" s="158"/>
      <c r="L76" s="155"/>
      <c r="M76" s="154"/>
      <c r="N76" s="153"/>
      <c r="O76" s="153"/>
    </row>
    <row r="77" spans="2:15" ht="16.5" x14ac:dyDescent="0.35">
      <c r="B77" s="157"/>
      <c r="C77" s="157"/>
      <c r="D77" s="157"/>
      <c r="E77" s="1" t="s">
        <v>21</v>
      </c>
      <c r="F77" s="1">
        <v>4</v>
      </c>
      <c r="G77" s="152">
        <f>F77/(1*1.016)</f>
        <v>3.9370078740157481</v>
      </c>
      <c r="H77" s="153"/>
      <c r="I77" s="153"/>
      <c r="J77" s="153"/>
      <c r="K77" s="158"/>
      <c r="L77" s="155"/>
      <c r="M77" s="154"/>
      <c r="N77" s="153"/>
      <c r="O77" s="153"/>
    </row>
    <row r="78" spans="2:15" ht="16.5" x14ac:dyDescent="0.35">
      <c r="B78" s="157"/>
      <c r="C78" s="157"/>
      <c r="D78" s="157"/>
      <c r="E78" s="1" t="s">
        <v>22</v>
      </c>
      <c r="F78" s="1">
        <v>10</v>
      </c>
      <c r="G78" s="152">
        <f>F78/(1*1.016)</f>
        <v>9.8425196850393704</v>
      </c>
      <c r="H78" s="153"/>
      <c r="I78" s="153"/>
      <c r="J78" s="153"/>
      <c r="K78" s="158"/>
      <c r="L78" s="155"/>
      <c r="M78" s="154"/>
      <c r="N78" s="153"/>
      <c r="O78" s="153"/>
    </row>
    <row r="79" spans="2:15" ht="16.5" x14ac:dyDescent="0.35">
      <c r="B79" s="157"/>
      <c r="C79" s="157"/>
      <c r="D79" s="157"/>
      <c r="E79" s="1" t="s">
        <v>23</v>
      </c>
      <c r="F79" s="1">
        <v>12</v>
      </c>
      <c r="G79" s="152">
        <f>F79/(1*1.016)</f>
        <v>11.811023622047244</v>
      </c>
      <c r="H79" s="153"/>
      <c r="I79" s="153"/>
      <c r="J79" s="153"/>
      <c r="K79" s="158"/>
      <c r="L79" s="155"/>
      <c r="M79" s="154"/>
      <c r="N79" s="153"/>
      <c r="O79" s="153"/>
    </row>
    <row r="80" spans="2:15" ht="16.5" x14ac:dyDescent="0.35">
      <c r="B80" s="157"/>
      <c r="C80" s="157"/>
      <c r="D80" s="157"/>
      <c r="E80" s="1" t="s">
        <v>24</v>
      </c>
      <c r="F80" s="1">
        <v>3</v>
      </c>
      <c r="G80" s="152">
        <f>F80/(1*1.016)</f>
        <v>2.9527559055118111</v>
      </c>
      <c r="H80" s="153"/>
      <c r="I80" s="153"/>
      <c r="J80" s="153"/>
      <c r="K80" s="158"/>
      <c r="L80" s="155"/>
      <c r="M80" s="154"/>
      <c r="N80" s="153"/>
      <c r="O80" s="153"/>
    </row>
    <row r="81" spans="2:15" ht="16.5" x14ac:dyDescent="0.35">
      <c r="B81" s="157"/>
      <c r="C81" s="157"/>
      <c r="D81" s="157"/>
      <c r="E81" s="1" t="s">
        <v>25</v>
      </c>
      <c r="F81" s="1">
        <v>8</v>
      </c>
      <c r="G81" s="152">
        <f>F81/(1*1.016)</f>
        <v>7.8740157480314963</v>
      </c>
      <c r="H81" s="153"/>
      <c r="I81" s="153"/>
      <c r="J81" s="153"/>
      <c r="K81" s="158"/>
      <c r="L81" s="155"/>
      <c r="M81" s="154"/>
      <c r="N81" s="153"/>
      <c r="O81" s="153"/>
    </row>
    <row r="82" spans="2:15" ht="16.5" x14ac:dyDescent="0.35">
      <c r="B82" s="157"/>
      <c r="C82" s="157"/>
      <c r="D82" s="157"/>
      <c r="E82" s="1" t="s">
        <v>26</v>
      </c>
      <c r="F82" s="1">
        <v>12</v>
      </c>
      <c r="G82" s="152">
        <f>F82/(1*1.016)</f>
        <v>11.811023622047244</v>
      </c>
      <c r="H82" s="153"/>
      <c r="I82" s="153"/>
      <c r="J82" s="153"/>
      <c r="K82" s="153"/>
      <c r="L82" s="155"/>
      <c r="M82" s="154"/>
      <c r="N82" s="153"/>
      <c r="O82" s="153"/>
    </row>
    <row r="83" spans="2:15" ht="16.5" x14ac:dyDescent="0.35">
      <c r="B83" s="157"/>
      <c r="C83" s="157"/>
      <c r="D83" s="157"/>
      <c r="E83" s="1" t="s">
        <v>27</v>
      </c>
      <c r="F83" s="1">
        <v>10</v>
      </c>
      <c r="G83" s="152">
        <f>F83/(1*1.016)</f>
        <v>9.8425196850393704</v>
      </c>
      <c r="H83" s="153"/>
      <c r="I83" s="153"/>
      <c r="J83" s="153"/>
      <c r="K83" s="153"/>
      <c r="L83" s="155"/>
      <c r="M83" s="154"/>
      <c r="N83" s="153"/>
      <c r="O83" s="153"/>
    </row>
    <row r="84" spans="2:15" ht="16.5" x14ac:dyDescent="0.35">
      <c r="B84" s="157"/>
      <c r="C84" s="157"/>
      <c r="D84" s="157"/>
      <c r="E84" s="1" t="s">
        <v>28</v>
      </c>
      <c r="F84" s="1">
        <v>5</v>
      </c>
      <c r="G84" s="152">
        <f>F84/(1*1.016)</f>
        <v>4.9212598425196852</v>
      </c>
      <c r="H84" s="153"/>
      <c r="I84" s="153"/>
      <c r="J84" s="153"/>
      <c r="K84" s="153"/>
      <c r="L84" s="155"/>
      <c r="M84" s="154"/>
      <c r="N84" s="153"/>
      <c r="O84" s="153"/>
    </row>
    <row r="85" spans="2:15" ht="16.5" x14ac:dyDescent="0.35">
      <c r="B85" s="157"/>
      <c r="C85" s="157"/>
      <c r="D85" s="157"/>
      <c r="E85" s="1" t="s">
        <v>29</v>
      </c>
      <c r="F85" s="1">
        <v>10</v>
      </c>
      <c r="G85" s="152">
        <f>F85/(1*1.016)</f>
        <v>9.8425196850393704</v>
      </c>
      <c r="H85" s="153"/>
      <c r="I85" s="153"/>
      <c r="J85" s="153"/>
      <c r="K85" s="153"/>
      <c r="L85" s="155"/>
      <c r="M85" s="154"/>
      <c r="N85" s="153"/>
      <c r="O85" s="153"/>
    </row>
    <row r="86" spans="2:15" ht="16.5" x14ac:dyDescent="0.35">
      <c r="B86" s="157"/>
      <c r="C86" s="157"/>
      <c r="D86" s="157"/>
      <c r="E86" s="1" t="s">
        <v>30</v>
      </c>
      <c r="F86" s="1">
        <v>10</v>
      </c>
      <c r="G86" s="152">
        <f>F86/(1*1.016)</f>
        <v>9.8425196850393704</v>
      </c>
      <c r="H86" s="153"/>
      <c r="I86" s="153"/>
      <c r="J86" s="153"/>
      <c r="K86" s="153"/>
      <c r="L86" s="155"/>
      <c r="M86" s="154"/>
      <c r="N86" s="153"/>
      <c r="O86" s="153"/>
    </row>
    <row r="87" spans="2:15" ht="16.5" x14ac:dyDescent="0.35">
      <c r="B87" s="157"/>
      <c r="C87" s="157"/>
      <c r="D87" s="157"/>
      <c r="E87" s="1" t="s">
        <v>31</v>
      </c>
      <c r="F87" s="1">
        <v>14</v>
      </c>
      <c r="G87" s="152">
        <f>F87/(1*1.016)</f>
        <v>13.779527559055119</v>
      </c>
      <c r="H87" s="153"/>
      <c r="I87" s="153"/>
      <c r="J87" s="153"/>
      <c r="K87" s="153"/>
      <c r="L87" s="155"/>
      <c r="M87" s="154"/>
      <c r="N87" s="153"/>
      <c r="O87" s="153"/>
    </row>
    <row r="88" spans="2:15" ht="15" x14ac:dyDescent="0.3">
      <c r="B88" s="156"/>
      <c r="C88" s="156"/>
      <c r="D88" s="156"/>
      <c r="E88" s="1" t="s">
        <v>32</v>
      </c>
      <c r="F88" s="1">
        <v>11</v>
      </c>
      <c r="G88" s="152">
        <f>F88/(1*1.016)</f>
        <v>10.826771653543307</v>
      </c>
      <c r="H88" s="153"/>
      <c r="I88" s="153"/>
      <c r="J88" s="153"/>
      <c r="K88" s="153"/>
      <c r="L88" s="155"/>
      <c r="M88" s="154"/>
      <c r="N88" s="153"/>
      <c r="O88" s="153"/>
    </row>
    <row r="89" spans="2:15" ht="15" x14ac:dyDescent="0.3">
      <c r="B89" s="156"/>
      <c r="C89" s="156"/>
      <c r="D89" s="156"/>
      <c r="E89" s="1" t="s">
        <v>33</v>
      </c>
      <c r="F89" s="1">
        <v>6</v>
      </c>
      <c r="G89" s="152">
        <f>F89/(1*1.016)</f>
        <v>5.9055118110236222</v>
      </c>
      <c r="H89" s="153"/>
      <c r="I89" s="153"/>
      <c r="J89" s="153"/>
      <c r="K89" s="153"/>
      <c r="L89" s="155"/>
      <c r="M89" s="154"/>
      <c r="N89" s="153"/>
      <c r="O89" s="153"/>
    </row>
    <row r="90" spans="2:15" ht="15" x14ac:dyDescent="0.3">
      <c r="B90" s="156"/>
      <c r="C90" s="156"/>
      <c r="D90" s="156"/>
      <c r="E90" s="1" t="s">
        <v>34</v>
      </c>
      <c r="F90" s="1">
        <v>8</v>
      </c>
      <c r="G90" s="152">
        <f>F90/(1*1.016)</f>
        <v>7.8740157480314963</v>
      </c>
      <c r="H90" s="153"/>
      <c r="I90" s="153"/>
      <c r="J90" s="153"/>
      <c r="K90" s="153"/>
      <c r="L90" s="155"/>
      <c r="M90" s="154"/>
      <c r="N90" s="153"/>
      <c r="O90" s="153"/>
    </row>
    <row r="91" spans="2:15" ht="15" x14ac:dyDescent="0.3">
      <c r="B91" s="156"/>
      <c r="C91" s="156"/>
      <c r="D91" s="156"/>
      <c r="E91" s="1" t="s">
        <v>35</v>
      </c>
      <c r="F91" s="1">
        <v>5</v>
      </c>
      <c r="G91" s="152">
        <f>F91/(1*1.016)</f>
        <v>4.9212598425196852</v>
      </c>
      <c r="H91" s="153"/>
      <c r="I91" s="153"/>
      <c r="J91" s="153"/>
      <c r="K91" s="153"/>
      <c r="L91" s="155"/>
      <c r="M91" s="154"/>
      <c r="N91" s="153"/>
      <c r="O91" s="153"/>
    </row>
    <row r="92" spans="2:15" ht="15" x14ac:dyDescent="0.3">
      <c r="B92" s="156"/>
      <c r="C92" s="156"/>
      <c r="D92" s="156"/>
      <c r="E92" s="1" t="s">
        <v>36</v>
      </c>
      <c r="F92" s="1">
        <v>3</v>
      </c>
      <c r="G92" s="152">
        <f>F92/(1*1.016)</f>
        <v>2.9527559055118111</v>
      </c>
      <c r="H92" s="153"/>
      <c r="I92" s="153"/>
      <c r="J92" s="153"/>
      <c r="K92" s="153"/>
      <c r="L92" s="155"/>
      <c r="M92" s="154"/>
      <c r="N92" s="153"/>
      <c r="O92" s="153"/>
    </row>
    <row r="93" spans="2:15" ht="15" x14ac:dyDescent="0.3">
      <c r="B93" s="156"/>
      <c r="C93" s="156"/>
      <c r="D93" s="156"/>
      <c r="E93" s="1" t="s">
        <v>37</v>
      </c>
      <c r="F93" s="1">
        <v>6</v>
      </c>
      <c r="G93" s="152">
        <f>F93/(1*1.016)</f>
        <v>5.9055118110236222</v>
      </c>
      <c r="H93" s="153"/>
      <c r="I93" s="153"/>
      <c r="J93" s="153"/>
      <c r="K93" s="153"/>
      <c r="L93" s="155"/>
      <c r="M93" s="154"/>
      <c r="N93" s="153"/>
      <c r="O93" s="153"/>
    </row>
    <row r="94" spans="2:15" ht="15" x14ac:dyDescent="0.3">
      <c r="B94" s="156"/>
      <c r="C94" s="156"/>
      <c r="D94" s="156"/>
      <c r="E94" s="1" t="s">
        <v>38</v>
      </c>
      <c r="F94" s="1">
        <v>13</v>
      </c>
      <c r="G94" s="152">
        <f>F94/(1*1.016)</f>
        <v>12.795275590551181</v>
      </c>
      <c r="H94" s="153"/>
      <c r="I94" s="153"/>
      <c r="J94" s="153"/>
      <c r="K94" s="153"/>
      <c r="L94" s="155"/>
      <c r="M94" s="154"/>
      <c r="N94" s="153"/>
      <c r="O94" s="153"/>
    </row>
    <row r="95" spans="2:15" ht="15" x14ac:dyDescent="0.3">
      <c r="B95" s="156"/>
      <c r="C95" s="156"/>
      <c r="D95" s="156"/>
      <c r="E95" s="1" t="s">
        <v>39</v>
      </c>
      <c r="F95" s="1">
        <v>11</v>
      </c>
      <c r="G95" s="152">
        <f>F95/(1*1.016)</f>
        <v>10.826771653543307</v>
      </c>
      <c r="H95" s="153"/>
      <c r="I95" s="153"/>
      <c r="J95" s="153"/>
      <c r="K95" s="153"/>
      <c r="L95" s="155"/>
      <c r="M95" s="154"/>
      <c r="N95" s="153"/>
      <c r="O95" s="153"/>
    </row>
    <row r="96" spans="2:15" ht="15" x14ac:dyDescent="0.3">
      <c r="B96" s="156"/>
      <c r="C96" s="156"/>
      <c r="D96" s="156"/>
      <c r="E96" s="1" t="s">
        <v>40</v>
      </c>
      <c r="F96" s="1">
        <v>8</v>
      </c>
      <c r="G96" s="152">
        <f>F96/(1*1.016)</f>
        <v>7.8740157480314963</v>
      </c>
      <c r="H96" s="153"/>
      <c r="I96" s="153"/>
      <c r="J96" s="153"/>
      <c r="K96" s="153"/>
      <c r="L96" s="155"/>
      <c r="M96" s="154"/>
      <c r="N96" s="153"/>
      <c r="O96" s="153"/>
    </row>
    <row r="97" spans="2:15" ht="15" x14ac:dyDescent="0.3">
      <c r="B97" s="156"/>
      <c r="C97" s="156"/>
      <c r="D97" s="156"/>
      <c r="E97" s="1" t="s">
        <v>41</v>
      </c>
      <c r="F97" s="1">
        <v>4</v>
      </c>
      <c r="G97" s="152">
        <f>F97/(1*1.016)</f>
        <v>3.9370078740157481</v>
      </c>
      <c r="H97" s="153"/>
      <c r="I97" s="153"/>
      <c r="J97" s="153"/>
      <c r="K97" s="153"/>
      <c r="L97" s="155"/>
      <c r="M97" s="154"/>
      <c r="N97" s="153"/>
      <c r="O97" s="153"/>
    </row>
    <row r="98" spans="2:15" ht="15" x14ac:dyDescent="0.3">
      <c r="B98" s="156"/>
      <c r="C98" s="156"/>
      <c r="D98" s="156"/>
      <c r="E98" s="1" t="s">
        <v>42</v>
      </c>
      <c r="F98" s="1">
        <v>6</v>
      </c>
      <c r="G98" s="152">
        <f>F98/(1*1.016)</f>
        <v>5.9055118110236222</v>
      </c>
      <c r="H98" s="153"/>
      <c r="I98" s="153"/>
      <c r="J98" s="153"/>
      <c r="K98" s="153"/>
      <c r="L98" s="155"/>
      <c r="M98" s="154"/>
      <c r="N98" s="153"/>
      <c r="O98" s="153"/>
    </row>
    <row r="99" spans="2:15" ht="15" x14ac:dyDescent="0.3">
      <c r="B99" s="156"/>
      <c r="C99" s="156"/>
      <c r="D99" s="156"/>
      <c r="E99" s="1" t="s">
        <v>43</v>
      </c>
      <c r="F99" s="1">
        <v>4</v>
      </c>
      <c r="G99" s="152">
        <f>F99/(1*1.016)</f>
        <v>3.9370078740157481</v>
      </c>
      <c r="H99" s="153"/>
      <c r="I99" s="153"/>
      <c r="J99" s="153"/>
      <c r="K99" s="153"/>
      <c r="L99" s="155"/>
      <c r="M99" s="154"/>
      <c r="N99" s="153"/>
      <c r="O99" s="153"/>
    </row>
    <row r="100" spans="2:15" ht="15" x14ac:dyDescent="0.3">
      <c r="B100" s="156"/>
      <c r="C100" s="156"/>
      <c r="D100" s="156"/>
      <c r="E100" s="1" t="s">
        <v>44</v>
      </c>
      <c r="F100" s="1">
        <v>3</v>
      </c>
      <c r="G100" s="152">
        <f>F100/(1*1.016)</f>
        <v>2.9527559055118111</v>
      </c>
      <c r="H100" s="153"/>
      <c r="I100" s="153"/>
      <c r="J100" s="153"/>
      <c r="K100" s="153"/>
      <c r="L100" s="155"/>
      <c r="M100" s="154"/>
      <c r="N100" s="153"/>
      <c r="O100" s="153"/>
    </row>
    <row r="101" spans="2:15" ht="15" x14ac:dyDescent="0.3">
      <c r="B101" s="156"/>
      <c r="C101" s="156"/>
      <c r="D101" s="156"/>
      <c r="E101" s="1" t="s">
        <v>45</v>
      </c>
      <c r="F101" s="1">
        <v>3</v>
      </c>
      <c r="G101" s="152">
        <f>F101/(1*1.016)</f>
        <v>2.9527559055118111</v>
      </c>
      <c r="H101" s="153"/>
      <c r="I101" s="153"/>
      <c r="J101" s="153"/>
      <c r="K101" s="153"/>
      <c r="L101" s="155"/>
      <c r="M101" s="154"/>
      <c r="N101" s="153"/>
      <c r="O101" s="153"/>
    </row>
    <row r="102" spans="2:15" ht="15" x14ac:dyDescent="0.3">
      <c r="B102" s="156"/>
      <c r="C102" s="156"/>
      <c r="D102" s="156"/>
      <c r="E102" s="1" t="s">
        <v>46</v>
      </c>
      <c r="F102" s="1">
        <v>1</v>
      </c>
      <c r="G102" s="152">
        <f>F102/(1*1.016)</f>
        <v>0.98425196850393704</v>
      </c>
      <c r="H102" s="153"/>
      <c r="I102" s="153"/>
      <c r="J102" s="153"/>
      <c r="K102" s="153"/>
      <c r="L102" s="155"/>
      <c r="M102" s="154"/>
      <c r="N102" s="153"/>
      <c r="O102" s="153"/>
    </row>
    <row r="103" spans="2:15" ht="15" x14ac:dyDescent="0.3">
      <c r="B103" s="156"/>
      <c r="C103" s="156"/>
      <c r="D103" s="156"/>
      <c r="E103" s="1" t="s">
        <v>47</v>
      </c>
      <c r="F103" s="1">
        <v>10</v>
      </c>
      <c r="G103" s="152">
        <f>F103/(1*1.016)</f>
        <v>9.8425196850393704</v>
      </c>
      <c r="H103" s="153"/>
      <c r="I103" s="153"/>
      <c r="J103" s="153"/>
      <c r="K103" s="153"/>
      <c r="L103" s="155"/>
      <c r="M103" s="154"/>
      <c r="N103" s="153"/>
      <c r="O103" s="153"/>
    </row>
    <row r="104" spans="2:15" ht="15" x14ac:dyDescent="0.3">
      <c r="B104" s="156"/>
      <c r="C104" s="156"/>
      <c r="D104" s="156"/>
      <c r="E104" s="1" t="s">
        <v>48</v>
      </c>
      <c r="F104" s="1">
        <v>10</v>
      </c>
      <c r="G104" s="152">
        <f>F104/(1*1.016)</f>
        <v>9.8425196850393704</v>
      </c>
      <c r="H104" s="153"/>
      <c r="I104" s="153"/>
      <c r="J104" s="153"/>
      <c r="K104" s="153"/>
      <c r="L104" s="155"/>
      <c r="M104" s="154"/>
      <c r="N104" s="153"/>
      <c r="O104" s="153"/>
    </row>
    <row r="105" spans="2:15" ht="15" x14ac:dyDescent="0.3">
      <c r="B105" s="156"/>
      <c r="C105" s="156"/>
      <c r="D105" s="156"/>
      <c r="E105" s="1" t="s">
        <v>49</v>
      </c>
      <c r="F105" s="1">
        <v>11</v>
      </c>
      <c r="G105" s="152">
        <f>F105/(1*1.016)</f>
        <v>10.826771653543307</v>
      </c>
      <c r="H105" s="153"/>
      <c r="I105" s="153"/>
      <c r="J105" s="153"/>
      <c r="K105" s="153"/>
      <c r="L105" s="155"/>
      <c r="M105" s="154"/>
      <c r="N105" s="153"/>
      <c r="O105" s="153"/>
    </row>
    <row r="106" spans="2:15" ht="15" x14ac:dyDescent="0.3">
      <c r="B106" s="156"/>
      <c r="C106" s="156"/>
      <c r="D106" s="156"/>
      <c r="E106" s="1" t="s">
        <v>50</v>
      </c>
      <c r="F106" s="1">
        <v>9</v>
      </c>
      <c r="G106" s="152">
        <f>F106/(1*1.016)</f>
        <v>8.8582677165354333</v>
      </c>
      <c r="H106" s="153"/>
      <c r="I106" s="153"/>
      <c r="J106" s="153"/>
      <c r="K106" s="153"/>
      <c r="L106" s="155"/>
      <c r="M106" s="154"/>
      <c r="N106" s="153"/>
      <c r="O106" s="153"/>
    </row>
    <row r="107" spans="2:15" ht="15" x14ac:dyDescent="0.3">
      <c r="B107" s="156"/>
      <c r="C107" s="156"/>
      <c r="D107" s="156"/>
      <c r="E107" s="1" t="s">
        <v>51</v>
      </c>
      <c r="F107" s="1">
        <v>10</v>
      </c>
      <c r="G107" s="152">
        <f>F107/(1*1.016)</f>
        <v>9.8425196850393704</v>
      </c>
      <c r="H107" s="153"/>
      <c r="I107" s="153"/>
      <c r="J107" s="153"/>
      <c r="K107" s="153"/>
      <c r="L107" s="155"/>
      <c r="M107" s="154"/>
      <c r="N107" s="153"/>
      <c r="O107" s="153"/>
    </row>
    <row r="108" spans="2:15" ht="15" x14ac:dyDescent="0.3">
      <c r="B108" s="156"/>
      <c r="C108" s="156"/>
      <c r="D108" s="156"/>
      <c r="E108" s="1" t="s">
        <v>52</v>
      </c>
      <c r="F108" s="1">
        <v>12</v>
      </c>
      <c r="G108" s="152">
        <f>F108/(1*1.016)</f>
        <v>11.811023622047244</v>
      </c>
      <c r="H108" s="153"/>
      <c r="I108" s="153"/>
      <c r="J108" s="153"/>
      <c r="K108" s="153"/>
      <c r="L108" s="155"/>
      <c r="M108" s="154"/>
      <c r="N108" s="153"/>
      <c r="O108" s="153"/>
    </row>
    <row r="109" spans="2:15" ht="15" x14ac:dyDescent="0.3">
      <c r="B109" s="156"/>
      <c r="C109" s="156"/>
      <c r="D109" s="156"/>
      <c r="E109" s="1" t="s">
        <v>53</v>
      </c>
      <c r="F109" s="1">
        <v>5</v>
      </c>
      <c r="G109" s="152">
        <f>F109/(1*1.016)</f>
        <v>4.9212598425196852</v>
      </c>
      <c r="H109" s="153"/>
      <c r="I109" s="153"/>
      <c r="J109" s="153"/>
      <c r="K109" s="153"/>
      <c r="L109" s="155"/>
      <c r="M109" s="154"/>
      <c r="N109" s="153"/>
      <c r="O109" s="153"/>
    </row>
    <row r="110" spans="2:15" ht="15" x14ac:dyDescent="0.3">
      <c r="B110" s="156"/>
      <c r="C110" s="156"/>
      <c r="D110" s="156"/>
      <c r="E110" s="1" t="s">
        <v>54</v>
      </c>
      <c r="F110" s="1">
        <v>4</v>
      </c>
      <c r="G110" s="152">
        <f>F110/(1*1.016)</f>
        <v>3.9370078740157481</v>
      </c>
      <c r="H110" s="153"/>
      <c r="I110" s="153"/>
      <c r="J110" s="153"/>
      <c r="K110" s="153"/>
      <c r="L110" s="155"/>
      <c r="M110" s="154"/>
      <c r="N110" s="153"/>
      <c r="O110" s="153"/>
    </row>
    <row r="111" spans="2:15" ht="15" x14ac:dyDescent="0.3">
      <c r="B111" s="156"/>
      <c r="C111" s="156"/>
      <c r="D111" s="156"/>
      <c r="E111" s="1" t="s">
        <v>55</v>
      </c>
      <c r="F111" s="1">
        <v>3</v>
      </c>
      <c r="G111" s="152">
        <f>F111/(1*1.016)</f>
        <v>2.9527559055118111</v>
      </c>
      <c r="H111" s="153"/>
      <c r="I111" s="153"/>
      <c r="J111" s="153"/>
      <c r="K111" s="153"/>
      <c r="L111" s="155"/>
      <c r="M111" s="154"/>
      <c r="N111" s="153"/>
      <c r="O111" s="153"/>
    </row>
    <row r="112" spans="2:15" ht="15" x14ac:dyDescent="0.3">
      <c r="B112" s="156"/>
      <c r="C112" s="156"/>
      <c r="D112" s="156"/>
      <c r="E112" s="1" t="s">
        <v>56</v>
      </c>
      <c r="F112" s="1">
        <v>2</v>
      </c>
      <c r="G112" s="152">
        <f>F112/(1*1.016)</f>
        <v>1.9685039370078741</v>
      </c>
      <c r="H112" s="153"/>
      <c r="I112" s="153"/>
      <c r="J112" s="153"/>
      <c r="K112" s="153"/>
      <c r="L112" s="155"/>
      <c r="M112" s="154"/>
      <c r="N112" s="153"/>
      <c r="O112" s="153"/>
    </row>
    <row r="113" spans="2:15" ht="15" x14ac:dyDescent="0.3">
      <c r="B113" s="156"/>
      <c r="C113" s="156"/>
      <c r="D113" s="156"/>
      <c r="E113" s="1" t="s">
        <v>57</v>
      </c>
      <c r="F113" s="1">
        <v>2</v>
      </c>
      <c r="G113" s="152">
        <f>F113/(1*1.016)</f>
        <v>1.9685039370078741</v>
      </c>
      <c r="H113" s="153"/>
      <c r="I113" s="153"/>
      <c r="J113" s="153"/>
      <c r="K113" s="153"/>
      <c r="L113" s="155"/>
      <c r="M113" s="154"/>
      <c r="N113" s="153"/>
      <c r="O113" s="153"/>
    </row>
    <row r="114" spans="2:15" ht="15" x14ac:dyDescent="0.3">
      <c r="B114" s="156"/>
      <c r="C114" s="156"/>
      <c r="D114" s="156"/>
      <c r="E114" s="1" t="s">
        <v>58</v>
      </c>
      <c r="F114" s="1">
        <v>2</v>
      </c>
      <c r="G114" s="152">
        <f>F114/(1*1.016)</f>
        <v>1.9685039370078741</v>
      </c>
      <c r="H114" s="153"/>
      <c r="I114" s="153"/>
      <c r="J114" s="153"/>
      <c r="K114" s="153"/>
      <c r="L114" s="155"/>
      <c r="M114" s="154"/>
      <c r="N114" s="153"/>
      <c r="O114" s="153"/>
    </row>
    <row r="115" spans="2:15" ht="15" x14ac:dyDescent="0.3">
      <c r="B115" s="156"/>
      <c r="C115" s="156"/>
      <c r="D115" s="156"/>
      <c r="E115" s="1" t="s">
        <v>59</v>
      </c>
      <c r="F115" s="1">
        <v>10</v>
      </c>
      <c r="G115" s="152">
        <f>F115/(1*1.016)</f>
        <v>9.8425196850393704</v>
      </c>
      <c r="H115" s="153"/>
      <c r="I115" s="153"/>
      <c r="J115" s="153"/>
      <c r="K115" s="153"/>
      <c r="L115" s="155"/>
      <c r="M115" s="154"/>
      <c r="N115" s="153"/>
      <c r="O115" s="153"/>
    </row>
    <row r="116" spans="2:15" ht="15" x14ac:dyDescent="0.3">
      <c r="B116" s="156"/>
      <c r="C116" s="156"/>
      <c r="D116" s="156"/>
      <c r="E116" s="1" t="s">
        <v>60</v>
      </c>
      <c r="F116" s="1">
        <v>9</v>
      </c>
      <c r="G116" s="152">
        <f>F116/(1*1.016)</f>
        <v>8.8582677165354333</v>
      </c>
      <c r="H116" s="153"/>
      <c r="I116" s="153"/>
      <c r="J116" s="153"/>
      <c r="K116" s="153"/>
      <c r="L116" s="155"/>
      <c r="M116" s="154"/>
      <c r="N116" s="153"/>
      <c r="O116" s="153"/>
    </row>
    <row r="117" spans="2:15" ht="15" x14ac:dyDescent="0.3">
      <c r="B117" s="156"/>
      <c r="C117" s="156"/>
      <c r="D117" s="156"/>
      <c r="E117" s="1" t="s">
        <v>61</v>
      </c>
      <c r="F117" s="1">
        <v>8</v>
      </c>
      <c r="G117" s="152">
        <f>F117/(1*1.016)</f>
        <v>7.8740157480314963</v>
      </c>
      <c r="H117" s="153"/>
      <c r="I117" s="153"/>
      <c r="J117" s="153"/>
      <c r="K117" s="153"/>
      <c r="L117" s="155"/>
      <c r="M117" s="154"/>
      <c r="N117" s="153"/>
      <c r="O117" s="153"/>
    </row>
    <row r="118" spans="2:15" ht="15" x14ac:dyDescent="0.3">
      <c r="B118" s="156"/>
      <c r="C118" s="156"/>
      <c r="D118" s="156"/>
      <c r="E118" s="1" t="s">
        <v>62</v>
      </c>
      <c r="F118" s="1">
        <v>10</v>
      </c>
      <c r="G118" s="152">
        <f>F118/(1*1.016)</f>
        <v>9.8425196850393704</v>
      </c>
      <c r="H118" s="153"/>
      <c r="I118" s="153"/>
      <c r="J118" s="153"/>
      <c r="K118" s="153"/>
      <c r="L118" s="155"/>
      <c r="M118" s="154"/>
      <c r="N118" s="153"/>
      <c r="O118" s="153"/>
    </row>
    <row r="119" spans="2:15" ht="15" x14ac:dyDescent="0.3">
      <c r="B119" s="156"/>
      <c r="C119" s="156"/>
      <c r="D119" s="156"/>
      <c r="E119" s="1" t="s">
        <v>63</v>
      </c>
      <c r="F119" s="1">
        <v>10</v>
      </c>
      <c r="G119" s="152">
        <f>F119/(1*1.016)</f>
        <v>9.8425196850393704</v>
      </c>
      <c r="H119" s="153"/>
      <c r="I119" s="153"/>
      <c r="J119" s="153"/>
      <c r="K119" s="153"/>
      <c r="L119" s="155"/>
      <c r="M119" s="154"/>
      <c r="N119" s="153"/>
      <c r="O119" s="153"/>
    </row>
    <row r="120" spans="2:15" ht="15" x14ac:dyDescent="0.3">
      <c r="B120" s="156"/>
      <c r="C120" s="156"/>
      <c r="D120" s="156"/>
      <c r="E120" s="1" t="s">
        <v>64</v>
      </c>
      <c r="F120" s="1">
        <v>8</v>
      </c>
      <c r="G120" s="152">
        <f>F120/(1*1.016)</f>
        <v>7.8740157480314963</v>
      </c>
      <c r="H120" s="153"/>
      <c r="I120" s="153"/>
      <c r="J120" s="153"/>
      <c r="K120" s="153"/>
      <c r="L120" s="155"/>
      <c r="M120" s="154"/>
      <c r="N120" s="153"/>
      <c r="O120" s="153"/>
    </row>
    <row r="121" spans="2:15" ht="15" x14ac:dyDescent="0.3">
      <c r="B121" s="156"/>
      <c r="C121" s="156"/>
      <c r="D121" s="156"/>
      <c r="E121" s="1" t="s">
        <v>65</v>
      </c>
      <c r="F121" s="1">
        <v>4</v>
      </c>
      <c r="G121" s="152">
        <f>F121/(1*1.016)</f>
        <v>3.9370078740157481</v>
      </c>
      <c r="H121" s="153"/>
      <c r="I121" s="153"/>
      <c r="J121" s="153"/>
      <c r="K121" s="153"/>
      <c r="L121" s="155"/>
      <c r="M121" s="154"/>
      <c r="N121" s="153"/>
      <c r="O121" s="153"/>
    </row>
    <row r="122" spans="2:15" ht="15" x14ac:dyDescent="0.3">
      <c r="B122" s="156"/>
      <c r="C122" s="156"/>
      <c r="D122" s="156"/>
      <c r="E122" s="1" t="s">
        <v>66</v>
      </c>
      <c r="F122" s="1">
        <v>5</v>
      </c>
      <c r="G122" s="152">
        <f>F122/(1*1.016)</f>
        <v>4.9212598425196852</v>
      </c>
      <c r="H122" s="153"/>
      <c r="I122" s="153"/>
      <c r="J122" s="153"/>
      <c r="K122" s="153"/>
      <c r="L122" s="155"/>
      <c r="M122" s="154"/>
      <c r="N122" s="153"/>
      <c r="O122" s="153"/>
    </row>
    <row r="123" spans="2:15" ht="15" x14ac:dyDescent="0.3">
      <c r="B123" s="156"/>
      <c r="C123" s="156"/>
      <c r="D123" s="156"/>
      <c r="E123" s="1" t="s">
        <v>67</v>
      </c>
      <c r="F123" s="1">
        <v>1</v>
      </c>
      <c r="G123" s="152">
        <f>F123/(1*1.016)</f>
        <v>0.98425196850393704</v>
      </c>
      <c r="H123" s="153"/>
      <c r="I123" s="153"/>
      <c r="J123" s="153"/>
      <c r="K123" s="153"/>
      <c r="L123" s="155"/>
      <c r="M123" s="154"/>
      <c r="N123" s="153"/>
      <c r="O123" s="153"/>
    </row>
    <row r="124" spans="2:15" ht="15" x14ac:dyDescent="0.3">
      <c r="B124" s="156"/>
      <c r="C124" s="156"/>
      <c r="D124" s="156"/>
      <c r="E124" s="1" t="s">
        <v>68</v>
      </c>
      <c r="F124" s="1">
        <v>3</v>
      </c>
      <c r="G124" s="152">
        <f>F124/(1*1.016)</f>
        <v>2.9527559055118111</v>
      </c>
      <c r="H124" s="153"/>
      <c r="I124" s="153"/>
      <c r="J124" s="153"/>
      <c r="K124" s="153"/>
      <c r="L124" s="155"/>
      <c r="M124" s="154"/>
      <c r="N124" s="153"/>
      <c r="O124" s="153"/>
    </row>
    <row r="125" spans="2:15" ht="15" x14ac:dyDescent="0.3">
      <c r="B125" s="156"/>
      <c r="C125" s="156"/>
      <c r="D125" s="156"/>
      <c r="E125" s="1" t="s">
        <v>69</v>
      </c>
      <c r="F125" s="1">
        <v>2</v>
      </c>
      <c r="G125" s="152">
        <f>F125/(1*1.016)</f>
        <v>1.9685039370078741</v>
      </c>
      <c r="H125" s="153"/>
      <c r="I125" s="153"/>
      <c r="J125" s="153"/>
      <c r="K125" s="153"/>
      <c r="L125" s="155"/>
      <c r="M125" s="154"/>
      <c r="N125" s="153"/>
      <c r="O125" s="153"/>
    </row>
    <row r="126" spans="2:15" ht="15" x14ac:dyDescent="0.3">
      <c r="B126" s="156"/>
      <c r="C126" s="156"/>
      <c r="D126" s="156"/>
      <c r="E126" s="1" t="s">
        <v>70</v>
      </c>
      <c r="F126" s="1">
        <v>6</v>
      </c>
      <c r="G126" s="152">
        <f>F126/(1*1.016)</f>
        <v>5.9055118110236222</v>
      </c>
      <c r="H126" s="153"/>
      <c r="I126" s="153"/>
      <c r="J126" s="153"/>
      <c r="K126" s="153"/>
      <c r="L126" s="155"/>
      <c r="M126" s="154"/>
      <c r="N126" s="153"/>
      <c r="O126" s="153"/>
    </row>
    <row r="127" spans="2:15" ht="15" x14ac:dyDescent="0.3">
      <c r="B127" s="156"/>
      <c r="C127" s="156"/>
      <c r="D127" s="156"/>
      <c r="E127" s="1" t="s">
        <v>71</v>
      </c>
      <c r="F127" s="1">
        <v>11</v>
      </c>
      <c r="G127" s="152">
        <f>F127/(1*1.016)</f>
        <v>10.826771653543307</v>
      </c>
      <c r="H127" s="153"/>
      <c r="I127" s="153"/>
      <c r="J127" s="153"/>
      <c r="K127" s="153"/>
      <c r="L127" s="155"/>
      <c r="M127" s="154"/>
      <c r="N127" s="153"/>
      <c r="O127" s="153"/>
    </row>
    <row r="128" spans="2:15" ht="15" x14ac:dyDescent="0.3">
      <c r="B128" s="156"/>
      <c r="C128" s="156"/>
      <c r="D128" s="156"/>
      <c r="E128" s="1" t="s">
        <v>72</v>
      </c>
      <c r="F128" s="1">
        <v>4</v>
      </c>
      <c r="G128" s="152">
        <f>F128/(1*1.016)</f>
        <v>3.9370078740157481</v>
      </c>
      <c r="H128" s="153"/>
      <c r="I128" s="153"/>
      <c r="J128" s="153"/>
      <c r="K128" s="153"/>
      <c r="L128" s="155"/>
      <c r="M128" s="154"/>
      <c r="N128" s="153"/>
      <c r="O128" s="153"/>
    </row>
    <row r="129" spans="2:15" ht="15" x14ac:dyDescent="0.3">
      <c r="B129" s="156"/>
      <c r="C129" s="156"/>
      <c r="D129" s="156"/>
      <c r="E129" s="1" t="s">
        <v>73</v>
      </c>
      <c r="F129" s="1">
        <v>10</v>
      </c>
      <c r="G129" s="152">
        <f>F129/(1*1.016)</f>
        <v>9.8425196850393704</v>
      </c>
      <c r="H129" s="153"/>
      <c r="I129" s="153"/>
      <c r="J129" s="153"/>
      <c r="K129" s="153"/>
      <c r="L129" s="155"/>
      <c r="M129" s="154"/>
      <c r="N129" s="153"/>
      <c r="O129" s="153"/>
    </row>
    <row r="130" spans="2:15" ht="15" x14ac:dyDescent="0.3">
      <c r="B130" s="156"/>
      <c r="C130" s="156"/>
      <c r="D130" s="156"/>
      <c r="E130" s="1" t="s">
        <v>74</v>
      </c>
      <c r="F130" s="1">
        <v>9</v>
      </c>
      <c r="G130" s="152">
        <f>F130/(1*1.016)</f>
        <v>8.8582677165354333</v>
      </c>
      <c r="H130" s="153"/>
      <c r="I130" s="153"/>
      <c r="J130" s="153"/>
      <c r="K130" s="153"/>
      <c r="L130" s="155"/>
      <c r="M130" s="154"/>
      <c r="N130" s="153"/>
      <c r="O130" s="153"/>
    </row>
    <row r="131" spans="2:15" ht="15" x14ac:dyDescent="0.3">
      <c r="B131" s="156"/>
      <c r="C131" s="156"/>
      <c r="D131" s="156"/>
      <c r="E131" s="1" t="s">
        <v>75</v>
      </c>
      <c r="F131" s="1">
        <v>5</v>
      </c>
      <c r="G131" s="152">
        <f>F131/(1*1.016)</f>
        <v>4.9212598425196852</v>
      </c>
      <c r="H131" s="153"/>
      <c r="I131" s="153"/>
      <c r="J131" s="153"/>
      <c r="K131" s="153"/>
      <c r="L131" s="155"/>
      <c r="M131" s="154"/>
      <c r="N131" s="153"/>
      <c r="O131" s="153"/>
    </row>
    <row r="132" spans="2:15" x14ac:dyDescent="0.2">
      <c r="E132" s="1" t="s">
        <v>76</v>
      </c>
      <c r="F132" s="1">
        <v>4</v>
      </c>
      <c r="G132" s="152">
        <f>F132/(1*1.016)</f>
        <v>3.9370078740157481</v>
      </c>
    </row>
    <row r="133" spans="2:15" x14ac:dyDescent="0.2">
      <c r="E133" s="1" t="s">
        <v>77</v>
      </c>
      <c r="F133" s="1">
        <v>5</v>
      </c>
      <c r="G133" s="152">
        <f>F133/(1*1.016)</f>
        <v>4.9212598425196852</v>
      </c>
    </row>
    <row r="134" spans="2:15" x14ac:dyDescent="0.2">
      <c r="E134" s="1" t="s">
        <v>78</v>
      </c>
      <c r="F134" s="1">
        <v>3</v>
      </c>
      <c r="G134" s="152">
        <f>F134/(1*1.016)</f>
        <v>2.9527559055118111</v>
      </c>
    </row>
    <row r="135" spans="2:15" x14ac:dyDescent="0.2">
      <c r="E135" s="1" t="s">
        <v>79</v>
      </c>
      <c r="F135" s="1">
        <v>4</v>
      </c>
      <c r="G135" s="152">
        <f>F135/(1*1.016)</f>
        <v>3.9370078740157481</v>
      </c>
    </row>
    <row r="136" spans="2:15" x14ac:dyDescent="0.2">
      <c r="E136" s="1" t="s">
        <v>80</v>
      </c>
      <c r="F136" s="1">
        <v>3</v>
      </c>
      <c r="G136" s="152">
        <f>F136/(1*1.016)</f>
        <v>2.9527559055118111</v>
      </c>
    </row>
    <row r="137" spans="2:15" x14ac:dyDescent="0.2">
      <c r="E137" s="1" t="s">
        <v>81</v>
      </c>
      <c r="F137" s="1">
        <v>2</v>
      </c>
      <c r="G137" s="152">
        <f>F137/(1*1.016)</f>
        <v>1.9685039370078741</v>
      </c>
    </row>
    <row r="138" spans="2:15" x14ac:dyDescent="0.2">
      <c r="E138" s="1" t="s">
        <v>82</v>
      </c>
      <c r="F138" s="1">
        <v>4</v>
      </c>
      <c r="G138" s="152">
        <f>F138/(1*1.016)</f>
        <v>3.9370078740157481</v>
      </c>
    </row>
    <row r="139" spans="2:15" x14ac:dyDescent="0.2">
      <c r="E139" s="1" t="s">
        <v>83</v>
      </c>
      <c r="F139" s="1">
        <v>4</v>
      </c>
      <c r="G139" s="152">
        <f>F139/(1*1.016)</f>
        <v>3.9370078740157481</v>
      </c>
    </row>
    <row r="140" spans="2:15" x14ac:dyDescent="0.2">
      <c r="E140" s="1" t="s">
        <v>84</v>
      </c>
      <c r="F140" s="1">
        <v>2</v>
      </c>
      <c r="G140" s="152">
        <f>F140/(1*1.016)</f>
        <v>1.9685039370078741</v>
      </c>
    </row>
    <row r="141" spans="2:15" x14ac:dyDescent="0.2">
      <c r="E141" s="1" t="s">
        <v>85</v>
      </c>
      <c r="F141" s="1">
        <v>2</v>
      </c>
      <c r="G141" s="152">
        <f>F141/(1*1.016)</f>
        <v>1.9685039370078741</v>
      </c>
    </row>
    <row r="142" spans="2:15" x14ac:dyDescent="0.2">
      <c r="E142" s="1" t="s">
        <v>86</v>
      </c>
      <c r="F142" s="1">
        <v>4</v>
      </c>
      <c r="G142" s="152">
        <f>F142/(1*1.016)</f>
        <v>3.9370078740157481</v>
      </c>
    </row>
    <row r="143" spans="2:15" x14ac:dyDescent="0.2">
      <c r="E143" s="1" t="s">
        <v>87</v>
      </c>
      <c r="F143" s="1">
        <v>4</v>
      </c>
      <c r="G143" s="152">
        <f>F143/(1*1.016)</f>
        <v>3.9370078740157481</v>
      </c>
    </row>
    <row r="144" spans="2:15" x14ac:dyDescent="0.2">
      <c r="E144" s="1" t="s">
        <v>88</v>
      </c>
      <c r="F144" s="1">
        <v>7</v>
      </c>
      <c r="G144" s="152">
        <f>F144/(1*1.016)</f>
        <v>6.8897637795275593</v>
      </c>
    </row>
    <row r="145" spans="5:7" x14ac:dyDescent="0.2">
      <c r="E145" s="1" t="s">
        <v>89</v>
      </c>
      <c r="F145" s="1">
        <v>2</v>
      </c>
      <c r="G145" s="152">
        <f>F145/(1*1.016)</f>
        <v>1.9685039370078741</v>
      </c>
    </row>
    <row r="146" spans="5:7" x14ac:dyDescent="0.2">
      <c r="E146" s="1" t="s">
        <v>90</v>
      </c>
      <c r="F146" s="1">
        <v>4</v>
      </c>
      <c r="G146" s="152">
        <f>F146/(1*1.016)</f>
        <v>3.9370078740157481</v>
      </c>
    </row>
    <row r="147" spans="5:7" x14ac:dyDescent="0.2">
      <c r="E147" s="1" t="s">
        <v>91</v>
      </c>
      <c r="F147" s="1">
        <v>2</v>
      </c>
      <c r="G147" s="152">
        <f>F147/(1*1.016)</f>
        <v>1.9685039370078741</v>
      </c>
    </row>
    <row r="148" spans="5:7" x14ac:dyDescent="0.2">
      <c r="E148" s="1" t="s">
        <v>92</v>
      </c>
      <c r="F148" s="1">
        <v>2</v>
      </c>
      <c r="G148" s="152">
        <f>F148/(1*1.016)</f>
        <v>1.9685039370078741</v>
      </c>
    </row>
    <row r="149" spans="5:7" x14ac:dyDescent="0.2">
      <c r="E149" s="1" t="s">
        <v>93</v>
      </c>
      <c r="F149" s="1">
        <v>4</v>
      </c>
      <c r="G149" s="152">
        <f>F149/(1*1.016)</f>
        <v>3.9370078740157481</v>
      </c>
    </row>
    <row r="150" spans="5:7" x14ac:dyDescent="0.2">
      <c r="E150" s="1" t="s">
        <v>94</v>
      </c>
      <c r="F150" s="1">
        <v>1</v>
      </c>
      <c r="G150" s="152">
        <f>F150/(1*1.016)</f>
        <v>0.98425196850393704</v>
      </c>
    </row>
    <row r="151" spans="5:7" x14ac:dyDescent="0.2">
      <c r="E151" s="1" t="s">
        <v>95</v>
      </c>
      <c r="F151" s="1">
        <v>5</v>
      </c>
      <c r="G151" s="152">
        <f>F151/(1*1.016)</f>
        <v>4.9212598425196852</v>
      </c>
    </row>
    <row r="152" spans="5:7" x14ac:dyDescent="0.2">
      <c r="E152" s="1" t="s">
        <v>96</v>
      </c>
      <c r="F152" s="1">
        <v>0</v>
      </c>
      <c r="G152" s="152">
        <f>F152/(1*1.016)</f>
        <v>0</v>
      </c>
    </row>
    <row r="153" spans="5:7" x14ac:dyDescent="0.2">
      <c r="E153" s="1" t="s">
        <v>97</v>
      </c>
      <c r="F153" s="1">
        <v>2</v>
      </c>
      <c r="G153" s="152">
        <f>F153/(1*1.016)</f>
        <v>1.9685039370078741</v>
      </c>
    </row>
    <row r="154" spans="5:7" x14ac:dyDescent="0.2">
      <c r="E154" s="1" t="s">
        <v>98</v>
      </c>
      <c r="F154" s="1">
        <v>2</v>
      </c>
      <c r="G154" s="152">
        <f>F154/(1*1.016)</f>
        <v>1.9685039370078741</v>
      </c>
    </row>
    <row r="155" spans="5:7" x14ac:dyDescent="0.2">
      <c r="E155" s="1" t="s">
        <v>99</v>
      </c>
      <c r="F155" s="1">
        <v>2</v>
      </c>
      <c r="G155" s="152">
        <f>F155/(1*1.016)</f>
        <v>1.9685039370078741</v>
      </c>
    </row>
    <row r="156" spans="5:7" x14ac:dyDescent="0.2">
      <c r="E156" s="1" t="s">
        <v>100</v>
      </c>
      <c r="F156" s="1">
        <v>3</v>
      </c>
      <c r="G156" s="152">
        <f>F156/(1*1.016)</f>
        <v>2.9527559055118111</v>
      </c>
    </row>
    <row r="157" spans="5:7" x14ac:dyDescent="0.2">
      <c r="E157" s="1" t="s">
        <v>101</v>
      </c>
      <c r="F157" s="1">
        <v>12</v>
      </c>
      <c r="G157" s="152">
        <f>F157/(1*1.016)</f>
        <v>11.811023622047244</v>
      </c>
    </row>
    <row r="158" spans="5:7" x14ac:dyDescent="0.2">
      <c r="E158" s="1" t="s">
        <v>102</v>
      </c>
      <c r="F158" s="1">
        <v>13</v>
      </c>
      <c r="G158" s="152">
        <f>F158/(1*1.016)</f>
        <v>12.795275590551181</v>
      </c>
    </row>
    <row r="159" spans="5:7" x14ac:dyDescent="0.2">
      <c r="E159" s="1" t="s">
        <v>103</v>
      </c>
      <c r="F159" s="1">
        <v>9</v>
      </c>
      <c r="G159" s="152">
        <f>F159/(1*1.016)</f>
        <v>8.8582677165354333</v>
      </c>
    </row>
    <row r="160" spans="5:7" x14ac:dyDescent="0.2">
      <c r="E160" s="1" t="s">
        <v>104</v>
      </c>
      <c r="F160" s="1">
        <v>11</v>
      </c>
      <c r="G160" s="152">
        <f>F160/(1*1.016)</f>
        <v>10.826771653543307</v>
      </c>
    </row>
    <row r="161" spans="5:7" x14ac:dyDescent="0.2">
      <c r="E161" s="1" t="s">
        <v>105</v>
      </c>
      <c r="F161" s="1">
        <v>10</v>
      </c>
      <c r="G161" s="152">
        <f>F161/(1*1.016)</f>
        <v>9.8425196850393704</v>
      </c>
    </row>
    <row r="162" spans="5:7" x14ac:dyDescent="0.2">
      <c r="E162" s="1" t="s">
        <v>106</v>
      </c>
      <c r="F162" s="1">
        <v>5</v>
      </c>
      <c r="G162" s="152">
        <f>F162/(1*1.016)</f>
        <v>4.9212598425196852</v>
      </c>
    </row>
    <row r="163" spans="5:7" x14ac:dyDescent="0.2">
      <c r="E163" s="1" t="s">
        <v>107</v>
      </c>
      <c r="F163" s="1">
        <v>8</v>
      </c>
      <c r="G163" s="152">
        <f>F163/(1*1.016)</f>
        <v>7.8740157480314963</v>
      </c>
    </row>
    <row r="164" spans="5:7" x14ac:dyDescent="0.2">
      <c r="E164" s="1" t="s">
        <v>108</v>
      </c>
      <c r="F164" s="1">
        <v>8</v>
      </c>
      <c r="G164" s="152">
        <f>F164/(1*1.016)</f>
        <v>7.8740157480314963</v>
      </c>
    </row>
    <row r="165" spans="5:7" x14ac:dyDescent="0.2">
      <c r="E165" s="1" t="s">
        <v>109</v>
      </c>
      <c r="F165" s="1">
        <v>9</v>
      </c>
      <c r="G165" s="152">
        <f>F165/(1*1.016)</f>
        <v>8.8582677165354333</v>
      </c>
    </row>
    <row r="166" spans="5:7" x14ac:dyDescent="0.2">
      <c r="E166" s="1" t="s">
        <v>110</v>
      </c>
      <c r="F166" s="1">
        <v>13</v>
      </c>
      <c r="G166" s="152">
        <f>F166/(1*1.016)</f>
        <v>12.795275590551181</v>
      </c>
    </row>
    <row r="167" spans="5:7" x14ac:dyDescent="0.2">
      <c r="E167" s="1" t="s">
        <v>111</v>
      </c>
      <c r="F167" s="1">
        <v>12</v>
      </c>
      <c r="G167" s="152">
        <f>F167/(1*1.016)</f>
        <v>11.811023622047244</v>
      </c>
    </row>
    <row r="168" spans="5:7" x14ac:dyDescent="0.2">
      <c r="E168" s="1" t="s">
        <v>112</v>
      </c>
      <c r="F168" s="1">
        <v>11</v>
      </c>
      <c r="G168" s="152">
        <f>F168/(1*1.016)</f>
        <v>10.826771653543307</v>
      </c>
    </row>
    <row r="169" spans="5:7" x14ac:dyDescent="0.2">
      <c r="E169" s="1" t="s">
        <v>113</v>
      </c>
      <c r="F169" s="1">
        <v>11</v>
      </c>
      <c r="G169" s="152">
        <f>F169/(1*1.016)</f>
        <v>10.826771653543307</v>
      </c>
    </row>
    <row r="170" spans="5:7" x14ac:dyDescent="0.2">
      <c r="E170" s="1" t="s">
        <v>114</v>
      </c>
      <c r="F170" s="1">
        <v>5</v>
      </c>
      <c r="G170" s="152">
        <f>F170/(1*1.016)</f>
        <v>4.9212598425196852</v>
      </c>
    </row>
    <row r="171" spans="5:7" x14ac:dyDescent="0.2">
      <c r="E171" s="1" t="s">
        <v>115</v>
      </c>
      <c r="F171" s="1">
        <v>11</v>
      </c>
      <c r="G171" s="152">
        <f>F171/(1*1.016)</f>
        <v>10.826771653543307</v>
      </c>
    </row>
    <row r="172" spans="5:7" x14ac:dyDescent="0.2">
      <c r="E172" s="1" t="s">
        <v>116</v>
      </c>
      <c r="F172" s="1">
        <v>8</v>
      </c>
      <c r="G172" s="152">
        <f>F172/(1*1.016)</f>
        <v>7.8740157480314963</v>
      </c>
    </row>
    <row r="173" spans="5:7" x14ac:dyDescent="0.2">
      <c r="E173" s="1" t="s">
        <v>117</v>
      </c>
      <c r="F173" s="1">
        <v>9</v>
      </c>
      <c r="G173" s="152">
        <f>F173/(1*1.016)</f>
        <v>8.8582677165354333</v>
      </c>
    </row>
    <row r="174" spans="5:7" x14ac:dyDescent="0.2">
      <c r="E174" s="1" t="s">
        <v>118</v>
      </c>
      <c r="F174" s="1">
        <v>8</v>
      </c>
      <c r="G174" s="152">
        <f>F174/(1*1.016)</f>
        <v>7.8740157480314963</v>
      </c>
    </row>
    <row r="175" spans="5:7" x14ac:dyDescent="0.2">
      <c r="E175" s="1" t="s">
        <v>119</v>
      </c>
      <c r="F175" s="1">
        <v>8</v>
      </c>
      <c r="G175" s="152">
        <f>F175/(1*1.016)</f>
        <v>7.8740157480314963</v>
      </c>
    </row>
    <row r="176" spans="5:7" x14ac:dyDescent="0.2">
      <c r="E176" s="1" t="s">
        <v>120</v>
      </c>
      <c r="F176" s="1">
        <v>8</v>
      </c>
      <c r="G176" s="152">
        <f>F176/(1*1.016)</f>
        <v>7.8740157480314963</v>
      </c>
    </row>
    <row r="177" spans="5:7" x14ac:dyDescent="0.2">
      <c r="E177" s="1" t="s">
        <v>121</v>
      </c>
      <c r="F177" s="1">
        <v>8</v>
      </c>
      <c r="G177" s="152">
        <f>F177/(1*1.016)</f>
        <v>7.8740157480314963</v>
      </c>
    </row>
    <row r="178" spans="5:7" x14ac:dyDescent="0.2">
      <c r="E178" s="1" t="s">
        <v>122</v>
      </c>
      <c r="F178" s="1">
        <v>10</v>
      </c>
      <c r="G178" s="152">
        <f>F178/(1*1.016)</f>
        <v>9.8425196850393704</v>
      </c>
    </row>
    <row r="179" spans="5:7" x14ac:dyDescent="0.2">
      <c r="E179" s="1" t="s">
        <v>123</v>
      </c>
      <c r="F179" s="1">
        <v>9</v>
      </c>
      <c r="G179" s="152">
        <f>F179/(1*1.016)</f>
        <v>8.8582677165354333</v>
      </c>
    </row>
    <row r="180" spans="5:7" x14ac:dyDescent="0.2">
      <c r="E180" s="1" t="s">
        <v>124</v>
      </c>
      <c r="F180" s="1">
        <v>6</v>
      </c>
      <c r="G180" s="152">
        <f>F180/(1*1.016)</f>
        <v>5.9055118110236222</v>
      </c>
    </row>
    <row r="181" spans="5:7" x14ac:dyDescent="0.2">
      <c r="E181" s="1" t="s">
        <v>125</v>
      </c>
      <c r="F181" s="1">
        <v>2</v>
      </c>
      <c r="G181" s="152">
        <f>F181/(1*1.016)</f>
        <v>1.9685039370078741</v>
      </c>
    </row>
    <row r="182" spans="5:7" x14ac:dyDescent="0.2">
      <c r="E182" s="1" t="s">
        <v>126</v>
      </c>
      <c r="F182" s="1">
        <v>2</v>
      </c>
      <c r="G182" s="152">
        <f>F182/(1*1.016)</f>
        <v>1.9685039370078741</v>
      </c>
    </row>
    <row r="183" spans="5:7" x14ac:dyDescent="0.2">
      <c r="E183" s="1" t="s">
        <v>127</v>
      </c>
      <c r="F183" s="1">
        <v>3</v>
      </c>
      <c r="G183" s="152">
        <f>F183/(1*1.016)</f>
        <v>2.9527559055118111</v>
      </c>
    </row>
    <row r="184" spans="5:7" x14ac:dyDescent="0.2">
      <c r="E184" s="1" t="s">
        <v>128</v>
      </c>
      <c r="F184" s="1">
        <v>4</v>
      </c>
      <c r="G184" s="152">
        <f>F184/(1*1.016)</f>
        <v>3.9370078740157481</v>
      </c>
    </row>
    <row r="185" spans="5:7" x14ac:dyDescent="0.2">
      <c r="E185" s="1" t="s">
        <v>129</v>
      </c>
      <c r="F185" s="1">
        <v>5</v>
      </c>
      <c r="G185" s="152">
        <f>F185/(1*1.016)</f>
        <v>4.9212598425196852</v>
      </c>
    </row>
    <row r="186" spans="5:7" x14ac:dyDescent="0.2">
      <c r="E186" s="1" t="s">
        <v>130</v>
      </c>
      <c r="F186" s="1">
        <v>2</v>
      </c>
      <c r="G186" s="152">
        <f>F186/(1*1.016)</f>
        <v>1.9685039370078741</v>
      </c>
    </row>
    <row r="187" spans="5:7" x14ac:dyDescent="0.2">
      <c r="E187" s="1" t="s">
        <v>131</v>
      </c>
      <c r="F187" s="1">
        <v>9</v>
      </c>
      <c r="G187" s="152">
        <f>F187/(1*1.016)</f>
        <v>8.8582677165354333</v>
      </c>
    </row>
    <row r="188" spans="5:7" x14ac:dyDescent="0.2">
      <c r="E188" s="1" t="s">
        <v>132</v>
      </c>
      <c r="F188" s="1">
        <v>4</v>
      </c>
      <c r="G188" s="152">
        <f>F188/(1*1.016)</f>
        <v>3.9370078740157481</v>
      </c>
    </row>
    <row r="189" spans="5:7" x14ac:dyDescent="0.2">
      <c r="E189" s="1" t="s">
        <v>133</v>
      </c>
      <c r="F189" s="1">
        <v>8</v>
      </c>
      <c r="G189" s="152">
        <f>F189/(1*1.016)</f>
        <v>7.8740157480314963</v>
      </c>
    </row>
    <row r="190" spans="5:7" x14ac:dyDescent="0.2">
      <c r="E190" s="1" t="s">
        <v>134</v>
      </c>
      <c r="F190" s="1">
        <v>10</v>
      </c>
      <c r="G190" s="152">
        <f>F190/(1*1.016)</f>
        <v>9.8425196850393704</v>
      </c>
    </row>
    <row r="191" spans="5:7" x14ac:dyDescent="0.2">
      <c r="E191" s="1" t="s">
        <v>135</v>
      </c>
      <c r="F191" s="1">
        <v>13</v>
      </c>
      <c r="G191" s="152">
        <f>F191/(1*1.016)</f>
        <v>12.795275590551181</v>
      </c>
    </row>
    <row r="192" spans="5:7" x14ac:dyDescent="0.2">
      <c r="E192" s="1" t="s">
        <v>136</v>
      </c>
      <c r="F192" s="1">
        <v>11</v>
      </c>
      <c r="G192" s="152">
        <f>F192/(1*1.016)</f>
        <v>10.826771653543307</v>
      </c>
    </row>
    <row r="193" spans="5:7" x14ac:dyDescent="0.2">
      <c r="E193" s="1" t="s">
        <v>137</v>
      </c>
      <c r="F193" s="1">
        <v>9</v>
      </c>
      <c r="G193" s="152">
        <f>F193/(1*1.016)</f>
        <v>8.8582677165354333</v>
      </c>
    </row>
    <row r="194" spans="5:7" x14ac:dyDescent="0.2">
      <c r="E194" s="1" t="s">
        <v>138</v>
      </c>
      <c r="F194" s="1">
        <v>11</v>
      </c>
      <c r="G194" s="152">
        <f>F194/(1*1.016)</f>
        <v>10.826771653543307</v>
      </c>
    </row>
    <row r="195" spans="5:7" x14ac:dyDescent="0.2">
      <c r="E195" s="1" t="s">
        <v>139</v>
      </c>
      <c r="F195" s="1">
        <v>14</v>
      </c>
      <c r="G195" s="152">
        <f>F195/(1*1.016)</f>
        <v>13.779527559055119</v>
      </c>
    </row>
    <row r="196" spans="5:7" x14ac:dyDescent="0.2">
      <c r="E196" s="1" t="s">
        <v>140</v>
      </c>
      <c r="F196" s="1">
        <v>11</v>
      </c>
      <c r="G196" s="152">
        <f>F196/(1*1.016)</f>
        <v>10.826771653543307</v>
      </c>
    </row>
    <row r="197" spans="5:7" x14ac:dyDescent="0.2">
      <c r="E197" s="1" t="s">
        <v>141</v>
      </c>
      <c r="F197" s="1">
        <v>12</v>
      </c>
      <c r="G197" s="152">
        <f>F197/(1*1.016)</f>
        <v>11.811023622047244</v>
      </c>
    </row>
    <row r="198" spans="5:7" x14ac:dyDescent="0.2">
      <c r="E198" s="1" t="s">
        <v>142</v>
      </c>
      <c r="F198" s="1">
        <v>5</v>
      </c>
      <c r="G198" s="152">
        <f>F198/(1*1.016)</f>
        <v>4.9212598425196852</v>
      </c>
    </row>
    <row r="199" spans="5:7" x14ac:dyDescent="0.2">
      <c r="E199" s="1" t="s">
        <v>143</v>
      </c>
      <c r="F199" s="1">
        <v>4</v>
      </c>
      <c r="G199" s="152">
        <f>F199/(1*1.016)</f>
        <v>3.9370078740157481</v>
      </c>
    </row>
    <row r="200" spans="5:7" x14ac:dyDescent="0.2">
      <c r="E200" s="1" t="s">
        <v>144</v>
      </c>
      <c r="F200" s="1">
        <v>4</v>
      </c>
      <c r="G200" s="152">
        <f>F200/(1*1.016)</f>
        <v>3.9370078740157481</v>
      </c>
    </row>
    <row r="201" spans="5:7" x14ac:dyDescent="0.2">
      <c r="E201" s="1" t="s">
        <v>145</v>
      </c>
      <c r="F201" s="1">
        <v>4</v>
      </c>
      <c r="G201" s="152">
        <f>F201/(1*1.016)</f>
        <v>3.9370078740157481</v>
      </c>
    </row>
    <row r="202" spans="5:7" x14ac:dyDescent="0.2">
      <c r="E202" s="1" t="s">
        <v>146</v>
      </c>
      <c r="F202" s="1">
        <v>4</v>
      </c>
      <c r="G202" s="152">
        <f>F202/(1*1.016)</f>
        <v>3.9370078740157481</v>
      </c>
    </row>
    <row r="203" spans="5:7" x14ac:dyDescent="0.2">
      <c r="E203" s="1" t="s">
        <v>147</v>
      </c>
      <c r="F203" s="1">
        <v>1</v>
      </c>
      <c r="G203" s="152">
        <f>F203/(1*1.016)</f>
        <v>0.98425196850393704</v>
      </c>
    </row>
    <row r="204" spans="5:7" x14ac:dyDescent="0.2">
      <c r="E204" s="1" t="s">
        <v>148</v>
      </c>
      <c r="F204" s="1">
        <v>4</v>
      </c>
      <c r="G204" s="152">
        <f>F204/(1*1.016)</f>
        <v>3.9370078740157481</v>
      </c>
    </row>
    <row r="205" spans="5:7" x14ac:dyDescent="0.2">
      <c r="E205" s="1" t="s">
        <v>149</v>
      </c>
      <c r="F205" s="1">
        <v>3</v>
      </c>
      <c r="G205" s="152">
        <f>F205/(1*1.016)</f>
        <v>2.9527559055118111</v>
      </c>
    </row>
    <row r="206" spans="5:7" x14ac:dyDescent="0.2">
      <c r="E206" s="1" t="s">
        <v>150</v>
      </c>
      <c r="F206" s="1">
        <v>0</v>
      </c>
      <c r="G206" s="152">
        <f>F206/(1*1.016)</f>
        <v>0</v>
      </c>
    </row>
    <row r="207" spans="5:7" x14ac:dyDescent="0.2">
      <c r="E207" s="1" t="s">
        <v>151</v>
      </c>
      <c r="F207" s="1">
        <v>3</v>
      </c>
      <c r="G207" s="152">
        <f>F207/(1*1.016)</f>
        <v>2.9527559055118111</v>
      </c>
    </row>
    <row r="208" spans="5:7" x14ac:dyDescent="0.2">
      <c r="E208" s="1" t="s">
        <v>152</v>
      </c>
      <c r="F208" s="1">
        <v>3</v>
      </c>
      <c r="G208" s="152">
        <f>F208/(1*1.016)</f>
        <v>2.9527559055118111</v>
      </c>
    </row>
    <row r="209" spans="5:7" x14ac:dyDescent="0.2">
      <c r="E209" s="1" t="s">
        <v>153</v>
      </c>
      <c r="F209" s="1">
        <v>4</v>
      </c>
      <c r="G209" s="152">
        <f>F209/(1*1.016)</f>
        <v>3.9370078740157481</v>
      </c>
    </row>
    <row r="210" spans="5:7" x14ac:dyDescent="0.2">
      <c r="E210" s="1" t="s">
        <v>154</v>
      </c>
      <c r="F210" s="1">
        <v>4</v>
      </c>
      <c r="G210" s="152">
        <f>F210/(1*1.016)</f>
        <v>3.9370078740157481</v>
      </c>
    </row>
    <row r="211" spans="5:7" x14ac:dyDescent="0.2">
      <c r="E211" s="1" t="s">
        <v>155</v>
      </c>
      <c r="F211" s="1">
        <v>11</v>
      </c>
      <c r="G211" s="152">
        <f>F211/(1*1.016)</f>
        <v>10.826771653543307</v>
      </c>
    </row>
    <row r="212" spans="5:7" x14ac:dyDescent="0.2">
      <c r="E212" s="1" t="s">
        <v>156</v>
      </c>
      <c r="F212" s="1">
        <v>4</v>
      </c>
      <c r="G212" s="152">
        <f>F212/(1*1.016)</f>
        <v>3.9370078740157481</v>
      </c>
    </row>
    <row r="213" spans="5:7" x14ac:dyDescent="0.2">
      <c r="E213" s="1" t="s">
        <v>157</v>
      </c>
      <c r="F213" s="1">
        <v>5</v>
      </c>
      <c r="G213" s="152">
        <f>F213/(1*1.016)</f>
        <v>4.9212598425196852</v>
      </c>
    </row>
    <row r="214" spans="5:7" x14ac:dyDescent="0.2">
      <c r="E214" s="1" t="s">
        <v>158</v>
      </c>
      <c r="F214" s="1">
        <v>11</v>
      </c>
      <c r="G214" s="152">
        <f>F214/(1*1.016)</f>
        <v>10.826771653543307</v>
      </c>
    </row>
    <row r="215" spans="5:7" x14ac:dyDescent="0.2">
      <c r="E215" s="1" t="s">
        <v>159</v>
      </c>
      <c r="F215" s="1">
        <v>9</v>
      </c>
      <c r="G215" s="152">
        <f>F215/(1*1.016)</f>
        <v>8.8582677165354333</v>
      </c>
    </row>
    <row r="216" spans="5:7" x14ac:dyDescent="0.2">
      <c r="E216" s="1" t="s">
        <v>160</v>
      </c>
      <c r="F216" s="1">
        <v>11</v>
      </c>
      <c r="G216" s="152">
        <f>F216/(1*1.016)</f>
        <v>10.826771653543307</v>
      </c>
    </row>
    <row r="217" spans="5:7" x14ac:dyDescent="0.2">
      <c r="E217" s="1" t="s">
        <v>161</v>
      </c>
      <c r="F217" s="1">
        <v>3</v>
      </c>
      <c r="G217" s="152">
        <f>F217/(1*1.016)</f>
        <v>2.9527559055118111</v>
      </c>
    </row>
    <row r="218" spans="5:7" x14ac:dyDescent="0.2">
      <c r="E218" s="1" t="s">
        <v>162</v>
      </c>
      <c r="F218" s="1">
        <v>6</v>
      </c>
      <c r="G218" s="152">
        <f>F218/(1*1.016)</f>
        <v>5.9055118110236222</v>
      </c>
    </row>
    <row r="219" spans="5:7" x14ac:dyDescent="0.2">
      <c r="E219" s="1" t="s">
        <v>163</v>
      </c>
      <c r="F219" s="1">
        <v>4</v>
      </c>
      <c r="G219" s="152">
        <f>F219/(1*1.016)</f>
        <v>3.9370078740157481</v>
      </c>
    </row>
    <row r="220" spans="5:7" x14ac:dyDescent="0.2">
      <c r="E220" s="1" t="s">
        <v>164</v>
      </c>
      <c r="F220" s="1">
        <v>2</v>
      </c>
      <c r="G220" s="152">
        <f>F220/(1*1.016)</f>
        <v>1.9685039370078741</v>
      </c>
    </row>
    <row r="221" spans="5:7" x14ac:dyDescent="0.2">
      <c r="E221" s="1" t="s">
        <v>165</v>
      </c>
      <c r="F221" s="1">
        <v>2</v>
      </c>
      <c r="G221" s="152">
        <f>F221/(1*1.016)</f>
        <v>1.9685039370078741</v>
      </c>
    </row>
    <row r="222" spans="5:7" x14ac:dyDescent="0.2">
      <c r="E222" s="1" t="s">
        <v>166</v>
      </c>
      <c r="F222" s="1">
        <v>1</v>
      </c>
      <c r="G222" s="152">
        <f>F222/(1*1.016)</f>
        <v>0.98425196850393704</v>
      </c>
    </row>
    <row r="223" spans="5:7" x14ac:dyDescent="0.2">
      <c r="E223" s="1" t="s">
        <v>167</v>
      </c>
      <c r="F223" s="1">
        <v>10</v>
      </c>
      <c r="G223" s="152">
        <f>F223/(1*1.016)</f>
        <v>9.8425196850393704</v>
      </c>
    </row>
    <row r="224" spans="5:7" x14ac:dyDescent="0.2">
      <c r="E224" s="1" t="s">
        <v>168</v>
      </c>
      <c r="F224" s="1">
        <v>4</v>
      </c>
      <c r="G224" s="152">
        <f>F224/(1*1.016)</f>
        <v>3.9370078740157481</v>
      </c>
    </row>
    <row r="225" spans="5:7" x14ac:dyDescent="0.2">
      <c r="E225" s="1" t="s">
        <v>169</v>
      </c>
      <c r="F225" s="1">
        <v>6</v>
      </c>
      <c r="G225" s="152">
        <f>F225/(1*1.016)</f>
        <v>5.9055118110236222</v>
      </c>
    </row>
    <row r="226" spans="5:7" x14ac:dyDescent="0.2">
      <c r="E226" s="1" t="s">
        <v>170</v>
      </c>
      <c r="F226" s="1">
        <v>13</v>
      </c>
      <c r="G226" s="152">
        <f>F226/(1*1.016)</f>
        <v>12.795275590551181</v>
      </c>
    </row>
    <row r="227" spans="5:7" x14ac:dyDescent="0.2">
      <c r="E227" s="1" t="s">
        <v>171</v>
      </c>
      <c r="F227" s="1">
        <v>7</v>
      </c>
      <c r="G227" s="152">
        <f>F227/(1*1.016)</f>
        <v>6.8897637795275593</v>
      </c>
    </row>
    <row r="228" spans="5:7" x14ac:dyDescent="0.2">
      <c r="E228" s="1" t="s">
        <v>172</v>
      </c>
      <c r="F228" s="1">
        <v>9</v>
      </c>
      <c r="G228" s="152">
        <f>F228/(1*1.016)</f>
        <v>8.8582677165354333</v>
      </c>
    </row>
    <row r="229" spans="5:7" x14ac:dyDescent="0.2">
      <c r="E229" s="1" t="s">
        <v>173</v>
      </c>
      <c r="F229" s="1">
        <v>6</v>
      </c>
      <c r="G229" s="152">
        <f>F229/(1*1.016)</f>
        <v>5.9055118110236222</v>
      </c>
    </row>
    <row r="230" spans="5:7" x14ac:dyDescent="0.2">
      <c r="E230" s="1" t="s">
        <v>174</v>
      </c>
      <c r="F230" s="1">
        <v>4</v>
      </c>
      <c r="G230" s="152">
        <f>F230/(1*1.016)</f>
        <v>3.9370078740157481</v>
      </c>
    </row>
    <row r="231" spans="5:7" x14ac:dyDescent="0.2">
      <c r="E231" s="1" t="s">
        <v>175</v>
      </c>
      <c r="F231" s="1">
        <v>4</v>
      </c>
      <c r="G231" s="152">
        <f>F231/(1*1.016)</f>
        <v>3.9370078740157481</v>
      </c>
    </row>
    <row r="232" spans="5:7" x14ac:dyDescent="0.2">
      <c r="E232" s="1" t="s">
        <v>176</v>
      </c>
      <c r="F232" s="1">
        <v>0</v>
      </c>
      <c r="G232" s="152">
        <f>F232/(1*1.016)</f>
        <v>0</v>
      </c>
    </row>
    <row r="233" spans="5:7" x14ac:dyDescent="0.2">
      <c r="E233" s="1" t="s">
        <v>177</v>
      </c>
      <c r="F233" s="1">
        <v>6</v>
      </c>
      <c r="G233" s="152">
        <f>F233/(1*1.016)</f>
        <v>5.9055118110236222</v>
      </c>
    </row>
    <row r="234" spans="5:7" x14ac:dyDescent="0.2">
      <c r="E234" s="1" t="s">
        <v>178</v>
      </c>
      <c r="F234" s="1">
        <v>5</v>
      </c>
      <c r="G234" s="152">
        <f>F234/(1*1.016)</f>
        <v>4.9212598425196852</v>
      </c>
    </row>
    <row r="235" spans="5:7" x14ac:dyDescent="0.2">
      <c r="E235" s="1" t="s">
        <v>179</v>
      </c>
      <c r="F235" s="1">
        <v>11</v>
      </c>
      <c r="G235" s="152">
        <f>F235/(1*1.016)</f>
        <v>10.826771653543307</v>
      </c>
    </row>
    <row r="236" spans="5:7" x14ac:dyDescent="0.2">
      <c r="E236" s="1" t="s">
        <v>180</v>
      </c>
      <c r="F236" s="1">
        <v>4</v>
      </c>
      <c r="G236" s="152">
        <f>F236/(1*1.016)</f>
        <v>3.9370078740157481</v>
      </c>
    </row>
    <row r="237" spans="5:7" x14ac:dyDescent="0.2">
      <c r="E237" s="1" t="s">
        <v>181</v>
      </c>
      <c r="F237" s="1">
        <v>10</v>
      </c>
      <c r="G237" s="152">
        <f>F237/(1*1.016)</f>
        <v>9.8425196850393704</v>
      </c>
    </row>
    <row r="238" spans="5:7" x14ac:dyDescent="0.2">
      <c r="E238" s="1" t="s">
        <v>182</v>
      </c>
      <c r="F238" s="1">
        <v>17</v>
      </c>
      <c r="G238" s="152">
        <f>F238/(1*1.016)</f>
        <v>16.73228346456693</v>
      </c>
    </row>
    <row r="239" spans="5:7" x14ac:dyDescent="0.2">
      <c r="E239" s="1" t="s">
        <v>183</v>
      </c>
      <c r="F239" s="1">
        <v>11</v>
      </c>
      <c r="G239" s="152">
        <f>F239/(1*1.016)</f>
        <v>10.826771653543307</v>
      </c>
    </row>
    <row r="240" spans="5:7" x14ac:dyDescent="0.2">
      <c r="E240" s="1" t="s">
        <v>184</v>
      </c>
      <c r="F240" s="1">
        <v>11</v>
      </c>
      <c r="G240" s="152">
        <f>F240/(1*1.016)</f>
        <v>10.826771653543307</v>
      </c>
    </row>
    <row r="241" spans="5:7" x14ac:dyDescent="0.2">
      <c r="E241" s="1" t="s">
        <v>185</v>
      </c>
      <c r="F241" s="1">
        <v>9</v>
      </c>
      <c r="G241" s="152">
        <f>F241/(1*1.016)</f>
        <v>8.8582677165354333</v>
      </c>
    </row>
    <row r="242" spans="5:7" x14ac:dyDescent="0.2">
      <c r="E242" s="1" t="s">
        <v>186</v>
      </c>
      <c r="F242" s="1">
        <v>10</v>
      </c>
      <c r="G242" s="152">
        <f>F242/(1*1.016)</f>
        <v>9.8425196850393704</v>
      </c>
    </row>
    <row r="243" spans="5:7" x14ac:dyDescent="0.2">
      <c r="E243" s="1" t="s">
        <v>187</v>
      </c>
      <c r="F243" s="1">
        <v>10</v>
      </c>
      <c r="G243" s="152">
        <f>F243/(1*1.016)</f>
        <v>9.8425196850393704</v>
      </c>
    </row>
    <row r="244" spans="5:7" x14ac:dyDescent="0.2">
      <c r="E244" s="1" t="s">
        <v>188</v>
      </c>
      <c r="F244" s="1">
        <v>10</v>
      </c>
      <c r="G244" s="152">
        <f>F244/(1*1.016)</f>
        <v>9.8425196850393704</v>
      </c>
    </row>
    <row r="245" spans="5:7" x14ac:dyDescent="0.2">
      <c r="E245" s="1" t="s">
        <v>189</v>
      </c>
      <c r="F245" s="1">
        <v>11</v>
      </c>
      <c r="G245" s="152">
        <f>F245/(1*1.016)</f>
        <v>10.826771653543307</v>
      </c>
    </row>
    <row r="246" spans="5:7" x14ac:dyDescent="0.2">
      <c r="E246" s="1" t="s">
        <v>190</v>
      </c>
      <c r="F246" s="1">
        <v>5</v>
      </c>
      <c r="G246" s="152">
        <f>F246/(1*1.016)</f>
        <v>4.9212598425196852</v>
      </c>
    </row>
    <row r="247" spans="5:7" x14ac:dyDescent="0.2">
      <c r="E247" s="1" t="s">
        <v>191</v>
      </c>
      <c r="F247" s="1">
        <v>4</v>
      </c>
      <c r="G247" s="152">
        <f>F247/(1*1.016)</f>
        <v>3.9370078740157481</v>
      </c>
    </row>
    <row r="248" spans="5:7" x14ac:dyDescent="0.2">
      <c r="E248" s="1" t="s">
        <v>192</v>
      </c>
      <c r="F248" s="1">
        <v>4</v>
      </c>
      <c r="G248" s="152">
        <f>F248/(1*1.016)</f>
        <v>3.9370078740157481</v>
      </c>
    </row>
    <row r="249" spans="5:7" x14ac:dyDescent="0.2">
      <c r="E249" s="1" t="s">
        <v>193</v>
      </c>
      <c r="F249" s="1">
        <v>2</v>
      </c>
      <c r="G249" s="152">
        <f>F249/(1*1.016)</f>
        <v>1.9685039370078741</v>
      </c>
    </row>
    <row r="250" spans="5:7" x14ac:dyDescent="0.2">
      <c r="E250" s="1" t="s">
        <v>194</v>
      </c>
      <c r="F250" s="1">
        <v>5</v>
      </c>
      <c r="G250" s="152">
        <f>F250/(1*1.016)</f>
        <v>4.9212598425196852</v>
      </c>
    </row>
    <row r="251" spans="5:7" x14ac:dyDescent="0.2">
      <c r="E251" s="1" t="s">
        <v>195</v>
      </c>
      <c r="F251" s="1">
        <v>4</v>
      </c>
      <c r="G251" s="152">
        <f>F251/(1*1.016)</f>
        <v>3.9370078740157481</v>
      </c>
    </row>
    <row r="252" spans="5:7" x14ac:dyDescent="0.2">
      <c r="E252" s="1" t="s">
        <v>196</v>
      </c>
      <c r="F252" s="1">
        <v>4</v>
      </c>
      <c r="G252" s="152">
        <f>F252/(1*1.016)</f>
        <v>3.9370078740157481</v>
      </c>
    </row>
    <row r="253" spans="5:7" x14ac:dyDescent="0.2">
      <c r="E253" s="1" t="s">
        <v>197</v>
      </c>
      <c r="F253" s="1">
        <v>4</v>
      </c>
      <c r="G253" s="152">
        <f>F253/(1*1.016)</f>
        <v>3.9370078740157481</v>
      </c>
    </row>
    <row r="254" spans="5:7" x14ac:dyDescent="0.2">
      <c r="E254" s="1" t="s">
        <v>198</v>
      </c>
      <c r="F254" s="1">
        <v>3</v>
      </c>
      <c r="G254" s="152">
        <f>F254/(1*1.016)</f>
        <v>2.9527559055118111</v>
      </c>
    </row>
    <row r="255" spans="5:7" x14ac:dyDescent="0.2">
      <c r="E255" s="1" t="s">
        <v>199</v>
      </c>
      <c r="F255" s="1">
        <v>3</v>
      </c>
      <c r="G255" s="152">
        <f>F255/(1*1.016)</f>
        <v>2.9527559055118111</v>
      </c>
    </row>
    <row r="256" spans="5:7" x14ac:dyDescent="0.2">
      <c r="E256" s="1" t="s">
        <v>200</v>
      </c>
      <c r="F256" s="1">
        <v>6</v>
      </c>
      <c r="G256" s="152">
        <f>F256/(1*1.016)</f>
        <v>5.9055118110236222</v>
      </c>
    </row>
    <row r="257" spans="5:7" x14ac:dyDescent="0.2">
      <c r="E257" s="1" t="s">
        <v>201</v>
      </c>
      <c r="F257" s="1">
        <v>3</v>
      </c>
      <c r="G257" s="152">
        <f>F257/(1*1.016)</f>
        <v>2.9527559055118111</v>
      </c>
    </row>
    <row r="258" spans="5:7" x14ac:dyDescent="0.2">
      <c r="E258" s="1" t="s">
        <v>202</v>
      </c>
      <c r="F258" s="1">
        <v>4</v>
      </c>
      <c r="G258" s="152">
        <f>F258/(1*1.016)</f>
        <v>3.9370078740157481</v>
      </c>
    </row>
    <row r="259" spans="5:7" x14ac:dyDescent="0.2">
      <c r="E259" s="1" t="s">
        <v>203</v>
      </c>
      <c r="F259" s="1">
        <v>2</v>
      </c>
      <c r="G259" s="152">
        <f>F259/(1*1.016)</f>
        <v>1.9685039370078741</v>
      </c>
    </row>
    <row r="260" spans="5:7" x14ac:dyDescent="0.2">
      <c r="E260" s="1" t="s">
        <v>204</v>
      </c>
      <c r="F260" s="1">
        <v>2</v>
      </c>
      <c r="G260" s="152">
        <f>F260/(1*1.016)</f>
        <v>1.9685039370078741</v>
      </c>
    </row>
    <row r="261" spans="5:7" x14ac:dyDescent="0.2">
      <c r="E261" s="1" t="s">
        <v>205</v>
      </c>
      <c r="F261" s="1">
        <v>4</v>
      </c>
      <c r="G261" s="152">
        <f>F261/(1*1.016)</f>
        <v>3.9370078740157481</v>
      </c>
    </row>
    <row r="262" spans="5:7" x14ac:dyDescent="0.2">
      <c r="E262" s="1" t="s">
        <v>206</v>
      </c>
      <c r="F262" s="1">
        <v>1</v>
      </c>
      <c r="G262" s="152">
        <f>F262/(1*1.016)</f>
        <v>0.98425196850393704</v>
      </c>
    </row>
    <row r="263" spans="5:7" x14ac:dyDescent="0.2">
      <c r="E263" s="1" t="s">
        <v>207</v>
      </c>
      <c r="F263" s="1">
        <v>5</v>
      </c>
      <c r="G263" s="152">
        <f>F263/(1*1.016)</f>
        <v>4.9212598425196852</v>
      </c>
    </row>
    <row r="264" spans="5:7" x14ac:dyDescent="0.2">
      <c r="E264" s="1" t="s">
        <v>208</v>
      </c>
      <c r="F264" s="1">
        <v>3</v>
      </c>
      <c r="G264" s="152">
        <f>F264/(1*1.016)</f>
        <v>2.9527559055118111</v>
      </c>
    </row>
    <row r="265" spans="5:7" x14ac:dyDescent="0.2">
      <c r="E265" s="1" t="s">
        <v>209</v>
      </c>
      <c r="F265" s="1">
        <v>7</v>
      </c>
      <c r="G265" s="152">
        <f>F265/(1*1.016)</f>
        <v>6.8897637795275593</v>
      </c>
    </row>
    <row r="266" spans="5:7" x14ac:dyDescent="0.2">
      <c r="E266" s="1" t="s">
        <v>210</v>
      </c>
      <c r="F266" s="1">
        <v>6</v>
      </c>
      <c r="G266" s="152">
        <f>F266/(1*1.016)</f>
        <v>5.9055118110236222</v>
      </c>
    </row>
    <row r="267" spans="5:7" x14ac:dyDescent="0.2">
      <c r="E267" s="1" t="s">
        <v>211</v>
      </c>
      <c r="F267" s="1">
        <v>11</v>
      </c>
      <c r="G267" s="152">
        <f>F267/(1*1.016)</f>
        <v>10.826771653543307</v>
      </c>
    </row>
    <row r="268" spans="5:7" x14ac:dyDescent="0.2">
      <c r="E268" s="1" t="s">
        <v>212</v>
      </c>
      <c r="F268" s="1">
        <v>6</v>
      </c>
      <c r="G268" s="152">
        <f>F268/(1*1.016)</f>
        <v>5.9055118110236222</v>
      </c>
    </row>
    <row r="269" spans="5:7" x14ac:dyDescent="0.2">
      <c r="E269" s="1" t="s">
        <v>213</v>
      </c>
      <c r="F269" s="1">
        <v>10</v>
      </c>
      <c r="G269" s="152">
        <f>F269/(1*1.016)</f>
        <v>9.8425196850393704</v>
      </c>
    </row>
    <row r="270" spans="5:7" x14ac:dyDescent="0.2">
      <c r="E270" s="1" t="s">
        <v>214</v>
      </c>
      <c r="F270" s="1">
        <v>6</v>
      </c>
      <c r="G270" s="152">
        <f>F270/(1*1.016)</f>
        <v>5.9055118110236222</v>
      </c>
    </row>
    <row r="271" spans="5:7" x14ac:dyDescent="0.2">
      <c r="E271" s="1" t="s">
        <v>215</v>
      </c>
      <c r="F271" s="1">
        <v>10</v>
      </c>
      <c r="G271" s="152">
        <f>F271/(1*1.016)</f>
        <v>9.8425196850393704</v>
      </c>
    </row>
    <row r="272" spans="5:7" x14ac:dyDescent="0.2">
      <c r="E272" s="1" t="s">
        <v>216</v>
      </c>
      <c r="F272" s="1">
        <v>8</v>
      </c>
      <c r="G272" s="152">
        <f>F272/(1*1.016)</f>
        <v>7.8740157480314963</v>
      </c>
    </row>
    <row r="273" spans="5:7" x14ac:dyDescent="0.2">
      <c r="E273" s="1" t="s">
        <v>217</v>
      </c>
      <c r="F273" s="1">
        <v>10</v>
      </c>
      <c r="G273" s="152">
        <f>F273/(1*1.016)</f>
        <v>9.8425196850393704</v>
      </c>
    </row>
    <row r="274" spans="5:7" x14ac:dyDescent="0.2">
      <c r="E274" s="1" t="s">
        <v>218</v>
      </c>
      <c r="F274" s="1">
        <v>13</v>
      </c>
      <c r="G274" s="152">
        <f>F274/(1*1.016)</f>
        <v>12.795275590551181</v>
      </c>
    </row>
    <row r="275" spans="5:7" x14ac:dyDescent="0.2">
      <c r="E275" s="1" t="s">
        <v>219</v>
      </c>
      <c r="F275" s="1">
        <v>8</v>
      </c>
      <c r="G275" s="152">
        <f>F275/(1*1.016)</f>
        <v>7.8740157480314963</v>
      </c>
    </row>
    <row r="276" spans="5:7" x14ac:dyDescent="0.2">
      <c r="E276" s="1" t="s">
        <v>220</v>
      </c>
      <c r="F276" s="1">
        <v>5</v>
      </c>
      <c r="G276" s="152">
        <f>F276/(1*1.016)</f>
        <v>4.9212598425196852</v>
      </c>
    </row>
    <row r="277" spans="5:7" x14ac:dyDescent="0.2">
      <c r="E277" s="1" t="s">
        <v>221</v>
      </c>
      <c r="F277" s="1">
        <v>10</v>
      </c>
      <c r="G277" s="152">
        <f>F277/(1*1.016)</f>
        <v>9.8425196850393704</v>
      </c>
    </row>
    <row r="278" spans="5:7" x14ac:dyDescent="0.2">
      <c r="E278" s="1" t="s">
        <v>222</v>
      </c>
      <c r="F278" s="1">
        <v>10</v>
      </c>
      <c r="G278" s="152">
        <f>F278/(1*1.016)</f>
        <v>9.8425196850393704</v>
      </c>
    </row>
    <row r="279" spans="5:7" x14ac:dyDescent="0.2">
      <c r="E279" s="1" t="s">
        <v>223</v>
      </c>
      <c r="F279" s="1">
        <v>13</v>
      </c>
      <c r="G279" s="152">
        <f>F279/(1*1.016)</f>
        <v>12.795275590551181</v>
      </c>
    </row>
    <row r="280" spans="5:7" x14ac:dyDescent="0.2">
      <c r="E280" s="1" t="s">
        <v>224</v>
      </c>
      <c r="F280" s="1">
        <v>6</v>
      </c>
      <c r="G280" s="152">
        <f>F280/(1*1.016)</f>
        <v>5.9055118110236222</v>
      </c>
    </row>
    <row r="281" spans="5:7" x14ac:dyDescent="0.2">
      <c r="E281" s="1" t="s">
        <v>225</v>
      </c>
      <c r="F281" s="1">
        <v>12</v>
      </c>
      <c r="G281" s="152">
        <f>F281/(1*1.016)</f>
        <v>11.811023622047244</v>
      </c>
    </row>
    <row r="282" spans="5:7" x14ac:dyDescent="0.2">
      <c r="E282" s="1" t="s">
        <v>226</v>
      </c>
      <c r="F282" s="1">
        <v>3</v>
      </c>
      <c r="G282" s="152">
        <f>F282/(1*1.016)</f>
        <v>2.9527559055118111</v>
      </c>
    </row>
    <row r="283" spans="5:7" x14ac:dyDescent="0.2">
      <c r="E283" s="1" t="s">
        <v>227</v>
      </c>
      <c r="F283" s="1">
        <v>3</v>
      </c>
      <c r="G283" s="152">
        <f>F283/(1*1.016)</f>
        <v>2.9527559055118111</v>
      </c>
    </row>
    <row r="284" spans="5:7" x14ac:dyDescent="0.2">
      <c r="E284" s="1" t="s">
        <v>228</v>
      </c>
      <c r="F284" s="1">
        <v>2</v>
      </c>
      <c r="G284" s="152">
        <f>F284/(1*1.016)</f>
        <v>1.9685039370078741</v>
      </c>
    </row>
    <row r="285" spans="5:7" x14ac:dyDescent="0.2">
      <c r="E285" s="1" t="s">
        <v>229</v>
      </c>
      <c r="F285" s="1">
        <v>1</v>
      </c>
      <c r="G285" s="152">
        <f>F285/(1*1.016)</f>
        <v>0.98425196850393704</v>
      </c>
    </row>
    <row r="286" spans="5:7" x14ac:dyDescent="0.2">
      <c r="E286" s="1" t="s">
        <v>230</v>
      </c>
      <c r="F286" s="1">
        <v>3</v>
      </c>
      <c r="G286" s="152">
        <f>F286/(1*1.016)</f>
        <v>2.9527559055118111</v>
      </c>
    </row>
    <row r="287" spans="5:7" x14ac:dyDescent="0.2">
      <c r="E287" s="1" t="s">
        <v>231</v>
      </c>
      <c r="F287" s="1">
        <v>5</v>
      </c>
      <c r="G287" s="152">
        <f>F287/(1*1.016)</f>
        <v>4.9212598425196852</v>
      </c>
    </row>
    <row r="288" spans="5:7" x14ac:dyDescent="0.2">
      <c r="E288" s="1" t="s">
        <v>232</v>
      </c>
      <c r="F288" s="1">
        <v>4</v>
      </c>
      <c r="G288" s="152">
        <f>F288/(1*1.016)</f>
        <v>3.9370078740157481</v>
      </c>
    </row>
  </sheetData>
  <mergeCells count="4">
    <mergeCell ref="K54:K55"/>
    <mergeCell ref="P9:P10"/>
    <mergeCell ref="D5:J6"/>
    <mergeCell ref="E4:I4"/>
  </mergeCells>
  <printOptions horizontalCentered="1" verticalCentered="1"/>
  <pageMargins left="0.5" right="0.5" top="0.25" bottom="0.25" header="0.5" footer="0.5"/>
  <pageSetup fitToHeight="2" orientation="landscape" r:id="rId1"/>
  <headerFooter alignWithMargins="0"/>
  <rowBreaks count="1" manualBreakCount="1">
    <brk id="36" min="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14</vt:i4>
      </vt:variant>
    </vt:vector>
  </HeadingPairs>
  <TitlesOfParts>
    <vt:vector size="25" baseType="lpstr">
      <vt:lpstr>Height</vt:lpstr>
      <vt:lpstr>Width</vt:lpstr>
      <vt:lpstr>Density</vt:lpstr>
      <vt:lpstr>Ordering</vt:lpstr>
      <vt:lpstr>DOY178</vt:lpstr>
      <vt:lpstr>DOY192</vt:lpstr>
      <vt:lpstr>DOY207</vt:lpstr>
      <vt:lpstr>DOY220</vt:lpstr>
      <vt:lpstr>DOY235</vt:lpstr>
      <vt:lpstr>DOY250</vt:lpstr>
      <vt:lpstr>Counts</vt:lpstr>
      <vt:lpstr>Counts!Print_Area</vt:lpstr>
      <vt:lpstr>'DOY178'!Print_Area</vt:lpstr>
      <vt:lpstr>'DOY192'!Print_Area</vt:lpstr>
      <vt:lpstr>'DOY207'!Print_Area</vt:lpstr>
      <vt:lpstr>'DOY220'!Print_Area</vt:lpstr>
      <vt:lpstr>'DOY235'!Print_Area</vt:lpstr>
      <vt:lpstr>'DOY250'!Print_Area</vt:lpstr>
      <vt:lpstr>Counts!Print_Titles</vt:lpstr>
      <vt:lpstr>'DOY178'!Print_Titles</vt:lpstr>
      <vt:lpstr>'DOY192'!Print_Titles</vt:lpstr>
      <vt:lpstr>'DOY207'!Print_Titles</vt:lpstr>
      <vt:lpstr>'DOY220'!Print_Titles</vt:lpstr>
      <vt:lpstr>'DOY235'!Print_Titles</vt:lpstr>
      <vt:lpstr>'DOY250'!Print_Titles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2024-09-20T20:32:43Z</dcterms:created>
  <dcterms:modified xsi:type="dcterms:W3CDTF">2025-08-22T14:49:07Z</dcterms:modified>
</cp:coreProperties>
</file>