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1_{CB93FB50-B90A-467F-883D-429B05540BDA}" xr6:coauthVersionLast="47" xr6:coauthVersionMax="47" xr10:uidLastSave="{00000000-0000-0000-0000-000000000000}"/>
  <bookViews>
    <workbookView xWindow="16230" yWindow="-26460" windowWidth="17715" windowHeight="20640" xr2:uid="{5485CBB2-C13A-4C0B-BAC8-38661C175E52}"/>
  </bookViews>
  <sheets>
    <sheet name="Raw Scale" sheetId="1" r:id="rId1"/>
    <sheet name="Plot Scale" sheetId="2" r:id="rId2"/>
    <sheet name="Compare" sheetId="3" r:id="rId3"/>
    <sheet name="11" sheetId="4" r:id="rId4"/>
    <sheet name="12" sheetId="5" r:id="rId5"/>
    <sheet name="13" sheetId="6" r:id="rId6"/>
    <sheet name="14" sheetId="7" r:id="rId7"/>
    <sheet name="15" sheetId="8" r:id="rId8"/>
    <sheet name="16" sheetId="9" r:id="rId9"/>
    <sheet name="17" sheetId="10" r:id="rId10"/>
    <sheet name="18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26" sheetId="17" r:id="rId17"/>
    <sheet name="27" sheetId="18" r:id="rId18"/>
    <sheet name="28" sheetId="19" r:id="rId19"/>
    <sheet name="31" sheetId="20" r:id="rId20"/>
    <sheet name="32" sheetId="21" r:id="rId21"/>
    <sheet name="33" sheetId="22" r:id="rId22"/>
    <sheet name="34" sheetId="23" r:id="rId23"/>
    <sheet name="35" sheetId="24" r:id="rId24"/>
    <sheet name="36" sheetId="25" r:id="rId25"/>
    <sheet name="37" sheetId="26" r:id="rId26"/>
    <sheet name="38" sheetId="27" r:id="rId27"/>
    <sheet name="41" sheetId="28" r:id="rId28"/>
    <sheet name="42" sheetId="29" r:id="rId29"/>
    <sheet name="43" sheetId="30" r:id="rId30"/>
    <sheet name="44" sheetId="31" r:id="rId31"/>
    <sheet name="45" sheetId="32" r:id="rId32"/>
    <sheet name="46" sheetId="33" r:id="rId33"/>
    <sheet name="47" sheetId="34" r:id="rId34"/>
    <sheet name="48" sheetId="35" r:id="rId35"/>
    <sheet name="02" sheetId="36" r:id="rId36"/>
    <sheet name="04" sheetId="37" r:id="rId37"/>
    <sheet name="05" sheetId="38" r:id="rId38"/>
    <sheet name="06" sheetId="39" r:id="rId39"/>
    <sheet name="07" sheetId="40" r:id="rId40"/>
    <sheet name="08" sheetId="41" r:id="rId41"/>
    <sheet name="Ginning" sheetId="42" r:id="rId42"/>
    <sheet name="YieldMonitor" sheetId="43" r:id="rId43"/>
  </sheets>
  <definedNames>
    <definedName name="_xlnm.Print_Area" localSheetId="35">'02'!$A$1:$R$25</definedName>
    <definedName name="_xlnm.Print_Area" localSheetId="36">'04'!$A$1:$R$25</definedName>
    <definedName name="_xlnm.Print_Area" localSheetId="37">'05'!$A$1:$R$25</definedName>
    <definedName name="_xlnm.Print_Area" localSheetId="38">'06'!$A$1:$R$25</definedName>
    <definedName name="_xlnm.Print_Area" localSheetId="39">'07'!$A$1:$R$25</definedName>
    <definedName name="_xlnm.Print_Area" localSheetId="40">'08'!$A$1:$R$25</definedName>
    <definedName name="_xlnm.Print_Area" localSheetId="3">'11'!$A$1:$R$25</definedName>
    <definedName name="_xlnm.Print_Area" localSheetId="4">'12'!$A$1:$R$25</definedName>
    <definedName name="_xlnm.Print_Area" localSheetId="5">'13'!$A$1:$R$25</definedName>
    <definedName name="_xlnm.Print_Area" localSheetId="6">'14'!$A$1:$R$25</definedName>
    <definedName name="_xlnm.Print_Area" localSheetId="7">'15'!$A$1:$R$25</definedName>
    <definedName name="_xlnm.Print_Area" localSheetId="8">'16'!$A$1:$R$25</definedName>
    <definedName name="_xlnm.Print_Area" localSheetId="9">'17'!$A$1:$R$25</definedName>
    <definedName name="_xlnm.Print_Area" localSheetId="10">'18'!$A$1:$R$25</definedName>
    <definedName name="_xlnm.Print_Area" localSheetId="11">'21'!$A$1:$R$25</definedName>
    <definedName name="_xlnm.Print_Area" localSheetId="12">'22'!$A$1:$R$25</definedName>
    <definedName name="_xlnm.Print_Area" localSheetId="13">'23'!$A$1:$R$25</definedName>
    <definedName name="_xlnm.Print_Area" localSheetId="14">'24'!$A$1:$R$25</definedName>
    <definedName name="_xlnm.Print_Area" localSheetId="15">'25'!$A$1:$R$25</definedName>
    <definedName name="_xlnm.Print_Area" localSheetId="16">'26'!$A$1:$R$25</definedName>
    <definedName name="_xlnm.Print_Area" localSheetId="17">'27'!$A$1:$R$25</definedName>
    <definedName name="_xlnm.Print_Area" localSheetId="18">'28'!$A$1:$R$25</definedName>
    <definedName name="_xlnm.Print_Area" localSheetId="19">'31'!$A$1:$R$25</definedName>
    <definedName name="_xlnm.Print_Area" localSheetId="20">'32'!$A$1:$R$25</definedName>
    <definedName name="_xlnm.Print_Area" localSheetId="21">'33'!$A$1:$R$25</definedName>
    <definedName name="_xlnm.Print_Area" localSheetId="22">'34'!$A$1:$R$25</definedName>
    <definedName name="_xlnm.Print_Area" localSheetId="23">'35'!$A$1:$R$25</definedName>
    <definedName name="_xlnm.Print_Area" localSheetId="24">'36'!$A$1:$R$25</definedName>
    <definedName name="_xlnm.Print_Area" localSheetId="25">'37'!$A$1:$R$25</definedName>
    <definedName name="_xlnm.Print_Area" localSheetId="26">'38'!$A$1:$R$25</definedName>
    <definedName name="_xlnm.Print_Area" localSheetId="27">'41'!$A$1:$R$25</definedName>
    <definedName name="_xlnm.Print_Area" localSheetId="28">'42'!$A$1:$R$25</definedName>
    <definedName name="_xlnm.Print_Area" localSheetId="29">'43'!$A$1:$R$25</definedName>
    <definedName name="_xlnm.Print_Area" localSheetId="30">'44'!$A$1:$R$25</definedName>
    <definedName name="_xlnm.Print_Area" localSheetId="31">'45'!$A$1:$R$25</definedName>
    <definedName name="_xlnm.Print_Area" localSheetId="32">'46'!$A$1:$R$25</definedName>
    <definedName name="_xlnm.Print_Area" localSheetId="33">'47'!$A$1:$R$25</definedName>
    <definedName name="_xlnm.Print_Area" localSheetId="34">'48'!$A$1:$R$25</definedName>
    <definedName name="_xlnm.Print_Area" localSheetId="41">Ginning!$B$14:$I$59</definedName>
    <definedName name="_xlnm.Print_Titles" localSheetId="41">Ginning!$14:$15</definedName>
    <definedName name="Z_54D85376_105B_46A9_AE71_230B49C3EA88_.wvu.PrintArea" localSheetId="35" hidden="1">'02'!$A$1:$R$25</definedName>
    <definedName name="Z_54D85376_105B_46A9_AE71_230B49C3EA88_.wvu.PrintArea" localSheetId="36" hidden="1">'04'!$A$1:$R$25</definedName>
    <definedName name="Z_54D85376_105B_46A9_AE71_230B49C3EA88_.wvu.PrintArea" localSheetId="37" hidden="1">'05'!$A$1:$R$25</definedName>
    <definedName name="Z_54D85376_105B_46A9_AE71_230B49C3EA88_.wvu.PrintArea" localSheetId="38" hidden="1">'06'!$A$1:$R$25</definedName>
    <definedName name="Z_54D85376_105B_46A9_AE71_230B49C3EA88_.wvu.PrintArea" localSheetId="39" hidden="1">'07'!$A$1:$R$25</definedName>
    <definedName name="Z_54D85376_105B_46A9_AE71_230B49C3EA88_.wvu.PrintArea" localSheetId="40" hidden="1">'08'!$A$1:$R$25</definedName>
    <definedName name="Z_54D85376_105B_46A9_AE71_230B49C3EA88_.wvu.PrintArea" localSheetId="3" hidden="1">'11'!$A$1:$R$25</definedName>
    <definedName name="Z_54D85376_105B_46A9_AE71_230B49C3EA88_.wvu.PrintArea" localSheetId="4" hidden="1">'12'!$A$1:$R$25</definedName>
    <definedName name="Z_54D85376_105B_46A9_AE71_230B49C3EA88_.wvu.PrintArea" localSheetId="5" hidden="1">'13'!$A$1:$R$25</definedName>
    <definedName name="Z_54D85376_105B_46A9_AE71_230B49C3EA88_.wvu.PrintArea" localSheetId="6" hidden="1">'14'!$A$1:$R$25</definedName>
    <definedName name="Z_54D85376_105B_46A9_AE71_230B49C3EA88_.wvu.PrintArea" localSheetId="7" hidden="1">'15'!$A$1:$R$25</definedName>
    <definedName name="Z_54D85376_105B_46A9_AE71_230B49C3EA88_.wvu.PrintArea" localSheetId="8" hidden="1">'16'!$A$1:$R$25</definedName>
    <definedName name="Z_54D85376_105B_46A9_AE71_230B49C3EA88_.wvu.PrintArea" localSheetId="9" hidden="1">'17'!$A$1:$R$25</definedName>
    <definedName name="Z_54D85376_105B_46A9_AE71_230B49C3EA88_.wvu.PrintArea" localSheetId="10" hidden="1">'18'!$A$1:$R$25</definedName>
    <definedName name="Z_54D85376_105B_46A9_AE71_230B49C3EA88_.wvu.PrintArea" localSheetId="11" hidden="1">'21'!$A$1:$R$25</definedName>
    <definedName name="Z_54D85376_105B_46A9_AE71_230B49C3EA88_.wvu.PrintArea" localSheetId="12" hidden="1">'22'!$A$1:$R$25</definedName>
    <definedName name="Z_54D85376_105B_46A9_AE71_230B49C3EA88_.wvu.PrintArea" localSheetId="13" hidden="1">'23'!$A$1:$R$25</definedName>
    <definedName name="Z_54D85376_105B_46A9_AE71_230B49C3EA88_.wvu.PrintArea" localSheetId="14" hidden="1">'24'!$A$1:$R$25</definedName>
    <definedName name="Z_54D85376_105B_46A9_AE71_230B49C3EA88_.wvu.PrintArea" localSheetId="15" hidden="1">'25'!$A$1:$R$25</definedName>
    <definedName name="Z_54D85376_105B_46A9_AE71_230B49C3EA88_.wvu.PrintArea" localSheetId="16" hidden="1">'26'!$A$1:$R$25</definedName>
    <definedName name="Z_54D85376_105B_46A9_AE71_230B49C3EA88_.wvu.PrintArea" localSheetId="17" hidden="1">'27'!$A$1:$R$25</definedName>
    <definedName name="Z_54D85376_105B_46A9_AE71_230B49C3EA88_.wvu.PrintArea" localSheetId="18" hidden="1">'28'!$A$1:$R$25</definedName>
    <definedName name="Z_54D85376_105B_46A9_AE71_230B49C3EA88_.wvu.PrintArea" localSheetId="19" hidden="1">'31'!$A$1:$R$25</definedName>
    <definedName name="Z_54D85376_105B_46A9_AE71_230B49C3EA88_.wvu.PrintArea" localSheetId="20" hidden="1">'32'!$A$1:$R$25</definedName>
    <definedName name="Z_54D85376_105B_46A9_AE71_230B49C3EA88_.wvu.PrintArea" localSheetId="21" hidden="1">'33'!$A$1:$R$25</definedName>
    <definedName name="Z_54D85376_105B_46A9_AE71_230B49C3EA88_.wvu.PrintArea" localSheetId="22" hidden="1">'34'!$A$1:$R$25</definedName>
    <definedName name="Z_54D85376_105B_46A9_AE71_230B49C3EA88_.wvu.PrintArea" localSheetId="23" hidden="1">'35'!$A$1:$R$25</definedName>
    <definedName name="Z_54D85376_105B_46A9_AE71_230B49C3EA88_.wvu.PrintArea" localSheetId="24" hidden="1">'36'!$A$1:$R$25</definedName>
    <definedName name="Z_54D85376_105B_46A9_AE71_230B49C3EA88_.wvu.PrintArea" localSheetId="25" hidden="1">'37'!$A$1:$R$25</definedName>
    <definedName name="Z_54D85376_105B_46A9_AE71_230B49C3EA88_.wvu.PrintArea" localSheetId="26" hidden="1">'38'!$A$1:$R$25</definedName>
    <definedName name="Z_54D85376_105B_46A9_AE71_230B49C3EA88_.wvu.PrintArea" localSheetId="27" hidden="1">'41'!$A$1:$R$25</definedName>
    <definedName name="Z_54D85376_105B_46A9_AE71_230B49C3EA88_.wvu.PrintArea" localSheetId="28" hidden="1">'42'!$A$1:$R$25</definedName>
    <definedName name="Z_54D85376_105B_46A9_AE71_230B49C3EA88_.wvu.PrintArea" localSheetId="29" hidden="1">'43'!$A$1:$R$25</definedName>
    <definedName name="Z_54D85376_105B_46A9_AE71_230B49C3EA88_.wvu.PrintArea" localSheetId="30" hidden="1">'44'!$A$1:$R$25</definedName>
    <definedName name="Z_54D85376_105B_46A9_AE71_230B49C3EA88_.wvu.PrintArea" localSheetId="31" hidden="1">'45'!$A$1:$R$25</definedName>
    <definedName name="Z_54D85376_105B_46A9_AE71_230B49C3EA88_.wvu.PrintArea" localSheetId="32" hidden="1">'46'!$A$1:$R$25</definedName>
    <definedName name="Z_54D85376_105B_46A9_AE71_230B49C3EA88_.wvu.PrintArea" localSheetId="33" hidden="1">'47'!$A$1:$R$25</definedName>
    <definedName name="Z_54D85376_105B_46A9_AE71_230B49C3EA88_.wvu.PrintArea" localSheetId="34" hidden="1">'48'!$A$1:$R$25</definedName>
    <definedName name="Z_65BE493F_7DA7_4ACB_8C59_D5D7B43E02AE_.wvu.PrintArea" localSheetId="35" hidden="1">'02'!$A$1:$R$25</definedName>
    <definedName name="Z_65BE493F_7DA7_4ACB_8C59_D5D7B43E02AE_.wvu.PrintArea" localSheetId="36" hidden="1">'04'!$A$1:$R$25</definedName>
    <definedName name="Z_65BE493F_7DA7_4ACB_8C59_D5D7B43E02AE_.wvu.PrintArea" localSheetId="37" hidden="1">'05'!$A$1:$R$25</definedName>
    <definedName name="Z_65BE493F_7DA7_4ACB_8C59_D5D7B43E02AE_.wvu.PrintArea" localSheetId="38" hidden="1">'06'!$A$1:$R$25</definedName>
    <definedName name="Z_65BE493F_7DA7_4ACB_8C59_D5D7B43E02AE_.wvu.PrintArea" localSheetId="39" hidden="1">'07'!$A$1:$R$25</definedName>
    <definedName name="Z_65BE493F_7DA7_4ACB_8C59_D5D7B43E02AE_.wvu.PrintArea" localSheetId="40" hidden="1">'08'!$A$1:$R$25</definedName>
    <definedName name="Z_65BE493F_7DA7_4ACB_8C59_D5D7B43E02AE_.wvu.PrintArea" localSheetId="3" hidden="1">'11'!$A$1:$R$25</definedName>
    <definedName name="Z_65BE493F_7DA7_4ACB_8C59_D5D7B43E02AE_.wvu.PrintArea" localSheetId="4" hidden="1">'12'!$A$1:$R$25</definedName>
    <definedName name="Z_65BE493F_7DA7_4ACB_8C59_D5D7B43E02AE_.wvu.PrintArea" localSheetId="5" hidden="1">'13'!$A$1:$R$25</definedName>
    <definedName name="Z_65BE493F_7DA7_4ACB_8C59_D5D7B43E02AE_.wvu.PrintArea" localSheetId="6" hidden="1">'14'!$A$1:$R$25</definedName>
    <definedName name="Z_65BE493F_7DA7_4ACB_8C59_D5D7B43E02AE_.wvu.PrintArea" localSheetId="7" hidden="1">'15'!$A$1:$R$25</definedName>
    <definedName name="Z_65BE493F_7DA7_4ACB_8C59_D5D7B43E02AE_.wvu.PrintArea" localSheetId="8" hidden="1">'16'!$A$1:$R$25</definedName>
    <definedName name="Z_65BE493F_7DA7_4ACB_8C59_D5D7B43E02AE_.wvu.PrintArea" localSheetId="9" hidden="1">'17'!$A$1:$R$25</definedName>
    <definedName name="Z_65BE493F_7DA7_4ACB_8C59_D5D7B43E02AE_.wvu.PrintArea" localSheetId="10" hidden="1">'18'!$A$1:$R$25</definedName>
    <definedName name="Z_65BE493F_7DA7_4ACB_8C59_D5D7B43E02AE_.wvu.PrintArea" localSheetId="11" hidden="1">'21'!$A$1:$R$25</definedName>
    <definedName name="Z_65BE493F_7DA7_4ACB_8C59_D5D7B43E02AE_.wvu.PrintArea" localSheetId="12" hidden="1">'22'!$A$1:$R$25</definedName>
    <definedName name="Z_65BE493F_7DA7_4ACB_8C59_D5D7B43E02AE_.wvu.PrintArea" localSheetId="13" hidden="1">'23'!$A$1:$R$25</definedName>
    <definedName name="Z_65BE493F_7DA7_4ACB_8C59_D5D7B43E02AE_.wvu.PrintArea" localSheetId="14" hidden="1">'24'!$A$1:$R$25</definedName>
    <definedName name="Z_65BE493F_7DA7_4ACB_8C59_D5D7B43E02AE_.wvu.PrintArea" localSheetId="15" hidden="1">'25'!$A$1:$R$25</definedName>
    <definedName name="Z_65BE493F_7DA7_4ACB_8C59_D5D7B43E02AE_.wvu.PrintArea" localSheetId="16" hidden="1">'26'!$A$1:$R$25</definedName>
    <definedName name="Z_65BE493F_7DA7_4ACB_8C59_D5D7B43E02AE_.wvu.PrintArea" localSheetId="17" hidden="1">'27'!$A$1:$R$25</definedName>
    <definedName name="Z_65BE493F_7DA7_4ACB_8C59_D5D7B43E02AE_.wvu.PrintArea" localSheetId="18" hidden="1">'28'!$A$1:$R$25</definedName>
    <definedName name="Z_65BE493F_7DA7_4ACB_8C59_D5D7B43E02AE_.wvu.PrintArea" localSheetId="19" hidden="1">'31'!$A$1:$R$25</definedName>
    <definedName name="Z_65BE493F_7DA7_4ACB_8C59_D5D7B43E02AE_.wvu.PrintArea" localSheetId="20" hidden="1">'32'!$A$1:$R$25</definedName>
    <definedName name="Z_65BE493F_7DA7_4ACB_8C59_D5D7B43E02AE_.wvu.PrintArea" localSheetId="21" hidden="1">'33'!$A$1:$R$25</definedName>
    <definedName name="Z_65BE493F_7DA7_4ACB_8C59_D5D7B43E02AE_.wvu.PrintArea" localSheetId="22" hidden="1">'34'!$A$1:$R$25</definedName>
    <definedName name="Z_65BE493F_7DA7_4ACB_8C59_D5D7B43E02AE_.wvu.PrintArea" localSheetId="23" hidden="1">'35'!$A$1:$R$25</definedName>
    <definedName name="Z_65BE493F_7DA7_4ACB_8C59_D5D7B43E02AE_.wvu.PrintArea" localSheetId="24" hidden="1">'36'!$A$1:$R$25</definedName>
    <definedName name="Z_65BE493F_7DA7_4ACB_8C59_D5D7B43E02AE_.wvu.PrintArea" localSheetId="25" hidden="1">'37'!$A$1:$R$25</definedName>
    <definedName name="Z_65BE493F_7DA7_4ACB_8C59_D5D7B43E02AE_.wvu.PrintArea" localSheetId="26" hidden="1">'38'!$A$1:$R$25</definedName>
    <definedName name="Z_65BE493F_7DA7_4ACB_8C59_D5D7B43E02AE_.wvu.PrintArea" localSheetId="27" hidden="1">'41'!$A$1:$R$25</definedName>
    <definedName name="Z_65BE493F_7DA7_4ACB_8C59_D5D7B43E02AE_.wvu.PrintArea" localSheetId="28" hidden="1">'42'!$A$1:$R$25</definedName>
    <definedName name="Z_65BE493F_7DA7_4ACB_8C59_D5D7B43E02AE_.wvu.PrintArea" localSheetId="29" hidden="1">'43'!$A$1:$R$25</definedName>
    <definedName name="Z_65BE493F_7DA7_4ACB_8C59_D5D7B43E02AE_.wvu.PrintArea" localSheetId="30" hidden="1">'44'!$A$1:$R$25</definedName>
    <definedName name="Z_65BE493F_7DA7_4ACB_8C59_D5D7B43E02AE_.wvu.PrintArea" localSheetId="31" hidden="1">'45'!$A$1:$R$25</definedName>
    <definedName name="Z_65BE493F_7DA7_4ACB_8C59_D5D7B43E02AE_.wvu.PrintArea" localSheetId="32" hidden="1">'46'!$A$1:$R$25</definedName>
    <definedName name="Z_65BE493F_7DA7_4ACB_8C59_D5D7B43E02AE_.wvu.PrintArea" localSheetId="33" hidden="1">'47'!$A$1:$R$25</definedName>
    <definedName name="Z_65BE493F_7DA7_4ACB_8C59_D5D7B43E02AE_.wvu.PrintArea" localSheetId="34" hidden="1">'48'!$A$1:$R$25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2" l="1"/>
  <c r="F17" i="42"/>
  <c r="H17" i="42"/>
  <c r="D19" i="42"/>
  <c r="F19" i="42"/>
  <c r="H19" i="42"/>
  <c r="D20" i="42"/>
  <c r="F20" i="42"/>
  <c r="H20" i="42"/>
  <c r="D21" i="42"/>
  <c r="F21" i="42"/>
  <c r="H21" i="42"/>
  <c r="D22" i="42"/>
  <c r="F22" i="42"/>
  <c r="H22" i="42"/>
  <c r="D23" i="42"/>
  <c r="F23" i="42"/>
  <c r="H23" i="42"/>
  <c r="D25" i="42"/>
  <c r="F25" i="42"/>
  <c r="H25" i="42"/>
  <c r="D26" i="42"/>
  <c r="F26" i="42"/>
  <c r="H26" i="42"/>
  <c r="D27" i="42"/>
  <c r="F27" i="42"/>
  <c r="H27" i="42"/>
  <c r="D28" i="42"/>
  <c r="F28" i="42"/>
  <c r="H28" i="42"/>
  <c r="D29" i="42"/>
  <c r="F29" i="42"/>
  <c r="H29" i="42"/>
  <c r="D30" i="42"/>
  <c r="F30" i="42"/>
  <c r="H30" i="42"/>
  <c r="D31" i="42"/>
  <c r="F31" i="42"/>
  <c r="H31" i="42"/>
  <c r="D32" i="42"/>
  <c r="F32" i="42"/>
  <c r="H32" i="42"/>
  <c r="D34" i="42"/>
  <c r="F34" i="42"/>
  <c r="H34" i="42"/>
  <c r="D35" i="42"/>
  <c r="F35" i="42"/>
  <c r="H35" i="42"/>
  <c r="D36" i="42"/>
  <c r="F36" i="42"/>
  <c r="H36" i="42"/>
  <c r="D37" i="42"/>
  <c r="F37" i="42"/>
  <c r="H37" i="42"/>
  <c r="D38" i="42"/>
  <c r="F38" i="42"/>
  <c r="H38" i="42"/>
  <c r="D39" i="42"/>
  <c r="F39" i="42"/>
  <c r="H39" i="42"/>
  <c r="D40" i="42"/>
  <c r="F40" i="42"/>
  <c r="H40" i="42"/>
  <c r="D41" i="42"/>
  <c r="F41" i="42"/>
  <c r="H41" i="42"/>
  <c r="D43" i="42"/>
  <c r="F43" i="42"/>
  <c r="H43" i="42"/>
  <c r="D44" i="42"/>
  <c r="F44" i="42"/>
  <c r="H44" i="42"/>
  <c r="D45" i="42"/>
  <c r="F45" i="42"/>
  <c r="H45" i="42"/>
  <c r="D46" i="42"/>
  <c r="F46" i="42"/>
  <c r="H46" i="42"/>
  <c r="D47" i="42"/>
  <c r="F47" i="42"/>
  <c r="H47" i="42"/>
  <c r="D48" i="42"/>
  <c r="F48" i="42"/>
  <c r="H48" i="42"/>
  <c r="D49" i="42"/>
  <c r="F49" i="42"/>
  <c r="H49" i="42"/>
  <c r="D50" i="42"/>
  <c r="F50" i="42"/>
  <c r="H50" i="42"/>
  <c r="D52" i="42"/>
  <c r="F52" i="42"/>
  <c r="H52" i="42"/>
  <c r="D53" i="42"/>
  <c r="F53" i="42"/>
  <c r="H53" i="42"/>
  <c r="D54" i="42"/>
  <c r="F54" i="42"/>
  <c r="H54" i="42"/>
  <c r="D55" i="42"/>
  <c r="F55" i="42"/>
  <c r="H55" i="42"/>
  <c r="D56" i="42"/>
  <c r="F56" i="42"/>
  <c r="H56" i="42"/>
  <c r="D57" i="42"/>
  <c r="F57" i="42"/>
  <c r="H57" i="42"/>
  <c r="D58" i="42"/>
  <c r="F58" i="42"/>
  <c r="H58" i="42"/>
  <c r="D59" i="42"/>
  <c r="F59" i="42"/>
  <c r="H59" i="42"/>
  <c r="O3" i="41"/>
  <c r="O4" i="41"/>
  <c r="O5" i="41"/>
  <c r="H9" i="41"/>
  <c r="K9" i="41" s="1"/>
  <c r="H10" i="41"/>
  <c r="K10" i="41"/>
  <c r="L10" i="41"/>
  <c r="M10" i="41"/>
  <c r="N10" i="41"/>
  <c r="O10" i="41"/>
  <c r="P10" i="41"/>
  <c r="H11" i="41"/>
  <c r="K11" i="41"/>
  <c r="L11" i="41"/>
  <c r="M11" i="41"/>
  <c r="N11" i="41"/>
  <c r="O11" i="41"/>
  <c r="P11" i="41"/>
  <c r="H12" i="41"/>
  <c r="H18" i="41" s="1"/>
  <c r="K12" i="41"/>
  <c r="L12" i="41"/>
  <c r="M12" i="41"/>
  <c r="N12" i="41"/>
  <c r="O12" i="41"/>
  <c r="P12" i="41"/>
  <c r="H13" i="41"/>
  <c r="K13" i="41" s="1"/>
  <c r="L13" i="41" s="1"/>
  <c r="H14" i="41"/>
  <c r="K14" i="41"/>
  <c r="L14" i="41"/>
  <c r="M14" i="41"/>
  <c r="N14" i="41"/>
  <c r="O14" i="41"/>
  <c r="P14" i="41"/>
  <c r="K16" i="41"/>
  <c r="L16" i="41"/>
  <c r="M16" i="41"/>
  <c r="N16" i="41"/>
  <c r="O16" i="41"/>
  <c r="P16" i="41"/>
  <c r="O3" i="40"/>
  <c r="O4" i="40"/>
  <c r="O5" i="40"/>
  <c r="H9" i="40"/>
  <c r="K9" i="40" s="1"/>
  <c r="H10" i="40"/>
  <c r="K10" i="40"/>
  <c r="L10" i="40"/>
  <c r="M10" i="40"/>
  <c r="N10" i="40"/>
  <c r="O10" i="40"/>
  <c r="P10" i="40"/>
  <c r="H11" i="40"/>
  <c r="K11" i="40"/>
  <c r="L11" i="40" s="1"/>
  <c r="H12" i="40"/>
  <c r="H18" i="40" s="1"/>
  <c r="K12" i="40"/>
  <c r="L12" i="40"/>
  <c r="M12" i="40"/>
  <c r="N12" i="40"/>
  <c r="O12" i="40"/>
  <c r="P12" i="40"/>
  <c r="H13" i="40"/>
  <c r="K13" i="40" s="1"/>
  <c r="L13" i="40" s="1"/>
  <c r="H14" i="40"/>
  <c r="K14" i="40"/>
  <c r="L14" i="40"/>
  <c r="M14" i="40"/>
  <c r="N14" i="40"/>
  <c r="O14" i="40"/>
  <c r="P14" i="40"/>
  <c r="K16" i="40"/>
  <c r="L16" i="40"/>
  <c r="M16" i="40"/>
  <c r="N16" i="40"/>
  <c r="O16" i="40"/>
  <c r="P16" i="40"/>
  <c r="O3" i="39"/>
  <c r="O4" i="39"/>
  <c r="O5" i="39"/>
  <c r="H9" i="39"/>
  <c r="K9" i="39"/>
  <c r="L9" i="39"/>
  <c r="M9" i="39"/>
  <c r="N9" i="39"/>
  <c r="O9" i="39"/>
  <c r="P9" i="39"/>
  <c r="H10" i="39"/>
  <c r="K10" i="39"/>
  <c r="L10" i="39"/>
  <c r="M10" i="39"/>
  <c r="N10" i="39"/>
  <c r="O10" i="39"/>
  <c r="P10" i="39"/>
  <c r="H11" i="39"/>
  <c r="K11" i="39"/>
  <c r="L11" i="39"/>
  <c r="M11" i="39"/>
  <c r="N11" i="39"/>
  <c r="O11" i="39"/>
  <c r="P11" i="39"/>
  <c r="H12" i="39"/>
  <c r="H18" i="39" s="1"/>
  <c r="K12" i="39"/>
  <c r="L12" i="39"/>
  <c r="M12" i="39"/>
  <c r="N12" i="39"/>
  <c r="O12" i="39"/>
  <c r="P12" i="39"/>
  <c r="H13" i="39"/>
  <c r="K13" i="39" s="1"/>
  <c r="H14" i="39"/>
  <c r="K14" i="39"/>
  <c r="L14" i="39"/>
  <c r="M14" i="39"/>
  <c r="N14" i="39"/>
  <c r="O14" i="39"/>
  <c r="P14" i="39"/>
  <c r="K16" i="39"/>
  <c r="L16" i="39"/>
  <c r="M16" i="39"/>
  <c r="N16" i="39"/>
  <c r="O16" i="39"/>
  <c r="P16" i="39"/>
  <c r="O3" i="38"/>
  <c r="O4" i="38"/>
  <c r="O5" i="38"/>
  <c r="H9" i="38"/>
  <c r="K9" i="38" s="1"/>
  <c r="H10" i="38"/>
  <c r="K10" i="38"/>
  <c r="L10" i="38"/>
  <c r="M10" i="38"/>
  <c r="N10" i="38"/>
  <c r="O10" i="38"/>
  <c r="P10" i="38"/>
  <c r="H11" i="38"/>
  <c r="K11" i="38"/>
  <c r="L11" i="38"/>
  <c r="M11" i="38"/>
  <c r="N11" i="38"/>
  <c r="O11" i="38"/>
  <c r="P11" i="38" s="1"/>
  <c r="H12" i="38"/>
  <c r="K12" i="38"/>
  <c r="L12" i="38"/>
  <c r="M12" i="38"/>
  <c r="N12" i="38"/>
  <c r="O12" i="38"/>
  <c r="P12" i="38"/>
  <c r="H13" i="38"/>
  <c r="K13" i="38" s="1"/>
  <c r="L13" i="38" s="1"/>
  <c r="H14" i="38"/>
  <c r="K14" i="38"/>
  <c r="L14" i="38"/>
  <c r="M14" i="38"/>
  <c r="N14" i="38"/>
  <c r="O14" i="38"/>
  <c r="P14" i="38"/>
  <c r="K16" i="38"/>
  <c r="L16" i="38"/>
  <c r="M16" i="38"/>
  <c r="N16" i="38"/>
  <c r="O16" i="38"/>
  <c r="P16" i="38"/>
  <c r="H18" i="38"/>
  <c r="O3" i="37"/>
  <c r="O4" i="37"/>
  <c r="O5" i="37"/>
  <c r="H9" i="37"/>
  <c r="K9" i="37" s="1"/>
  <c r="H10" i="37"/>
  <c r="K10" i="37"/>
  <c r="L10" i="37"/>
  <c r="M10" i="37"/>
  <c r="N10" i="37"/>
  <c r="O10" i="37"/>
  <c r="P10" i="37"/>
  <c r="H11" i="37"/>
  <c r="K11" i="37"/>
  <c r="L11" i="37"/>
  <c r="M11" i="37" s="1"/>
  <c r="O11" i="37" s="1"/>
  <c r="P11" i="37" s="1"/>
  <c r="H12" i="37"/>
  <c r="K12" i="37"/>
  <c r="L12" i="37"/>
  <c r="M12" i="37"/>
  <c r="N12" i="37"/>
  <c r="O12" i="37"/>
  <c r="P12" i="37"/>
  <c r="H13" i="37"/>
  <c r="K13" i="37" s="1"/>
  <c r="L13" i="37" s="1"/>
  <c r="H14" i="37"/>
  <c r="K14" i="37"/>
  <c r="L14" i="37"/>
  <c r="M14" i="37"/>
  <c r="N14" i="37"/>
  <c r="O14" i="37"/>
  <c r="P14" i="37"/>
  <c r="K16" i="37"/>
  <c r="K18" i="37" s="1"/>
  <c r="L16" i="37"/>
  <c r="M16" i="37"/>
  <c r="N16" i="37"/>
  <c r="O16" i="37"/>
  <c r="P16" i="37"/>
  <c r="O3" i="36"/>
  <c r="O4" i="36"/>
  <c r="O5" i="36"/>
  <c r="H9" i="36"/>
  <c r="K9" i="36" s="1"/>
  <c r="H10" i="36"/>
  <c r="K10" i="36"/>
  <c r="L10" i="36"/>
  <c r="M10" i="36"/>
  <c r="N10" i="36"/>
  <c r="O10" i="36"/>
  <c r="P10" i="36"/>
  <c r="H11" i="36"/>
  <c r="K11" i="36"/>
  <c r="L11" i="36"/>
  <c r="M11" i="36"/>
  <c r="N11" i="36"/>
  <c r="O11" i="36"/>
  <c r="P11" i="36"/>
  <c r="H12" i="36"/>
  <c r="H18" i="36" s="1"/>
  <c r="K12" i="36"/>
  <c r="L12" i="36"/>
  <c r="M12" i="36"/>
  <c r="N12" i="36"/>
  <c r="O12" i="36"/>
  <c r="P12" i="36"/>
  <c r="H13" i="36"/>
  <c r="K13" i="36" s="1"/>
  <c r="L13" i="36" s="1"/>
  <c r="H14" i="36"/>
  <c r="K14" i="36"/>
  <c r="L14" i="36"/>
  <c r="M14" i="36"/>
  <c r="N14" i="36"/>
  <c r="O14" i="36"/>
  <c r="P14" i="36"/>
  <c r="K16" i="36"/>
  <c r="L16" i="36"/>
  <c r="M16" i="36"/>
  <c r="N16" i="36"/>
  <c r="O16" i="36"/>
  <c r="P16" i="36"/>
  <c r="O3" i="35"/>
  <c r="O4" i="35"/>
  <c r="O5" i="35"/>
  <c r="H9" i="35"/>
  <c r="K9" i="35" s="1"/>
  <c r="H10" i="35"/>
  <c r="K10" i="35"/>
  <c r="L10" i="35"/>
  <c r="M10" i="35"/>
  <c r="N10" i="35"/>
  <c r="O10" i="35"/>
  <c r="P10" i="35"/>
  <c r="H11" i="35"/>
  <c r="K11" i="35"/>
  <c r="L11" i="35"/>
  <c r="M11" i="35"/>
  <c r="N11" i="35"/>
  <c r="O11" i="35"/>
  <c r="P11" i="35"/>
  <c r="H12" i="35"/>
  <c r="H18" i="35" s="1"/>
  <c r="K12" i="35"/>
  <c r="L12" i="35"/>
  <c r="M12" i="35"/>
  <c r="N12" i="35"/>
  <c r="O12" i="35"/>
  <c r="P12" i="35"/>
  <c r="H13" i="35"/>
  <c r="K13" i="35" s="1"/>
  <c r="L13" i="35" s="1"/>
  <c r="H14" i="35"/>
  <c r="K14" i="35"/>
  <c r="L14" i="35"/>
  <c r="M14" i="35"/>
  <c r="N14" i="35"/>
  <c r="O14" i="35"/>
  <c r="P14" i="35"/>
  <c r="K16" i="35"/>
  <c r="L16" i="35"/>
  <c r="M16" i="35"/>
  <c r="N16" i="35"/>
  <c r="O16" i="35"/>
  <c r="P16" i="35"/>
  <c r="O3" i="34"/>
  <c r="O4" i="34"/>
  <c r="O5" i="34"/>
  <c r="H9" i="34"/>
  <c r="K9" i="34" s="1"/>
  <c r="H10" i="34"/>
  <c r="K10" i="34"/>
  <c r="L10" i="34"/>
  <c r="M10" i="34"/>
  <c r="N10" i="34"/>
  <c r="O10" i="34"/>
  <c r="P10" i="34"/>
  <c r="H11" i="34"/>
  <c r="K11" i="34"/>
  <c r="L11" i="34"/>
  <c r="M11" i="34"/>
  <c r="N11" i="34"/>
  <c r="O11" i="34"/>
  <c r="P11" i="34"/>
  <c r="H12" i="34"/>
  <c r="H18" i="34" s="1"/>
  <c r="K12" i="34"/>
  <c r="L12" i="34"/>
  <c r="M12" i="34"/>
  <c r="N12" i="34"/>
  <c r="O12" i="34"/>
  <c r="P12" i="34"/>
  <c r="H13" i="34"/>
  <c r="K13" i="34" s="1"/>
  <c r="L13" i="34" s="1"/>
  <c r="H14" i="34"/>
  <c r="K14" i="34"/>
  <c r="L14" i="34"/>
  <c r="M14" i="34"/>
  <c r="N14" i="34"/>
  <c r="O14" i="34"/>
  <c r="P14" i="34"/>
  <c r="K16" i="34"/>
  <c r="L16" i="34"/>
  <c r="M16" i="34"/>
  <c r="N16" i="34"/>
  <c r="O16" i="34"/>
  <c r="P16" i="34"/>
  <c r="O3" i="33"/>
  <c r="O4" i="33"/>
  <c r="O5" i="33"/>
  <c r="H9" i="33"/>
  <c r="K9" i="33"/>
  <c r="L9" i="33"/>
  <c r="M9" i="33"/>
  <c r="N9" i="33"/>
  <c r="O9" i="33"/>
  <c r="P9" i="33"/>
  <c r="H10" i="33"/>
  <c r="H19" i="33" s="1"/>
  <c r="K10" i="33"/>
  <c r="K19" i="33" s="1"/>
  <c r="L10" i="33"/>
  <c r="M10" i="33"/>
  <c r="N10" i="33"/>
  <c r="O10" i="33"/>
  <c r="P10" i="33"/>
  <c r="H11" i="33"/>
  <c r="K11" i="33"/>
  <c r="L11" i="33"/>
  <c r="M11" i="33"/>
  <c r="N11" i="33"/>
  <c r="O11" i="33"/>
  <c r="P11" i="33" s="1"/>
  <c r="H12" i="33"/>
  <c r="K12" i="33"/>
  <c r="L12" i="33"/>
  <c r="M12" i="33"/>
  <c r="N12" i="33"/>
  <c r="O12" i="33"/>
  <c r="P12" i="33"/>
  <c r="H13" i="33"/>
  <c r="K13" i="33" s="1"/>
  <c r="H14" i="33"/>
  <c r="K14" i="33"/>
  <c r="L14" i="33"/>
  <c r="M14" i="33"/>
  <c r="N14" i="33"/>
  <c r="O14" i="33"/>
  <c r="P14" i="33"/>
  <c r="K16" i="33"/>
  <c r="L16" i="33"/>
  <c r="M16" i="33"/>
  <c r="N16" i="33"/>
  <c r="O16" i="33"/>
  <c r="P16" i="33"/>
  <c r="H18" i="33"/>
  <c r="O3" i="32"/>
  <c r="O4" i="32"/>
  <c r="O5" i="32"/>
  <c r="H9" i="32"/>
  <c r="K9" i="32"/>
  <c r="L9" i="32"/>
  <c r="M9" i="32"/>
  <c r="N9" i="32"/>
  <c r="O9" i="32"/>
  <c r="P9" i="32"/>
  <c r="H10" i="32"/>
  <c r="H19" i="32" s="1"/>
  <c r="K10" i="32"/>
  <c r="K19" i="32" s="1"/>
  <c r="L10" i="32"/>
  <c r="M10" i="32"/>
  <c r="N10" i="32"/>
  <c r="O10" i="32"/>
  <c r="P10" i="32"/>
  <c r="H11" i="32"/>
  <c r="K11" i="32"/>
  <c r="L11" i="32"/>
  <c r="M11" i="32"/>
  <c r="N11" i="32"/>
  <c r="O11" i="32"/>
  <c r="P11" i="32" s="1"/>
  <c r="H12" i="32"/>
  <c r="K12" i="32"/>
  <c r="L12" i="32"/>
  <c r="M12" i="32"/>
  <c r="N12" i="32"/>
  <c r="O12" i="32"/>
  <c r="P12" i="32"/>
  <c r="H13" i="32"/>
  <c r="K13" i="32" s="1"/>
  <c r="H14" i="32"/>
  <c r="K14" i="32"/>
  <c r="L14" i="32"/>
  <c r="M14" i="32"/>
  <c r="N14" i="32"/>
  <c r="O14" i="32"/>
  <c r="P14" i="32"/>
  <c r="K16" i="32"/>
  <c r="L16" i="32"/>
  <c r="M16" i="32"/>
  <c r="N16" i="32"/>
  <c r="O16" i="32"/>
  <c r="P16" i="32"/>
  <c r="H18" i="32"/>
  <c r="O3" i="31"/>
  <c r="O4" i="31"/>
  <c r="O5" i="31"/>
  <c r="H9" i="31"/>
  <c r="K9" i="31"/>
  <c r="L9" i="31"/>
  <c r="M9" i="31"/>
  <c r="N9" i="31"/>
  <c r="O9" i="31"/>
  <c r="P9" i="31"/>
  <c r="H10" i="31"/>
  <c r="H19" i="31" s="1"/>
  <c r="K10" i="31"/>
  <c r="K19" i="31" s="1"/>
  <c r="L10" i="31"/>
  <c r="M10" i="31"/>
  <c r="N10" i="31"/>
  <c r="O10" i="31"/>
  <c r="P10" i="31"/>
  <c r="H11" i="31"/>
  <c r="K11" i="31"/>
  <c r="L11" i="31"/>
  <c r="M11" i="31"/>
  <c r="N11" i="31"/>
  <c r="O11" i="31"/>
  <c r="P11" i="31" s="1"/>
  <c r="H12" i="31"/>
  <c r="K12" i="31"/>
  <c r="L12" i="31"/>
  <c r="M12" i="31"/>
  <c r="N12" i="31"/>
  <c r="O12" i="31"/>
  <c r="P12" i="31"/>
  <c r="H13" i="31"/>
  <c r="K13" i="31" s="1"/>
  <c r="H14" i="31"/>
  <c r="K14" i="31"/>
  <c r="L14" i="31"/>
  <c r="M14" i="31"/>
  <c r="N14" i="31"/>
  <c r="O14" i="31"/>
  <c r="P14" i="31"/>
  <c r="K16" i="31"/>
  <c r="L16" i="31"/>
  <c r="M16" i="31"/>
  <c r="N16" i="31"/>
  <c r="O16" i="31"/>
  <c r="P16" i="31"/>
  <c r="H18" i="31"/>
  <c r="O3" i="30"/>
  <c r="O4" i="30"/>
  <c r="O5" i="30"/>
  <c r="H9" i="30"/>
  <c r="K9" i="30"/>
  <c r="L9" i="30"/>
  <c r="M9" i="30"/>
  <c r="N9" i="30"/>
  <c r="O9" i="30"/>
  <c r="P9" i="30"/>
  <c r="H10" i="30"/>
  <c r="H19" i="30" s="1"/>
  <c r="K10" i="30"/>
  <c r="L10" i="30"/>
  <c r="M10" i="30"/>
  <c r="N10" i="30"/>
  <c r="O10" i="30"/>
  <c r="P10" i="30"/>
  <c r="H11" i="30"/>
  <c r="K11" i="30"/>
  <c r="L11" i="30"/>
  <c r="M11" i="30"/>
  <c r="N11" i="30"/>
  <c r="O11" i="30"/>
  <c r="P11" i="30" s="1"/>
  <c r="H12" i="30"/>
  <c r="K12" i="30"/>
  <c r="L12" i="30"/>
  <c r="M12" i="30"/>
  <c r="N12" i="30"/>
  <c r="O12" i="30"/>
  <c r="P12" i="30"/>
  <c r="H13" i="30"/>
  <c r="K13" i="30" s="1"/>
  <c r="H14" i="30"/>
  <c r="K14" i="30"/>
  <c r="L14" i="30"/>
  <c r="M14" i="30"/>
  <c r="N14" i="30"/>
  <c r="O14" i="30"/>
  <c r="P14" i="30"/>
  <c r="K16" i="30"/>
  <c r="L16" i="30"/>
  <c r="M16" i="30"/>
  <c r="N16" i="30"/>
  <c r="O16" i="30"/>
  <c r="P16" i="30"/>
  <c r="H18" i="30"/>
  <c r="O3" i="29"/>
  <c r="O4" i="29"/>
  <c r="O5" i="29"/>
  <c r="H9" i="29"/>
  <c r="K9" i="29" s="1"/>
  <c r="H10" i="29"/>
  <c r="K10" i="29"/>
  <c r="L10" i="29"/>
  <c r="M10" i="29"/>
  <c r="N10" i="29"/>
  <c r="O10" i="29"/>
  <c r="P10" i="29"/>
  <c r="H11" i="29"/>
  <c r="K11" i="29"/>
  <c r="L11" i="29"/>
  <c r="M11" i="29"/>
  <c r="N11" i="29"/>
  <c r="O11" i="29"/>
  <c r="P11" i="29"/>
  <c r="H12" i="29"/>
  <c r="H18" i="29" s="1"/>
  <c r="K12" i="29"/>
  <c r="L12" i="29"/>
  <c r="M12" i="29"/>
  <c r="N12" i="29"/>
  <c r="O12" i="29"/>
  <c r="P12" i="29"/>
  <c r="H13" i="29"/>
  <c r="K13" i="29" s="1"/>
  <c r="L13" i="29" s="1"/>
  <c r="H14" i="29"/>
  <c r="K14" i="29"/>
  <c r="L14" i="29"/>
  <c r="M14" i="29"/>
  <c r="N14" i="29"/>
  <c r="O14" i="29"/>
  <c r="P14" i="29"/>
  <c r="K16" i="29"/>
  <c r="L16" i="29"/>
  <c r="M16" i="29"/>
  <c r="N16" i="29"/>
  <c r="O16" i="29"/>
  <c r="P16" i="29"/>
  <c r="O3" i="28"/>
  <c r="O4" i="28"/>
  <c r="O5" i="28"/>
  <c r="H9" i="28"/>
  <c r="K9" i="28"/>
  <c r="L9" i="28"/>
  <c r="M9" i="28"/>
  <c r="N9" i="28"/>
  <c r="O9" i="28"/>
  <c r="P9" i="28"/>
  <c r="H10" i="28"/>
  <c r="K10" i="28"/>
  <c r="L10" i="28"/>
  <c r="M10" i="28"/>
  <c r="N10" i="28"/>
  <c r="O10" i="28"/>
  <c r="P10" i="28"/>
  <c r="H11" i="28"/>
  <c r="K11" i="28"/>
  <c r="L11" i="28"/>
  <c r="M11" i="28"/>
  <c r="N11" i="28"/>
  <c r="O11" i="28"/>
  <c r="P11" i="28"/>
  <c r="H12" i="28"/>
  <c r="H18" i="28" s="1"/>
  <c r="K12" i="28"/>
  <c r="K18" i="28" s="1"/>
  <c r="L12" i="28"/>
  <c r="M12" i="28"/>
  <c r="N12" i="28"/>
  <c r="O12" i="28"/>
  <c r="P12" i="28"/>
  <c r="H13" i="28"/>
  <c r="K13" i="28" s="1"/>
  <c r="H14" i="28"/>
  <c r="K14" i="28"/>
  <c r="L14" i="28"/>
  <c r="M14" i="28"/>
  <c r="N14" i="28"/>
  <c r="O14" i="28"/>
  <c r="P14" i="28"/>
  <c r="K16" i="28"/>
  <c r="L16" i="28"/>
  <c r="M16" i="28"/>
  <c r="N16" i="28"/>
  <c r="O16" i="28"/>
  <c r="P16" i="28"/>
  <c r="O3" i="27"/>
  <c r="O4" i="27"/>
  <c r="O5" i="27"/>
  <c r="H9" i="27"/>
  <c r="K9" i="27" s="1"/>
  <c r="H10" i="27"/>
  <c r="K10" i="27"/>
  <c r="L10" i="27"/>
  <c r="M10" i="27"/>
  <c r="N10" i="27"/>
  <c r="O10" i="27"/>
  <c r="P10" i="27"/>
  <c r="H11" i="27"/>
  <c r="K11" i="27"/>
  <c r="L11" i="27"/>
  <c r="M11" i="27"/>
  <c r="N11" i="27"/>
  <c r="O11" i="27"/>
  <c r="P11" i="27" s="1"/>
  <c r="H12" i="27"/>
  <c r="K12" i="27"/>
  <c r="L12" i="27"/>
  <c r="M12" i="27"/>
  <c r="N12" i="27"/>
  <c r="O12" i="27"/>
  <c r="P12" i="27"/>
  <c r="H13" i="27"/>
  <c r="K13" i="27" s="1"/>
  <c r="L13" i="27" s="1"/>
  <c r="H14" i="27"/>
  <c r="K14" i="27"/>
  <c r="L14" i="27"/>
  <c r="M14" i="27"/>
  <c r="N14" i="27"/>
  <c r="O14" i="27"/>
  <c r="P14" i="27"/>
  <c r="K16" i="27"/>
  <c r="L16" i="27"/>
  <c r="M16" i="27"/>
  <c r="N16" i="27"/>
  <c r="O16" i="27"/>
  <c r="P16" i="27"/>
  <c r="H18" i="27"/>
  <c r="O3" i="26"/>
  <c r="O4" i="26"/>
  <c r="O5" i="26"/>
  <c r="H9" i="26"/>
  <c r="K9" i="26" s="1"/>
  <c r="H10" i="26"/>
  <c r="K10" i="26"/>
  <c r="L10" i="26"/>
  <c r="M10" i="26"/>
  <c r="N10" i="26"/>
  <c r="O10" i="26"/>
  <c r="P10" i="26"/>
  <c r="H11" i="26"/>
  <c r="K11" i="26"/>
  <c r="L11" i="26"/>
  <c r="M11" i="26"/>
  <c r="N11" i="26"/>
  <c r="O11" i="26"/>
  <c r="P11" i="26"/>
  <c r="H12" i="26"/>
  <c r="H18" i="26" s="1"/>
  <c r="K12" i="26"/>
  <c r="L12" i="26"/>
  <c r="M12" i="26"/>
  <c r="N12" i="26"/>
  <c r="O12" i="26"/>
  <c r="P12" i="26"/>
  <c r="H13" i="26"/>
  <c r="K13" i="26" s="1"/>
  <c r="L13" i="26" s="1"/>
  <c r="H14" i="26"/>
  <c r="K14" i="26"/>
  <c r="L14" i="26"/>
  <c r="M14" i="26"/>
  <c r="N14" i="26"/>
  <c r="O14" i="26"/>
  <c r="P14" i="26"/>
  <c r="K16" i="26"/>
  <c r="L16" i="26"/>
  <c r="M16" i="26"/>
  <c r="N16" i="26"/>
  <c r="O16" i="26"/>
  <c r="P16" i="26"/>
  <c r="O3" i="25"/>
  <c r="O4" i="25"/>
  <c r="O5" i="25"/>
  <c r="H9" i="25"/>
  <c r="K9" i="25"/>
  <c r="L9" i="25" s="1"/>
  <c r="H10" i="25"/>
  <c r="K10" i="25"/>
  <c r="L10" i="25"/>
  <c r="M10" i="25"/>
  <c r="N10" i="25"/>
  <c r="O10" i="25"/>
  <c r="P10" i="25"/>
  <c r="H11" i="25"/>
  <c r="K11" i="25"/>
  <c r="L11" i="25"/>
  <c r="M11" i="25"/>
  <c r="N11" i="25"/>
  <c r="O11" i="25"/>
  <c r="P11" i="25"/>
  <c r="H12" i="25"/>
  <c r="H18" i="25" s="1"/>
  <c r="K12" i="25"/>
  <c r="L12" i="25"/>
  <c r="M12" i="25"/>
  <c r="N12" i="25"/>
  <c r="O12" i="25"/>
  <c r="P12" i="25"/>
  <c r="H13" i="25"/>
  <c r="K13" i="25" s="1"/>
  <c r="H14" i="25"/>
  <c r="K14" i="25"/>
  <c r="L14" i="25"/>
  <c r="M14" i="25"/>
  <c r="N14" i="25"/>
  <c r="O14" i="25"/>
  <c r="P14" i="25"/>
  <c r="K16" i="25"/>
  <c r="L16" i="25"/>
  <c r="M16" i="25"/>
  <c r="N16" i="25"/>
  <c r="O16" i="25"/>
  <c r="P16" i="25"/>
  <c r="O3" i="24"/>
  <c r="O4" i="24"/>
  <c r="O5" i="24"/>
  <c r="H9" i="24"/>
  <c r="K9" i="24"/>
  <c r="L9" i="24"/>
  <c r="M9" i="24"/>
  <c r="N9" i="24"/>
  <c r="O9" i="24"/>
  <c r="P9" i="24"/>
  <c r="H10" i="24"/>
  <c r="K10" i="24"/>
  <c r="L10" i="24"/>
  <c r="M10" i="24"/>
  <c r="N10" i="24"/>
  <c r="O10" i="24"/>
  <c r="P10" i="24"/>
  <c r="H11" i="24"/>
  <c r="K11" i="24"/>
  <c r="L11" i="24"/>
  <c r="M11" i="24"/>
  <c r="N11" i="24"/>
  <c r="O11" i="24"/>
  <c r="P11" i="24"/>
  <c r="H12" i="24"/>
  <c r="H18" i="24" s="1"/>
  <c r="K12" i="24"/>
  <c r="L12" i="24"/>
  <c r="M12" i="24"/>
  <c r="N12" i="24"/>
  <c r="O12" i="24"/>
  <c r="P12" i="24"/>
  <c r="H13" i="24"/>
  <c r="K13" i="24" s="1"/>
  <c r="H14" i="24"/>
  <c r="K14" i="24"/>
  <c r="L14" i="24"/>
  <c r="M14" i="24"/>
  <c r="N14" i="24"/>
  <c r="O14" i="24"/>
  <c r="P14" i="24"/>
  <c r="K16" i="24"/>
  <c r="L16" i="24"/>
  <c r="M16" i="24"/>
  <c r="N16" i="24"/>
  <c r="O16" i="24"/>
  <c r="P16" i="24"/>
  <c r="O3" i="23"/>
  <c r="O4" i="23"/>
  <c r="O5" i="23"/>
  <c r="H9" i="23"/>
  <c r="K9" i="23" s="1"/>
  <c r="H10" i="23"/>
  <c r="K10" i="23"/>
  <c r="L10" i="23"/>
  <c r="M10" i="23"/>
  <c r="N10" i="23"/>
  <c r="O10" i="23"/>
  <c r="P10" i="23"/>
  <c r="H11" i="23"/>
  <c r="K11" i="23"/>
  <c r="L11" i="23"/>
  <c r="M11" i="23"/>
  <c r="N11" i="23"/>
  <c r="O11" i="23"/>
  <c r="P11" i="23"/>
  <c r="H12" i="23"/>
  <c r="H18" i="23" s="1"/>
  <c r="K12" i="23"/>
  <c r="L12" i="23"/>
  <c r="M12" i="23"/>
  <c r="N12" i="23"/>
  <c r="O12" i="23"/>
  <c r="P12" i="23"/>
  <c r="H13" i="23"/>
  <c r="K13" i="23" s="1"/>
  <c r="L13" i="23" s="1"/>
  <c r="H14" i="23"/>
  <c r="K14" i="23"/>
  <c r="L14" i="23"/>
  <c r="M14" i="23"/>
  <c r="N14" i="23"/>
  <c r="O14" i="23"/>
  <c r="P14" i="23"/>
  <c r="K16" i="23"/>
  <c r="L16" i="23"/>
  <c r="M16" i="23"/>
  <c r="N16" i="23"/>
  <c r="O16" i="23"/>
  <c r="P16" i="23"/>
  <c r="O3" i="22"/>
  <c r="O4" i="22"/>
  <c r="O5" i="22"/>
  <c r="H9" i="22"/>
  <c r="K9" i="22"/>
  <c r="L9" i="22"/>
  <c r="M9" i="22"/>
  <c r="N9" i="22"/>
  <c r="O9" i="22"/>
  <c r="P9" i="22"/>
  <c r="H10" i="22"/>
  <c r="H19" i="22" s="1"/>
  <c r="K10" i="22"/>
  <c r="L10" i="22"/>
  <c r="M10" i="22"/>
  <c r="N10" i="22"/>
  <c r="O10" i="22"/>
  <c r="P10" i="22"/>
  <c r="H11" i="22"/>
  <c r="K11" i="22"/>
  <c r="L11" i="22"/>
  <c r="M11" i="22"/>
  <c r="N11" i="22"/>
  <c r="O11" i="22"/>
  <c r="P11" i="22" s="1"/>
  <c r="H12" i="22"/>
  <c r="K12" i="22"/>
  <c r="L12" i="22"/>
  <c r="M12" i="22"/>
  <c r="N12" i="22"/>
  <c r="O12" i="22"/>
  <c r="P12" i="22"/>
  <c r="H13" i="22"/>
  <c r="K13" i="22" s="1"/>
  <c r="H14" i="22"/>
  <c r="K14" i="22"/>
  <c r="L14" i="22"/>
  <c r="M14" i="22"/>
  <c r="N14" i="22"/>
  <c r="O14" i="22"/>
  <c r="P14" i="22"/>
  <c r="K16" i="22"/>
  <c r="L16" i="22"/>
  <c r="M16" i="22"/>
  <c r="N16" i="22"/>
  <c r="O16" i="22"/>
  <c r="P16" i="22"/>
  <c r="H18" i="22"/>
  <c r="O3" i="21"/>
  <c r="O4" i="21"/>
  <c r="O5" i="21"/>
  <c r="H9" i="21"/>
  <c r="K9" i="21" s="1"/>
  <c r="H10" i="21"/>
  <c r="K10" i="21"/>
  <c r="L10" i="21"/>
  <c r="M10" i="21"/>
  <c r="N10" i="21"/>
  <c r="O10" i="21"/>
  <c r="P10" i="21"/>
  <c r="H11" i="21"/>
  <c r="H19" i="21" s="1"/>
  <c r="K11" i="21"/>
  <c r="L11" i="21"/>
  <c r="M11" i="21"/>
  <c r="N11" i="21"/>
  <c r="O11" i="21"/>
  <c r="P11" i="21" s="1"/>
  <c r="H12" i="21"/>
  <c r="K12" i="21"/>
  <c r="L12" i="21"/>
  <c r="M12" i="21"/>
  <c r="N12" i="21"/>
  <c r="O12" i="21"/>
  <c r="P12" i="21"/>
  <c r="H13" i="21"/>
  <c r="K13" i="21" s="1"/>
  <c r="L13" i="21" s="1"/>
  <c r="H14" i="21"/>
  <c r="K14" i="21"/>
  <c r="L14" i="21"/>
  <c r="M14" i="21"/>
  <c r="N14" i="21"/>
  <c r="O14" i="21"/>
  <c r="P14" i="21"/>
  <c r="K16" i="21"/>
  <c r="L16" i="21"/>
  <c r="M16" i="21"/>
  <c r="N16" i="21"/>
  <c r="O16" i="21"/>
  <c r="P16" i="21"/>
  <c r="O3" i="20"/>
  <c r="O4" i="20"/>
  <c r="O5" i="20"/>
  <c r="H9" i="20"/>
  <c r="K9" i="20"/>
  <c r="L9" i="20"/>
  <c r="M9" i="20"/>
  <c r="N9" i="20"/>
  <c r="O9" i="20"/>
  <c r="P9" i="20"/>
  <c r="H10" i="20"/>
  <c r="K10" i="20"/>
  <c r="L10" i="20"/>
  <c r="M10" i="20"/>
  <c r="N10" i="20"/>
  <c r="O10" i="20"/>
  <c r="P10" i="20"/>
  <c r="H11" i="20"/>
  <c r="K11" i="20"/>
  <c r="L11" i="20"/>
  <c r="M11" i="20"/>
  <c r="N11" i="20"/>
  <c r="O11" i="20"/>
  <c r="P11" i="20"/>
  <c r="H12" i="20"/>
  <c r="H18" i="20" s="1"/>
  <c r="K12" i="20"/>
  <c r="L12" i="20"/>
  <c r="M12" i="20"/>
  <c r="N12" i="20"/>
  <c r="O12" i="20"/>
  <c r="P12" i="20"/>
  <c r="H13" i="20"/>
  <c r="K13" i="20" s="1"/>
  <c r="H14" i="20"/>
  <c r="K14" i="20"/>
  <c r="L14" i="20"/>
  <c r="M14" i="20"/>
  <c r="N14" i="20"/>
  <c r="O14" i="20"/>
  <c r="P14" i="20"/>
  <c r="K16" i="20"/>
  <c r="L16" i="20"/>
  <c r="M16" i="20"/>
  <c r="N16" i="20"/>
  <c r="O16" i="20"/>
  <c r="P16" i="20"/>
  <c r="O3" i="19"/>
  <c r="O4" i="19"/>
  <c r="O5" i="19"/>
  <c r="H9" i="19"/>
  <c r="K9" i="19" s="1"/>
  <c r="H10" i="19"/>
  <c r="K10" i="19"/>
  <c r="L10" i="19"/>
  <c r="M10" i="19"/>
  <c r="N10" i="19"/>
  <c r="O10" i="19"/>
  <c r="P10" i="19"/>
  <c r="H11" i="19"/>
  <c r="K11" i="19"/>
  <c r="L11" i="19"/>
  <c r="M11" i="19"/>
  <c r="N11" i="19"/>
  <c r="O11" i="19"/>
  <c r="P11" i="19"/>
  <c r="H12" i="19"/>
  <c r="H18" i="19" s="1"/>
  <c r="K12" i="19"/>
  <c r="L12" i="19"/>
  <c r="M12" i="19"/>
  <c r="N12" i="19"/>
  <c r="O12" i="19"/>
  <c r="P12" i="19"/>
  <c r="H13" i="19"/>
  <c r="K13" i="19" s="1"/>
  <c r="L13" i="19" s="1"/>
  <c r="H14" i="19"/>
  <c r="K14" i="19"/>
  <c r="L14" i="19"/>
  <c r="M14" i="19"/>
  <c r="N14" i="19"/>
  <c r="O14" i="19"/>
  <c r="P14" i="19"/>
  <c r="K16" i="19"/>
  <c r="L16" i="19"/>
  <c r="M16" i="19"/>
  <c r="N16" i="19"/>
  <c r="O16" i="19"/>
  <c r="P16" i="19"/>
  <c r="O3" i="18"/>
  <c r="O4" i="18"/>
  <c r="O5" i="18"/>
  <c r="H9" i="18"/>
  <c r="K9" i="18" s="1"/>
  <c r="H10" i="18"/>
  <c r="K10" i="18"/>
  <c r="L10" i="18"/>
  <c r="M10" i="18"/>
  <c r="N10" i="18"/>
  <c r="O10" i="18"/>
  <c r="P10" i="18"/>
  <c r="H11" i="18"/>
  <c r="K11" i="18"/>
  <c r="L11" i="18"/>
  <c r="M11" i="18"/>
  <c r="N11" i="18"/>
  <c r="O11" i="18"/>
  <c r="P11" i="18"/>
  <c r="H12" i="18"/>
  <c r="H18" i="18" s="1"/>
  <c r="K12" i="18"/>
  <c r="L12" i="18"/>
  <c r="M12" i="18"/>
  <c r="N12" i="18"/>
  <c r="O12" i="18"/>
  <c r="P12" i="18"/>
  <c r="H13" i="18"/>
  <c r="K13" i="18" s="1"/>
  <c r="L13" i="18" s="1"/>
  <c r="H14" i="18"/>
  <c r="K14" i="18"/>
  <c r="L14" i="18"/>
  <c r="M14" i="18"/>
  <c r="N14" i="18"/>
  <c r="O14" i="18"/>
  <c r="P14" i="18"/>
  <c r="K16" i="18"/>
  <c r="L16" i="18"/>
  <c r="M16" i="18"/>
  <c r="N16" i="18"/>
  <c r="O16" i="18"/>
  <c r="P16" i="18"/>
  <c r="O3" i="17"/>
  <c r="O4" i="17"/>
  <c r="O5" i="17"/>
  <c r="H9" i="17"/>
  <c r="K9" i="17" s="1"/>
  <c r="H10" i="17"/>
  <c r="K10" i="17"/>
  <c r="L10" i="17"/>
  <c r="M10" i="17"/>
  <c r="N10" i="17"/>
  <c r="O10" i="17"/>
  <c r="P10" i="17"/>
  <c r="H11" i="17"/>
  <c r="K11" i="17"/>
  <c r="L11" i="17"/>
  <c r="M11" i="17"/>
  <c r="N11" i="17"/>
  <c r="O11" i="17"/>
  <c r="P11" i="17" s="1"/>
  <c r="H12" i="17"/>
  <c r="K12" i="17"/>
  <c r="L12" i="17"/>
  <c r="M12" i="17"/>
  <c r="O12" i="17"/>
  <c r="P12" i="17"/>
  <c r="H13" i="17"/>
  <c r="K13" i="17" s="1"/>
  <c r="L13" i="17" s="1"/>
  <c r="H14" i="17"/>
  <c r="K14" i="17"/>
  <c r="L14" i="17"/>
  <c r="M14" i="17"/>
  <c r="K16" i="17"/>
  <c r="L16" i="17"/>
  <c r="M16" i="17"/>
  <c r="N16" i="17"/>
  <c r="O16" i="17"/>
  <c r="P16" i="17"/>
  <c r="H18" i="17"/>
  <c r="O3" i="16"/>
  <c r="O4" i="16"/>
  <c r="N14" i="16" s="1"/>
  <c r="O5" i="16"/>
  <c r="H9" i="16"/>
  <c r="K9" i="16" s="1"/>
  <c r="H10" i="16"/>
  <c r="K10" i="16"/>
  <c r="L10" i="16"/>
  <c r="M10" i="16"/>
  <c r="N10" i="16"/>
  <c r="O10" i="16"/>
  <c r="P10" i="16"/>
  <c r="H11" i="16"/>
  <c r="K11" i="16"/>
  <c r="L11" i="16"/>
  <c r="M11" i="16"/>
  <c r="N11" i="16"/>
  <c r="O11" i="16"/>
  <c r="P11" i="16"/>
  <c r="H12" i="16"/>
  <c r="H18" i="16" s="1"/>
  <c r="K12" i="16"/>
  <c r="L12" i="16"/>
  <c r="M12" i="16"/>
  <c r="N12" i="16"/>
  <c r="O12" i="16"/>
  <c r="P12" i="16"/>
  <c r="H13" i="16"/>
  <c r="K13" i="16" s="1"/>
  <c r="L13" i="16" s="1"/>
  <c r="H14" i="16"/>
  <c r="K14" i="16"/>
  <c r="L14" i="16"/>
  <c r="M14" i="16"/>
  <c r="K16" i="16"/>
  <c r="L16" i="16"/>
  <c r="M16" i="16"/>
  <c r="N16" i="16"/>
  <c r="O16" i="16"/>
  <c r="P16" i="16"/>
  <c r="O3" i="15"/>
  <c r="O4" i="15"/>
  <c r="O5" i="15"/>
  <c r="H9" i="15"/>
  <c r="K9" i="15" s="1"/>
  <c r="H10" i="15"/>
  <c r="K10" i="15"/>
  <c r="L10" i="15"/>
  <c r="M10" i="15"/>
  <c r="N10" i="15"/>
  <c r="O10" i="15"/>
  <c r="P10" i="15"/>
  <c r="H11" i="15"/>
  <c r="K11" i="15"/>
  <c r="L11" i="15"/>
  <c r="M11" i="15"/>
  <c r="N11" i="15"/>
  <c r="O11" i="15"/>
  <c r="P11" i="15" s="1"/>
  <c r="H12" i="15"/>
  <c r="K12" i="15"/>
  <c r="L12" i="15"/>
  <c r="M12" i="15"/>
  <c r="H13" i="15"/>
  <c r="K13" i="15" s="1"/>
  <c r="L13" i="15" s="1"/>
  <c r="H14" i="15"/>
  <c r="K14" i="15"/>
  <c r="L14" i="15"/>
  <c r="M14" i="15"/>
  <c r="N14" i="15"/>
  <c r="O14" i="15"/>
  <c r="P14" i="15"/>
  <c r="K16" i="15"/>
  <c r="L16" i="15"/>
  <c r="M16" i="15"/>
  <c r="N16" i="15"/>
  <c r="O16" i="15"/>
  <c r="P16" i="15"/>
  <c r="H18" i="15"/>
  <c r="O3" i="14"/>
  <c r="O4" i="14"/>
  <c r="O5" i="14"/>
  <c r="H9" i="14"/>
  <c r="H19" i="14" s="1"/>
  <c r="K9" i="14"/>
  <c r="L9" i="14" s="1"/>
  <c r="H10" i="14"/>
  <c r="K10" i="14"/>
  <c r="L10" i="14"/>
  <c r="M10" i="14"/>
  <c r="N10" i="14"/>
  <c r="O10" i="14"/>
  <c r="P10" i="14"/>
  <c r="H11" i="14"/>
  <c r="K11" i="14"/>
  <c r="L11" i="14"/>
  <c r="M11" i="14"/>
  <c r="N11" i="14"/>
  <c r="O11" i="14"/>
  <c r="P11" i="14" s="1"/>
  <c r="H12" i="14"/>
  <c r="K12" i="14"/>
  <c r="L12" i="14"/>
  <c r="M12" i="14"/>
  <c r="N12" i="14"/>
  <c r="O12" i="14"/>
  <c r="P12" i="14"/>
  <c r="H13" i="14"/>
  <c r="K13" i="14" s="1"/>
  <c r="H14" i="14"/>
  <c r="K14" i="14"/>
  <c r="L14" i="14"/>
  <c r="M14" i="14"/>
  <c r="N14" i="14"/>
  <c r="O14" i="14"/>
  <c r="P14" i="14"/>
  <c r="K16" i="14"/>
  <c r="L16" i="14"/>
  <c r="M16" i="14"/>
  <c r="N16" i="14"/>
  <c r="O16" i="14"/>
  <c r="P16" i="14"/>
  <c r="H18" i="14"/>
  <c r="O3" i="13"/>
  <c r="O4" i="13"/>
  <c r="O5" i="13"/>
  <c r="H9" i="13"/>
  <c r="K9" i="13"/>
  <c r="L9" i="13"/>
  <c r="M9" i="13"/>
  <c r="N9" i="13"/>
  <c r="O9" i="13"/>
  <c r="P9" i="13"/>
  <c r="H10" i="13"/>
  <c r="K10" i="13"/>
  <c r="L10" i="13"/>
  <c r="M10" i="13"/>
  <c r="N10" i="13"/>
  <c r="O10" i="13"/>
  <c r="P10" i="13"/>
  <c r="H11" i="13"/>
  <c r="K11" i="13"/>
  <c r="L11" i="13"/>
  <c r="M11" i="13"/>
  <c r="N11" i="13"/>
  <c r="O11" i="13"/>
  <c r="P11" i="13"/>
  <c r="H12" i="13"/>
  <c r="H18" i="13" s="1"/>
  <c r="K12" i="13"/>
  <c r="L12" i="13"/>
  <c r="M12" i="13"/>
  <c r="N12" i="13"/>
  <c r="O12" i="13"/>
  <c r="P12" i="13"/>
  <c r="H13" i="13"/>
  <c r="K13" i="13" s="1"/>
  <c r="H14" i="13"/>
  <c r="K14" i="13"/>
  <c r="L14" i="13"/>
  <c r="M14" i="13"/>
  <c r="N14" i="13"/>
  <c r="O14" i="13"/>
  <c r="P14" i="13"/>
  <c r="K16" i="13"/>
  <c r="L16" i="13"/>
  <c r="M16" i="13"/>
  <c r="N16" i="13"/>
  <c r="O16" i="13"/>
  <c r="P16" i="13"/>
  <c r="O3" i="12"/>
  <c r="O4" i="12"/>
  <c r="O5" i="12"/>
  <c r="H9" i="12"/>
  <c r="K9" i="12" s="1"/>
  <c r="H10" i="12"/>
  <c r="K10" i="12"/>
  <c r="L10" i="12"/>
  <c r="M10" i="12"/>
  <c r="N10" i="12"/>
  <c r="O10" i="12"/>
  <c r="P10" i="12"/>
  <c r="H11" i="12"/>
  <c r="K11" i="12"/>
  <c r="L11" i="12"/>
  <c r="M11" i="12"/>
  <c r="N11" i="12"/>
  <c r="O11" i="12"/>
  <c r="P11" i="12"/>
  <c r="H12" i="12"/>
  <c r="H18" i="12" s="1"/>
  <c r="K12" i="12"/>
  <c r="L12" i="12"/>
  <c r="M12" i="12"/>
  <c r="N12" i="12"/>
  <c r="O12" i="12"/>
  <c r="P12" i="12"/>
  <c r="H13" i="12"/>
  <c r="K13" i="12" s="1"/>
  <c r="L13" i="12" s="1"/>
  <c r="H14" i="12"/>
  <c r="K14" i="12" s="1"/>
  <c r="L14" i="12" s="1"/>
  <c r="K16" i="12"/>
  <c r="L16" i="12"/>
  <c r="M16" i="12"/>
  <c r="N16" i="12"/>
  <c r="O16" i="12"/>
  <c r="P16" i="12"/>
  <c r="O3" i="11"/>
  <c r="O4" i="11"/>
  <c r="O5" i="11"/>
  <c r="H9" i="11"/>
  <c r="K9" i="11" s="1"/>
  <c r="H10" i="11"/>
  <c r="K10" i="11"/>
  <c r="L10" i="11"/>
  <c r="M10" i="11"/>
  <c r="N10" i="11"/>
  <c r="O10" i="11"/>
  <c r="P10" i="11"/>
  <c r="H11" i="11"/>
  <c r="K11" i="11"/>
  <c r="L11" i="11"/>
  <c r="M11" i="11"/>
  <c r="N11" i="11"/>
  <c r="O11" i="11"/>
  <c r="P11" i="11"/>
  <c r="H12" i="11"/>
  <c r="H18" i="11" s="1"/>
  <c r="K12" i="11"/>
  <c r="L12" i="11"/>
  <c r="M12" i="11"/>
  <c r="N12" i="11"/>
  <c r="O12" i="11"/>
  <c r="P12" i="11"/>
  <c r="H13" i="11"/>
  <c r="K13" i="11" s="1"/>
  <c r="L13" i="11" s="1"/>
  <c r="H14" i="11"/>
  <c r="K14" i="11"/>
  <c r="L14" i="11"/>
  <c r="M14" i="11"/>
  <c r="N14" i="11"/>
  <c r="O14" i="11"/>
  <c r="P14" i="11"/>
  <c r="K16" i="11"/>
  <c r="L16" i="11"/>
  <c r="M16" i="11"/>
  <c r="N16" i="11"/>
  <c r="O16" i="11"/>
  <c r="P16" i="11"/>
  <c r="O3" i="10"/>
  <c r="O4" i="10"/>
  <c r="N9" i="10" s="1"/>
  <c r="O5" i="10"/>
  <c r="H9" i="10"/>
  <c r="K9" i="10"/>
  <c r="L9" i="10"/>
  <c r="M9" i="10"/>
  <c r="H10" i="10"/>
  <c r="K10" i="10"/>
  <c r="L10" i="10"/>
  <c r="M10" i="10"/>
  <c r="N10" i="10"/>
  <c r="O10" i="10"/>
  <c r="P10" i="10"/>
  <c r="H11" i="10"/>
  <c r="K11" i="10"/>
  <c r="L11" i="10"/>
  <c r="M11" i="10"/>
  <c r="N11" i="10"/>
  <c r="O11" i="10"/>
  <c r="P11" i="10"/>
  <c r="H12" i="10"/>
  <c r="H18" i="10" s="1"/>
  <c r="K12" i="10"/>
  <c r="L12" i="10"/>
  <c r="M12" i="10"/>
  <c r="N12" i="10"/>
  <c r="O12" i="10"/>
  <c r="P12" i="10"/>
  <c r="H13" i="10"/>
  <c r="K13" i="10" s="1"/>
  <c r="H14" i="10"/>
  <c r="K14" i="10"/>
  <c r="L14" i="10"/>
  <c r="M14" i="10"/>
  <c r="N14" i="10"/>
  <c r="O14" i="10"/>
  <c r="P14" i="10"/>
  <c r="K16" i="10"/>
  <c r="L16" i="10"/>
  <c r="M16" i="10"/>
  <c r="N16" i="10"/>
  <c r="O16" i="10"/>
  <c r="P16" i="10"/>
  <c r="O3" i="9"/>
  <c r="O4" i="9"/>
  <c r="O5" i="9"/>
  <c r="H9" i="9"/>
  <c r="K9" i="9"/>
  <c r="L9" i="9"/>
  <c r="M9" i="9"/>
  <c r="N9" i="9"/>
  <c r="O9" i="9"/>
  <c r="P9" i="9"/>
  <c r="H10" i="9"/>
  <c r="K10" i="9"/>
  <c r="L10" i="9"/>
  <c r="M10" i="9"/>
  <c r="N10" i="9"/>
  <c r="O10" i="9"/>
  <c r="P10" i="9"/>
  <c r="H11" i="9"/>
  <c r="K11" i="9"/>
  <c r="L11" i="9"/>
  <c r="M11" i="9"/>
  <c r="N11" i="9"/>
  <c r="O11" i="9"/>
  <c r="P11" i="9"/>
  <c r="H12" i="9"/>
  <c r="H18" i="9" s="1"/>
  <c r="K12" i="9"/>
  <c r="L12" i="9"/>
  <c r="M12" i="9"/>
  <c r="N12" i="9"/>
  <c r="O12" i="9"/>
  <c r="P12" i="9"/>
  <c r="H13" i="9"/>
  <c r="K13" i="9" s="1"/>
  <c r="H14" i="9"/>
  <c r="K14" i="9"/>
  <c r="L14" i="9"/>
  <c r="M14" i="9"/>
  <c r="N14" i="9"/>
  <c r="O14" i="9"/>
  <c r="P14" i="9"/>
  <c r="K16" i="9"/>
  <c r="L16" i="9" s="1"/>
  <c r="O3" i="8"/>
  <c r="O4" i="8"/>
  <c r="O5" i="8"/>
  <c r="H9" i="8"/>
  <c r="K9" i="8"/>
  <c r="L9" i="8"/>
  <c r="M9" i="8"/>
  <c r="N9" i="8"/>
  <c r="O9" i="8"/>
  <c r="P9" i="8"/>
  <c r="H10" i="8"/>
  <c r="K10" i="8"/>
  <c r="L10" i="8"/>
  <c r="M10" i="8"/>
  <c r="N10" i="8"/>
  <c r="O10" i="8"/>
  <c r="P10" i="8"/>
  <c r="H11" i="8"/>
  <c r="K11" i="8"/>
  <c r="L11" i="8"/>
  <c r="M11" i="8"/>
  <c r="N11" i="8"/>
  <c r="O11" i="8"/>
  <c r="P11" i="8"/>
  <c r="H12" i="8"/>
  <c r="H18" i="8" s="1"/>
  <c r="K12" i="8"/>
  <c r="L12" i="8"/>
  <c r="M12" i="8"/>
  <c r="N12" i="8"/>
  <c r="O12" i="8"/>
  <c r="P12" i="8"/>
  <c r="H13" i="8"/>
  <c r="K13" i="8" s="1"/>
  <c r="H14" i="8"/>
  <c r="K14" i="8"/>
  <c r="L14" i="8"/>
  <c r="M14" i="8"/>
  <c r="N14" i="8"/>
  <c r="O14" i="8"/>
  <c r="P14" i="8"/>
  <c r="K16" i="8"/>
  <c r="L16" i="8"/>
  <c r="M16" i="8"/>
  <c r="N16" i="8"/>
  <c r="O16" i="8"/>
  <c r="P16" i="8"/>
  <c r="O3" i="7"/>
  <c r="O4" i="7"/>
  <c r="O5" i="7"/>
  <c r="H9" i="7"/>
  <c r="K9" i="7" s="1"/>
  <c r="H10" i="7"/>
  <c r="K10" i="7"/>
  <c r="L10" i="7"/>
  <c r="M10" i="7"/>
  <c r="N10" i="7"/>
  <c r="O10" i="7"/>
  <c r="P10" i="7"/>
  <c r="H11" i="7"/>
  <c r="K11" i="7"/>
  <c r="L11" i="7"/>
  <c r="M11" i="7"/>
  <c r="N11" i="7"/>
  <c r="O11" i="7"/>
  <c r="P11" i="7"/>
  <c r="H12" i="7"/>
  <c r="H18" i="7" s="1"/>
  <c r="K12" i="7"/>
  <c r="L12" i="7"/>
  <c r="M12" i="7"/>
  <c r="N12" i="7"/>
  <c r="O12" i="7"/>
  <c r="P12" i="7"/>
  <c r="H13" i="7"/>
  <c r="K13" i="7" s="1"/>
  <c r="L13" i="7" s="1"/>
  <c r="H14" i="7"/>
  <c r="K14" i="7"/>
  <c r="L14" i="7"/>
  <c r="M14" i="7"/>
  <c r="N14" i="7"/>
  <c r="O14" i="7"/>
  <c r="P14" i="7"/>
  <c r="K16" i="7"/>
  <c r="L16" i="7"/>
  <c r="M16" i="7"/>
  <c r="N16" i="7"/>
  <c r="O16" i="7"/>
  <c r="P16" i="7"/>
  <c r="O3" i="6"/>
  <c r="O4" i="6"/>
  <c r="O5" i="6"/>
  <c r="H9" i="6"/>
  <c r="K9" i="6" s="1"/>
  <c r="H10" i="6"/>
  <c r="K10" i="6"/>
  <c r="L10" i="6"/>
  <c r="M10" i="6"/>
  <c r="N10" i="6"/>
  <c r="O10" i="6"/>
  <c r="P10" i="6"/>
  <c r="H11" i="6"/>
  <c r="K11" i="6"/>
  <c r="L11" i="6"/>
  <c r="M11" i="6"/>
  <c r="N11" i="6"/>
  <c r="O11" i="6"/>
  <c r="P11" i="6"/>
  <c r="H12" i="6"/>
  <c r="H18" i="6" s="1"/>
  <c r="K12" i="6"/>
  <c r="L12" i="6"/>
  <c r="M12" i="6"/>
  <c r="N12" i="6"/>
  <c r="O12" i="6"/>
  <c r="P12" i="6"/>
  <c r="H13" i="6"/>
  <c r="K13" i="6" s="1"/>
  <c r="L13" i="6" s="1"/>
  <c r="H14" i="6"/>
  <c r="K14" i="6"/>
  <c r="L14" i="6"/>
  <c r="M14" i="6"/>
  <c r="N14" i="6"/>
  <c r="O14" i="6"/>
  <c r="P14" i="6"/>
  <c r="K16" i="6"/>
  <c r="L16" i="6"/>
  <c r="M16" i="6"/>
  <c r="N16" i="6"/>
  <c r="O16" i="6"/>
  <c r="P16" i="6"/>
  <c r="O3" i="5"/>
  <c r="O4" i="5"/>
  <c r="O5" i="5"/>
  <c r="H9" i="5"/>
  <c r="K9" i="5" s="1"/>
  <c r="H10" i="5"/>
  <c r="K10" i="5"/>
  <c r="L10" i="5"/>
  <c r="M10" i="5"/>
  <c r="N10" i="5"/>
  <c r="O10" i="5"/>
  <c r="P10" i="5"/>
  <c r="H11" i="5"/>
  <c r="K11" i="5"/>
  <c r="L11" i="5"/>
  <c r="M11" i="5"/>
  <c r="N11" i="5"/>
  <c r="O11" i="5"/>
  <c r="P11" i="5"/>
  <c r="H12" i="5"/>
  <c r="H18" i="5" s="1"/>
  <c r="K12" i="5"/>
  <c r="L12" i="5"/>
  <c r="M12" i="5"/>
  <c r="N12" i="5"/>
  <c r="O12" i="5"/>
  <c r="P12" i="5"/>
  <c r="H13" i="5"/>
  <c r="K13" i="5" s="1"/>
  <c r="L13" i="5" s="1"/>
  <c r="H14" i="5"/>
  <c r="K14" i="5"/>
  <c r="L14" i="5"/>
  <c r="M14" i="5"/>
  <c r="N14" i="5"/>
  <c r="O14" i="5"/>
  <c r="P14" i="5"/>
  <c r="K16" i="5"/>
  <c r="L16" i="5"/>
  <c r="M16" i="5"/>
  <c r="N16" i="5"/>
  <c r="O16" i="5"/>
  <c r="P16" i="5"/>
  <c r="O3" i="4"/>
  <c r="O4" i="4"/>
  <c r="O5" i="4"/>
  <c r="H9" i="4"/>
  <c r="K9" i="4"/>
  <c r="L9" i="4" s="1"/>
  <c r="H10" i="4"/>
  <c r="K10" i="4"/>
  <c r="L10" i="4"/>
  <c r="M10" i="4"/>
  <c r="N10" i="4"/>
  <c r="O10" i="4"/>
  <c r="P10" i="4"/>
  <c r="H11" i="4"/>
  <c r="K11" i="4"/>
  <c r="L11" i="4"/>
  <c r="M11" i="4"/>
  <c r="N11" i="4"/>
  <c r="O11" i="4"/>
  <c r="P11" i="4"/>
  <c r="H12" i="4"/>
  <c r="H18" i="4" s="1"/>
  <c r="K12" i="4"/>
  <c r="L12" i="4"/>
  <c r="M12" i="4"/>
  <c r="N12" i="4"/>
  <c r="O12" i="4"/>
  <c r="P12" i="4"/>
  <c r="H13" i="4"/>
  <c r="K13" i="4" s="1"/>
  <c r="H14" i="4"/>
  <c r="K14" i="4"/>
  <c r="L14" i="4"/>
  <c r="M14" i="4"/>
  <c r="N14" i="4"/>
  <c r="O14" i="4"/>
  <c r="P14" i="4"/>
  <c r="K16" i="4"/>
  <c r="L16" i="4"/>
  <c r="M16" i="4"/>
  <c r="N16" i="4"/>
  <c r="O16" i="4"/>
  <c r="P16" i="4"/>
  <c r="L37" i="1"/>
  <c r="K36" i="1"/>
  <c r="M36" i="1" s="1"/>
  <c r="K29" i="1"/>
  <c r="M29" i="1" s="1"/>
  <c r="L29" i="1"/>
  <c r="K30" i="1"/>
  <c r="L30" i="1"/>
  <c r="K31" i="1"/>
  <c r="L31" i="1"/>
  <c r="K32" i="1"/>
  <c r="L32" i="1"/>
  <c r="M32" i="1"/>
  <c r="K33" i="1"/>
  <c r="L33" i="1"/>
  <c r="K34" i="1"/>
  <c r="L34" i="1"/>
  <c r="K35" i="1"/>
  <c r="L35" i="1"/>
  <c r="L36" i="1"/>
  <c r="K37" i="1"/>
  <c r="M37" i="1" s="1"/>
  <c r="K38" i="1"/>
  <c r="M38" i="1" s="1"/>
  <c r="L38" i="1"/>
  <c r="K39" i="1"/>
  <c r="L39" i="1"/>
  <c r="K40" i="1"/>
  <c r="L40" i="1"/>
  <c r="M40" i="1"/>
  <c r="K41" i="1"/>
  <c r="L41" i="1"/>
  <c r="K42" i="1"/>
  <c r="L42" i="1"/>
  <c r="K43" i="1"/>
  <c r="L43" i="1"/>
  <c r="K44" i="1"/>
  <c r="L44" i="1"/>
  <c r="K45" i="1"/>
  <c r="M45" i="1" s="1"/>
  <c r="L45" i="1"/>
  <c r="K46" i="1"/>
  <c r="L46" i="1"/>
  <c r="K47" i="1"/>
  <c r="L47" i="1"/>
  <c r="K48" i="1"/>
  <c r="L48" i="1"/>
  <c r="K49" i="1"/>
  <c r="L49" i="1"/>
  <c r="K50" i="1"/>
  <c r="L50" i="1"/>
  <c r="K51" i="1"/>
  <c r="M51" i="1" s="1"/>
  <c r="L51" i="1"/>
  <c r="K52" i="1"/>
  <c r="L52" i="1"/>
  <c r="M52" i="1" s="1"/>
  <c r="K53" i="1"/>
  <c r="L53" i="1"/>
  <c r="K54" i="1"/>
  <c r="L54" i="1"/>
  <c r="M54" i="1" s="1"/>
  <c r="K55" i="1"/>
  <c r="L55" i="1"/>
  <c r="K56" i="1"/>
  <c r="L56" i="1"/>
  <c r="M56" i="1" s="1"/>
  <c r="K57" i="1"/>
  <c r="M57" i="1" s="1"/>
  <c r="L57" i="1"/>
  <c r="K58" i="1"/>
  <c r="L58" i="1"/>
  <c r="M58" i="1" s="1"/>
  <c r="K59" i="1"/>
  <c r="L59" i="1"/>
  <c r="K60" i="1"/>
  <c r="L60" i="1"/>
  <c r="M60" i="1"/>
  <c r="K61" i="1"/>
  <c r="L61" i="1"/>
  <c r="K62" i="1"/>
  <c r="L62" i="1"/>
  <c r="K63" i="1"/>
  <c r="M63" i="1" s="1"/>
  <c r="L63" i="1"/>
  <c r="K64" i="1"/>
  <c r="M64" i="1" s="1"/>
  <c r="L64" i="1"/>
  <c r="K65" i="1"/>
  <c r="L65" i="1"/>
  <c r="M13" i="41" l="1"/>
  <c r="O13" i="41" s="1"/>
  <c r="P13" i="41" s="1"/>
  <c r="N13" i="41"/>
  <c r="K18" i="41"/>
  <c r="L9" i="41"/>
  <c r="K19" i="41"/>
  <c r="H19" i="41"/>
  <c r="N11" i="40"/>
  <c r="M11" i="40"/>
  <c r="O11" i="40" s="1"/>
  <c r="P11" i="40" s="1"/>
  <c r="M13" i="40"/>
  <c r="O13" i="40" s="1"/>
  <c r="P13" i="40" s="1"/>
  <c r="N13" i="40"/>
  <c r="K18" i="40"/>
  <c r="L9" i="40"/>
  <c r="K19" i="40"/>
  <c r="H19" i="40"/>
  <c r="L13" i="39"/>
  <c r="K19" i="39"/>
  <c r="L18" i="39"/>
  <c r="K18" i="39"/>
  <c r="H19" i="39"/>
  <c r="M13" i="38"/>
  <c r="O13" i="38" s="1"/>
  <c r="P13" i="38" s="1"/>
  <c r="N13" i="38"/>
  <c r="L9" i="38"/>
  <c r="K19" i="38"/>
  <c r="K18" i="38"/>
  <c r="H19" i="38"/>
  <c r="M13" i="37"/>
  <c r="O13" i="37" s="1"/>
  <c r="P13" i="37" s="1"/>
  <c r="N13" i="37"/>
  <c r="L9" i="37"/>
  <c r="K19" i="37"/>
  <c r="L18" i="37"/>
  <c r="N11" i="37"/>
  <c r="H19" i="37"/>
  <c r="H18" i="37"/>
  <c r="M13" i="36"/>
  <c r="O13" i="36" s="1"/>
  <c r="P13" i="36" s="1"/>
  <c r="N13" i="36"/>
  <c r="L9" i="36"/>
  <c r="K19" i="36"/>
  <c r="K18" i="36"/>
  <c r="H19" i="36"/>
  <c r="M13" i="35"/>
  <c r="O13" i="35" s="1"/>
  <c r="P13" i="35" s="1"/>
  <c r="N13" i="35"/>
  <c r="K18" i="35"/>
  <c r="L9" i="35"/>
  <c r="K19" i="35"/>
  <c r="H19" i="35"/>
  <c r="M13" i="34"/>
  <c r="O13" i="34" s="1"/>
  <c r="P13" i="34" s="1"/>
  <c r="N13" i="34"/>
  <c r="K18" i="34"/>
  <c r="L9" i="34"/>
  <c r="K19" i="34"/>
  <c r="H19" i="34"/>
  <c r="L13" i="33"/>
  <c r="K18" i="33"/>
  <c r="L19" i="33"/>
  <c r="L13" i="32"/>
  <c r="K18" i="32"/>
  <c r="L19" i="32"/>
  <c r="L13" i="31"/>
  <c r="K18" i="31"/>
  <c r="L19" i="31"/>
  <c r="L13" i="30"/>
  <c r="K18" i="30"/>
  <c r="L19" i="30"/>
  <c r="K19" i="30"/>
  <c r="M13" i="29"/>
  <c r="O13" i="29" s="1"/>
  <c r="P13" i="29" s="1"/>
  <c r="N13" i="29"/>
  <c r="K19" i="29"/>
  <c r="K18" i="29"/>
  <c r="L9" i="29"/>
  <c r="H19" i="29"/>
  <c r="L13" i="28"/>
  <c r="K19" i="28"/>
  <c r="L18" i="28"/>
  <c r="H19" i="28"/>
  <c r="M13" i="27"/>
  <c r="O13" i="27" s="1"/>
  <c r="P13" i="27" s="1"/>
  <c r="N13" i="27"/>
  <c r="L9" i="27"/>
  <c r="K19" i="27"/>
  <c r="K18" i="27"/>
  <c r="H19" i="27"/>
  <c r="M13" i="26"/>
  <c r="O13" i="26" s="1"/>
  <c r="P13" i="26" s="1"/>
  <c r="N13" i="26"/>
  <c r="L9" i="26"/>
  <c r="K18" i="26"/>
  <c r="K19" i="26"/>
  <c r="H19" i="26"/>
  <c r="L13" i="25"/>
  <c r="K19" i="25"/>
  <c r="K18" i="25"/>
  <c r="M9" i="25"/>
  <c r="N9" i="25"/>
  <c r="H19" i="25"/>
  <c r="L18" i="24"/>
  <c r="L13" i="24"/>
  <c r="K19" i="24"/>
  <c r="K18" i="24"/>
  <c r="H19" i="24"/>
  <c r="M13" i="23"/>
  <c r="O13" i="23" s="1"/>
  <c r="P13" i="23" s="1"/>
  <c r="N13" i="23"/>
  <c r="L9" i="23"/>
  <c r="K18" i="23"/>
  <c r="K19" i="23"/>
  <c r="H19" i="23"/>
  <c r="K19" i="22"/>
  <c r="L13" i="22"/>
  <c r="K18" i="22"/>
  <c r="M13" i="21"/>
  <c r="O13" i="21" s="1"/>
  <c r="P13" i="21" s="1"/>
  <c r="N13" i="21"/>
  <c r="K18" i="21"/>
  <c r="L9" i="21"/>
  <c r="K19" i="21"/>
  <c r="H18" i="21"/>
  <c r="K18" i="20"/>
  <c r="K19" i="20"/>
  <c r="L13" i="20"/>
  <c r="H19" i="20"/>
  <c r="M13" i="19"/>
  <c r="O13" i="19" s="1"/>
  <c r="P13" i="19" s="1"/>
  <c r="N13" i="19"/>
  <c r="K19" i="19"/>
  <c r="L9" i="19"/>
  <c r="K18" i="19"/>
  <c r="H19" i="19"/>
  <c r="M13" i="18"/>
  <c r="O13" i="18" s="1"/>
  <c r="P13" i="18" s="1"/>
  <c r="N13" i="18"/>
  <c r="K19" i="18"/>
  <c r="L9" i="18"/>
  <c r="K18" i="18"/>
  <c r="H19" i="18"/>
  <c r="K18" i="17"/>
  <c r="L9" i="17"/>
  <c r="K19" i="17"/>
  <c r="M13" i="17"/>
  <c r="O13" i="17" s="1"/>
  <c r="P13" i="17" s="1"/>
  <c r="N13" i="17"/>
  <c r="N12" i="17"/>
  <c r="H19" i="17"/>
  <c r="O14" i="17"/>
  <c r="P14" i="17" s="1"/>
  <c r="N14" i="17"/>
  <c r="M13" i="16"/>
  <c r="O13" i="16" s="1"/>
  <c r="P13" i="16" s="1"/>
  <c r="N13" i="16"/>
  <c r="L9" i="16"/>
  <c r="K18" i="16"/>
  <c r="K19" i="16"/>
  <c r="H19" i="16"/>
  <c r="O14" i="16"/>
  <c r="P14" i="16" s="1"/>
  <c r="M13" i="15"/>
  <c r="O13" i="15" s="1"/>
  <c r="P13" i="15" s="1"/>
  <c r="N13" i="15"/>
  <c r="K18" i="15"/>
  <c r="L9" i="15"/>
  <c r="K19" i="15"/>
  <c r="O12" i="15"/>
  <c r="P12" i="15" s="1"/>
  <c r="N12" i="15"/>
  <c r="H19" i="15"/>
  <c r="L13" i="14"/>
  <c r="K18" i="14"/>
  <c r="M9" i="14"/>
  <c r="N9" i="14"/>
  <c r="L18" i="14"/>
  <c r="L19" i="14"/>
  <c r="K19" i="14"/>
  <c r="L13" i="13"/>
  <c r="K19" i="13"/>
  <c r="L18" i="13"/>
  <c r="K18" i="13"/>
  <c r="H19" i="13"/>
  <c r="M13" i="12"/>
  <c r="O13" i="12" s="1"/>
  <c r="P13" i="12" s="1"/>
  <c r="N13" i="12"/>
  <c r="M14" i="12"/>
  <c r="O14" i="12" s="1"/>
  <c r="P14" i="12" s="1"/>
  <c r="N14" i="12"/>
  <c r="K18" i="12"/>
  <c r="L9" i="12"/>
  <c r="K19" i="12"/>
  <c r="H19" i="12"/>
  <c r="M13" i="11"/>
  <c r="O13" i="11" s="1"/>
  <c r="P13" i="11" s="1"/>
  <c r="N13" i="11"/>
  <c r="K18" i="11"/>
  <c r="K19" i="11"/>
  <c r="L9" i="11"/>
  <c r="H19" i="11"/>
  <c r="L18" i="10"/>
  <c r="K18" i="10"/>
  <c r="L13" i="10"/>
  <c r="K19" i="10"/>
  <c r="O9" i="10"/>
  <c r="H19" i="10"/>
  <c r="K19" i="9"/>
  <c r="L13" i="9"/>
  <c r="K18" i="9"/>
  <c r="M16" i="9"/>
  <c r="N16" i="9"/>
  <c r="H19" i="9"/>
  <c r="L13" i="8"/>
  <c r="K19" i="8"/>
  <c r="L18" i="8"/>
  <c r="K18" i="8"/>
  <c r="H19" i="8"/>
  <c r="M13" i="7"/>
  <c r="O13" i="7" s="1"/>
  <c r="P13" i="7" s="1"/>
  <c r="N13" i="7"/>
  <c r="K18" i="7"/>
  <c r="K19" i="7"/>
  <c r="L9" i="7"/>
  <c r="H19" i="7"/>
  <c r="M13" i="6"/>
  <c r="O13" i="6" s="1"/>
  <c r="P13" i="6" s="1"/>
  <c r="N13" i="6"/>
  <c r="K18" i="6"/>
  <c r="K19" i="6"/>
  <c r="L9" i="6"/>
  <c r="H19" i="6"/>
  <c r="M13" i="5"/>
  <c r="O13" i="5" s="1"/>
  <c r="P13" i="5" s="1"/>
  <c r="N13" i="5"/>
  <c r="K18" i="5"/>
  <c r="L9" i="5"/>
  <c r="K19" i="5"/>
  <c r="H19" i="5"/>
  <c r="K18" i="4"/>
  <c r="L18" i="4"/>
  <c r="L19" i="4"/>
  <c r="M9" i="4"/>
  <c r="N9" i="4"/>
  <c r="L13" i="4"/>
  <c r="K19" i="4"/>
  <c r="H19" i="4"/>
  <c r="M61" i="1"/>
  <c r="M42" i="1"/>
  <c r="M65" i="1"/>
  <c r="M49" i="1"/>
  <c r="M46" i="1"/>
  <c r="M44" i="1"/>
  <c r="M34" i="1"/>
  <c r="M30" i="1"/>
  <c r="M47" i="1"/>
  <c r="M31" i="1"/>
  <c r="M39" i="1"/>
  <c r="M62" i="1"/>
  <c r="M55" i="1"/>
  <c r="M53" i="1"/>
  <c r="M50" i="1"/>
  <c r="M48" i="1"/>
  <c r="M43" i="1"/>
  <c r="M35" i="1"/>
  <c r="M59" i="1"/>
  <c r="M41" i="1"/>
  <c r="M33" i="1"/>
  <c r="N9" i="41" l="1"/>
  <c r="M9" i="41"/>
  <c r="L18" i="41"/>
  <c r="L19" i="41"/>
  <c r="L18" i="40"/>
  <c r="M9" i="40"/>
  <c r="N9" i="40"/>
  <c r="L19" i="40"/>
  <c r="M13" i="39"/>
  <c r="N13" i="39"/>
  <c r="L19" i="39"/>
  <c r="L18" i="38"/>
  <c r="M9" i="38"/>
  <c r="N9" i="38"/>
  <c r="L19" i="38"/>
  <c r="M9" i="37"/>
  <c r="N9" i="37"/>
  <c r="L19" i="37"/>
  <c r="L19" i="36"/>
  <c r="M9" i="36"/>
  <c r="N9" i="36"/>
  <c r="L18" i="36"/>
  <c r="L19" i="35"/>
  <c r="M9" i="35"/>
  <c r="N9" i="35"/>
  <c r="L18" i="35"/>
  <c r="N9" i="34"/>
  <c r="L18" i="34"/>
  <c r="L19" i="34"/>
  <c r="M9" i="34"/>
  <c r="M13" i="33"/>
  <c r="N13" i="33"/>
  <c r="L18" i="33"/>
  <c r="M13" i="32"/>
  <c r="N13" i="32"/>
  <c r="L18" i="32"/>
  <c r="M13" i="31"/>
  <c r="L18" i="31"/>
  <c r="N13" i="31"/>
  <c r="M13" i="30"/>
  <c r="L18" i="30"/>
  <c r="N13" i="30"/>
  <c r="L19" i="29"/>
  <c r="M9" i="29"/>
  <c r="N9" i="29"/>
  <c r="L18" i="29"/>
  <c r="N13" i="28"/>
  <c r="M13" i="28"/>
  <c r="L19" i="28"/>
  <c r="L18" i="27"/>
  <c r="M9" i="27"/>
  <c r="N9" i="27"/>
  <c r="L19" i="27"/>
  <c r="L18" i="26"/>
  <c r="L19" i="26"/>
  <c r="M9" i="26"/>
  <c r="N9" i="26"/>
  <c r="M13" i="25"/>
  <c r="O13" i="25" s="1"/>
  <c r="P13" i="25" s="1"/>
  <c r="N13" i="25"/>
  <c r="N19" i="25"/>
  <c r="N18" i="25"/>
  <c r="O9" i="25"/>
  <c r="L19" i="25"/>
  <c r="L18" i="25"/>
  <c r="M13" i="24"/>
  <c r="N13" i="24"/>
  <c r="L19" i="24"/>
  <c r="L19" i="23"/>
  <c r="M9" i="23"/>
  <c r="N9" i="23"/>
  <c r="L18" i="23"/>
  <c r="M13" i="22"/>
  <c r="N13" i="22"/>
  <c r="L18" i="22"/>
  <c r="L19" i="22"/>
  <c r="M9" i="21"/>
  <c r="N9" i="21"/>
  <c r="L18" i="21"/>
  <c r="L19" i="21"/>
  <c r="M13" i="20"/>
  <c r="N13" i="20"/>
  <c r="L19" i="20"/>
  <c r="L18" i="20"/>
  <c r="L19" i="19"/>
  <c r="L18" i="19"/>
  <c r="M9" i="19"/>
  <c r="N9" i="19"/>
  <c r="L19" i="18"/>
  <c r="L18" i="18"/>
  <c r="M9" i="18"/>
  <c r="N9" i="18"/>
  <c r="M9" i="17"/>
  <c r="N9" i="17"/>
  <c r="L19" i="17"/>
  <c r="L18" i="17"/>
  <c r="M9" i="16"/>
  <c r="N9" i="16"/>
  <c r="L18" i="16"/>
  <c r="L19" i="16"/>
  <c r="M9" i="15"/>
  <c r="N9" i="15"/>
  <c r="L18" i="15"/>
  <c r="L19" i="15"/>
  <c r="O9" i="14"/>
  <c r="M13" i="14"/>
  <c r="O13" i="14" s="1"/>
  <c r="P13" i="14" s="1"/>
  <c r="N13" i="14"/>
  <c r="N18" i="14" s="1"/>
  <c r="M13" i="13"/>
  <c r="L19" i="13"/>
  <c r="N13" i="13"/>
  <c r="M9" i="12"/>
  <c r="N9" i="12"/>
  <c r="L18" i="12"/>
  <c r="L19" i="12"/>
  <c r="L18" i="11"/>
  <c r="L19" i="11"/>
  <c r="M9" i="11"/>
  <c r="N9" i="11"/>
  <c r="P9" i="10"/>
  <c r="L19" i="10"/>
  <c r="M13" i="10"/>
  <c r="N13" i="10"/>
  <c r="M13" i="9"/>
  <c r="N13" i="9"/>
  <c r="N19" i="9" s="1"/>
  <c r="L19" i="9"/>
  <c r="L18" i="9"/>
  <c r="O16" i="9"/>
  <c r="M13" i="8"/>
  <c r="L19" i="8"/>
  <c r="N13" i="8"/>
  <c r="L18" i="7"/>
  <c r="L19" i="7"/>
  <c r="M9" i="7"/>
  <c r="N9" i="7"/>
  <c r="L18" i="6"/>
  <c r="L19" i="6"/>
  <c r="M9" i="6"/>
  <c r="N9" i="6"/>
  <c r="M9" i="5"/>
  <c r="N9" i="5"/>
  <c r="L18" i="5"/>
  <c r="L19" i="5"/>
  <c r="M13" i="4"/>
  <c r="O13" i="4" s="1"/>
  <c r="P13" i="4" s="1"/>
  <c r="N13" i="4"/>
  <c r="N18" i="4"/>
  <c r="N19" i="4"/>
  <c r="M18" i="4"/>
  <c r="O9" i="4"/>
  <c r="K28" i="1"/>
  <c r="M19" i="41" l="1"/>
  <c r="M18" i="41"/>
  <c r="O9" i="41"/>
  <c r="N19" i="41"/>
  <c r="N18" i="41"/>
  <c r="N18" i="40"/>
  <c r="N19" i="40"/>
  <c r="M18" i="40"/>
  <c r="M19" i="40"/>
  <c r="O9" i="40"/>
  <c r="N19" i="39"/>
  <c r="N18" i="39"/>
  <c r="M19" i="39"/>
  <c r="O13" i="39"/>
  <c r="M18" i="39"/>
  <c r="N19" i="38"/>
  <c r="N18" i="38"/>
  <c r="M18" i="38"/>
  <c r="O9" i="38"/>
  <c r="M19" i="38"/>
  <c r="N19" i="37"/>
  <c r="N18" i="37"/>
  <c r="O9" i="37"/>
  <c r="M19" i="37"/>
  <c r="M18" i="37"/>
  <c r="N18" i="36"/>
  <c r="N19" i="36"/>
  <c r="O9" i="36"/>
  <c r="M19" i="36"/>
  <c r="M18" i="36"/>
  <c r="M18" i="35"/>
  <c r="M19" i="35"/>
  <c r="O9" i="35"/>
  <c r="N18" i="35"/>
  <c r="N19" i="35"/>
  <c r="O9" i="34"/>
  <c r="M19" i="34"/>
  <c r="M18" i="34"/>
  <c r="N19" i="34"/>
  <c r="N18" i="34"/>
  <c r="N18" i="33"/>
  <c r="N19" i="33"/>
  <c r="O13" i="33"/>
  <c r="M18" i="33"/>
  <c r="M19" i="33"/>
  <c r="N19" i="32"/>
  <c r="N18" i="32"/>
  <c r="O13" i="32"/>
  <c r="M18" i="32"/>
  <c r="M19" i="32"/>
  <c r="N18" i="31"/>
  <c r="N19" i="31"/>
  <c r="M18" i="31"/>
  <c r="O13" i="31"/>
  <c r="M19" i="31"/>
  <c r="N19" i="30"/>
  <c r="N18" i="30"/>
  <c r="M18" i="30"/>
  <c r="O13" i="30"/>
  <c r="M19" i="30"/>
  <c r="N19" i="29"/>
  <c r="N18" i="29"/>
  <c r="M18" i="29"/>
  <c r="M19" i="29"/>
  <c r="O9" i="29"/>
  <c r="O13" i="28"/>
  <c r="M19" i="28"/>
  <c r="M18" i="28"/>
  <c r="N19" i="28"/>
  <c r="N18" i="28"/>
  <c r="N19" i="27"/>
  <c r="N18" i="27"/>
  <c r="O9" i="27"/>
  <c r="M19" i="27"/>
  <c r="M18" i="27"/>
  <c r="N18" i="26"/>
  <c r="N19" i="26"/>
  <c r="M19" i="26"/>
  <c r="O9" i="26"/>
  <c r="M18" i="26"/>
  <c r="O19" i="25"/>
  <c r="O18" i="25"/>
  <c r="P9" i="25"/>
  <c r="M19" i="25"/>
  <c r="M18" i="25"/>
  <c r="N19" i="24"/>
  <c r="N18" i="24"/>
  <c r="M19" i="24"/>
  <c r="O13" i="24"/>
  <c r="M18" i="24"/>
  <c r="M18" i="23"/>
  <c r="O9" i="23"/>
  <c r="M19" i="23"/>
  <c r="N19" i="23"/>
  <c r="N18" i="23"/>
  <c r="M18" i="22"/>
  <c r="O13" i="22"/>
  <c r="M19" i="22"/>
  <c r="N19" i="22"/>
  <c r="N18" i="22"/>
  <c r="N19" i="21"/>
  <c r="N18" i="21"/>
  <c r="M18" i="21"/>
  <c r="O9" i="21"/>
  <c r="M19" i="21"/>
  <c r="N19" i="20"/>
  <c r="N18" i="20"/>
  <c r="O13" i="20"/>
  <c r="M19" i="20"/>
  <c r="M18" i="20"/>
  <c r="N19" i="19"/>
  <c r="N18" i="19"/>
  <c r="M19" i="19"/>
  <c r="O9" i="19"/>
  <c r="M18" i="19"/>
  <c r="N18" i="18"/>
  <c r="N19" i="18"/>
  <c r="M19" i="18"/>
  <c r="O9" i="18"/>
  <c r="M18" i="18"/>
  <c r="N19" i="17"/>
  <c r="N18" i="17"/>
  <c r="M18" i="17"/>
  <c r="O9" i="17"/>
  <c r="M19" i="17"/>
  <c r="N18" i="16"/>
  <c r="N19" i="16"/>
  <c r="O9" i="16"/>
  <c r="M18" i="16"/>
  <c r="M19" i="16"/>
  <c r="M18" i="15"/>
  <c r="O9" i="15"/>
  <c r="M19" i="15"/>
  <c r="N19" i="15"/>
  <c r="N18" i="15"/>
  <c r="M18" i="14"/>
  <c r="P9" i="14"/>
  <c r="O19" i="14"/>
  <c r="O18" i="14"/>
  <c r="M19" i="14"/>
  <c r="N19" i="14"/>
  <c r="N19" i="13"/>
  <c r="N18" i="13"/>
  <c r="O13" i="13"/>
  <c r="M19" i="13"/>
  <c r="M18" i="13"/>
  <c r="N18" i="12"/>
  <c r="N19" i="12"/>
  <c r="O9" i="12"/>
  <c r="M18" i="12"/>
  <c r="M19" i="12"/>
  <c r="N18" i="11"/>
  <c r="N19" i="11"/>
  <c r="O9" i="11"/>
  <c r="M18" i="11"/>
  <c r="M19" i="11"/>
  <c r="N18" i="10"/>
  <c r="N19" i="10"/>
  <c r="O13" i="10"/>
  <c r="M19" i="10"/>
  <c r="M18" i="10"/>
  <c r="M19" i="9"/>
  <c r="O13" i="9"/>
  <c r="M18" i="9"/>
  <c r="P16" i="9"/>
  <c r="N18" i="9"/>
  <c r="N18" i="8"/>
  <c r="N19" i="8"/>
  <c r="M19" i="8"/>
  <c r="O13" i="8"/>
  <c r="M18" i="8"/>
  <c r="M18" i="7"/>
  <c r="M19" i="7"/>
  <c r="O9" i="7"/>
  <c r="N18" i="7"/>
  <c r="N19" i="7"/>
  <c r="N18" i="6"/>
  <c r="N19" i="6"/>
  <c r="M18" i="6"/>
  <c r="M19" i="6"/>
  <c r="O9" i="6"/>
  <c r="N18" i="5"/>
  <c r="N19" i="5"/>
  <c r="M18" i="5"/>
  <c r="M19" i="5"/>
  <c r="O9" i="5"/>
  <c r="O19" i="4"/>
  <c r="O18" i="4"/>
  <c r="P9" i="4"/>
  <c r="M19" i="4"/>
  <c r="A19" i="1"/>
  <c r="O18" i="41" l="1"/>
  <c r="P9" i="41"/>
  <c r="O19" i="41"/>
  <c r="O18" i="40"/>
  <c r="O19" i="40"/>
  <c r="P9" i="40"/>
  <c r="P13" i="39"/>
  <c r="O19" i="39"/>
  <c r="O18" i="39"/>
  <c r="P9" i="38"/>
  <c r="O19" i="38"/>
  <c r="O18" i="38"/>
  <c r="O19" i="37"/>
  <c r="P9" i="37"/>
  <c r="O18" i="37"/>
  <c r="O18" i="36"/>
  <c r="P9" i="36"/>
  <c r="O19" i="36"/>
  <c r="O18" i="35"/>
  <c r="O19" i="35"/>
  <c r="P9" i="35"/>
  <c r="O19" i="34"/>
  <c r="P9" i="34"/>
  <c r="O18" i="34"/>
  <c r="P13" i="33"/>
  <c r="O19" i="33"/>
  <c r="O18" i="33"/>
  <c r="P13" i="32"/>
  <c r="O18" i="32"/>
  <c r="O19" i="32"/>
  <c r="P13" i="31"/>
  <c r="O18" i="31"/>
  <c r="O19" i="31"/>
  <c r="P13" i="30"/>
  <c r="O19" i="30"/>
  <c r="O18" i="30"/>
  <c r="P9" i="29"/>
  <c r="O18" i="29"/>
  <c r="O19" i="29"/>
  <c r="P13" i="28"/>
  <c r="O19" i="28"/>
  <c r="O18" i="28"/>
  <c r="P9" i="27"/>
  <c r="O19" i="27"/>
  <c r="O18" i="27"/>
  <c r="O19" i="26"/>
  <c r="P9" i="26"/>
  <c r="O18" i="26"/>
  <c r="P19" i="25"/>
  <c r="P18" i="25"/>
  <c r="O19" i="24"/>
  <c r="P13" i="24"/>
  <c r="O18" i="24"/>
  <c r="O19" i="23"/>
  <c r="O18" i="23"/>
  <c r="P9" i="23"/>
  <c r="P13" i="22"/>
  <c r="O19" i="22"/>
  <c r="O18" i="22"/>
  <c r="P9" i="21"/>
  <c r="O19" i="21"/>
  <c r="O18" i="21"/>
  <c r="P13" i="20"/>
  <c r="O19" i="20"/>
  <c r="O18" i="20"/>
  <c r="O18" i="19"/>
  <c r="P9" i="19"/>
  <c r="O19" i="19"/>
  <c r="O18" i="18"/>
  <c r="O19" i="18"/>
  <c r="P9" i="18"/>
  <c r="P9" i="17"/>
  <c r="O19" i="17"/>
  <c r="O18" i="17"/>
  <c r="P9" i="16"/>
  <c r="O18" i="16"/>
  <c r="O19" i="16"/>
  <c r="P9" i="15"/>
  <c r="O19" i="15"/>
  <c r="O18" i="15"/>
  <c r="P19" i="14"/>
  <c r="P18" i="14"/>
  <c r="O19" i="13"/>
  <c r="P13" i="13"/>
  <c r="O18" i="13"/>
  <c r="O19" i="12"/>
  <c r="P9" i="12"/>
  <c r="O18" i="12"/>
  <c r="O18" i="11"/>
  <c r="O19" i="11"/>
  <c r="P9" i="11"/>
  <c r="P13" i="10"/>
  <c r="O19" i="10"/>
  <c r="O18" i="10"/>
  <c r="O19" i="9"/>
  <c r="P13" i="9"/>
  <c r="P19" i="9" s="1"/>
  <c r="O18" i="9"/>
  <c r="O19" i="8"/>
  <c r="P13" i="8"/>
  <c r="O18" i="8"/>
  <c r="O18" i="7"/>
  <c r="O19" i="7"/>
  <c r="P9" i="7"/>
  <c r="O18" i="6"/>
  <c r="O19" i="6"/>
  <c r="P9" i="6"/>
  <c r="O19" i="5"/>
  <c r="P9" i="5"/>
  <c r="O18" i="5"/>
  <c r="P19" i="4"/>
  <c r="P18" i="4"/>
  <c r="F31" i="1"/>
  <c r="F40" i="1"/>
  <c r="F48" i="1"/>
  <c r="F56" i="1"/>
  <c r="F64" i="1"/>
  <c r="F57" i="1"/>
  <c r="F33" i="1"/>
  <c r="F50" i="1"/>
  <c r="F28" i="1"/>
  <c r="N28" i="1" s="1"/>
  <c r="F34" i="1"/>
  <c r="F43" i="1"/>
  <c r="F51" i="1"/>
  <c r="F37" i="1"/>
  <c r="F45" i="1"/>
  <c r="F61" i="1"/>
  <c r="F35" i="1"/>
  <c r="F29" i="1"/>
  <c r="F46" i="1"/>
  <c r="F55" i="1"/>
  <c r="F32" i="1"/>
  <c r="F41" i="1"/>
  <c r="F49" i="1"/>
  <c r="F65" i="1"/>
  <c r="F42" i="1"/>
  <c r="F58" i="1"/>
  <c r="F59" i="1"/>
  <c r="F53" i="1"/>
  <c r="F38" i="1"/>
  <c r="F54" i="1"/>
  <c r="F39" i="1"/>
  <c r="F47" i="1"/>
  <c r="F63" i="1"/>
  <c r="F36" i="1"/>
  <c r="F44" i="1"/>
  <c r="F52" i="1"/>
  <c r="F60" i="1"/>
  <c r="F62" i="1"/>
  <c r="F30" i="1"/>
  <c r="P19" i="41" l="1"/>
  <c r="P18" i="41"/>
  <c r="P19" i="40"/>
  <c r="P18" i="40"/>
  <c r="P18" i="39"/>
  <c r="P19" i="39"/>
  <c r="P19" i="38"/>
  <c r="P18" i="38"/>
  <c r="P19" i="37"/>
  <c r="P18" i="37"/>
  <c r="P19" i="36"/>
  <c r="P18" i="36"/>
  <c r="P19" i="35"/>
  <c r="P18" i="35"/>
  <c r="P19" i="34"/>
  <c r="P18" i="34"/>
  <c r="P18" i="33"/>
  <c r="P19" i="33"/>
  <c r="P19" i="32"/>
  <c r="P18" i="32"/>
  <c r="P18" i="31"/>
  <c r="P19" i="31"/>
  <c r="P18" i="30"/>
  <c r="P19" i="30"/>
  <c r="P19" i="29"/>
  <c r="P18" i="29"/>
  <c r="P18" i="28"/>
  <c r="P19" i="28"/>
  <c r="P19" i="27"/>
  <c r="P18" i="27"/>
  <c r="P19" i="26"/>
  <c r="P18" i="26"/>
  <c r="P19" i="24"/>
  <c r="P18" i="24"/>
  <c r="P19" i="23"/>
  <c r="P18" i="23"/>
  <c r="P18" i="22"/>
  <c r="P19" i="22"/>
  <c r="P19" i="21"/>
  <c r="P18" i="21"/>
  <c r="P18" i="20"/>
  <c r="P19" i="20"/>
  <c r="P19" i="19"/>
  <c r="P18" i="19"/>
  <c r="P19" i="18"/>
  <c r="P18" i="18"/>
  <c r="P19" i="17"/>
  <c r="P18" i="17"/>
  <c r="P19" i="16"/>
  <c r="P18" i="16"/>
  <c r="P19" i="15"/>
  <c r="P18" i="15"/>
  <c r="P18" i="13"/>
  <c r="P19" i="13"/>
  <c r="P19" i="12"/>
  <c r="P18" i="12"/>
  <c r="P19" i="11"/>
  <c r="P18" i="11"/>
  <c r="P19" i="10"/>
  <c r="P18" i="10"/>
  <c r="P18" i="9"/>
  <c r="P18" i="8"/>
  <c r="P19" i="8"/>
  <c r="P19" i="7"/>
  <c r="P18" i="7"/>
  <c r="P19" i="6"/>
  <c r="P18" i="6"/>
  <c r="P19" i="5"/>
  <c r="P18" i="5"/>
  <c r="N36" i="1"/>
  <c r="O36" i="1"/>
  <c r="N29" i="1"/>
  <c r="P29" i="1" s="1"/>
  <c r="O29" i="1"/>
  <c r="N63" i="1"/>
  <c r="O63" i="1"/>
  <c r="N42" i="1"/>
  <c r="O42" i="1"/>
  <c r="P42" i="1" s="1"/>
  <c r="N35" i="1"/>
  <c r="P35" i="1" s="1"/>
  <c r="O35" i="1"/>
  <c r="N50" i="1"/>
  <c r="P50" i="1" s="1"/>
  <c r="O50" i="1"/>
  <c r="N47" i="1"/>
  <c r="O47" i="1"/>
  <c r="O65" i="1"/>
  <c r="N65" i="1"/>
  <c r="P65" i="1" s="1"/>
  <c r="O61" i="1"/>
  <c r="N61" i="1"/>
  <c r="N33" i="1"/>
  <c r="P33" i="1" s="1"/>
  <c r="O33" i="1"/>
  <c r="N39" i="1"/>
  <c r="O39" i="1"/>
  <c r="O45" i="1"/>
  <c r="N45" i="1"/>
  <c r="P45" i="1" s="1"/>
  <c r="N54" i="1"/>
  <c r="O54" i="1"/>
  <c r="N38" i="1"/>
  <c r="P38" i="1" s="1"/>
  <c r="O38" i="1"/>
  <c r="N56" i="1"/>
  <c r="O56" i="1"/>
  <c r="P56" i="1" s="1"/>
  <c r="N58" i="1"/>
  <c r="O58" i="1"/>
  <c r="N31" i="1"/>
  <c r="P31" i="1" s="1"/>
  <c r="O31" i="1"/>
  <c r="O30" i="1"/>
  <c r="N30" i="1"/>
  <c r="N49" i="1"/>
  <c r="O49" i="1"/>
  <c r="N57" i="1"/>
  <c r="O57" i="1"/>
  <c r="P57" i="1" s="1"/>
  <c r="N62" i="1"/>
  <c r="P62" i="1" s="1"/>
  <c r="O62" i="1"/>
  <c r="N41" i="1"/>
  <c r="P41" i="1" s="1"/>
  <c r="O41" i="1"/>
  <c r="O37" i="1"/>
  <c r="N37" i="1"/>
  <c r="P37" i="1" s="1"/>
  <c r="O64" i="1"/>
  <c r="N64" i="1"/>
  <c r="P64" i="1" s="1"/>
  <c r="N60" i="1"/>
  <c r="P60" i="1" s="1"/>
  <c r="O60" i="1"/>
  <c r="N32" i="1"/>
  <c r="P32" i="1" s="1"/>
  <c r="O32" i="1"/>
  <c r="N51" i="1"/>
  <c r="O51" i="1"/>
  <c r="N52" i="1"/>
  <c r="O52" i="1"/>
  <c r="P52" i="1" s="1"/>
  <c r="N53" i="1"/>
  <c r="P53" i="1" s="1"/>
  <c r="O53" i="1"/>
  <c r="N55" i="1"/>
  <c r="P55" i="1" s="1"/>
  <c r="O55" i="1"/>
  <c r="N43" i="1"/>
  <c r="O43" i="1"/>
  <c r="N48" i="1"/>
  <c r="O48" i="1"/>
  <c r="P48" i="1" s="1"/>
  <c r="N44" i="1"/>
  <c r="O44" i="1"/>
  <c r="N59" i="1"/>
  <c r="P59" i="1" s="1"/>
  <c r="O59" i="1"/>
  <c r="N46" i="1"/>
  <c r="O46" i="1"/>
  <c r="N34" i="1"/>
  <c r="O34" i="1"/>
  <c r="N40" i="1"/>
  <c r="P40" i="1" s="1"/>
  <c r="O40" i="1"/>
  <c r="L28" i="1"/>
  <c r="O28" i="1" s="1"/>
  <c r="P28" i="1" s="1"/>
  <c r="P34" i="1" l="1"/>
  <c r="P58" i="1"/>
  <c r="P46" i="1"/>
  <c r="P51" i="1"/>
  <c r="P39" i="1"/>
  <c r="P63" i="1"/>
  <c r="P30" i="1"/>
  <c r="P43" i="1"/>
  <c r="P49" i="1"/>
  <c r="P47" i="1"/>
  <c r="P44" i="1"/>
  <c r="P54" i="1"/>
  <c r="P61" i="1"/>
  <c r="P36" i="1"/>
  <c r="M28" i="1"/>
</calcChain>
</file>

<file path=xl/sharedStrings.xml><?xml version="1.0" encoding="utf-8"?>
<sst xmlns="http://schemas.openxmlformats.org/spreadsheetml/2006/main" count="1738" uniqueCount="161">
  <si>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</si>
  <si>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</si>
  <si>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</si>
  <si>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</si>
  <si>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</si>
  <si>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</si>
  <si>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</si>
  <si>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</si>
  <si>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</si>
  <si>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</si>
  <si>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</si>
  <si>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</si>
  <si>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</si>
  <si>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</si>
  <si>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</si>
  <si>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</si>
  <si>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</si>
  <si>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</si>
  <si>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</si>
  <si>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</si>
  <si>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</si>
  <si>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</si>
  <si>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Column H - Weight of bulk cotton subsample prior to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</si>
  <si>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</si>
  <si>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</si>
  <si>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</si>
  <si>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</si>
  <si>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</si>
  <si>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HARM</t>
  </si>
  <si>
    <t>Hand</t>
  </si>
  <si>
    <t>Column C - Harvest method (HARM)</t>
  </si>
  <si>
    <t>Size of harvest area (6 40-inch rows by 4 m) (m2)</t>
  </si>
  <si>
    <t>Column F - Wet bulk weight at harvest (fiber + seed + trash) (WBWAH, kg/ha)</t>
  </si>
  <si>
    <t>Date</t>
  </si>
  <si>
    <t>GNDAT</t>
  </si>
  <si>
    <t>Column D - Harvest date (HADAT, mm/dd/yyyy)</t>
  </si>
  <si>
    <t>Column G - Ginning Date (GNDAT,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</si>
  <si>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</si>
  <si>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</si>
  <si>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</si>
  <si>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</si>
  <si>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</si>
  <si>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</si>
  <si>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</si>
  <si>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</si>
  <si>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p12</t>
  </si>
  <si>
    <t>p13</t>
  </si>
  <si>
    <t>p14</t>
  </si>
  <si>
    <t>p15</t>
  </si>
  <si>
    <t>p16</t>
  </si>
  <si>
    <t>p17</t>
  </si>
  <si>
    <t>p18</t>
  </si>
  <si>
    <t>p21</t>
  </si>
  <si>
    <t>p22</t>
  </si>
  <si>
    <t>p23</t>
  </si>
  <si>
    <t>p24</t>
  </si>
  <si>
    <t>p25</t>
  </si>
  <si>
    <t>p26</t>
  </si>
  <si>
    <t>p27</t>
  </si>
  <si>
    <t>p28</t>
  </si>
  <si>
    <t>p31</t>
  </si>
  <si>
    <t>p32</t>
  </si>
  <si>
    <t>p33</t>
  </si>
  <si>
    <t>p34</t>
  </si>
  <si>
    <t>p35</t>
  </si>
  <si>
    <t>p36</t>
  </si>
  <si>
    <t>p37</t>
  </si>
  <si>
    <t>p38</t>
  </si>
  <si>
    <t>p41</t>
  </si>
  <si>
    <t>p42</t>
  </si>
  <si>
    <t>p43</t>
  </si>
  <si>
    <t>p44</t>
  </si>
  <si>
    <t>p45</t>
  </si>
  <si>
    <t>p46</t>
  </si>
  <si>
    <t>p47</t>
  </si>
  <si>
    <t>p48</t>
  </si>
  <si>
    <t>ID</t>
  </si>
  <si>
    <t>Column A - ID (ID)</t>
  </si>
  <si>
    <t>Column B - Harvest Area ID (HID)</t>
  </si>
  <si>
    <t>(kg)</t>
  </si>
  <si>
    <t>Column E - Weight of bulk hand-picked cotton in six 4 m rows (kg)</t>
  </si>
  <si>
    <t>Column I - Weight of fiber after ginning (g)</t>
  </si>
  <si>
    <t>Column M - Trash fraction after ginning (TFRAC, g/g)</t>
  </si>
  <si>
    <t>Lint Yield</t>
  </si>
  <si>
    <t>SCYield</t>
  </si>
  <si>
    <t>Original</t>
  </si>
  <si>
    <t>Spreadsheet</t>
  </si>
  <si>
    <t>Column J - Weight of fuzzy seed after ginning (g)</t>
  </si>
  <si>
    <t>Sampled 4m length of row</t>
  </si>
  <si>
    <t>Please note color, mold, extra trash, hard locks, anything unusual.</t>
  </si>
  <si>
    <t xml:space="preserve">Standard Error:    </t>
  </si>
  <si>
    <t xml:space="preserve">Grand Mean:     </t>
  </si>
  <si>
    <t>Wt of Gleaned Sample</t>
  </si>
  <si>
    <t>n/a</t>
  </si>
  <si>
    <t>Date Gleaned</t>
  </si>
  <si>
    <t>approx. bales/acre</t>
  </si>
  <si>
    <t>lbs/acre</t>
  </si>
  <si>
    <t>kg/ha</t>
  </si>
  <si>
    <r>
      <t>g</t>
    </r>
    <r>
      <rPr>
        <b/>
        <sz val="10"/>
        <color indexed="8"/>
        <rFont val="Arial"/>
        <family val="2"/>
      </rPr>
      <t>/m row</t>
    </r>
  </si>
  <si>
    <t>Notes</t>
  </si>
  <si>
    <t>Total (kg)</t>
  </si>
  <si>
    <t>Bag # 3  (kg)</t>
  </si>
  <si>
    <t>Bag # 2  (kg)</t>
  </si>
  <si>
    <t>Bag # 1  (kg)</t>
  </si>
  <si>
    <t>Length (m)</t>
  </si>
  <si>
    <t>Row</t>
  </si>
  <si>
    <t>Lint</t>
  </si>
  <si>
    <t>Seed Cotton</t>
  </si>
  <si>
    <t>Seed Fraction</t>
  </si>
  <si>
    <t>Seed Weight:</t>
  </si>
  <si>
    <t>Time weighed:</t>
  </si>
  <si>
    <t>Lint Fraction:</t>
  </si>
  <si>
    <t>Lint Weight:</t>
  </si>
  <si>
    <t>smm</t>
  </si>
  <si>
    <t>Initials:</t>
  </si>
  <si>
    <t>Date weighed:</t>
  </si>
  <si>
    <t>Trash Fraction:</t>
  </si>
  <si>
    <t>Gross Weight (g)</t>
  </si>
  <si>
    <t>Date picked:</t>
  </si>
  <si>
    <t>Date Ginned:</t>
  </si>
  <si>
    <t>Plot:</t>
  </si>
  <si>
    <t>FISE 2007 - Seed Cotton</t>
  </si>
  <si>
    <t>This bag picked 1 Nov.   When counting the # of plants harvested, a plant at the end of row 3 was discovered only partially picked.</t>
  </si>
  <si>
    <t>Row 4 has 2 bags labeled "1/2" and 1 bag labeled "2/2" (I relabeled the bags "#/3")</t>
  </si>
  <si>
    <t>This bag picked 1 Nov.   When counting the # of plants harvested, a plant at the end of row 6 was discovered only partially picked.</t>
  </si>
  <si>
    <t>"Large skip"</t>
  </si>
  <si>
    <t>Gross Weight (k)</t>
  </si>
  <si>
    <t xml:space="preserve"> </t>
  </si>
  <si>
    <t>Row 8 bags labeled "Plot 36"</t>
  </si>
  <si>
    <t>(so plot 35 probably OK)</t>
  </si>
  <si>
    <t>bag 2/2 pretty trashy</t>
  </si>
  <si>
    <t>Quite a few unopened cotton "wedges" compared to other plots that have been processed previously</t>
  </si>
  <si>
    <t>NOTES</t>
  </si>
  <si>
    <t>Plot</t>
  </si>
  <si>
    <t>Seed        weight (g)</t>
  </si>
  <si>
    <t>Seed in bag</t>
  </si>
  <si>
    <t>Lint     weight (g)</t>
  </si>
  <si>
    <t>Lint in bag</t>
  </si>
  <si>
    <t>Seed cotton weight (g)</t>
  </si>
  <si>
    <t>Seed cotton in bags</t>
  </si>
  <si>
    <t>Weight of 1 paper bag:</t>
  </si>
  <si>
    <t>Weight plastic 13 gal. bag:</t>
  </si>
  <si>
    <t>Weight of 2 paper bags:</t>
  </si>
  <si>
    <t>Each plot sample was in 2 paper bags.  The lint was placed into one 13 gallon kitchen garbage bag.  The seed was placed into 1 paper bag.</t>
  </si>
  <si>
    <r>
      <t xml:space="preserve">The scale was </t>
    </r>
    <r>
      <rPr>
        <b/>
        <sz val="10"/>
        <rFont val="Arial"/>
        <family val="2"/>
      </rPr>
      <t xml:space="preserve">not </t>
    </r>
    <r>
      <rPr>
        <sz val="11"/>
        <color theme="1"/>
        <rFont val="Calibri"/>
        <family val="2"/>
        <scheme val="minor"/>
      </rPr>
      <t xml:space="preserve">tared before weighing.  Instead the scale was zeroed and all samples weighed in bags.  Weights were taken of empty sample bags and later subtracted from the total weights.  </t>
    </r>
  </si>
  <si>
    <t>All weights in grams.</t>
  </si>
  <si>
    <t>14 Nov 2007      -     SMM &amp; DP</t>
  </si>
  <si>
    <t>Date ginned:</t>
  </si>
  <si>
    <t>Ginned Subsamples</t>
  </si>
  <si>
    <t>FISE Cotton 2007</t>
  </si>
  <si>
    <t>degrees</t>
  </si>
  <si>
    <t>lbs/s</t>
  </si>
  <si>
    <t>bale/acre</t>
  </si>
  <si>
    <t>sec</t>
  </si>
  <si>
    <t>in.</t>
  </si>
  <si>
    <t>longitude</t>
  </si>
  <si>
    <t>latitude</t>
  </si>
  <si>
    <t>massflow</t>
  </si>
  <si>
    <t>yield_inst</t>
  </si>
  <si>
    <t>UTC</t>
  </si>
  <si>
    <t>headerwidth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</si>
</sst>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hhmm"/>
    <numFmt numFmtId="168" formatCode="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2"/>
      <color indexed="1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24"/>
      <name val="Comic Sans MS"/>
      <family val="4"/>
    </font>
    <font>
      <sz val="10"/>
      <color indexed="10"/>
      <name val="Arial"/>
      <family val="2"/>
    </font>
    <font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0" fontId="1" fillId="0" borderId="0" xfId="1"/>
    <xf numFmtId="166" fontId="2" fillId="3" borderId="0" xfId="1" applyNumberFormat="1" applyFont="1" applyFill="1"/>
    <xf numFmtId="2" fontId="2" fillId="0" borderId="0" xfId="1" applyNumberFormat="1" applyFont="1"/>
    <xf numFmtId="2" fontId="2" fillId="0" borderId="1" xfId="1" applyNumberFormat="1" applyFont="1" applyBorder="1"/>
    <xf numFmtId="0" fontId="1" fillId="0" borderId="2" xfId="1" applyBorder="1"/>
    <xf numFmtId="0" fontId="1" fillId="4" borderId="3" xfId="1" applyFill="1" applyBorder="1"/>
    <xf numFmtId="2" fontId="3" fillId="0" borderId="3" xfId="1" applyNumberFormat="1" applyFont="1" applyBorder="1" applyAlignment="1">
      <alignment horizontal="center"/>
    </xf>
    <xf numFmtId="2" fontId="3" fillId="0" borderId="0" xfId="1" applyNumberFormat="1" applyFont="1"/>
    <xf numFmtId="164" fontId="3" fillId="0" borderId="0" xfId="1" applyNumberFormat="1" applyFont="1"/>
    <xf numFmtId="2" fontId="3" fillId="0" borderId="1" xfId="1" applyNumberFormat="1" applyFont="1" applyBorder="1"/>
    <xf numFmtId="166" fontId="1" fillId="0" borderId="0" xfId="1" applyNumberFormat="1"/>
    <xf numFmtId="164" fontId="1" fillId="0" borderId="0" xfId="1" applyNumberFormat="1"/>
    <xf numFmtId="2" fontId="1" fillId="0" borderId="1" xfId="1" applyNumberFormat="1" applyBorder="1"/>
    <xf numFmtId="2" fontId="1" fillId="0" borderId="0" xfId="1" applyNumberFormat="1"/>
    <xf numFmtId="0" fontId="1" fillId="0" borderId="3" xfId="1" applyBorder="1"/>
    <xf numFmtId="2" fontId="1" fillId="0" borderId="3" xfId="1" applyNumberFormat="1" applyBorder="1"/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4" xfId="1" applyBorder="1"/>
    <xf numFmtId="0" fontId="3" fillId="0" borderId="5" xfId="1" applyFont="1" applyBorder="1" applyAlignment="1">
      <alignment horizontal="center" vertical="center"/>
    </xf>
    <xf numFmtId="2" fontId="1" fillId="3" borderId="3" xfId="1" applyNumberFormat="1" applyFill="1" applyBorder="1"/>
    <xf numFmtId="16" fontId="6" fillId="3" borderId="3" xfId="1" applyNumberFormat="1" applyFont="1" applyFill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1" fillId="3" borderId="3" xfId="1" applyFill="1" applyBorder="1"/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166" fontId="3" fillId="3" borderId="7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3" borderId="7" xfId="1" applyFont="1" applyFill="1" applyBorder="1" applyAlignment="1">
      <alignment horizontal="center" vertical="center"/>
    </xf>
    <xf numFmtId="167" fontId="1" fillId="3" borderId="8" xfId="1" applyNumberFormat="1" applyFill="1" applyBorder="1"/>
    <xf numFmtId="0" fontId="4" fillId="0" borderId="0" xfId="1" applyFont="1" applyAlignment="1">
      <alignment horizontal="right" vertical="center"/>
    </xf>
    <xf numFmtId="0" fontId="1" fillId="3" borderId="8" xfId="1" applyFill="1" applyBorder="1" applyAlignment="1">
      <alignment horizontal="center"/>
    </xf>
    <xf numFmtId="15" fontId="1" fillId="3" borderId="8" xfId="1" applyNumberFormat="1" applyFill="1" applyBorder="1"/>
    <xf numFmtId="0" fontId="1" fillId="0" borderId="0" xfId="1" applyAlignment="1">
      <alignment horizontal="center"/>
    </xf>
    <xf numFmtId="16" fontId="3" fillId="3" borderId="7" xfId="1" applyNumberFormat="1" applyFont="1" applyFill="1" applyBorder="1" applyAlignment="1">
      <alignment horizontal="center" vertical="center"/>
    </xf>
    <xf numFmtId="0" fontId="9" fillId="0" borderId="0" xfId="1" applyFont="1"/>
    <xf numFmtId="0" fontId="10" fillId="3" borderId="8" xfId="1" applyFont="1" applyFill="1" applyBorder="1" applyAlignment="1">
      <alignment horizontal="center"/>
    </xf>
    <xf numFmtId="0" fontId="11" fillId="0" borderId="0" xfId="1" applyFont="1" applyAlignment="1">
      <alignment horizontal="right" vertical="center"/>
    </xf>
    <xf numFmtId="0" fontId="12" fillId="0" borderId="0" xfId="1" applyFont="1" applyAlignment="1">
      <alignment vertical="center"/>
    </xf>
    <xf numFmtId="2" fontId="13" fillId="0" borderId="3" xfId="1" applyNumberFormat="1" applyFont="1" applyBorder="1"/>
    <xf numFmtId="0" fontId="13" fillId="0" borderId="0" xfId="1" applyFont="1"/>
    <xf numFmtId="168" fontId="10" fillId="3" borderId="8" xfId="1" applyNumberFormat="1" applyFont="1" applyFill="1" applyBorder="1" applyAlignment="1">
      <alignment horizontal="center"/>
    </xf>
    <xf numFmtId="20" fontId="1" fillId="0" borderId="0" xfId="1" applyNumberFormat="1"/>
    <xf numFmtId="0" fontId="1" fillId="0" borderId="12" xfId="1" applyBorder="1"/>
    <xf numFmtId="164" fontId="1" fillId="0" borderId="12" xfId="1" applyNumberFormat="1" applyBorder="1"/>
    <xf numFmtId="164" fontId="14" fillId="0" borderId="13" xfId="1" applyNumberFormat="1" applyFont="1" applyBorder="1"/>
    <xf numFmtId="164" fontId="1" fillId="0" borderId="13" xfId="1" applyNumberFormat="1" applyBorder="1"/>
    <xf numFmtId="164" fontId="15" fillId="0" borderId="13" xfId="1" applyNumberFormat="1" applyFont="1" applyBorder="1"/>
    <xf numFmtId="0" fontId="4" fillId="0" borderId="14" xfId="1" applyFont="1" applyBorder="1" applyAlignment="1">
      <alignment horizontal="center"/>
    </xf>
    <xf numFmtId="0" fontId="1" fillId="3" borderId="12" xfId="1" applyFill="1" applyBorder="1"/>
    <xf numFmtId="164" fontId="1" fillId="3" borderId="12" xfId="1" applyNumberFormat="1" applyFill="1" applyBorder="1"/>
    <xf numFmtId="164" fontId="14" fillId="3" borderId="13" xfId="1" applyNumberFormat="1" applyFont="1" applyFill="1" applyBorder="1"/>
    <xf numFmtId="164" fontId="1" fillId="3" borderId="13" xfId="1" applyNumberFormat="1" applyFill="1" applyBorder="1"/>
    <xf numFmtId="164" fontId="15" fillId="3" borderId="13" xfId="1" applyNumberFormat="1" applyFont="1" applyFill="1" applyBorder="1"/>
    <xf numFmtId="0" fontId="4" fillId="3" borderId="14" xfId="1" applyFont="1" applyFill="1" applyBorder="1" applyAlignment="1">
      <alignment horizontal="center"/>
    </xf>
    <xf numFmtId="168" fontId="4" fillId="0" borderId="14" xfId="1" applyNumberFormat="1" applyFont="1" applyBorder="1" applyAlignment="1">
      <alignment horizontal="center"/>
    </xf>
    <xf numFmtId="0" fontId="1" fillId="1" borderId="12" xfId="1" applyFill="1" applyBorder="1"/>
    <xf numFmtId="164" fontId="1" fillId="1" borderId="12" xfId="1" applyNumberFormat="1" applyFill="1" applyBorder="1"/>
    <xf numFmtId="164" fontId="14" fillId="1" borderId="13" xfId="1" applyNumberFormat="1" applyFont="1" applyFill="1" applyBorder="1"/>
    <xf numFmtId="164" fontId="1" fillId="1" borderId="13" xfId="1" applyNumberFormat="1" applyFill="1" applyBorder="1"/>
    <xf numFmtId="164" fontId="15" fillId="1" borderId="13" xfId="1" applyNumberFormat="1" applyFont="1" applyFill="1" applyBorder="1"/>
    <xf numFmtId="0" fontId="1" fillId="1" borderId="13" xfId="1" applyFill="1" applyBorder="1"/>
    <xf numFmtId="0" fontId="4" fillId="0" borderId="15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0" borderId="18" xfId="1" applyFont="1" applyBorder="1"/>
    <xf numFmtId="0" fontId="4" fillId="0" borderId="20" xfId="1" applyFont="1" applyBorder="1" applyAlignment="1">
      <alignment horizontal="center"/>
    </xf>
    <xf numFmtId="0" fontId="17" fillId="0" borderId="0" xfId="1" applyFont="1"/>
    <xf numFmtId="0" fontId="1" fillId="0" borderId="0" xfId="1" applyAlignment="1">
      <alignment horizontal="left" wrapText="1"/>
    </xf>
    <xf numFmtId="0" fontId="1" fillId="0" borderId="0" xfId="1" applyAlignment="1">
      <alignment horizontal="right" wrapText="1"/>
    </xf>
    <xf numFmtId="0" fontId="17" fillId="0" borderId="0" xfId="1" applyFont="1" applyAlignment="1">
      <alignment horizontal="centerContinuous" wrapText="1"/>
    </xf>
    <xf numFmtId="0" fontId="1" fillId="0" borderId="0" xfId="1" applyAlignment="1">
      <alignment horizontal="centerContinuous" wrapText="1"/>
    </xf>
    <xf numFmtId="0" fontId="4" fillId="0" borderId="0" xfId="1" applyFont="1" applyAlignment="1">
      <alignment horizontal="left"/>
    </xf>
    <xf numFmtId="0" fontId="18" fillId="0" borderId="0" xfId="1" applyFont="1" applyAlignment="1">
      <alignment horizontal="left"/>
    </xf>
    <xf numFmtId="0" fontId="19" fillId="0" borderId="0" xfId="1" applyFont="1" applyAlignment="1">
      <alignment horizontal="right"/>
    </xf>
    <xf numFmtId="0" fontId="19" fillId="0" borderId="0" xfId="1" applyFont="1" applyAlignment="1">
      <alignment horizontal="centerContinuous"/>
    </xf>
    <xf numFmtId="0" fontId="11" fillId="0" borderId="0" xfId="1" applyFont="1" applyAlignment="1">
      <alignment horizontal="centerContinuous"/>
    </xf>
    <xf numFmtId="0" fontId="4" fillId="0" borderId="5" xfId="1" applyFont="1" applyBorder="1" applyAlignment="1">
      <alignment horizontal="right" vertical="center"/>
    </xf>
    <xf numFmtId="0" fontId="4" fillId="0" borderId="4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3" fillId="3" borderId="11" xfId="1" applyFont="1" applyFill="1" applyBorder="1" applyAlignment="1">
      <alignment vertical="top" wrapText="1"/>
    </xf>
    <xf numFmtId="0" fontId="1" fillId="0" borderId="10" xfId="1" applyBorder="1" applyAlignment="1">
      <alignment vertical="top" wrapText="1"/>
    </xf>
    <xf numFmtId="0" fontId="1" fillId="0" borderId="10" xfId="1" applyBorder="1" applyAlignment="1">
      <alignment wrapText="1"/>
    </xf>
    <xf numFmtId="0" fontId="1" fillId="0" borderId="9" xfId="1" applyBorder="1" applyAlignment="1">
      <alignment wrapText="1"/>
    </xf>
    <xf numFmtId="0" fontId="1" fillId="3" borderId="11" xfId="1" applyFill="1" applyBorder="1" applyAlignment="1">
      <alignment horizontal="center" wrapText="1"/>
    </xf>
    <xf numFmtId="0" fontId="1" fillId="3" borderId="10" xfId="1" applyFill="1" applyBorder="1" applyAlignment="1">
      <alignment horizontal="center" wrapText="1"/>
    </xf>
    <xf numFmtId="0" fontId="1" fillId="3" borderId="9" xfId="1" applyFill="1" applyBorder="1" applyAlignment="1">
      <alignment horizontal="center" wrapText="1"/>
    </xf>
    <xf numFmtId="0" fontId="1" fillId="3" borderId="11" xfId="1" applyFill="1" applyBorder="1" applyAlignment="1">
      <alignment vertical="top" wrapText="1"/>
    </xf>
    <xf numFmtId="0" fontId="1" fillId="3" borderId="10" xfId="1" applyFill="1" applyBorder="1" applyAlignment="1">
      <alignment vertical="top" wrapText="1"/>
    </xf>
    <xf numFmtId="0" fontId="1" fillId="3" borderId="9" xfId="1" applyFill="1" applyBorder="1" applyAlignment="1">
      <alignment vertical="top" wrapText="1"/>
    </xf>
    <xf numFmtId="0" fontId="3" fillId="0" borderId="19" xfId="1" applyFont="1" applyBorder="1" applyAlignment="1">
      <alignment horizontal="center" wrapText="1"/>
    </xf>
    <xf numFmtId="0" fontId="3" fillId="0" borderId="16" xfId="1" applyFont="1" applyBorder="1" applyAlignment="1">
      <alignment horizontal="center" wrapText="1"/>
    </xf>
    <xf numFmtId="0" fontId="16" fillId="0" borderId="16" xfId="1" applyFont="1" applyBorder="1" applyAlignment="1">
      <alignment horizontal="center" wrapText="1"/>
    </xf>
    <xf numFmtId="0" fontId="16" fillId="0" borderId="13" xfId="1" applyFont="1" applyBorder="1" applyAlignment="1">
      <alignment horizontal="center" wrapText="1"/>
    </xf>
    <xf numFmtId="0" fontId="14" fillId="0" borderId="0" xfId="1" applyFont="1" applyAlignment="1">
      <alignment horizontal="left" wrapText="1"/>
    </xf>
  </cellXfs>
  <cellStyles count="2">
    <cellStyle name="Normal" xfId="0" builtinId="0"/>
    <cellStyle name="Normal 2" xfId="1" xr:uid="{5F2E7825-DF61-437A-96B0-FD48AC79F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C-41B0-8C41-01AA45C8272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Compare!$B$7:$B$44</c:f>
              <c:numCache>
                <c:formatCode>General</c:formatCode>
                <c:ptCount val="38"/>
                <c:pt idx="0">
                  <c:v>1555</c:v>
                </c:pt>
                <c:pt idx="1">
                  <c:v>1514.9</c:v>
                </c:pt>
                <c:pt idx="2">
                  <c:v>1274.0999999999999</c:v>
                </c:pt>
                <c:pt idx="3">
                  <c:v>1517.2</c:v>
                </c:pt>
                <c:pt idx="4">
                  <c:v>1409.3</c:v>
                </c:pt>
                <c:pt idx="5">
                  <c:v>1033.4000000000001</c:v>
                </c:pt>
                <c:pt idx="6">
                  <c:v>2030.2</c:v>
                </c:pt>
                <c:pt idx="7">
                  <c:v>1957.4</c:v>
                </c:pt>
                <c:pt idx="8">
                  <c:v>2109</c:v>
                </c:pt>
                <c:pt idx="9">
                  <c:v>1758.8</c:v>
                </c:pt>
                <c:pt idx="10">
                  <c:v>2087.6</c:v>
                </c:pt>
                <c:pt idx="11">
                  <c:v>2079.1999999999998</c:v>
                </c:pt>
                <c:pt idx="12">
                  <c:v>1989.3</c:v>
                </c:pt>
                <c:pt idx="13">
                  <c:v>2251.4</c:v>
                </c:pt>
                <c:pt idx="14">
                  <c:v>1459.2</c:v>
                </c:pt>
                <c:pt idx="15">
                  <c:v>1700.1</c:v>
                </c:pt>
                <c:pt idx="16">
                  <c:v>2007.4</c:v>
                </c:pt>
                <c:pt idx="17">
                  <c:v>1947.3</c:v>
                </c:pt>
                <c:pt idx="18">
                  <c:v>2015.6</c:v>
                </c:pt>
                <c:pt idx="19">
                  <c:v>2040.5</c:v>
                </c:pt>
                <c:pt idx="20">
                  <c:v>1719.1</c:v>
                </c:pt>
                <c:pt idx="21">
                  <c:v>1642.4</c:v>
                </c:pt>
                <c:pt idx="22">
                  <c:v>1972.7</c:v>
                </c:pt>
                <c:pt idx="23">
                  <c:v>1864.8</c:v>
                </c:pt>
                <c:pt idx="24">
                  <c:v>1640.5</c:v>
                </c:pt>
                <c:pt idx="25">
                  <c:v>1876.3</c:v>
                </c:pt>
                <c:pt idx="26">
                  <c:v>1624.9</c:v>
                </c:pt>
                <c:pt idx="27">
                  <c:v>1851.5</c:v>
                </c:pt>
                <c:pt idx="28">
                  <c:v>1679</c:v>
                </c:pt>
                <c:pt idx="29">
                  <c:v>1642.3</c:v>
                </c:pt>
                <c:pt idx="30">
                  <c:v>882.3</c:v>
                </c:pt>
                <c:pt idx="31">
                  <c:v>1142.7</c:v>
                </c:pt>
                <c:pt idx="32">
                  <c:v>1686.6</c:v>
                </c:pt>
                <c:pt idx="33">
                  <c:v>1613.7</c:v>
                </c:pt>
                <c:pt idx="34">
                  <c:v>1630</c:v>
                </c:pt>
                <c:pt idx="35">
                  <c:v>1876.5</c:v>
                </c:pt>
                <c:pt idx="36">
                  <c:v>1196.2</c:v>
                </c:pt>
                <c:pt idx="37">
                  <c:v>1699.4</c:v>
                </c:pt>
              </c:numCache>
            </c:numRef>
          </c:xVal>
          <c:yVal>
            <c:numRef>
              <c:f>'Raw Scale'!$N$28:$N$65</c:f>
              <c:numCache>
                <c:formatCode>0.0</c:formatCode>
                <c:ptCount val="38"/>
                <c:pt idx="0">
                  <c:v>1554.9622900652791</c:v>
                </c:pt>
                <c:pt idx="1">
                  <c:v>1514.9278608477148</c:v>
                </c:pt>
                <c:pt idx="2">
                  <c:v>1274.089464425366</c:v>
                </c:pt>
                <c:pt idx="3">
                  <c:v>1517.2015875197085</c:v>
                </c:pt>
                <c:pt idx="4">
                  <c:v>1409.2993701818161</c:v>
                </c:pt>
                <c:pt idx="5">
                  <c:v>1033.3542957383538</c:v>
                </c:pt>
                <c:pt idx="6">
                  <c:v>2030.1673155580706</c:v>
                </c:pt>
                <c:pt idx="7">
                  <c:v>1957.4084613233842</c:v>
                </c:pt>
                <c:pt idx="8">
                  <c:v>2109.0229885932599</c:v>
                </c:pt>
                <c:pt idx="9">
                  <c:v>1758.770733808479</c:v>
                </c:pt>
                <c:pt idx="10">
                  <c:v>2087.6427424203325</c:v>
                </c:pt>
                <c:pt idx="11">
                  <c:v>2079.1623992017549</c:v>
                </c:pt>
                <c:pt idx="12">
                  <c:v>1989.2658827947853</c:v>
                </c:pt>
                <c:pt idx="13">
                  <c:v>2251.3925908062811</c:v>
                </c:pt>
                <c:pt idx="14">
                  <c:v>1459.2385640450689</c:v>
                </c:pt>
                <c:pt idx="15">
                  <c:v>1700.088200675953</c:v>
                </c:pt>
                <c:pt idx="16">
                  <c:v>2007.39502787891</c:v>
                </c:pt>
                <c:pt idx="17">
                  <c:v>1947.2902429244286</c:v>
                </c:pt>
                <c:pt idx="18">
                  <c:v>2015.5923288267356</c:v>
                </c:pt>
                <c:pt idx="19">
                  <c:v>2040.5443916665508</c:v>
                </c:pt>
                <c:pt idx="20">
                  <c:v>1719.0538257649687</c:v>
                </c:pt>
                <c:pt idx="21">
                  <c:v>1642.4002512317982</c:v>
                </c:pt>
                <c:pt idx="22">
                  <c:v>1972.6603994842094</c:v>
                </c:pt>
                <c:pt idx="23">
                  <c:v>1864.837750085725</c:v>
                </c:pt>
                <c:pt idx="24">
                  <c:v>1640.5169489570812</c:v>
                </c:pt>
                <c:pt idx="25">
                  <c:v>1876.3287401574801</c:v>
                </c:pt>
                <c:pt idx="26">
                  <c:v>1624.873272611798</c:v>
                </c:pt>
                <c:pt idx="27">
                  <c:v>1851.5404819096618</c:v>
                </c:pt>
                <c:pt idx="28">
                  <c:v>1679.0399765568241</c:v>
                </c:pt>
                <c:pt idx="29">
                  <c:v>1642.276165056333</c:v>
                </c:pt>
                <c:pt idx="30">
                  <c:v>882.28866834841654</c:v>
                </c:pt>
                <c:pt idx="31">
                  <c:v>1142.7296143673736</c:v>
                </c:pt>
                <c:pt idx="32">
                  <c:v>1686.6158030844122</c:v>
                </c:pt>
                <c:pt idx="33">
                  <c:v>1613.72535437797</c:v>
                </c:pt>
                <c:pt idx="34">
                  <c:v>1630.0041585285785</c:v>
                </c:pt>
                <c:pt idx="35">
                  <c:v>1876.5245996631459</c:v>
                </c:pt>
                <c:pt idx="36">
                  <c:v>1196.2380636470639</c:v>
                </c:pt>
                <c:pt idx="37">
                  <c:v>1699.4091290221152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9C-41B0-8C41-01AA45C8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4264"/>
        <c:axId val="777372464"/>
      </c:scatterChart>
      <c:valAx>
        <c:axId val="77737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2464"/>
        <c:crosses val="autoZero"/>
        <c:crossBetween val="midCat"/>
      </c:valAx>
      <c:valAx>
        <c:axId val="7773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4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WSCWAH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Compare!$N$27:$N$28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xVal>
          <c:yVal>
            <c:numRef>
              <c:f>Compare!$N$27:$N$28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0-4CBA-8C58-ACF6CD3BE4B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Compare!$C$7:$C$44</c:f>
              <c:numCache>
                <c:formatCode>General</c:formatCode>
                <c:ptCount val="38"/>
                <c:pt idx="0">
                  <c:v>4211.78</c:v>
                </c:pt>
                <c:pt idx="1">
                  <c:v>4199.4799999999996</c:v>
                </c:pt>
                <c:pt idx="2">
                  <c:v>3715.55</c:v>
                </c:pt>
                <c:pt idx="3">
                  <c:v>4096.95</c:v>
                </c:pt>
                <c:pt idx="4">
                  <c:v>3748.36</c:v>
                </c:pt>
                <c:pt idx="5">
                  <c:v>2944.55</c:v>
                </c:pt>
                <c:pt idx="6">
                  <c:v>5688.16</c:v>
                </c:pt>
                <c:pt idx="7">
                  <c:v>5487.2</c:v>
                </c:pt>
                <c:pt idx="8">
                  <c:v>5782.48</c:v>
                </c:pt>
                <c:pt idx="9">
                  <c:v>4802.33</c:v>
                </c:pt>
                <c:pt idx="10">
                  <c:v>5643.04</c:v>
                </c:pt>
                <c:pt idx="11">
                  <c:v>5556.92</c:v>
                </c:pt>
                <c:pt idx="12">
                  <c:v>5487.2</c:v>
                </c:pt>
                <c:pt idx="13">
                  <c:v>6036.75</c:v>
                </c:pt>
                <c:pt idx="14">
                  <c:v>4092.85</c:v>
                </c:pt>
                <c:pt idx="15">
                  <c:v>4642.3900000000003</c:v>
                </c:pt>
                <c:pt idx="16">
                  <c:v>5446.19</c:v>
                </c:pt>
                <c:pt idx="17">
                  <c:v>5425.69</c:v>
                </c:pt>
                <c:pt idx="18">
                  <c:v>5602.03</c:v>
                </c:pt>
                <c:pt idx="19">
                  <c:v>5548.72</c:v>
                </c:pt>
                <c:pt idx="20">
                  <c:v>4859.74</c:v>
                </c:pt>
                <c:pt idx="21">
                  <c:v>4572.67</c:v>
                </c:pt>
                <c:pt idx="22">
                  <c:v>5433.89</c:v>
                </c:pt>
                <c:pt idx="23">
                  <c:v>5196.03</c:v>
                </c:pt>
                <c:pt idx="24">
                  <c:v>4556.2700000000004</c:v>
                </c:pt>
                <c:pt idx="25">
                  <c:v>5241.1400000000003</c:v>
                </c:pt>
                <c:pt idx="26">
                  <c:v>4519.3599999999997</c:v>
                </c:pt>
                <c:pt idx="27">
                  <c:v>5191.93</c:v>
                </c:pt>
                <c:pt idx="28">
                  <c:v>4634.1899999999996</c:v>
                </c:pt>
                <c:pt idx="29">
                  <c:v>4453.74</c:v>
                </c:pt>
                <c:pt idx="30">
                  <c:v>2661.58</c:v>
                </c:pt>
                <c:pt idx="31">
                  <c:v>3457.19</c:v>
                </c:pt>
                <c:pt idx="32">
                  <c:v>4781.82</c:v>
                </c:pt>
                <c:pt idx="33">
                  <c:v>4576.7700000000004</c:v>
                </c:pt>
                <c:pt idx="34">
                  <c:v>4568.57</c:v>
                </c:pt>
                <c:pt idx="35">
                  <c:v>5269.85</c:v>
                </c:pt>
                <c:pt idx="36">
                  <c:v>3461.29</c:v>
                </c:pt>
                <c:pt idx="37">
                  <c:v>4728.51</c:v>
                </c:pt>
              </c:numCache>
            </c:numRef>
          </c:xVal>
          <c:yVal>
            <c:numRef>
              <c:f>'Raw Scale'!$P$28:$P$65</c:f>
              <c:numCache>
                <c:formatCode>0.0</c:formatCode>
                <c:ptCount val="38"/>
                <c:pt idx="0">
                  <c:v>4002.2820959239343</c:v>
                </c:pt>
                <c:pt idx="1">
                  <c:v>4037.7941681871448</c:v>
                </c:pt>
                <c:pt idx="2">
                  <c:v>3572.1753845941366</c:v>
                </c:pt>
                <c:pt idx="3">
                  <c:v>3911.1366719795469</c:v>
                </c:pt>
                <c:pt idx="4">
                  <c:v>3607.8912175823934</c:v>
                </c:pt>
                <c:pt idx="5">
                  <c:v>2795.7905520672275</c:v>
                </c:pt>
                <c:pt idx="6">
                  <c:v>5459.7138228153472</c:v>
                </c:pt>
                <c:pt idx="7">
                  <c:v>5250.909723317578</c:v>
                </c:pt>
                <c:pt idx="8">
                  <c:v>5568.7344613977011</c:v>
                </c:pt>
                <c:pt idx="9">
                  <c:v>4572.7011659645241</c:v>
                </c:pt>
                <c:pt idx="10">
                  <c:v>5521.5467799488479</c:v>
                </c:pt>
                <c:pt idx="11">
                  <c:v>5393.0829401312876</c:v>
                </c:pt>
                <c:pt idx="12">
                  <c:v>5307.0085084606144</c:v>
                </c:pt>
                <c:pt idx="13">
                  <c:v>5853.2880413921794</c:v>
                </c:pt>
                <c:pt idx="14">
                  <c:v>3924.4498307202562</c:v>
                </c:pt>
                <c:pt idx="15">
                  <c:v>4447.7415337492967</c:v>
                </c:pt>
                <c:pt idx="16">
                  <c:v>5231.0219785059298</c:v>
                </c:pt>
                <c:pt idx="17">
                  <c:v>5167.3022763690251</c:v>
                </c:pt>
                <c:pt idx="18">
                  <c:v>5393.7114245960884</c:v>
                </c:pt>
                <c:pt idx="19">
                  <c:v>5382.5664120589418</c:v>
                </c:pt>
                <c:pt idx="20">
                  <c:v>4596.0775244012311</c:v>
                </c:pt>
                <c:pt idx="21">
                  <c:v>4341.6223170510439</c:v>
                </c:pt>
                <c:pt idx="22">
                  <c:v>5182.2573594393871</c:v>
                </c:pt>
                <c:pt idx="23">
                  <c:v>4974.625701815311</c:v>
                </c:pt>
                <c:pt idx="24">
                  <c:v>4382.7077892361631</c:v>
                </c:pt>
                <c:pt idx="25">
                  <c:v>5029.5548993875764</c:v>
                </c:pt>
                <c:pt idx="26">
                  <c:v>4387.1578360518552</c:v>
                </c:pt>
                <c:pt idx="27">
                  <c:v>5001.5345210779005</c:v>
                </c:pt>
                <c:pt idx="28">
                  <c:v>4375.9937182282683</c:v>
                </c:pt>
                <c:pt idx="29">
                  <c:v>4266.8710744535756</c:v>
                </c:pt>
                <c:pt idx="30">
                  <c:v>2460.1549884291931</c:v>
                </c:pt>
                <c:pt idx="31">
                  <c:v>3205.6517705395963</c:v>
                </c:pt>
                <c:pt idx="32">
                  <c:v>4600.3611791223893</c:v>
                </c:pt>
                <c:pt idx="33">
                  <c:v>4413.8367284124752</c:v>
                </c:pt>
                <c:pt idx="34">
                  <c:v>4339.3875506842114</c:v>
                </c:pt>
                <c:pt idx="35">
                  <c:v>5064.4736873045422</c:v>
                </c:pt>
                <c:pt idx="36">
                  <c:v>3272.7573843157124</c:v>
                </c:pt>
                <c:pt idx="37">
                  <c:v>4523.3324936088784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0-4CBA-8C58-ACF6CD3B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4264"/>
        <c:axId val="777372464"/>
      </c:scatterChart>
      <c:valAx>
        <c:axId val="77737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2464"/>
        <c:crosses val="autoZero"/>
        <c:crossBetween val="midCat"/>
      </c:valAx>
      <c:valAx>
        <c:axId val="7773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4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7</xdr:row>
      <xdr:rowOff>21906</xdr:rowOff>
    </xdr:from>
    <xdr:to>
      <xdr:col>12</xdr:col>
      <xdr:colOff>114300</xdr:colOff>
      <xdr:row>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4E088-4A30-CCB7-E823-EC8A64B9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26</xdr:row>
      <xdr:rowOff>66675</xdr:rowOff>
    </xdr:from>
    <xdr:to>
      <xdr:col>12</xdr:col>
      <xdr:colOff>133350</xdr:colOff>
      <xdr:row>44</xdr:row>
      <xdr:rowOff>159068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C954C6-D56F-4CD1-9CF6-581147AE9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Q65"/>
  <sheetViews>
    <sheetView tabSelected="1" workbookViewId="0"/>
  </sheetViews>
  <sheetFormatPr defaultRowHeight="15" x14ac:dyDescent="0.25"/>
  <cols>
    <col min="1" max="2" width="8.85546875" customWidth="1"/>
    <col min="3" max="7" width="10.5703125" bestFit="1" customWidth="1"/>
  </cols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30</v>
      </c>
    </row>
    <row r="4" spans="1:1" x14ac:dyDescent="0.25">
      <c r="A4" t="s">
        <v>35</v>
      </c>
    </row>
    <row r="5" spans="1:1" x14ac:dyDescent="0.25">
      <c r="A5" t="s">
        <v>80</v>
      </c>
    </row>
    <row r="6" spans="1:1" x14ac:dyDescent="0.25">
      <c r="A6" t="s">
        <v>32</v>
      </c>
    </row>
    <row r="7" spans="1:1" x14ac:dyDescent="0.25">
      <c r="A7" t="s">
        <v>36</v>
      </c>
    </row>
    <row r="8" spans="1:1" x14ac:dyDescent="0.25">
      <c r="A8" t="s">
        <v>22</v>
      </c>
    </row>
    <row r="9" spans="1:1" x14ac:dyDescent="0.25">
      <c r="A9" t="s">
        <v>81</v>
      </c>
    </row>
    <row r="10" spans="1:1" x14ac:dyDescent="0.25">
      <c r="A10" t="s">
        <v>87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82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8" spans="1:17" x14ac:dyDescent="0.25">
      <c r="A18" t="s">
        <v>5</v>
      </c>
    </row>
    <row r="19" spans="1:17" x14ac:dyDescent="0.25">
      <c r="A19">
        <f>6*1.016*4</f>
        <v>24.384</v>
      </c>
      <c r="B19" t="s">
        <v>31</v>
      </c>
    </row>
    <row r="20" spans="1:17" x14ac:dyDescent="0.25">
      <c r="A20">
        <v>10000</v>
      </c>
      <c r="B20" t="s">
        <v>6</v>
      </c>
    </row>
    <row r="22" spans="1:17" x14ac:dyDescent="0.25">
      <c r="B22" s="1"/>
      <c r="C22" s="1" t="s">
        <v>0</v>
      </c>
      <c r="D22" s="1" t="s">
        <v>0</v>
      </c>
      <c r="E22" t="s">
        <v>0</v>
      </c>
      <c r="F22" s="1" t="s">
        <v>0</v>
      </c>
      <c r="G22" s="1" t="s">
        <v>7</v>
      </c>
      <c r="H22" t="s">
        <v>7</v>
      </c>
      <c r="I22" t="s">
        <v>7</v>
      </c>
      <c r="J22" t="s">
        <v>7</v>
      </c>
      <c r="K22" s="1" t="s">
        <v>7</v>
      </c>
      <c r="L22" s="1" t="s">
        <v>7</v>
      </c>
      <c r="M22" s="1" t="s">
        <v>7</v>
      </c>
      <c r="N22" s="1" t="s">
        <v>17</v>
      </c>
      <c r="O22" s="1" t="s">
        <v>17</v>
      </c>
      <c r="P22" s="1" t="s">
        <v>17</v>
      </c>
    </row>
    <row r="23" spans="1:17" x14ac:dyDescent="0.25">
      <c r="B23" s="1"/>
      <c r="C23" s="1"/>
      <c r="D23" s="1"/>
      <c r="F23" s="1"/>
      <c r="G23" s="1"/>
      <c r="K23" s="1"/>
      <c r="L23" s="1"/>
      <c r="M23" s="1"/>
      <c r="N23" s="1"/>
      <c r="O23" s="1"/>
      <c r="P23" s="1"/>
    </row>
    <row r="24" spans="1:17" x14ac:dyDescent="0.25">
      <c r="B24" s="1"/>
      <c r="C24" s="1"/>
      <c r="D24" s="1"/>
      <c r="E24" t="s">
        <v>1</v>
      </c>
      <c r="F24" s="1"/>
      <c r="G24" s="1" t="s">
        <v>33</v>
      </c>
      <c r="H24" t="s">
        <v>8</v>
      </c>
      <c r="I24" t="s">
        <v>11</v>
      </c>
      <c r="J24" t="s">
        <v>12</v>
      </c>
      <c r="K24" s="1"/>
      <c r="L24" s="1"/>
      <c r="M24" s="1"/>
      <c r="N24" s="1"/>
      <c r="O24" s="1"/>
      <c r="P24" s="1"/>
    </row>
    <row r="25" spans="1:17" x14ac:dyDescent="0.25">
      <c r="A25" t="s">
        <v>76</v>
      </c>
      <c r="B25" s="1" t="s">
        <v>37</v>
      </c>
      <c r="C25" s="1" t="s">
        <v>28</v>
      </c>
      <c r="D25" s="1" t="s">
        <v>2</v>
      </c>
      <c r="F25" s="1" t="s">
        <v>3</v>
      </c>
      <c r="G25" s="1" t="s">
        <v>34</v>
      </c>
      <c r="H25" t="s">
        <v>9</v>
      </c>
      <c r="I25" t="s">
        <v>9</v>
      </c>
      <c r="J25" t="s">
        <v>9</v>
      </c>
      <c r="K25" s="1" t="s">
        <v>13</v>
      </c>
      <c r="L25" s="1" t="s">
        <v>14</v>
      </c>
      <c r="M25" s="1" t="s">
        <v>15</v>
      </c>
      <c r="N25" s="1" t="s">
        <v>18</v>
      </c>
      <c r="O25" s="1" t="s">
        <v>19</v>
      </c>
      <c r="P25" s="1" t="s">
        <v>20</v>
      </c>
    </row>
    <row r="26" spans="1:17" x14ac:dyDescent="0.25">
      <c r="B26" s="1"/>
      <c r="C26" s="1"/>
      <c r="D26" s="1"/>
      <c r="E26" t="s">
        <v>79</v>
      </c>
      <c r="F26" s="1" t="s">
        <v>4</v>
      </c>
      <c r="G26" s="1"/>
      <c r="H26" t="s">
        <v>10</v>
      </c>
      <c r="I26" t="s">
        <v>10</v>
      </c>
      <c r="J26" t="s">
        <v>10</v>
      </c>
      <c r="K26" s="5" t="s">
        <v>16</v>
      </c>
      <c r="L26" s="5" t="s">
        <v>16</v>
      </c>
      <c r="M26" s="5" t="s">
        <v>16</v>
      </c>
      <c r="N26" s="5" t="s">
        <v>4</v>
      </c>
      <c r="O26" s="5" t="s">
        <v>4</v>
      </c>
      <c r="P26" s="5" t="s">
        <v>4</v>
      </c>
    </row>
    <row r="27" spans="1:17" x14ac:dyDescent="0.25">
      <c r="A27" t="s">
        <v>76</v>
      </c>
      <c r="B27" s="1" t="s">
        <v>37</v>
      </c>
      <c r="C27" s="1" t="s">
        <v>28</v>
      </c>
      <c r="D27" s="1" t="s">
        <v>2</v>
      </c>
      <c r="F27" s="1" t="s">
        <v>3</v>
      </c>
      <c r="G27" s="1" t="s">
        <v>34</v>
      </c>
      <c r="K27" s="1" t="s">
        <v>13</v>
      </c>
      <c r="L27" s="1" t="s">
        <v>14</v>
      </c>
      <c r="M27" s="1" t="s">
        <v>15</v>
      </c>
      <c r="N27" s="1" t="s">
        <v>18</v>
      </c>
      <c r="O27" s="1" t="s">
        <v>19</v>
      </c>
      <c r="P27" s="1" t="s">
        <v>20</v>
      </c>
    </row>
    <row r="28" spans="1:17" x14ac:dyDescent="0.25">
      <c r="A28">
        <v>1</v>
      </c>
      <c r="B28" s="1" t="s">
        <v>38</v>
      </c>
      <c r="C28" s="1" t="s">
        <v>29</v>
      </c>
      <c r="D28" s="2">
        <v>39384</v>
      </c>
      <c r="E28" s="7">
        <v>10.27</v>
      </c>
      <c r="F28" s="4">
        <f>E28/$A$19*$A$20</f>
        <v>4211.7782152230966</v>
      </c>
      <c r="G28" s="2">
        <v>39400</v>
      </c>
      <c r="H28" s="3">
        <v>3160.4</v>
      </c>
      <c r="I28" s="3">
        <v>1166.8</v>
      </c>
      <c r="J28" s="3">
        <v>1836.4</v>
      </c>
      <c r="K28" s="6">
        <f>I28/H28</f>
        <v>0.36919377294013411</v>
      </c>
      <c r="L28" s="6">
        <f>J28/H28</f>
        <v>0.58106568788760915</v>
      </c>
      <c r="M28" s="6">
        <f>1-K28-L28</f>
        <v>4.9740539172256737E-2</v>
      </c>
      <c r="N28" s="4">
        <f>F28*K28</f>
        <v>1554.9622900652791</v>
      </c>
      <c r="O28" s="4">
        <f>F28*L28</f>
        <v>2447.3198058586554</v>
      </c>
      <c r="P28" s="4">
        <f>N28+O28</f>
        <v>4002.2820959239343</v>
      </c>
      <c r="Q28" s="3"/>
    </row>
    <row r="29" spans="1:17" x14ac:dyDescent="0.25">
      <c r="A29">
        <v>2</v>
      </c>
      <c r="B29" s="1" t="s">
        <v>39</v>
      </c>
      <c r="C29" s="1" t="s">
        <v>29</v>
      </c>
      <c r="D29" s="2">
        <v>39384</v>
      </c>
      <c r="E29" s="7">
        <v>10.24</v>
      </c>
      <c r="F29" s="4">
        <f t="shared" ref="F29:F65" si="0">E29/$A$19*$A$20</f>
        <v>4199.475065616798</v>
      </c>
      <c r="G29" s="2">
        <v>39400</v>
      </c>
      <c r="H29" s="3">
        <v>4171.3999999999996</v>
      </c>
      <c r="I29" s="3">
        <v>1504.8</v>
      </c>
      <c r="J29" s="3">
        <v>2506</v>
      </c>
      <c r="K29" s="6">
        <f t="shared" ref="K29:K65" si="1">I29/H29</f>
        <v>0.3607421968643621</v>
      </c>
      <c r="L29" s="6">
        <f t="shared" ref="L29:L65" si="2">J29/H29</f>
        <v>0.60075753943520172</v>
      </c>
      <c r="M29" s="6">
        <f t="shared" ref="M29:M65" si="3">1-K29-L29</f>
        <v>3.8500263700436244E-2</v>
      </c>
      <c r="N29" s="4">
        <f t="shared" ref="N29:N65" si="4">F29*K29</f>
        <v>1514.9278608477148</v>
      </c>
      <c r="O29" s="4">
        <f t="shared" ref="O29:O65" si="5">F29*L29</f>
        <v>2522.86630733943</v>
      </c>
      <c r="P29" s="4">
        <f t="shared" ref="P29:P65" si="6">N29+O29</f>
        <v>4037.7941681871448</v>
      </c>
      <c r="Q29" s="3"/>
    </row>
    <row r="30" spans="1:17" x14ac:dyDescent="0.25">
      <c r="A30">
        <v>3</v>
      </c>
      <c r="B30" s="1" t="s">
        <v>40</v>
      </c>
      <c r="C30" s="1" t="s">
        <v>29</v>
      </c>
      <c r="D30" s="2">
        <v>39384</v>
      </c>
      <c r="E30" s="7">
        <v>9.06</v>
      </c>
      <c r="F30" s="4">
        <f t="shared" si="0"/>
        <v>3715.5511811023621</v>
      </c>
      <c r="G30" s="2">
        <v>39400</v>
      </c>
      <c r="H30" s="3">
        <v>1824.4</v>
      </c>
      <c r="I30" s="3">
        <v>625.6</v>
      </c>
      <c r="J30" s="3">
        <v>1128.4000000000001</v>
      </c>
      <c r="K30" s="6">
        <f t="shared" si="1"/>
        <v>0.3429072571804429</v>
      </c>
      <c r="L30" s="6">
        <f t="shared" si="2"/>
        <v>0.61850471387853545</v>
      </c>
      <c r="M30" s="6">
        <f t="shared" si="3"/>
        <v>3.8588028941021646E-2</v>
      </c>
      <c r="N30" s="4">
        <f t="shared" si="4"/>
        <v>1274.089464425366</v>
      </c>
      <c r="O30" s="4">
        <f t="shared" si="5"/>
        <v>2298.0859201687708</v>
      </c>
      <c r="P30" s="4">
        <f t="shared" si="6"/>
        <v>3572.1753845941366</v>
      </c>
      <c r="Q30" s="3"/>
    </row>
    <row r="31" spans="1:17" x14ac:dyDescent="0.25">
      <c r="A31">
        <v>4</v>
      </c>
      <c r="B31" s="1" t="s">
        <v>41</v>
      </c>
      <c r="C31" s="1" t="s">
        <v>29</v>
      </c>
      <c r="D31" s="2">
        <v>39384</v>
      </c>
      <c r="E31" s="7">
        <v>9.99</v>
      </c>
      <c r="F31" s="4">
        <f t="shared" si="0"/>
        <v>4096.9488188976375</v>
      </c>
      <c r="G31" s="2">
        <v>39400</v>
      </c>
      <c r="H31" s="3">
        <v>2842.1</v>
      </c>
      <c r="I31" s="3">
        <v>1052.5</v>
      </c>
      <c r="J31" s="3">
        <v>1660.7</v>
      </c>
      <c r="K31" s="6">
        <f t="shared" si="1"/>
        <v>0.37032475986066643</v>
      </c>
      <c r="L31" s="6">
        <f t="shared" si="2"/>
        <v>0.58432145244713418</v>
      </c>
      <c r="M31" s="6">
        <f t="shared" si="3"/>
        <v>4.5353787692199332E-2</v>
      </c>
      <c r="N31" s="4">
        <f t="shared" si="4"/>
        <v>1517.2015875197085</v>
      </c>
      <c r="O31" s="4">
        <f t="shared" si="5"/>
        <v>2393.9350844598384</v>
      </c>
      <c r="P31" s="4">
        <f t="shared" si="6"/>
        <v>3911.1366719795469</v>
      </c>
      <c r="Q31" s="3"/>
    </row>
    <row r="32" spans="1:17" x14ac:dyDescent="0.25">
      <c r="A32">
        <v>5</v>
      </c>
      <c r="B32" s="1" t="s">
        <v>42</v>
      </c>
      <c r="C32" s="1" t="s">
        <v>29</v>
      </c>
      <c r="D32" s="2">
        <v>39384</v>
      </c>
      <c r="E32" s="7">
        <v>9.14</v>
      </c>
      <c r="F32" s="4">
        <f t="shared" si="0"/>
        <v>3748.3595800524936</v>
      </c>
      <c r="G32" s="2">
        <v>39400</v>
      </c>
      <c r="H32" s="3">
        <v>3004.7</v>
      </c>
      <c r="I32" s="3">
        <v>1129.7</v>
      </c>
      <c r="J32" s="3">
        <v>1762.4</v>
      </c>
      <c r="K32" s="6">
        <f t="shared" si="1"/>
        <v>0.37597763503843984</v>
      </c>
      <c r="L32" s="6">
        <f t="shared" si="2"/>
        <v>0.58654774187106873</v>
      </c>
      <c r="M32" s="6">
        <f t="shared" si="3"/>
        <v>3.7474623090491432E-2</v>
      </c>
      <c r="N32" s="4">
        <f t="shared" si="4"/>
        <v>1409.2993701818161</v>
      </c>
      <c r="O32" s="4">
        <f t="shared" si="5"/>
        <v>2198.5918474005775</v>
      </c>
      <c r="P32" s="4">
        <f t="shared" si="6"/>
        <v>3607.8912175823934</v>
      </c>
      <c r="Q32" s="3"/>
    </row>
    <row r="33" spans="1:17" x14ac:dyDescent="0.25">
      <c r="A33">
        <v>6</v>
      </c>
      <c r="B33" s="1" t="s">
        <v>43</v>
      </c>
      <c r="C33" s="1" t="s">
        <v>29</v>
      </c>
      <c r="D33" s="2">
        <v>39384</v>
      </c>
      <c r="E33" s="7">
        <v>7.18</v>
      </c>
      <c r="F33" s="4">
        <f t="shared" si="0"/>
        <v>2944.5538057742783</v>
      </c>
      <c r="G33" s="2">
        <v>39400</v>
      </c>
      <c r="H33" s="3">
        <v>1658.7</v>
      </c>
      <c r="I33" s="3">
        <v>582.1</v>
      </c>
      <c r="J33" s="3">
        <v>992.8</v>
      </c>
      <c r="K33" s="6">
        <f t="shared" si="1"/>
        <v>0.35093748115994455</v>
      </c>
      <c r="L33" s="6">
        <f t="shared" si="2"/>
        <v>0.59854102610478077</v>
      </c>
      <c r="M33" s="6">
        <f t="shared" si="3"/>
        <v>5.052149273527462E-2</v>
      </c>
      <c r="N33" s="4">
        <f t="shared" si="4"/>
        <v>1033.3542957383538</v>
      </c>
      <c r="O33" s="4">
        <f t="shared" si="5"/>
        <v>1762.4362563288739</v>
      </c>
      <c r="P33" s="4">
        <f t="shared" si="6"/>
        <v>2795.7905520672275</v>
      </c>
      <c r="Q33" s="3"/>
    </row>
    <row r="34" spans="1:17" x14ac:dyDescent="0.25">
      <c r="A34">
        <v>7</v>
      </c>
      <c r="B34" s="1" t="s">
        <v>44</v>
      </c>
      <c r="C34" s="1" t="s">
        <v>29</v>
      </c>
      <c r="D34" s="2">
        <v>39381</v>
      </c>
      <c r="E34" s="7">
        <v>13.87</v>
      </c>
      <c r="F34" s="4">
        <f t="shared" si="0"/>
        <v>5688.1561679790029</v>
      </c>
      <c r="G34" s="2">
        <v>39400</v>
      </c>
      <c r="H34" s="3">
        <v>2930.7</v>
      </c>
      <c r="I34" s="3">
        <v>1046</v>
      </c>
      <c r="J34" s="3">
        <v>1767</v>
      </c>
      <c r="K34" s="6">
        <f t="shared" si="1"/>
        <v>0.35691131811512611</v>
      </c>
      <c r="L34" s="6">
        <f t="shared" si="2"/>
        <v>0.6029276282116901</v>
      </c>
      <c r="M34" s="6">
        <f t="shared" si="3"/>
        <v>4.0161053673183789E-2</v>
      </c>
      <c r="N34" s="4">
        <f t="shared" si="4"/>
        <v>2030.1673155580706</v>
      </c>
      <c r="O34" s="4">
        <f t="shared" si="5"/>
        <v>3429.5465072572761</v>
      </c>
      <c r="P34" s="4">
        <f t="shared" si="6"/>
        <v>5459.7138228153472</v>
      </c>
      <c r="Q34" s="3"/>
    </row>
    <row r="35" spans="1:17" x14ac:dyDescent="0.25">
      <c r="A35">
        <v>8</v>
      </c>
      <c r="B35" s="1" t="s">
        <v>45</v>
      </c>
      <c r="C35" s="1" t="s">
        <v>29</v>
      </c>
      <c r="D35" s="2">
        <v>39381</v>
      </c>
      <c r="E35" s="7">
        <v>13.38</v>
      </c>
      <c r="F35" s="4">
        <f>E35/$A$19*$A$20</f>
        <v>5487.2047244094492</v>
      </c>
      <c r="G35" s="2">
        <v>39400</v>
      </c>
      <c r="H35" s="3">
        <v>2700.7</v>
      </c>
      <c r="I35" s="3">
        <v>963.4</v>
      </c>
      <c r="J35" s="3">
        <v>1621</v>
      </c>
      <c r="K35" s="6">
        <f t="shared" si="1"/>
        <v>0.35672233124745439</v>
      </c>
      <c r="L35" s="6">
        <f t="shared" si="2"/>
        <v>0.60021475913652023</v>
      </c>
      <c r="M35" s="6">
        <f t="shared" si="3"/>
        <v>4.3062909616025435E-2</v>
      </c>
      <c r="N35" s="4">
        <f t="shared" si="4"/>
        <v>1957.4084613233842</v>
      </c>
      <c r="O35" s="4">
        <f t="shared" si="5"/>
        <v>3293.5012619941936</v>
      </c>
      <c r="P35" s="4">
        <f t="shared" si="6"/>
        <v>5250.909723317578</v>
      </c>
      <c r="Q35" s="3"/>
    </row>
    <row r="36" spans="1:17" x14ac:dyDescent="0.25">
      <c r="A36">
        <v>9</v>
      </c>
      <c r="B36" s="1" t="s">
        <v>46</v>
      </c>
      <c r="C36" s="1" t="s">
        <v>29</v>
      </c>
      <c r="D36" s="2">
        <v>39381</v>
      </c>
      <c r="E36" s="7">
        <v>14.1</v>
      </c>
      <c r="F36" s="4">
        <f t="shared" si="0"/>
        <v>5782.4803149606296</v>
      </c>
      <c r="G36" s="2">
        <v>39400</v>
      </c>
      <c r="H36" s="3">
        <v>3619.7</v>
      </c>
      <c r="I36" s="3">
        <v>1320.2</v>
      </c>
      <c r="J36" s="3">
        <v>2165.6999999999998</v>
      </c>
      <c r="K36" s="6">
        <f>I36/H36</f>
        <v>0.36472635853800039</v>
      </c>
      <c r="L36" s="6">
        <f t="shared" si="2"/>
        <v>0.59830925214796804</v>
      </c>
      <c r="M36" s="6">
        <f t="shared" si="3"/>
        <v>3.6964389314031565E-2</v>
      </c>
      <c r="N36" s="4">
        <f t="shared" si="4"/>
        <v>2109.0229885932599</v>
      </c>
      <c r="O36" s="4">
        <f t="shared" si="5"/>
        <v>3459.7114728044412</v>
      </c>
      <c r="P36" s="4">
        <f t="shared" si="6"/>
        <v>5568.7344613977011</v>
      </c>
      <c r="Q36" s="3"/>
    </row>
    <row r="37" spans="1:17" x14ac:dyDescent="0.25">
      <c r="A37">
        <v>10</v>
      </c>
      <c r="B37" s="1" t="s">
        <v>47</v>
      </c>
      <c r="C37" s="1" t="s">
        <v>29</v>
      </c>
      <c r="D37" s="2">
        <v>39381</v>
      </c>
      <c r="E37" s="7">
        <v>11.71</v>
      </c>
      <c r="F37" s="4">
        <f t="shared" si="0"/>
        <v>4802.32939632546</v>
      </c>
      <c r="G37" s="2">
        <v>39400</v>
      </c>
      <c r="H37" s="3">
        <v>2804.5</v>
      </c>
      <c r="I37" s="3">
        <v>1027.0999999999999</v>
      </c>
      <c r="J37" s="3">
        <v>1643.3</v>
      </c>
      <c r="K37" s="6">
        <f t="shared" si="1"/>
        <v>0.36623284007844531</v>
      </c>
      <c r="L37" s="6">
        <f>J37/H37</f>
        <v>0.58595114993760022</v>
      </c>
      <c r="M37" s="6">
        <f t="shared" si="3"/>
        <v>4.7816009983954411E-2</v>
      </c>
      <c r="N37" s="4">
        <f t="shared" si="4"/>
        <v>1758.770733808479</v>
      </c>
      <c r="O37" s="4">
        <f t="shared" si="5"/>
        <v>2813.9304321560448</v>
      </c>
      <c r="P37" s="4">
        <f t="shared" si="6"/>
        <v>4572.7011659645241</v>
      </c>
      <c r="Q37" s="3"/>
    </row>
    <row r="38" spans="1:17" x14ac:dyDescent="0.25">
      <c r="A38">
        <v>11</v>
      </c>
      <c r="B38" s="1" t="s">
        <v>48</v>
      </c>
      <c r="C38" s="1" t="s">
        <v>29</v>
      </c>
      <c r="D38" s="2">
        <v>39381</v>
      </c>
      <c r="E38" s="7">
        <v>13.76</v>
      </c>
      <c r="F38" s="4">
        <f t="shared" si="0"/>
        <v>5643.0446194225724</v>
      </c>
      <c r="G38" s="2">
        <v>39400</v>
      </c>
      <c r="H38" s="3">
        <v>3460.2</v>
      </c>
      <c r="I38" s="3">
        <v>1280.0999999999999</v>
      </c>
      <c r="J38" s="3">
        <v>2105.6</v>
      </c>
      <c r="K38" s="6">
        <f t="shared" si="1"/>
        <v>0.36994971388937054</v>
      </c>
      <c r="L38" s="6">
        <f t="shared" si="2"/>
        <v>0.60851973874342524</v>
      </c>
      <c r="M38" s="6">
        <f>1-K38-L38</f>
        <v>2.1530547367204167E-2</v>
      </c>
      <c r="N38" s="4">
        <f t="shared" si="4"/>
        <v>2087.6427424203325</v>
      </c>
      <c r="O38" s="4">
        <f t="shared" si="5"/>
        <v>3433.9040375285153</v>
      </c>
      <c r="P38" s="4">
        <f t="shared" si="6"/>
        <v>5521.5467799488479</v>
      </c>
      <c r="Q38" s="3"/>
    </row>
    <row r="39" spans="1:17" x14ac:dyDescent="0.25">
      <c r="A39">
        <v>12</v>
      </c>
      <c r="B39" s="1" t="s">
        <v>49</v>
      </c>
      <c r="C39" s="1" t="s">
        <v>29</v>
      </c>
      <c r="D39" s="2">
        <v>39381</v>
      </c>
      <c r="E39" s="7">
        <v>13.55</v>
      </c>
      <c r="F39" s="4">
        <f t="shared" si="0"/>
        <v>5556.9225721784778</v>
      </c>
      <c r="G39" s="2">
        <v>39400</v>
      </c>
      <c r="H39" s="3">
        <v>3262.8</v>
      </c>
      <c r="I39" s="3">
        <v>1220.8</v>
      </c>
      <c r="J39" s="3">
        <v>1945.8</v>
      </c>
      <c r="K39" s="6">
        <f t="shared" si="1"/>
        <v>0.37415716562461687</v>
      </c>
      <c r="L39" s="6">
        <f t="shared" si="2"/>
        <v>0.59635895549834494</v>
      </c>
      <c r="M39" s="6">
        <f t="shared" si="3"/>
        <v>2.9483878877038183E-2</v>
      </c>
      <c r="N39" s="4">
        <f>F39*K39</f>
        <v>2079.1623992017549</v>
      </c>
      <c r="O39" s="4">
        <f t="shared" si="5"/>
        <v>3313.9205409295332</v>
      </c>
      <c r="P39" s="4">
        <f t="shared" si="6"/>
        <v>5393.0829401312876</v>
      </c>
      <c r="Q39" s="3"/>
    </row>
    <row r="40" spans="1:17" x14ac:dyDescent="0.25">
      <c r="A40">
        <v>13</v>
      </c>
      <c r="B40" s="1" t="s">
        <v>50</v>
      </c>
      <c r="C40" s="1" t="s">
        <v>29</v>
      </c>
      <c r="D40" s="2">
        <v>39381</v>
      </c>
      <c r="E40" s="7">
        <v>13.38</v>
      </c>
      <c r="F40" s="4">
        <f t="shared" si="0"/>
        <v>5487.2047244094492</v>
      </c>
      <c r="G40" s="2">
        <v>39400</v>
      </c>
      <c r="H40" s="3">
        <v>2624.9</v>
      </c>
      <c r="I40" s="3">
        <v>951.6</v>
      </c>
      <c r="J40" s="3">
        <v>1587.1</v>
      </c>
      <c r="K40" s="6">
        <f t="shared" si="1"/>
        <v>0.3625280963084308</v>
      </c>
      <c r="L40" s="6">
        <f t="shared" si="2"/>
        <v>0.60463255743075917</v>
      </c>
      <c r="M40" s="6">
        <f t="shared" si="3"/>
        <v>3.2839346260810087E-2</v>
      </c>
      <c r="N40" s="4">
        <f t="shared" si="4"/>
        <v>1989.2658827947853</v>
      </c>
      <c r="O40" s="4">
        <f>F40*L40</f>
        <v>3317.7426256658291</v>
      </c>
      <c r="P40" s="4">
        <f t="shared" si="6"/>
        <v>5307.0085084606144</v>
      </c>
      <c r="Q40" s="3"/>
    </row>
    <row r="41" spans="1:17" x14ac:dyDescent="0.25">
      <c r="A41">
        <v>14</v>
      </c>
      <c r="B41" s="1" t="s">
        <v>51</v>
      </c>
      <c r="C41" s="1" t="s">
        <v>29</v>
      </c>
      <c r="D41" s="2">
        <v>39380</v>
      </c>
      <c r="E41" s="7">
        <v>14.72</v>
      </c>
      <c r="F41" s="4">
        <f t="shared" si="0"/>
        <v>6036.7454068241468</v>
      </c>
      <c r="G41" s="2">
        <v>39400</v>
      </c>
      <c r="H41" s="3">
        <v>2540.3000000000002</v>
      </c>
      <c r="I41" s="3">
        <v>947.4</v>
      </c>
      <c r="J41" s="3">
        <v>1515.7</v>
      </c>
      <c r="K41" s="6">
        <f t="shared" si="1"/>
        <v>0.37294807699877963</v>
      </c>
      <c r="L41" s="6">
        <f t="shared" si="2"/>
        <v>0.59666181159705545</v>
      </c>
      <c r="M41" s="6">
        <f t="shared" si="3"/>
        <v>3.0390111404164921E-2</v>
      </c>
      <c r="N41" s="4">
        <f t="shared" si="4"/>
        <v>2251.3925908062811</v>
      </c>
      <c r="O41" s="4">
        <f t="shared" si="5"/>
        <v>3601.8954505858987</v>
      </c>
      <c r="P41" s="4">
        <f>N41+O41</f>
        <v>5853.2880413921794</v>
      </c>
      <c r="Q41" s="3"/>
    </row>
    <row r="42" spans="1:17" x14ac:dyDescent="0.25">
      <c r="A42">
        <v>15</v>
      </c>
      <c r="B42" s="1" t="s">
        <v>52</v>
      </c>
      <c r="C42" s="1" t="s">
        <v>29</v>
      </c>
      <c r="D42" s="2">
        <v>39380</v>
      </c>
      <c r="E42" s="7">
        <v>9.98</v>
      </c>
      <c r="F42" s="4">
        <f t="shared" si="0"/>
        <v>4092.8477690288719</v>
      </c>
      <c r="G42" s="2">
        <v>39400</v>
      </c>
      <c r="H42" s="3">
        <v>1946.8</v>
      </c>
      <c r="I42" s="3">
        <v>694.1</v>
      </c>
      <c r="J42" s="3">
        <v>1172.5999999999999</v>
      </c>
      <c r="K42" s="6">
        <f t="shared" si="1"/>
        <v>0.35653379905485927</v>
      </c>
      <c r="L42" s="6">
        <f t="shared" si="2"/>
        <v>0.60232175878364491</v>
      </c>
      <c r="M42" s="6">
        <f t="shared" si="3"/>
        <v>4.114444216149582E-2</v>
      </c>
      <c r="N42" s="4">
        <f t="shared" si="4"/>
        <v>1459.2385640450689</v>
      </c>
      <c r="O42" s="4">
        <f t="shared" si="5"/>
        <v>2465.2112666751873</v>
      </c>
      <c r="P42" s="4">
        <f t="shared" si="6"/>
        <v>3924.4498307202562</v>
      </c>
      <c r="Q42" s="3"/>
    </row>
    <row r="43" spans="1:17" x14ac:dyDescent="0.25">
      <c r="A43">
        <v>16</v>
      </c>
      <c r="B43" s="1" t="s">
        <v>53</v>
      </c>
      <c r="C43" s="1" t="s">
        <v>29</v>
      </c>
      <c r="D43" s="2">
        <v>39380</v>
      </c>
      <c r="E43" s="7">
        <v>11.32</v>
      </c>
      <c r="F43" s="4">
        <f t="shared" si="0"/>
        <v>4642.3884514435695</v>
      </c>
      <c r="G43" s="2">
        <v>39400</v>
      </c>
      <c r="H43" s="3">
        <v>2342.1</v>
      </c>
      <c r="I43" s="3">
        <v>857.7</v>
      </c>
      <c r="J43" s="3">
        <v>1386.2</v>
      </c>
      <c r="K43" s="6">
        <f t="shared" si="1"/>
        <v>0.36620981170744205</v>
      </c>
      <c r="L43" s="6">
        <f t="shared" si="2"/>
        <v>0.59186200418427914</v>
      </c>
      <c r="M43" s="6">
        <f t="shared" si="3"/>
        <v>4.192818410827881E-2</v>
      </c>
      <c r="N43" s="4">
        <f t="shared" si="4"/>
        <v>1700.088200675953</v>
      </c>
      <c r="O43" s="4">
        <f t="shared" si="5"/>
        <v>2747.6533330733432</v>
      </c>
      <c r="P43" s="4">
        <f t="shared" si="6"/>
        <v>4447.7415337492967</v>
      </c>
      <c r="Q43" s="3"/>
    </row>
    <row r="44" spans="1:17" x14ac:dyDescent="0.25">
      <c r="A44">
        <v>17</v>
      </c>
      <c r="B44" s="1" t="s">
        <v>54</v>
      </c>
      <c r="C44" s="1" t="s">
        <v>29</v>
      </c>
      <c r="D44" s="2">
        <v>39380</v>
      </c>
      <c r="E44" s="7">
        <v>13.28</v>
      </c>
      <c r="F44" s="4">
        <f t="shared" si="0"/>
        <v>5446.1942257217843</v>
      </c>
      <c r="G44" s="2">
        <v>39400</v>
      </c>
      <c r="H44" s="3">
        <v>2890.5</v>
      </c>
      <c r="I44" s="3">
        <v>1065.4000000000001</v>
      </c>
      <c r="J44" s="3">
        <v>1710.9</v>
      </c>
      <c r="K44" s="6">
        <f t="shared" si="1"/>
        <v>0.36858674969728422</v>
      </c>
      <c r="L44" s="6">
        <f t="shared" si="2"/>
        <v>0.59190451478982875</v>
      </c>
      <c r="M44" s="6">
        <f t="shared" si="3"/>
        <v>3.9508735512887028E-2</v>
      </c>
      <c r="N44" s="4">
        <f t="shared" si="4"/>
        <v>2007.39502787891</v>
      </c>
      <c r="O44" s="4">
        <f t="shared" si="5"/>
        <v>3223.6269506270196</v>
      </c>
      <c r="P44" s="4">
        <f t="shared" si="6"/>
        <v>5231.0219785059298</v>
      </c>
      <c r="Q44" s="3"/>
    </row>
    <row r="45" spans="1:17" x14ac:dyDescent="0.25">
      <c r="A45">
        <v>18</v>
      </c>
      <c r="B45" s="1" t="s">
        <v>55</v>
      </c>
      <c r="C45" s="1" t="s">
        <v>29</v>
      </c>
      <c r="D45" s="2">
        <v>39380</v>
      </c>
      <c r="E45" s="7">
        <v>13.23</v>
      </c>
      <c r="F45" s="4">
        <f t="shared" si="0"/>
        <v>5425.6889763779527</v>
      </c>
      <c r="G45" s="2">
        <v>39400</v>
      </c>
      <c r="H45" s="3">
        <v>2513.5</v>
      </c>
      <c r="I45" s="3">
        <v>902.1</v>
      </c>
      <c r="J45" s="3">
        <v>1491.7</v>
      </c>
      <c r="K45" s="6">
        <f t="shared" si="1"/>
        <v>0.35890192958026657</v>
      </c>
      <c r="L45" s="6">
        <f t="shared" si="2"/>
        <v>0.59347523373781585</v>
      </c>
      <c r="M45" s="6">
        <f t="shared" si="3"/>
        <v>4.762283668191758E-2</v>
      </c>
      <c r="N45" s="4">
        <f t="shared" si="4"/>
        <v>1947.2902429244286</v>
      </c>
      <c r="O45" s="4">
        <f t="shared" si="5"/>
        <v>3220.0120334445965</v>
      </c>
      <c r="P45" s="4">
        <f t="shared" si="6"/>
        <v>5167.3022763690251</v>
      </c>
      <c r="Q45" s="3"/>
    </row>
    <row r="46" spans="1:17" x14ac:dyDescent="0.25">
      <c r="A46">
        <v>19</v>
      </c>
      <c r="B46" s="1" t="s">
        <v>56</v>
      </c>
      <c r="C46" s="1" t="s">
        <v>29</v>
      </c>
      <c r="D46" s="2">
        <v>39380</v>
      </c>
      <c r="E46" s="7">
        <v>13.66</v>
      </c>
      <c r="F46" s="4">
        <f t="shared" si="0"/>
        <v>5602.0341207349074</v>
      </c>
      <c r="G46" s="2">
        <v>39400</v>
      </c>
      <c r="H46" s="3">
        <v>2791.3</v>
      </c>
      <c r="I46" s="3">
        <v>1004.3</v>
      </c>
      <c r="J46" s="3">
        <v>1683.2</v>
      </c>
      <c r="K46" s="6">
        <f t="shared" si="1"/>
        <v>0.35979651058646506</v>
      </c>
      <c r="L46" s="6">
        <f t="shared" si="2"/>
        <v>0.60301651560204916</v>
      </c>
      <c r="M46" s="6">
        <f t="shared" si="3"/>
        <v>3.7186973811485724E-2</v>
      </c>
      <c r="N46" s="4">
        <f t="shared" si="4"/>
        <v>2015.5923288267356</v>
      </c>
      <c r="O46" s="4">
        <f t="shared" si="5"/>
        <v>3378.119095769353</v>
      </c>
      <c r="P46" s="4">
        <f t="shared" si="6"/>
        <v>5393.7114245960884</v>
      </c>
      <c r="Q46" s="3"/>
    </row>
    <row r="47" spans="1:17" x14ac:dyDescent="0.25">
      <c r="A47">
        <v>20</v>
      </c>
      <c r="B47" s="1" t="s">
        <v>57</v>
      </c>
      <c r="C47" s="1" t="s">
        <v>29</v>
      </c>
      <c r="D47" s="2">
        <v>39380</v>
      </c>
      <c r="E47" s="7">
        <v>13.53</v>
      </c>
      <c r="F47" s="4">
        <f t="shared" si="0"/>
        <v>5548.7204724409448</v>
      </c>
      <c r="G47" s="2">
        <v>39400</v>
      </c>
      <c r="H47" s="3">
        <v>2958.8</v>
      </c>
      <c r="I47" s="3">
        <v>1088.0999999999999</v>
      </c>
      <c r="J47" s="3">
        <v>1782.1</v>
      </c>
      <c r="K47" s="6">
        <f t="shared" si="1"/>
        <v>0.367750439367311</v>
      </c>
      <c r="L47" s="6">
        <f t="shared" si="2"/>
        <v>0.60230498850885483</v>
      </c>
      <c r="M47" s="6">
        <f t="shared" si="3"/>
        <v>2.9944572123834168E-2</v>
      </c>
      <c r="N47" s="4">
        <f t="shared" si="4"/>
        <v>2040.5443916665508</v>
      </c>
      <c r="O47" s="4">
        <f t="shared" si="5"/>
        <v>3342.0220203923909</v>
      </c>
      <c r="P47" s="4">
        <f t="shared" si="6"/>
        <v>5382.5664120589418</v>
      </c>
      <c r="Q47" s="3"/>
    </row>
    <row r="48" spans="1:17" x14ac:dyDescent="0.25">
      <c r="A48">
        <v>21</v>
      </c>
      <c r="B48" s="1" t="s">
        <v>58</v>
      </c>
      <c r="C48" s="1" t="s">
        <v>29</v>
      </c>
      <c r="D48" s="2">
        <v>39380</v>
      </c>
      <c r="E48" s="7">
        <v>11.85</v>
      </c>
      <c r="F48" s="4">
        <f t="shared" si="0"/>
        <v>4859.7440944881882</v>
      </c>
      <c r="G48" s="2">
        <v>39400</v>
      </c>
      <c r="H48" s="3">
        <v>2606.1999999999998</v>
      </c>
      <c r="I48" s="3">
        <v>921.9</v>
      </c>
      <c r="J48" s="3">
        <v>1542.9</v>
      </c>
      <c r="K48" s="6">
        <f t="shared" si="1"/>
        <v>0.35373340495740929</v>
      </c>
      <c r="L48" s="6">
        <f t="shared" si="2"/>
        <v>0.59201135753203904</v>
      </c>
      <c r="M48" s="6">
        <f t="shared" si="3"/>
        <v>5.4255237510551724E-2</v>
      </c>
      <c r="N48" s="4">
        <f t="shared" si="4"/>
        <v>1719.0538257649687</v>
      </c>
      <c r="O48" s="4">
        <f t="shared" si="5"/>
        <v>2877.023698636262</v>
      </c>
      <c r="P48" s="4">
        <f t="shared" si="6"/>
        <v>4596.0775244012311</v>
      </c>
      <c r="Q48" s="3"/>
    </row>
    <row r="49" spans="1:17" x14ac:dyDescent="0.25">
      <c r="A49">
        <v>22</v>
      </c>
      <c r="B49" s="1" t="s">
        <v>59</v>
      </c>
      <c r="C49" s="1" t="s">
        <v>29</v>
      </c>
      <c r="D49" s="2">
        <v>39380</v>
      </c>
      <c r="E49" s="7">
        <v>11.15</v>
      </c>
      <c r="F49" s="4">
        <f t="shared" si="0"/>
        <v>4572.6706036745409</v>
      </c>
      <c r="G49" s="2">
        <v>39400</v>
      </c>
      <c r="H49" s="3">
        <v>2499.6</v>
      </c>
      <c r="I49" s="3">
        <v>897.8</v>
      </c>
      <c r="J49" s="3">
        <v>1475.5</v>
      </c>
      <c r="K49" s="6">
        <f t="shared" si="1"/>
        <v>0.35917746839494319</v>
      </c>
      <c r="L49" s="6">
        <f t="shared" si="2"/>
        <v>0.59029444711153789</v>
      </c>
      <c r="M49" s="6">
        <f t="shared" si="3"/>
        <v>5.0528084493518977E-2</v>
      </c>
      <c r="N49" s="4">
        <f t="shared" si="4"/>
        <v>1642.4002512317982</v>
      </c>
      <c r="O49" s="4">
        <f t="shared" si="5"/>
        <v>2699.2220658192455</v>
      </c>
      <c r="P49" s="4">
        <f t="shared" si="6"/>
        <v>4341.6223170510439</v>
      </c>
      <c r="Q49" s="3"/>
    </row>
    <row r="50" spans="1:17" x14ac:dyDescent="0.25">
      <c r="A50">
        <v>23</v>
      </c>
      <c r="B50" s="1" t="s">
        <v>60</v>
      </c>
      <c r="C50" s="1" t="s">
        <v>29</v>
      </c>
      <c r="D50" s="2">
        <v>39380</v>
      </c>
      <c r="E50" s="7">
        <v>13.25</v>
      </c>
      <c r="F50" s="4">
        <f t="shared" si="0"/>
        <v>5433.8910761154857</v>
      </c>
      <c r="G50" s="2">
        <v>39400</v>
      </c>
      <c r="H50" s="3">
        <v>3966.9</v>
      </c>
      <c r="I50" s="3">
        <v>1440.1</v>
      </c>
      <c r="J50" s="3">
        <v>2343.1</v>
      </c>
      <c r="K50" s="6">
        <f t="shared" si="1"/>
        <v>0.36302906551715441</v>
      </c>
      <c r="L50" s="6">
        <f t="shared" si="2"/>
        <v>0.59066273412488335</v>
      </c>
      <c r="M50" s="6">
        <f t="shared" si="3"/>
        <v>4.6308200357962237E-2</v>
      </c>
      <c r="N50" s="4">
        <f t="shared" si="4"/>
        <v>1972.6603994842094</v>
      </c>
      <c r="O50" s="4">
        <f t="shared" si="5"/>
        <v>3209.5969599551772</v>
      </c>
      <c r="P50" s="4">
        <f t="shared" si="6"/>
        <v>5182.2573594393871</v>
      </c>
      <c r="Q50" s="3"/>
    </row>
    <row r="51" spans="1:17" x14ac:dyDescent="0.25">
      <c r="A51">
        <v>24</v>
      </c>
      <c r="B51" s="1" t="s">
        <v>61</v>
      </c>
      <c r="C51" s="1" t="s">
        <v>29</v>
      </c>
      <c r="D51" s="2">
        <v>39380</v>
      </c>
      <c r="E51" s="7">
        <v>12.67</v>
      </c>
      <c r="F51" s="4">
        <f t="shared" si="0"/>
        <v>5196.0301837270335</v>
      </c>
      <c r="G51" s="2">
        <v>39400</v>
      </c>
      <c r="H51" s="3">
        <v>2309.3000000000002</v>
      </c>
      <c r="I51" s="3">
        <v>828.8</v>
      </c>
      <c r="J51" s="3">
        <v>1382.1</v>
      </c>
      <c r="K51" s="6">
        <f t="shared" si="1"/>
        <v>0.35889663534404359</v>
      </c>
      <c r="L51" s="6">
        <f t="shared" si="2"/>
        <v>0.5984930498419434</v>
      </c>
      <c r="M51" s="6">
        <f t="shared" si="3"/>
        <v>4.2610314814013006E-2</v>
      </c>
      <c r="N51" s="4">
        <f t="shared" si="4"/>
        <v>1864.837750085725</v>
      </c>
      <c r="O51" s="4">
        <f t="shared" si="5"/>
        <v>3109.787951729586</v>
      </c>
      <c r="P51" s="4">
        <f t="shared" si="6"/>
        <v>4974.625701815311</v>
      </c>
      <c r="Q51" s="3"/>
    </row>
    <row r="52" spans="1:17" x14ac:dyDescent="0.25">
      <c r="A52">
        <v>25</v>
      </c>
      <c r="B52" s="1" t="s">
        <v>62</v>
      </c>
      <c r="C52" s="1" t="s">
        <v>29</v>
      </c>
      <c r="D52" s="2">
        <v>39380</v>
      </c>
      <c r="E52" s="7">
        <v>11.11</v>
      </c>
      <c r="F52" s="4">
        <f t="shared" si="0"/>
        <v>4556.2664041994749</v>
      </c>
      <c r="G52" s="2">
        <v>39400</v>
      </c>
      <c r="H52" s="3">
        <v>2583.1999999999998</v>
      </c>
      <c r="I52" s="3">
        <v>930.1</v>
      </c>
      <c r="J52" s="3">
        <v>1554.7</v>
      </c>
      <c r="K52" s="6">
        <f t="shared" si="1"/>
        <v>0.36005729327965319</v>
      </c>
      <c r="L52" s="6">
        <f t="shared" si="2"/>
        <v>0.60185041808609485</v>
      </c>
      <c r="M52" s="6">
        <f t="shared" si="3"/>
        <v>3.8092288634251958E-2</v>
      </c>
      <c r="N52" s="4">
        <f t="shared" si="4"/>
        <v>1640.5169489570812</v>
      </c>
      <c r="O52" s="4">
        <f t="shared" si="5"/>
        <v>2742.1908402790818</v>
      </c>
      <c r="P52" s="4">
        <f t="shared" si="6"/>
        <v>4382.7077892361631</v>
      </c>
      <c r="Q52" s="3"/>
    </row>
    <row r="53" spans="1:17" x14ac:dyDescent="0.25">
      <c r="A53">
        <v>26</v>
      </c>
      <c r="B53" s="1" t="s">
        <v>63</v>
      </c>
      <c r="C53" s="1" t="s">
        <v>29</v>
      </c>
      <c r="D53" s="2">
        <v>39379</v>
      </c>
      <c r="E53" s="7">
        <v>12.78</v>
      </c>
      <c r="F53" s="4">
        <f t="shared" si="0"/>
        <v>5241.1417322834641</v>
      </c>
      <c r="G53" s="2">
        <v>39400</v>
      </c>
      <c r="H53" s="3">
        <v>2700</v>
      </c>
      <c r="I53" s="3">
        <v>966.6</v>
      </c>
      <c r="J53" s="3">
        <v>1624.4</v>
      </c>
      <c r="K53" s="6">
        <f t="shared" si="1"/>
        <v>0.35799999999999998</v>
      </c>
      <c r="L53" s="6">
        <f t="shared" si="2"/>
        <v>0.60162962962962963</v>
      </c>
      <c r="M53" s="6">
        <f t="shared" si="3"/>
        <v>4.037037037037039E-2</v>
      </c>
      <c r="N53" s="4">
        <f t="shared" si="4"/>
        <v>1876.3287401574801</v>
      </c>
      <c r="O53" s="4">
        <f t="shared" si="5"/>
        <v>3153.2261592300961</v>
      </c>
      <c r="P53" s="4">
        <f t="shared" si="6"/>
        <v>5029.5548993875764</v>
      </c>
      <c r="Q53" s="3"/>
    </row>
    <row r="54" spans="1:17" x14ac:dyDescent="0.25">
      <c r="A54">
        <v>27</v>
      </c>
      <c r="B54" s="1" t="s">
        <v>64</v>
      </c>
      <c r="C54" s="1" t="s">
        <v>29</v>
      </c>
      <c r="D54" s="2">
        <v>39379</v>
      </c>
      <c r="E54" s="7">
        <v>11.02</v>
      </c>
      <c r="F54" s="4">
        <f t="shared" si="0"/>
        <v>4519.3569553805773</v>
      </c>
      <c r="G54" s="2">
        <v>39400</v>
      </c>
      <c r="H54" s="3">
        <v>2536.6</v>
      </c>
      <c r="I54" s="3">
        <v>912</v>
      </c>
      <c r="J54" s="3">
        <v>1550.4</v>
      </c>
      <c r="K54" s="6">
        <f t="shared" si="1"/>
        <v>0.35953638729007337</v>
      </c>
      <c r="L54" s="6">
        <f t="shared" si="2"/>
        <v>0.61121185839312475</v>
      </c>
      <c r="M54" s="6">
        <f t="shared" si="3"/>
        <v>2.9251754316801826E-2</v>
      </c>
      <c r="N54" s="4">
        <f t="shared" si="4"/>
        <v>1624.873272611798</v>
      </c>
      <c r="O54" s="4">
        <f t="shared" si="5"/>
        <v>2762.2845634400569</v>
      </c>
      <c r="P54" s="4">
        <f t="shared" si="6"/>
        <v>4387.1578360518552</v>
      </c>
      <c r="Q54" s="3"/>
    </row>
    <row r="55" spans="1:17" x14ac:dyDescent="0.25">
      <c r="A55">
        <v>28</v>
      </c>
      <c r="B55" s="1" t="s">
        <v>65</v>
      </c>
      <c r="C55" s="1" t="s">
        <v>29</v>
      </c>
      <c r="D55" s="2">
        <v>39379</v>
      </c>
      <c r="E55" s="7">
        <v>12.66</v>
      </c>
      <c r="F55" s="4">
        <f t="shared" si="0"/>
        <v>5191.9291338582671</v>
      </c>
      <c r="G55" s="2">
        <v>39400</v>
      </c>
      <c r="H55" s="3">
        <v>2754.2</v>
      </c>
      <c r="I55" s="3">
        <v>982.2</v>
      </c>
      <c r="J55" s="3">
        <v>1671</v>
      </c>
      <c r="K55" s="6">
        <f t="shared" si="1"/>
        <v>0.35661898191852448</v>
      </c>
      <c r="L55" s="6">
        <f t="shared" si="2"/>
        <v>0.60670975237818603</v>
      </c>
      <c r="M55" s="6">
        <f t="shared" si="3"/>
        <v>3.6671265703289491E-2</v>
      </c>
      <c r="N55" s="4">
        <f t="shared" si="4"/>
        <v>1851.5404819096618</v>
      </c>
      <c r="O55" s="4">
        <f t="shared" si="5"/>
        <v>3149.9940391682389</v>
      </c>
      <c r="P55" s="4">
        <f t="shared" si="6"/>
        <v>5001.5345210779005</v>
      </c>
      <c r="Q55" s="3"/>
    </row>
    <row r="56" spans="1:17" x14ac:dyDescent="0.25">
      <c r="A56">
        <v>29</v>
      </c>
      <c r="B56" s="1" t="s">
        <v>66</v>
      </c>
      <c r="C56" s="1" t="s">
        <v>29</v>
      </c>
      <c r="D56" s="2">
        <v>39379</v>
      </c>
      <c r="E56" s="7">
        <v>11.3</v>
      </c>
      <c r="F56" s="4">
        <f t="shared" si="0"/>
        <v>4634.1863517060374</v>
      </c>
      <c r="G56" s="2">
        <v>39400</v>
      </c>
      <c r="H56" s="3">
        <v>2058.6999999999998</v>
      </c>
      <c r="I56" s="3">
        <v>745.9</v>
      </c>
      <c r="J56" s="3">
        <v>1198.0999999999999</v>
      </c>
      <c r="K56" s="6">
        <f t="shared" si="1"/>
        <v>0.36231602467576629</v>
      </c>
      <c r="L56" s="6">
        <f t="shared" si="2"/>
        <v>0.58196920386651774</v>
      </c>
      <c r="M56" s="6">
        <f t="shared" si="3"/>
        <v>5.5714771457715973E-2</v>
      </c>
      <c r="N56" s="4">
        <f t="shared" si="4"/>
        <v>1679.0399765568241</v>
      </c>
      <c r="O56" s="4">
        <f t="shared" si="5"/>
        <v>2696.9537416714447</v>
      </c>
      <c r="P56" s="4">
        <f t="shared" si="6"/>
        <v>4375.9937182282683</v>
      </c>
      <c r="Q56" s="3"/>
    </row>
    <row r="57" spans="1:17" x14ac:dyDescent="0.25">
      <c r="A57">
        <v>30</v>
      </c>
      <c r="B57" s="1" t="s">
        <v>67</v>
      </c>
      <c r="C57" s="1" t="s">
        <v>29</v>
      </c>
      <c r="D57" s="2">
        <v>39379</v>
      </c>
      <c r="E57" s="7">
        <v>10.86</v>
      </c>
      <c r="F57" s="4">
        <f t="shared" si="0"/>
        <v>4453.7401574803152</v>
      </c>
      <c r="G57" s="2">
        <v>39400</v>
      </c>
      <c r="H57" s="3">
        <v>2748</v>
      </c>
      <c r="I57" s="3">
        <v>1013.3</v>
      </c>
      <c r="J57" s="3">
        <v>1619.4</v>
      </c>
      <c r="K57" s="6">
        <f t="shared" si="1"/>
        <v>0.3687409024745269</v>
      </c>
      <c r="L57" s="6">
        <f t="shared" si="2"/>
        <v>0.58930131004366815</v>
      </c>
      <c r="M57" s="6">
        <f t="shared" si="3"/>
        <v>4.1957787481804898E-2</v>
      </c>
      <c r="N57" s="4">
        <f t="shared" si="4"/>
        <v>1642.276165056333</v>
      </c>
      <c r="O57" s="4">
        <f t="shared" si="5"/>
        <v>2624.5949093972426</v>
      </c>
      <c r="P57" s="4">
        <f t="shared" si="6"/>
        <v>4266.8710744535756</v>
      </c>
      <c r="Q57" s="3"/>
    </row>
    <row r="58" spans="1:17" x14ac:dyDescent="0.25">
      <c r="A58">
        <v>31</v>
      </c>
      <c r="B58" s="1" t="s">
        <v>68</v>
      </c>
      <c r="C58" s="1" t="s">
        <v>29</v>
      </c>
      <c r="D58" s="2">
        <v>39379</v>
      </c>
      <c r="E58" s="7">
        <v>6.49</v>
      </c>
      <c r="F58" s="4">
        <f t="shared" si="0"/>
        <v>2661.5813648293961</v>
      </c>
      <c r="G58" s="2">
        <v>39400</v>
      </c>
      <c r="H58" s="3">
        <v>1682.1</v>
      </c>
      <c r="I58" s="3">
        <v>557.6</v>
      </c>
      <c r="J58" s="3">
        <v>997.2</v>
      </c>
      <c r="K58" s="6">
        <f t="shared" si="1"/>
        <v>0.3314903989061293</v>
      </c>
      <c r="L58" s="6">
        <f t="shared" si="2"/>
        <v>0.59283039058319964</v>
      </c>
      <c r="M58" s="6">
        <f t="shared" si="3"/>
        <v>7.5679210510671058E-2</v>
      </c>
      <c r="N58" s="4">
        <f t="shared" si="4"/>
        <v>882.28866834841654</v>
      </c>
      <c r="O58" s="4">
        <f t="shared" si="5"/>
        <v>1577.8663200807764</v>
      </c>
      <c r="P58" s="4">
        <f t="shared" si="6"/>
        <v>2460.1549884291931</v>
      </c>
      <c r="Q58" s="3"/>
    </row>
    <row r="59" spans="1:17" x14ac:dyDescent="0.25">
      <c r="A59">
        <v>32</v>
      </c>
      <c r="B59" s="1" t="s">
        <v>69</v>
      </c>
      <c r="C59" s="1" t="s">
        <v>29</v>
      </c>
      <c r="D59" s="2">
        <v>39379</v>
      </c>
      <c r="E59" s="7">
        <v>8.43</v>
      </c>
      <c r="F59" s="4">
        <f t="shared" si="0"/>
        <v>3457.1850393700788</v>
      </c>
      <c r="G59" s="2">
        <v>39400</v>
      </c>
      <c r="H59" s="3">
        <v>1979.2</v>
      </c>
      <c r="I59" s="3">
        <v>654.20000000000005</v>
      </c>
      <c r="J59" s="3">
        <v>1181</v>
      </c>
      <c r="K59" s="6">
        <f t="shared" si="1"/>
        <v>0.33053759094583673</v>
      </c>
      <c r="L59" s="6">
        <f t="shared" si="2"/>
        <v>0.59670573969280516</v>
      </c>
      <c r="M59" s="6">
        <f t="shared" si="3"/>
        <v>7.2756669361358051E-2</v>
      </c>
      <c r="N59" s="4">
        <f t="shared" si="4"/>
        <v>1142.7296143673736</v>
      </c>
      <c r="O59" s="4">
        <f t="shared" si="5"/>
        <v>2062.9221561722225</v>
      </c>
      <c r="P59" s="4">
        <f t="shared" si="6"/>
        <v>3205.6517705395963</v>
      </c>
      <c r="Q59" s="3"/>
    </row>
    <row r="60" spans="1:17" x14ac:dyDescent="0.25">
      <c r="A60">
        <v>33</v>
      </c>
      <c r="B60" s="1" t="s">
        <v>70</v>
      </c>
      <c r="C60" s="1" t="s">
        <v>29</v>
      </c>
      <c r="D60" s="2">
        <v>39379</v>
      </c>
      <c r="E60" s="7">
        <v>11.66</v>
      </c>
      <c r="F60" s="4">
        <f t="shared" si="0"/>
        <v>4781.8241469816276</v>
      </c>
      <c r="G60" s="2">
        <v>39400</v>
      </c>
      <c r="H60" s="3">
        <v>2174</v>
      </c>
      <c r="I60" s="3">
        <v>766.8</v>
      </c>
      <c r="J60" s="3">
        <v>1324.7</v>
      </c>
      <c r="K60" s="6">
        <f t="shared" si="1"/>
        <v>0.35271389144434223</v>
      </c>
      <c r="L60" s="6">
        <f t="shared" si="2"/>
        <v>0.60933762649494028</v>
      </c>
      <c r="M60" s="6">
        <f t="shared" si="3"/>
        <v>3.7948482060717548E-2</v>
      </c>
      <c r="N60" s="4">
        <f t="shared" si="4"/>
        <v>1686.6158030844122</v>
      </c>
      <c r="O60" s="4">
        <f t="shared" si="5"/>
        <v>2913.7453760379772</v>
      </c>
      <c r="P60" s="4">
        <f t="shared" si="6"/>
        <v>4600.3611791223893</v>
      </c>
      <c r="Q60" s="3"/>
    </row>
    <row r="61" spans="1:17" x14ac:dyDescent="0.25">
      <c r="A61">
        <v>34</v>
      </c>
      <c r="B61" s="1" t="s">
        <v>71</v>
      </c>
      <c r="C61" s="1" t="s">
        <v>29</v>
      </c>
      <c r="D61" s="2">
        <v>39379</v>
      </c>
      <c r="E61" s="7">
        <v>11.16</v>
      </c>
      <c r="F61" s="4">
        <f t="shared" si="0"/>
        <v>4576.7716535433074</v>
      </c>
      <c r="G61" s="2">
        <v>39400</v>
      </c>
      <c r="H61" s="3">
        <v>2665.7</v>
      </c>
      <c r="I61" s="3">
        <v>939.9</v>
      </c>
      <c r="J61" s="3">
        <v>1630.9</v>
      </c>
      <c r="K61" s="6">
        <f t="shared" si="1"/>
        <v>0.35259031398882096</v>
      </c>
      <c r="L61" s="6">
        <f t="shared" si="2"/>
        <v>0.61180928086431341</v>
      </c>
      <c r="M61" s="6">
        <f t="shared" si="3"/>
        <v>3.5600405146865688E-2</v>
      </c>
      <c r="N61" s="4">
        <f t="shared" si="4"/>
        <v>1613.72535437797</v>
      </c>
      <c r="O61" s="4">
        <f t="shared" si="5"/>
        <v>2800.1113740345054</v>
      </c>
      <c r="P61" s="4">
        <f t="shared" si="6"/>
        <v>4413.8367284124752</v>
      </c>
      <c r="Q61" s="3"/>
    </row>
    <row r="62" spans="1:17" x14ac:dyDescent="0.25">
      <c r="A62">
        <v>35</v>
      </c>
      <c r="B62" s="1" t="s">
        <v>72</v>
      </c>
      <c r="C62" s="1" t="s">
        <v>29</v>
      </c>
      <c r="D62" s="2">
        <v>39379</v>
      </c>
      <c r="E62" s="7">
        <v>11.14</v>
      </c>
      <c r="F62" s="4">
        <f t="shared" si="0"/>
        <v>4568.5695538057744</v>
      </c>
      <c r="G62" s="2">
        <v>39400</v>
      </c>
      <c r="H62" s="3">
        <v>2485.8000000000002</v>
      </c>
      <c r="I62" s="3">
        <v>886.9</v>
      </c>
      <c r="J62" s="3">
        <v>1474.2</v>
      </c>
      <c r="K62" s="6">
        <f t="shared" si="1"/>
        <v>0.35678654759031292</v>
      </c>
      <c r="L62" s="6">
        <f t="shared" si="2"/>
        <v>0.59304851556842864</v>
      </c>
      <c r="M62" s="6">
        <f t="shared" si="3"/>
        <v>5.0164936841258445E-2</v>
      </c>
      <c r="N62" s="4">
        <f t="shared" si="4"/>
        <v>1630.0041585285785</v>
      </c>
      <c r="O62" s="4">
        <f t="shared" si="5"/>
        <v>2709.3833921556329</v>
      </c>
      <c r="P62" s="4">
        <f t="shared" si="6"/>
        <v>4339.3875506842114</v>
      </c>
      <c r="Q62" s="3"/>
    </row>
    <row r="63" spans="1:17" x14ac:dyDescent="0.25">
      <c r="A63">
        <v>36</v>
      </c>
      <c r="B63" s="1" t="s">
        <v>73</v>
      </c>
      <c r="C63" s="1" t="s">
        <v>29</v>
      </c>
      <c r="D63" s="2">
        <v>39379</v>
      </c>
      <c r="E63" s="7">
        <v>12.85</v>
      </c>
      <c r="F63" s="4">
        <f t="shared" si="0"/>
        <v>5269.8490813648295</v>
      </c>
      <c r="G63" s="2">
        <v>39400</v>
      </c>
      <c r="H63" s="3">
        <v>2902.1</v>
      </c>
      <c r="I63" s="3">
        <v>1033.4000000000001</v>
      </c>
      <c r="J63" s="3">
        <v>1755.6</v>
      </c>
      <c r="K63" s="6">
        <f t="shared" si="1"/>
        <v>0.35608697150339413</v>
      </c>
      <c r="L63" s="6">
        <f t="shared" si="2"/>
        <v>0.60494124944006067</v>
      </c>
      <c r="M63" s="6">
        <f t="shared" si="3"/>
        <v>3.8971779056545253E-2</v>
      </c>
      <c r="N63" s="4">
        <f t="shared" si="4"/>
        <v>1876.5245996631459</v>
      </c>
      <c r="O63" s="4">
        <f t="shared" si="5"/>
        <v>3187.9490876413961</v>
      </c>
      <c r="P63" s="4">
        <f t="shared" si="6"/>
        <v>5064.4736873045422</v>
      </c>
      <c r="Q63" s="3"/>
    </row>
    <row r="64" spans="1:17" x14ac:dyDescent="0.25">
      <c r="A64">
        <v>37</v>
      </c>
      <c r="B64" s="1" t="s">
        <v>74</v>
      </c>
      <c r="C64" s="1" t="s">
        <v>29</v>
      </c>
      <c r="D64" s="2">
        <v>39379</v>
      </c>
      <c r="E64" s="7">
        <v>8.44</v>
      </c>
      <c r="F64" s="4">
        <f t="shared" si="0"/>
        <v>3461.2860892388449</v>
      </c>
      <c r="G64" s="2">
        <v>39400</v>
      </c>
      <c r="H64" s="3">
        <v>1920.4</v>
      </c>
      <c r="I64" s="3">
        <v>663.7</v>
      </c>
      <c r="J64" s="3">
        <v>1152.0999999999999</v>
      </c>
      <c r="K64" s="6">
        <f t="shared" si="1"/>
        <v>0.34560508227452613</v>
      </c>
      <c r="L64" s="6">
        <f t="shared" si="2"/>
        <v>0.59992709852114134</v>
      </c>
      <c r="M64" s="6">
        <f t="shared" si="3"/>
        <v>5.4467819204332524E-2</v>
      </c>
      <c r="N64" s="4">
        <f t="shared" si="4"/>
        <v>1196.2380636470639</v>
      </c>
      <c r="O64" s="4">
        <f t="shared" si="5"/>
        <v>2076.5193206686486</v>
      </c>
      <c r="P64" s="4">
        <f t="shared" si="6"/>
        <v>3272.7573843157124</v>
      </c>
    </row>
    <row r="65" spans="1:16" x14ac:dyDescent="0.25">
      <c r="A65">
        <v>38</v>
      </c>
      <c r="B65" s="1" t="s">
        <v>75</v>
      </c>
      <c r="C65" s="1" t="s">
        <v>29</v>
      </c>
      <c r="D65" s="2">
        <v>39379</v>
      </c>
      <c r="E65" s="7">
        <v>11.53</v>
      </c>
      <c r="F65" s="4">
        <f t="shared" si="0"/>
        <v>4728.510498687664</v>
      </c>
      <c r="G65" s="2">
        <v>39400</v>
      </c>
      <c r="H65" s="3">
        <v>2862.3</v>
      </c>
      <c r="I65" s="3">
        <v>1028.7</v>
      </c>
      <c r="J65" s="3">
        <v>1709.4</v>
      </c>
      <c r="K65" s="6">
        <f t="shared" si="1"/>
        <v>0.35939628969709675</v>
      </c>
      <c r="L65" s="6">
        <f t="shared" si="2"/>
        <v>0.59721203228173148</v>
      </c>
      <c r="M65" s="6">
        <f t="shared" si="3"/>
        <v>4.339167802117172E-2</v>
      </c>
      <c r="N65" s="4">
        <f t="shared" si="4"/>
        <v>1699.4091290221152</v>
      </c>
      <c r="O65" s="4">
        <f t="shared" si="5"/>
        <v>2823.9233645867635</v>
      </c>
      <c r="P65" s="4">
        <f t="shared" si="6"/>
        <v>4523.3324936088784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44"/>
  <sheetViews>
    <sheetView workbookViewId="0"/>
  </sheetViews>
  <sheetFormatPr defaultRowHeight="15" x14ac:dyDescent="0.25"/>
  <cols>
    <col min="4" max="4" width="10.5703125" bestFit="1" customWidth="1"/>
    <col min="7" max="7" width="10.5703125" bestFit="1" customWidth="1"/>
    <col min="17" max="17" width="9.5703125" bestFit="1" customWidth="1"/>
  </cols>
  <sheetData>
    <row r="1" spans="1:17" x14ac:dyDescent="0.25">
      <c r="B1" s="1"/>
      <c r="C1" s="1" t="s">
        <v>0</v>
      </c>
      <c r="D1" s="1" t="s">
        <v>0</v>
      </c>
      <c r="E1" t="s">
        <v>0</v>
      </c>
      <c r="F1" s="1" t="s">
        <v>0</v>
      </c>
      <c r="G1" s="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17</v>
      </c>
      <c r="O1" s="1" t="s">
        <v>17</v>
      </c>
      <c r="P1" s="1" t="s">
        <v>17</v>
      </c>
    </row>
    <row r="2" spans="1:17" x14ac:dyDescent="0.25">
      <c r="B2" s="1"/>
      <c r="C2" s="1"/>
      <c r="D2" s="1"/>
      <c r="F2" s="1"/>
      <c r="G2" s="1"/>
      <c r="K2" s="1"/>
      <c r="L2" s="1"/>
      <c r="M2" s="1"/>
      <c r="N2" s="1"/>
      <c r="O2" s="1"/>
      <c r="P2" s="1"/>
    </row>
    <row r="3" spans="1:17" x14ac:dyDescent="0.25">
      <c r="B3" s="1"/>
      <c r="C3" s="1"/>
      <c r="D3" s="1"/>
      <c r="E3" t="s">
        <v>1</v>
      </c>
      <c r="F3" s="1"/>
      <c r="G3" s="1" t="s">
        <v>33</v>
      </c>
      <c r="H3" t="s">
        <v>8</v>
      </c>
      <c r="I3" t="s">
        <v>11</v>
      </c>
      <c r="J3" t="s">
        <v>12</v>
      </c>
      <c r="K3" s="1"/>
      <c r="L3" s="1"/>
      <c r="M3" s="1"/>
      <c r="N3" s="1"/>
      <c r="O3" s="1"/>
      <c r="P3" s="1"/>
    </row>
    <row r="4" spans="1:17" x14ac:dyDescent="0.25">
      <c r="A4" t="s">
        <v>76</v>
      </c>
      <c r="B4" s="1" t="s">
        <v>21</v>
      </c>
      <c r="C4" s="1" t="s">
        <v>28</v>
      </c>
      <c r="D4" s="1" t="s">
        <v>2</v>
      </c>
      <c r="F4" s="1" t="s">
        <v>3</v>
      </c>
      <c r="G4" s="1" t="s">
        <v>34</v>
      </c>
      <c r="H4" t="s">
        <v>9</v>
      </c>
      <c r="I4" t="s">
        <v>9</v>
      </c>
      <c r="J4" t="s">
        <v>9</v>
      </c>
      <c r="K4" s="1" t="s">
        <v>13</v>
      </c>
      <c r="L4" s="1" t="s">
        <v>14</v>
      </c>
      <c r="M4" s="1" t="s">
        <v>15</v>
      </c>
      <c r="N4" s="1" t="s">
        <v>18</v>
      </c>
      <c r="O4" s="1" t="s">
        <v>19</v>
      </c>
      <c r="P4" s="1" t="s">
        <v>20</v>
      </c>
    </row>
    <row r="5" spans="1:17" x14ac:dyDescent="0.25">
      <c r="B5" s="1"/>
      <c r="C5" s="1"/>
      <c r="D5" s="1"/>
      <c r="E5" t="s">
        <v>79</v>
      </c>
      <c r="F5" s="1" t="s">
        <v>4</v>
      </c>
      <c r="G5" s="1"/>
      <c r="H5" t="s">
        <v>10</v>
      </c>
      <c r="I5" t="s">
        <v>10</v>
      </c>
      <c r="J5" t="s">
        <v>10</v>
      </c>
      <c r="K5" s="5" t="s">
        <v>16</v>
      </c>
      <c r="L5" s="5" t="s">
        <v>16</v>
      </c>
      <c r="M5" s="5" t="s">
        <v>16</v>
      </c>
      <c r="N5" s="5" t="s">
        <v>4</v>
      </c>
      <c r="O5" s="5" t="s">
        <v>4</v>
      </c>
      <c r="P5" s="5" t="s">
        <v>4</v>
      </c>
    </row>
    <row r="6" spans="1:17" x14ac:dyDescent="0.25">
      <c r="A6" t="s">
        <v>76</v>
      </c>
      <c r="B6" s="1" t="s">
        <v>21</v>
      </c>
      <c r="C6" s="1" t="s">
        <v>28</v>
      </c>
      <c r="D6" s="1" t="s">
        <v>2</v>
      </c>
      <c r="F6" s="1" t="s">
        <v>3</v>
      </c>
      <c r="G6" s="1" t="s">
        <v>34</v>
      </c>
      <c r="K6" s="1" t="s">
        <v>13</v>
      </c>
      <c r="L6" s="1" t="s">
        <v>14</v>
      </c>
      <c r="M6" s="1" t="s">
        <v>15</v>
      </c>
      <c r="N6" s="1" t="s">
        <v>18</v>
      </c>
      <c r="O6" s="1" t="s">
        <v>19</v>
      </c>
      <c r="P6" s="1" t="s">
        <v>20</v>
      </c>
    </row>
    <row r="7" spans="1:17" x14ac:dyDescent="0.25">
      <c r="A7">
        <v>1</v>
      </c>
      <c r="B7" s="1" t="s">
        <v>38</v>
      </c>
      <c r="C7" s="1" t="s">
        <v>29</v>
      </c>
      <c r="D7" s="2">
        <v>39384</v>
      </c>
      <c r="E7" s="3">
        <v>10.27</v>
      </c>
      <c r="F7" s="4">
        <v>4211.7782152230966</v>
      </c>
      <c r="G7" s="2">
        <v>39400</v>
      </c>
      <c r="H7" s="3">
        <v>3160.4</v>
      </c>
      <c r="I7" s="3">
        <v>1166.8</v>
      </c>
      <c r="J7" s="3">
        <v>1836.4</v>
      </c>
      <c r="K7" s="6">
        <v>0.36919377294013411</v>
      </c>
      <c r="L7" s="6">
        <v>0.58106568788760915</v>
      </c>
      <c r="M7" s="6">
        <v>4.9740539172256737E-2</v>
      </c>
      <c r="N7" s="4">
        <v>1554.9622900652791</v>
      </c>
      <c r="O7" s="4">
        <v>2447.3198058586554</v>
      </c>
      <c r="P7" s="4">
        <v>4002.2820959239343</v>
      </c>
      <c r="Q7" s="3"/>
    </row>
    <row r="8" spans="1:17" x14ac:dyDescent="0.25">
      <c r="A8">
        <v>2</v>
      </c>
      <c r="B8" s="1" t="s">
        <v>39</v>
      </c>
      <c r="C8" s="1" t="s">
        <v>29</v>
      </c>
      <c r="D8" s="2">
        <v>39384</v>
      </c>
      <c r="E8" s="3">
        <v>10.24</v>
      </c>
      <c r="F8" s="4">
        <v>4199.475065616798</v>
      </c>
      <c r="G8" s="2">
        <v>39400</v>
      </c>
      <c r="H8" s="3">
        <v>4171.3999999999996</v>
      </c>
      <c r="I8" s="3">
        <v>1504.8</v>
      </c>
      <c r="J8" s="3">
        <v>2506</v>
      </c>
      <c r="K8" s="6">
        <v>0.3607421968643621</v>
      </c>
      <c r="L8" s="6">
        <v>0.60075753943520172</v>
      </c>
      <c r="M8" s="6">
        <v>3.8500263700436244E-2</v>
      </c>
      <c r="N8" s="4">
        <v>1514.9278608477148</v>
      </c>
      <c r="O8" s="4">
        <v>2522.86630733943</v>
      </c>
      <c r="P8" s="4">
        <v>4037.7941681871448</v>
      </c>
      <c r="Q8" s="3"/>
    </row>
    <row r="9" spans="1:17" x14ac:dyDescent="0.25">
      <c r="A9">
        <v>3</v>
      </c>
      <c r="B9" s="1" t="s">
        <v>40</v>
      </c>
      <c r="C9" s="1" t="s">
        <v>29</v>
      </c>
      <c r="D9" s="2">
        <v>39384</v>
      </c>
      <c r="E9" s="3">
        <v>9.06</v>
      </c>
      <c r="F9" s="4">
        <v>3715.5511811023621</v>
      </c>
      <c r="G9" s="2">
        <v>39400</v>
      </c>
      <c r="H9" s="3">
        <v>1824.4</v>
      </c>
      <c r="I9" s="3">
        <v>625.6</v>
      </c>
      <c r="J9" s="3">
        <v>1128.4000000000001</v>
      </c>
      <c r="K9" s="6">
        <v>0.3429072571804429</v>
      </c>
      <c r="L9" s="6">
        <v>0.61850471387853545</v>
      </c>
      <c r="M9" s="6">
        <v>3.8588028941021646E-2</v>
      </c>
      <c r="N9" s="4">
        <v>1274.089464425366</v>
      </c>
      <c r="O9" s="4">
        <v>2298.0859201687708</v>
      </c>
      <c r="P9" s="4">
        <v>3572.1753845941366</v>
      </c>
      <c r="Q9" s="3"/>
    </row>
    <row r="10" spans="1:17" x14ac:dyDescent="0.25">
      <c r="A10">
        <v>4</v>
      </c>
      <c r="B10" s="1" t="s">
        <v>41</v>
      </c>
      <c r="C10" s="1" t="s">
        <v>29</v>
      </c>
      <c r="D10" s="2">
        <v>39384</v>
      </c>
      <c r="E10" s="3">
        <v>9.99</v>
      </c>
      <c r="F10" s="4">
        <v>4096.9488188976375</v>
      </c>
      <c r="G10" s="2">
        <v>39400</v>
      </c>
      <c r="H10" s="3">
        <v>2842.1</v>
      </c>
      <c r="I10" s="3">
        <v>1052.5</v>
      </c>
      <c r="J10" s="3">
        <v>1660.7</v>
      </c>
      <c r="K10" s="6">
        <v>0.37032475986066643</v>
      </c>
      <c r="L10" s="6">
        <v>0.58432145244713418</v>
      </c>
      <c r="M10" s="6">
        <v>4.5353787692199332E-2</v>
      </c>
      <c r="N10" s="4">
        <v>1517.2015875197085</v>
      </c>
      <c r="O10" s="4">
        <v>2393.9350844598384</v>
      </c>
      <c r="P10" s="4">
        <v>3911.1366719795469</v>
      </c>
      <c r="Q10" s="3"/>
    </row>
    <row r="11" spans="1:17" x14ac:dyDescent="0.25">
      <c r="A11">
        <v>5</v>
      </c>
      <c r="B11" s="1" t="s">
        <v>42</v>
      </c>
      <c r="C11" s="1" t="s">
        <v>29</v>
      </c>
      <c r="D11" s="2">
        <v>39384</v>
      </c>
      <c r="E11" s="3">
        <v>9.14</v>
      </c>
      <c r="F11" s="4">
        <v>3748.3595800524936</v>
      </c>
      <c r="G11" s="2">
        <v>39400</v>
      </c>
      <c r="H11" s="3">
        <v>3004.7</v>
      </c>
      <c r="I11" s="3">
        <v>1129.7</v>
      </c>
      <c r="J11" s="3">
        <v>1762.4</v>
      </c>
      <c r="K11" s="6">
        <v>0.37597763503843984</v>
      </c>
      <c r="L11" s="6">
        <v>0.58654774187106873</v>
      </c>
      <c r="M11" s="6">
        <v>3.7474623090491432E-2</v>
      </c>
      <c r="N11" s="4">
        <v>1409.2993701818161</v>
      </c>
      <c r="O11" s="4">
        <v>2198.5918474005775</v>
      </c>
      <c r="P11" s="4">
        <v>3607.8912175823934</v>
      </c>
      <c r="Q11" s="3"/>
    </row>
    <row r="12" spans="1:17" x14ac:dyDescent="0.25">
      <c r="A12">
        <v>6</v>
      </c>
      <c r="B12" s="1" t="s">
        <v>43</v>
      </c>
      <c r="C12" s="1" t="s">
        <v>29</v>
      </c>
      <c r="D12" s="2">
        <v>39384</v>
      </c>
      <c r="E12" s="3">
        <v>7.18</v>
      </c>
      <c r="F12" s="4">
        <v>2944.5538057742783</v>
      </c>
      <c r="G12" s="2">
        <v>39400</v>
      </c>
      <c r="H12" s="3">
        <v>1658.7</v>
      </c>
      <c r="I12" s="3">
        <v>582.1</v>
      </c>
      <c r="J12" s="3">
        <v>992.8</v>
      </c>
      <c r="K12" s="6">
        <v>0.35093748115994455</v>
      </c>
      <c r="L12" s="6">
        <v>0.59854102610478077</v>
      </c>
      <c r="M12" s="6">
        <v>5.052149273527462E-2</v>
      </c>
      <c r="N12" s="4">
        <v>1033.3542957383538</v>
      </c>
      <c r="O12" s="4">
        <v>1762.4362563288739</v>
      </c>
      <c r="P12" s="4">
        <v>2795.7905520672275</v>
      </c>
      <c r="Q12" s="3"/>
    </row>
    <row r="13" spans="1:17" x14ac:dyDescent="0.25">
      <c r="A13">
        <v>7</v>
      </c>
      <c r="B13" s="1" t="s">
        <v>44</v>
      </c>
      <c r="C13" s="1" t="s">
        <v>29</v>
      </c>
      <c r="D13" s="2">
        <v>39381</v>
      </c>
      <c r="E13" s="3">
        <v>13.87</v>
      </c>
      <c r="F13" s="4">
        <v>5688.1561679790029</v>
      </c>
      <c r="G13" s="2">
        <v>39400</v>
      </c>
      <c r="H13" s="3">
        <v>2930.7</v>
      </c>
      <c r="I13" s="3">
        <v>1046</v>
      </c>
      <c r="J13" s="3">
        <v>1767</v>
      </c>
      <c r="K13" s="6">
        <v>0.35691131811512611</v>
      </c>
      <c r="L13" s="6">
        <v>0.6029276282116901</v>
      </c>
      <c r="M13" s="6">
        <v>4.0161053673183789E-2</v>
      </c>
      <c r="N13" s="4">
        <v>2030.1673155580706</v>
      </c>
      <c r="O13" s="4">
        <v>3429.5465072572761</v>
      </c>
      <c r="P13" s="4">
        <v>5459.7138228153472</v>
      </c>
      <c r="Q13" s="3"/>
    </row>
    <row r="14" spans="1:17" x14ac:dyDescent="0.25">
      <c r="A14">
        <v>8</v>
      </c>
      <c r="B14" s="1" t="s">
        <v>45</v>
      </c>
      <c r="C14" s="1" t="s">
        <v>29</v>
      </c>
      <c r="D14" s="2">
        <v>39381</v>
      </c>
      <c r="E14" s="3">
        <v>13.38</v>
      </c>
      <c r="F14" s="4">
        <v>5487.2047244094492</v>
      </c>
      <c r="G14" s="2">
        <v>39400</v>
      </c>
      <c r="H14" s="3">
        <v>2700.7</v>
      </c>
      <c r="I14" s="3">
        <v>963.4</v>
      </c>
      <c r="J14" s="3">
        <v>1621</v>
      </c>
      <c r="K14" s="6">
        <v>0.35672233124745439</v>
      </c>
      <c r="L14" s="6">
        <v>0.60021475913652023</v>
      </c>
      <c r="M14" s="6">
        <v>4.3062909616025435E-2</v>
      </c>
      <c r="N14" s="4">
        <v>1957.4084613233842</v>
      </c>
      <c r="O14" s="4">
        <v>3293.5012619941936</v>
      </c>
      <c r="P14" s="4">
        <v>5250.909723317578</v>
      </c>
      <c r="Q14" s="3"/>
    </row>
    <row r="15" spans="1:17" x14ac:dyDescent="0.25">
      <c r="A15">
        <v>9</v>
      </c>
      <c r="B15" s="1" t="s">
        <v>46</v>
      </c>
      <c r="C15" s="1" t="s">
        <v>29</v>
      </c>
      <c r="D15" s="2">
        <v>39381</v>
      </c>
      <c r="E15" s="3">
        <v>14.1</v>
      </c>
      <c r="F15" s="4">
        <v>5782.4803149606296</v>
      </c>
      <c r="G15" s="2">
        <v>39400</v>
      </c>
      <c r="H15" s="3">
        <v>3619.7</v>
      </c>
      <c r="I15" s="3">
        <v>1320.2</v>
      </c>
      <c r="J15" s="3">
        <v>2165.6999999999998</v>
      </c>
      <c r="K15" s="6">
        <v>0.36472635853800039</v>
      </c>
      <c r="L15" s="6">
        <v>0.59830925214796804</v>
      </c>
      <c r="M15" s="6">
        <v>3.6964389314031565E-2</v>
      </c>
      <c r="N15" s="4">
        <v>2109.0229885932599</v>
      </c>
      <c r="O15" s="4">
        <v>3459.7114728044412</v>
      </c>
      <c r="P15" s="4">
        <v>5568.7344613977011</v>
      </c>
      <c r="Q15" s="3"/>
    </row>
    <row r="16" spans="1:17" x14ac:dyDescent="0.25">
      <c r="A16">
        <v>10</v>
      </c>
      <c r="B16" s="1" t="s">
        <v>47</v>
      </c>
      <c r="C16" s="1" t="s">
        <v>29</v>
      </c>
      <c r="D16" s="2">
        <v>39381</v>
      </c>
      <c r="E16" s="3">
        <v>11.71</v>
      </c>
      <c r="F16" s="4">
        <v>4802.32939632546</v>
      </c>
      <c r="G16" s="2">
        <v>39400</v>
      </c>
      <c r="H16" s="3">
        <v>2804.5</v>
      </c>
      <c r="I16" s="3">
        <v>1027.0999999999999</v>
      </c>
      <c r="J16" s="3">
        <v>1643.3</v>
      </c>
      <c r="K16" s="6">
        <v>0.36623284007844531</v>
      </c>
      <c r="L16" s="6">
        <v>0.58595114993760022</v>
      </c>
      <c r="M16" s="6">
        <v>4.7816009983954411E-2</v>
      </c>
      <c r="N16" s="4">
        <v>1758.770733808479</v>
      </c>
      <c r="O16" s="4">
        <v>2813.9304321560448</v>
      </c>
      <c r="P16" s="4">
        <v>4572.7011659645241</v>
      </c>
      <c r="Q16" s="3"/>
    </row>
    <row r="17" spans="1:17" x14ac:dyDescent="0.25">
      <c r="A17">
        <v>11</v>
      </c>
      <c r="B17" s="1" t="s">
        <v>48</v>
      </c>
      <c r="C17" s="1" t="s">
        <v>29</v>
      </c>
      <c r="D17" s="2">
        <v>39381</v>
      </c>
      <c r="E17" s="3">
        <v>13.76</v>
      </c>
      <c r="F17" s="4">
        <v>5643.0446194225724</v>
      </c>
      <c r="G17" s="2">
        <v>39400</v>
      </c>
      <c r="H17" s="3">
        <v>3460.2</v>
      </c>
      <c r="I17" s="3">
        <v>1280.0999999999999</v>
      </c>
      <c r="J17" s="3">
        <v>2105.6</v>
      </c>
      <c r="K17" s="6">
        <v>0.36994971388937054</v>
      </c>
      <c r="L17" s="6">
        <v>0.60851973874342524</v>
      </c>
      <c r="M17" s="6">
        <v>2.1530547367204167E-2</v>
      </c>
      <c r="N17" s="4">
        <v>2087.6427424203325</v>
      </c>
      <c r="O17" s="4">
        <v>3433.9040375285153</v>
      </c>
      <c r="P17" s="4">
        <v>5521.5467799488479</v>
      </c>
      <c r="Q17" s="3"/>
    </row>
    <row r="18" spans="1:17" x14ac:dyDescent="0.25">
      <c r="A18">
        <v>12</v>
      </c>
      <c r="B18" s="1" t="s">
        <v>49</v>
      </c>
      <c r="C18" s="1" t="s">
        <v>29</v>
      </c>
      <c r="D18" s="2">
        <v>39381</v>
      </c>
      <c r="E18" s="3">
        <v>13.55</v>
      </c>
      <c r="F18" s="4">
        <v>5556.9225721784778</v>
      </c>
      <c r="G18" s="2">
        <v>39400</v>
      </c>
      <c r="H18" s="3">
        <v>3262.8</v>
      </c>
      <c r="I18" s="3">
        <v>1220.8</v>
      </c>
      <c r="J18" s="3">
        <v>1945.8</v>
      </c>
      <c r="K18" s="6">
        <v>0.37415716562461687</v>
      </c>
      <c r="L18" s="6">
        <v>0.59635895549834494</v>
      </c>
      <c r="M18" s="6">
        <v>2.9483878877038183E-2</v>
      </c>
      <c r="N18" s="4">
        <v>2079.1623992017549</v>
      </c>
      <c r="O18" s="4">
        <v>3313.9205409295332</v>
      </c>
      <c r="P18" s="4">
        <v>5393.0829401312876</v>
      </c>
      <c r="Q18" s="3"/>
    </row>
    <row r="19" spans="1:17" x14ac:dyDescent="0.25">
      <c r="A19">
        <v>13</v>
      </c>
      <c r="B19" s="1" t="s">
        <v>50</v>
      </c>
      <c r="C19" s="1" t="s">
        <v>29</v>
      </c>
      <c r="D19" s="2">
        <v>39381</v>
      </c>
      <c r="E19" s="3">
        <v>13.38</v>
      </c>
      <c r="F19" s="4">
        <v>5487.2047244094492</v>
      </c>
      <c r="G19" s="2">
        <v>39400</v>
      </c>
      <c r="H19" s="3">
        <v>2624.9</v>
      </c>
      <c r="I19" s="3">
        <v>951.6</v>
      </c>
      <c r="J19" s="3">
        <v>1587.1</v>
      </c>
      <c r="K19" s="6">
        <v>0.3625280963084308</v>
      </c>
      <c r="L19" s="6">
        <v>0.60463255743075917</v>
      </c>
      <c r="M19" s="6">
        <v>3.2839346260810087E-2</v>
      </c>
      <c r="N19" s="4">
        <v>1989.2658827947853</v>
      </c>
      <c r="O19" s="4">
        <v>3317.7426256658291</v>
      </c>
      <c r="P19" s="4">
        <v>5307.0085084606144</v>
      </c>
      <c r="Q19" s="3"/>
    </row>
    <row r="20" spans="1:17" x14ac:dyDescent="0.25">
      <c r="A20">
        <v>14</v>
      </c>
      <c r="B20" s="1" t="s">
        <v>51</v>
      </c>
      <c r="C20" s="1" t="s">
        <v>29</v>
      </c>
      <c r="D20" s="2">
        <v>39380</v>
      </c>
      <c r="E20" s="3">
        <v>14.72</v>
      </c>
      <c r="F20" s="4">
        <v>6036.7454068241468</v>
      </c>
      <c r="G20" s="2">
        <v>39400</v>
      </c>
      <c r="H20" s="3">
        <v>2540.3000000000002</v>
      </c>
      <c r="I20" s="3">
        <v>947.4</v>
      </c>
      <c r="J20" s="3">
        <v>1515.7</v>
      </c>
      <c r="K20" s="6">
        <v>0.37294807699877963</v>
      </c>
      <c r="L20" s="6">
        <v>0.59666181159705545</v>
      </c>
      <c r="M20" s="6">
        <v>3.0390111404164921E-2</v>
      </c>
      <c r="N20" s="4">
        <v>2251.3925908062811</v>
      </c>
      <c r="O20" s="4">
        <v>3601.8954505858987</v>
      </c>
      <c r="P20" s="4">
        <v>5853.2880413921794</v>
      </c>
      <c r="Q20" s="3"/>
    </row>
    <row r="21" spans="1:17" x14ac:dyDescent="0.25">
      <c r="A21">
        <v>15</v>
      </c>
      <c r="B21" s="1" t="s">
        <v>52</v>
      </c>
      <c r="C21" s="1" t="s">
        <v>29</v>
      </c>
      <c r="D21" s="2">
        <v>39380</v>
      </c>
      <c r="E21" s="3">
        <v>9.98</v>
      </c>
      <c r="F21" s="4">
        <v>4092.8477690288719</v>
      </c>
      <c r="G21" s="2">
        <v>39400</v>
      </c>
      <c r="H21" s="3">
        <v>1946.8</v>
      </c>
      <c r="I21" s="3">
        <v>694.1</v>
      </c>
      <c r="J21" s="3">
        <v>1172.5999999999999</v>
      </c>
      <c r="K21" s="6">
        <v>0.35653379905485927</v>
      </c>
      <c r="L21" s="6">
        <v>0.60232175878364491</v>
      </c>
      <c r="M21" s="6">
        <v>4.114444216149582E-2</v>
      </c>
      <c r="N21" s="4">
        <v>1459.2385640450689</v>
      </c>
      <c r="O21" s="4">
        <v>2465.2112666751873</v>
      </c>
      <c r="P21" s="4">
        <v>3924.4498307202562</v>
      </c>
      <c r="Q21" s="3"/>
    </row>
    <row r="22" spans="1:17" x14ac:dyDescent="0.25">
      <c r="A22">
        <v>16</v>
      </c>
      <c r="B22" s="1" t="s">
        <v>53</v>
      </c>
      <c r="C22" s="1" t="s">
        <v>29</v>
      </c>
      <c r="D22" s="2">
        <v>39380</v>
      </c>
      <c r="E22" s="3">
        <v>11.32</v>
      </c>
      <c r="F22" s="4">
        <v>4642.3884514435695</v>
      </c>
      <c r="G22" s="2">
        <v>39400</v>
      </c>
      <c r="H22" s="3">
        <v>2342.1</v>
      </c>
      <c r="I22" s="3">
        <v>857.7</v>
      </c>
      <c r="J22" s="3">
        <v>1386.2</v>
      </c>
      <c r="K22" s="6">
        <v>0.36620981170744205</v>
      </c>
      <c r="L22" s="6">
        <v>0.59186200418427914</v>
      </c>
      <c r="M22" s="6">
        <v>4.192818410827881E-2</v>
      </c>
      <c r="N22" s="4">
        <v>1700.088200675953</v>
      </c>
      <c r="O22" s="4">
        <v>2747.6533330733432</v>
      </c>
      <c r="P22" s="4">
        <v>4447.7415337492967</v>
      </c>
      <c r="Q22" s="3"/>
    </row>
    <row r="23" spans="1:17" x14ac:dyDescent="0.25">
      <c r="A23">
        <v>17</v>
      </c>
      <c r="B23" s="1" t="s">
        <v>54</v>
      </c>
      <c r="C23" s="1" t="s">
        <v>29</v>
      </c>
      <c r="D23" s="2">
        <v>39380</v>
      </c>
      <c r="E23" s="3">
        <v>13.28</v>
      </c>
      <c r="F23" s="4">
        <v>5446.1942257217843</v>
      </c>
      <c r="G23" s="2">
        <v>39400</v>
      </c>
      <c r="H23" s="3">
        <v>2890.5</v>
      </c>
      <c r="I23" s="3">
        <v>1065.4000000000001</v>
      </c>
      <c r="J23" s="3">
        <v>1710.9</v>
      </c>
      <c r="K23" s="6">
        <v>0.36858674969728422</v>
      </c>
      <c r="L23" s="6">
        <v>0.59190451478982875</v>
      </c>
      <c r="M23" s="6">
        <v>3.9508735512887028E-2</v>
      </c>
      <c r="N23" s="4">
        <v>2007.39502787891</v>
      </c>
      <c r="O23" s="4">
        <v>3223.6269506270196</v>
      </c>
      <c r="P23" s="4">
        <v>5231.0219785059298</v>
      </c>
      <c r="Q23" s="3"/>
    </row>
    <row r="24" spans="1:17" x14ac:dyDescent="0.25">
      <c r="A24">
        <v>18</v>
      </c>
      <c r="B24" s="1" t="s">
        <v>55</v>
      </c>
      <c r="C24" s="1" t="s">
        <v>29</v>
      </c>
      <c r="D24" s="2">
        <v>39380</v>
      </c>
      <c r="E24" s="3">
        <v>13.23</v>
      </c>
      <c r="F24" s="4">
        <v>5425.6889763779527</v>
      </c>
      <c r="G24" s="2">
        <v>39400</v>
      </c>
      <c r="H24" s="3">
        <v>2513.5</v>
      </c>
      <c r="I24" s="3">
        <v>902.1</v>
      </c>
      <c r="J24" s="3">
        <v>1491.7</v>
      </c>
      <c r="K24" s="6">
        <v>0.35890192958026657</v>
      </c>
      <c r="L24" s="6">
        <v>0.59347523373781585</v>
      </c>
      <c r="M24" s="6">
        <v>4.762283668191758E-2</v>
      </c>
      <c r="N24" s="4">
        <v>1947.2902429244286</v>
      </c>
      <c r="O24" s="4">
        <v>3220.0120334445965</v>
      </c>
      <c r="P24" s="4">
        <v>5167.3022763690251</v>
      </c>
      <c r="Q24" s="3"/>
    </row>
    <row r="25" spans="1:17" x14ac:dyDescent="0.25">
      <c r="A25">
        <v>19</v>
      </c>
      <c r="B25" s="1" t="s">
        <v>56</v>
      </c>
      <c r="C25" s="1" t="s">
        <v>29</v>
      </c>
      <c r="D25" s="2">
        <v>39380</v>
      </c>
      <c r="E25" s="3">
        <v>13.66</v>
      </c>
      <c r="F25" s="4">
        <v>5602.0341207349074</v>
      </c>
      <c r="G25" s="2">
        <v>39400</v>
      </c>
      <c r="H25" s="3">
        <v>2791.3</v>
      </c>
      <c r="I25" s="3">
        <v>1004.3</v>
      </c>
      <c r="J25" s="3">
        <v>1683.2</v>
      </c>
      <c r="K25" s="6">
        <v>0.35979651058646506</v>
      </c>
      <c r="L25" s="6">
        <v>0.60301651560204916</v>
      </c>
      <c r="M25" s="6">
        <v>3.7186973811485724E-2</v>
      </c>
      <c r="N25" s="4">
        <v>2015.5923288267356</v>
      </c>
      <c r="O25" s="4">
        <v>3378.119095769353</v>
      </c>
      <c r="P25" s="4">
        <v>5393.7114245960884</v>
      </c>
      <c r="Q25" s="3"/>
    </row>
    <row r="26" spans="1:17" x14ac:dyDescent="0.25">
      <c r="A26">
        <v>20</v>
      </c>
      <c r="B26" s="1" t="s">
        <v>57</v>
      </c>
      <c r="C26" s="1" t="s">
        <v>29</v>
      </c>
      <c r="D26" s="2">
        <v>39380</v>
      </c>
      <c r="E26" s="3">
        <v>13.53</v>
      </c>
      <c r="F26" s="4">
        <v>5548.7204724409448</v>
      </c>
      <c r="G26" s="2">
        <v>39400</v>
      </c>
      <c r="H26" s="3">
        <v>2958.8</v>
      </c>
      <c r="I26" s="3">
        <v>1088.0999999999999</v>
      </c>
      <c r="J26" s="3">
        <v>1782.1</v>
      </c>
      <c r="K26" s="6">
        <v>0.367750439367311</v>
      </c>
      <c r="L26" s="6">
        <v>0.60230498850885483</v>
      </c>
      <c r="M26" s="6">
        <v>2.9944572123834168E-2</v>
      </c>
      <c r="N26" s="4">
        <v>2040.5443916665508</v>
      </c>
      <c r="O26" s="4">
        <v>3342.0220203923909</v>
      </c>
      <c r="P26" s="4">
        <v>5382.5664120589418</v>
      </c>
      <c r="Q26" s="3"/>
    </row>
    <row r="27" spans="1:17" x14ac:dyDescent="0.25">
      <c r="A27">
        <v>21</v>
      </c>
      <c r="B27" s="1" t="s">
        <v>58</v>
      </c>
      <c r="C27" s="1" t="s">
        <v>29</v>
      </c>
      <c r="D27" s="2">
        <v>39380</v>
      </c>
      <c r="E27" s="3">
        <v>11.85</v>
      </c>
      <c r="F27" s="4">
        <v>4859.7440944881882</v>
      </c>
      <c r="G27" s="2">
        <v>39400</v>
      </c>
      <c r="H27" s="3">
        <v>2606.1999999999998</v>
      </c>
      <c r="I27" s="3">
        <v>921.9</v>
      </c>
      <c r="J27" s="3">
        <v>1542.9</v>
      </c>
      <c r="K27" s="6">
        <v>0.35373340495740929</v>
      </c>
      <c r="L27" s="6">
        <v>0.59201135753203904</v>
      </c>
      <c r="M27" s="6">
        <v>5.4255237510551724E-2</v>
      </c>
      <c r="N27" s="4">
        <v>1719.0538257649687</v>
      </c>
      <c r="O27" s="4">
        <v>2877.023698636262</v>
      </c>
      <c r="P27" s="4">
        <v>4596.0775244012311</v>
      </c>
      <c r="Q27" s="3"/>
    </row>
    <row r="28" spans="1:17" x14ac:dyDescent="0.25">
      <c r="A28">
        <v>22</v>
      </c>
      <c r="B28" s="1" t="s">
        <v>59</v>
      </c>
      <c r="C28" s="1" t="s">
        <v>29</v>
      </c>
      <c r="D28" s="2">
        <v>39380</v>
      </c>
      <c r="E28" s="3">
        <v>11.15</v>
      </c>
      <c r="F28" s="4">
        <v>4572.6706036745409</v>
      </c>
      <c r="G28" s="2">
        <v>39400</v>
      </c>
      <c r="H28" s="3">
        <v>2499.6</v>
      </c>
      <c r="I28" s="3">
        <v>897.8</v>
      </c>
      <c r="J28" s="3">
        <v>1475.5</v>
      </c>
      <c r="K28" s="6">
        <v>0.35917746839494319</v>
      </c>
      <c r="L28" s="6">
        <v>0.59029444711153789</v>
      </c>
      <c r="M28" s="6">
        <v>5.0528084493518977E-2</v>
      </c>
      <c r="N28" s="4">
        <v>1642.4002512317982</v>
      </c>
      <c r="O28" s="4">
        <v>2699.2220658192455</v>
      </c>
      <c r="P28" s="4">
        <v>4341.6223170510439</v>
      </c>
      <c r="Q28" s="3"/>
    </row>
    <row r="29" spans="1:17" x14ac:dyDescent="0.25">
      <c r="A29">
        <v>23</v>
      </c>
      <c r="B29" s="1" t="s">
        <v>60</v>
      </c>
      <c r="C29" s="1" t="s">
        <v>29</v>
      </c>
      <c r="D29" s="2">
        <v>39380</v>
      </c>
      <c r="E29" s="3">
        <v>13.25</v>
      </c>
      <c r="F29" s="4">
        <v>5433.8910761154857</v>
      </c>
      <c r="G29" s="2">
        <v>39400</v>
      </c>
      <c r="H29" s="3">
        <v>3966.9</v>
      </c>
      <c r="I29" s="3">
        <v>1440.1</v>
      </c>
      <c r="J29" s="3">
        <v>2343.1</v>
      </c>
      <c r="K29" s="6">
        <v>0.36302906551715441</v>
      </c>
      <c r="L29" s="6">
        <v>0.59066273412488335</v>
      </c>
      <c r="M29" s="6">
        <v>4.6308200357962237E-2</v>
      </c>
      <c r="N29" s="4">
        <v>1972.6603994842094</v>
      </c>
      <c r="O29" s="4">
        <v>3209.5969599551772</v>
      </c>
      <c r="P29" s="4">
        <v>5182.2573594393871</v>
      </c>
      <c r="Q29" s="3"/>
    </row>
    <row r="30" spans="1:17" x14ac:dyDescent="0.25">
      <c r="A30">
        <v>24</v>
      </c>
      <c r="B30" s="1" t="s">
        <v>61</v>
      </c>
      <c r="C30" s="1" t="s">
        <v>29</v>
      </c>
      <c r="D30" s="2">
        <v>39380</v>
      </c>
      <c r="E30" s="3">
        <v>12.67</v>
      </c>
      <c r="F30" s="4">
        <v>5196.0301837270335</v>
      </c>
      <c r="G30" s="2">
        <v>39400</v>
      </c>
      <c r="H30" s="3">
        <v>2309.3000000000002</v>
      </c>
      <c r="I30" s="3">
        <v>828.8</v>
      </c>
      <c r="J30" s="3">
        <v>1382.1</v>
      </c>
      <c r="K30" s="6">
        <v>0.35889663534404359</v>
      </c>
      <c r="L30" s="6">
        <v>0.5984930498419434</v>
      </c>
      <c r="M30" s="6">
        <v>4.2610314814013006E-2</v>
      </c>
      <c r="N30" s="4">
        <v>1864.837750085725</v>
      </c>
      <c r="O30" s="4">
        <v>3109.787951729586</v>
      </c>
      <c r="P30" s="4">
        <v>4974.625701815311</v>
      </c>
      <c r="Q30" s="3"/>
    </row>
    <row r="31" spans="1:17" x14ac:dyDescent="0.25">
      <c r="A31">
        <v>25</v>
      </c>
      <c r="B31" s="1" t="s">
        <v>62</v>
      </c>
      <c r="C31" s="1" t="s">
        <v>29</v>
      </c>
      <c r="D31" s="2">
        <v>39380</v>
      </c>
      <c r="E31" s="3">
        <v>11.11</v>
      </c>
      <c r="F31" s="4">
        <v>4556.2664041994749</v>
      </c>
      <c r="G31" s="2">
        <v>39400</v>
      </c>
      <c r="H31" s="3">
        <v>2583.1999999999998</v>
      </c>
      <c r="I31" s="3">
        <v>930.1</v>
      </c>
      <c r="J31" s="3">
        <v>1554.7</v>
      </c>
      <c r="K31" s="6">
        <v>0.36005729327965319</v>
      </c>
      <c r="L31" s="6">
        <v>0.60185041808609485</v>
      </c>
      <c r="M31" s="6">
        <v>3.8092288634251958E-2</v>
      </c>
      <c r="N31" s="4">
        <v>1640.5169489570812</v>
      </c>
      <c r="O31" s="4">
        <v>2742.1908402790818</v>
      </c>
      <c r="P31" s="4">
        <v>4382.7077892361631</v>
      </c>
      <c r="Q31" s="3"/>
    </row>
    <row r="32" spans="1:17" x14ac:dyDescent="0.25">
      <c r="A32">
        <v>26</v>
      </c>
      <c r="B32" s="1" t="s">
        <v>63</v>
      </c>
      <c r="C32" s="1" t="s">
        <v>29</v>
      </c>
      <c r="D32" s="2">
        <v>39379</v>
      </c>
      <c r="E32" s="3">
        <v>12.78</v>
      </c>
      <c r="F32" s="4">
        <v>5241.1417322834641</v>
      </c>
      <c r="G32" s="2">
        <v>39400</v>
      </c>
      <c r="H32" s="3">
        <v>2700</v>
      </c>
      <c r="I32" s="3">
        <v>966.6</v>
      </c>
      <c r="J32" s="3">
        <v>1624.4</v>
      </c>
      <c r="K32" s="6">
        <v>0.35799999999999998</v>
      </c>
      <c r="L32" s="6">
        <v>0.60162962962962963</v>
      </c>
      <c r="M32" s="6">
        <v>4.037037037037039E-2</v>
      </c>
      <c r="N32" s="4">
        <v>1876.3287401574801</v>
      </c>
      <c r="O32" s="4">
        <v>3153.2261592300961</v>
      </c>
      <c r="P32" s="4">
        <v>5029.5548993875764</v>
      </c>
      <c r="Q32" s="3"/>
    </row>
    <row r="33" spans="1:17" x14ac:dyDescent="0.25">
      <c r="A33">
        <v>27</v>
      </c>
      <c r="B33" s="1" t="s">
        <v>64</v>
      </c>
      <c r="C33" s="1" t="s">
        <v>29</v>
      </c>
      <c r="D33" s="2">
        <v>39379</v>
      </c>
      <c r="E33" s="3">
        <v>11.02</v>
      </c>
      <c r="F33" s="4">
        <v>4519.3569553805773</v>
      </c>
      <c r="G33" s="2">
        <v>39400</v>
      </c>
      <c r="H33" s="3">
        <v>2536.6</v>
      </c>
      <c r="I33" s="3">
        <v>912</v>
      </c>
      <c r="J33" s="3">
        <v>1550.4</v>
      </c>
      <c r="K33" s="6">
        <v>0.35953638729007337</v>
      </c>
      <c r="L33" s="6">
        <v>0.61121185839312475</v>
      </c>
      <c r="M33" s="6">
        <v>2.9251754316801826E-2</v>
      </c>
      <c r="N33" s="4">
        <v>1624.873272611798</v>
      </c>
      <c r="O33" s="4">
        <v>2762.2845634400569</v>
      </c>
      <c r="P33" s="4">
        <v>4387.1578360518552</v>
      </c>
      <c r="Q33" s="3"/>
    </row>
    <row r="34" spans="1:17" x14ac:dyDescent="0.25">
      <c r="A34">
        <v>28</v>
      </c>
      <c r="B34" s="1" t="s">
        <v>65</v>
      </c>
      <c r="C34" s="1" t="s">
        <v>29</v>
      </c>
      <c r="D34" s="2">
        <v>39379</v>
      </c>
      <c r="E34" s="3">
        <v>12.66</v>
      </c>
      <c r="F34" s="4">
        <v>5191.9291338582671</v>
      </c>
      <c r="G34" s="2">
        <v>39400</v>
      </c>
      <c r="H34" s="3">
        <v>2754.2</v>
      </c>
      <c r="I34" s="3">
        <v>982.2</v>
      </c>
      <c r="J34" s="3">
        <v>1671</v>
      </c>
      <c r="K34" s="6">
        <v>0.35661898191852448</v>
      </c>
      <c r="L34" s="6">
        <v>0.60670975237818603</v>
      </c>
      <c r="M34" s="6">
        <v>3.6671265703289491E-2</v>
      </c>
      <c r="N34" s="4">
        <v>1851.5404819096618</v>
      </c>
      <c r="O34" s="4">
        <v>3149.9940391682389</v>
      </c>
      <c r="P34" s="4">
        <v>5001.5345210779005</v>
      </c>
      <c r="Q34" s="3"/>
    </row>
    <row r="35" spans="1:17" x14ac:dyDescent="0.25">
      <c r="A35">
        <v>29</v>
      </c>
      <c r="B35" s="1" t="s">
        <v>66</v>
      </c>
      <c r="C35" s="1" t="s">
        <v>29</v>
      </c>
      <c r="D35" s="2">
        <v>39379</v>
      </c>
      <c r="E35" s="3">
        <v>11.3</v>
      </c>
      <c r="F35" s="4">
        <v>4634.1863517060374</v>
      </c>
      <c r="G35" s="2">
        <v>39400</v>
      </c>
      <c r="H35" s="3">
        <v>2058.6999999999998</v>
      </c>
      <c r="I35" s="3">
        <v>745.9</v>
      </c>
      <c r="J35" s="3">
        <v>1198.0999999999999</v>
      </c>
      <c r="K35" s="6">
        <v>0.36231602467576629</v>
      </c>
      <c r="L35" s="6">
        <v>0.58196920386651774</v>
      </c>
      <c r="M35" s="6">
        <v>5.5714771457715973E-2</v>
      </c>
      <c r="N35" s="4">
        <v>1679.0399765568241</v>
      </c>
      <c r="O35" s="4">
        <v>2696.9537416714447</v>
      </c>
      <c r="P35" s="4">
        <v>4375.9937182282683</v>
      </c>
      <c r="Q35" s="3"/>
    </row>
    <row r="36" spans="1:17" x14ac:dyDescent="0.25">
      <c r="A36">
        <v>30</v>
      </c>
      <c r="B36" s="1" t="s">
        <v>67</v>
      </c>
      <c r="C36" s="1" t="s">
        <v>29</v>
      </c>
      <c r="D36" s="2">
        <v>39379</v>
      </c>
      <c r="E36" s="3">
        <v>10.86</v>
      </c>
      <c r="F36" s="4">
        <v>4453.7401574803152</v>
      </c>
      <c r="G36" s="2">
        <v>39400</v>
      </c>
      <c r="H36" s="3">
        <v>2748</v>
      </c>
      <c r="I36" s="3">
        <v>1013.3</v>
      </c>
      <c r="J36" s="3">
        <v>1619.4</v>
      </c>
      <c r="K36" s="6">
        <v>0.3687409024745269</v>
      </c>
      <c r="L36" s="6">
        <v>0.58930131004366815</v>
      </c>
      <c r="M36" s="6">
        <v>4.1957787481804898E-2</v>
      </c>
      <c r="N36" s="4">
        <v>1642.276165056333</v>
      </c>
      <c r="O36" s="4">
        <v>2624.5949093972426</v>
      </c>
      <c r="P36" s="4">
        <v>4266.8710744535756</v>
      </c>
      <c r="Q36" s="3"/>
    </row>
    <row r="37" spans="1:17" x14ac:dyDescent="0.25">
      <c r="A37">
        <v>31</v>
      </c>
      <c r="B37" s="1" t="s">
        <v>68</v>
      </c>
      <c r="C37" s="1" t="s">
        <v>29</v>
      </c>
      <c r="D37" s="2">
        <v>39379</v>
      </c>
      <c r="E37" s="3">
        <v>6.49</v>
      </c>
      <c r="F37" s="4">
        <v>2661.5813648293961</v>
      </c>
      <c r="G37" s="2">
        <v>39400</v>
      </c>
      <c r="H37" s="3">
        <v>1682.1</v>
      </c>
      <c r="I37" s="3">
        <v>557.6</v>
      </c>
      <c r="J37" s="3">
        <v>997.2</v>
      </c>
      <c r="K37" s="6">
        <v>0.3314903989061293</v>
      </c>
      <c r="L37" s="6">
        <v>0.59283039058319964</v>
      </c>
      <c r="M37" s="6">
        <v>7.5679210510671058E-2</v>
      </c>
      <c r="N37" s="4">
        <v>882.28866834841654</v>
      </c>
      <c r="O37" s="4">
        <v>1577.8663200807764</v>
      </c>
      <c r="P37" s="4">
        <v>2460.1549884291931</v>
      </c>
      <c r="Q37" s="3"/>
    </row>
    <row r="38" spans="1:17" x14ac:dyDescent="0.25">
      <c r="A38">
        <v>32</v>
      </c>
      <c r="B38" s="1" t="s">
        <v>69</v>
      </c>
      <c r="C38" s="1" t="s">
        <v>29</v>
      </c>
      <c r="D38" s="2">
        <v>39379</v>
      </c>
      <c r="E38" s="3">
        <v>8.43</v>
      </c>
      <c r="F38" s="4">
        <v>3457.1850393700788</v>
      </c>
      <c r="G38" s="2">
        <v>39400</v>
      </c>
      <c r="H38" s="3">
        <v>1979.2</v>
      </c>
      <c r="I38" s="3">
        <v>654.20000000000005</v>
      </c>
      <c r="J38" s="3">
        <v>1181</v>
      </c>
      <c r="K38" s="6">
        <v>0.33053759094583673</v>
      </c>
      <c r="L38" s="6">
        <v>0.59670573969280516</v>
      </c>
      <c r="M38" s="6">
        <v>7.2756669361358051E-2</v>
      </c>
      <c r="N38" s="4">
        <v>1142.7296143673736</v>
      </c>
      <c r="O38" s="4">
        <v>2062.9221561722225</v>
      </c>
      <c r="P38" s="4">
        <v>3205.6517705395963</v>
      </c>
      <c r="Q38" s="3"/>
    </row>
    <row r="39" spans="1:17" x14ac:dyDescent="0.25">
      <c r="A39">
        <v>33</v>
      </c>
      <c r="B39" s="1" t="s">
        <v>70</v>
      </c>
      <c r="C39" s="1" t="s">
        <v>29</v>
      </c>
      <c r="D39" s="2">
        <v>39379</v>
      </c>
      <c r="E39" s="3">
        <v>11.66</v>
      </c>
      <c r="F39" s="4">
        <v>4781.8241469816276</v>
      </c>
      <c r="G39" s="2">
        <v>39400</v>
      </c>
      <c r="H39">
        <v>2174</v>
      </c>
      <c r="I39">
        <v>766.8</v>
      </c>
      <c r="J39">
        <v>1324.7</v>
      </c>
      <c r="K39" s="6">
        <v>0.35271389144434223</v>
      </c>
      <c r="L39" s="6">
        <v>0.60933762649494028</v>
      </c>
      <c r="M39" s="6">
        <v>3.7948482060717548E-2</v>
      </c>
      <c r="N39" s="4">
        <v>1686.6158030844122</v>
      </c>
      <c r="O39" s="4">
        <v>2913.7453760379772</v>
      </c>
      <c r="P39" s="4">
        <v>4600.3611791223893</v>
      </c>
      <c r="Q39" s="3"/>
    </row>
    <row r="40" spans="1:17" x14ac:dyDescent="0.25">
      <c r="A40">
        <v>34</v>
      </c>
      <c r="B40" s="1" t="s">
        <v>71</v>
      </c>
      <c r="C40" s="1" t="s">
        <v>29</v>
      </c>
      <c r="D40" s="2">
        <v>39379</v>
      </c>
      <c r="E40" s="3">
        <v>11.16</v>
      </c>
      <c r="F40" s="4">
        <v>4576.7716535433074</v>
      </c>
      <c r="G40" s="2">
        <v>39400</v>
      </c>
      <c r="H40">
        <v>2665.7</v>
      </c>
      <c r="I40">
        <v>939.9</v>
      </c>
      <c r="J40">
        <v>1630.9</v>
      </c>
      <c r="K40" s="6">
        <v>0.35259031398882096</v>
      </c>
      <c r="L40" s="6">
        <v>0.61180928086431341</v>
      </c>
      <c r="M40" s="6">
        <v>3.5600405146865688E-2</v>
      </c>
      <c r="N40" s="4">
        <v>1613.72535437797</v>
      </c>
      <c r="O40" s="4">
        <v>2800.1113740345054</v>
      </c>
      <c r="P40" s="4">
        <v>4413.8367284124752</v>
      </c>
      <c r="Q40" s="3"/>
    </row>
    <row r="41" spans="1:17" x14ac:dyDescent="0.25">
      <c r="A41">
        <v>35</v>
      </c>
      <c r="B41" s="1" t="s">
        <v>72</v>
      </c>
      <c r="C41" s="1" t="s">
        <v>29</v>
      </c>
      <c r="D41" s="2">
        <v>39379</v>
      </c>
      <c r="E41" s="3">
        <v>11.14</v>
      </c>
      <c r="F41" s="4">
        <v>4568.5695538057744</v>
      </c>
      <c r="G41" s="2">
        <v>39400</v>
      </c>
      <c r="H41">
        <v>2485.8000000000002</v>
      </c>
      <c r="I41">
        <v>886.9</v>
      </c>
      <c r="J41">
        <v>1474.2</v>
      </c>
      <c r="K41" s="6">
        <v>0.35678654759031292</v>
      </c>
      <c r="L41" s="6">
        <v>0.59304851556842864</v>
      </c>
      <c r="M41" s="6">
        <v>5.0164936841258445E-2</v>
      </c>
      <c r="N41" s="4">
        <v>1630.0041585285785</v>
      </c>
      <c r="O41" s="4">
        <v>2709.3833921556329</v>
      </c>
      <c r="P41" s="4">
        <v>4339.3875506842114</v>
      </c>
      <c r="Q41" s="3"/>
    </row>
    <row r="42" spans="1:17" x14ac:dyDescent="0.25">
      <c r="A42">
        <v>36</v>
      </c>
      <c r="B42" s="1" t="s">
        <v>73</v>
      </c>
      <c r="C42" s="1" t="s">
        <v>29</v>
      </c>
      <c r="D42" s="2">
        <v>39379</v>
      </c>
      <c r="E42" s="3">
        <v>12.85</v>
      </c>
      <c r="F42" s="4">
        <v>5269.8490813648295</v>
      </c>
      <c r="G42" s="2">
        <v>39400</v>
      </c>
      <c r="H42">
        <v>2902.1</v>
      </c>
      <c r="I42">
        <v>1033.4000000000001</v>
      </c>
      <c r="J42">
        <v>1755.6</v>
      </c>
      <c r="K42" s="6">
        <v>0.35608697150339413</v>
      </c>
      <c r="L42" s="6">
        <v>0.60494124944006067</v>
      </c>
      <c r="M42" s="6">
        <v>3.8971779056545253E-2</v>
      </c>
      <c r="N42" s="4">
        <v>1876.5245996631459</v>
      </c>
      <c r="O42" s="4">
        <v>3187.9490876413961</v>
      </c>
      <c r="P42" s="4">
        <v>5064.4736873045422</v>
      </c>
      <c r="Q42" s="3"/>
    </row>
    <row r="43" spans="1:17" x14ac:dyDescent="0.25">
      <c r="A43">
        <v>37</v>
      </c>
      <c r="B43" s="1" t="s">
        <v>74</v>
      </c>
      <c r="C43" s="1" t="s">
        <v>29</v>
      </c>
      <c r="D43" s="2">
        <v>39379</v>
      </c>
      <c r="E43" s="3">
        <v>8.44</v>
      </c>
      <c r="F43" s="4">
        <v>3461.2860892388449</v>
      </c>
      <c r="G43" s="2">
        <v>39400</v>
      </c>
      <c r="H43">
        <v>1920.4</v>
      </c>
      <c r="I43">
        <v>663.7</v>
      </c>
      <c r="J43">
        <v>1152.0999999999999</v>
      </c>
      <c r="K43" s="6">
        <v>0.34560508227452613</v>
      </c>
      <c r="L43" s="6">
        <v>0.59992709852114134</v>
      </c>
      <c r="M43" s="6">
        <v>5.4467819204332524E-2</v>
      </c>
      <c r="N43" s="4">
        <v>1196.2380636470639</v>
      </c>
      <c r="O43" s="4">
        <v>2076.5193206686486</v>
      </c>
      <c r="P43" s="4">
        <v>3272.7573843157124</v>
      </c>
    </row>
    <row r="44" spans="1:17" x14ac:dyDescent="0.25">
      <c r="A44">
        <v>38</v>
      </c>
      <c r="B44" s="1" t="s">
        <v>75</v>
      </c>
      <c r="C44" s="1" t="s">
        <v>29</v>
      </c>
      <c r="D44" s="2">
        <v>39379</v>
      </c>
      <c r="E44" s="3">
        <v>11.53</v>
      </c>
      <c r="F44" s="4">
        <v>4728.510498687664</v>
      </c>
      <c r="G44" s="2">
        <v>39400</v>
      </c>
      <c r="H44">
        <v>2862.3</v>
      </c>
      <c r="I44">
        <v>1028.7</v>
      </c>
      <c r="J44">
        <v>1709.4</v>
      </c>
      <c r="K44" s="6">
        <v>0.35939628969709675</v>
      </c>
      <c r="L44" s="6">
        <v>0.59721203228173148</v>
      </c>
      <c r="M44" s="6">
        <v>4.339167802117172E-2</v>
      </c>
      <c r="N44" s="4">
        <v>1699.4091290221152</v>
      </c>
      <c r="O44" s="4">
        <v>2823.9233645867635</v>
      </c>
      <c r="P44" s="4">
        <v>4523.3324936088784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5F50-7A5C-42B4-8EDE-231CED7EDFC6}">
  <dimension ref="A1:N44"/>
  <sheetViews>
    <sheetView workbookViewId="0"/>
  </sheetViews>
  <sheetFormatPr defaultRowHeight="15" x14ac:dyDescent="0.25"/>
  <sheetData>
    <row r="1" spans="1:14" x14ac:dyDescent="0.25">
      <c r="B1" t="s">
        <v>85</v>
      </c>
      <c r="C1" t="s">
        <v>85</v>
      </c>
    </row>
    <row r="2" spans="1:14" x14ac:dyDescent="0.25">
      <c r="B2" t="s">
        <v>86</v>
      </c>
      <c r="C2" t="s">
        <v>86</v>
      </c>
    </row>
    <row r="4" spans="1:14" x14ac:dyDescent="0.25">
      <c r="B4" t="s">
        <v>83</v>
      </c>
      <c r="C4" t="s">
        <v>84</v>
      </c>
    </row>
    <row r="6" spans="1:14" x14ac:dyDescent="0.25">
      <c r="A6" t="s">
        <v>37</v>
      </c>
      <c r="N6">
        <v>0</v>
      </c>
    </row>
    <row r="7" spans="1:14" x14ac:dyDescent="0.25">
      <c r="A7" t="s">
        <v>38</v>
      </c>
      <c r="B7">
        <v>1555</v>
      </c>
      <c r="C7">
        <v>4211.78</v>
      </c>
      <c r="N7">
        <v>2500</v>
      </c>
    </row>
    <row r="8" spans="1:14" x14ac:dyDescent="0.25">
      <c r="A8" t="s">
        <v>39</v>
      </c>
      <c r="B8">
        <v>1514.9</v>
      </c>
      <c r="C8">
        <v>4199.4799999999996</v>
      </c>
    </row>
    <row r="9" spans="1:14" x14ac:dyDescent="0.25">
      <c r="A9" t="s">
        <v>40</v>
      </c>
      <c r="B9">
        <v>1274.0999999999999</v>
      </c>
      <c r="C9">
        <v>3715.55</v>
      </c>
    </row>
    <row r="10" spans="1:14" x14ac:dyDescent="0.25">
      <c r="A10" t="s">
        <v>41</v>
      </c>
      <c r="B10">
        <v>1517.2</v>
      </c>
      <c r="C10">
        <v>4096.95</v>
      </c>
    </row>
    <row r="11" spans="1:14" x14ac:dyDescent="0.25">
      <c r="A11" t="s">
        <v>42</v>
      </c>
      <c r="B11">
        <v>1409.3</v>
      </c>
      <c r="C11">
        <v>3748.36</v>
      </c>
    </row>
    <row r="12" spans="1:14" x14ac:dyDescent="0.25">
      <c r="A12" t="s">
        <v>43</v>
      </c>
      <c r="B12">
        <v>1033.4000000000001</v>
      </c>
      <c r="C12">
        <v>2944.55</v>
      </c>
    </row>
    <row r="13" spans="1:14" x14ac:dyDescent="0.25">
      <c r="A13" t="s">
        <v>44</v>
      </c>
      <c r="B13">
        <v>2030.2</v>
      </c>
      <c r="C13">
        <v>5688.16</v>
      </c>
    </row>
    <row r="14" spans="1:14" x14ac:dyDescent="0.25">
      <c r="A14" t="s">
        <v>45</v>
      </c>
      <c r="B14">
        <v>1957.4</v>
      </c>
      <c r="C14">
        <v>5487.2</v>
      </c>
    </row>
    <row r="15" spans="1:14" x14ac:dyDescent="0.25">
      <c r="A15" t="s">
        <v>46</v>
      </c>
      <c r="B15">
        <v>2109</v>
      </c>
      <c r="C15">
        <v>5782.48</v>
      </c>
    </row>
    <row r="16" spans="1:14" x14ac:dyDescent="0.25">
      <c r="A16" t="s">
        <v>47</v>
      </c>
      <c r="B16">
        <v>1758.8</v>
      </c>
      <c r="C16">
        <v>4802.33</v>
      </c>
    </row>
    <row r="17" spans="1:14" x14ac:dyDescent="0.25">
      <c r="A17" t="s">
        <v>48</v>
      </c>
      <c r="B17">
        <v>2087.6</v>
      </c>
      <c r="C17">
        <v>5643.04</v>
      </c>
    </row>
    <row r="18" spans="1:14" x14ac:dyDescent="0.25">
      <c r="A18" t="s">
        <v>49</v>
      </c>
      <c r="B18">
        <v>2079.1999999999998</v>
      </c>
      <c r="C18">
        <v>5556.92</v>
      </c>
    </row>
    <row r="19" spans="1:14" x14ac:dyDescent="0.25">
      <c r="A19" t="s">
        <v>50</v>
      </c>
      <c r="B19">
        <v>1989.3</v>
      </c>
      <c r="C19">
        <v>5487.2</v>
      </c>
    </row>
    <row r="20" spans="1:14" x14ac:dyDescent="0.25">
      <c r="A20" t="s">
        <v>51</v>
      </c>
      <c r="B20">
        <v>2251.4</v>
      </c>
      <c r="C20">
        <v>6036.75</v>
      </c>
    </row>
    <row r="21" spans="1:14" x14ac:dyDescent="0.25">
      <c r="A21" t="s">
        <v>52</v>
      </c>
      <c r="B21">
        <v>1459.2</v>
      </c>
      <c r="C21">
        <v>4092.85</v>
      </c>
    </row>
    <row r="22" spans="1:14" x14ac:dyDescent="0.25">
      <c r="A22" t="s">
        <v>53</v>
      </c>
      <c r="B22">
        <v>1700.1</v>
      </c>
      <c r="C22">
        <v>4642.3900000000003</v>
      </c>
    </row>
    <row r="23" spans="1:14" x14ac:dyDescent="0.25">
      <c r="A23" t="s">
        <v>54</v>
      </c>
      <c r="B23">
        <v>2007.4</v>
      </c>
      <c r="C23">
        <v>5446.19</v>
      </c>
    </row>
    <row r="24" spans="1:14" x14ac:dyDescent="0.25">
      <c r="A24" t="s">
        <v>55</v>
      </c>
      <c r="B24">
        <v>1947.3</v>
      </c>
      <c r="C24">
        <v>5425.69</v>
      </c>
    </row>
    <row r="25" spans="1:14" x14ac:dyDescent="0.25">
      <c r="A25" t="s">
        <v>56</v>
      </c>
      <c r="B25">
        <v>2015.6</v>
      </c>
      <c r="C25">
        <v>5602.03</v>
      </c>
    </row>
    <row r="26" spans="1:14" x14ac:dyDescent="0.25">
      <c r="A26" t="s">
        <v>57</v>
      </c>
      <c r="B26">
        <v>2040.5</v>
      </c>
      <c r="C26">
        <v>5548.72</v>
      </c>
    </row>
    <row r="27" spans="1:14" x14ac:dyDescent="0.25">
      <c r="A27" t="s">
        <v>58</v>
      </c>
      <c r="B27">
        <v>1719.1</v>
      </c>
      <c r="C27">
        <v>4859.74</v>
      </c>
      <c r="N27">
        <v>0</v>
      </c>
    </row>
    <row r="28" spans="1:14" x14ac:dyDescent="0.25">
      <c r="A28" t="s">
        <v>59</v>
      </c>
      <c r="B28">
        <v>1642.4</v>
      </c>
      <c r="C28">
        <v>4572.67</v>
      </c>
      <c r="N28">
        <v>6000</v>
      </c>
    </row>
    <row r="29" spans="1:14" x14ac:dyDescent="0.25">
      <c r="A29" t="s">
        <v>60</v>
      </c>
      <c r="B29">
        <v>1972.7</v>
      </c>
      <c r="C29">
        <v>5433.89</v>
      </c>
    </row>
    <row r="30" spans="1:14" x14ac:dyDescent="0.25">
      <c r="A30" t="s">
        <v>61</v>
      </c>
      <c r="B30">
        <v>1864.8</v>
      </c>
      <c r="C30">
        <v>5196.03</v>
      </c>
    </row>
    <row r="31" spans="1:14" x14ac:dyDescent="0.25">
      <c r="A31" t="s">
        <v>62</v>
      </c>
      <c r="B31">
        <v>1640.5</v>
      </c>
      <c r="C31">
        <v>4556.2700000000004</v>
      </c>
    </row>
    <row r="32" spans="1:14" x14ac:dyDescent="0.25">
      <c r="A32" t="s">
        <v>63</v>
      </c>
      <c r="B32">
        <v>1876.3</v>
      </c>
      <c r="C32">
        <v>5241.1400000000003</v>
      </c>
    </row>
    <row r="33" spans="1:3" x14ac:dyDescent="0.25">
      <c r="A33" t="s">
        <v>64</v>
      </c>
      <c r="B33">
        <v>1624.9</v>
      </c>
      <c r="C33">
        <v>4519.3599999999997</v>
      </c>
    </row>
    <row r="34" spans="1:3" x14ac:dyDescent="0.25">
      <c r="A34" t="s">
        <v>65</v>
      </c>
      <c r="B34">
        <v>1851.5</v>
      </c>
      <c r="C34">
        <v>5191.93</v>
      </c>
    </row>
    <row r="35" spans="1:3" x14ac:dyDescent="0.25">
      <c r="A35" t="s">
        <v>66</v>
      </c>
      <c r="B35">
        <v>1679</v>
      </c>
      <c r="C35">
        <v>4634.1899999999996</v>
      </c>
    </row>
    <row r="36" spans="1:3" x14ac:dyDescent="0.25">
      <c r="A36" t="s">
        <v>67</v>
      </c>
      <c r="B36">
        <v>1642.3</v>
      </c>
      <c r="C36">
        <v>4453.74</v>
      </c>
    </row>
    <row r="37" spans="1:3" x14ac:dyDescent="0.25">
      <c r="A37" t="s">
        <v>68</v>
      </c>
      <c r="B37">
        <v>882.3</v>
      </c>
      <c r="C37">
        <v>2661.58</v>
      </c>
    </row>
    <row r="38" spans="1:3" x14ac:dyDescent="0.25">
      <c r="A38" t="s">
        <v>69</v>
      </c>
      <c r="B38">
        <v>1142.7</v>
      </c>
      <c r="C38">
        <v>3457.19</v>
      </c>
    </row>
    <row r="39" spans="1:3" x14ac:dyDescent="0.25">
      <c r="A39" t="s">
        <v>70</v>
      </c>
      <c r="B39">
        <v>1686.6</v>
      </c>
      <c r="C39">
        <v>4781.82</v>
      </c>
    </row>
    <row r="40" spans="1:3" x14ac:dyDescent="0.25">
      <c r="A40" t="s">
        <v>71</v>
      </c>
      <c r="B40">
        <v>1613.7</v>
      </c>
      <c r="C40">
        <v>4576.7700000000004</v>
      </c>
    </row>
    <row r="41" spans="1:3" x14ac:dyDescent="0.25">
      <c r="A41" t="s">
        <v>72</v>
      </c>
      <c r="B41">
        <v>1630</v>
      </c>
      <c r="C41">
        <v>4568.57</v>
      </c>
    </row>
    <row r="42" spans="1:3" x14ac:dyDescent="0.25">
      <c r="A42" t="s">
        <v>73</v>
      </c>
      <c r="B42">
        <v>1876.5</v>
      </c>
      <c r="C42">
        <v>5269.85</v>
      </c>
    </row>
    <row r="43" spans="1:3" x14ac:dyDescent="0.25">
      <c r="A43" t="s">
        <v>74</v>
      </c>
      <c r="B43">
        <v>1196.2</v>
      </c>
      <c r="C43">
        <v>3461.29</v>
      </c>
    </row>
    <row r="44" spans="1:3" x14ac:dyDescent="0.25">
      <c r="A44" t="s">
        <v>75</v>
      </c>
      <c r="B44">
        <v>1699.4</v>
      </c>
      <c r="C44">
        <v>4728.51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058F-5573-4444-9F4F-EB9C7BC1FC03}">
  <sheetPr codeName="Sheet49">
    <pageSetUpPr fitToPage="1"/>
  </sheetPr>
  <dimension ref="A1:R22"/>
  <sheetViews>
    <sheetView topLeftCell="E1" workbookViewId="0">
      <selection activeCell="K6" sqref="K6:M6"/>
    </sheetView>
  </sheetViews>
  <sheetFormatPr defaultRowHeight="12.75" x14ac:dyDescent="0.2"/>
  <cols>
    <col min="1" max="8" width="9.140625" style="8"/>
    <col min="9" max="9" width="20.1406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11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2930.7</v>
      </c>
      <c r="N3" s="42" t="s">
        <v>116</v>
      </c>
      <c r="O3" s="41">
        <f>(L3-(L4+L5))/L3</f>
        <v>4.0161053673183823E-2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1046</v>
      </c>
      <c r="N4" s="42" t="s">
        <v>111</v>
      </c>
      <c r="O4" s="41">
        <f>L4/L3</f>
        <v>0.35691131811512611</v>
      </c>
    </row>
    <row r="5" spans="1:18" ht="17.25" thickTop="1" thickBot="1" x14ac:dyDescent="0.25">
      <c r="B5" s="45" t="s">
        <v>110</v>
      </c>
      <c r="C5" s="44">
        <v>0.39652777777777781</v>
      </c>
      <c r="F5" s="40"/>
      <c r="G5" s="40"/>
      <c r="K5" s="42" t="s">
        <v>109</v>
      </c>
      <c r="L5" s="43">
        <v>1767</v>
      </c>
      <c r="N5" s="42" t="s">
        <v>108</v>
      </c>
      <c r="O5" s="41">
        <f>L5/L3</f>
        <v>0.6029276282116901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0.68</v>
      </c>
      <c r="F9" s="28">
        <v>1.1499999999999999</v>
      </c>
      <c r="G9" s="23">
        <v>0.65</v>
      </c>
      <c r="H9" s="23">
        <f t="shared" ref="H9:H14" si="0">SUM(E9:G9)</f>
        <v>2.48</v>
      </c>
      <c r="I9" s="31"/>
      <c r="K9" s="21">
        <f t="shared" ref="K9:K14" si="1">H9/D9*1000</f>
        <v>620</v>
      </c>
      <c r="L9" s="21">
        <f t="shared" ref="L9:L14" si="2">K9/1.016*10</f>
        <v>6102.3622047244089</v>
      </c>
      <c r="M9" s="20">
        <f t="shared" ref="M9:M14" si="3">L9/1.12085</f>
        <v>5444.4057676980947</v>
      </c>
      <c r="N9" s="19">
        <f t="shared" ref="N9:O14" si="4">L9*$O$4</f>
        <v>2178.0021381041156</v>
      </c>
      <c r="O9" s="19">
        <f t="shared" si="4"/>
        <v>1943.1700389027221</v>
      </c>
      <c r="P9" s="18">
        <f t="shared" ref="P9:P14" si="5">O9/480</f>
        <v>4.0482709143806712</v>
      </c>
    </row>
    <row r="10" spans="1:18" ht="13.5" thickBot="1" x14ac:dyDescent="0.25">
      <c r="C10" s="30">
        <v>4</v>
      </c>
      <c r="D10" s="30">
        <v>4</v>
      </c>
      <c r="E10" s="28">
        <v>1.29</v>
      </c>
      <c r="F10" s="28">
        <v>0.84</v>
      </c>
      <c r="G10" s="23"/>
      <c r="H10" s="23">
        <f t="shared" si="0"/>
        <v>2.13</v>
      </c>
      <c r="I10" s="31"/>
      <c r="K10" s="21">
        <f t="shared" si="1"/>
        <v>532.5</v>
      </c>
      <c r="L10" s="21">
        <f t="shared" si="2"/>
        <v>5241.1417322834641</v>
      </c>
      <c r="M10" s="20">
        <f t="shared" si="3"/>
        <v>4676.0420504826379</v>
      </c>
      <c r="N10" s="19">
        <f t="shared" si="4"/>
        <v>1870.6228040974866</v>
      </c>
      <c r="O10" s="19">
        <f t="shared" si="4"/>
        <v>1668.9323317995154</v>
      </c>
      <c r="P10" s="18">
        <f t="shared" si="5"/>
        <v>3.4769423579156569</v>
      </c>
    </row>
    <row r="11" spans="1:18" ht="13.5" thickBot="1" x14ac:dyDescent="0.25">
      <c r="C11" s="30">
        <v>5</v>
      </c>
      <c r="D11" s="30">
        <v>4</v>
      </c>
      <c r="E11" s="28">
        <v>1.45</v>
      </c>
      <c r="F11" s="28">
        <v>0.95</v>
      </c>
      <c r="G11" s="23"/>
      <c r="H11" s="23">
        <f t="shared" si="0"/>
        <v>2.4</v>
      </c>
      <c r="I11" s="31"/>
      <c r="K11" s="21">
        <f t="shared" si="1"/>
        <v>600</v>
      </c>
      <c r="L11" s="21">
        <f t="shared" si="2"/>
        <v>5905.5118110236217</v>
      </c>
      <c r="M11" s="20">
        <f t="shared" si="3"/>
        <v>5268.7797751917051</v>
      </c>
      <c r="N11" s="19">
        <f t="shared" si="4"/>
        <v>2107.7440046168863</v>
      </c>
      <c r="O11" s="19">
        <f t="shared" si="4"/>
        <v>1880.4871344219894</v>
      </c>
      <c r="P11" s="18">
        <f t="shared" si="5"/>
        <v>3.9176815300458112</v>
      </c>
    </row>
    <row r="12" spans="1:18" ht="13.5" thickBot="1" x14ac:dyDescent="0.25">
      <c r="C12" s="30">
        <v>6</v>
      </c>
      <c r="D12" s="30">
        <v>4</v>
      </c>
      <c r="E12" s="28">
        <v>1.38</v>
      </c>
      <c r="F12" s="28">
        <v>1.1299999999999999</v>
      </c>
      <c r="G12" s="23"/>
      <c r="H12" s="23">
        <f t="shared" si="0"/>
        <v>2.5099999999999998</v>
      </c>
      <c r="I12" s="31"/>
      <c r="K12" s="21">
        <f t="shared" si="1"/>
        <v>627.5</v>
      </c>
      <c r="L12" s="21">
        <f t="shared" si="2"/>
        <v>6176.1811023622049</v>
      </c>
      <c r="M12" s="20">
        <f t="shared" si="3"/>
        <v>5510.2655148879912</v>
      </c>
      <c r="N12" s="19">
        <f t="shared" si="4"/>
        <v>2204.3489381618269</v>
      </c>
      <c r="O12" s="19">
        <f t="shared" si="4"/>
        <v>1966.6761280829969</v>
      </c>
      <c r="P12" s="18">
        <f t="shared" si="5"/>
        <v>4.0972419335062433</v>
      </c>
    </row>
    <row r="13" spans="1:18" ht="13.5" thickBot="1" x14ac:dyDescent="0.25">
      <c r="C13" s="30">
        <v>7</v>
      </c>
      <c r="D13" s="30">
        <v>4</v>
      </c>
      <c r="E13" s="28">
        <v>1.07</v>
      </c>
      <c r="F13" s="28">
        <v>0.73</v>
      </c>
      <c r="G13" s="23">
        <v>0.84</v>
      </c>
      <c r="H13" s="23">
        <f t="shared" si="0"/>
        <v>2.64</v>
      </c>
      <c r="I13" s="31"/>
      <c r="K13" s="21">
        <f t="shared" si="1"/>
        <v>660</v>
      </c>
      <c r="L13" s="21">
        <f t="shared" si="2"/>
        <v>6496.0629921259842</v>
      </c>
      <c r="M13" s="20">
        <f t="shared" si="3"/>
        <v>5795.6577527108757</v>
      </c>
      <c r="N13" s="19">
        <f t="shared" si="4"/>
        <v>2318.5184050785751</v>
      </c>
      <c r="O13" s="19">
        <f t="shared" si="4"/>
        <v>2068.5358478641883</v>
      </c>
      <c r="P13" s="18">
        <f t="shared" si="5"/>
        <v>4.3094496830503921</v>
      </c>
    </row>
    <row r="14" spans="1:18" ht="13.5" thickBot="1" x14ac:dyDescent="0.25">
      <c r="C14" s="30">
        <v>8</v>
      </c>
      <c r="D14" s="30">
        <v>4</v>
      </c>
      <c r="E14" s="28">
        <v>1.71</v>
      </c>
      <c r="F14" s="28"/>
      <c r="G14" s="23"/>
      <c r="H14" s="23">
        <f t="shared" si="0"/>
        <v>1.71</v>
      </c>
      <c r="I14" s="31"/>
      <c r="K14" s="21">
        <f t="shared" si="1"/>
        <v>427.5</v>
      </c>
      <c r="L14" s="21">
        <f t="shared" si="2"/>
        <v>4207.677165354331</v>
      </c>
      <c r="M14" s="20">
        <f t="shared" si="3"/>
        <v>3754.0055898240903</v>
      </c>
      <c r="N14" s="19">
        <f t="shared" si="4"/>
        <v>1501.7676032895317</v>
      </c>
      <c r="O14" s="19">
        <f t="shared" si="4"/>
        <v>1339.8470832756675</v>
      </c>
      <c r="P14" s="18">
        <f t="shared" si="5"/>
        <v>2.7913480901576406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13.870000000000001</v>
      </c>
      <c r="I18" s="13"/>
      <c r="J18" s="12"/>
      <c r="K18" s="15">
        <f t="shared" ref="K18:P18" si="6">AVERAGE(K9:K14)+K16/6</f>
        <v>577.91666666666663</v>
      </c>
      <c r="L18" s="15">
        <f t="shared" si="6"/>
        <v>5688.1561679790029</v>
      </c>
      <c r="M18" s="17">
        <f t="shared" si="6"/>
        <v>5074.8594084658989</v>
      </c>
      <c r="N18" s="16">
        <f t="shared" si="6"/>
        <v>2030.1673155580704</v>
      </c>
      <c r="O18" s="16">
        <f t="shared" si="6"/>
        <v>1811.2747607245135</v>
      </c>
      <c r="P18" s="15">
        <f t="shared" si="6"/>
        <v>3.7734890848427356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0.13883843528040443</v>
      </c>
      <c r="I19" s="13"/>
      <c r="J19" s="12"/>
      <c r="K19" s="10">
        <f t="shared" ref="K19:P19" si="7">STDEV(K9:K14)/SQRT(COUNT(K9:K14))</f>
        <v>34.709608820101131</v>
      </c>
      <c r="L19" s="10">
        <f t="shared" si="7"/>
        <v>341.63000807186222</v>
      </c>
      <c r="M19" s="11">
        <f t="shared" si="7"/>
        <v>304.79547492694076</v>
      </c>
      <c r="N19" s="10">
        <f t="shared" si="7"/>
        <v>121.93161648860855</v>
      </c>
      <c r="O19" s="10">
        <f t="shared" si="7"/>
        <v>108.78495471170018</v>
      </c>
      <c r="P19" s="9">
        <f t="shared" si="7"/>
        <v>0.22663532231604286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33DF-60A3-40B9-97E2-A4D699CD3143}">
  <sheetPr codeName="Sheet48">
    <pageSetUpPr fitToPage="1"/>
  </sheetPr>
  <dimension ref="A1:R22"/>
  <sheetViews>
    <sheetView topLeftCell="E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12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2700.7</v>
      </c>
      <c r="N3" s="42" t="s">
        <v>116</v>
      </c>
      <c r="O3" s="41">
        <f>(L3-(L4+L5))/L3</f>
        <v>4.306290961602538E-2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963.4</v>
      </c>
      <c r="N4" s="42" t="s">
        <v>111</v>
      </c>
      <c r="O4" s="41">
        <f>L4/L3</f>
        <v>0.35672233124745439</v>
      </c>
    </row>
    <row r="5" spans="1:18" ht="17.25" thickTop="1" thickBot="1" x14ac:dyDescent="0.25">
      <c r="B5" s="45" t="s">
        <v>110</v>
      </c>
      <c r="C5" s="44">
        <v>0.40763888888888888</v>
      </c>
      <c r="F5" s="40"/>
      <c r="G5" s="40"/>
      <c r="K5" s="42" t="s">
        <v>109</v>
      </c>
      <c r="L5" s="43">
        <v>1621</v>
      </c>
      <c r="N5" s="42" t="s">
        <v>108</v>
      </c>
      <c r="O5" s="41">
        <f>L5/L3</f>
        <v>0.60021475913652023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</v>
      </c>
      <c r="F9" s="28">
        <v>1.01</v>
      </c>
      <c r="G9" s="23"/>
      <c r="H9" s="23">
        <f t="shared" ref="H9:H14" si="0">SUM(E9:G9)</f>
        <v>2.21</v>
      </c>
      <c r="I9" s="31"/>
      <c r="K9" s="21">
        <f t="shared" ref="K9:K14" si="1">H9/D9*1000</f>
        <v>552.5</v>
      </c>
      <c r="L9" s="21">
        <f t="shared" ref="L9:L14" si="2">K9/1.016*10</f>
        <v>5437.9921259842522</v>
      </c>
      <c r="M9" s="20">
        <f t="shared" ref="M9:M14" si="3">L9/1.12085</f>
        <v>4851.6680429890284</v>
      </c>
      <c r="N9" s="19">
        <f t="shared" ref="N9:O14" si="4">L9*$O$4</f>
        <v>1939.8532284864032</v>
      </c>
      <c r="O9" s="19">
        <f t="shared" si="4"/>
        <v>1730.698334733821</v>
      </c>
      <c r="P9" s="18">
        <f t="shared" ref="P9:P14" si="5">O9/480</f>
        <v>3.6056215306954602</v>
      </c>
    </row>
    <row r="10" spans="1:18" ht="13.5" thickBot="1" x14ac:dyDescent="0.25">
      <c r="C10" s="30">
        <v>4</v>
      </c>
      <c r="D10" s="30">
        <v>4</v>
      </c>
      <c r="E10" s="28">
        <v>0.83</v>
      </c>
      <c r="F10" s="28">
        <v>0.98</v>
      </c>
      <c r="G10" s="23"/>
      <c r="H10" s="23">
        <f t="shared" si="0"/>
        <v>1.81</v>
      </c>
      <c r="I10" s="31"/>
      <c r="K10" s="21">
        <f t="shared" si="1"/>
        <v>452.5</v>
      </c>
      <c r="L10" s="21">
        <f t="shared" si="2"/>
        <v>4453.7401574803143</v>
      </c>
      <c r="M10" s="20">
        <f t="shared" si="3"/>
        <v>3973.5380804570768</v>
      </c>
      <c r="N10" s="19">
        <f t="shared" si="4"/>
        <v>1588.7485717467823</v>
      </c>
      <c r="O10" s="19">
        <f t="shared" si="4"/>
        <v>1417.4497673611834</v>
      </c>
      <c r="P10" s="18">
        <f t="shared" si="5"/>
        <v>2.9530203486691322</v>
      </c>
    </row>
    <row r="11" spans="1:18" ht="13.5" thickBot="1" x14ac:dyDescent="0.25">
      <c r="C11" s="30">
        <v>5</v>
      </c>
      <c r="D11" s="30">
        <v>4</v>
      </c>
      <c r="E11" s="28">
        <v>1.32</v>
      </c>
      <c r="F11" s="28">
        <v>1.1200000000000001</v>
      </c>
      <c r="G11" s="23"/>
      <c r="H11" s="23">
        <f t="shared" si="0"/>
        <v>2.4400000000000004</v>
      </c>
      <c r="I11" s="31"/>
      <c r="K11" s="21">
        <f t="shared" si="1"/>
        <v>610.00000000000011</v>
      </c>
      <c r="L11" s="21">
        <f t="shared" si="2"/>
        <v>6003.9370078740176</v>
      </c>
      <c r="M11" s="20">
        <f t="shared" si="3"/>
        <v>5356.5927714449017</v>
      </c>
      <c r="N11" s="19">
        <f t="shared" si="4"/>
        <v>2141.7384061116854</v>
      </c>
      <c r="O11" s="19">
        <f t="shared" si="4"/>
        <v>1910.816260973088</v>
      </c>
      <c r="P11" s="18">
        <f t="shared" si="5"/>
        <v>3.9808672103606</v>
      </c>
    </row>
    <row r="12" spans="1:18" ht="13.5" thickBot="1" x14ac:dyDescent="0.25">
      <c r="C12" s="30">
        <v>6</v>
      </c>
      <c r="D12" s="30">
        <v>4</v>
      </c>
      <c r="E12" s="28">
        <v>1.56</v>
      </c>
      <c r="F12" s="28">
        <v>0.82</v>
      </c>
      <c r="G12" s="23"/>
      <c r="H12" s="23">
        <f t="shared" si="0"/>
        <v>2.38</v>
      </c>
      <c r="I12" s="31"/>
      <c r="K12" s="21">
        <f t="shared" si="1"/>
        <v>595</v>
      </c>
      <c r="L12" s="21">
        <f t="shared" si="2"/>
        <v>5856.2992125984247</v>
      </c>
      <c r="M12" s="20">
        <f t="shared" si="3"/>
        <v>5224.8732770651068</v>
      </c>
      <c r="N12" s="19">
        <f t="shared" si="4"/>
        <v>2089.0727076007415</v>
      </c>
      <c r="O12" s="19">
        <f t="shared" si="4"/>
        <v>1863.8289758671915</v>
      </c>
      <c r="P12" s="18">
        <f t="shared" si="5"/>
        <v>3.8829770330566489</v>
      </c>
    </row>
    <row r="13" spans="1:18" ht="13.5" thickBot="1" x14ac:dyDescent="0.25">
      <c r="C13" s="30">
        <v>7</v>
      </c>
      <c r="D13" s="30">
        <v>4</v>
      </c>
      <c r="E13" s="28">
        <v>1.33</v>
      </c>
      <c r="F13" s="28">
        <v>1.28</v>
      </c>
      <c r="G13" s="23"/>
      <c r="H13" s="23">
        <f t="shared" si="0"/>
        <v>2.6100000000000003</v>
      </c>
      <c r="I13" s="31"/>
      <c r="K13" s="21">
        <f t="shared" si="1"/>
        <v>652.50000000000011</v>
      </c>
      <c r="L13" s="21">
        <f t="shared" si="2"/>
        <v>6422.2440944881891</v>
      </c>
      <c r="M13" s="20">
        <f t="shared" si="3"/>
        <v>5729.7980055209791</v>
      </c>
      <c r="N13" s="19">
        <f t="shared" si="4"/>
        <v>2290.9578852260238</v>
      </c>
      <c r="O13" s="19">
        <f t="shared" si="4"/>
        <v>2043.9469021064583</v>
      </c>
      <c r="P13" s="18">
        <f t="shared" si="5"/>
        <v>4.2582227127217882</v>
      </c>
    </row>
    <row r="14" spans="1:18" ht="13.5" thickBot="1" x14ac:dyDescent="0.25">
      <c r="C14" s="30">
        <v>8</v>
      </c>
      <c r="D14" s="30">
        <v>4</v>
      </c>
      <c r="E14" s="28">
        <v>1.93</v>
      </c>
      <c r="F14" s="28"/>
      <c r="G14" s="23"/>
      <c r="H14" s="23">
        <f t="shared" si="0"/>
        <v>1.93</v>
      </c>
      <c r="I14" s="31"/>
      <c r="K14" s="21">
        <f t="shared" si="1"/>
        <v>482.5</v>
      </c>
      <c r="L14" s="21">
        <f t="shared" si="2"/>
        <v>4749.0157480314956</v>
      </c>
      <c r="M14" s="20">
        <f t="shared" si="3"/>
        <v>4236.9770692166621</v>
      </c>
      <c r="N14" s="19">
        <f t="shared" si="4"/>
        <v>1694.0799687686686</v>
      </c>
      <c r="O14" s="19">
        <f t="shared" si="4"/>
        <v>1511.4243375729748</v>
      </c>
      <c r="P14" s="18">
        <f t="shared" si="5"/>
        <v>3.1488007032770309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13.379999999999999</v>
      </c>
      <c r="I18" s="13"/>
      <c r="J18" s="12"/>
      <c r="K18" s="15">
        <f t="shared" ref="K18:P18" si="6">AVERAGE(K9:K14)+K16/6</f>
        <v>557.5</v>
      </c>
      <c r="L18" s="15">
        <f t="shared" si="6"/>
        <v>5487.2047244094492</v>
      </c>
      <c r="M18" s="17">
        <f t="shared" si="6"/>
        <v>4895.5745411156267</v>
      </c>
      <c r="N18" s="16">
        <f t="shared" si="6"/>
        <v>1957.4084613233842</v>
      </c>
      <c r="O18" s="16">
        <f t="shared" si="6"/>
        <v>1746.3607631024527</v>
      </c>
      <c r="P18" s="15">
        <f t="shared" si="6"/>
        <v>3.6382515897967771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0.12620089804223603</v>
      </c>
      <c r="I19" s="13"/>
      <c r="J19" s="12"/>
      <c r="K19" s="10">
        <f t="shared" ref="K19:P19" si="7">STDEV(K9:K14)/SQRT(COUNT(K9:K14))</f>
        <v>31.550224510558945</v>
      </c>
      <c r="L19" s="10">
        <f t="shared" si="7"/>
        <v>310.5337058125881</v>
      </c>
      <c r="M19" s="11">
        <f t="shared" si="7"/>
        <v>277.05197467331328</v>
      </c>
      <c r="N19" s="10">
        <f t="shared" si="7"/>
        <v>110.7743074683771</v>
      </c>
      <c r="O19" s="10">
        <f t="shared" si="7"/>
        <v>98.830626282176624</v>
      </c>
      <c r="P19" s="9">
        <f t="shared" si="7"/>
        <v>0.20589713808786667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9691-F4F0-4DBC-9CA1-AB88C00AE01F}">
  <sheetPr codeName="Sheet47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13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3619.7</v>
      </c>
      <c r="N3" s="42" t="s">
        <v>116</v>
      </c>
      <c r="O3" s="41">
        <f>(L3-(L4+L5))/L3</f>
        <v>3.69643893140316E-2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1320.2</v>
      </c>
      <c r="N4" s="42" t="s">
        <v>111</v>
      </c>
      <c r="O4" s="41">
        <f>L4/L3</f>
        <v>0.36472635853800039</v>
      </c>
    </row>
    <row r="5" spans="1:18" ht="17.25" thickTop="1" thickBot="1" x14ac:dyDescent="0.25">
      <c r="B5" s="45" t="s">
        <v>110</v>
      </c>
      <c r="C5" s="44">
        <v>0.57499999999999996</v>
      </c>
      <c r="F5" s="40"/>
      <c r="G5" s="40"/>
      <c r="K5" s="42" t="s">
        <v>109</v>
      </c>
      <c r="L5" s="43">
        <v>2165.6999999999998</v>
      </c>
      <c r="N5" s="42" t="s">
        <v>108</v>
      </c>
      <c r="O5" s="41">
        <f>L5/L3</f>
        <v>0.59830925214796804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1.26</v>
      </c>
      <c r="F9" s="28">
        <v>0.81</v>
      </c>
      <c r="G9" s="23">
        <v>0.48</v>
      </c>
      <c r="H9" s="23">
        <f t="shared" ref="H9:H14" si="0">SUM(E9:G9)</f>
        <v>2.5500000000000003</v>
      </c>
      <c r="I9" s="31"/>
      <c r="K9" s="21">
        <f t="shared" ref="K9:K14" si="1">H9/D9*1000</f>
        <v>637.50000000000011</v>
      </c>
      <c r="L9" s="21">
        <f t="shared" ref="L9:L14" si="2">K9/1.016*10</f>
        <v>6274.6062992125999</v>
      </c>
      <c r="M9" s="20">
        <f t="shared" ref="M9:M14" si="3">L9/1.12085</f>
        <v>5598.0785111411878</v>
      </c>
      <c r="N9" s="19">
        <f t="shared" ref="N9:O14" si="4">L9*$O$4</f>
        <v>2288.5143067714107</v>
      </c>
      <c r="O9" s="19">
        <f t="shared" si="4"/>
        <v>2041.7667901783564</v>
      </c>
      <c r="P9" s="18">
        <f t="shared" ref="P9:P14" si="5">O9/480</f>
        <v>4.2536808128715755</v>
      </c>
    </row>
    <row r="10" spans="1:18" ht="13.5" thickBot="1" x14ac:dyDescent="0.25">
      <c r="C10" s="30">
        <v>4</v>
      </c>
      <c r="D10" s="30">
        <v>4</v>
      </c>
      <c r="E10" s="28">
        <v>1.43</v>
      </c>
      <c r="F10" s="28">
        <v>0.95</v>
      </c>
      <c r="G10" s="23"/>
      <c r="H10" s="23">
        <f t="shared" si="0"/>
        <v>2.38</v>
      </c>
      <c r="I10" s="31"/>
      <c r="K10" s="21">
        <f t="shared" si="1"/>
        <v>595</v>
      </c>
      <c r="L10" s="21">
        <f t="shared" si="2"/>
        <v>5856.2992125984247</v>
      </c>
      <c r="M10" s="20">
        <f t="shared" si="3"/>
        <v>5224.8732770651068</v>
      </c>
      <c r="N10" s="19">
        <f t="shared" si="4"/>
        <v>2135.9466863199823</v>
      </c>
      <c r="O10" s="19">
        <f t="shared" si="4"/>
        <v>1905.6490041664651</v>
      </c>
      <c r="P10" s="18">
        <f t="shared" si="5"/>
        <v>3.9701020920134691</v>
      </c>
    </row>
    <row r="11" spans="1:18" ht="13.5" thickBot="1" x14ac:dyDescent="0.25">
      <c r="C11" s="30">
        <v>5</v>
      </c>
      <c r="D11" s="30">
        <v>4</v>
      </c>
      <c r="E11" s="28">
        <v>1.23</v>
      </c>
      <c r="F11" s="28">
        <v>0.65</v>
      </c>
      <c r="G11" s="23"/>
      <c r="H11" s="23">
        <f t="shared" si="0"/>
        <v>1.88</v>
      </c>
      <c r="I11" s="31"/>
      <c r="K11" s="21">
        <f t="shared" si="1"/>
        <v>470</v>
      </c>
      <c r="L11" s="21">
        <f t="shared" si="2"/>
        <v>4625.9842519685035</v>
      </c>
      <c r="M11" s="20">
        <f t="shared" si="3"/>
        <v>4127.2108239001682</v>
      </c>
      <c r="N11" s="19">
        <f t="shared" si="4"/>
        <v>1687.2183908746078</v>
      </c>
      <c r="O11" s="19">
        <f t="shared" si="4"/>
        <v>1505.3025747197287</v>
      </c>
      <c r="P11" s="18">
        <f t="shared" si="5"/>
        <v>3.1360470306661012</v>
      </c>
    </row>
    <row r="12" spans="1:18" ht="13.5" thickBot="1" x14ac:dyDescent="0.25">
      <c r="C12" s="30">
        <v>6</v>
      </c>
      <c r="D12" s="30">
        <v>4</v>
      </c>
      <c r="E12" s="28">
        <v>1.2</v>
      </c>
      <c r="F12" s="28">
        <v>1.3</v>
      </c>
      <c r="G12" s="23"/>
      <c r="H12" s="23">
        <f t="shared" si="0"/>
        <v>2.5</v>
      </c>
      <c r="I12" s="31"/>
      <c r="K12" s="21">
        <f t="shared" si="1"/>
        <v>625</v>
      </c>
      <c r="L12" s="21">
        <f t="shared" si="2"/>
        <v>6151.5748031496059</v>
      </c>
      <c r="M12" s="20">
        <f t="shared" si="3"/>
        <v>5488.3122658246921</v>
      </c>
      <c r="N12" s="19">
        <f t="shared" si="4"/>
        <v>2243.6414772268722</v>
      </c>
      <c r="O12" s="19">
        <f t="shared" si="4"/>
        <v>2001.7321472336819</v>
      </c>
      <c r="P12" s="18">
        <f t="shared" si="5"/>
        <v>4.170275306736837</v>
      </c>
    </row>
    <row r="13" spans="1:18" ht="13.5" thickBot="1" x14ac:dyDescent="0.25">
      <c r="C13" s="30">
        <v>7</v>
      </c>
      <c r="D13" s="30">
        <v>4</v>
      </c>
      <c r="E13" s="28">
        <v>1.45</v>
      </c>
      <c r="F13" s="28">
        <v>1.05</v>
      </c>
      <c r="G13" s="23"/>
      <c r="H13" s="23">
        <f t="shared" si="0"/>
        <v>2.5</v>
      </c>
      <c r="I13" s="31"/>
      <c r="K13" s="21">
        <f t="shared" si="1"/>
        <v>625</v>
      </c>
      <c r="L13" s="21">
        <f t="shared" si="2"/>
        <v>6151.5748031496059</v>
      </c>
      <c r="M13" s="20">
        <f t="shared" si="3"/>
        <v>5488.3122658246921</v>
      </c>
      <c r="N13" s="19">
        <f t="shared" si="4"/>
        <v>2243.6414772268722</v>
      </c>
      <c r="O13" s="19">
        <f t="shared" si="4"/>
        <v>2001.7321472336819</v>
      </c>
      <c r="P13" s="18">
        <f t="shared" si="5"/>
        <v>4.170275306736837</v>
      </c>
    </row>
    <row r="14" spans="1:18" ht="13.5" thickBot="1" x14ac:dyDescent="0.25">
      <c r="C14" s="30">
        <v>8</v>
      </c>
      <c r="D14" s="30">
        <v>4</v>
      </c>
      <c r="E14" s="28">
        <v>1.25</v>
      </c>
      <c r="F14" s="28">
        <v>1.04</v>
      </c>
      <c r="G14" s="23"/>
      <c r="H14" s="23">
        <f t="shared" si="0"/>
        <v>2.29</v>
      </c>
      <c r="I14" s="31"/>
      <c r="K14" s="21">
        <f t="shared" si="1"/>
        <v>572.5</v>
      </c>
      <c r="L14" s="21">
        <f t="shared" si="2"/>
        <v>5634.8425196850394</v>
      </c>
      <c r="M14" s="20">
        <f t="shared" si="3"/>
        <v>5027.2940354954189</v>
      </c>
      <c r="N14" s="19">
        <f t="shared" si="4"/>
        <v>2055.1755931398152</v>
      </c>
      <c r="O14" s="19">
        <f t="shared" si="4"/>
        <v>1833.5866468660531</v>
      </c>
      <c r="P14" s="18">
        <f t="shared" si="5"/>
        <v>3.8199721809709439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14.099999999999998</v>
      </c>
      <c r="I18" s="13"/>
      <c r="J18" s="12"/>
      <c r="K18" s="15">
        <f t="shared" ref="K18:P18" si="6">AVERAGE(K9:K14)+K16/6</f>
        <v>587.5</v>
      </c>
      <c r="L18" s="15">
        <f t="shared" si="6"/>
        <v>5782.4803149606296</v>
      </c>
      <c r="M18" s="17">
        <f t="shared" si="6"/>
        <v>5159.0135298752111</v>
      </c>
      <c r="N18" s="16">
        <f t="shared" si="6"/>
        <v>2109.0229885932599</v>
      </c>
      <c r="O18" s="16">
        <f t="shared" si="6"/>
        <v>1881.6282183996611</v>
      </c>
      <c r="P18" s="15">
        <f t="shared" si="6"/>
        <v>3.9200587883326272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0.10171856598805686</v>
      </c>
      <c r="I19" s="13"/>
      <c r="J19" s="12"/>
      <c r="K19" s="10">
        <f t="shared" ref="K19:P19" si="7">STDEV(K9:K14)/SQRT(COUNT(K9:K14))</f>
        <v>25.42964149701421</v>
      </c>
      <c r="L19" s="10">
        <f t="shared" si="7"/>
        <v>250.29174701785644</v>
      </c>
      <c r="M19" s="11">
        <f t="shared" si="7"/>
        <v>223.30530134974032</v>
      </c>
      <c r="N19" s="10">
        <f t="shared" si="7"/>
        <v>91.287997461937223</v>
      </c>
      <c r="O19" s="10">
        <f t="shared" si="7"/>
        <v>81.445329403521626</v>
      </c>
      <c r="P19" s="9">
        <f t="shared" si="7"/>
        <v>0.16967776959067005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C177-83C9-4717-871E-BF86732D1FD5}">
  <sheetPr codeName="Sheet9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14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2804.5</v>
      </c>
      <c r="N3" s="42" t="s">
        <v>116</v>
      </c>
      <c r="O3" s="41">
        <f>(L3-(L4+L5))/L3</f>
        <v>4.7816009983954487E-2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1027.0999999999999</v>
      </c>
      <c r="N4" s="42" t="s">
        <v>111</v>
      </c>
      <c r="O4" s="41">
        <f>L4/L3</f>
        <v>0.36623284007844531</v>
      </c>
    </row>
    <row r="5" spans="1:18" ht="17.25" thickTop="1" thickBot="1" x14ac:dyDescent="0.25">
      <c r="B5" s="45" t="s">
        <v>110</v>
      </c>
      <c r="C5" s="44">
        <v>0.58680555555555558</v>
      </c>
      <c r="F5" s="40"/>
      <c r="G5" s="40"/>
      <c r="K5" s="42" t="s">
        <v>109</v>
      </c>
      <c r="L5" s="43">
        <v>1643.3</v>
      </c>
      <c r="N5" s="42" t="s">
        <v>108</v>
      </c>
      <c r="O5" s="41">
        <f>L5/L3</f>
        <v>0.58595114993760022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1.03</v>
      </c>
      <c r="F9" s="28">
        <v>0.73</v>
      </c>
      <c r="G9" s="23"/>
      <c r="H9" s="23">
        <f t="shared" ref="H9:H14" si="0">SUM(E9:G9)</f>
        <v>1.76</v>
      </c>
      <c r="I9" s="31"/>
      <c r="K9" s="21">
        <f t="shared" ref="K9:K14" si="1">H9/D9*1000</f>
        <v>440</v>
      </c>
      <c r="L9" s="21">
        <f t="shared" ref="L9:L14" si="2">K9/1.016*10</f>
        <v>4330.7086614173222</v>
      </c>
      <c r="M9" s="20">
        <f t="shared" ref="M9:M14" si="3">L9/1.12085</f>
        <v>3863.7718351405833</v>
      </c>
      <c r="N9" s="19">
        <f t="shared" ref="N9:O14" si="4">L9*$O$4</f>
        <v>1586.047732623188</v>
      </c>
      <c r="O9" s="19">
        <f t="shared" si="4"/>
        <v>1415.0401325986425</v>
      </c>
      <c r="P9" s="18">
        <f t="shared" ref="P9:P14" si="5">O9/480</f>
        <v>2.9480002762471718</v>
      </c>
    </row>
    <row r="10" spans="1:18" ht="13.5" thickBot="1" x14ac:dyDescent="0.25">
      <c r="C10" s="30">
        <v>4</v>
      </c>
      <c r="D10" s="30">
        <v>4</v>
      </c>
      <c r="E10" s="28">
        <v>1.94</v>
      </c>
      <c r="F10" s="28"/>
      <c r="G10" s="23"/>
      <c r="H10" s="23">
        <f t="shared" si="0"/>
        <v>1.94</v>
      </c>
      <c r="I10" s="31"/>
      <c r="K10" s="21">
        <f t="shared" si="1"/>
        <v>485</v>
      </c>
      <c r="L10" s="21">
        <f t="shared" si="2"/>
        <v>4773.6220472440946</v>
      </c>
      <c r="M10" s="20">
        <f t="shared" si="3"/>
        <v>4258.9303182799613</v>
      </c>
      <c r="N10" s="19">
        <f t="shared" si="4"/>
        <v>1748.2571598232871</v>
      </c>
      <c r="O10" s="19">
        <f t="shared" si="4"/>
        <v>1559.7601461598672</v>
      </c>
      <c r="P10" s="18">
        <f t="shared" si="5"/>
        <v>3.2495003044997235</v>
      </c>
    </row>
    <row r="11" spans="1:18" ht="13.5" thickBot="1" x14ac:dyDescent="0.25">
      <c r="C11" s="30">
        <v>5</v>
      </c>
      <c r="D11" s="30">
        <v>4</v>
      </c>
      <c r="E11" s="28">
        <v>1.1100000000000001</v>
      </c>
      <c r="F11" s="28">
        <v>1.06</v>
      </c>
      <c r="G11" s="23"/>
      <c r="H11" s="23">
        <f t="shared" si="0"/>
        <v>2.17</v>
      </c>
      <c r="I11" s="31"/>
      <c r="K11" s="21">
        <f t="shared" si="1"/>
        <v>542.5</v>
      </c>
      <c r="L11" s="21">
        <f t="shared" si="2"/>
        <v>5339.5669291338581</v>
      </c>
      <c r="M11" s="20">
        <f t="shared" si="3"/>
        <v>4763.8550467358327</v>
      </c>
      <c r="N11" s="19">
        <f t="shared" si="4"/>
        <v>1955.5247612456355</v>
      </c>
      <c r="O11" s="19">
        <f t="shared" si="4"/>
        <v>1744.6801634880987</v>
      </c>
      <c r="P11" s="18">
        <f t="shared" si="5"/>
        <v>3.6347503406002057</v>
      </c>
    </row>
    <row r="12" spans="1:18" ht="13.5" thickBot="1" x14ac:dyDescent="0.25">
      <c r="C12" s="30">
        <v>6</v>
      </c>
      <c r="D12" s="30">
        <v>4</v>
      </c>
      <c r="E12" s="28">
        <v>1</v>
      </c>
      <c r="F12" s="28">
        <v>0.96</v>
      </c>
      <c r="G12" s="23"/>
      <c r="H12" s="23">
        <f t="shared" si="0"/>
        <v>1.96</v>
      </c>
      <c r="I12" s="31"/>
      <c r="K12" s="21">
        <f t="shared" si="1"/>
        <v>490</v>
      </c>
      <c r="L12" s="21">
        <f t="shared" si="2"/>
        <v>4822.8346456692916</v>
      </c>
      <c r="M12" s="20">
        <f t="shared" si="3"/>
        <v>4302.8368164065596</v>
      </c>
      <c r="N12" s="19">
        <f t="shared" si="4"/>
        <v>1766.2804295121871</v>
      </c>
      <c r="O12" s="19">
        <f t="shared" si="4"/>
        <v>1575.8401476666702</v>
      </c>
      <c r="P12" s="18">
        <f t="shared" si="5"/>
        <v>3.2830003076388961</v>
      </c>
    </row>
    <row r="13" spans="1:18" ht="13.5" thickBot="1" x14ac:dyDescent="0.25">
      <c r="C13" s="30">
        <v>7</v>
      </c>
      <c r="D13" s="30">
        <v>4</v>
      </c>
      <c r="E13" s="28">
        <v>1.2</v>
      </c>
      <c r="F13" s="28">
        <v>0.8</v>
      </c>
      <c r="G13" s="23"/>
      <c r="H13" s="23">
        <f t="shared" si="0"/>
        <v>2</v>
      </c>
      <c r="I13" s="31"/>
      <c r="K13" s="21">
        <f t="shared" si="1"/>
        <v>500</v>
      </c>
      <c r="L13" s="21">
        <f t="shared" si="2"/>
        <v>4921.2598425196848</v>
      </c>
      <c r="M13" s="20">
        <f t="shared" si="3"/>
        <v>4390.6498126597535</v>
      </c>
      <c r="N13" s="19">
        <f t="shared" si="4"/>
        <v>1802.3269688899866</v>
      </c>
      <c r="O13" s="19">
        <f t="shared" si="4"/>
        <v>1608.0001506802753</v>
      </c>
      <c r="P13" s="18">
        <f t="shared" si="5"/>
        <v>3.3500003139172403</v>
      </c>
    </row>
    <row r="14" spans="1:18" ht="13.5" thickBot="1" x14ac:dyDescent="0.25">
      <c r="C14" s="30">
        <v>8</v>
      </c>
      <c r="D14" s="30">
        <v>4</v>
      </c>
      <c r="E14" s="28">
        <v>1.1599999999999999</v>
      </c>
      <c r="F14" s="28">
        <v>0.72</v>
      </c>
      <c r="G14" s="23"/>
      <c r="H14" s="23">
        <f t="shared" si="0"/>
        <v>1.88</v>
      </c>
      <c r="I14" s="31"/>
      <c r="K14" s="21">
        <f t="shared" si="1"/>
        <v>470</v>
      </c>
      <c r="L14" s="21">
        <f t="shared" si="2"/>
        <v>4625.9842519685035</v>
      </c>
      <c r="M14" s="20">
        <f t="shared" si="3"/>
        <v>4127.2108239001682</v>
      </c>
      <c r="N14" s="19">
        <f t="shared" si="4"/>
        <v>1694.1873507565874</v>
      </c>
      <c r="O14" s="19">
        <f t="shared" si="4"/>
        <v>1511.5201416394589</v>
      </c>
      <c r="P14" s="18">
        <f t="shared" si="5"/>
        <v>3.1490002950822058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11.71</v>
      </c>
      <c r="I18" s="13"/>
      <c r="J18" s="12"/>
      <c r="K18" s="15">
        <f t="shared" ref="K18:P18" si="6">AVERAGE(K9:K14)+K16/6</f>
        <v>487.91666666666669</v>
      </c>
      <c r="L18" s="15">
        <f t="shared" si="6"/>
        <v>4802.3293963254591</v>
      </c>
      <c r="M18" s="17">
        <f t="shared" si="6"/>
        <v>4284.5424421871439</v>
      </c>
      <c r="N18" s="16">
        <f t="shared" si="6"/>
        <v>1758.7707338084786</v>
      </c>
      <c r="O18" s="16">
        <f t="shared" si="6"/>
        <v>1569.1401470388355</v>
      </c>
      <c r="P18" s="15">
        <f t="shared" si="6"/>
        <v>3.2690419729975742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5.5402567128648869E-2</v>
      </c>
      <c r="I19" s="13"/>
      <c r="J19" s="12"/>
      <c r="K19" s="10">
        <f t="shared" ref="K19:P19" si="7">STDEV(K9:K14)/SQRT(COUNT(K9:K14))</f>
        <v>13.850641782162219</v>
      </c>
      <c r="L19" s="10">
        <f t="shared" si="7"/>
        <v>136.3252143913605</v>
      </c>
      <c r="M19" s="11">
        <f t="shared" si="7"/>
        <v>121.62663549213579</v>
      </c>
      <c r="N19" s="10">
        <f t="shared" si="7"/>
        <v>49.926770440850902</v>
      </c>
      <c r="O19" s="10">
        <f t="shared" si="7"/>
        <v>44.543668145470711</v>
      </c>
      <c r="P19" s="9">
        <f t="shared" si="7"/>
        <v>9.2799308636397321E-2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7047-FDF4-46A8-9110-ECEDDED45AE6}">
  <sheetPr codeName="Sheet10">
    <pageSetUpPr fitToPage="1"/>
  </sheetPr>
  <dimension ref="A1:R22"/>
  <sheetViews>
    <sheetView topLeftCell="E1" workbookViewId="0">
      <selection activeCell="K6" sqref="K6:M6"/>
    </sheetView>
  </sheetViews>
  <sheetFormatPr defaultRowHeight="12.75" x14ac:dyDescent="0.2"/>
  <cols>
    <col min="1" max="8" width="9.140625" style="8"/>
    <col min="9" max="9" width="23.285156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15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3460.2</v>
      </c>
      <c r="N3" s="42" t="s">
        <v>116</v>
      </c>
      <c r="O3" s="41">
        <f>(L3-(L4+L5))/L3</f>
        <v>2.1530547367204209E-2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1280.0999999999999</v>
      </c>
      <c r="N4" s="42" t="s">
        <v>111</v>
      </c>
      <c r="O4" s="41">
        <f>L4/L3</f>
        <v>0.36994971388937054</v>
      </c>
    </row>
    <row r="5" spans="1:18" ht="17.25" thickTop="1" thickBot="1" x14ac:dyDescent="0.25">
      <c r="B5" s="45" t="s">
        <v>110</v>
      </c>
      <c r="C5" s="44">
        <v>0.59236111111111112</v>
      </c>
      <c r="F5" s="40"/>
      <c r="G5" s="40"/>
      <c r="K5" s="42" t="s">
        <v>109</v>
      </c>
      <c r="L5" s="43">
        <v>2105.6</v>
      </c>
      <c r="N5" s="42" t="s">
        <v>108</v>
      </c>
      <c r="O5" s="41">
        <f>L5/L3</f>
        <v>0.60851973874342524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1.23</v>
      </c>
      <c r="F9" s="28">
        <v>0.67</v>
      </c>
      <c r="G9" s="54">
        <v>0.1</v>
      </c>
      <c r="H9" s="23">
        <f t="shared" ref="H9:H14" si="0">SUM(E9:G9)</f>
        <v>2</v>
      </c>
      <c r="I9" s="100" t="s">
        <v>122</v>
      </c>
      <c r="K9" s="21">
        <f t="shared" ref="K9:K14" si="1">H9/D9*1000</f>
        <v>500</v>
      </c>
      <c r="L9" s="21">
        <f t="shared" ref="L9:L14" si="2">K9/1.016*10</f>
        <v>4921.2598425196848</v>
      </c>
      <c r="M9" s="20">
        <f t="shared" ref="M9:M14" si="3">L9/1.12085</f>
        <v>4390.6498126597535</v>
      </c>
      <c r="N9" s="19">
        <f t="shared" ref="N9:O14" si="4">L9*$O$4</f>
        <v>1820.6186707154061</v>
      </c>
      <c r="O9" s="19">
        <f t="shared" si="4"/>
        <v>1624.3196419818942</v>
      </c>
      <c r="P9" s="18">
        <f t="shared" ref="P9:P14" si="5">O9/480</f>
        <v>3.3839992541289461</v>
      </c>
    </row>
    <row r="10" spans="1:18" ht="13.5" thickBot="1" x14ac:dyDescent="0.25">
      <c r="C10" s="30">
        <v>4</v>
      </c>
      <c r="D10" s="30">
        <v>4</v>
      </c>
      <c r="E10" s="28">
        <v>0.92</v>
      </c>
      <c r="F10" s="28">
        <v>1.1499999999999999</v>
      </c>
      <c r="G10" s="23"/>
      <c r="H10" s="23">
        <f t="shared" si="0"/>
        <v>2.0699999999999998</v>
      </c>
      <c r="I10" s="101"/>
      <c r="K10" s="21">
        <f t="shared" si="1"/>
        <v>517.5</v>
      </c>
      <c r="L10" s="21">
        <f t="shared" si="2"/>
        <v>5093.5039370078739</v>
      </c>
      <c r="M10" s="20">
        <f t="shared" si="3"/>
        <v>4544.3225561028457</v>
      </c>
      <c r="N10" s="19">
        <f t="shared" si="4"/>
        <v>1884.3403241904452</v>
      </c>
      <c r="O10" s="19">
        <f t="shared" si="4"/>
        <v>1681.1708294512607</v>
      </c>
      <c r="P10" s="18">
        <f t="shared" si="5"/>
        <v>3.50243922802346</v>
      </c>
    </row>
    <row r="11" spans="1:18" ht="13.5" thickBot="1" x14ac:dyDescent="0.25">
      <c r="C11" s="30">
        <v>5</v>
      </c>
      <c r="D11" s="30">
        <v>4</v>
      </c>
      <c r="E11" s="28">
        <v>1.05</v>
      </c>
      <c r="F11" s="28">
        <v>0.84</v>
      </c>
      <c r="G11" s="23">
        <v>0.35</v>
      </c>
      <c r="H11" s="23">
        <f t="shared" si="0"/>
        <v>2.2400000000000002</v>
      </c>
      <c r="I11" s="101"/>
      <c r="K11" s="21">
        <f t="shared" si="1"/>
        <v>560</v>
      </c>
      <c r="L11" s="21">
        <f t="shared" si="2"/>
        <v>5511.8110236220473</v>
      </c>
      <c r="M11" s="20">
        <f t="shared" si="3"/>
        <v>4917.527790178925</v>
      </c>
      <c r="N11" s="19">
        <f t="shared" si="4"/>
        <v>2039.092911201255</v>
      </c>
      <c r="O11" s="19">
        <f t="shared" si="4"/>
        <v>1819.2379990197219</v>
      </c>
      <c r="P11" s="18">
        <f t="shared" si="5"/>
        <v>3.7900791646244207</v>
      </c>
    </row>
    <row r="12" spans="1:18" ht="13.5" thickBot="1" x14ac:dyDescent="0.25">
      <c r="C12" s="30">
        <v>6</v>
      </c>
      <c r="D12" s="30">
        <v>4</v>
      </c>
      <c r="E12" s="28">
        <v>1.26</v>
      </c>
      <c r="F12" s="28">
        <v>1.28</v>
      </c>
      <c r="G12" s="23"/>
      <c r="H12" s="23">
        <f t="shared" si="0"/>
        <v>2.54</v>
      </c>
      <c r="I12" s="101"/>
      <c r="K12" s="21">
        <f t="shared" si="1"/>
        <v>635</v>
      </c>
      <c r="L12" s="21">
        <f t="shared" si="2"/>
        <v>6250</v>
      </c>
      <c r="M12" s="20">
        <f t="shared" si="3"/>
        <v>5576.1252620778878</v>
      </c>
      <c r="N12" s="19">
        <f t="shared" si="4"/>
        <v>2312.1857118085659</v>
      </c>
      <c r="O12" s="19">
        <f t="shared" si="4"/>
        <v>2062.8859453170057</v>
      </c>
      <c r="P12" s="18">
        <f t="shared" si="5"/>
        <v>4.2976790527437618</v>
      </c>
    </row>
    <row r="13" spans="1:18" ht="13.5" thickBot="1" x14ac:dyDescent="0.25">
      <c r="C13" s="30">
        <v>7</v>
      </c>
      <c r="D13" s="30">
        <v>4</v>
      </c>
      <c r="E13" s="28">
        <v>1.23</v>
      </c>
      <c r="F13" s="28">
        <v>1.17</v>
      </c>
      <c r="G13" s="23"/>
      <c r="H13" s="23">
        <f t="shared" si="0"/>
        <v>2.4</v>
      </c>
      <c r="I13" s="102"/>
      <c r="K13" s="21">
        <f t="shared" si="1"/>
        <v>600</v>
      </c>
      <c r="L13" s="21">
        <f t="shared" si="2"/>
        <v>5905.5118110236217</v>
      </c>
      <c r="M13" s="20">
        <f t="shared" si="3"/>
        <v>5268.7797751917051</v>
      </c>
      <c r="N13" s="19">
        <f t="shared" si="4"/>
        <v>2184.7424048584871</v>
      </c>
      <c r="O13" s="19">
        <f t="shared" si="4"/>
        <v>1949.1835703782733</v>
      </c>
      <c r="P13" s="18">
        <f t="shared" si="5"/>
        <v>4.0607991049547358</v>
      </c>
    </row>
    <row r="14" spans="1:18" ht="13.5" thickBot="1" x14ac:dyDescent="0.25">
      <c r="C14" s="30">
        <v>8</v>
      </c>
      <c r="D14" s="30">
        <v>4</v>
      </c>
      <c r="E14" s="28">
        <v>1.42</v>
      </c>
      <c r="F14" s="28">
        <v>1.0900000000000001</v>
      </c>
      <c r="G14" s="23"/>
      <c r="H14" s="23">
        <f t="shared" si="0"/>
        <v>2.5099999999999998</v>
      </c>
      <c r="I14" s="103"/>
      <c r="K14" s="21">
        <f t="shared" si="1"/>
        <v>627.5</v>
      </c>
      <c r="L14" s="21">
        <f t="shared" si="2"/>
        <v>6176.1811023622049</v>
      </c>
      <c r="M14" s="20">
        <f t="shared" si="3"/>
        <v>5510.2655148879912</v>
      </c>
      <c r="N14" s="19">
        <f t="shared" si="4"/>
        <v>2284.8764317478349</v>
      </c>
      <c r="O14" s="19">
        <f t="shared" si="4"/>
        <v>2038.5211506872774</v>
      </c>
      <c r="P14" s="18">
        <f t="shared" si="5"/>
        <v>4.2469190639318279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13.760000000000002</v>
      </c>
      <c r="I18" s="13"/>
      <c r="J18" s="12"/>
      <c r="K18" s="15">
        <f t="shared" ref="K18:P18" si="6">AVERAGE(K9:K14)+K16/6</f>
        <v>573.33333333333337</v>
      </c>
      <c r="L18" s="15">
        <f t="shared" si="6"/>
        <v>5643.0446194225724</v>
      </c>
      <c r="M18" s="17">
        <f t="shared" si="6"/>
        <v>5034.611785183185</v>
      </c>
      <c r="N18" s="16">
        <f t="shared" si="6"/>
        <v>2087.6427424203325</v>
      </c>
      <c r="O18" s="16">
        <f t="shared" si="6"/>
        <v>1862.5531894725725</v>
      </c>
      <c r="P18" s="15">
        <f t="shared" si="6"/>
        <v>3.8803191447345249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9.2724202761618704E-2</v>
      </c>
      <c r="I19" s="13"/>
      <c r="J19" s="12"/>
      <c r="K19" s="10">
        <f t="shared" ref="K19:P19" si="7">STDEV(K9:K14)/SQRT(COUNT(K9:K14))</f>
        <v>23.181050690404682</v>
      </c>
      <c r="L19" s="10">
        <f t="shared" si="7"/>
        <v>228.15994774020356</v>
      </c>
      <c r="M19" s="11">
        <f t="shared" si="7"/>
        <v>203.55975174216314</v>
      </c>
      <c r="N19" s="10">
        <f t="shared" si="7"/>
        <v>84.407707387502043</v>
      </c>
      <c r="O19" s="10">
        <f t="shared" si="7"/>
        <v>75.306871916404546</v>
      </c>
      <c r="P19" s="9">
        <f t="shared" si="7"/>
        <v>0.15688931649250948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7">
    <mergeCell ref="C18:G18"/>
    <mergeCell ref="C19:G19"/>
    <mergeCell ref="K6:M6"/>
    <mergeCell ref="N6:P6"/>
    <mergeCell ref="C16:D16"/>
    <mergeCell ref="F16:G16"/>
    <mergeCell ref="I9:I14"/>
  </mergeCells>
  <pageMargins left="0.75" right="0.75" top="1" bottom="0.52" header="0.5" footer="0.5"/>
  <pageSetup scale="7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25A5-123F-4578-9F8C-951BC6CA6A31}">
  <sheetPr codeName="Sheet11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16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3262.8</v>
      </c>
      <c r="N3" s="42" t="s">
        <v>116</v>
      </c>
      <c r="O3" s="41">
        <f>(L3-(L4+L5))/L3</f>
        <v>2.9483878877038208E-2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1220.8</v>
      </c>
      <c r="N4" s="42" t="s">
        <v>111</v>
      </c>
      <c r="O4" s="41">
        <f>L4/L3</f>
        <v>0.37415716562461687</v>
      </c>
    </row>
    <row r="5" spans="1:18" ht="17.25" thickTop="1" thickBot="1" x14ac:dyDescent="0.25">
      <c r="B5" s="45" t="s">
        <v>110</v>
      </c>
      <c r="C5" s="44">
        <v>0.58125000000000004</v>
      </c>
      <c r="F5" s="40"/>
      <c r="G5" s="40"/>
      <c r="K5" s="42" t="s">
        <v>109</v>
      </c>
      <c r="L5" s="43">
        <v>1945.8</v>
      </c>
      <c r="N5" s="42" t="s">
        <v>108</v>
      </c>
      <c r="O5" s="41">
        <f>L5/L3</f>
        <v>0.59635895549834494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1.39</v>
      </c>
      <c r="F9" s="28">
        <v>1.21</v>
      </c>
      <c r="G9" s="23"/>
      <c r="H9" s="23">
        <f t="shared" ref="H9:H14" si="0">SUM(E9:G9)</f>
        <v>2.5999999999999996</v>
      </c>
      <c r="I9" s="31"/>
      <c r="K9" s="21">
        <f t="shared" ref="K9:K14" si="1">H9/D9*1000</f>
        <v>649.99999999999989</v>
      </c>
      <c r="L9" s="21">
        <f t="shared" ref="L9:L14" si="2">K9/1.016*10</f>
        <v>6397.6377952755884</v>
      </c>
      <c r="M9" s="20">
        <f t="shared" ref="M9:M14" si="3">L9/1.12085</f>
        <v>5707.8447564576782</v>
      </c>
      <c r="N9" s="19">
        <f t="shared" ref="N9:O14" si="4">L9*$O$4</f>
        <v>2393.7220241732371</v>
      </c>
      <c r="O9" s="19">
        <f t="shared" si="4"/>
        <v>2135.6310159015366</v>
      </c>
      <c r="P9" s="18">
        <f t="shared" ref="P9:P14" si="5">O9/480</f>
        <v>4.449231283128201</v>
      </c>
    </row>
    <row r="10" spans="1:18" ht="13.5" thickBot="1" x14ac:dyDescent="0.25">
      <c r="C10" s="30">
        <v>4</v>
      </c>
      <c r="D10" s="30">
        <v>4</v>
      </c>
      <c r="E10" s="28">
        <v>1.18</v>
      </c>
      <c r="F10" s="28">
        <v>0.63</v>
      </c>
      <c r="G10" s="23"/>
      <c r="H10" s="23">
        <f t="shared" si="0"/>
        <v>1.81</v>
      </c>
      <c r="I10" s="31"/>
      <c r="K10" s="21">
        <f t="shared" si="1"/>
        <v>452.5</v>
      </c>
      <c r="L10" s="21">
        <f t="shared" si="2"/>
        <v>4453.7401574803143</v>
      </c>
      <c r="M10" s="20">
        <f t="shared" si="3"/>
        <v>3973.5380804570768</v>
      </c>
      <c r="N10" s="19">
        <f t="shared" si="4"/>
        <v>1666.3987937513691</v>
      </c>
      <c r="O10" s="19">
        <f t="shared" si="4"/>
        <v>1486.7277456853008</v>
      </c>
      <c r="P10" s="18">
        <f t="shared" si="5"/>
        <v>3.09734947017771</v>
      </c>
    </row>
    <row r="11" spans="1:18" ht="13.5" thickBot="1" x14ac:dyDescent="0.25">
      <c r="C11" s="30">
        <v>5</v>
      </c>
      <c r="D11" s="30">
        <v>4</v>
      </c>
      <c r="E11" s="28">
        <v>1.3</v>
      </c>
      <c r="F11" s="28">
        <v>1.06</v>
      </c>
      <c r="G11" s="23"/>
      <c r="H11" s="23">
        <f t="shared" si="0"/>
        <v>2.3600000000000003</v>
      </c>
      <c r="I11" s="31"/>
      <c r="K11" s="21">
        <f t="shared" si="1"/>
        <v>590.00000000000011</v>
      </c>
      <c r="L11" s="21">
        <f t="shared" si="2"/>
        <v>5807.0866141732295</v>
      </c>
      <c r="M11" s="20">
        <f t="shared" si="3"/>
        <v>5180.9667789385112</v>
      </c>
      <c r="N11" s="19">
        <f t="shared" si="4"/>
        <v>2172.7630680957086</v>
      </c>
      <c r="O11" s="19">
        <f t="shared" si="4"/>
        <v>1938.4958452029343</v>
      </c>
      <c r="P11" s="18">
        <f t="shared" si="5"/>
        <v>4.0385330108394468</v>
      </c>
    </row>
    <row r="12" spans="1:18" ht="13.5" thickBot="1" x14ac:dyDescent="0.25">
      <c r="C12" s="30">
        <v>6</v>
      </c>
      <c r="D12" s="30">
        <v>4</v>
      </c>
      <c r="E12" s="28">
        <v>1.26</v>
      </c>
      <c r="F12" s="28">
        <v>0.53</v>
      </c>
      <c r="G12" s="23">
        <v>0.56000000000000005</v>
      </c>
      <c r="H12" s="23">
        <f t="shared" si="0"/>
        <v>2.35</v>
      </c>
      <c r="I12" s="31"/>
      <c r="K12" s="21">
        <f t="shared" si="1"/>
        <v>587.5</v>
      </c>
      <c r="L12" s="21">
        <f t="shared" si="2"/>
        <v>5782.4803149606296</v>
      </c>
      <c r="M12" s="20">
        <f t="shared" si="3"/>
        <v>5159.0135298752111</v>
      </c>
      <c r="N12" s="19">
        <f t="shared" si="4"/>
        <v>2163.5564449258109</v>
      </c>
      <c r="O12" s="19">
        <f t="shared" si="4"/>
        <v>1930.2818797571588</v>
      </c>
      <c r="P12" s="18">
        <f t="shared" si="5"/>
        <v>4.0214205828274139</v>
      </c>
    </row>
    <row r="13" spans="1:18" ht="13.5" thickBot="1" x14ac:dyDescent="0.25">
      <c r="C13" s="30">
        <v>7</v>
      </c>
      <c r="D13" s="30">
        <v>4</v>
      </c>
      <c r="E13" s="28">
        <v>2.41</v>
      </c>
      <c r="F13" s="28"/>
      <c r="G13" s="23"/>
      <c r="H13" s="23">
        <f t="shared" si="0"/>
        <v>2.41</v>
      </c>
      <c r="I13" s="31"/>
      <c r="K13" s="21">
        <f t="shared" si="1"/>
        <v>602.5</v>
      </c>
      <c r="L13" s="21">
        <f t="shared" si="2"/>
        <v>5930.1181102362207</v>
      </c>
      <c r="M13" s="20">
        <f t="shared" si="3"/>
        <v>5290.7330242550042</v>
      </c>
      <c r="N13" s="19">
        <f t="shared" si="4"/>
        <v>2218.7961839451937</v>
      </c>
      <c r="O13" s="19">
        <f t="shared" si="4"/>
        <v>1979.5656724318098</v>
      </c>
      <c r="P13" s="18">
        <f t="shared" si="5"/>
        <v>4.1240951508996035</v>
      </c>
    </row>
    <row r="14" spans="1:18" ht="13.5" thickBot="1" x14ac:dyDescent="0.25">
      <c r="C14" s="30">
        <v>8</v>
      </c>
      <c r="D14" s="30">
        <v>4</v>
      </c>
      <c r="E14" s="28">
        <v>1.1100000000000001</v>
      </c>
      <c r="F14" s="28">
        <v>0.91</v>
      </c>
      <c r="G14" s="23"/>
      <c r="H14" s="23">
        <f t="shared" si="0"/>
        <v>2.02</v>
      </c>
      <c r="I14" s="31"/>
      <c r="K14" s="21">
        <f t="shared" si="1"/>
        <v>505</v>
      </c>
      <c r="L14" s="21">
        <f t="shared" si="2"/>
        <v>4970.4724409448818</v>
      </c>
      <c r="M14" s="20">
        <f t="shared" si="3"/>
        <v>4434.5563107863518</v>
      </c>
      <c r="N14" s="19">
        <f t="shared" si="4"/>
        <v>1859.7378803192078</v>
      </c>
      <c r="O14" s="19">
        <f t="shared" si="4"/>
        <v>1659.221020046579</v>
      </c>
      <c r="P14" s="18">
        <f t="shared" si="5"/>
        <v>3.4567104584303729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13.55</v>
      </c>
      <c r="I18" s="13"/>
      <c r="J18" s="12"/>
      <c r="K18" s="15">
        <f t="shared" ref="K18:P18" si="6">AVERAGE(K9:K14)+K16/6</f>
        <v>564.58333333333337</v>
      </c>
      <c r="L18" s="15">
        <f t="shared" si="6"/>
        <v>5556.9225721784778</v>
      </c>
      <c r="M18" s="17">
        <f t="shared" si="6"/>
        <v>4957.7754134616398</v>
      </c>
      <c r="N18" s="16">
        <f t="shared" si="6"/>
        <v>2079.1623992017544</v>
      </c>
      <c r="O18" s="16">
        <f t="shared" si="6"/>
        <v>1854.98719650422</v>
      </c>
      <c r="P18" s="15">
        <f t="shared" si="6"/>
        <v>3.864556659383791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0.11779690620347789</v>
      </c>
      <c r="I19" s="13"/>
      <c r="J19" s="12"/>
      <c r="K19" s="10">
        <f t="shared" ref="K19:P19" si="7">STDEV(K9:K14)/SQRT(COUNT(K9:K14))</f>
        <v>29.449226550869582</v>
      </c>
      <c r="L19" s="10">
        <f t="shared" si="7"/>
        <v>289.85459203611714</v>
      </c>
      <c r="M19" s="11">
        <f t="shared" si="7"/>
        <v>258.60248207709645</v>
      </c>
      <c r="N19" s="10">
        <f t="shared" si="7"/>
        <v>108.45117259951391</v>
      </c>
      <c r="O19" s="10">
        <f t="shared" si="7"/>
        <v>96.757971717458744</v>
      </c>
      <c r="P19" s="9">
        <f t="shared" si="7"/>
        <v>0.20157910774470605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2BCB-2B84-4FE8-979C-4D84F82FABA9}">
  <sheetPr codeName="Sheet12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17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39381</v>
      </c>
      <c r="I3" s="48"/>
      <c r="K3" s="42" t="s">
        <v>117</v>
      </c>
      <c r="L3" s="43">
        <v>2624.9</v>
      </c>
      <c r="N3" s="42" t="s">
        <v>116</v>
      </c>
      <c r="O3" s="41">
        <f>(L3-(L4+L5))/L3</f>
        <v>3.2839346260810039E-2</v>
      </c>
    </row>
    <row r="4" spans="1:18" ht="17.25" thickTop="1" thickBot="1" x14ac:dyDescent="0.25">
      <c r="B4" s="45" t="s">
        <v>115</v>
      </c>
      <c r="C4" s="47">
        <v>39088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951.6</v>
      </c>
      <c r="N4" s="42" t="s">
        <v>111</v>
      </c>
      <c r="O4" s="41">
        <f>L4/L3</f>
        <v>0.3625280963084308</v>
      </c>
    </row>
    <row r="5" spans="1:18" ht="17.25" thickTop="1" thickBot="1" x14ac:dyDescent="0.25">
      <c r="B5" s="45" t="s">
        <v>110</v>
      </c>
      <c r="C5" s="44">
        <v>0.41319444444444442</v>
      </c>
      <c r="F5" s="40"/>
      <c r="G5" s="40"/>
      <c r="K5" s="42" t="s">
        <v>109</v>
      </c>
      <c r="L5" s="43">
        <v>1587.1</v>
      </c>
      <c r="N5" s="42" t="s">
        <v>108</v>
      </c>
      <c r="O5" s="41">
        <f>L5/L3</f>
        <v>0.60463255743075917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1.02</v>
      </c>
      <c r="F9" s="28">
        <v>1.01</v>
      </c>
      <c r="G9" s="23"/>
      <c r="H9" s="23">
        <f t="shared" ref="H9:H14" si="0">SUM(E9:G9)</f>
        <v>2.0300000000000002</v>
      </c>
      <c r="I9" s="31"/>
      <c r="K9" s="21">
        <f t="shared" ref="K9:K14" si="1">H9/D9*1000</f>
        <v>507.50000000000006</v>
      </c>
      <c r="L9" s="21">
        <f t="shared" ref="L9:L14" si="2">K9/1.016*10</f>
        <v>4995.0787401574808</v>
      </c>
      <c r="M9" s="20">
        <f t="shared" ref="M9:M14" si="3">L9/1.12085</f>
        <v>4456.5095598496509</v>
      </c>
      <c r="N9" s="19">
        <f t="shared" ref="N9:O14" si="4">L9*$O$4</f>
        <v>1810.8563865800063</v>
      </c>
      <c r="O9" s="19">
        <f t="shared" si="4"/>
        <v>1615.6099269126169</v>
      </c>
      <c r="P9" s="18">
        <f t="shared" ref="P9:P14" si="5">O9/480</f>
        <v>3.3658540144012852</v>
      </c>
    </row>
    <row r="10" spans="1:18" ht="13.5" thickBot="1" x14ac:dyDescent="0.25">
      <c r="C10" s="30">
        <v>4</v>
      </c>
      <c r="D10" s="30">
        <v>4</v>
      </c>
      <c r="E10" s="28">
        <v>1.28</v>
      </c>
      <c r="F10" s="28">
        <v>1.2</v>
      </c>
      <c r="G10" s="23"/>
      <c r="H10" s="23">
        <f t="shared" si="0"/>
        <v>2.48</v>
      </c>
      <c r="I10" s="31"/>
      <c r="K10" s="21">
        <f t="shared" si="1"/>
        <v>620</v>
      </c>
      <c r="L10" s="21">
        <f t="shared" si="2"/>
        <v>6102.3622047244089</v>
      </c>
      <c r="M10" s="20">
        <f t="shared" si="3"/>
        <v>5444.4057676980947</v>
      </c>
      <c r="N10" s="19">
        <f t="shared" si="4"/>
        <v>2212.2777530632588</v>
      </c>
      <c r="O10" s="19">
        <f t="shared" si="4"/>
        <v>1973.7500584942311</v>
      </c>
      <c r="P10" s="18">
        <f t="shared" si="5"/>
        <v>4.111979288529648</v>
      </c>
    </row>
    <row r="11" spans="1:18" ht="13.5" thickBot="1" x14ac:dyDescent="0.25">
      <c r="C11" s="30">
        <v>5</v>
      </c>
      <c r="D11" s="30">
        <v>4</v>
      </c>
      <c r="E11" s="28">
        <v>1.28</v>
      </c>
      <c r="F11" s="28">
        <v>0.95</v>
      </c>
      <c r="G11" s="23"/>
      <c r="H11" s="23">
        <f t="shared" si="0"/>
        <v>2.23</v>
      </c>
      <c r="I11" s="31"/>
      <c r="K11" s="21">
        <f t="shared" si="1"/>
        <v>557.5</v>
      </c>
      <c r="L11" s="21">
        <f t="shared" si="2"/>
        <v>5487.2047244094483</v>
      </c>
      <c r="M11" s="20">
        <f t="shared" si="3"/>
        <v>4895.5745411156258</v>
      </c>
      <c r="N11" s="19">
        <f t="shared" si="4"/>
        <v>1989.2658827947851</v>
      </c>
      <c r="O11" s="19">
        <f t="shared" si="4"/>
        <v>1774.7833187266676</v>
      </c>
      <c r="P11" s="18">
        <f t="shared" si="5"/>
        <v>3.6974652473472243</v>
      </c>
    </row>
    <row r="12" spans="1:18" ht="13.5" thickBot="1" x14ac:dyDescent="0.25">
      <c r="C12" s="30">
        <v>6</v>
      </c>
      <c r="D12" s="30">
        <v>4</v>
      </c>
      <c r="E12" s="28">
        <v>1.29</v>
      </c>
      <c r="F12" s="28">
        <v>1.1100000000000001</v>
      </c>
      <c r="G12" s="23"/>
      <c r="H12" s="23">
        <f t="shared" si="0"/>
        <v>2.4000000000000004</v>
      </c>
      <c r="I12" s="31"/>
      <c r="K12" s="21">
        <f t="shared" si="1"/>
        <v>600.00000000000011</v>
      </c>
      <c r="L12" s="21">
        <f t="shared" si="2"/>
        <v>5905.5118110236235</v>
      </c>
      <c r="M12" s="20">
        <f t="shared" si="3"/>
        <v>5268.779775191706</v>
      </c>
      <c r="N12" s="19">
        <f t="shared" si="4"/>
        <v>2140.9139545773478</v>
      </c>
      <c r="O12" s="19">
        <f t="shared" si="4"/>
        <v>1910.0807017686111</v>
      </c>
      <c r="P12" s="18">
        <f t="shared" si="5"/>
        <v>3.979334795351273</v>
      </c>
    </row>
    <row r="13" spans="1:18" ht="13.5" thickBot="1" x14ac:dyDescent="0.25">
      <c r="C13" s="30">
        <v>7</v>
      </c>
      <c r="D13" s="30">
        <v>4</v>
      </c>
      <c r="E13" s="28">
        <v>1.43</v>
      </c>
      <c r="F13" s="28">
        <v>0.89</v>
      </c>
      <c r="G13" s="23"/>
      <c r="H13" s="23">
        <f t="shared" si="0"/>
        <v>2.3199999999999998</v>
      </c>
      <c r="I13" s="31"/>
      <c r="K13" s="21">
        <f t="shared" si="1"/>
        <v>580</v>
      </c>
      <c r="L13" s="21">
        <f t="shared" si="2"/>
        <v>5708.6614173228354</v>
      </c>
      <c r="M13" s="20">
        <f t="shared" si="3"/>
        <v>5093.1537826853155</v>
      </c>
      <c r="N13" s="19">
        <f t="shared" si="4"/>
        <v>2069.5501560914358</v>
      </c>
      <c r="O13" s="19">
        <f t="shared" si="4"/>
        <v>1846.4113450429907</v>
      </c>
      <c r="P13" s="18">
        <f t="shared" si="5"/>
        <v>3.8466903021728971</v>
      </c>
    </row>
    <row r="14" spans="1:18" ht="13.5" thickBot="1" x14ac:dyDescent="0.25">
      <c r="C14" s="30">
        <v>8</v>
      </c>
      <c r="D14" s="30">
        <v>4</v>
      </c>
      <c r="E14" s="28">
        <v>1.92</v>
      </c>
      <c r="F14" s="28"/>
      <c r="G14" s="23"/>
      <c r="H14" s="23">
        <f t="shared" si="0"/>
        <v>1.92</v>
      </c>
      <c r="I14" s="31"/>
      <c r="K14" s="21">
        <f t="shared" si="1"/>
        <v>480</v>
      </c>
      <c r="L14" s="21">
        <f t="shared" si="2"/>
        <v>4724.4094488188975</v>
      </c>
      <c r="M14" s="20">
        <f t="shared" si="3"/>
        <v>4215.0238201533639</v>
      </c>
      <c r="N14" s="19">
        <f t="shared" si="4"/>
        <v>1712.7311636618779</v>
      </c>
      <c r="O14" s="19">
        <f t="shared" si="4"/>
        <v>1528.0645614148887</v>
      </c>
      <c r="P14" s="18">
        <f t="shared" si="5"/>
        <v>3.183467836281018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13.38</v>
      </c>
      <c r="I18" s="13"/>
      <c r="J18" s="12"/>
      <c r="K18" s="15">
        <f t="shared" ref="K18:P18" si="6">AVERAGE(K9:K14)+K16/6</f>
        <v>557.5</v>
      </c>
      <c r="L18" s="15">
        <f t="shared" si="6"/>
        <v>5487.2047244094501</v>
      </c>
      <c r="M18" s="17">
        <f t="shared" si="6"/>
        <v>4895.5745411156267</v>
      </c>
      <c r="N18" s="16">
        <f t="shared" si="6"/>
        <v>1989.2658827947853</v>
      </c>
      <c r="O18" s="16">
        <f t="shared" si="6"/>
        <v>1774.7833187266679</v>
      </c>
      <c r="P18" s="15">
        <f t="shared" si="6"/>
        <v>3.6974652473472243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8.8619034825105927E-2</v>
      </c>
      <c r="I19" s="13"/>
      <c r="J19" s="12"/>
      <c r="K19" s="10">
        <f t="shared" ref="K19:P19" si="7">STDEV(K9:K14)/SQRT(COUNT(K9:K14))</f>
        <v>22.154758706276482</v>
      </c>
      <c r="L19" s="10">
        <f t="shared" si="7"/>
        <v>218.05864868382369</v>
      </c>
      <c r="M19" s="11">
        <f t="shared" si="7"/>
        <v>194.54757432646977</v>
      </c>
      <c r="N19" s="10">
        <f t="shared" si="7"/>
        <v>79.052386790935515</v>
      </c>
      <c r="O19" s="10">
        <f t="shared" si="7"/>
        <v>70.528961761998033</v>
      </c>
      <c r="P19" s="9">
        <f t="shared" si="7"/>
        <v>0.14693533700416253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1DF1-F923-46C3-8CF5-41EBC2B2A662}">
  <sheetPr codeName="Sheet13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18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2540.3000000000002</v>
      </c>
      <c r="N3" s="42" t="s">
        <v>116</v>
      </c>
      <c r="O3" s="41">
        <f>(L3-(L4+L5))/L3</f>
        <v>3.0390111404164966E-2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947.4</v>
      </c>
      <c r="N4" s="42" t="s">
        <v>111</v>
      </c>
      <c r="O4" s="41">
        <f>L4/L3</f>
        <v>0.37294807699877963</v>
      </c>
    </row>
    <row r="5" spans="1:18" ht="17.25" thickTop="1" thickBot="1" x14ac:dyDescent="0.25">
      <c r="B5" s="45" t="s">
        <v>110</v>
      </c>
      <c r="C5" s="44">
        <v>0.54722222222222217</v>
      </c>
      <c r="F5" s="40"/>
      <c r="G5" s="40"/>
      <c r="K5" s="42" t="s">
        <v>109</v>
      </c>
      <c r="L5" s="43">
        <v>1515.7</v>
      </c>
      <c r="N5" s="42" t="s">
        <v>108</v>
      </c>
      <c r="O5" s="41">
        <f>L5/L3</f>
        <v>0.59666181159705545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</v>
      </c>
      <c r="F9" s="28">
        <v>0.71</v>
      </c>
      <c r="G9" s="23"/>
      <c r="H9" s="23">
        <f t="shared" ref="H9:H14" si="0">SUM(E9:G9)</f>
        <v>1.91</v>
      </c>
      <c r="I9" s="31"/>
      <c r="K9" s="21">
        <f t="shared" ref="K9:K14" si="1">H9/D9*1000</f>
        <v>477.5</v>
      </c>
      <c r="L9" s="21">
        <f t="shared" ref="L9:L14" si="2">K9/1.016*10</f>
        <v>4699.8031496062995</v>
      </c>
      <c r="M9" s="20">
        <f t="shared" ref="M9:M14" si="3">L9/1.12085</f>
        <v>4193.0705710900656</v>
      </c>
      <c r="N9" s="19">
        <f t="shared" ref="N9:O14" si="4">L9*$O$4</f>
        <v>1752.7825469184772</v>
      </c>
      <c r="O9" s="19">
        <f t="shared" si="4"/>
        <v>1563.7976062082146</v>
      </c>
      <c r="P9" s="18">
        <f t="shared" ref="P9:P14" si="5">O9/480</f>
        <v>3.257911679600447</v>
      </c>
    </row>
    <row r="10" spans="1:18" ht="13.5" thickBot="1" x14ac:dyDescent="0.25">
      <c r="C10" s="30">
        <v>4</v>
      </c>
      <c r="D10" s="30">
        <v>4</v>
      </c>
      <c r="E10" s="28">
        <v>2.5099999999999998</v>
      </c>
      <c r="F10" s="28">
        <v>0.86</v>
      </c>
      <c r="G10" s="23">
        <v>0.6</v>
      </c>
      <c r="H10" s="23">
        <f t="shared" si="0"/>
        <v>3.9699999999999998</v>
      </c>
      <c r="I10" s="31"/>
      <c r="K10" s="21">
        <f t="shared" si="1"/>
        <v>992.49999999999989</v>
      </c>
      <c r="L10" s="21">
        <f t="shared" si="2"/>
        <v>9768.7007874015744</v>
      </c>
      <c r="M10" s="20">
        <f t="shared" si="3"/>
        <v>8715.4398781296113</v>
      </c>
      <c r="N10" s="19">
        <f t="shared" si="4"/>
        <v>3643.2181734378814</v>
      </c>
      <c r="O10" s="19">
        <f t="shared" si="4"/>
        <v>3250.4065427469168</v>
      </c>
      <c r="P10" s="18">
        <f t="shared" si="5"/>
        <v>6.7716802973894099</v>
      </c>
    </row>
    <row r="11" spans="1:18" ht="13.5" thickBot="1" x14ac:dyDescent="0.25">
      <c r="C11" s="30">
        <v>5</v>
      </c>
      <c r="D11" s="30">
        <v>4</v>
      </c>
      <c r="E11" s="28">
        <v>1.0900000000000001</v>
      </c>
      <c r="F11" s="28">
        <v>1.03</v>
      </c>
      <c r="G11" s="23"/>
      <c r="H11" s="23">
        <f t="shared" si="0"/>
        <v>2.12</v>
      </c>
      <c r="I11" s="31"/>
      <c r="K11" s="21">
        <f t="shared" si="1"/>
        <v>530</v>
      </c>
      <c r="L11" s="21">
        <f t="shared" si="2"/>
        <v>5216.535433070866</v>
      </c>
      <c r="M11" s="20">
        <f t="shared" si="3"/>
        <v>4654.0888014193397</v>
      </c>
      <c r="N11" s="19">
        <f t="shared" si="4"/>
        <v>1945.4968583597756</v>
      </c>
      <c r="O11" s="19">
        <f t="shared" si="4"/>
        <v>1735.733468670898</v>
      </c>
      <c r="P11" s="18">
        <f t="shared" si="5"/>
        <v>3.6161113930643709</v>
      </c>
    </row>
    <row r="12" spans="1:18" ht="13.5" thickBot="1" x14ac:dyDescent="0.25">
      <c r="C12" s="30">
        <v>6</v>
      </c>
      <c r="D12" s="30">
        <v>4</v>
      </c>
      <c r="E12" s="28">
        <v>0.98</v>
      </c>
      <c r="F12" s="28">
        <v>1.19</v>
      </c>
      <c r="G12" s="23"/>
      <c r="H12" s="23">
        <f t="shared" si="0"/>
        <v>2.17</v>
      </c>
      <c r="I12" s="31"/>
      <c r="K12" s="21">
        <f t="shared" si="1"/>
        <v>542.5</v>
      </c>
      <c r="L12" s="21">
        <f t="shared" si="2"/>
        <v>5339.5669291338581</v>
      </c>
      <c r="M12" s="20">
        <f t="shared" si="3"/>
        <v>4763.8550467358327</v>
      </c>
      <c r="N12" s="19">
        <f t="shared" si="4"/>
        <v>1991.3812182267513</v>
      </c>
      <c r="O12" s="19">
        <f t="shared" si="4"/>
        <v>1776.6705787810604</v>
      </c>
      <c r="P12" s="18">
        <f t="shared" si="5"/>
        <v>3.7013970391272091</v>
      </c>
    </row>
    <row r="13" spans="1:18" ht="13.5" thickBot="1" x14ac:dyDescent="0.25">
      <c r="C13" s="30">
        <v>7</v>
      </c>
      <c r="D13" s="30">
        <v>4</v>
      </c>
      <c r="E13" s="28">
        <v>0.74</v>
      </c>
      <c r="F13" s="28">
        <v>1.59</v>
      </c>
      <c r="G13" s="23"/>
      <c r="H13" s="23">
        <f t="shared" si="0"/>
        <v>2.33</v>
      </c>
      <c r="I13" s="31"/>
      <c r="K13" s="21">
        <f t="shared" si="1"/>
        <v>582.5</v>
      </c>
      <c r="L13" s="21">
        <f t="shared" si="2"/>
        <v>5733.2677165354335</v>
      </c>
      <c r="M13" s="20">
        <f t="shared" si="3"/>
        <v>5115.1070317486137</v>
      </c>
      <c r="N13" s="19">
        <f t="shared" si="4"/>
        <v>2138.2111698010744</v>
      </c>
      <c r="O13" s="19">
        <f t="shared" si="4"/>
        <v>1907.6693311335812</v>
      </c>
      <c r="P13" s="18">
        <f t="shared" si="5"/>
        <v>3.9743111065282943</v>
      </c>
    </row>
    <row r="14" spans="1:18" ht="13.5" thickBot="1" x14ac:dyDescent="0.25">
      <c r="C14" s="30">
        <v>8</v>
      </c>
      <c r="D14" s="30">
        <v>4</v>
      </c>
      <c r="E14" s="28">
        <v>1.27</v>
      </c>
      <c r="F14" s="28">
        <v>0.95</v>
      </c>
      <c r="G14" s="23"/>
      <c r="H14" s="23">
        <f t="shared" si="0"/>
        <v>2.2199999999999998</v>
      </c>
      <c r="I14" s="31"/>
      <c r="K14" s="21">
        <f t="shared" si="1"/>
        <v>554.99999999999989</v>
      </c>
      <c r="L14" s="21">
        <f t="shared" si="2"/>
        <v>5462.5984251968484</v>
      </c>
      <c r="M14" s="20">
        <f t="shared" si="3"/>
        <v>4873.6212920523258</v>
      </c>
      <c r="N14" s="19">
        <f t="shared" si="4"/>
        <v>2037.2655780937266</v>
      </c>
      <c r="O14" s="19">
        <f t="shared" si="4"/>
        <v>1817.6076888912228</v>
      </c>
      <c r="P14" s="18">
        <f t="shared" si="5"/>
        <v>3.7866826851900472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14.719999999999999</v>
      </c>
      <c r="I18" s="13"/>
      <c r="J18" s="12"/>
      <c r="K18" s="15">
        <f t="shared" ref="K18:P18" si="6">AVERAGE(K9:K14)+K16/6</f>
        <v>613.33333333333337</v>
      </c>
      <c r="L18" s="15">
        <f t="shared" si="6"/>
        <v>6036.7454068241459</v>
      </c>
      <c r="M18" s="17">
        <f t="shared" si="6"/>
        <v>5385.8637701959642</v>
      </c>
      <c r="N18" s="16">
        <f t="shared" si="6"/>
        <v>2251.3925908062811</v>
      </c>
      <c r="O18" s="16">
        <f t="shared" si="6"/>
        <v>2008.6475360719824</v>
      </c>
      <c r="P18" s="15">
        <f t="shared" si="6"/>
        <v>4.18468236681663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0.30857378012037529</v>
      </c>
      <c r="I19" s="13"/>
      <c r="J19" s="12"/>
      <c r="K19" s="10">
        <f t="shared" ref="K19:P19" si="7">STDEV(K9:K14)/SQRT(COUNT(K9:K14))</f>
        <v>77.143445030093886</v>
      </c>
      <c r="L19" s="10">
        <f t="shared" si="7"/>
        <v>759.28587628045159</v>
      </c>
      <c r="M19" s="11">
        <f t="shared" si="7"/>
        <v>677.41970493862004</v>
      </c>
      <c r="N19" s="10">
        <f t="shared" si="7"/>
        <v>283.17420745112753</v>
      </c>
      <c r="O19" s="10">
        <f t="shared" si="7"/>
        <v>252.64237627793875</v>
      </c>
      <c r="P19" s="9">
        <f t="shared" si="7"/>
        <v>0.52633828391237236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5248-910A-42BE-8006-819CB8834828}">
  <sheetPr codeName="Sheet14">
    <pageSetUpPr fitToPage="1"/>
  </sheetPr>
  <dimension ref="A1:R22"/>
  <sheetViews>
    <sheetView topLeftCell="C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21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1946.8</v>
      </c>
      <c r="N3" s="42" t="s">
        <v>116</v>
      </c>
      <c r="O3" s="41">
        <f>(L3-(L4+L5))/L3</f>
        <v>4.1144442161495862E-2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694.1</v>
      </c>
      <c r="N4" s="42" t="s">
        <v>111</v>
      </c>
      <c r="O4" s="41">
        <f>L4/L3</f>
        <v>0.35653379905485927</v>
      </c>
    </row>
    <row r="5" spans="1:18" ht="17.25" thickTop="1" thickBot="1" x14ac:dyDescent="0.25">
      <c r="B5" s="45" t="s">
        <v>110</v>
      </c>
      <c r="C5" s="44">
        <v>0.42291666666666666</v>
      </c>
      <c r="F5" s="40"/>
      <c r="G5" s="40"/>
      <c r="K5" s="42" t="s">
        <v>109</v>
      </c>
      <c r="L5" s="43">
        <v>1172.5999999999999</v>
      </c>
      <c r="N5" s="42" t="s">
        <v>108</v>
      </c>
      <c r="O5" s="41">
        <f>L5/L3</f>
        <v>0.60232175878364491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0.97</v>
      </c>
      <c r="F9" s="28">
        <v>0.64</v>
      </c>
      <c r="G9" s="23"/>
      <c r="H9" s="23">
        <f t="shared" ref="H9:H14" si="0">SUM(E9:G9)</f>
        <v>1.6099999999999999</v>
      </c>
      <c r="I9" s="31"/>
      <c r="K9" s="21">
        <f t="shared" ref="K9:K14" si="1">H9/D9*1000</f>
        <v>402.49999999999994</v>
      </c>
      <c r="L9" s="21">
        <f t="shared" ref="L9:L14" si="2">K9/1.016*10</f>
        <v>3961.6141732283459</v>
      </c>
      <c r="M9" s="20">
        <f t="shared" ref="M9:M14" si="3">L9/1.12085</f>
        <v>3534.4730991911015</v>
      </c>
      <c r="N9" s="19">
        <f t="shared" ref="N9:O14" si="4">L9*$O$4</f>
        <v>1412.4493515706774</v>
      </c>
      <c r="O9" s="19">
        <f t="shared" si="4"/>
        <v>1260.1591217118059</v>
      </c>
      <c r="P9" s="18">
        <f t="shared" ref="P9:P14" si="5">O9/480</f>
        <v>2.6253315035662625</v>
      </c>
    </row>
    <row r="10" spans="1:18" ht="13.5" thickBot="1" x14ac:dyDescent="0.25">
      <c r="C10" s="30">
        <v>4</v>
      </c>
      <c r="D10" s="30">
        <v>4</v>
      </c>
      <c r="E10" s="28">
        <v>1.1000000000000001</v>
      </c>
      <c r="F10" s="28">
        <v>0.56000000000000005</v>
      </c>
      <c r="G10" s="23"/>
      <c r="H10" s="23">
        <f t="shared" si="0"/>
        <v>1.6600000000000001</v>
      </c>
      <c r="I10" s="31"/>
      <c r="K10" s="21">
        <f t="shared" si="1"/>
        <v>415.00000000000006</v>
      </c>
      <c r="L10" s="21">
        <f t="shared" si="2"/>
        <v>4084.6456692913393</v>
      </c>
      <c r="M10" s="20">
        <f t="shared" si="3"/>
        <v>3644.2393445075968</v>
      </c>
      <c r="N10" s="19">
        <f t="shared" si="4"/>
        <v>1456.3142382654196</v>
      </c>
      <c r="O10" s="19">
        <f t="shared" si="4"/>
        <v>1299.2944981624835</v>
      </c>
      <c r="P10" s="18">
        <f t="shared" si="5"/>
        <v>2.7068635378385073</v>
      </c>
    </row>
    <row r="11" spans="1:18" ht="13.5" thickBot="1" x14ac:dyDescent="0.25">
      <c r="C11" s="30">
        <v>5</v>
      </c>
      <c r="D11" s="30">
        <v>4</v>
      </c>
      <c r="E11" s="28">
        <v>0.99</v>
      </c>
      <c r="F11" s="28">
        <v>0.86</v>
      </c>
      <c r="G11" s="23"/>
      <c r="H11" s="23">
        <f t="shared" si="0"/>
        <v>1.85</v>
      </c>
      <c r="I11" s="31"/>
      <c r="K11" s="21">
        <f t="shared" si="1"/>
        <v>462.5</v>
      </c>
      <c r="L11" s="21">
        <f t="shared" si="2"/>
        <v>4552.1653543307084</v>
      </c>
      <c r="M11" s="20">
        <f t="shared" si="3"/>
        <v>4061.3510767102725</v>
      </c>
      <c r="N11" s="19">
        <f t="shared" si="4"/>
        <v>1623.000807705437</v>
      </c>
      <c r="O11" s="19">
        <f t="shared" si="4"/>
        <v>1448.0089286750567</v>
      </c>
      <c r="P11" s="18">
        <f t="shared" si="5"/>
        <v>3.0166852680730347</v>
      </c>
    </row>
    <row r="12" spans="1:18" ht="13.5" thickBot="1" x14ac:dyDescent="0.25">
      <c r="C12" s="30">
        <v>6</v>
      </c>
      <c r="D12" s="30">
        <v>4</v>
      </c>
      <c r="E12" s="28">
        <v>0.73</v>
      </c>
      <c r="F12" s="28">
        <v>0.88</v>
      </c>
      <c r="G12" s="23"/>
      <c r="H12" s="23">
        <f t="shared" si="0"/>
        <v>1.6099999999999999</v>
      </c>
      <c r="I12" s="31"/>
      <c r="K12" s="21">
        <f t="shared" si="1"/>
        <v>402.49999999999994</v>
      </c>
      <c r="L12" s="21">
        <f t="shared" si="2"/>
        <v>3961.6141732283459</v>
      </c>
      <c r="M12" s="20">
        <f t="shared" si="3"/>
        <v>3534.4730991911015</v>
      </c>
      <c r="N12" s="19">
        <f t="shared" si="4"/>
        <v>1412.4493515706774</v>
      </c>
      <c r="O12" s="19">
        <f t="shared" si="4"/>
        <v>1260.1591217118059</v>
      </c>
      <c r="P12" s="18">
        <f t="shared" si="5"/>
        <v>2.6253315035662625</v>
      </c>
    </row>
    <row r="13" spans="1:18" ht="13.5" thickBot="1" x14ac:dyDescent="0.25">
      <c r="C13" s="30">
        <v>7</v>
      </c>
      <c r="D13" s="30">
        <v>4</v>
      </c>
      <c r="E13" s="28">
        <v>0.87</v>
      </c>
      <c r="F13" s="28">
        <v>1.31</v>
      </c>
      <c r="G13" s="23"/>
      <c r="H13" s="23">
        <f t="shared" si="0"/>
        <v>2.1800000000000002</v>
      </c>
      <c r="I13" s="31"/>
      <c r="K13" s="21">
        <f t="shared" si="1"/>
        <v>545</v>
      </c>
      <c r="L13" s="21">
        <f t="shared" si="2"/>
        <v>5364.1732283464571</v>
      </c>
      <c r="M13" s="20">
        <f t="shared" si="3"/>
        <v>4785.8082957991328</v>
      </c>
      <c r="N13" s="19">
        <f t="shared" si="4"/>
        <v>1912.5090598907314</v>
      </c>
      <c r="O13" s="19">
        <f t="shared" si="4"/>
        <v>1706.3024132495266</v>
      </c>
      <c r="P13" s="18">
        <f t="shared" si="5"/>
        <v>3.554796694269847</v>
      </c>
    </row>
    <row r="14" spans="1:18" ht="13.5" thickBot="1" x14ac:dyDescent="0.25">
      <c r="C14" s="30">
        <v>8</v>
      </c>
      <c r="D14" s="30">
        <v>4</v>
      </c>
      <c r="E14" s="28">
        <v>1.07</v>
      </c>
      <c r="F14" s="28"/>
      <c r="G14" s="23"/>
      <c r="H14" s="23">
        <f t="shared" si="0"/>
        <v>1.07</v>
      </c>
      <c r="I14" s="31"/>
      <c r="K14" s="21">
        <f t="shared" si="1"/>
        <v>267.5</v>
      </c>
      <c r="L14" s="21">
        <f t="shared" si="2"/>
        <v>2632.8740157480315</v>
      </c>
      <c r="M14" s="20">
        <f t="shared" si="3"/>
        <v>2348.9976497729685</v>
      </c>
      <c r="N14" s="19">
        <f t="shared" si="4"/>
        <v>938.70857526746909</v>
      </c>
      <c r="O14" s="19">
        <f t="shared" si="4"/>
        <v>837.4970560444923</v>
      </c>
      <c r="P14" s="18">
        <f t="shared" si="5"/>
        <v>1.7447855334260256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9.98</v>
      </c>
      <c r="I18" s="13"/>
      <c r="J18" s="12"/>
      <c r="K18" s="15">
        <f t="shared" ref="K18:P18" si="6">AVERAGE(K9:K14)+K16/6</f>
        <v>415.83333333333331</v>
      </c>
      <c r="L18" s="15">
        <f t="shared" si="6"/>
        <v>4092.8477690288714</v>
      </c>
      <c r="M18" s="17">
        <f t="shared" si="6"/>
        <v>3651.5570941953624</v>
      </c>
      <c r="N18" s="16">
        <f t="shared" si="6"/>
        <v>1459.2385640450684</v>
      </c>
      <c r="O18" s="16">
        <f t="shared" si="6"/>
        <v>1301.9035232591953</v>
      </c>
      <c r="P18" s="15">
        <f t="shared" si="6"/>
        <v>2.7122990067899901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0.14827152270225194</v>
      </c>
      <c r="I19" s="13"/>
      <c r="J19" s="12"/>
      <c r="K19" s="10">
        <f t="shared" ref="K19:P19" si="7">STDEV(K9:K14)/SQRT(COUNT(K9:K14))</f>
        <v>37.067880675563032</v>
      </c>
      <c r="L19" s="10">
        <f t="shared" si="7"/>
        <v>364.84134523191904</v>
      </c>
      <c r="M19" s="11">
        <f t="shared" si="7"/>
        <v>325.50416668771004</v>
      </c>
      <c r="N19" s="10">
        <f t="shared" si="7"/>
        <v>130.078270867822</v>
      </c>
      <c r="O19" s="10">
        <f t="shared" si="7"/>
        <v>116.05323715735534</v>
      </c>
      <c r="P19" s="9">
        <f t="shared" si="7"/>
        <v>0.24177757741115716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1E5F-7A80-4D43-A7D3-23358BF6E025}">
  <sheetPr codeName="Sheet15">
    <pageSetUpPr fitToPage="1"/>
  </sheetPr>
  <dimension ref="A1:R22"/>
  <sheetViews>
    <sheetView topLeftCell="C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22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2342.1</v>
      </c>
      <c r="N3" s="42" t="s">
        <v>116</v>
      </c>
      <c r="O3" s="41">
        <f>(L3-(L4+L5))/L3</f>
        <v>4.1928184108278817E-2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857.7</v>
      </c>
      <c r="N4" s="42" t="s">
        <v>111</v>
      </c>
      <c r="O4" s="41">
        <f>L4/L3</f>
        <v>0.36620981170744205</v>
      </c>
    </row>
    <row r="5" spans="1:18" ht="17.25" thickTop="1" thickBot="1" x14ac:dyDescent="0.25">
      <c r="B5" s="45" t="s">
        <v>110</v>
      </c>
      <c r="C5" s="44">
        <v>0.56944444444444442</v>
      </c>
      <c r="F5" s="40"/>
      <c r="G5" s="40"/>
      <c r="K5" s="42" t="s">
        <v>109</v>
      </c>
      <c r="L5" s="43">
        <v>1386.2</v>
      </c>
      <c r="N5" s="42" t="s">
        <v>108</v>
      </c>
      <c r="O5" s="41">
        <f>L5/L3</f>
        <v>0.59186200418427914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1.1100000000000001</v>
      </c>
      <c r="F9" s="28">
        <v>0.86</v>
      </c>
      <c r="G9" s="23"/>
      <c r="H9" s="23">
        <f t="shared" ref="H9:H14" si="0">SUM(E9:G9)</f>
        <v>1.9700000000000002</v>
      </c>
      <c r="I9" s="31"/>
      <c r="K9" s="21">
        <f t="shared" ref="K9:K14" si="1">H9/D9*1000</f>
        <v>492.50000000000006</v>
      </c>
      <c r="L9" s="21">
        <f t="shared" ref="L9:L14" si="2">K9/1.016*10</f>
        <v>4847.4409448818906</v>
      </c>
      <c r="M9" s="20">
        <f t="shared" ref="M9:M14" si="3">L9/1.12085</f>
        <v>4324.7900654698587</v>
      </c>
      <c r="N9" s="19">
        <f t="shared" ref="N9:O14" si="4">L9*$O$4</f>
        <v>1775.1804356881421</v>
      </c>
      <c r="O9" s="19">
        <f t="shared" si="4"/>
        <v>1583.7805555499328</v>
      </c>
      <c r="P9" s="18">
        <f t="shared" ref="P9:P14" si="5">O9/480</f>
        <v>3.2995428240623599</v>
      </c>
    </row>
    <row r="10" spans="1:18" ht="13.5" thickBot="1" x14ac:dyDescent="0.25">
      <c r="C10" s="30">
        <v>4</v>
      </c>
      <c r="D10" s="30">
        <v>4</v>
      </c>
      <c r="E10" s="28">
        <v>1.4</v>
      </c>
      <c r="F10" s="28"/>
      <c r="G10" s="23"/>
      <c r="H10" s="23">
        <f t="shared" si="0"/>
        <v>1.4</v>
      </c>
      <c r="I10" s="31"/>
      <c r="K10" s="21">
        <f t="shared" si="1"/>
        <v>350</v>
      </c>
      <c r="L10" s="21">
        <f t="shared" si="2"/>
        <v>3444.8818897637793</v>
      </c>
      <c r="M10" s="20">
        <f t="shared" si="3"/>
        <v>3073.4548688618279</v>
      </c>
      <c r="N10" s="19">
        <f t="shared" si="4"/>
        <v>1261.5495482047706</v>
      </c>
      <c r="O10" s="19">
        <f t="shared" si="4"/>
        <v>1125.5293288172111</v>
      </c>
      <c r="P10" s="18">
        <f t="shared" si="5"/>
        <v>2.3448527683691895</v>
      </c>
    </row>
    <row r="11" spans="1:18" ht="13.5" thickBot="1" x14ac:dyDescent="0.25">
      <c r="C11" s="30">
        <v>5</v>
      </c>
      <c r="D11" s="30">
        <v>4</v>
      </c>
      <c r="E11" s="28">
        <v>1.03</v>
      </c>
      <c r="F11" s="28">
        <v>0.92</v>
      </c>
      <c r="G11" s="23"/>
      <c r="H11" s="23">
        <f t="shared" si="0"/>
        <v>1.9500000000000002</v>
      </c>
      <c r="I11" s="31"/>
      <c r="K11" s="21">
        <f t="shared" si="1"/>
        <v>487.50000000000006</v>
      </c>
      <c r="L11" s="21">
        <f t="shared" si="2"/>
        <v>4798.2283464566935</v>
      </c>
      <c r="M11" s="20">
        <f t="shared" si="3"/>
        <v>4280.8835673432604</v>
      </c>
      <c r="N11" s="19">
        <f t="shared" si="4"/>
        <v>1757.1582992852168</v>
      </c>
      <c r="O11" s="19">
        <f t="shared" si="4"/>
        <v>1567.7015651382583</v>
      </c>
      <c r="P11" s="18">
        <f t="shared" si="5"/>
        <v>3.2660449273713712</v>
      </c>
    </row>
    <row r="12" spans="1:18" ht="13.5" thickBot="1" x14ac:dyDescent="0.25">
      <c r="C12" s="30">
        <v>6</v>
      </c>
      <c r="D12" s="30">
        <v>4</v>
      </c>
      <c r="E12" s="28">
        <v>1.06</v>
      </c>
      <c r="F12" s="28">
        <v>0.99</v>
      </c>
      <c r="G12" s="23"/>
      <c r="H12" s="23">
        <f t="shared" si="0"/>
        <v>2.0499999999999998</v>
      </c>
      <c r="I12" s="31"/>
      <c r="K12" s="21">
        <f t="shared" si="1"/>
        <v>512.5</v>
      </c>
      <c r="L12" s="21">
        <f t="shared" si="2"/>
        <v>5044.2913385826778</v>
      </c>
      <c r="M12" s="20">
        <f t="shared" si="3"/>
        <v>4500.4160579762483</v>
      </c>
      <c r="N12" s="19">
        <f t="shared" si="4"/>
        <v>1847.2689812998433</v>
      </c>
      <c r="O12" s="19">
        <f t="shared" si="4"/>
        <v>1648.0965171966304</v>
      </c>
      <c r="P12" s="18">
        <f t="shared" si="5"/>
        <v>3.4335344108263133</v>
      </c>
    </row>
    <row r="13" spans="1:18" ht="13.5" thickBot="1" x14ac:dyDescent="0.25">
      <c r="C13" s="30">
        <v>7</v>
      </c>
      <c r="D13" s="30">
        <v>4</v>
      </c>
      <c r="E13" s="28">
        <v>0.67</v>
      </c>
      <c r="F13" s="28">
        <v>0.71</v>
      </c>
      <c r="G13" s="23">
        <v>0.74</v>
      </c>
      <c r="H13" s="23">
        <f t="shared" si="0"/>
        <v>2.12</v>
      </c>
      <c r="I13" s="31"/>
      <c r="K13" s="21">
        <f t="shared" si="1"/>
        <v>530</v>
      </c>
      <c r="L13" s="21">
        <f t="shared" si="2"/>
        <v>5216.535433070866</v>
      </c>
      <c r="M13" s="20">
        <f t="shared" si="3"/>
        <v>4654.0888014193397</v>
      </c>
      <c r="N13" s="19">
        <f t="shared" si="4"/>
        <v>1910.3464587100816</v>
      </c>
      <c r="O13" s="19">
        <f t="shared" si="4"/>
        <v>1704.372983637491</v>
      </c>
      <c r="P13" s="18">
        <f t="shared" si="5"/>
        <v>3.5507770492447728</v>
      </c>
    </row>
    <row r="14" spans="1:18" ht="13.5" thickBot="1" x14ac:dyDescent="0.25">
      <c r="C14" s="30">
        <v>8</v>
      </c>
      <c r="D14" s="30">
        <v>4</v>
      </c>
      <c r="E14" s="28">
        <v>1.1000000000000001</v>
      </c>
      <c r="F14" s="28">
        <v>0.73</v>
      </c>
      <c r="G14" s="23"/>
      <c r="H14" s="23">
        <f t="shared" si="0"/>
        <v>1.83</v>
      </c>
      <c r="I14" s="31"/>
      <c r="K14" s="21">
        <f t="shared" si="1"/>
        <v>457.5</v>
      </c>
      <c r="L14" s="21">
        <f t="shared" si="2"/>
        <v>4502.9527559055114</v>
      </c>
      <c r="M14" s="20">
        <f t="shared" si="3"/>
        <v>4017.4445785836747</v>
      </c>
      <c r="N14" s="19">
        <f t="shared" si="4"/>
        <v>1649.0254808676646</v>
      </c>
      <c r="O14" s="19">
        <f t="shared" si="4"/>
        <v>1471.2276226682113</v>
      </c>
      <c r="P14" s="18">
        <f t="shared" si="5"/>
        <v>3.0650575472254404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11.32</v>
      </c>
      <c r="I18" s="13"/>
      <c r="J18" s="12"/>
      <c r="K18" s="15">
        <f t="shared" ref="K18:P18" si="6">AVERAGE(K9:K14)+K16/6</f>
        <v>471.66666666666669</v>
      </c>
      <c r="L18" s="15">
        <f t="shared" si="6"/>
        <v>4642.3884514435704</v>
      </c>
      <c r="M18" s="17">
        <f t="shared" si="6"/>
        <v>4141.8463232757013</v>
      </c>
      <c r="N18" s="16">
        <f t="shared" si="6"/>
        <v>1700.0882006759537</v>
      </c>
      <c r="O18" s="16">
        <f t="shared" si="6"/>
        <v>1516.7847621679559</v>
      </c>
      <c r="P18" s="15">
        <f t="shared" si="6"/>
        <v>3.1599682545165741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0.1052193476082752</v>
      </c>
      <c r="I19" s="13"/>
      <c r="J19" s="12"/>
      <c r="K19" s="10">
        <f t="shared" ref="K19:P19" si="7">STDEV(K9:K14)/SQRT(COUNT(K9:K14))</f>
        <v>26.304836902068828</v>
      </c>
      <c r="L19" s="10">
        <f t="shared" si="7"/>
        <v>258.90587502036186</v>
      </c>
      <c r="M19" s="11">
        <f t="shared" si="7"/>
        <v>230.99065443222753</v>
      </c>
      <c r="N19" s="10">
        <f t="shared" si="7"/>
        <v>94.813871741155879</v>
      </c>
      <c r="O19" s="10">
        <f t="shared" si="7"/>
        <v>84.591044065804212</v>
      </c>
      <c r="P19" s="9">
        <f t="shared" si="7"/>
        <v>0.1762313418037616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8522-758E-4985-B69D-F3C944D22012}">
  <sheetPr codeName="Sheet16">
    <pageSetUpPr fitToPage="1"/>
  </sheetPr>
  <dimension ref="A1:R22"/>
  <sheetViews>
    <sheetView topLeftCell="C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23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2890.5</v>
      </c>
      <c r="N3" s="42" t="s">
        <v>116</v>
      </c>
      <c r="O3" s="41">
        <f>(L3-(L4+L5))/L3</f>
        <v>3.9508735512886979E-2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1065.4000000000001</v>
      </c>
      <c r="N4" s="42" t="s">
        <v>111</v>
      </c>
      <c r="O4" s="41">
        <f>L4/L3</f>
        <v>0.36858674969728422</v>
      </c>
    </row>
    <row r="5" spans="1:18" ht="17.25" thickTop="1" thickBot="1" x14ac:dyDescent="0.25">
      <c r="B5" s="45" t="s">
        <v>110</v>
      </c>
      <c r="C5" s="44">
        <v>0.63888888888888895</v>
      </c>
      <c r="F5" s="40"/>
      <c r="G5" s="40"/>
      <c r="K5" s="42" t="s">
        <v>109</v>
      </c>
      <c r="L5" s="43">
        <v>1710.9</v>
      </c>
      <c r="N5" s="42" t="s">
        <v>108</v>
      </c>
      <c r="O5" s="41">
        <f>L5/L3</f>
        <v>0.59190451478982875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1.21</v>
      </c>
      <c r="F9" s="28">
        <v>0.91</v>
      </c>
      <c r="G9" s="23"/>
      <c r="H9" s="23">
        <f t="shared" ref="H9:H14" si="0">SUM(E9:G9)</f>
        <v>2.12</v>
      </c>
      <c r="I9" s="31"/>
      <c r="K9" s="21">
        <f t="shared" ref="K9:K14" si="1">H9/D9*1000</f>
        <v>530</v>
      </c>
      <c r="L9" s="21">
        <f t="shared" ref="L9:L14" si="2">K9/1.016*10</f>
        <v>5216.535433070866</v>
      </c>
      <c r="M9" s="20">
        <f t="shared" ref="M9:M14" si="3">L9/1.12085</f>
        <v>4654.0888014193397</v>
      </c>
      <c r="N9" s="19">
        <f t="shared" ref="N9:O14" si="4">L9*$O$4</f>
        <v>1922.7458399563054</v>
      </c>
      <c r="O9" s="19">
        <f t="shared" si="4"/>
        <v>1715.4354641176838</v>
      </c>
      <c r="P9" s="18">
        <f t="shared" ref="P9:P14" si="5">O9/480</f>
        <v>3.5738238835785077</v>
      </c>
    </row>
    <row r="10" spans="1:18" ht="13.5" thickBot="1" x14ac:dyDescent="0.25">
      <c r="C10" s="30">
        <v>4</v>
      </c>
      <c r="D10" s="30">
        <v>4</v>
      </c>
      <c r="E10" s="28">
        <v>1.24</v>
      </c>
      <c r="F10" s="28">
        <v>1.03</v>
      </c>
      <c r="G10" s="23"/>
      <c r="H10" s="23">
        <f t="shared" si="0"/>
        <v>2.27</v>
      </c>
      <c r="I10" s="31"/>
      <c r="K10" s="21">
        <f t="shared" si="1"/>
        <v>567.5</v>
      </c>
      <c r="L10" s="21">
        <f t="shared" si="2"/>
        <v>5585.6299212598424</v>
      </c>
      <c r="M10" s="20">
        <f t="shared" si="3"/>
        <v>4983.3875373688206</v>
      </c>
      <c r="N10" s="19">
        <f t="shared" si="4"/>
        <v>2058.7891776890629</v>
      </c>
      <c r="O10" s="19">
        <f t="shared" si="4"/>
        <v>1836.8106148807271</v>
      </c>
      <c r="P10" s="18">
        <f t="shared" si="5"/>
        <v>3.8266887810015149</v>
      </c>
    </row>
    <row r="11" spans="1:18" ht="13.5" thickBot="1" x14ac:dyDescent="0.25">
      <c r="C11" s="30">
        <v>5</v>
      </c>
      <c r="D11" s="30">
        <v>4</v>
      </c>
      <c r="E11" s="28">
        <v>1.1200000000000001</v>
      </c>
      <c r="F11" s="28">
        <v>1.02</v>
      </c>
      <c r="G11" s="23"/>
      <c r="H11" s="23">
        <f t="shared" si="0"/>
        <v>2.14</v>
      </c>
      <c r="I11" s="31"/>
      <c r="K11" s="21">
        <f t="shared" si="1"/>
        <v>535</v>
      </c>
      <c r="L11" s="21">
        <f t="shared" si="2"/>
        <v>5265.748031496063</v>
      </c>
      <c r="M11" s="20">
        <f t="shared" si="3"/>
        <v>4697.9952995459371</v>
      </c>
      <c r="N11" s="19">
        <f t="shared" si="4"/>
        <v>1940.8849516540065</v>
      </c>
      <c r="O11" s="19">
        <f t="shared" si="4"/>
        <v>1731.6188175527561</v>
      </c>
      <c r="P11" s="18">
        <f t="shared" si="5"/>
        <v>3.6075392032349085</v>
      </c>
    </row>
    <row r="12" spans="1:18" ht="13.5" thickBot="1" x14ac:dyDescent="0.25">
      <c r="C12" s="30">
        <v>6</v>
      </c>
      <c r="D12" s="30">
        <v>4</v>
      </c>
      <c r="E12" s="28">
        <v>1.08</v>
      </c>
      <c r="F12" s="28">
        <v>1.32</v>
      </c>
      <c r="G12" s="23"/>
      <c r="H12" s="23">
        <f t="shared" si="0"/>
        <v>2.4000000000000004</v>
      </c>
      <c r="I12" s="31"/>
      <c r="K12" s="21">
        <f t="shared" si="1"/>
        <v>600.00000000000011</v>
      </c>
      <c r="L12" s="21">
        <f t="shared" si="2"/>
        <v>5905.5118110236235</v>
      </c>
      <c r="M12" s="20">
        <f t="shared" si="3"/>
        <v>5268.779775191706</v>
      </c>
      <c r="N12" s="19">
        <f t="shared" si="4"/>
        <v>2176.6934037241199</v>
      </c>
      <c r="O12" s="19">
        <f t="shared" si="4"/>
        <v>1942.0024122086988</v>
      </c>
      <c r="P12" s="18">
        <f t="shared" si="5"/>
        <v>4.0458383587681226</v>
      </c>
    </row>
    <row r="13" spans="1:18" ht="13.5" thickBot="1" x14ac:dyDescent="0.25">
      <c r="C13" s="30">
        <v>7</v>
      </c>
      <c r="D13" s="30">
        <v>4</v>
      </c>
      <c r="E13" s="28">
        <v>0.94</v>
      </c>
      <c r="F13" s="28">
        <v>1.1499999999999999</v>
      </c>
      <c r="G13" s="23"/>
      <c r="H13" s="23">
        <f t="shared" si="0"/>
        <v>2.09</v>
      </c>
      <c r="I13" s="31"/>
      <c r="K13" s="21">
        <f t="shared" si="1"/>
        <v>522.5</v>
      </c>
      <c r="L13" s="21">
        <f t="shared" si="2"/>
        <v>5142.71653543307</v>
      </c>
      <c r="M13" s="20">
        <f t="shared" si="3"/>
        <v>4588.2290542294422</v>
      </c>
      <c r="N13" s="19">
        <f t="shared" si="4"/>
        <v>1895.5371724097538</v>
      </c>
      <c r="O13" s="19">
        <f t="shared" si="4"/>
        <v>1691.1604339650746</v>
      </c>
      <c r="P13" s="18">
        <f t="shared" si="5"/>
        <v>3.5232509040939055</v>
      </c>
    </row>
    <row r="14" spans="1:18" ht="13.5" thickBot="1" x14ac:dyDescent="0.25">
      <c r="C14" s="30">
        <v>8</v>
      </c>
      <c r="D14" s="30">
        <v>4</v>
      </c>
      <c r="E14" s="28">
        <v>0.93</v>
      </c>
      <c r="F14" s="28">
        <v>1.33</v>
      </c>
      <c r="G14" s="23"/>
      <c r="H14" s="23">
        <f t="shared" si="0"/>
        <v>2.2600000000000002</v>
      </c>
      <c r="I14" s="31"/>
      <c r="K14" s="21">
        <f t="shared" si="1"/>
        <v>565.00000000000011</v>
      </c>
      <c r="L14" s="21">
        <f t="shared" si="2"/>
        <v>5561.0236220472452</v>
      </c>
      <c r="M14" s="20">
        <f t="shared" si="3"/>
        <v>4961.4342883055233</v>
      </c>
      <c r="N14" s="19">
        <f t="shared" si="4"/>
        <v>2049.7196218402128</v>
      </c>
      <c r="O14" s="19">
        <f t="shared" si="4"/>
        <v>1828.7189381631913</v>
      </c>
      <c r="P14" s="18">
        <f t="shared" si="5"/>
        <v>3.8098311211733153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13.280000000000001</v>
      </c>
      <c r="I18" s="13"/>
      <c r="J18" s="12"/>
      <c r="K18" s="15">
        <f t="shared" ref="K18:P18" si="6">AVERAGE(K9:K14)+K16/6</f>
        <v>553.33333333333337</v>
      </c>
      <c r="L18" s="15">
        <f t="shared" si="6"/>
        <v>5446.1942257217852</v>
      </c>
      <c r="M18" s="17">
        <f t="shared" si="6"/>
        <v>4858.9857926767945</v>
      </c>
      <c r="N18" s="16">
        <f t="shared" si="6"/>
        <v>2007.3950278789105</v>
      </c>
      <c r="O18" s="16">
        <f t="shared" si="6"/>
        <v>1790.9577801480218</v>
      </c>
      <c r="P18" s="15">
        <f t="shared" si="6"/>
        <v>3.7311620419750455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4.8143304599682218E-2</v>
      </c>
      <c r="I19" s="13"/>
      <c r="J19" s="12"/>
      <c r="K19" s="10">
        <f t="shared" ref="K19:P19" si="7">STDEV(K9:K14)/SQRT(COUNT(K9:K14))</f>
        <v>12.03582614992056</v>
      </c>
      <c r="L19" s="10">
        <f t="shared" si="7"/>
        <v>118.46285580630484</v>
      </c>
      <c r="M19" s="11">
        <f t="shared" si="7"/>
        <v>105.6901956607082</v>
      </c>
      <c r="N19" s="10">
        <f t="shared" si="7"/>
        <v>43.663838981503929</v>
      </c>
      <c r="O19" s="10">
        <f t="shared" si="7"/>
        <v>38.956005693450443</v>
      </c>
      <c r="P19" s="9">
        <f t="shared" si="7"/>
        <v>8.1158345194688439E-2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D4D9-F758-4FDD-A5C8-C2CA4FED79CA}">
  <sheetPr codeName="Sheet17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24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2513.5</v>
      </c>
      <c r="N3" s="42" t="s">
        <v>116</v>
      </c>
      <c r="O3" s="41">
        <f>(L3-(L4+L5))/L3</f>
        <v>4.7622836681917573E-2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902.1</v>
      </c>
      <c r="N4" s="42" t="s">
        <v>111</v>
      </c>
      <c r="O4" s="41">
        <f>L4/L3</f>
        <v>0.35890192958026657</v>
      </c>
    </row>
    <row r="5" spans="1:18" ht="17.25" thickTop="1" thickBot="1" x14ac:dyDescent="0.25">
      <c r="B5" s="45" t="s">
        <v>110</v>
      </c>
      <c r="C5" s="44">
        <v>0.41875000000000001</v>
      </c>
      <c r="F5" s="40"/>
      <c r="G5" s="40"/>
      <c r="K5" s="42" t="s">
        <v>109</v>
      </c>
      <c r="L5" s="43">
        <v>1491.7</v>
      </c>
      <c r="N5" s="42" t="s">
        <v>108</v>
      </c>
      <c r="O5" s="41">
        <f>L5/L3</f>
        <v>0.59347523373781585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1.36</v>
      </c>
      <c r="F9" s="28">
        <v>0.94</v>
      </c>
      <c r="G9" s="23"/>
      <c r="H9" s="23">
        <f t="shared" ref="H9:H14" si="0">SUM(E9:G9)</f>
        <v>2.2999999999999998</v>
      </c>
      <c r="I9" s="31"/>
      <c r="K9" s="21">
        <f t="shared" ref="K9:K14" si="1">H9/D9*1000</f>
        <v>575</v>
      </c>
      <c r="L9" s="21">
        <f t="shared" ref="L9:L14" si="2">K9/1.016*10</f>
        <v>5659.4488188976375</v>
      </c>
      <c r="M9" s="20">
        <f t="shared" ref="M9:M14" si="3">L9/1.12085</f>
        <v>5049.2472845587172</v>
      </c>
      <c r="N9" s="19">
        <f t="shared" ref="N9:O14" si="4">L9*$O$4</f>
        <v>2031.1871014631226</v>
      </c>
      <c r="O9" s="19">
        <f t="shared" si="4"/>
        <v>1812.1845933560448</v>
      </c>
      <c r="P9" s="18">
        <f t="shared" ref="P9:P14" si="5">O9/480</f>
        <v>3.7753845694917603</v>
      </c>
    </row>
    <row r="10" spans="1:18" ht="13.5" thickBot="1" x14ac:dyDescent="0.25">
      <c r="C10" s="30">
        <v>4</v>
      </c>
      <c r="D10" s="30">
        <v>4</v>
      </c>
      <c r="E10" s="28">
        <v>1.49</v>
      </c>
      <c r="F10" s="28">
        <v>0.74</v>
      </c>
      <c r="G10" s="23"/>
      <c r="H10" s="23">
        <f t="shared" si="0"/>
        <v>2.23</v>
      </c>
      <c r="I10" s="31"/>
      <c r="K10" s="21">
        <f t="shared" si="1"/>
        <v>557.5</v>
      </c>
      <c r="L10" s="21">
        <f t="shared" si="2"/>
        <v>5487.2047244094483</v>
      </c>
      <c r="M10" s="20">
        <f t="shared" si="3"/>
        <v>4895.5745411156258</v>
      </c>
      <c r="N10" s="19">
        <f t="shared" si="4"/>
        <v>1969.3683635925058</v>
      </c>
      <c r="O10" s="19">
        <f t="shared" si="4"/>
        <v>1757.0311492104261</v>
      </c>
      <c r="P10" s="18">
        <f t="shared" si="5"/>
        <v>3.6604815608550543</v>
      </c>
    </row>
    <row r="11" spans="1:18" ht="13.5" thickBot="1" x14ac:dyDescent="0.25">
      <c r="C11" s="30">
        <v>5</v>
      </c>
      <c r="D11" s="30">
        <v>4</v>
      </c>
      <c r="E11" s="28">
        <v>1.3</v>
      </c>
      <c r="F11" s="28">
        <v>0.78</v>
      </c>
      <c r="G11" s="23"/>
      <c r="H11" s="23">
        <f t="shared" si="0"/>
        <v>2.08</v>
      </c>
      <c r="I11" s="31"/>
      <c r="K11" s="21">
        <f t="shared" si="1"/>
        <v>520</v>
      </c>
      <c r="L11" s="21">
        <f t="shared" si="2"/>
        <v>5118.110236220472</v>
      </c>
      <c r="M11" s="20">
        <f t="shared" si="3"/>
        <v>4566.275805166144</v>
      </c>
      <c r="N11" s="19">
        <f t="shared" si="4"/>
        <v>1836.8996395840413</v>
      </c>
      <c r="O11" s="19">
        <f t="shared" si="4"/>
        <v>1638.8451974698144</v>
      </c>
      <c r="P11" s="18">
        <f t="shared" si="5"/>
        <v>3.4142608280621132</v>
      </c>
    </row>
    <row r="12" spans="1:18" ht="13.5" thickBot="1" x14ac:dyDescent="0.25">
      <c r="C12" s="30">
        <v>6</v>
      </c>
      <c r="D12" s="30">
        <v>4</v>
      </c>
      <c r="E12" s="28">
        <v>1.04</v>
      </c>
      <c r="F12" s="28">
        <v>1.1100000000000001</v>
      </c>
      <c r="G12" s="23"/>
      <c r="H12" s="23">
        <f t="shared" si="0"/>
        <v>2.1500000000000004</v>
      </c>
      <c r="I12" s="31"/>
      <c r="K12" s="21">
        <f t="shared" si="1"/>
        <v>537.50000000000011</v>
      </c>
      <c r="L12" s="21">
        <f t="shared" si="2"/>
        <v>5290.354330708662</v>
      </c>
      <c r="M12" s="20">
        <f t="shared" si="3"/>
        <v>4719.9485486092362</v>
      </c>
      <c r="N12" s="19">
        <f t="shared" si="4"/>
        <v>1898.7183774546584</v>
      </c>
      <c r="O12" s="19">
        <f t="shared" si="4"/>
        <v>1693.9986416154336</v>
      </c>
      <c r="P12" s="18">
        <f t="shared" si="5"/>
        <v>3.5291638366988201</v>
      </c>
    </row>
    <row r="13" spans="1:18" ht="13.5" thickBot="1" x14ac:dyDescent="0.25">
      <c r="C13" s="30">
        <v>7</v>
      </c>
      <c r="D13" s="30">
        <v>4</v>
      </c>
      <c r="E13" s="28">
        <v>0.89</v>
      </c>
      <c r="F13" s="28">
        <v>1.33</v>
      </c>
      <c r="G13" s="23"/>
      <c r="H13" s="23">
        <f t="shared" si="0"/>
        <v>2.2200000000000002</v>
      </c>
      <c r="I13" s="31"/>
      <c r="K13" s="21">
        <f t="shared" si="1"/>
        <v>555</v>
      </c>
      <c r="L13" s="21">
        <f t="shared" si="2"/>
        <v>5462.5984251968493</v>
      </c>
      <c r="M13" s="20">
        <f t="shared" si="3"/>
        <v>4873.6212920523258</v>
      </c>
      <c r="N13" s="19">
        <f t="shared" si="4"/>
        <v>1960.5371153252747</v>
      </c>
      <c r="O13" s="19">
        <f t="shared" si="4"/>
        <v>1749.1520857610515</v>
      </c>
      <c r="P13" s="18">
        <f t="shared" si="5"/>
        <v>3.6440668453355238</v>
      </c>
    </row>
    <row r="14" spans="1:18" ht="13.5" thickBot="1" x14ac:dyDescent="0.25">
      <c r="C14" s="30">
        <v>8</v>
      </c>
      <c r="D14" s="30">
        <v>4</v>
      </c>
      <c r="E14" s="28">
        <v>0.95</v>
      </c>
      <c r="F14" s="28">
        <v>0.92</v>
      </c>
      <c r="G14" s="23">
        <v>0.38</v>
      </c>
      <c r="H14" s="23">
        <f t="shared" si="0"/>
        <v>2.25</v>
      </c>
      <c r="I14" s="31"/>
      <c r="K14" s="21">
        <f t="shared" si="1"/>
        <v>562.5</v>
      </c>
      <c r="L14" s="21">
        <f t="shared" si="2"/>
        <v>5536.4173228346453</v>
      </c>
      <c r="M14" s="20">
        <f t="shared" si="3"/>
        <v>4939.4810392422232</v>
      </c>
      <c r="N14" s="19">
        <f t="shared" si="4"/>
        <v>1987.0308601269678</v>
      </c>
      <c r="O14" s="19">
        <f t="shared" si="4"/>
        <v>1772.7892761091744</v>
      </c>
      <c r="P14" s="18">
        <f t="shared" si="5"/>
        <v>3.6933109918941134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13.23</v>
      </c>
      <c r="I18" s="13"/>
      <c r="J18" s="12"/>
      <c r="K18" s="15">
        <f t="shared" ref="K18:P18" si="6">AVERAGE(K9:K14)+K16/6</f>
        <v>551.25</v>
      </c>
      <c r="L18" s="15">
        <f t="shared" si="6"/>
        <v>5425.6889763779527</v>
      </c>
      <c r="M18" s="17">
        <f t="shared" si="6"/>
        <v>4840.6914184573789</v>
      </c>
      <c r="N18" s="16">
        <f t="shared" si="6"/>
        <v>1947.2902429244286</v>
      </c>
      <c r="O18" s="16">
        <f t="shared" si="6"/>
        <v>1737.3334905869906</v>
      </c>
      <c r="P18" s="15">
        <f t="shared" si="6"/>
        <v>3.6194447720562306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3.1911335499056295E-2</v>
      </c>
      <c r="I19" s="13"/>
      <c r="J19" s="12"/>
      <c r="K19" s="10">
        <f t="shared" ref="K19:P19" si="7">STDEV(K9:K14)/SQRT(COUNT(K9:K14))</f>
        <v>7.9778338747640785</v>
      </c>
      <c r="L19" s="10">
        <f t="shared" si="7"/>
        <v>78.521986956339362</v>
      </c>
      <c r="M19" s="11">
        <f t="shared" si="7"/>
        <v>70.05574961532713</v>
      </c>
      <c r="N19" s="10">
        <f t="shared" si="7"/>
        <v>28.181692633106728</v>
      </c>
      <c r="O19" s="10">
        <f t="shared" si="7"/>
        <v>25.143143715132911</v>
      </c>
      <c r="P19" s="9">
        <f t="shared" si="7"/>
        <v>5.2381549406526944E-2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CED0-F78E-4971-B59E-7E55E735BD2F}">
  <sheetPr codeName="Sheet18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25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2791.3</v>
      </c>
      <c r="N3" s="42" t="s">
        <v>116</v>
      </c>
      <c r="O3" s="41">
        <f>(L3-(L4+L5))/L3</f>
        <v>3.7186973811485752E-2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1004.3</v>
      </c>
      <c r="N4" s="42" t="s">
        <v>111</v>
      </c>
      <c r="O4" s="41">
        <f>L4/L3</f>
        <v>0.35979651058646506</v>
      </c>
    </row>
    <row r="5" spans="1:18" ht="17.25" thickTop="1" thickBot="1" x14ac:dyDescent="0.25">
      <c r="B5" s="45" t="s">
        <v>110</v>
      </c>
      <c r="C5" s="44">
        <v>0.55208333333333337</v>
      </c>
      <c r="F5" s="40"/>
      <c r="G5" s="40"/>
      <c r="K5" s="42" t="s">
        <v>109</v>
      </c>
      <c r="L5" s="43">
        <v>1683.2</v>
      </c>
      <c r="N5" s="42" t="s">
        <v>108</v>
      </c>
      <c r="O5" s="41">
        <f>L5/L3</f>
        <v>0.60301651560204916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1.21</v>
      </c>
      <c r="F9" s="28">
        <v>1.25</v>
      </c>
      <c r="G9" s="23"/>
      <c r="H9" s="23">
        <f t="shared" ref="H9:H14" si="0">SUM(E9:G9)</f>
        <v>2.46</v>
      </c>
      <c r="I9" s="31"/>
      <c r="K9" s="21">
        <f t="shared" ref="K9:K14" si="1">H9/D9*1000</f>
        <v>615</v>
      </c>
      <c r="L9" s="21">
        <f t="shared" ref="L9:L14" si="2">K9/1.016*10</f>
        <v>6053.1496062992128</v>
      </c>
      <c r="M9" s="20">
        <f t="shared" ref="M9:M14" si="3">L9/1.12085</f>
        <v>5400.4992695714982</v>
      </c>
      <c r="N9" s="19">
        <f t="shared" ref="N9:O14" si="4">L9*$O$4</f>
        <v>2177.9021064042913</v>
      </c>
      <c r="O9" s="19">
        <f t="shared" si="4"/>
        <v>1943.0807926165783</v>
      </c>
      <c r="P9" s="18">
        <f t="shared" ref="P9:P14" si="5">O9/480</f>
        <v>4.048084984617871</v>
      </c>
    </row>
    <row r="10" spans="1:18" ht="13.5" thickBot="1" x14ac:dyDescent="0.25">
      <c r="C10" s="30">
        <v>4</v>
      </c>
      <c r="D10" s="30">
        <v>4</v>
      </c>
      <c r="E10" s="28">
        <v>0.89</v>
      </c>
      <c r="F10" s="28">
        <v>1.17</v>
      </c>
      <c r="G10" s="23">
        <v>0.02</v>
      </c>
      <c r="H10" s="23">
        <f t="shared" si="0"/>
        <v>2.08</v>
      </c>
      <c r="I10" s="31"/>
      <c r="K10" s="21">
        <f t="shared" si="1"/>
        <v>520</v>
      </c>
      <c r="L10" s="21">
        <f t="shared" si="2"/>
        <v>5118.110236220472</v>
      </c>
      <c r="M10" s="20">
        <f t="shared" si="3"/>
        <v>4566.275805166144</v>
      </c>
      <c r="N10" s="19">
        <f t="shared" si="4"/>
        <v>1841.4782037889943</v>
      </c>
      <c r="O10" s="19">
        <f t="shared" si="4"/>
        <v>1642.9301010741797</v>
      </c>
      <c r="P10" s="18">
        <f t="shared" si="5"/>
        <v>3.4227710439045409</v>
      </c>
    </row>
    <row r="11" spans="1:18" ht="13.5" thickBot="1" x14ac:dyDescent="0.25">
      <c r="C11" s="30">
        <v>5</v>
      </c>
      <c r="D11" s="30">
        <v>4</v>
      </c>
      <c r="E11" s="28">
        <v>1.0900000000000001</v>
      </c>
      <c r="F11" s="28">
        <v>1.1599999999999999</v>
      </c>
      <c r="G11" s="23"/>
      <c r="H11" s="23">
        <f t="shared" si="0"/>
        <v>2.25</v>
      </c>
      <c r="I11" s="31"/>
      <c r="K11" s="21">
        <f t="shared" si="1"/>
        <v>562.5</v>
      </c>
      <c r="L11" s="21">
        <f t="shared" si="2"/>
        <v>5536.4173228346453</v>
      </c>
      <c r="M11" s="20">
        <f t="shared" si="3"/>
        <v>4939.4810392422232</v>
      </c>
      <c r="N11" s="19">
        <f t="shared" si="4"/>
        <v>1991.983633906364</v>
      </c>
      <c r="O11" s="19">
        <f t="shared" si="4"/>
        <v>1777.208042027358</v>
      </c>
      <c r="P11" s="18">
        <f t="shared" si="5"/>
        <v>3.7025167542236628</v>
      </c>
    </row>
    <row r="12" spans="1:18" ht="13.5" thickBot="1" x14ac:dyDescent="0.25">
      <c r="C12" s="30">
        <v>6</v>
      </c>
      <c r="D12" s="30">
        <v>4</v>
      </c>
      <c r="E12" s="28">
        <v>0.74</v>
      </c>
      <c r="F12" s="28">
        <v>0.92</v>
      </c>
      <c r="G12" s="23">
        <v>0.63</v>
      </c>
      <c r="H12" s="23">
        <f t="shared" si="0"/>
        <v>2.29</v>
      </c>
      <c r="I12" s="31"/>
      <c r="K12" s="21">
        <f t="shared" si="1"/>
        <v>572.5</v>
      </c>
      <c r="L12" s="21">
        <f t="shared" si="2"/>
        <v>5634.8425196850394</v>
      </c>
      <c r="M12" s="20">
        <f t="shared" si="3"/>
        <v>5027.2940354954189</v>
      </c>
      <c r="N12" s="19">
        <f t="shared" si="4"/>
        <v>2027.3966762869218</v>
      </c>
      <c r="O12" s="19">
        <f t="shared" si="4"/>
        <v>1808.8028516634001</v>
      </c>
      <c r="P12" s="18">
        <f t="shared" si="5"/>
        <v>3.7683392742987505</v>
      </c>
    </row>
    <row r="13" spans="1:18" ht="13.5" thickBot="1" x14ac:dyDescent="0.25">
      <c r="C13" s="30">
        <v>7</v>
      </c>
      <c r="D13" s="30">
        <v>4</v>
      </c>
      <c r="E13" s="28">
        <v>0.72</v>
      </c>
      <c r="F13" s="28">
        <v>1.66</v>
      </c>
      <c r="G13" s="23"/>
      <c r="H13" s="23">
        <f t="shared" si="0"/>
        <v>2.38</v>
      </c>
      <c r="I13" s="31"/>
      <c r="K13" s="21">
        <f t="shared" si="1"/>
        <v>595</v>
      </c>
      <c r="L13" s="21">
        <f t="shared" si="2"/>
        <v>5856.2992125984247</v>
      </c>
      <c r="M13" s="20">
        <f t="shared" si="3"/>
        <v>5224.8732770651068</v>
      </c>
      <c r="N13" s="19">
        <f t="shared" si="4"/>
        <v>2107.0760216431759</v>
      </c>
      <c r="O13" s="19">
        <f t="shared" si="4"/>
        <v>1879.8911733444941</v>
      </c>
      <c r="P13" s="18">
        <f t="shared" si="5"/>
        <v>3.9164399444676961</v>
      </c>
    </row>
    <row r="14" spans="1:18" ht="13.5" thickBot="1" x14ac:dyDescent="0.25">
      <c r="C14" s="30">
        <v>8</v>
      </c>
      <c r="D14" s="30">
        <v>4</v>
      </c>
      <c r="E14" s="28">
        <v>1.49</v>
      </c>
      <c r="F14" s="28">
        <v>0.71</v>
      </c>
      <c r="G14" s="23"/>
      <c r="H14" s="23">
        <f t="shared" si="0"/>
        <v>2.2000000000000002</v>
      </c>
      <c r="I14" s="31"/>
      <c r="K14" s="21">
        <f t="shared" si="1"/>
        <v>550</v>
      </c>
      <c r="L14" s="21">
        <f t="shared" si="2"/>
        <v>5413.3858267716541</v>
      </c>
      <c r="M14" s="20">
        <f t="shared" si="3"/>
        <v>4829.7147939257302</v>
      </c>
      <c r="N14" s="19">
        <f t="shared" si="4"/>
        <v>1947.7173309306675</v>
      </c>
      <c r="O14" s="19">
        <f t="shared" si="4"/>
        <v>1737.714529982306</v>
      </c>
      <c r="P14" s="18">
        <f t="shared" si="5"/>
        <v>3.620238604129804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13.66</v>
      </c>
      <c r="I18" s="13"/>
      <c r="J18" s="12"/>
      <c r="K18" s="15">
        <f t="shared" ref="K18:P18" si="6">AVERAGE(K9:K14)+K16/6</f>
        <v>569.16666666666663</v>
      </c>
      <c r="L18" s="15">
        <f t="shared" si="6"/>
        <v>5602.0341207349084</v>
      </c>
      <c r="M18" s="17">
        <f t="shared" si="6"/>
        <v>4998.0230367443537</v>
      </c>
      <c r="N18" s="16">
        <f t="shared" si="6"/>
        <v>2015.5923288267356</v>
      </c>
      <c r="O18" s="16">
        <f t="shared" si="6"/>
        <v>1798.2712484513861</v>
      </c>
      <c r="P18" s="15">
        <f t="shared" si="6"/>
        <v>3.7463984342737207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5.4691051471983131E-2</v>
      </c>
      <c r="I19" s="13"/>
      <c r="J19" s="12"/>
      <c r="K19" s="10">
        <f t="shared" ref="K19:P19" si="7">STDEV(K9:K14)/SQRT(COUNT(K9:K14))</f>
        <v>13.672762867995791</v>
      </c>
      <c r="L19" s="10">
        <f t="shared" si="7"/>
        <v>134.57443767712394</v>
      </c>
      <c r="M19" s="11">
        <f t="shared" si="7"/>
        <v>120.06462744981395</v>
      </c>
      <c r="N19" s="10">
        <f t="shared" si="7"/>
        <v>48.419413090364863</v>
      </c>
      <c r="O19" s="10">
        <f t="shared" si="7"/>
        <v>43.19883400130697</v>
      </c>
      <c r="P19" s="9">
        <f t="shared" si="7"/>
        <v>8.9997570836056168E-2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8C26-9DF0-4D27-9B70-BF646684DC50}">
  <sheetPr codeName="Sheet19">
    <pageSetUpPr fitToPage="1"/>
  </sheetPr>
  <dimension ref="A1:R22"/>
  <sheetViews>
    <sheetView topLeftCell="F1" workbookViewId="0">
      <selection activeCell="K6" sqref="K6:M6"/>
    </sheetView>
  </sheetViews>
  <sheetFormatPr defaultRowHeight="12.75" x14ac:dyDescent="0.2"/>
  <cols>
    <col min="1" max="8" width="9.140625" style="8"/>
    <col min="9" max="9" width="25.57031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26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2958.8</v>
      </c>
      <c r="N3" s="42" t="s">
        <v>116</v>
      </c>
      <c r="O3" s="41">
        <f>(L3-(L4+L5))/L3</f>
        <v>2.9944572123834109E-2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1088.0999999999999</v>
      </c>
      <c r="N4" s="42" t="s">
        <v>111</v>
      </c>
      <c r="O4" s="41">
        <f>L4/L3</f>
        <v>0.367750439367311</v>
      </c>
    </row>
    <row r="5" spans="1:18" ht="17.25" thickTop="1" thickBot="1" x14ac:dyDescent="0.25">
      <c r="B5" s="45" t="s">
        <v>110</v>
      </c>
      <c r="C5" s="44">
        <v>0.52083333333333337</v>
      </c>
      <c r="F5" s="40"/>
      <c r="G5" s="40"/>
      <c r="K5" s="42" t="s">
        <v>109</v>
      </c>
      <c r="L5" s="43">
        <v>1782.1</v>
      </c>
      <c r="N5" s="42" t="s">
        <v>108</v>
      </c>
      <c r="O5" s="41">
        <f>L5/L3</f>
        <v>0.60230498850885483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1.7</v>
      </c>
      <c r="F9" s="28">
        <v>0.9</v>
      </c>
      <c r="G9" s="23"/>
      <c r="H9" s="23">
        <f t="shared" ref="H9:H14" si="0">SUM(E9:G9)</f>
        <v>2.6</v>
      </c>
      <c r="I9" s="31"/>
      <c r="K9" s="21">
        <f t="shared" ref="K9:K14" si="1">H9/D9*1000</f>
        <v>650</v>
      </c>
      <c r="L9" s="21">
        <f t="shared" ref="L9:L14" si="2">K9/1.016*10</f>
        <v>6397.6377952755902</v>
      </c>
      <c r="M9" s="20">
        <f t="shared" ref="M9:M14" si="3">L9/1.12085</f>
        <v>5707.84475645768</v>
      </c>
      <c r="N9" s="19">
        <f t="shared" ref="N9:O14" si="4">L9*$O$4</f>
        <v>2352.7341101255133</v>
      </c>
      <c r="O9" s="19">
        <f t="shared" si="4"/>
        <v>2099.0624170277142</v>
      </c>
      <c r="P9" s="18">
        <f t="shared" ref="P9:P14" si="5">O9/480</f>
        <v>4.3730467021410711</v>
      </c>
    </row>
    <row r="10" spans="1:18" ht="13.5" thickBot="1" x14ac:dyDescent="0.25">
      <c r="C10" s="30">
        <v>4</v>
      </c>
      <c r="D10" s="30">
        <v>4</v>
      </c>
      <c r="E10" s="28">
        <v>1.1100000000000001</v>
      </c>
      <c r="F10" s="28">
        <v>0.27</v>
      </c>
      <c r="G10" s="23">
        <v>0.88</v>
      </c>
      <c r="H10" s="23">
        <f t="shared" si="0"/>
        <v>2.2600000000000002</v>
      </c>
      <c r="I10" s="104" t="s">
        <v>123</v>
      </c>
      <c r="K10" s="21">
        <f t="shared" si="1"/>
        <v>565.00000000000011</v>
      </c>
      <c r="L10" s="21">
        <f t="shared" si="2"/>
        <v>5561.0236220472452</v>
      </c>
      <c r="M10" s="20">
        <f t="shared" si="3"/>
        <v>4961.4342883055233</v>
      </c>
      <c r="N10" s="19">
        <f t="shared" si="4"/>
        <v>2045.0688803398696</v>
      </c>
      <c r="O10" s="19">
        <f t="shared" si="4"/>
        <v>1824.5696394163981</v>
      </c>
      <c r="P10" s="18">
        <f t="shared" si="5"/>
        <v>3.8011867487841626</v>
      </c>
    </row>
    <row r="11" spans="1:18" ht="13.5" thickBot="1" x14ac:dyDescent="0.25">
      <c r="C11" s="30">
        <v>5</v>
      </c>
      <c r="D11" s="30">
        <v>4</v>
      </c>
      <c r="E11" s="28">
        <v>1.07</v>
      </c>
      <c r="F11" s="28">
        <v>0.42</v>
      </c>
      <c r="G11" s="23">
        <v>0.53</v>
      </c>
      <c r="H11" s="23">
        <f t="shared" si="0"/>
        <v>2.02</v>
      </c>
      <c r="I11" s="105"/>
      <c r="K11" s="21">
        <f t="shared" si="1"/>
        <v>505</v>
      </c>
      <c r="L11" s="21">
        <f t="shared" si="2"/>
        <v>4970.4724409448818</v>
      </c>
      <c r="M11" s="20">
        <f t="shared" si="3"/>
        <v>4434.5563107863518</v>
      </c>
      <c r="N11" s="19">
        <f t="shared" si="4"/>
        <v>1827.8934240205911</v>
      </c>
      <c r="O11" s="19">
        <f t="shared" si="4"/>
        <v>1630.8100316907626</v>
      </c>
      <c r="P11" s="18">
        <f t="shared" si="5"/>
        <v>3.3975208993557553</v>
      </c>
    </row>
    <row r="12" spans="1:18" ht="13.5" thickBot="1" x14ac:dyDescent="0.25">
      <c r="C12" s="30">
        <v>6</v>
      </c>
      <c r="D12" s="30">
        <v>4</v>
      </c>
      <c r="E12" s="28">
        <v>1.06</v>
      </c>
      <c r="F12" s="28">
        <v>1.37</v>
      </c>
      <c r="G12" s="23"/>
      <c r="H12" s="23">
        <f t="shared" si="0"/>
        <v>2.4300000000000002</v>
      </c>
      <c r="I12" s="106"/>
      <c r="K12" s="21">
        <f t="shared" si="1"/>
        <v>607.5</v>
      </c>
      <c r="L12" s="21">
        <f t="shared" si="2"/>
        <v>5979.3307086614177</v>
      </c>
      <c r="M12" s="20">
        <f t="shared" si="3"/>
        <v>5334.6395223816016</v>
      </c>
      <c r="N12" s="19">
        <f t="shared" si="4"/>
        <v>2198.9014952326916</v>
      </c>
      <c r="O12" s="19">
        <f t="shared" si="4"/>
        <v>1961.816028222056</v>
      </c>
      <c r="P12" s="18">
        <f t="shared" si="5"/>
        <v>4.0871167254626171</v>
      </c>
    </row>
    <row r="13" spans="1:18" ht="13.5" thickBot="1" x14ac:dyDescent="0.25">
      <c r="C13" s="30">
        <v>7</v>
      </c>
      <c r="D13" s="30">
        <v>4</v>
      </c>
      <c r="E13" s="28">
        <v>1.1100000000000001</v>
      </c>
      <c r="F13" s="28">
        <v>0.95</v>
      </c>
      <c r="G13" s="23"/>
      <c r="H13" s="23">
        <f t="shared" si="0"/>
        <v>2.06</v>
      </c>
      <c r="I13" s="31"/>
      <c r="K13" s="21">
        <f t="shared" si="1"/>
        <v>515</v>
      </c>
      <c r="L13" s="21">
        <f t="shared" si="2"/>
        <v>5068.8976377952749</v>
      </c>
      <c r="M13" s="20">
        <f t="shared" si="3"/>
        <v>4522.3693070395466</v>
      </c>
      <c r="N13" s="19">
        <f t="shared" si="4"/>
        <v>1864.0893334071372</v>
      </c>
      <c r="O13" s="19">
        <f t="shared" si="4"/>
        <v>1663.1032996450351</v>
      </c>
      <c r="P13" s="18">
        <f t="shared" si="5"/>
        <v>3.4647985409271564</v>
      </c>
    </row>
    <row r="14" spans="1:18" ht="13.5" thickBot="1" x14ac:dyDescent="0.25">
      <c r="C14" s="30">
        <v>8</v>
      </c>
      <c r="D14" s="30">
        <v>4</v>
      </c>
      <c r="E14" s="28">
        <v>1.1599999999999999</v>
      </c>
      <c r="F14" s="28">
        <v>1</v>
      </c>
      <c r="G14" s="23"/>
      <c r="H14" s="23">
        <f t="shared" si="0"/>
        <v>2.16</v>
      </c>
      <c r="I14" s="31"/>
      <c r="K14" s="21">
        <f t="shared" si="1"/>
        <v>540</v>
      </c>
      <c r="L14" s="21">
        <f t="shared" si="2"/>
        <v>5314.9606299212601</v>
      </c>
      <c r="M14" s="20">
        <f t="shared" si="3"/>
        <v>4741.9017976725345</v>
      </c>
      <c r="N14" s="19">
        <f t="shared" si="4"/>
        <v>1954.5791068735034</v>
      </c>
      <c r="O14" s="19">
        <f t="shared" si="4"/>
        <v>1743.8364695307164</v>
      </c>
      <c r="P14" s="18">
        <f t="shared" si="5"/>
        <v>3.6329926448556593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13.530000000000001</v>
      </c>
      <c r="I18" s="13"/>
      <c r="J18" s="12"/>
      <c r="K18" s="15">
        <f t="shared" ref="K18:P18" si="6">AVERAGE(K9:K14)+K16/6</f>
        <v>563.75</v>
      </c>
      <c r="L18" s="15">
        <f t="shared" si="6"/>
        <v>5548.7204724409448</v>
      </c>
      <c r="M18" s="17">
        <f t="shared" si="6"/>
        <v>4950.4576637738728</v>
      </c>
      <c r="N18" s="16">
        <f t="shared" si="6"/>
        <v>2040.5443916665508</v>
      </c>
      <c r="O18" s="16">
        <f t="shared" si="6"/>
        <v>1820.5329809221137</v>
      </c>
      <c r="P18" s="15">
        <f t="shared" si="6"/>
        <v>3.792777043587737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9.1642421035966398E-2</v>
      </c>
      <c r="I19" s="13"/>
      <c r="J19" s="12"/>
      <c r="K19" s="10">
        <f t="shared" ref="K19:P19" si="7">STDEV(K9:K14)/SQRT(COUNT(K9:K14))</f>
        <v>22.910605258991598</v>
      </c>
      <c r="L19" s="10">
        <f t="shared" si="7"/>
        <v>225.49808325779131</v>
      </c>
      <c r="M19" s="11">
        <f t="shared" si="7"/>
        <v>201.18488937662605</v>
      </c>
      <c r="N19" s="10">
        <f t="shared" si="7"/>
        <v>82.92701919453927</v>
      </c>
      <c r="O19" s="10">
        <f t="shared" si="7"/>
        <v>73.985831462318089</v>
      </c>
      <c r="P19" s="9">
        <f t="shared" si="7"/>
        <v>0.15413714887982935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7">
    <mergeCell ref="C18:G18"/>
    <mergeCell ref="C19:G19"/>
    <mergeCell ref="K6:M6"/>
    <mergeCell ref="N6:P6"/>
    <mergeCell ref="C16:D16"/>
    <mergeCell ref="F16:G16"/>
    <mergeCell ref="I10:I12"/>
  </mergeCells>
  <pageMargins left="0.75" right="0.75" top="1" bottom="0.52" header="0.5" footer="0.5"/>
  <pageSetup scale="7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8C9D-EFF2-438C-90D2-5DAEE8CF933F}">
  <sheetPr codeName="Sheet20">
    <pageSetUpPr fitToPage="1"/>
  </sheetPr>
  <dimension ref="A1:R22"/>
  <sheetViews>
    <sheetView topLeftCell="F1" workbookViewId="0">
      <selection activeCell="K6" sqref="K6:M6"/>
    </sheetView>
  </sheetViews>
  <sheetFormatPr defaultRowHeight="12.75" x14ac:dyDescent="0.2"/>
  <cols>
    <col min="1" max="8" width="9.140625" style="8"/>
    <col min="9" max="9" width="22.710937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27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2606.1999999999998</v>
      </c>
      <c r="N3" s="42" t="s">
        <v>116</v>
      </c>
      <c r="O3" s="41">
        <f>(L3-(L4+L5))/L3</f>
        <v>5.4255237510551627E-2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921.9</v>
      </c>
      <c r="N4" s="42" t="s">
        <v>111</v>
      </c>
      <c r="O4" s="41">
        <f>L4/L3</f>
        <v>0.35373340495740929</v>
      </c>
    </row>
    <row r="5" spans="1:18" ht="17.25" thickTop="1" thickBot="1" x14ac:dyDescent="0.25">
      <c r="B5" s="45" t="s">
        <v>110</v>
      </c>
      <c r="C5" s="44">
        <v>0.53333333333333333</v>
      </c>
      <c r="F5" s="40"/>
      <c r="G5" s="40"/>
      <c r="K5" s="42" t="s">
        <v>109</v>
      </c>
      <c r="L5" s="43">
        <v>1542.9</v>
      </c>
      <c r="N5" s="42" t="s">
        <v>108</v>
      </c>
      <c r="O5" s="41">
        <f>L5/L3</f>
        <v>0.59201135753203904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1.1200000000000001</v>
      </c>
      <c r="F9" s="28">
        <v>0.63</v>
      </c>
      <c r="G9" s="23"/>
      <c r="H9" s="23">
        <f t="shared" ref="H9:H14" si="0">SUM(E9:G9)</f>
        <v>1.75</v>
      </c>
      <c r="I9" s="31"/>
      <c r="K9" s="21">
        <f t="shared" ref="K9:K14" si="1">H9/D9*1000</f>
        <v>437.5</v>
      </c>
      <c r="L9" s="21">
        <f t="shared" ref="L9:L14" si="2">K9/1.016*10</f>
        <v>4306.1023622047242</v>
      </c>
      <c r="M9" s="20">
        <f t="shared" ref="M9:M14" si="3">L9/1.12085</f>
        <v>3841.8185860772846</v>
      </c>
      <c r="N9" s="19">
        <f t="shared" ref="N9:O14" si="4">L9*$O$4</f>
        <v>1523.2122506778205</v>
      </c>
      <c r="O9" s="19">
        <f t="shared" si="4"/>
        <v>1358.9795696817778</v>
      </c>
      <c r="P9" s="18">
        <f t="shared" ref="P9:P14" si="5">O9/480</f>
        <v>2.8312074368370372</v>
      </c>
    </row>
    <row r="10" spans="1:18" ht="13.5" thickBot="1" x14ac:dyDescent="0.25">
      <c r="C10" s="30">
        <v>4</v>
      </c>
      <c r="D10" s="30">
        <v>4</v>
      </c>
      <c r="E10" s="28">
        <v>0.88</v>
      </c>
      <c r="F10" s="28">
        <v>1.19</v>
      </c>
      <c r="G10" s="23"/>
      <c r="H10" s="23">
        <f t="shared" si="0"/>
        <v>2.0699999999999998</v>
      </c>
      <c r="I10" s="100" t="s">
        <v>124</v>
      </c>
      <c r="K10" s="21">
        <f t="shared" si="1"/>
        <v>517.5</v>
      </c>
      <c r="L10" s="21">
        <f t="shared" si="2"/>
        <v>5093.5039370078739</v>
      </c>
      <c r="M10" s="20">
        <f t="shared" si="3"/>
        <v>4544.3225561028457</v>
      </c>
      <c r="N10" s="19">
        <f t="shared" si="4"/>
        <v>1801.7424908017649</v>
      </c>
      <c r="O10" s="19">
        <f t="shared" si="4"/>
        <v>1607.4786909950171</v>
      </c>
      <c r="P10" s="18">
        <f t="shared" si="5"/>
        <v>3.3489139395729524</v>
      </c>
    </row>
    <row r="11" spans="1:18" ht="13.5" thickBot="1" x14ac:dyDescent="0.25">
      <c r="C11" s="30">
        <v>5</v>
      </c>
      <c r="D11" s="30">
        <v>4</v>
      </c>
      <c r="E11" s="28">
        <v>1.5</v>
      </c>
      <c r="F11" s="28">
        <v>0.76</v>
      </c>
      <c r="G11" s="23"/>
      <c r="H11" s="23">
        <f t="shared" si="0"/>
        <v>2.2599999999999998</v>
      </c>
      <c r="I11" s="101"/>
      <c r="K11" s="21">
        <f t="shared" si="1"/>
        <v>565</v>
      </c>
      <c r="L11" s="21">
        <f t="shared" si="2"/>
        <v>5561.0236220472434</v>
      </c>
      <c r="M11" s="20">
        <f t="shared" si="3"/>
        <v>4961.4342883055215</v>
      </c>
      <c r="N11" s="19">
        <f t="shared" si="4"/>
        <v>1967.1198208753565</v>
      </c>
      <c r="O11" s="19">
        <f t="shared" si="4"/>
        <v>1755.0250442747529</v>
      </c>
      <c r="P11" s="18">
        <f t="shared" si="5"/>
        <v>3.6563021755724017</v>
      </c>
    </row>
    <row r="12" spans="1:18" ht="13.5" thickBot="1" x14ac:dyDescent="0.25">
      <c r="C12" s="30">
        <v>6</v>
      </c>
      <c r="D12" s="30">
        <v>4</v>
      </c>
      <c r="E12" s="28">
        <v>1.22</v>
      </c>
      <c r="F12" s="28">
        <v>0.68</v>
      </c>
      <c r="G12" s="54">
        <v>0.05</v>
      </c>
      <c r="H12" s="23">
        <f t="shared" si="0"/>
        <v>1.95</v>
      </c>
      <c r="I12" s="101"/>
      <c r="K12" s="21">
        <f t="shared" si="1"/>
        <v>487.5</v>
      </c>
      <c r="L12" s="21">
        <f t="shared" si="2"/>
        <v>4798.2283464566926</v>
      </c>
      <c r="M12" s="20">
        <f t="shared" si="3"/>
        <v>4280.8835673432604</v>
      </c>
      <c r="N12" s="19">
        <f t="shared" si="4"/>
        <v>1697.2936507552856</v>
      </c>
      <c r="O12" s="19">
        <f t="shared" si="4"/>
        <v>1514.2915205025524</v>
      </c>
      <c r="P12" s="18">
        <f t="shared" si="5"/>
        <v>3.154774001046984</v>
      </c>
    </row>
    <row r="13" spans="1:18" ht="13.5" thickBot="1" x14ac:dyDescent="0.25">
      <c r="C13" s="30">
        <v>7</v>
      </c>
      <c r="D13" s="30">
        <v>4</v>
      </c>
      <c r="E13" s="28">
        <v>1.21</v>
      </c>
      <c r="F13" s="28">
        <v>0.89</v>
      </c>
      <c r="G13" s="23"/>
      <c r="H13" s="23">
        <f t="shared" si="0"/>
        <v>2.1</v>
      </c>
      <c r="I13" s="101"/>
      <c r="K13" s="21">
        <f t="shared" si="1"/>
        <v>525</v>
      </c>
      <c r="L13" s="21">
        <f t="shared" si="2"/>
        <v>5167.322834645669</v>
      </c>
      <c r="M13" s="20">
        <f t="shared" si="3"/>
        <v>4610.1823032927414</v>
      </c>
      <c r="N13" s="19">
        <f t="shared" si="4"/>
        <v>1827.8547008133846</v>
      </c>
      <c r="O13" s="19">
        <f t="shared" si="4"/>
        <v>1630.7754836181332</v>
      </c>
      <c r="P13" s="18">
        <f t="shared" si="5"/>
        <v>3.3974489242044443</v>
      </c>
    </row>
    <row r="14" spans="1:18" ht="13.5" thickBot="1" x14ac:dyDescent="0.25">
      <c r="C14" s="30">
        <v>8</v>
      </c>
      <c r="D14" s="30">
        <v>4</v>
      </c>
      <c r="E14" s="28">
        <v>0.95</v>
      </c>
      <c r="F14" s="28">
        <v>0.77</v>
      </c>
      <c r="G14" s="23"/>
      <c r="H14" s="23">
        <f t="shared" si="0"/>
        <v>1.72</v>
      </c>
      <c r="I14" s="102"/>
      <c r="K14" s="21">
        <f t="shared" si="1"/>
        <v>430</v>
      </c>
      <c r="L14" s="21">
        <f t="shared" si="2"/>
        <v>4232.2834645669291</v>
      </c>
      <c r="M14" s="20">
        <f t="shared" si="3"/>
        <v>3775.9588388873885</v>
      </c>
      <c r="N14" s="19">
        <f t="shared" si="4"/>
        <v>1497.1000406662008</v>
      </c>
      <c r="O14" s="19">
        <f t="shared" si="4"/>
        <v>1335.6827770586615</v>
      </c>
      <c r="P14" s="18">
        <f t="shared" si="5"/>
        <v>2.7826724522055448</v>
      </c>
    </row>
    <row r="15" spans="1:18" ht="13.5" thickBot="1" x14ac:dyDescent="0.25">
      <c r="C15" s="30"/>
      <c r="D15" s="30"/>
      <c r="E15" s="22"/>
      <c r="F15" s="22"/>
      <c r="G15" s="22"/>
      <c r="H15" s="23"/>
      <c r="I15" s="103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11.85</v>
      </c>
      <c r="I18" s="13"/>
      <c r="J18" s="12"/>
      <c r="K18" s="15">
        <f t="shared" ref="K18:P18" si="6">AVERAGE(K9:K14)+K16/6</f>
        <v>493.75</v>
      </c>
      <c r="L18" s="15">
        <f t="shared" si="6"/>
        <v>4859.7440944881891</v>
      </c>
      <c r="M18" s="17">
        <f t="shared" si="6"/>
        <v>4335.7666900015074</v>
      </c>
      <c r="N18" s="16">
        <f t="shared" si="6"/>
        <v>1719.0538257649687</v>
      </c>
      <c r="O18" s="16">
        <f t="shared" si="6"/>
        <v>1533.705514355149</v>
      </c>
      <c r="P18" s="15">
        <f t="shared" si="6"/>
        <v>3.1952198215732275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8.6052309672663613E-2</v>
      </c>
      <c r="I19" s="13"/>
      <c r="J19" s="12"/>
      <c r="K19" s="10">
        <f t="shared" ref="K19:P19" si="7">STDEV(K9:K14)/SQRT(COUNT(K9:K14))</f>
        <v>21.51307741816591</v>
      </c>
      <c r="L19" s="10">
        <f t="shared" si="7"/>
        <v>211.74288797407385</v>
      </c>
      <c r="M19" s="11">
        <f t="shared" si="7"/>
        <v>188.9127786716098</v>
      </c>
      <c r="N19" s="10">
        <f t="shared" si="7"/>
        <v>74.900532738584403</v>
      </c>
      <c r="O19" s="10">
        <f t="shared" si="7"/>
        <v>66.824760439474005</v>
      </c>
      <c r="P19" s="9">
        <f t="shared" si="7"/>
        <v>0.1392182509155708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7">
    <mergeCell ref="C18:G18"/>
    <mergeCell ref="C19:G19"/>
    <mergeCell ref="K6:M6"/>
    <mergeCell ref="N6:P6"/>
    <mergeCell ref="C16:D16"/>
    <mergeCell ref="F16:G16"/>
    <mergeCell ref="I10:I15"/>
  </mergeCells>
  <pageMargins left="0.75" right="0.75" top="1" bottom="0.52" header="0.5" footer="0.5"/>
  <pageSetup scale="7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0F0F-8F09-47EF-A5C2-8E48D09AAE15}">
  <sheetPr codeName="Sheet21">
    <pageSetUpPr fitToPage="1"/>
  </sheetPr>
  <dimension ref="A1:R22"/>
  <sheetViews>
    <sheetView topLeftCell="D1" workbookViewId="0">
      <selection activeCell="K6" sqref="K6:M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28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2499.6</v>
      </c>
      <c r="N3" s="42" t="s">
        <v>116</v>
      </c>
      <c r="O3" s="41">
        <f>(L3-(L4+L5))/L3</f>
        <v>5.0528084493518859E-2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897.8</v>
      </c>
      <c r="N4" s="42" t="s">
        <v>111</v>
      </c>
      <c r="O4" s="41">
        <f>L4/L3</f>
        <v>0.35917746839494319</v>
      </c>
    </row>
    <row r="5" spans="1:18" ht="17.25" thickTop="1" thickBot="1" x14ac:dyDescent="0.25">
      <c r="B5" s="45" t="s">
        <v>110</v>
      </c>
      <c r="C5" s="44">
        <v>0.60763888888888895</v>
      </c>
      <c r="F5" s="40"/>
      <c r="G5" s="40"/>
      <c r="K5" s="42" t="s">
        <v>109</v>
      </c>
      <c r="L5" s="43">
        <v>1475.5</v>
      </c>
      <c r="N5" s="42" t="s">
        <v>108</v>
      </c>
      <c r="O5" s="41">
        <f>L5/L3</f>
        <v>0.59029444711153789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0.95</v>
      </c>
      <c r="F9" s="28">
        <v>1.04</v>
      </c>
      <c r="G9" s="23"/>
      <c r="H9" s="23">
        <f t="shared" ref="H9:H14" si="0">SUM(E9:G9)</f>
        <v>1.99</v>
      </c>
      <c r="I9" s="31"/>
      <c r="K9" s="21">
        <f t="shared" ref="K9:K14" si="1">H9/D9*1000</f>
        <v>497.5</v>
      </c>
      <c r="L9" s="21">
        <f t="shared" ref="L9:L14" si="2">K9/1.016*10</f>
        <v>4896.6535433070867</v>
      </c>
      <c r="M9" s="20">
        <f t="shared" ref="M9:M14" si="3">L9/1.12085</f>
        <v>4368.6965635964552</v>
      </c>
      <c r="N9" s="19">
        <f t="shared" ref="N9:O14" si="4">L9*$O$4</f>
        <v>1758.7676232921676</v>
      </c>
      <c r="O9" s="19">
        <f t="shared" si="4"/>
        <v>1569.1373718982627</v>
      </c>
      <c r="P9" s="18">
        <f t="shared" ref="P9:P14" si="5">O9/480</f>
        <v>3.2690361914547141</v>
      </c>
    </row>
    <row r="10" spans="1:18" ht="13.5" thickBot="1" x14ac:dyDescent="0.25">
      <c r="C10" s="30">
        <v>4</v>
      </c>
      <c r="D10" s="30">
        <v>4</v>
      </c>
      <c r="E10" s="28">
        <v>1.7</v>
      </c>
      <c r="F10" s="28"/>
      <c r="G10" s="23"/>
      <c r="H10" s="23">
        <f t="shared" si="0"/>
        <v>1.7</v>
      </c>
      <c r="I10" s="31"/>
      <c r="K10" s="21">
        <f t="shared" si="1"/>
        <v>425</v>
      </c>
      <c r="L10" s="21">
        <f t="shared" si="2"/>
        <v>4183.070866141732</v>
      </c>
      <c r="M10" s="20">
        <f t="shared" si="3"/>
        <v>3732.0523407607907</v>
      </c>
      <c r="N10" s="19">
        <f t="shared" si="4"/>
        <v>1502.4648038174296</v>
      </c>
      <c r="O10" s="19">
        <f t="shared" si="4"/>
        <v>1340.4691116718827</v>
      </c>
      <c r="P10" s="18">
        <f t="shared" si="5"/>
        <v>2.7926439826497558</v>
      </c>
    </row>
    <row r="11" spans="1:18" ht="13.5" thickBot="1" x14ac:dyDescent="0.25">
      <c r="C11" s="30">
        <v>5</v>
      </c>
      <c r="D11" s="30">
        <v>4</v>
      </c>
      <c r="E11" s="28">
        <v>0.92</v>
      </c>
      <c r="F11" s="28">
        <v>0.67</v>
      </c>
      <c r="G11" s="23"/>
      <c r="H11" s="23">
        <f t="shared" si="0"/>
        <v>1.59</v>
      </c>
      <c r="I11" s="31"/>
      <c r="K11" s="21">
        <f t="shared" si="1"/>
        <v>397.5</v>
      </c>
      <c r="L11" s="21">
        <f t="shared" si="2"/>
        <v>3912.4015748031497</v>
      </c>
      <c r="M11" s="20">
        <f t="shared" si="3"/>
        <v>3490.5666010645045</v>
      </c>
      <c r="N11" s="19">
        <f t="shared" si="4"/>
        <v>1405.2464929821842</v>
      </c>
      <c r="O11" s="19">
        <f t="shared" si="4"/>
        <v>1253.7328750342904</v>
      </c>
      <c r="P11" s="18">
        <f t="shared" si="5"/>
        <v>2.6119434896547715</v>
      </c>
    </row>
    <row r="12" spans="1:18" ht="13.5" thickBot="1" x14ac:dyDescent="0.25">
      <c r="C12" s="30">
        <v>6</v>
      </c>
      <c r="D12" s="30">
        <v>4</v>
      </c>
      <c r="E12" s="28">
        <v>0.96</v>
      </c>
      <c r="F12" s="28">
        <v>0.96</v>
      </c>
      <c r="G12" s="23"/>
      <c r="H12" s="23">
        <f t="shared" si="0"/>
        <v>1.92</v>
      </c>
      <c r="I12" s="31"/>
      <c r="K12" s="21">
        <f t="shared" si="1"/>
        <v>480</v>
      </c>
      <c r="L12" s="21">
        <f t="shared" si="2"/>
        <v>4724.4094488188975</v>
      </c>
      <c r="M12" s="20">
        <f t="shared" si="3"/>
        <v>4215.0238201533639</v>
      </c>
      <c r="N12" s="19">
        <f t="shared" si="4"/>
        <v>1696.9014254879205</v>
      </c>
      <c r="O12" s="19">
        <f t="shared" si="4"/>
        <v>1513.9415849470677</v>
      </c>
      <c r="P12" s="18">
        <f t="shared" si="5"/>
        <v>3.1540449686397243</v>
      </c>
    </row>
    <row r="13" spans="1:18" ht="13.5" thickBot="1" x14ac:dyDescent="0.25">
      <c r="C13" s="30">
        <v>7</v>
      </c>
      <c r="D13" s="30">
        <v>4</v>
      </c>
      <c r="E13" s="28">
        <v>1.54</v>
      </c>
      <c r="F13" s="28">
        <v>0.34</v>
      </c>
      <c r="G13" s="23"/>
      <c r="H13" s="23">
        <f t="shared" si="0"/>
        <v>1.8800000000000001</v>
      </c>
      <c r="I13" s="31"/>
      <c r="K13" s="21">
        <f t="shared" si="1"/>
        <v>470.00000000000006</v>
      </c>
      <c r="L13" s="21">
        <f t="shared" si="2"/>
        <v>4625.9842519685044</v>
      </c>
      <c r="M13" s="20">
        <f t="shared" si="3"/>
        <v>4127.2108239001691</v>
      </c>
      <c r="N13" s="19">
        <f t="shared" si="4"/>
        <v>1661.5493124569225</v>
      </c>
      <c r="O13" s="19">
        <f t="shared" si="4"/>
        <v>1482.4011352606703</v>
      </c>
      <c r="P13" s="18">
        <f t="shared" si="5"/>
        <v>3.0883356984597299</v>
      </c>
    </row>
    <row r="14" spans="1:18" ht="13.5" thickBot="1" x14ac:dyDescent="0.25">
      <c r="C14" s="30">
        <v>8</v>
      </c>
      <c r="D14" s="30">
        <v>4</v>
      </c>
      <c r="E14" s="28">
        <v>1.1100000000000001</v>
      </c>
      <c r="F14" s="28">
        <v>0.61</v>
      </c>
      <c r="G14" s="23">
        <v>0.35</v>
      </c>
      <c r="H14" s="23">
        <f t="shared" si="0"/>
        <v>2.0700000000000003</v>
      </c>
      <c r="I14" s="31"/>
      <c r="K14" s="21">
        <f t="shared" si="1"/>
        <v>517.50000000000011</v>
      </c>
      <c r="L14" s="21">
        <f t="shared" si="2"/>
        <v>5093.5039370078748</v>
      </c>
      <c r="M14" s="20">
        <f t="shared" si="3"/>
        <v>4544.3225561028466</v>
      </c>
      <c r="N14" s="19">
        <f t="shared" si="4"/>
        <v>1829.4718493541648</v>
      </c>
      <c r="O14" s="19">
        <f t="shared" si="4"/>
        <v>1632.2182712710576</v>
      </c>
      <c r="P14" s="18">
        <f t="shared" si="5"/>
        <v>3.4004547318147034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11.15</v>
      </c>
      <c r="I18" s="13"/>
      <c r="J18" s="12"/>
      <c r="K18" s="15">
        <f t="shared" ref="K18:P18" si="6">AVERAGE(K9:K14)+K16/6</f>
        <v>464.58333333333331</v>
      </c>
      <c r="L18" s="15">
        <f t="shared" si="6"/>
        <v>4572.6706036745409</v>
      </c>
      <c r="M18" s="17">
        <f t="shared" si="6"/>
        <v>4079.6454509296877</v>
      </c>
      <c r="N18" s="16">
        <f t="shared" si="6"/>
        <v>1642.4002512317982</v>
      </c>
      <c r="O18" s="16">
        <f t="shared" si="6"/>
        <v>1465.316725013872</v>
      </c>
      <c r="P18" s="15">
        <f t="shared" si="6"/>
        <v>3.0527431771122333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7.3820352508264617E-2</v>
      </c>
      <c r="I19" s="13"/>
      <c r="J19" s="12"/>
      <c r="K19" s="10">
        <f t="shared" ref="K19:P19" si="7">STDEV(K9:K14)/SQRT(COUNT(K9:K14))</f>
        <v>18.455088127066158</v>
      </c>
      <c r="L19" s="10">
        <f t="shared" si="7"/>
        <v>181.64456817978498</v>
      </c>
      <c r="M19" s="11">
        <f t="shared" si="7"/>
        <v>162.05965845544455</v>
      </c>
      <c r="N19" s="10">
        <f t="shared" si="7"/>
        <v>65.242636146507834</v>
      </c>
      <c r="O19" s="10">
        <f t="shared" si="7"/>
        <v>58.208177852975716</v>
      </c>
      <c r="P19" s="9">
        <f t="shared" si="7"/>
        <v>0.12126703719369945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3B27-D2B4-4F9D-B011-F46D20A715DC}">
  <sheetPr codeName="Sheet22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31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3966.9</v>
      </c>
      <c r="N3" s="42" t="s">
        <v>116</v>
      </c>
      <c r="O3" s="41">
        <f>(L3-(L4+L5))/L3</f>
        <v>4.6308200357962202E-2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1440.1</v>
      </c>
      <c r="N4" s="42" t="s">
        <v>111</v>
      </c>
      <c r="O4" s="41">
        <f>L4/L3</f>
        <v>0.36302906551715441</v>
      </c>
    </row>
    <row r="5" spans="1:18" ht="17.25" thickTop="1" thickBot="1" x14ac:dyDescent="0.25">
      <c r="B5" s="45" t="s">
        <v>110</v>
      </c>
      <c r="C5" s="44">
        <v>0.4284722222222222</v>
      </c>
      <c r="F5" s="40"/>
      <c r="G5" s="40"/>
      <c r="K5" s="42" t="s">
        <v>109</v>
      </c>
      <c r="L5" s="43">
        <v>2343.1</v>
      </c>
      <c r="N5" s="42" t="s">
        <v>108</v>
      </c>
      <c r="O5" s="41">
        <f>L5/L3</f>
        <v>0.59066273412488335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0.97</v>
      </c>
      <c r="F9" s="28">
        <v>1.17</v>
      </c>
      <c r="G9" s="23"/>
      <c r="H9" s="23">
        <f t="shared" ref="H9:H14" si="0">SUM(E9:G9)</f>
        <v>2.1399999999999997</v>
      </c>
      <c r="I9" s="31"/>
      <c r="K9" s="21">
        <f t="shared" ref="K9:K14" si="1">H9/D9*1000</f>
        <v>534.99999999999989</v>
      </c>
      <c r="L9" s="21">
        <f t="shared" ref="L9:L14" si="2">K9/1.016*10</f>
        <v>5265.7480314960612</v>
      </c>
      <c r="M9" s="20">
        <f t="shared" ref="M9:M14" si="3">L9/1.12085</f>
        <v>4697.9952995459353</v>
      </c>
      <c r="N9" s="19">
        <f t="shared" ref="N9:O14" si="4">L9*$O$4</f>
        <v>1911.6195871228106</v>
      </c>
      <c r="O9" s="19">
        <f t="shared" si="4"/>
        <v>1705.5088433981448</v>
      </c>
      <c r="P9" s="18">
        <f t="shared" ref="P9:P14" si="5">O9/480</f>
        <v>3.553143423746135</v>
      </c>
    </row>
    <row r="10" spans="1:18" ht="13.5" thickBot="1" x14ac:dyDescent="0.25">
      <c r="C10" s="30">
        <v>4</v>
      </c>
      <c r="D10" s="30">
        <v>4</v>
      </c>
      <c r="E10" s="28">
        <v>1.1100000000000001</v>
      </c>
      <c r="F10" s="28">
        <v>0.83</v>
      </c>
      <c r="G10" s="23"/>
      <c r="H10" s="23">
        <f t="shared" si="0"/>
        <v>1.94</v>
      </c>
      <c r="I10" s="31"/>
      <c r="K10" s="21">
        <f t="shared" si="1"/>
        <v>485</v>
      </c>
      <c r="L10" s="21">
        <f t="shared" si="2"/>
        <v>4773.6220472440946</v>
      </c>
      <c r="M10" s="20">
        <f t="shared" si="3"/>
        <v>4258.9303182799613</v>
      </c>
      <c r="N10" s="19">
        <f t="shared" si="4"/>
        <v>1732.9635509431091</v>
      </c>
      <c r="O10" s="19">
        <f t="shared" si="4"/>
        <v>1546.1154935478514</v>
      </c>
      <c r="P10" s="18">
        <f t="shared" si="5"/>
        <v>3.2210739448913572</v>
      </c>
    </row>
    <row r="11" spans="1:18" ht="13.5" thickBot="1" x14ac:dyDescent="0.25">
      <c r="C11" s="30">
        <v>5</v>
      </c>
      <c r="D11" s="30">
        <v>4</v>
      </c>
      <c r="E11" s="28">
        <v>1.04</v>
      </c>
      <c r="F11" s="28">
        <v>1.17</v>
      </c>
      <c r="G11" s="23"/>
      <c r="H11" s="23">
        <f t="shared" si="0"/>
        <v>2.21</v>
      </c>
      <c r="I11" s="31"/>
      <c r="K11" s="21">
        <f t="shared" si="1"/>
        <v>552.5</v>
      </c>
      <c r="L11" s="21">
        <f t="shared" si="2"/>
        <v>5437.9921259842522</v>
      </c>
      <c r="M11" s="20">
        <f t="shared" si="3"/>
        <v>4851.6680429890284</v>
      </c>
      <c r="N11" s="19">
        <f t="shared" si="4"/>
        <v>1974.149199785707</v>
      </c>
      <c r="O11" s="19">
        <f t="shared" si="4"/>
        <v>1761.2965158457484</v>
      </c>
      <c r="P11" s="18">
        <f t="shared" si="5"/>
        <v>3.6693677413453094</v>
      </c>
    </row>
    <row r="12" spans="1:18" ht="13.5" thickBot="1" x14ac:dyDescent="0.25">
      <c r="C12" s="30">
        <v>6</v>
      </c>
      <c r="D12" s="30">
        <v>4</v>
      </c>
      <c r="E12" s="28">
        <v>0.88</v>
      </c>
      <c r="F12" s="28">
        <v>0.64</v>
      </c>
      <c r="G12" s="23">
        <v>0.79</v>
      </c>
      <c r="H12" s="23">
        <f t="shared" si="0"/>
        <v>2.31</v>
      </c>
      <c r="I12" s="31"/>
      <c r="K12" s="21">
        <f t="shared" si="1"/>
        <v>577.5</v>
      </c>
      <c r="L12" s="21">
        <f t="shared" si="2"/>
        <v>5684.0551181102364</v>
      </c>
      <c r="M12" s="20">
        <f t="shared" si="3"/>
        <v>5071.2005336220163</v>
      </c>
      <c r="N12" s="19">
        <f t="shared" si="4"/>
        <v>2063.4772178755579</v>
      </c>
      <c r="O12" s="19">
        <f t="shared" si="4"/>
        <v>1840.9931907708954</v>
      </c>
      <c r="P12" s="18">
        <f t="shared" si="5"/>
        <v>3.8354024807726987</v>
      </c>
    </row>
    <row r="13" spans="1:18" ht="13.5" thickBot="1" x14ac:dyDescent="0.25">
      <c r="C13" s="30">
        <v>7</v>
      </c>
      <c r="D13" s="30">
        <v>4</v>
      </c>
      <c r="E13" s="28">
        <v>0.71</v>
      </c>
      <c r="F13" s="28">
        <v>1.28</v>
      </c>
      <c r="G13" s="23">
        <v>0.35</v>
      </c>
      <c r="H13" s="23">
        <f t="shared" si="0"/>
        <v>2.34</v>
      </c>
      <c r="I13" s="31"/>
      <c r="K13" s="21">
        <f t="shared" si="1"/>
        <v>585</v>
      </c>
      <c r="L13" s="21">
        <f t="shared" si="2"/>
        <v>5757.8740157480315</v>
      </c>
      <c r="M13" s="20">
        <f t="shared" si="3"/>
        <v>5137.060280811912</v>
      </c>
      <c r="N13" s="19">
        <f t="shared" si="4"/>
        <v>2090.2756233025129</v>
      </c>
      <c r="O13" s="19">
        <f t="shared" si="4"/>
        <v>1864.9021932484393</v>
      </c>
      <c r="P13" s="18">
        <f t="shared" si="5"/>
        <v>3.885212902600915</v>
      </c>
    </row>
    <row r="14" spans="1:18" ht="13.5" thickBot="1" x14ac:dyDescent="0.25">
      <c r="C14" s="30">
        <v>8</v>
      </c>
      <c r="D14" s="30">
        <v>4</v>
      </c>
      <c r="E14" s="28">
        <v>0.95</v>
      </c>
      <c r="F14" s="28">
        <v>0.52</v>
      </c>
      <c r="G14" s="23">
        <v>0.84</v>
      </c>
      <c r="H14" s="23">
        <f t="shared" si="0"/>
        <v>2.31</v>
      </c>
      <c r="I14" s="31"/>
      <c r="K14" s="21">
        <f t="shared" si="1"/>
        <v>577.5</v>
      </c>
      <c r="L14" s="21">
        <f t="shared" si="2"/>
        <v>5684.0551181102364</v>
      </c>
      <c r="M14" s="20">
        <f t="shared" si="3"/>
        <v>5071.2005336220163</v>
      </c>
      <c r="N14" s="19">
        <f t="shared" si="4"/>
        <v>2063.4772178755579</v>
      </c>
      <c r="O14" s="19">
        <f t="shared" si="4"/>
        <v>1840.9931907708954</v>
      </c>
      <c r="P14" s="18">
        <f t="shared" si="5"/>
        <v>3.8354024807726987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13.25</v>
      </c>
      <c r="I18" s="13"/>
      <c r="J18" s="12"/>
      <c r="K18" s="15">
        <f t="shared" ref="K18:P18" si="6">AVERAGE(K9:K14)+K16/6</f>
        <v>552.08333333333337</v>
      </c>
      <c r="L18" s="15">
        <f t="shared" si="6"/>
        <v>5433.8910761154848</v>
      </c>
      <c r="M18" s="17">
        <f t="shared" si="6"/>
        <v>4848.0091681451449</v>
      </c>
      <c r="N18" s="16">
        <f t="shared" si="6"/>
        <v>1972.6603994842089</v>
      </c>
      <c r="O18" s="16">
        <f t="shared" si="6"/>
        <v>1759.9682379303292</v>
      </c>
      <c r="P18" s="15">
        <f t="shared" si="6"/>
        <v>3.6666004956881859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6.1828616172269132E-2</v>
      </c>
      <c r="I19" s="13"/>
      <c r="J19" s="12"/>
      <c r="K19" s="10">
        <f t="shared" ref="K19:P19" si="7">STDEV(K9:K14)/SQRT(COUNT(K9:K14))</f>
        <v>15.457154043067282</v>
      </c>
      <c r="L19" s="10">
        <f t="shared" si="7"/>
        <v>152.13734294357567</v>
      </c>
      <c r="M19" s="11">
        <f t="shared" si="7"/>
        <v>135.73390100689272</v>
      </c>
      <c r="N19" s="10">
        <f t="shared" si="7"/>
        <v>55.230277439069113</v>
      </c>
      <c r="O19" s="10">
        <f t="shared" si="7"/>
        <v>49.275351241530203</v>
      </c>
      <c r="P19" s="9">
        <f t="shared" si="7"/>
        <v>0.10265698175318788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8B9D-7BE4-486E-8DB1-07886C20DB32}">
  <sheetPr codeName="Sheet23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32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2309.3000000000002</v>
      </c>
      <c r="N3" s="42" t="s">
        <v>116</v>
      </c>
      <c r="O3" s="41">
        <f>(L3-(L4+L5))/L3</f>
        <v>4.2610314814013138E-2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828.8</v>
      </c>
      <c r="N4" s="42" t="s">
        <v>111</v>
      </c>
      <c r="O4" s="41">
        <f>L4/L3</f>
        <v>0.35889663534404359</v>
      </c>
    </row>
    <row r="5" spans="1:18" ht="17.25" thickTop="1" thickBot="1" x14ac:dyDescent="0.25">
      <c r="B5" s="45" t="s">
        <v>110</v>
      </c>
      <c r="C5" s="44">
        <v>0.42777777777777781</v>
      </c>
      <c r="F5" s="40"/>
      <c r="G5" s="40"/>
      <c r="K5" s="42" t="s">
        <v>109</v>
      </c>
      <c r="L5" s="43">
        <v>1382.1</v>
      </c>
      <c r="N5" s="42" t="s">
        <v>108</v>
      </c>
      <c r="O5" s="41">
        <f>L5/L3</f>
        <v>0.5984930498419434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1.25</v>
      </c>
      <c r="F9" s="28">
        <v>1.1100000000000001</v>
      </c>
      <c r="G9" s="23"/>
      <c r="H9" s="23">
        <f t="shared" ref="H9:H14" si="0">SUM(E9:G9)</f>
        <v>2.3600000000000003</v>
      </c>
      <c r="I9" s="31"/>
      <c r="K9" s="21">
        <f t="shared" ref="K9:K14" si="1">H9/D9*1000</f>
        <v>590.00000000000011</v>
      </c>
      <c r="L9" s="21">
        <f t="shared" ref="L9:L14" si="2">K9/1.016*10</f>
        <v>5807.0866141732295</v>
      </c>
      <c r="M9" s="20">
        <f t="shared" ref="M9:M14" si="3">L9/1.12085</f>
        <v>5180.9667789385112</v>
      </c>
      <c r="N9" s="19">
        <f t="shared" ref="N9:O14" si="4">L9*$O$4</f>
        <v>2084.1438469782065</v>
      </c>
      <c r="O9" s="19">
        <f t="shared" si="4"/>
        <v>1859.4315447902989</v>
      </c>
      <c r="P9" s="18">
        <f t="shared" ref="P9:P14" si="5">O9/480</f>
        <v>3.8738157183131228</v>
      </c>
    </row>
    <row r="10" spans="1:18" ht="13.5" thickBot="1" x14ac:dyDescent="0.25">
      <c r="C10" s="30">
        <v>4</v>
      </c>
      <c r="D10" s="30">
        <v>4</v>
      </c>
      <c r="E10" s="28">
        <v>1.34</v>
      </c>
      <c r="F10" s="28">
        <v>0.77</v>
      </c>
      <c r="G10" s="23"/>
      <c r="H10" s="23">
        <f t="shared" si="0"/>
        <v>2.1100000000000003</v>
      </c>
      <c r="I10" s="31"/>
      <c r="K10" s="21">
        <f t="shared" si="1"/>
        <v>527.50000000000011</v>
      </c>
      <c r="L10" s="21">
        <f t="shared" si="2"/>
        <v>5191.929133858268</v>
      </c>
      <c r="M10" s="20">
        <f t="shared" si="3"/>
        <v>4632.1355523560405</v>
      </c>
      <c r="N10" s="19">
        <f t="shared" si="4"/>
        <v>1863.3658970864469</v>
      </c>
      <c r="O10" s="19">
        <f t="shared" si="4"/>
        <v>1662.4578641981059</v>
      </c>
      <c r="P10" s="18">
        <f t="shared" si="5"/>
        <v>3.463453883746054</v>
      </c>
    </row>
    <row r="11" spans="1:18" ht="13.5" thickBot="1" x14ac:dyDescent="0.25">
      <c r="C11" s="30">
        <v>5</v>
      </c>
      <c r="D11" s="30">
        <v>4</v>
      </c>
      <c r="E11" s="28">
        <v>1.05</v>
      </c>
      <c r="F11" s="28">
        <v>1.06</v>
      </c>
      <c r="G11" s="23"/>
      <c r="H11" s="23">
        <f t="shared" si="0"/>
        <v>2.1100000000000003</v>
      </c>
      <c r="I11" s="31"/>
      <c r="K11" s="21">
        <f t="shared" si="1"/>
        <v>527.50000000000011</v>
      </c>
      <c r="L11" s="21">
        <f t="shared" si="2"/>
        <v>5191.929133858268</v>
      </c>
      <c r="M11" s="20">
        <f t="shared" si="3"/>
        <v>4632.1355523560405</v>
      </c>
      <c r="N11" s="19">
        <f t="shared" si="4"/>
        <v>1863.3658970864469</v>
      </c>
      <c r="O11" s="19">
        <f t="shared" si="4"/>
        <v>1662.4578641981059</v>
      </c>
      <c r="P11" s="18">
        <f t="shared" si="5"/>
        <v>3.463453883746054</v>
      </c>
    </row>
    <row r="12" spans="1:18" ht="13.5" thickBot="1" x14ac:dyDescent="0.25">
      <c r="C12" s="30">
        <v>6</v>
      </c>
      <c r="D12" s="30">
        <v>4</v>
      </c>
      <c r="E12" s="28">
        <v>1.1599999999999999</v>
      </c>
      <c r="F12" s="28">
        <v>1.17</v>
      </c>
      <c r="G12" s="23"/>
      <c r="H12" s="23">
        <f t="shared" si="0"/>
        <v>2.33</v>
      </c>
      <c r="I12" s="31"/>
      <c r="K12" s="21">
        <f t="shared" si="1"/>
        <v>582.5</v>
      </c>
      <c r="L12" s="21">
        <f t="shared" si="2"/>
        <v>5733.2677165354335</v>
      </c>
      <c r="M12" s="20">
        <f t="shared" si="3"/>
        <v>5115.1070317486137</v>
      </c>
      <c r="N12" s="19">
        <f t="shared" si="4"/>
        <v>2057.6504929911948</v>
      </c>
      <c r="O12" s="19">
        <f t="shared" si="4"/>
        <v>1835.7947031192355</v>
      </c>
      <c r="P12" s="18">
        <f t="shared" si="5"/>
        <v>3.8245722981650738</v>
      </c>
    </row>
    <row r="13" spans="1:18" ht="13.5" thickBot="1" x14ac:dyDescent="0.25">
      <c r="C13" s="30">
        <v>7</v>
      </c>
      <c r="D13" s="30">
        <v>4</v>
      </c>
      <c r="E13" s="28">
        <v>1.33</v>
      </c>
      <c r="F13" s="28">
        <v>0.64</v>
      </c>
      <c r="G13" s="23"/>
      <c r="H13" s="23">
        <f t="shared" si="0"/>
        <v>1.9700000000000002</v>
      </c>
      <c r="I13" s="31"/>
      <c r="K13" s="21">
        <f t="shared" si="1"/>
        <v>492.50000000000006</v>
      </c>
      <c r="L13" s="21">
        <f t="shared" si="2"/>
        <v>4847.4409448818906</v>
      </c>
      <c r="M13" s="20">
        <f t="shared" si="3"/>
        <v>4324.7900654698587</v>
      </c>
      <c r="N13" s="19">
        <f t="shared" si="4"/>
        <v>1739.7302451470621</v>
      </c>
      <c r="O13" s="19">
        <f t="shared" si="4"/>
        <v>1552.1526030664784</v>
      </c>
      <c r="P13" s="18">
        <f t="shared" si="5"/>
        <v>3.2336512563884967</v>
      </c>
    </row>
    <row r="14" spans="1:18" ht="13.5" thickBot="1" x14ac:dyDescent="0.25">
      <c r="C14" s="30">
        <v>8</v>
      </c>
      <c r="D14" s="30">
        <v>4</v>
      </c>
      <c r="E14" s="28">
        <v>1.79</v>
      </c>
      <c r="F14" s="28"/>
      <c r="G14" s="23"/>
      <c r="H14" s="23">
        <f t="shared" si="0"/>
        <v>1.79</v>
      </c>
      <c r="I14" s="31"/>
      <c r="K14" s="21">
        <f t="shared" si="1"/>
        <v>447.5</v>
      </c>
      <c r="L14" s="21">
        <f t="shared" si="2"/>
        <v>4404.5275590551182</v>
      </c>
      <c r="M14" s="20">
        <f t="shared" si="3"/>
        <v>3929.6315823304799</v>
      </c>
      <c r="N14" s="19">
        <f t="shared" si="4"/>
        <v>1580.7701212249951</v>
      </c>
      <c r="O14" s="19">
        <f t="shared" si="4"/>
        <v>1410.3315530400992</v>
      </c>
      <c r="P14" s="18">
        <f t="shared" si="5"/>
        <v>2.9381907355002066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12.670000000000002</v>
      </c>
      <c r="I18" s="13"/>
      <c r="J18" s="12"/>
      <c r="K18" s="15">
        <f t="shared" ref="K18:P18" si="6">AVERAGE(K9:K14)+K16/6</f>
        <v>527.91666666666674</v>
      </c>
      <c r="L18" s="15">
        <f t="shared" si="6"/>
        <v>5196.0301837270345</v>
      </c>
      <c r="M18" s="17">
        <f t="shared" si="6"/>
        <v>4635.794427199924</v>
      </c>
      <c r="N18" s="16">
        <f t="shared" si="6"/>
        <v>1864.8377500857257</v>
      </c>
      <c r="O18" s="16">
        <f t="shared" si="6"/>
        <v>1663.7710220687206</v>
      </c>
      <c r="P18" s="15">
        <f t="shared" si="6"/>
        <v>3.4661896293098349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8.8106627320410927E-2</v>
      </c>
      <c r="I19" s="13"/>
      <c r="J19" s="12"/>
      <c r="K19" s="10">
        <f t="shared" ref="K19:P19" si="7">STDEV(K9:K14)/SQRT(COUNT(K9:K14))</f>
        <v>22.026656830102734</v>
      </c>
      <c r="L19" s="10">
        <f t="shared" si="7"/>
        <v>216.79780344589307</v>
      </c>
      <c r="M19" s="11">
        <f t="shared" si="7"/>
        <v>193.42267336922259</v>
      </c>
      <c r="N19" s="10">
        <f t="shared" si="7"/>
        <v>77.808002206710327</v>
      </c>
      <c r="O19" s="10">
        <f t="shared" si="7"/>
        <v>69.418746671463936</v>
      </c>
      <c r="P19" s="9">
        <f t="shared" si="7"/>
        <v>0.14462238889888318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99B2-6A3A-497A-A1A7-1F02A851C8D6}">
  <sheetPr codeName="Sheet24">
    <pageSetUpPr fitToPage="1"/>
  </sheetPr>
  <dimension ref="A1:R22"/>
  <sheetViews>
    <sheetView topLeftCell="E1" workbookViewId="0">
      <selection activeCell="N6" sqref="N6:P6"/>
    </sheetView>
  </sheetViews>
  <sheetFormatPr defaultRowHeight="12.75" x14ac:dyDescent="0.2"/>
  <cols>
    <col min="1" max="8" width="9.140625" style="8"/>
    <col min="9" max="9" width="11.285156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33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39380</v>
      </c>
      <c r="I3" s="48"/>
      <c r="K3" s="42" t="s">
        <v>117</v>
      </c>
      <c r="L3" s="43">
        <v>2583.1999999999998</v>
      </c>
      <c r="N3" s="42" t="s">
        <v>116</v>
      </c>
      <c r="O3" s="41">
        <f>(L3-(L4+L5))/L3</f>
        <v>3.8092288634251951E-2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930.1</v>
      </c>
      <c r="N4" s="42" t="s">
        <v>111</v>
      </c>
      <c r="O4" s="41">
        <f>L4/L3</f>
        <v>0.36005729327965319</v>
      </c>
    </row>
    <row r="5" spans="1:18" ht="17.25" thickTop="1" thickBot="1" x14ac:dyDescent="0.25">
      <c r="B5" s="45" t="s">
        <v>110</v>
      </c>
      <c r="C5" s="44">
        <v>0.65069444444444446</v>
      </c>
      <c r="F5" s="40"/>
      <c r="G5" s="40"/>
      <c r="K5" s="42" t="s">
        <v>109</v>
      </c>
      <c r="L5" s="43">
        <v>1554.7</v>
      </c>
      <c r="N5" s="42" t="s">
        <v>108</v>
      </c>
      <c r="O5" s="41">
        <f>L5/L3</f>
        <v>0.60185041808609485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0.92</v>
      </c>
      <c r="F9" s="28">
        <v>0.95</v>
      </c>
      <c r="G9" s="23"/>
      <c r="H9" s="23">
        <f t="shared" ref="H9:H14" si="0">SUM(E9:G9)</f>
        <v>1.87</v>
      </c>
      <c r="I9" s="31"/>
      <c r="K9" s="21">
        <f t="shared" ref="K9:K14" si="1">H9/D9*1000</f>
        <v>467.5</v>
      </c>
      <c r="L9" s="21">
        <f t="shared" ref="L9:L14" si="2">K9/1.016*10</f>
        <v>4601.3779527559054</v>
      </c>
      <c r="M9" s="20">
        <f t="shared" ref="M9:M14" si="3">L9/1.12085</f>
        <v>4105.2575748368699</v>
      </c>
      <c r="N9" s="19">
        <f t="shared" ref="N9:O14" si="4">L9*$O$4</f>
        <v>1656.7596910259633</v>
      </c>
      <c r="O9" s="19">
        <f t="shared" si="4"/>
        <v>1478.1279306115566</v>
      </c>
      <c r="P9" s="18">
        <f t="shared" ref="P9:P14" si="5">O9/480</f>
        <v>3.0794331887740762</v>
      </c>
    </row>
    <row r="10" spans="1:18" ht="13.5" thickBot="1" x14ac:dyDescent="0.25">
      <c r="C10" s="30">
        <v>4</v>
      </c>
      <c r="D10" s="30">
        <v>4</v>
      </c>
      <c r="E10" s="28">
        <v>1.79</v>
      </c>
      <c r="F10" s="28"/>
      <c r="G10" s="23"/>
      <c r="H10" s="23">
        <f t="shared" si="0"/>
        <v>1.79</v>
      </c>
      <c r="I10" s="31"/>
      <c r="K10" s="21">
        <f t="shared" si="1"/>
        <v>447.5</v>
      </c>
      <c r="L10" s="21">
        <f t="shared" si="2"/>
        <v>4404.5275590551182</v>
      </c>
      <c r="M10" s="20">
        <f t="shared" si="3"/>
        <v>3929.6315823304799</v>
      </c>
      <c r="N10" s="19">
        <f t="shared" si="4"/>
        <v>1585.8822710890238</v>
      </c>
      <c r="O10" s="19">
        <f t="shared" si="4"/>
        <v>1414.8925111201531</v>
      </c>
      <c r="P10" s="18">
        <f t="shared" si="5"/>
        <v>2.947692731500319</v>
      </c>
    </row>
    <row r="11" spans="1:18" ht="13.5" thickBot="1" x14ac:dyDescent="0.25">
      <c r="C11" s="30">
        <v>5</v>
      </c>
      <c r="D11" s="30">
        <v>4</v>
      </c>
      <c r="E11" s="28">
        <v>1.59</v>
      </c>
      <c r="F11" s="28"/>
      <c r="G11" s="23"/>
      <c r="H11" s="23">
        <f t="shared" si="0"/>
        <v>1.59</v>
      </c>
      <c r="I11" s="31"/>
      <c r="K11" s="21">
        <f t="shared" si="1"/>
        <v>397.5</v>
      </c>
      <c r="L11" s="21">
        <f t="shared" si="2"/>
        <v>3912.4015748031497</v>
      </c>
      <c r="M11" s="20">
        <f t="shared" si="3"/>
        <v>3490.5666010645045</v>
      </c>
      <c r="N11" s="19">
        <f t="shared" si="4"/>
        <v>1408.6887212466747</v>
      </c>
      <c r="O11" s="19">
        <f t="shared" si="4"/>
        <v>1256.8039623916445</v>
      </c>
      <c r="P11" s="18">
        <f t="shared" si="5"/>
        <v>2.6183415883159262</v>
      </c>
    </row>
    <row r="12" spans="1:18" ht="13.5" thickBot="1" x14ac:dyDescent="0.25">
      <c r="C12" s="30">
        <v>6</v>
      </c>
      <c r="D12" s="30">
        <v>4</v>
      </c>
      <c r="E12" s="28">
        <v>0.98</v>
      </c>
      <c r="F12" s="28">
        <v>1.01</v>
      </c>
      <c r="G12" s="23"/>
      <c r="H12" s="23">
        <f t="shared" si="0"/>
        <v>1.99</v>
      </c>
      <c r="I12" s="31"/>
      <c r="K12" s="21">
        <f t="shared" si="1"/>
        <v>497.5</v>
      </c>
      <c r="L12" s="21">
        <f t="shared" si="2"/>
        <v>4896.6535433070867</v>
      </c>
      <c r="M12" s="20">
        <f t="shared" si="3"/>
        <v>4368.6965635964552</v>
      </c>
      <c r="N12" s="19">
        <f t="shared" si="4"/>
        <v>1763.0758209313726</v>
      </c>
      <c r="O12" s="19">
        <f t="shared" si="4"/>
        <v>1572.981059848662</v>
      </c>
      <c r="P12" s="18">
        <f t="shared" si="5"/>
        <v>3.2770438746847126</v>
      </c>
    </row>
    <row r="13" spans="1:18" ht="13.5" thickBot="1" x14ac:dyDescent="0.25">
      <c r="C13" s="30">
        <v>7</v>
      </c>
      <c r="D13" s="30">
        <v>4</v>
      </c>
      <c r="E13" s="28">
        <v>1.47</v>
      </c>
      <c r="F13" s="28">
        <v>0.61</v>
      </c>
      <c r="G13" s="23"/>
      <c r="H13" s="23">
        <f t="shared" si="0"/>
        <v>2.08</v>
      </c>
      <c r="I13" s="31"/>
      <c r="K13" s="21">
        <f t="shared" si="1"/>
        <v>520</v>
      </c>
      <c r="L13" s="21">
        <f t="shared" si="2"/>
        <v>5118.110236220472</v>
      </c>
      <c r="M13" s="20">
        <f t="shared" si="3"/>
        <v>4566.275805166144</v>
      </c>
      <c r="N13" s="19">
        <f t="shared" si="4"/>
        <v>1842.8129183604296</v>
      </c>
      <c r="O13" s="19">
        <f t="shared" si="4"/>
        <v>1644.1209067764908</v>
      </c>
      <c r="P13" s="18">
        <f t="shared" si="5"/>
        <v>3.4252518891176891</v>
      </c>
    </row>
    <row r="14" spans="1:18" ht="13.5" thickBot="1" x14ac:dyDescent="0.25">
      <c r="C14" s="30">
        <v>8</v>
      </c>
      <c r="D14" s="30">
        <v>4</v>
      </c>
      <c r="E14" s="28">
        <v>1.79</v>
      </c>
      <c r="F14" s="28"/>
      <c r="G14" s="23"/>
      <c r="H14" s="23">
        <f t="shared" si="0"/>
        <v>1.79</v>
      </c>
      <c r="I14" s="31" t="s">
        <v>125</v>
      </c>
      <c r="K14" s="21">
        <f t="shared" si="1"/>
        <v>447.5</v>
      </c>
      <c r="L14" s="21">
        <f t="shared" si="2"/>
        <v>4404.5275590551182</v>
      </c>
      <c r="M14" s="20">
        <f t="shared" si="3"/>
        <v>3929.6315823304799</v>
      </c>
      <c r="N14" s="19">
        <f t="shared" si="4"/>
        <v>1585.8822710890238</v>
      </c>
      <c r="O14" s="19">
        <f t="shared" si="4"/>
        <v>1414.8925111201531</v>
      </c>
      <c r="P14" s="18">
        <f t="shared" si="5"/>
        <v>2.947692731500319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11.11</v>
      </c>
      <c r="I18" s="13"/>
      <c r="J18" s="12"/>
      <c r="K18" s="15">
        <f t="shared" ref="K18:P18" si="6">AVERAGE(K9:K14)+K16/6</f>
        <v>462.91666666666669</v>
      </c>
      <c r="L18" s="15">
        <f t="shared" si="6"/>
        <v>4556.2664041994749</v>
      </c>
      <c r="M18" s="17">
        <f t="shared" si="6"/>
        <v>4065.0099515541556</v>
      </c>
      <c r="N18" s="16">
        <f t="shared" si="6"/>
        <v>1640.516948957081</v>
      </c>
      <c r="O18" s="16">
        <f t="shared" si="6"/>
        <v>1463.6364803114436</v>
      </c>
      <c r="P18" s="15">
        <f t="shared" si="6"/>
        <v>3.0492426673155073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7.0162509773936815E-2</v>
      </c>
      <c r="I19" s="13"/>
      <c r="J19" s="12"/>
      <c r="K19" s="10">
        <f t="shared" ref="K19:P19" si="7">STDEV(K9:K14)/SQRT(COUNT(K9:K14))</f>
        <v>17.540627443484205</v>
      </c>
      <c r="L19" s="10">
        <f t="shared" si="7"/>
        <v>172.64397090043499</v>
      </c>
      <c r="M19" s="11">
        <f t="shared" si="7"/>
        <v>154.02950519733687</v>
      </c>
      <c r="N19" s="10">
        <f t="shared" si="7"/>
        <v>62.161720863461824</v>
      </c>
      <c r="O19" s="10">
        <f t="shared" si="7"/>
        <v>55.459446726557388</v>
      </c>
      <c r="P19" s="9">
        <f t="shared" si="7"/>
        <v>0.11554051401366122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4186-DDC7-4E73-A32E-02DF19152E01}">
  <sheetPr codeName="Sheet25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34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126</v>
      </c>
      <c r="L3" s="43">
        <v>2700</v>
      </c>
      <c r="N3" s="42" t="s">
        <v>116</v>
      </c>
      <c r="O3" s="41">
        <f>(L3-(L4+L5))/L3</f>
        <v>4.0370370370370369E-2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966.6</v>
      </c>
      <c r="N4" s="42" t="s">
        <v>111</v>
      </c>
      <c r="O4" s="41">
        <f>L4/L3</f>
        <v>0.35799999999999998</v>
      </c>
    </row>
    <row r="5" spans="1:18" ht="17.25" thickTop="1" thickBot="1" x14ac:dyDescent="0.25">
      <c r="B5" s="45" t="s">
        <v>110</v>
      </c>
      <c r="C5" s="44">
        <v>0.5541666666666667</v>
      </c>
      <c r="F5" s="40"/>
      <c r="G5" s="40"/>
      <c r="K5" s="42" t="s">
        <v>109</v>
      </c>
      <c r="L5" s="43">
        <v>1624.4</v>
      </c>
      <c r="N5" s="42" t="s">
        <v>108</v>
      </c>
      <c r="O5" s="41">
        <f>L5/L3</f>
        <v>0.60162962962962963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0.43</v>
      </c>
      <c r="F9" s="28">
        <v>1.04</v>
      </c>
      <c r="G9" s="23">
        <v>0.74</v>
      </c>
      <c r="H9" s="23">
        <f t="shared" ref="H9:H14" si="0">SUM(E9:G9)</f>
        <v>2.21</v>
      </c>
      <c r="I9" s="31"/>
      <c r="K9" s="21">
        <f t="shared" ref="K9:K14" si="1">H9/D9*1000</f>
        <v>552.5</v>
      </c>
      <c r="L9" s="21">
        <f t="shared" ref="L9:L14" si="2">K9/1.016*10</f>
        <v>5437.9921259842522</v>
      </c>
      <c r="M9" s="20">
        <f t="shared" ref="M9:M14" si="3">L9/1.12085</f>
        <v>4851.6680429890284</v>
      </c>
      <c r="N9" s="19">
        <f t="shared" ref="N9:O14" si="4">L9*$O$4</f>
        <v>1946.8011811023623</v>
      </c>
      <c r="O9" s="19">
        <f t="shared" si="4"/>
        <v>1736.8971593900721</v>
      </c>
      <c r="P9" s="18">
        <f t="shared" ref="P9:P14" si="5">O9/480</f>
        <v>3.6185357487293168</v>
      </c>
    </row>
    <row r="10" spans="1:18" ht="13.5" thickBot="1" x14ac:dyDescent="0.25">
      <c r="C10" s="30">
        <v>4</v>
      </c>
      <c r="D10" s="30">
        <v>4</v>
      </c>
      <c r="E10" s="28">
        <v>0.78</v>
      </c>
      <c r="F10" s="28">
        <v>0.99</v>
      </c>
      <c r="G10" s="23">
        <v>0.28000000000000003</v>
      </c>
      <c r="H10" s="23">
        <f t="shared" si="0"/>
        <v>2.0499999999999998</v>
      </c>
      <c r="I10" s="31"/>
      <c r="K10" s="21">
        <f t="shared" si="1"/>
        <v>512.5</v>
      </c>
      <c r="L10" s="21">
        <f t="shared" si="2"/>
        <v>5044.2913385826778</v>
      </c>
      <c r="M10" s="20">
        <f t="shared" si="3"/>
        <v>4500.4160579762483</v>
      </c>
      <c r="N10" s="19">
        <f t="shared" si="4"/>
        <v>1805.8562992125985</v>
      </c>
      <c r="O10" s="19">
        <f t="shared" si="4"/>
        <v>1611.1489487554968</v>
      </c>
      <c r="P10" s="18">
        <f t="shared" si="5"/>
        <v>3.3565603099072852</v>
      </c>
    </row>
    <row r="11" spans="1:18" ht="13.5" thickBot="1" x14ac:dyDescent="0.25">
      <c r="C11" s="30">
        <v>5</v>
      </c>
      <c r="D11" s="30">
        <v>4</v>
      </c>
      <c r="E11" s="28">
        <v>1.2</v>
      </c>
      <c r="F11" s="28">
        <v>0.91</v>
      </c>
      <c r="G11" s="23"/>
      <c r="H11" s="23">
        <f t="shared" si="0"/>
        <v>2.11</v>
      </c>
      <c r="I11" s="31"/>
      <c r="K11" s="21">
        <f t="shared" si="1"/>
        <v>527.5</v>
      </c>
      <c r="L11" s="21">
        <f t="shared" si="2"/>
        <v>5191.9291338582671</v>
      </c>
      <c r="M11" s="20">
        <f t="shared" si="3"/>
        <v>4632.1355523560396</v>
      </c>
      <c r="N11" s="19">
        <f t="shared" si="4"/>
        <v>1858.7106299212596</v>
      </c>
      <c r="O11" s="19">
        <f t="shared" si="4"/>
        <v>1658.3045277434621</v>
      </c>
      <c r="P11" s="18">
        <f t="shared" si="5"/>
        <v>3.4548010994655463</v>
      </c>
    </row>
    <row r="12" spans="1:18" ht="13.5" thickBot="1" x14ac:dyDescent="0.25">
      <c r="C12" s="30">
        <v>6</v>
      </c>
      <c r="D12" s="30">
        <v>4</v>
      </c>
      <c r="E12" s="28">
        <v>0.83</v>
      </c>
      <c r="F12" s="28">
        <v>0.87</v>
      </c>
      <c r="G12" s="23">
        <v>0.55000000000000004</v>
      </c>
      <c r="H12" s="23">
        <f t="shared" si="0"/>
        <v>2.25</v>
      </c>
      <c r="I12" s="31"/>
      <c r="K12" s="21">
        <f t="shared" si="1"/>
        <v>562.5</v>
      </c>
      <c r="L12" s="21">
        <f t="shared" si="2"/>
        <v>5536.4173228346453</v>
      </c>
      <c r="M12" s="20">
        <f t="shared" si="3"/>
        <v>4939.4810392422232</v>
      </c>
      <c r="N12" s="19">
        <f t="shared" si="4"/>
        <v>1982.037401574803</v>
      </c>
      <c r="O12" s="19">
        <f t="shared" si="4"/>
        <v>1768.3342120487159</v>
      </c>
      <c r="P12" s="18">
        <f t="shared" si="5"/>
        <v>3.684029608434825</v>
      </c>
    </row>
    <row r="13" spans="1:18" ht="13.5" thickBot="1" x14ac:dyDescent="0.25">
      <c r="C13" s="30">
        <v>7</v>
      </c>
      <c r="D13" s="30">
        <v>4</v>
      </c>
      <c r="E13" s="28">
        <v>1.08</v>
      </c>
      <c r="F13" s="28">
        <v>0.97</v>
      </c>
      <c r="G13" s="23"/>
      <c r="H13" s="23">
        <f t="shared" si="0"/>
        <v>2.0499999999999998</v>
      </c>
      <c r="I13" s="31"/>
      <c r="K13" s="21">
        <f t="shared" si="1"/>
        <v>512.5</v>
      </c>
      <c r="L13" s="21">
        <f t="shared" si="2"/>
        <v>5044.2913385826778</v>
      </c>
      <c r="M13" s="20">
        <f t="shared" si="3"/>
        <v>4500.4160579762483</v>
      </c>
      <c r="N13" s="19">
        <f t="shared" si="4"/>
        <v>1805.8562992125985</v>
      </c>
      <c r="O13" s="19">
        <f t="shared" si="4"/>
        <v>1611.1489487554968</v>
      </c>
      <c r="P13" s="18">
        <f t="shared" si="5"/>
        <v>3.3565603099072852</v>
      </c>
    </row>
    <row r="14" spans="1:18" ht="13.5" thickBot="1" x14ac:dyDescent="0.25">
      <c r="C14" s="30">
        <v>8</v>
      </c>
      <c r="D14" s="30">
        <v>4</v>
      </c>
      <c r="E14" s="28">
        <v>1.06</v>
      </c>
      <c r="F14" s="28">
        <v>1.05</v>
      </c>
      <c r="G14" s="23"/>
      <c r="H14" s="23">
        <f t="shared" si="0"/>
        <v>2.1100000000000003</v>
      </c>
      <c r="I14" s="31"/>
      <c r="K14" s="21">
        <f t="shared" si="1"/>
        <v>527.50000000000011</v>
      </c>
      <c r="L14" s="21">
        <f t="shared" si="2"/>
        <v>5191.929133858268</v>
      </c>
      <c r="M14" s="20">
        <f t="shared" si="3"/>
        <v>4632.1355523560405</v>
      </c>
      <c r="N14" s="19">
        <f t="shared" si="4"/>
        <v>1858.7106299212599</v>
      </c>
      <c r="O14" s="19">
        <f t="shared" si="4"/>
        <v>1658.3045277434624</v>
      </c>
      <c r="P14" s="18">
        <f t="shared" si="5"/>
        <v>3.4548010994655467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12.779999999999998</v>
      </c>
      <c r="I18" s="13"/>
      <c r="J18" s="12"/>
      <c r="K18" s="15">
        <f t="shared" ref="K18:P18" si="6">AVERAGE(K9:K14)+K16/6</f>
        <v>532.5</v>
      </c>
      <c r="L18" s="15">
        <f t="shared" si="6"/>
        <v>5241.141732283465</v>
      </c>
      <c r="M18" s="17">
        <f t="shared" si="6"/>
        <v>4676.0420504826388</v>
      </c>
      <c r="N18" s="16">
        <f t="shared" si="6"/>
        <v>1876.3287401574801</v>
      </c>
      <c r="O18" s="16">
        <f t="shared" si="6"/>
        <v>1674.0230540727844</v>
      </c>
      <c r="P18" s="15">
        <f t="shared" si="6"/>
        <v>3.487548029318301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3.3862466931200805E-2</v>
      </c>
      <c r="I19" s="13"/>
      <c r="J19" s="12"/>
      <c r="K19" s="10">
        <f t="shared" ref="K19:P19" si="7">STDEV(K9:K14)/SQRT(COUNT(K9:K14))</f>
        <v>8.4656167328001946</v>
      </c>
      <c r="L19" s="10">
        <f t="shared" si="7"/>
        <v>83.322999338584509</v>
      </c>
      <c r="M19" s="11">
        <f t="shared" si="7"/>
        <v>74.339117043836879</v>
      </c>
      <c r="N19" s="10">
        <f t="shared" si="7"/>
        <v>29.82963376321327</v>
      </c>
      <c r="O19" s="10">
        <f t="shared" si="7"/>
        <v>26.613403901693623</v>
      </c>
      <c r="P19" s="9">
        <f t="shared" si="7"/>
        <v>5.5444591461861689E-2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49D3-387C-4730-9A2F-33B53AE7D2EC}">
  <sheetPr codeName="Sheet26">
    <pageSetUpPr fitToPage="1"/>
  </sheetPr>
  <dimension ref="A1:R26"/>
  <sheetViews>
    <sheetView topLeftCell="F1" workbookViewId="0">
      <selection activeCell="N6" sqref="N6:P6"/>
    </sheetView>
  </sheetViews>
  <sheetFormatPr defaultRowHeight="12.75" x14ac:dyDescent="0.2"/>
  <cols>
    <col min="1" max="8" width="9.140625" style="8"/>
    <col min="9" max="9" width="26.285156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35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2536.6</v>
      </c>
      <c r="N3" s="42" t="s">
        <v>116</v>
      </c>
      <c r="O3" s="41">
        <f>(L3-(L4+L5))/L3</f>
        <v>2.9251754316801947E-2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912</v>
      </c>
      <c r="N4" s="42" t="s">
        <v>111</v>
      </c>
      <c r="O4" s="41">
        <f>L4/L3</f>
        <v>0.35953638729007337</v>
      </c>
    </row>
    <row r="5" spans="1:18" ht="17.25" thickTop="1" thickBot="1" x14ac:dyDescent="0.25">
      <c r="B5" s="45" t="s">
        <v>110</v>
      </c>
      <c r="C5" s="44">
        <v>0.61875000000000002</v>
      </c>
      <c r="F5" s="40"/>
      <c r="G5" s="40"/>
      <c r="K5" s="42" t="s">
        <v>109</v>
      </c>
      <c r="L5" s="43">
        <v>1550.4</v>
      </c>
      <c r="N5" s="42" t="s">
        <v>108</v>
      </c>
      <c r="O5" s="41">
        <f>L5/L3</f>
        <v>0.61121185839312475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1.02</v>
      </c>
      <c r="F9" s="28">
        <v>1.1399999999999999</v>
      </c>
      <c r="G9" s="23"/>
      <c r="H9" s="23">
        <f t="shared" ref="H9:H14" si="0">SUM(E9:G9)</f>
        <v>2.16</v>
      </c>
      <c r="I9" s="31"/>
      <c r="K9" s="21">
        <f t="shared" ref="K9:K14" si="1">H9/D9*1000</f>
        <v>540</v>
      </c>
      <c r="L9" s="21">
        <f t="shared" ref="L9:L14" si="2">K9/1.016*10</f>
        <v>5314.9606299212601</v>
      </c>
      <c r="M9" s="20">
        <f t="shared" ref="M9:M14" si="3">L9/1.12085</f>
        <v>4741.9017976725345</v>
      </c>
      <c r="N9" s="19">
        <f t="shared" ref="N9:O14" si="4">L9*$O$4</f>
        <v>1910.9217434708626</v>
      </c>
      <c r="O9" s="19">
        <f t="shared" si="4"/>
        <v>1704.8862412194874</v>
      </c>
      <c r="P9" s="18">
        <f t="shared" ref="P9:P14" si="5">O9/480</f>
        <v>3.5518463358739321</v>
      </c>
    </row>
    <row r="10" spans="1:18" ht="13.5" thickBot="1" x14ac:dyDescent="0.25">
      <c r="C10" s="30">
        <v>4</v>
      </c>
      <c r="D10" s="30">
        <v>4</v>
      </c>
      <c r="E10" s="28">
        <v>1.25</v>
      </c>
      <c r="F10" s="28">
        <v>0.38</v>
      </c>
      <c r="G10" s="23"/>
      <c r="H10" s="23">
        <f t="shared" si="0"/>
        <v>1.63</v>
      </c>
      <c r="I10" s="31"/>
      <c r="K10" s="21">
        <f t="shared" si="1"/>
        <v>407.5</v>
      </c>
      <c r="L10" s="21">
        <f t="shared" si="2"/>
        <v>4010.8267716535429</v>
      </c>
      <c r="M10" s="20">
        <f t="shared" si="3"/>
        <v>3578.3795973176993</v>
      </c>
      <c r="N10" s="19">
        <f t="shared" si="4"/>
        <v>1442.0381675266228</v>
      </c>
      <c r="O10" s="19">
        <f t="shared" si="4"/>
        <v>1286.5576727721132</v>
      </c>
      <c r="P10" s="18">
        <f t="shared" si="5"/>
        <v>2.6803284849419025</v>
      </c>
    </row>
    <row r="11" spans="1:18" ht="13.5" thickBot="1" x14ac:dyDescent="0.25">
      <c r="C11" s="30">
        <v>5</v>
      </c>
      <c r="D11" s="30">
        <v>4</v>
      </c>
      <c r="E11" s="28">
        <v>1.1399999999999999</v>
      </c>
      <c r="F11" s="28">
        <v>0.74</v>
      </c>
      <c r="G11" s="23"/>
      <c r="H11" s="23">
        <f t="shared" si="0"/>
        <v>1.88</v>
      </c>
      <c r="I11" s="31"/>
      <c r="K11" s="21">
        <f t="shared" si="1"/>
        <v>470</v>
      </c>
      <c r="L11" s="21">
        <f t="shared" si="2"/>
        <v>4625.9842519685035</v>
      </c>
      <c r="M11" s="20">
        <f t="shared" si="3"/>
        <v>4127.2108239001682</v>
      </c>
      <c r="N11" s="19">
        <f t="shared" si="4"/>
        <v>1663.2096656135282</v>
      </c>
      <c r="O11" s="19">
        <f t="shared" si="4"/>
        <v>1483.8824692095536</v>
      </c>
      <c r="P11" s="18">
        <f t="shared" si="5"/>
        <v>3.0914218108532365</v>
      </c>
    </row>
    <row r="12" spans="1:18" ht="13.5" thickBot="1" x14ac:dyDescent="0.25">
      <c r="C12" s="30">
        <v>6</v>
      </c>
      <c r="D12" s="30">
        <v>4</v>
      </c>
      <c r="E12" s="28">
        <v>1.05</v>
      </c>
      <c r="F12" s="28">
        <v>0.45</v>
      </c>
      <c r="G12" s="23"/>
      <c r="H12" s="23">
        <f t="shared" si="0"/>
        <v>1.5</v>
      </c>
      <c r="I12" s="31"/>
      <c r="K12" s="21">
        <f t="shared" si="1"/>
        <v>375</v>
      </c>
      <c r="L12" s="21">
        <f t="shared" si="2"/>
        <v>3690.9448818897636</v>
      </c>
      <c r="M12" s="20">
        <f t="shared" si="3"/>
        <v>3292.9873594948153</v>
      </c>
      <c r="N12" s="19">
        <f t="shared" si="4"/>
        <v>1327.0289885214322</v>
      </c>
      <c r="O12" s="19">
        <f t="shared" si="4"/>
        <v>1183.9487786246441</v>
      </c>
      <c r="P12" s="18">
        <f t="shared" si="5"/>
        <v>2.4665599554680084</v>
      </c>
    </row>
    <row r="13" spans="1:18" ht="13.5" thickBot="1" x14ac:dyDescent="0.25">
      <c r="C13" s="30">
        <v>7</v>
      </c>
      <c r="D13" s="30">
        <v>4</v>
      </c>
      <c r="E13" s="28">
        <v>0.77</v>
      </c>
      <c r="F13" s="28">
        <v>0.9</v>
      </c>
      <c r="G13" s="23">
        <v>0.68</v>
      </c>
      <c r="H13" s="23">
        <f t="shared" si="0"/>
        <v>2.35</v>
      </c>
      <c r="I13" s="31"/>
      <c r="K13" s="21">
        <f t="shared" si="1"/>
        <v>587.5</v>
      </c>
      <c r="L13" s="21">
        <f t="shared" si="2"/>
        <v>5782.4803149606296</v>
      </c>
      <c r="M13" s="20">
        <f t="shared" si="3"/>
        <v>5159.0135298752111</v>
      </c>
      <c r="N13" s="19">
        <f t="shared" si="4"/>
        <v>2079.0120820169104</v>
      </c>
      <c r="O13" s="19">
        <f t="shared" si="4"/>
        <v>1854.8530865119424</v>
      </c>
      <c r="P13" s="18">
        <f t="shared" si="5"/>
        <v>3.8642772635665468</v>
      </c>
    </row>
    <row r="14" spans="1:18" ht="13.5" thickBot="1" x14ac:dyDescent="0.25">
      <c r="C14" s="30">
        <v>8</v>
      </c>
      <c r="D14" s="30">
        <v>4</v>
      </c>
      <c r="E14" s="28">
        <v>0.92</v>
      </c>
      <c r="F14" s="28">
        <v>0.57999999999999996</v>
      </c>
      <c r="G14" s="23"/>
      <c r="H14" s="23">
        <f t="shared" si="0"/>
        <v>1.5</v>
      </c>
      <c r="I14" s="31" t="s">
        <v>128</v>
      </c>
      <c r="K14" s="21">
        <f t="shared" si="1"/>
        <v>375</v>
      </c>
      <c r="L14" s="21">
        <f t="shared" si="2"/>
        <v>3690.9448818897636</v>
      </c>
      <c r="M14" s="20">
        <f t="shared" si="3"/>
        <v>3292.9873594948153</v>
      </c>
      <c r="N14" s="19">
        <f t="shared" si="4"/>
        <v>1327.0289885214322</v>
      </c>
      <c r="O14" s="19">
        <f t="shared" si="4"/>
        <v>1183.9487786246441</v>
      </c>
      <c r="P14" s="18">
        <f t="shared" si="5"/>
        <v>2.4665599554680084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2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2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11.02</v>
      </c>
      <c r="I18" s="13"/>
      <c r="J18" s="12"/>
      <c r="K18" s="15">
        <f t="shared" ref="K18:P18" si="6">AVERAGE(K9:K14)+K16/6</f>
        <v>459.16666666666669</v>
      </c>
      <c r="L18" s="15">
        <f t="shared" si="6"/>
        <v>4519.3569553805783</v>
      </c>
      <c r="M18" s="17">
        <f t="shared" si="6"/>
        <v>4032.0800779592068</v>
      </c>
      <c r="N18" s="16">
        <f t="shared" si="6"/>
        <v>1624.873272611798</v>
      </c>
      <c r="O18" s="16">
        <f t="shared" si="6"/>
        <v>1449.679504493731</v>
      </c>
      <c r="P18" s="15">
        <f t="shared" si="6"/>
        <v>3.020165634361939</v>
      </c>
    </row>
    <row r="19" spans="2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0.14598325626972125</v>
      </c>
      <c r="I19" s="13"/>
      <c r="J19" s="12"/>
      <c r="K19" s="10">
        <f t="shared" ref="K19:P19" si="7">STDEV(K9:K14)/SQRT(COUNT(K9:K14))</f>
        <v>36.495814067430281</v>
      </c>
      <c r="L19" s="10">
        <f t="shared" si="7"/>
        <v>359.21076838021793</v>
      </c>
      <c r="M19" s="11">
        <f t="shared" si="7"/>
        <v>320.48067839605693</v>
      </c>
      <c r="N19" s="10">
        <f t="shared" si="7"/>
        <v>129.14934193911571</v>
      </c>
      <c r="O19" s="10">
        <f t="shared" si="7"/>
        <v>115.22446530678901</v>
      </c>
      <c r="P19" s="9">
        <f t="shared" si="7"/>
        <v>0.24005096938914625</v>
      </c>
    </row>
    <row r="21" spans="2:16" x14ac:dyDescent="0.2">
      <c r="C21" s="8" t="s">
        <v>89</v>
      </c>
    </row>
    <row r="22" spans="2:16" x14ac:dyDescent="0.2">
      <c r="C22" s="8" t="s">
        <v>88</v>
      </c>
    </row>
    <row r="23" spans="2:16" x14ac:dyDescent="0.2">
      <c r="B23" s="55"/>
    </row>
    <row r="26" spans="2:16" x14ac:dyDescent="0.2">
      <c r="K26" s="8" t="s">
        <v>127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BF2B-B833-47DE-96A7-08CEEC28ED2A}">
  <sheetPr codeName="Sheet27">
    <pageSetUpPr fitToPage="1"/>
  </sheetPr>
  <dimension ref="A1:R22"/>
  <sheetViews>
    <sheetView topLeftCell="F1" workbookViewId="0">
      <selection activeCell="N6" sqref="N6:P6"/>
    </sheetView>
  </sheetViews>
  <sheetFormatPr defaultRowHeight="12.75" x14ac:dyDescent="0.2"/>
  <cols>
    <col min="1" max="8" width="9.140625" style="8"/>
    <col min="9" max="9" width="24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36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2754.2</v>
      </c>
      <c r="N3" s="42" t="s">
        <v>116</v>
      </c>
      <c r="O3" s="41">
        <f>(L3-(L4+L5))/L3</f>
        <v>3.6671265703289525E-2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982.2</v>
      </c>
      <c r="N4" s="42" t="s">
        <v>111</v>
      </c>
      <c r="O4" s="41">
        <f>L4/L3</f>
        <v>0.35661898191852448</v>
      </c>
    </row>
    <row r="5" spans="1:18" ht="17.25" thickTop="1" thickBot="1" x14ac:dyDescent="0.25">
      <c r="B5" s="45" t="s">
        <v>110</v>
      </c>
      <c r="C5" s="44">
        <v>0.62638888888888888</v>
      </c>
      <c r="F5" s="40"/>
      <c r="G5" s="40"/>
      <c r="K5" s="42" t="s">
        <v>109</v>
      </c>
      <c r="L5" s="43">
        <v>1671</v>
      </c>
      <c r="N5" s="42" t="s">
        <v>108</v>
      </c>
      <c r="O5" s="41">
        <f>L5/L3</f>
        <v>0.60670975237818603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1.02</v>
      </c>
      <c r="F9" s="28">
        <v>1.43</v>
      </c>
      <c r="G9" s="23"/>
      <c r="H9" s="23">
        <f t="shared" ref="H9:H14" si="0">SUM(E9:G9)</f>
        <v>2.4500000000000002</v>
      </c>
      <c r="I9" s="31"/>
      <c r="K9" s="21">
        <f t="shared" ref="K9:K14" si="1">H9/D9*1000</f>
        <v>612.5</v>
      </c>
      <c r="L9" s="21">
        <f t="shared" ref="L9:L14" si="2">K9/1.016*10</f>
        <v>6028.5433070866147</v>
      </c>
      <c r="M9" s="20">
        <f t="shared" ref="M9:M14" si="3">L9/1.12085</f>
        <v>5378.546020508199</v>
      </c>
      <c r="N9" s="19">
        <f t="shared" ref="N9:O14" si="4">L9*$O$4</f>
        <v>2149.892976624963</v>
      </c>
      <c r="O9" s="19">
        <f t="shared" si="4"/>
        <v>1918.0916060355653</v>
      </c>
      <c r="P9" s="18">
        <f t="shared" ref="P9:P14" si="5">O9/480</f>
        <v>3.9960241792407611</v>
      </c>
    </row>
    <row r="10" spans="1:18" ht="13.5" thickBot="1" x14ac:dyDescent="0.25">
      <c r="C10" s="30">
        <v>4</v>
      </c>
      <c r="D10" s="30">
        <v>4</v>
      </c>
      <c r="E10" s="28">
        <v>0.86</v>
      </c>
      <c r="F10" s="28">
        <v>0.74</v>
      </c>
      <c r="G10" s="23">
        <v>0.63</v>
      </c>
      <c r="H10" s="23">
        <f t="shared" si="0"/>
        <v>2.23</v>
      </c>
      <c r="I10" s="31"/>
      <c r="K10" s="21">
        <f t="shared" si="1"/>
        <v>557.5</v>
      </c>
      <c r="L10" s="21">
        <f t="shared" si="2"/>
        <v>5487.2047244094483</v>
      </c>
      <c r="M10" s="20">
        <f t="shared" si="3"/>
        <v>4895.5745411156258</v>
      </c>
      <c r="N10" s="19">
        <f t="shared" si="4"/>
        <v>1956.8413623974152</v>
      </c>
      <c r="O10" s="19">
        <f t="shared" si="4"/>
        <v>1745.8548087589022</v>
      </c>
      <c r="P10" s="18">
        <f t="shared" si="5"/>
        <v>3.6371975182477128</v>
      </c>
    </row>
    <row r="11" spans="1:18" ht="13.5" thickBot="1" x14ac:dyDescent="0.25">
      <c r="C11" s="30">
        <v>5</v>
      </c>
      <c r="D11" s="30">
        <v>4</v>
      </c>
      <c r="E11" s="28">
        <v>1.03</v>
      </c>
      <c r="F11" s="28">
        <v>1.01</v>
      </c>
      <c r="G11" s="23"/>
      <c r="H11" s="23">
        <f t="shared" si="0"/>
        <v>2.04</v>
      </c>
      <c r="I11" s="31"/>
      <c r="K11" s="21">
        <f t="shared" si="1"/>
        <v>510</v>
      </c>
      <c r="L11" s="21">
        <f t="shared" si="2"/>
        <v>5019.6850393700788</v>
      </c>
      <c r="M11" s="20">
        <f t="shared" si="3"/>
        <v>4478.4628089129492</v>
      </c>
      <c r="N11" s="19">
        <f t="shared" si="4"/>
        <v>1790.114968291806</v>
      </c>
      <c r="O11" s="19">
        <f t="shared" si="4"/>
        <v>1597.1048474745114</v>
      </c>
      <c r="P11" s="18">
        <f t="shared" si="5"/>
        <v>3.3273017655718986</v>
      </c>
    </row>
    <row r="12" spans="1:18" ht="13.5" thickBot="1" x14ac:dyDescent="0.25">
      <c r="C12" s="30">
        <v>6</v>
      </c>
      <c r="D12" s="30">
        <v>4</v>
      </c>
      <c r="E12" s="28">
        <v>0.96</v>
      </c>
      <c r="F12" s="28">
        <v>1.21</v>
      </c>
      <c r="G12" s="23"/>
      <c r="H12" s="23">
        <f t="shared" si="0"/>
        <v>2.17</v>
      </c>
      <c r="I12" s="31"/>
      <c r="K12" s="21">
        <f t="shared" si="1"/>
        <v>542.5</v>
      </c>
      <c r="L12" s="21">
        <f t="shared" si="2"/>
        <v>5339.5669291338581</v>
      </c>
      <c r="M12" s="20">
        <f t="shared" si="3"/>
        <v>4763.8550467358327</v>
      </c>
      <c r="N12" s="19">
        <f t="shared" si="4"/>
        <v>1904.1909221535386</v>
      </c>
      <c r="O12" s="19">
        <f t="shared" si="4"/>
        <v>1698.8811367743576</v>
      </c>
      <c r="P12" s="18">
        <f t="shared" si="5"/>
        <v>3.5393357016132452</v>
      </c>
    </row>
    <row r="13" spans="1:18" ht="13.5" thickBot="1" x14ac:dyDescent="0.25">
      <c r="C13" s="30">
        <v>7</v>
      </c>
      <c r="D13" s="30">
        <v>4</v>
      </c>
      <c r="E13" s="28">
        <v>0.54</v>
      </c>
      <c r="F13" s="28">
        <v>1.25</v>
      </c>
      <c r="G13" s="23"/>
      <c r="H13" s="23">
        <f t="shared" si="0"/>
        <v>1.79</v>
      </c>
      <c r="I13" s="31" t="s">
        <v>130</v>
      </c>
      <c r="K13" s="21">
        <f t="shared" si="1"/>
        <v>447.5</v>
      </c>
      <c r="L13" s="21">
        <f t="shared" si="2"/>
        <v>4404.5275590551182</v>
      </c>
      <c r="M13" s="20">
        <f t="shared" si="3"/>
        <v>3929.6315823304799</v>
      </c>
      <c r="N13" s="19">
        <f t="shared" si="4"/>
        <v>1570.73813394232</v>
      </c>
      <c r="O13" s="19">
        <f t="shared" si="4"/>
        <v>1401.381214205576</v>
      </c>
      <c r="P13" s="18">
        <f t="shared" si="5"/>
        <v>2.9195441962616169</v>
      </c>
    </row>
    <row r="14" spans="1:18" ht="13.5" thickBot="1" x14ac:dyDescent="0.25">
      <c r="C14" s="30">
        <v>8</v>
      </c>
      <c r="D14" s="30">
        <v>4</v>
      </c>
      <c r="E14" s="28">
        <v>1.1200000000000001</v>
      </c>
      <c r="F14" s="28">
        <v>0.86</v>
      </c>
      <c r="G14" s="23"/>
      <c r="H14" s="23">
        <f t="shared" si="0"/>
        <v>1.98</v>
      </c>
      <c r="I14" s="31" t="s">
        <v>128</v>
      </c>
      <c r="K14" s="21">
        <f t="shared" si="1"/>
        <v>495</v>
      </c>
      <c r="L14" s="21">
        <f t="shared" si="2"/>
        <v>4872.0472440944886</v>
      </c>
      <c r="M14" s="20">
        <f t="shared" si="3"/>
        <v>4346.743314533157</v>
      </c>
      <c r="N14" s="19">
        <f t="shared" si="4"/>
        <v>1737.4645280479294</v>
      </c>
      <c r="O14" s="19">
        <f t="shared" si="4"/>
        <v>1550.1311754899671</v>
      </c>
      <c r="P14" s="18">
        <f t="shared" si="5"/>
        <v>3.2294399489374315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 t="s">
        <v>129</v>
      </c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12.66</v>
      </c>
      <c r="I18" s="13"/>
      <c r="J18" s="12"/>
      <c r="K18" s="15">
        <f t="shared" ref="K18:P18" si="6">AVERAGE(K9:K14)+K16/6</f>
        <v>527.5</v>
      </c>
      <c r="L18" s="15">
        <f t="shared" si="6"/>
        <v>5191.9291338582671</v>
      </c>
      <c r="M18" s="17">
        <f t="shared" si="6"/>
        <v>4632.1355523560405</v>
      </c>
      <c r="N18" s="16">
        <f t="shared" si="6"/>
        <v>1851.5404819096618</v>
      </c>
      <c r="O18" s="16">
        <f t="shared" si="6"/>
        <v>1651.9074647898133</v>
      </c>
      <c r="P18" s="15">
        <f t="shared" si="6"/>
        <v>3.441473884978778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9.270023372857987E-2</v>
      </c>
      <c r="I19" s="13"/>
      <c r="J19" s="12"/>
      <c r="K19" s="10">
        <f t="shared" ref="K19:P19" si="7">STDEV(K9:K14)/SQRT(COUNT(K9:K14))</f>
        <v>23.175058432144965</v>
      </c>
      <c r="L19" s="10">
        <f t="shared" si="7"/>
        <v>228.10096882032445</v>
      </c>
      <c r="M19" s="11">
        <f t="shared" si="7"/>
        <v>203.5071319269523</v>
      </c>
      <c r="N19" s="10">
        <f t="shared" si="7"/>
        <v>81.345135275333178</v>
      </c>
      <c r="O19" s="10">
        <f t="shared" si="7"/>
        <v>72.574506200948605</v>
      </c>
      <c r="P19" s="9">
        <f t="shared" si="7"/>
        <v>0.15119688791864291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9CD6-2812-4CD3-8926-2C39E3993D0A}">
  <sheetPr codeName="Sheet28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37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2058.6999999999998</v>
      </c>
      <c r="N3" s="42" t="s">
        <v>116</v>
      </c>
      <c r="O3" s="41">
        <f>(L3-(L4+L5))/L3</f>
        <v>5.5714771457715952E-2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745.9</v>
      </c>
      <c r="N4" s="42" t="s">
        <v>111</v>
      </c>
      <c r="O4" s="41">
        <f>L4/L3</f>
        <v>0.36231602467576629</v>
      </c>
    </row>
    <row r="5" spans="1:18" ht="17.25" thickTop="1" thickBot="1" x14ac:dyDescent="0.25">
      <c r="B5" s="45" t="s">
        <v>110</v>
      </c>
      <c r="C5" s="44">
        <v>0.61527777777777781</v>
      </c>
      <c r="F5" s="40"/>
      <c r="G5" s="40"/>
      <c r="K5" s="42" t="s">
        <v>109</v>
      </c>
      <c r="L5" s="43">
        <v>1198.0999999999999</v>
      </c>
      <c r="N5" s="42" t="s">
        <v>108</v>
      </c>
      <c r="O5" s="41">
        <f>L5/L3</f>
        <v>0.58196920386651774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1.07</v>
      </c>
      <c r="F9" s="28"/>
      <c r="G9" s="23"/>
      <c r="H9" s="23">
        <f t="shared" ref="H9:H14" si="0">SUM(E9:G9)</f>
        <v>1.07</v>
      </c>
      <c r="I9" s="31"/>
      <c r="K9" s="21">
        <f t="shared" ref="K9:K14" si="1">H9/D9*1000</f>
        <v>267.5</v>
      </c>
      <c r="L9" s="21">
        <f t="shared" ref="L9:L14" si="2">K9/1.016*10</f>
        <v>2632.8740157480315</v>
      </c>
      <c r="M9" s="20">
        <f t="shared" ref="M9:M14" si="3">L9/1.12085</f>
        <v>2348.9976497729685</v>
      </c>
      <c r="N9" s="19">
        <f t="shared" ref="N9:O14" si="4">L9*$O$4</f>
        <v>953.93244685794764</v>
      </c>
      <c r="O9" s="19">
        <f t="shared" si="4"/>
        <v>851.07949043845986</v>
      </c>
      <c r="P9" s="18">
        <f t="shared" ref="P9:P14" si="5">O9/480</f>
        <v>1.7730822717467913</v>
      </c>
    </row>
    <row r="10" spans="1:18" ht="13.5" thickBot="1" x14ac:dyDescent="0.25">
      <c r="C10" s="30">
        <v>4</v>
      </c>
      <c r="D10" s="30">
        <v>4</v>
      </c>
      <c r="E10" s="28">
        <v>1.08</v>
      </c>
      <c r="F10" s="28">
        <v>0.68</v>
      </c>
      <c r="G10" s="23">
        <v>0.64</v>
      </c>
      <c r="H10" s="23">
        <f t="shared" si="0"/>
        <v>2.4000000000000004</v>
      </c>
      <c r="I10" s="31"/>
      <c r="K10" s="21">
        <f t="shared" si="1"/>
        <v>600.00000000000011</v>
      </c>
      <c r="L10" s="21">
        <f t="shared" si="2"/>
        <v>5905.5118110236235</v>
      </c>
      <c r="M10" s="20">
        <f t="shared" si="3"/>
        <v>5268.779775191706</v>
      </c>
      <c r="N10" s="19">
        <f t="shared" si="4"/>
        <v>2139.6615630458646</v>
      </c>
      <c r="O10" s="19">
        <f t="shared" si="4"/>
        <v>1908.9633430395365</v>
      </c>
      <c r="P10" s="18">
        <f t="shared" si="5"/>
        <v>3.9770069646657009</v>
      </c>
    </row>
    <row r="11" spans="1:18" ht="13.5" thickBot="1" x14ac:dyDescent="0.25">
      <c r="C11" s="30">
        <v>5</v>
      </c>
      <c r="D11" s="30">
        <v>4</v>
      </c>
      <c r="E11" s="28">
        <v>1.29</v>
      </c>
      <c r="F11" s="28">
        <v>0.72</v>
      </c>
      <c r="G11" s="23"/>
      <c r="H11" s="23">
        <f t="shared" si="0"/>
        <v>2.0099999999999998</v>
      </c>
      <c r="I11" s="31"/>
      <c r="K11" s="21">
        <f t="shared" si="1"/>
        <v>502.49999999999994</v>
      </c>
      <c r="L11" s="21">
        <f t="shared" si="2"/>
        <v>4945.8661417322828</v>
      </c>
      <c r="M11" s="20">
        <f t="shared" si="3"/>
        <v>4412.6030617230526</v>
      </c>
      <c r="N11" s="19">
        <f t="shared" si="4"/>
        <v>1791.9665590509107</v>
      </c>
      <c r="O11" s="19">
        <f t="shared" si="4"/>
        <v>1598.7567997956114</v>
      </c>
      <c r="P11" s="18">
        <f t="shared" si="5"/>
        <v>3.3307433329075238</v>
      </c>
    </row>
    <row r="12" spans="1:18" ht="13.5" thickBot="1" x14ac:dyDescent="0.25">
      <c r="C12" s="30">
        <v>6</v>
      </c>
      <c r="D12" s="30">
        <v>4</v>
      </c>
      <c r="E12" s="28">
        <v>1.43</v>
      </c>
      <c r="F12" s="28">
        <v>0.82</v>
      </c>
      <c r="G12" s="23"/>
      <c r="H12" s="23">
        <f t="shared" si="0"/>
        <v>2.25</v>
      </c>
      <c r="I12" s="31"/>
      <c r="K12" s="21">
        <f t="shared" si="1"/>
        <v>562.5</v>
      </c>
      <c r="L12" s="21">
        <f t="shared" si="2"/>
        <v>5536.4173228346453</v>
      </c>
      <c r="M12" s="20">
        <f t="shared" si="3"/>
        <v>4939.4810392422232</v>
      </c>
      <c r="N12" s="19">
        <f t="shared" si="4"/>
        <v>2005.9327153554973</v>
      </c>
      <c r="O12" s="19">
        <f t="shared" si="4"/>
        <v>1789.653134099565</v>
      </c>
      <c r="P12" s="18">
        <f t="shared" si="5"/>
        <v>3.7284440293740939</v>
      </c>
    </row>
    <row r="13" spans="1:18" ht="13.5" thickBot="1" x14ac:dyDescent="0.25">
      <c r="C13" s="30">
        <v>7</v>
      </c>
      <c r="D13" s="30">
        <v>4</v>
      </c>
      <c r="E13" s="28">
        <v>0.99</v>
      </c>
      <c r="F13" s="28">
        <v>0.56000000000000005</v>
      </c>
      <c r="G13" s="23"/>
      <c r="H13" s="23">
        <f t="shared" si="0"/>
        <v>1.55</v>
      </c>
      <c r="I13" s="31"/>
      <c r="K13" s="21">
        <f t="shared" si="1"/>
        <v>387.5</v>
      </c>
      <c r="L13" s="21">
        <f t="shared" si="2"/>
        <v>3813.9763779527557</v>
      </c>
      <c r="M13" s="20">
        <f t="shared" si="3"/>
        <v>3402.7536048113093</v>
      </c>
      <c r="N13" s="19">
        <f t="shared" si="4"/>
        <v>1381.8647594671204</v>
      </c>
      <c r="O13" s="19">
        <f t="shared" si="4"/>
        <v>1232.872159046367</v>
      </c>
      <c r="P13" s="18">
        <f t="shared" si="5"/>
        <v>2.5684836646799312</v>
      </c>
    </row>
    <row r="14" spans="1:18" ht="13.5" thickBot="1" x14ac:dyDescent="0.25">
      <c r="C14" s="30">
        <v>8</v>
      </c>
      <c r="D14" s="30">
        <v>4</v>
      </c>
      <c r="E14" s="28">
        <v>0.99</v>
      </c>
      <c r="F14" s="28">
        <v>1.03</v>
      </c>
      <c r="G14" s="23"/>
      <c r="H14" s="23">
        <f t="shared" si="0"/>
        <v>2.02</v>
      </c>
      <c r="I14" s="31"/>
      <c r="K14" s="21">
        <f t="shared" si="1"/>
        <v>505</v>
      </c>
      <c r="L14" s="21">
        <f t="shared" si="2"/>
        <v>4970.4724409448818</v>
      </c>
      <c r="M14" s="20">
        <f t="shared" si="3"/>
        <v>4434.5563107863518</v>
      </c>
      <c r="N14" s="19">
        <f t="shared" si="4"/>
        <v>1800.881815563602</v>
      </c>
      <c r="O14" s="19">
        <f t="shared" si="4"/>
        <v>1606.7108137249429</v>
      </c>
      <c r="P14" s="18">
        <f t="shared" si="5"/>
        <v>3.3473141952602976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11.3</v>
      </c>
      <c r="I18" s="13"/>
      <c r="J18" s="12"/>
      <c r="K18" s="15">
        <f t="shared" ref="K18:P18" si="6">AVERAGE(K9:K14)+K16/6</f>
        <v>470.83333333333331</v>
      </c>
      <c r="L18" s="15">
        <f t="shared" si="6"/>
        <v>4634.1863517060365</v>
      </c>
      <c r="M18" s="17">
        <f t="shared" si="6"/>
        <v>4134.5285735879361</v>
      </c>
      <c r="N18" s="16">
        <f t="shared" si="6"/>
        <v>1679.0399765568236</v>
      </c>
      <c r="O18" s="16">
        <f t="shared" si="6"/>
        <v>1498.0059566907473</v>
      </c>
      <c r="P18" s="15">
        <f t="shared" si="6"/>
        <v>3.1208457431057233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0.20072645842317613</v>
      </c>
      <c r="I19" s="13"/>
      <c r="J19" s="12"/>
      <c r="K19" s="10">
        <f t="shared" ref="K19:P19" si="7">STDEV(K9:K14)/SQRT(COUNT(K9:K14))</f>
        <v>50.181614605794046</v>
      </c>
      <c r="L19" s="10">
        <f t="shared" si="7"/>
        <v>493.91352958458725</v>
      </c>
      <c r="M19" s="11">
        <f t="shared" si="7"/>
        <v>440.65979353578672</v>
      </c>
      <c r="N19" s="10">
        <f t="shared" si="7"/>
        <v>178.95278657266451</v>
      </c>
      <c r="O19" s="10">
        <f t="shared" si="7"/>
        <v>159.65810462833008</v>
      </c>
      <c r="P19" s="9">
        <f t="shared" si="7"/>
        <v>0.33262105130902198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B44E-B5AF-4553-98E1-5E94AC6B1EE2}">
  <sheetPr codeName="Sheet29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38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2748</v>
      </c>
      <c r="N3" s="42" t="s">
        <v>116</v>
      </c>
      <c r="O3" s="41">
        <f>(L3-(L4+L5))/L3</f>
        <v>4.1957787481805016E-2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1013.3</v>
      </c>
      <c r="N4" s="42" t="s">
        <v>111</v>
      </c>
      <c r="O4" s="41">
        <f>L4/L3</f>
        <v>0.3687409024745269</v>
      </c>
    </row>
    <row r="5" spans="1:18" ht="17.25" thickTop="1" thickBot="1" x14ac:dyDescent="0.25">
      <c r="B5" s="45" t="s">
        <v>110</v>
      </c>
      <c r="C5" s="44">
        <v>0.51041666666666663</v>
      </c>
      <c r="F5" s="40"/>
      <c r="G5" s="40"/>
      <c r="K5" s="42" t="s">
        <v>109</v>
      </c>
      <c r="L5" s="43">
        <v>1619.4</v>
      </c>
      <c r="N5" s="42" t="s">
        <v>108</v>
      </c>
      <c r="O5" s="41">
        <f>L5/L3</f>
        <v>0.58930131004366815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1.3</v>
      </c>
      <c r="F9" s="28">
        <v>0.6</v>
      </c>
      <c r="G9" s="23"/>
      <c r="H9" s="23">
        <f t="shared" ref="H9:H14" si="0">SUM(E9:G9)</f>
        <v>1.9</v>
      </c>
      <c r="I9" s="31"/>
      <c r="K9" s="21">
        <f t="shared" ref="K9:K14" si="1">H9/D9*1000</f>
        <v>475</v>
      </c>
      <c r="L9" s="21">
        <f t="shared" ref="L9:L14" si="2">K9/1.016*10</f>
        <v>4675.1968503937005</v>
      </c>
      <c r="M9" s="20">
        <f t="shared" ref="M9:M14" si="3">L9/1.12085</f>
        <v>4171.1173220267665</v>
      </c>
      <c r="N9" s="19">
        <f t="shared" ref="N9:O14" si="4">L9*$O$4</f>
        <v>1723.9363058602389</v>
      </c>
      <c r="O9" s="19">
        <f t="shared" si="4"/>
        <v>1538.0615656512816</v>
      </c>
      <c r="P9" s="18">
        <f t="shared" ref="P9:P14" si="5">O9/480</f>
        <v>3.2042949284401701</v>
      </c>
    </row>
    <row r="10" spans="1:18" ht="13.5" thickBot="1" x14ac:dyDescent="0.25">
      <c r="C10" s="30">
        <v>4</v>
      </c>
      <c r="D10" s="30">
        <v>4</v>
      </c>
      <c r="E10" s="28">
        <v>0.76</v>
      </c>
      <c r="F10" s="28">
        <v>0.85</v>
      </c>
      <c r="G10" s="23"/>
      <c r="H10" s="23">
        <f t="shared" si="0"/>
        <v>1.6099999999999999</v>
      </c>
      <c r="I10" s="31"/>
      <c r="K10" s="21">
        <f t="shared" si="1"/>
        <v>402.49999999999994</v>
      </c>
      <c r="L10" s="21">
        <f t="shared" si="2"/>
        <v>3961.6141732283459</v>
      </c>
      <c r="M10" s="20">
        <f t="shared" si="3"/>
        <v>3534.4730991911015</v>
      </c>
      <c r="N10" s="19">
        <f t="shared" si="4"/>
        <v>1460.809185492097</v>
      </c>
      <c r="O10" s="19">
        <f t="shared" si="4"/>
        <v>1303.3048003676647</v>
      </c>
      <c r="P10" s="18">
        <f t="shared" si="5"/>
        <v>2.7152183340993017</v>
      </c>
    </row>
    <row r="11" spans="1:18" ht="13.5" thickBot="1" x14ac:dyDescent="0.25">
      <c r="C11" s="30">
        <v>5</v>
      </c>
      <c r="D11" s="30">
        <v>4</v>
      </c>
      <c r="E11" s="28">
        <v>0.81</v>
      </c>
      <c r="F11" s="28">
        <v>0.73</v>
      </c>
      <c r="G11" s="23">
        <v>0.39</v>
      </c>
      <c r="H11" s="23">
        <f t="shared" si="0"/>
        <v>1.9300000000000002</v>
      </c>
      <c r="I11" s="31"/>
      <c r="K11" s="21">
        <f t="shared" si="1"/>
        <v>482.50000000000006</v>
      </c>
      <c r="L11" s="21">
        <f t="shared" si="2"/>
        <v>4749.0157480314965</v>
      </c>
      <c r="M11" s="20">
        <f t="shared" si="3"/>
        <v>4236.977069216663</v>
      </c>
      <c r="N11" s="19">
        <f t="shared" si="4"/>
        <v>1751.1563527948745</v>
      </c>
      <c r="O11" s="19">
        <f t="shared" si="4"/>
        <v>1562.3467482668284</v>
      </c>
      <c r="P11" s="18">
        <f t="shared" si="5"/>
        <v>3.2548890588892259</v>
      </c>
    </row>
    <row r="12" spans="1:18" ht="13.5" thickBot="1" x14ac:dyDescent="0.25">
      <c r="C12" s="30">
        <v>6</v>
      </c>
      <c r="D12" s="30">
        <v>4</v>
      </c>
      <c r="E12" s="28">
        <v>1.04</v>
      </c>
      <c r="F12" s="28">
        <v>0.71</v>
      </c>
      <c r="G12" s="23">
        <v>0.27</v>
      </c>
      <c r="H12" s="23">
        <f t="shared" si="0"/>
        <v>2.02</v>
      </c>
      <c r="I12" s="31"/>
      <c r="K12" s="21">
        <f t="shared" si="1"/>
        <v>505</v>
      </c>
      <c r="L12" s="21">
        <f t="shared" si="2"/>
        <v>4970.4724409448818</v>
      </c>
      <c r="M12" s="20">
        <f t="shared" si="3"/>
        <v>4434.5563107863518</v>
      </c>
      <c r="N12" s="19">
        <f t="shared" si="4"/>
        <v>1832.8164935987804</v>
      </c>
      <c r="O12" s="19">
        <f t="shared" si="4"/>
        <v>1635.202296113468</v>
      </c>
      <c r="P12" s="18">
        <f t="shared" si="5"/>
        <v>3.406671450236392</v>
      </c>
    </row>
    <row r="13" spans="1:18" ht="13.5" thickBot="1" x14ac:dyDescent="0.25">
      <c r="C13" s="30">
        <v>7</v>
      </c>
      <c r="D13" s="30">
        <v>4</v>
      </c>
      <c r="E13" s="28">
        <v>0.77</v>
      </c>
      <c r="F13" s="28">
        <v>0.9</v>
      </c>
      <c r="G13" s="23"/>
      <c r="H13" s="23">
        <f t="shared" si="0"/>
        <v>1.67</v>
      </c>
      <c r="I13" s="31"/>
      <c r="K13" s="21">
        <f t="shared" si="1"/>
        <v>417.5</v>
      </c>
      <c r="L13" s="21">
        <f t="shared" si="2"/>
        <v>4109.251968503937</v>
      </c>
      <c r="M13" s="20">
        <f t="shared" si="3"/>
        <v>3666.1925935708946</v>
      </c>
      <c r="N13" s="19">
        <f t="shared" si="4"/>
        <v>1515.2492793613678</v>
      </c>
      <c r="O13" s="19">
        <f t="shared" si="4"/>
        <v>1351.875165598758</v>
      </c>
      <c r="P13" s="18">
        <f t="shared" si="5"/>
        <v>2.8164065949974124</v>
      </c>
    </row>
    <row r="14" spans="1:18" ht="13.5" thickBot="1" x14ac:dyDescent="0.25">
      <c r="C14" s="30">
        <v>8</v>
      </c>
      <c r="D14" s="30">
        <v>4</v>
      </c>
      <c r="E14" s="28">
        <v>0.82</v>
      </c>
      <c r="F14" s="28">
        <v>0.91</v>
      </c>
      <c r="G14" s="23"/>
      <c r="H14" s="23">
        <f t="shared" si="0"/>
        <v>1.73</v>
      </c>
      <c r="I14" s="31"/>
      <c r="K14" s="21">
        <f t="shared" si="1"/>
        <v>432.5</v>
      </c>
      <c r="L14" s="21">
        <f t="shared" si="2"/>
        <v>4256.889763779528</v>
      </c>
      <c r="M14" s="20">
        <f t="shared" si="3"/>
        <v>3797.9120879506877</v>
      </c>
      <c r="N14" s="19">
        <f t="shared" si="4"/>
        <v>1569.6893732306387</v>
      </c>
      <c r="O14" s="19">
        <f t="shared" si="4"/>
        <v>1400.4455308298514</v>
      </c>
      <c r="P14" s="18">
        <f t="shared" si="5"/>
        <v>2.9175948558955236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10.86</v>
      </c>
      <c r="I18" s="13"/>
      <c r="J18" s="12"/>
      <c r="K18" s="15">
        <f t="shared" ref="K18:P18" si="6">AVERAGE(K9:K14)+K16/6</f>
        <v>452.5</v>
      </c>
      <c r="L18" s="15">
        <f t="shared" si="6"/>
        <v>4453.7401574803143</v>
      </c>
      <c r="M18" s="17">
        <f t="shared" si="6"/>
        <v>3973.5380804570777</v>
      </c>
      <c r="N18" s="16">
        <f t="shared" si="6"/>
        <v>1642.2761650563327</v>
      </c>
      <c r="O18" s="16">
        <f t="shared" si="6"/>
        <v>1465.206017804642</v>
      </c>
      <c r="P18" s="15">
        <f t="shared" si="6"/>
        <v>3.0525125370930044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6.6483080554378682E-2</v>
      </c>
      <c r="I19" s="13"/>
      <c r="J19" s="12"/>
      <c r="K19" s="10">
        <f t="shared" ref="K19:P19" si="7">STDEV(K9:K14)/SQRT(COUNT(K9:K14))</f>
        <v>16.620770138594672</v>
      </c>
      <c r="L19" s="10">
        <f t="shared" si="7"/>
        <v>163.59025726963256</v>
      </c>
      <c r="M19" s="11">
        <f t="shared" si="7"/>
        <v>145.95196259056306</v>
      </c>
      <c r="N19" s="10">
        <f t="shared" si="7"/>
        <v>60.322419101644364</v>
      </c>
      <c r="O19" s="10">
        <f t="shared" si="7"/>
        <v>53.818458403572635</v>
      </c>
      <c r="P19" s="9">
        <f t="shared" si="7"/>
        <v>0.11212178834077635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3A7D-F77D-431C-814A-77AF089FD929}">
  <sheetPr codeName="Sheet30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41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1682.1</v>
      </c>
      <c r="N3" s="42" t="s">
        <v>116</v>
      </c>
      <c r="O3" s="41">
        <f>(L3-(L4+L5))/L3</f>
        <v>7.567921051067103E-2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557.6</v>
      </c>
      <c r="N4" s="42" t="s">
        <v>111</v>
      </c>
      <c r="O4" s="41">
        <f>L4/L3</f>
        <v>0.3314903989061293</v>
      </c>
    </row>
    <row r="5" spans="1:18" ht="17.25" thickTop="1" thickBot="1" x14ac:dyDescent="0.25">
      <c r="B5" s="45" t="s">
        <v>110</v>
      </c>
      <c r="C5" s="44">
        <v>0.53472222222222221</v>
      </c>
      <c r="F5" s="40"/>
      <c r="G5" s="40"/>
      <c r="K5" s="42" t="s">
        <v>109</v>
      </c>
      <c r="L5" s="43">
        <v>997.2</v>
      </c>
      <c r="N5" s="42" t="s">
        <v>108</v>
      </c>
      <c r="O5" s="41">
        <f>L5/L3</f>
        <v>0.59283039058319964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0.93</v>
      </c>
      <c r="F9" s="28"/>
      <c r="G9" s="23"/>
      <c r="H9" s="23">
        <f t="shared" ref="H9:H14" si="0">SUM(E9:G9)</f>
        <v>0.93</v>
      </c>
      <c r="I9" s="31"/>
      <c r="K9" s="21">
        <f t="shared" ref="K9:K14" si="1">H9/D9*1000</f>
        <v>232.5</v>
      </c>
      <c r="L9" s="21">
        <f t="shared" ref="L9:L14" si="2">K9/1.016*10</f>
        <v>2288.3858267716537</v>
      </c>
      <c r="M9" s="20">
        <f t="shared" ref="M9:M14" si="3">L9/1.12085</f>
        <v>2041.6521628867858</v>
      </c>
      <c r="N9" s="19">
        <f t="shared" ref="N9:O14" si="4">L9*$O$4</f>
        <v>758.57793056766798</v>
      </c>
      <c r="O9" s="19">
        <f t="shared" si="4"/>
        <v>676.78808990290236</v>
      </c>
      <c r="P9" s="18">
        <f t="shared" ref="P9:P14" si="5">O9/480</f>
        <v>1.4099751872977133</v>
      </c>
    </row>
    <row r="10" spans="1:18" ht="13.5" thickBot="1" x14ac:dyDescent="0.25">
      <c r="C10" s="30">
        <v>4</v>
      </c>
      <c r="D10" s="30">
        <v>4</v>
      </c>
      <c r="E10" s="28">
        <v>0.86</v>
      </c>
      <c r="F10" s="28"/>
      <c r="G10" s="23"/>
      <c r="H10" s="23">
        <f t="shared" si="0"/>
        <v>0.86</v>
      </c>
      <c r="I10" s="31"/>
      <c r="K10" s="21">
        <f t="shared" si="1"/>
        <v>215</v>
      </c>
      <c r="L10" s="21">
        <f t="shared" si="2"/>
        <v>2116.1417322834645</v>
      </c>
      <c r="M10" s="20">
        <f t="shared" si="3"/>
        <v>1887.9794194436943</v>
      </c>
      <c r="N10" s="19">
        <f t="shared" si="4"/>
        <v>701.48066697655315</v>
      </c>
      <c r="O10" s="19">
        <f t="shared" si="4"/>
        <v>625.8470508779526</v>
      </c>
      <c r="P10" s="18">
        <f t="shared" si="5"/>
        <v>1.3038480226624012</v>
      </c>
    </row>
    <row r="11" spans="1:18" ht="13.5" thickBot="1" x14ac:dyDescent="0.25">
      <c r="C11" s="30">
        <v>5</v>
      </c>
      <c r="D11" s="30">
        <v>4</v>
      </c>
      <c r="E11" s="28">
        <v>0.97</v>
      </c>
      <c r="F11" s="28"/>
      <c r="G11" s="23"/>
      <c r="H11" s="23">
        <f t="shared" si="0"/>
        <v>0.97</v>
      </c>
      <c r="I11" s="31"/>
      <c r="K11" s="21">
        <f t="shared" si="1"/>
        <v>242.5</v>
      </c>
      <c r="L11" s="21">
        <f t="shared" si="2"/>
        <v>2386.8110236220473</v>
      </c>
      <c r="M11" s="20">
        <f t="shared" si="3"/>
        <v>2129.4651591399806</v>
      </c>
      <c r="N11" s="19">
        <f t="shared" si="4"/>
        <v>791.20493833401929</v>
      </c>
      <c r="O11" s="19">
        <f t="shared" si="4"/>
        <v>705.89725506001628</v>
      </c>
      <c r="P11" s="18">
        <f t="shared" si="5"/>
        <v>1.4706192813750338</v>
      </c>
    </row>
    <row r="12" spans="1:18" ht="13.5" thickBot="1" x14ac:dyDescent="0.25">
      <c r="C12" s="30">
        <v>6</v>
      </c>
      <c r="D12" s="30">
        <v>4</v>
      </c>
      <c r="E12" s="28">
        <v>1.1000000000000001</v>
      </c>
      <c r="F12" s="28"/>
      <c r="G12" s="23"/>
      <c r="H12" s="23">
        <f t="shared" si="0"/>
        <v>1.1000000000000001</v>
      </c>
      <c r="I12" s="31"/>
      <c r="K12" s="21">
        <f t="shared" si="1"/>
        <v>275</v>
      </c>
      <c r="L12" s="21">
        <f t="shared" si="2"/>
        <v>2706.6929133858271</v>
      </c>
      <c r="M12" s="20">
        <f t="shared" si="3"/>
        <v>2414.8573969628651</v>
      </c>
      <c r="N12" s="19">
        <f t="shared" si="4"/>
        <v>897.24271357466114</v>
      </c>
      <c r="O12" s="19">
        <f t="shared" si="4"/>
        <v>800.50204182063715</v>
      </c>
      <c r="P12" s="18">
        <f t="shared" si="5"/>
        <v>1.6677125871263274</v>
      </c>
    </row>
    <row r="13" spans="1:18" ht="13.5" thickBot="1" x14ac:dyDescent="0.25">
      <c r="C13" s="30">
        <v>7</v>
      </c>
      <c r="D13" s="30">
        <v>4</v>
      </c>
      <c r="E13" s="28">
        <v>1.34</v>
      </c>
      <c r="F13" s="28"/>
      <c r="G13" s="23"/>
      <c r="H13" s="23">
        <f t="shared" si="0"/>
        <v>1.34</v>
      </c>
      <c r="I13" s="31"/>
      <c r="K13" s="21">
        <f t="shared" si="1"/>
        <v>335</v>
      </c>
      <c r="L13" s="21">
        <f t="shared" si="2"/>
        <v>3297.2440944881891</v>
      </c>
      <c r="M13" s="20">
        <f t="shared" si="3"/>
        <v>2941.7353744820352</v>
      </c>
      <c r="N13" s="19">
        <f t="shared" si="4"/>
        <v>1093.004760172769</v>
      </c>
      <c r="O13" s="19">
        <f t="shared" si="4"/>
        <v>975.15703276332158</v>
      </c>
      <c r="P13" s="18">
        <f t="shared" si="5"/>
        <v>2.0315771515902532</v>
      </c>
    </row>
    <row r="14" spans="1:18" ht="13.5" thickBot="1" x14ac:dyDescent="0.25">
      <c r="C14" s="30">
        <v>8</v>
      </c>
      <c r="D14" s="30">
        <v>4</v>
      </c>
      <c r="E14" s="28">
        <v>1.29</v>
      </c>
      <c r="F14" s="28"/>
      <c r="G14" s="23"/>
      <c r="H14" s="23">
        <f t="shared" si="0"/>
        <v>1.29</v>
      </c>
      <c r="I14" s="31"/>
      <c r="K14" s="21">
        <f t="shared" si="1"/>
        <v>322.5</v>
      </c>
      <c r="L14" s="21">
        <f t="shared" si="2"/>
        <v>3174.212598425197</v>
      </c>
      <c r="M14" s="20">
        <f t="shared" si="3"/>
        <v>2831.9691291655417</v>
      </c>
      <c r="N14" s="19">
        <f t="shared" si="4"/>
        <v>1052.2210004648298</v>
      </c>
      <c r="O14" s="19">
        <f t="shared" si="4"/>
        <v>938.77057631692901</v>
      </c>
      <c r="P14" s="18">
        <f t="shared" si="5"/>
        <v>1.955772033993602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6.49</v>
      </c>
      <c r="I18" s="13"/>
      <c r="J18" s="12"/>
      <c r="K18" s="15">
        <f t="shared" ref="K18:P18" si="6">AVERAGE(K9:K14)+K16/6</f>
        <v>270.41666666666669</v>
      </c>
      <c r="L18" s="15">
        <f t="shared" si="6"/>
        <v>2661.5813648293965</v>
      </c>
      <c r="M18" s="17">
        <f t="shared" si="6"/>
        <v>2374.6097736801507</v>
      </c>
      <c r="N18" s="16">
        <f t="shared" si="6"/>
        <v>882.28866834841665</v>
      </c>
      <c r="O18" s="16">
        <f t="shared" si="6"/>
        <v>787.16034112362649</v>
      </c>
      <c r="P18" s="15">
        <f t="shared" si="6"/>
        <v>1.6399173773408886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8.0639802689353043E-2</v>
      </c>
      <c r="I19" s="13"/>
      <c r="J19" s="12"/>
      <c r="K19" s="10">
        <f t="shared" ref="K19:P19" si="7">STDEV(K9:K14)/SQRT(COUNT(K9:K14))</f>
        <v>20.15995067233823</v>
      </c>
      <c r="L19" s="10">
        <f t="shared" si="7"/>
        <v>198.42471134191149</v>
      </c>
      <c r="M19" s="11">
        <f t="shared" si="7"/>
        <v>177.03056728546341</v>
      </c>
      <c r="N19" s="10">
        <f t="shared" si="7"/>
        <v>65.775886715564027</v>
      </c>
      <c r="O19" s="10">
        <f t="shared" si="7"/>
        <v>58.683933368036634</v>
      </c>
      <c r="P19" s="9">
        <f t="shared" si="7"/>
        <v>0.122258194516743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3FC6-7E3B-4E11-936F-C9DB5C3A7076}">
  <sheetPr codeName="Sheet31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42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1979.2</v>
      </c>
      <c r="N3" s="42" t="s">
        <v>116</v>
      </c>
      <c r="O3" s="41">
        <f>(L3-(L4+L5))/L3</f>
        <v>7.275666936135812E-2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654.20000000000005</v>
      </c>
      <c r="N4" s="42" t="s">
        <v>111</v>
      </c>
      <c r="O4" s="41">
        <f>L4/L3</f>
        <v>0.33053759094583673</v>
      </c>
    </row>
    <row r="5" spans="1:18" ht="17.25" thickTop="1" thickBot="1" x14ac:dyDescent="0.25">
      <c r="B5" s="45" t="s">
        <v>110</v>
      </c>
      <c r="C5" s="44">
        <v>0.64375000000000004</v>
      </c>
      <c r="F5" s="40"/>
      <c r="G5" s="40"/>
      <c r="K5" s="42" t="s">
        <v>109</v>
      </c>
      <c r="L5" s="43">
        <v>1181</v>
      </c>
      <c r="N5" s="42" t="s">
        <v>108</v>
      </c>
      <c r="O5" s="41">
        <f>L5/L3</f>
        <v>0.59670573969280516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1.31</v>
      </c>
      <c r="F9" s="28"/>
      <c r="G9" s="23"/>
      <c r="H9" s="23">
        <f t="shared" ref="H9:H14" si="0">SUM(E9:G9)</f>
        <v>1.31</v>
      </c>
      <c r="I9" s="31"/>
      <c r="K9" s="21">
        <f t="shared" ref="K9:K14" si="1">H9/D9*1000</f>
        <v>327.5</v>
      </c>
      <c r="L9" s="21">
        <f t="shared" ref="L9:L14" si="2">K9/1.016*10</f>
        <v>3223.4251968503936</v>
      </c>
      <c r="M9" s="20">
        <f t="shared" ref="M9:M14" si="3">L9/1.12085</f>
        <v>2875.8756272921387</v>
      </c>
      <c r="N9" s="19">
        <f t="shared" ref="N9:O14" si="4">L9*$O$4</f>
        <v>1065.4631991610386</v>
      </c>
      <c r="O9" s="19">
        <f t="shared" si="4"/>
        <v>950.58500170499053</v>
      </c>
      <c r="P9" s="18">
        <f t="shared" ref="P9:P14" si="5">O9/480</f>
        <v>1.9803854202187303</v>
      </c>
    </row>
    <row r="10" spans="1:18" ht="13.5" thickBot="1" x14ac:dyDescent="0.25">
      <c r="C10" s="30">
        <v>4</v>
      </c>
      <c r="D10" s="30">
        <v>4</v>
      </c>
      <c r="E10" s="28">
        <v>1.21</v>
      </c>
      <c r="F10" s="28"/>
      <c r="G10" s="23"/>
      <c r="H10" s="23">
        <f t="shared" si="0"/>
        <v>1.21</v>
      </c>
      <c r="I10" s="31"/>
      <c r="K10" s="21">
        <f t="shared" si="1"/>
        <v>302.5</v>
      </c>
      <c r="L10" s="21">
        <f t="shared" si="2"/>
        <v>2977.3622047244094</v>
      </c>
      <c r="M10" s="20">
        <f t="shared" si="3"/>
        <v>2656.3431366591512</v>
      </c>
      <c r="N10" s="19">
        <f t="shared" si="4"/>
        <v>984.13013052279143</v>
      </c>
      <c r="O10" s="19">
        <f t="shared" si="4"/>
        <v>878.02126111682344</v>
      </c>
      <c r="P10" s="18">
        <f t="shared" si="5"/>
        <v>1.8292109606600488</v>
      </c>
    </row>
    <row r="11" spans="1:18" ht="13.5" thickBot="1" x14ac:dyDescent="0.25">
      <c r="C11" s="30">
        <v>5</v>
      </c>
      <c r="D11" s="30">
        <v>4</v>
      </c>
      <c r="E11" s="28">
        <v>1.21</v>
      </c>
      <c r="F11" s="28"/>
      <c r="G11" s="23"/>
      <c r="H11" s="23">
        <f t="shared" si="0"/>
        <v>1.21</v>
      </c>
      <c r="I11" s="31"/>
      <c r="K11" s="21">
        <f t="shared" si="1"/>
        <v>302.5</v>
      </c>
      <c r="L11" s="21">
        <f t="shared" si="2"/>
        <v>2977.3622047244094</v>
      </c>
      <c r="M11" s="20">
        <f t="shared" si="3"/>
        <v>2656.3431366591512</v>
      </c>
      <c r="N11" s="19">
        <f t="shared" si="4"/>
        <v>984.13013052279143</v>
      </c>
      <c r="O11" s="19">
        <f t="shared" si="4"/>
        <v>878.02126111682344</v>
      </c>
      <c r="P11" s="18">
        <f t="shared" si="5"/>
        <v>1.8292109606600488</v>
      </c>
    </row>
    <row r="12" spans="1:18" ht="13.5" thickBot="1" x14ac:dyDescent="0.25">
      <c r="C12" s="30">
        <v>6</v>
      </c>
      <c r="D12" s="30">
        <v>4</v>
      </c>
      <c r="E12" s="28">
        <v>1.24</v>
      </c>
      <c r="F12" s="28"/>
      <c r="G12" s="23"/>
      <c r="H12" s="23">
        <f t="shared" si="0"/>
        <v>1.24</v>
      </c>
      <c r="I12" s="31"/>
      <c r="K12" s="21">
        <f t="shared" si="1"/>
        <v>310</v>
      </c>
      <c r="L12" s="21">
        <f t="shared" si="2"/>
        <v>3051.1811023622045</v>
      </c>
      <c r="M12" s="20">
        <f t="shared" si="3"/>
        <v>2722.2028838490473</v>
      </c>
      <c r="N12" s="19">
        <f t="shared" si="4"/>
        <v>1008.5300511142656</v>
      </c>
      <c r="O12" s="19">
        <f t="shared" si="4"/>
        <v>899.79038329327352</v>
      </c>
      <c r="P12" s="18">
        <f t="shared" si="5"/>
        <v>1.8745632985276532</v>
      </c>
    </row>
    <row r="13" spans="1:18" ht="13.5" thickBot="1" x14ac:dyDescent="0.25">
      <c r="C13" s="30">
        <v>7</v>
      </c>
      <c r="D13" s="30">
        <v>4</v>
      </c>
      <c r="E13" s="28">
        <v>1.68</v>
      </c>
      <c r="F13" s="28"/>
      <c r="G13" s="23"/>
      <c r="H13" s="23">
        <f t="shared" si="0"/>
        <v>1.68</v>
      </c>
      <c r="I13" s="31"/>
      <c r="K13" s="21">
        <f t="shared" si="1"/>
        <v>420</v>
      </c>
      <c r="L13" s="21">
        <f t="shared" si="2"/>
        <v>4133.858267716535</v>
      </c>
      <c r="M13" s="20">
        <f t="shared" si="3"/>
        <v>3688.1458426341933</v>
      </c>
      <c r="N13" s="19">
        <f t="shared" si="4"/>
        <v>1366.3955531225533</v>
      </c>
      <c r="O13" s="19">
        <f t="shared" si="4"/>
        <v>1219.0708418812094</v>
      </c>
      <c r="P13" s="18">
        <f t="shared" si="5"/>
        <v>2.5397309205858529</v>
      </c>
    </row>
    <row r="14" spans="1:18" ht="13.5" thickBot="1" x14ac:dyDescent="0.25">
      <c r="C14" s="30">
        <v>8</v>
      </c>
      <c r="D14" s="30">
        <v>4</v>
      </c>
      <c r="E14" s="28">
        <v>1.1599999999999999</v>
      </c>
      <c r="F14" s="28">
        <v>0.62</v>
      </c>
      <c r="G14" s="23"/>
      <c r="H14" s="23">
        <f t="shared" si="0"/>
        <v>1.7799999999999998</v>
      </c>
      <c r="I14" s="31"/>
      <c r="K14" s="21">
        <f t="shared" si="1"/>
        <v>444.99999999999994</v>
      </c>
      <c r="L14" s="21">
        <f t="shared" si="2"/>
        <v>4379.9212598425192</v>
      </c>
      <c r="M14" s="20">
        <f t="shared" si="3"/>
        <v>3907.6783332671807</v>
      </c>
      <c r="N14" s="19">
        <f t="shared" si="4"/>
        <v>1447.7286217608005</v>
      </c>
      <c r="O14" s="19">
        <f t="shared" si="4"/>
        <v>1291.6345824693765</v>
      </c>
      <c r="P14" s="18">
        <f t="shared" si="5"/>
        <v>2.6909053801445344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8.43</v>
      </c>
      <c r="I18" s="13"/>
      <c r="J18" s="12"/>
      <c r="K18" s="15">
        <f t="shared" ref="K18:P18" si="6">AVERAGE(K9:K14)+K16/6</f>
        <v>351.25</v>
      </c>
      <c r="L18" s="15">
        <f t="shared" si="6"/>
        <v>3457.1850393700784</v>
      </c>
      <c r="M18" s="17">
        <f t="shared" si="6"/>
        <v>3084.431493393477</v>
      </c>
      <c r="N18" s="16">
        <f t="shared" si="6"/>
        <v>1142.7296143673736</v>
      </c>
      <c r="O18" s="16">
        <f t="shared" si="6"/>
        <v>1019.5205552637494</v>
      </c>
      <c r="P18" s="15">
        <f t="shared" si="6"/>
        <v>2.1240011567994781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0.10465021102065043</v>
      </c>
      <c r="I19" s="13"/>
      <c r="J19" s="12"/>
      <c r="K19" s="10">
        <f t="shared" ref="K19:P19" si="7">STDEV(K9:K14)/SQRT(COUNT(K9:K14))</f>
        <v>26.162552755162608</v>
      </c>
      <c r="L19" s="10">
        <f t="shared" si="7"/>
        <v>257.5054405035703</v>
      </c>
      <c r="M19" s="11">
        <f t="shared" si="7"/>
        <v>229.74121470631107</v>
      </c>
      <c r="N19" s="10">
        <f t="shared" si="7"/>
        <v>85.115227959495869</v>
      </c>
      <c r="O19" s="10">
        <f t="shared" si="7"/>
        <v>75.93810764999445</v>
      </c>
      <c r="P19" s="9">
        <f t="shared" si="7"/>
        <v>0.15820439093748809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D528-53E8-406A-A1A6-E1FF58D5D768}">
  <sheetPr codeName="Sheet32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43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2174</v>
      </c>
      <c r="N3" s="42" t="s">
        <v>116</v>
      </c>
      <c r="O3" s="41">
        <f>(L3-(L4+L5))/L3</f>
        <v>3.7948482060717569E-2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766.8</v>
      </c>
      <c r="N4" s="42" t="s">
        <v>111</v>
      </c>
      <c r="O4" s="41">
        <f>L4/L3</f>
        <v>0.35271389144434223</v>
      </c>
    </row>
    <row r="5" spans="1:18" ht="17.25" thickTop="1" thickBot="1" x14ac:dyDescent="0.25">
      <c r="B5" s="45" t="s">
        <v>110</v>
      </c>
      <c r="C5" s="44">
        <v>0.52777777777777779</v>
      </c>
      <c r="F5" s="40"/>
      <c r="G5" s="40"/>
      <c r="K5" s="42" t="s">
        <v>109</v>
      </c>
      <c r="L5" s="43">
        <v>1324.7</v>
      </c>
      <c r="N5" s="42" t="s">
        <v>108</v>
      </c>
      <c r="O5" s="41">
        <f>L5/L3</f>
        <v>0.60933762649494028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1.93</v>
      </c>
      <c r="F9" s="28"/>
      <c r="G9" s="23"/>
      <c r="H9" s="23">
        <f t="shared" ref="H9:H14" si="0">SUM(E9:G9)</f>
        <v>1.93</v>
      </c>
      <c r="I9" s="31"/>
      <c r="K9" s="21">
        <f t="shared" ref="K9:K14" si="1">H9/D9*1000</f>
        <v>482.5</v>
      </c>
      <c r="L9" s="21">
        <f t="shared" ref="L9:L14" si="2">K9/1.016*10</f>
        <v>4749.0157480314956</v>
      </c>
      <c r="M9" s="20">
        <f t="shared" ref="M9:M14" si="3">L9/1.12085</f>
        <v>4236.9770692166621</v>
      </c>
      <c r="N9" s="19">
        <f t="shared" ref="N9:O14" si="4">L9*$O$4</f>
        <v>1675.0438250186526</v>
      </c>
      <c r="O9" s="19">
        <f t="shared" si="4"/>
        <v>1494.4406700438531</v>
      </c>
      <c r="P9" s="18">
        <f t="shared" ref="P9:P14" si="5">O9/480</f>
        <v>3.1134180625913603</v>
      </c>
    </row>
    <row r="10" spans="1:18" ht="13.5" thickBot="1" x14ac:dyDescent="0.25">
      <c r="C10" s="30">
        <v>4</v>
      </c>
      <c r="D10" s="30">
        <v>4</v>
      </c>
      <c r="E10" s="28">
        <v>0.74</v>
      </c>
      <c r="F10" s="28">
        <v>1.03</v>
      </c>
      <c r="G10" s="23"/>
      <c r="H10" s="23">
        <f t="shared" si="0"/>
        <v>1.77</v>
      </c>
      <c r="I10" s="31"/>
      <c r="K10" s="21">
        <f t="shared" si="1"/>
        <v>442.5</v>
      </c>
      <c r="L10" s="21">
        <f t="shared" si="2"/>
        <v>4355.3149606299212</v>
      </c>
      <c r="M10" s="20">
        <f t="shared" si="3"/>
        <v>3885.7250842038825</v>
      </c>
      <c r="N10" s="19">
        <f t="shared" si="4"/>
        <v>1536.1800882295418</v>
      </c>
      <c r="O10" s="19">
        <f t="shared" si="4"/>
        <v>1370.5492155324457</v>
      </c>
      <c r="P10" s="18">
        <f t="shared" si="5"/>
        <v>2.8553108656925952</v>
      </c>
    </row>
    <row r="11" spans="1:18" ht="13.5" thickBot="1" x14ac:dyDescent="0.25">
      <c r="C11" s="30">
        <v>5</v>
      </c>
      <c r="D11" s="30">
        <v>4</v>
      </c>
      <c r="E11" s="28">
        <v>1.25</v>
      </c>
      <c r="F11" s="28"/>
      <c r="G11" s="23"/>
      <c r="H11" s="23">
        <f t="shared" si="0"/>
        <v>1.25</v>
      </c>
      <c r="I11" s="31"/>
      <c r="K11" s="21">
        <f t="shared" si="1"/>
        <v>312.5</v>
      </c>
      <c r="L11" s="21">
        <f t="shared" si="2"/>
        <v>3075.787401574803</v>
      </c>
      <c r="M11" s="20">
        <f t="shared" si="3"/>
        <v>2744.156132912346</v>
      </c>
      <c r="N11" s="19">
        <f t="shared" si="4"/>
        <v>1084.8729436649305</v>
      </c>
      <c r="O11" s="19">
        <f t="shared" si="4"/>
        <v>967.90198837037121</v>
      </c>
      <c r="P11" s="18">
        <f t="shared" si="5"/>
        <v>2.0164624757716068</v>
      </c>
    </row>
    <row r="12" spans="1:18" ht="13.5" thickBot="1" x14ac:dyDescent="0.25">
      <c r="C12" s="30">
        <v>6</v>
      </c>
      <c r="D12" s="30">
        <v>4</v>
      </c>
      <c r="E12" s="28">
        <v>1.57</v>
      </c>
      <c r="F12" s="28">
        <v>0.68</v>
      </c>
      <c r="G12" s="23"/>
      <c r="H12" s="23">
        <f t="shared" si="0"/>
        <v>2.25</v>
      </c>
      <c r="I12" s="31"/>
      <c r="K12" s="21">
        <f t="shared" si="1"/>
        <v>562.5</v>
      </c>
      <c r="L12" s="21">
        <f t="shared" si="2"/>
        <v>5536.4173228346453</v>
      </c>
      <c r="M12" s="20">
        <f t="shared" si="3"/>
        <v>4939.4810392422232</v>
      </c>
      <c r="N12" s="19">
        <f t="shared" si="4"/>
        <v>1952.7712985968749</v>
      </c>
      <c r="O12" s="19">
        <f t="shared" si="4"/>
        <v>1742.2235790666682</v>
      </c>
      <c r="P12" s="18">
        <f t="shared" si="5"/>
        <v>3.629632456388892</v>
      </c>
    </row>
    <row r="13" spans="1:18" ht="13.5" thickBot="1" x14ac:dyDescent="0.25">
      <c r="C13" s="30">
        <v>7</v>
      </c>
      <c r="D13" s="30">
        <v>4</v>
      </c>
      <c r="E13" s="28">
        <v>0.88</v>
      </c>
      <c r="F13" s="28">
        <v>1.1599999999999999</v>
      </c>
      <c r="G13" s="23"/>
      <c r="H13" s="23">
        <f t="shared" si="0"/>
        <v>2.04</v>
      </c>
      <c r="I13" s="31"/>
      <c r="K13" s="21">
        <f t="shared" si="1"/>
        <v>510</v>
      </c>
      <c r="L13" s="21">
        <f t="shared" si="2"/>
        <v>5019.6850393700788</v>
      </c>
      <c r="M13" s="20">
        <f t="shared" si="3"/>
        <v>4478.4628089129492</v>
      </c>
      <c r="N13" s="19">
        <f t="shared" si="4"/>
        <v>1770.5126440611668</v>
      </c>
      <c r="O13" s="19">
        <f t="shared" si="4"/>
        <v>1579.6160450204459</v>
      </c>
      <c r="P13" s="18">
        <f t="shared" si="5"/>
        <v>3.2908667604592621</v>
      </c>
    </row>
    <row r="14" spans="1:18" ht="13.5" thickBot="1" x14ac:dyDescent="0.25">
      <c r="C14" s="30">
        <v>8</v>
      </c>
      <c r="D14" s="30">
        <v>4</v>
      </c>
      <c r="E14" s="28">
        <v>1.77</v>
      </c>
      <c r="F14" s="28">
        <v>0.65</v>
      </c>
      <c r="G14" s="23"/>
      <c r="H14" s="23">
        <f t="shared" si="0"/>
        <v>2.42</v>
      </c>
      <c r="I14" s="31"/>
      <c r="K14" s="21">
        <f t="shared" si="1"/>
        <v>605</v>
      </c>
      <c r="L14" s="21">
        <f t="shared" si="2"/>
        <v>5954.7244094488187</v>
      </c>
      <c r="M14" s="20">
        <f t="shared" si="3"/>
        <v>5312.6862733183025</v>
      </c>
      <c r="N14" s="19">
        <f t="shared" si="4"/>
        <v>2100.3140189353057</v>
      </c>
      <c r="O14" s="19">
        <f t="shared" si="4"/>
        <v>1873.8582494850389</v>
      </c>
      <c r="P14" s="18">
        <f t="shared" si="5"/>
        <v>3.9038713530938312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11.66</v>
      </c>
      <c r="I18" s="13"/>
      <c r="J18" s="12"/>
      <c r="K18" s="15">
        <f t="shared" ref="K18:P18" si="6">AVERAGE(K9:K14)+K16/6</f>
        <v>485.83333333333331</v>
      </c>
      <c r="L18" s="15">
        <f t="shared" si="6"/>
        <v>4781.8241469816276</v>
      </c>
      <c r="M18" s="17">
        <f t="shared" si="6"/>
        <v>4266.2480679677274</v>
      </c>
      <c r="N18" s="16">
        <f t="shared" si="6"/>
        <v>1686.6158030844119</v>
      </c>
      <c r="O18" s="16">
        <f t="shared" si="6"/>
        <v>1504.7649579198039</v>
      </c>
      <c r="P18" s="15">
        <f t="shared" si="6"/>
        <v>3.1349269956662575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0.16748465933067169</v>
      </c>
      <c r="I19" s="13"/>
      <c r="J19" s="12"/>
      <c r="K19" s="10">
        <f t="shared" ref="K19:P19" si="7">STDEV(K9:K14)/SQRT(COUNT(K9:K14))</f>
        <v>41.871164832667866</v>
      </c>
      <c r="L19" s="10">
        <f t="shared" si="7"/>
        <v>412.11776410106063</v>
      </c>
      <c r="M19" s="11">
        <f t="shared" si="7"/>
        <v>367.68324405679908</v>
      </c>
      <c r="N19" s="10">
        <f t="shared" si="7"/>
        <v>145.35966030942711</v>
      </c>
      <c r="O19" s="10">
        <f t="shared" si="7"/>
        <v>129.68698783015299</v>
      </c>
      <c r="P19" s="9">
        <f t="shared" si="7"/>
        <v>0.27018122464615285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6CA0-52C8-4B4D-AB67-848CEEC122D3}">
  <sheetPr codeName="Sheet33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44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2665.7</v>
      </c>
      <c r="N3" s="42" t="s">
        <v>116</v>
      </c>
      <c r="O3" s="41">
        <f>(L3-(L4+L5))/L3</f>
        <v>3.5600405146865605E-2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939.9</v>
      </c>
      <c r="N4" s="42" t="s">
        <v>111</v>
      </c>
      <c r="O4" s="41">
        <f>L4/L3</f>
        <v>0.35259031398882096</v>
      </c>
    </row>
    <row r="5" spans="1:18" ht="17.25" thickTop="1" thickBot="1" x14ac:dyDescent="0.25">
      <c r="B5" s="45" t="s">
        <v>110</v>
      </c>
      <c r="C5" s="44">
        <v>0.54305555555555551</v>
      </c>
      <c r="F5" s="40"/>
      <c r="G5" s="40"/>
      <c r="K5" s="42" t="s">
        <v>109</v>
      </c>
      <c r="L5" s="43">
        <v>1630.9</v>
      </c>
      <c r="N5" s="42" t="s">
        <v>108</v>
      </c>
      <c r="O5" s="41">
        <f>L5/L3</f>
        <v>0.61180928086431341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1.61</v>
      </c>
      <c r="F9" s="28"/>
      <c r="G9" s="23"/>
      <c r="H9" s="23">
        <f t="shared" ref="H9:H14" si="0">SUM(E9:G9)</f>
        <v>1.61</v>
      </c>
      <c r="I9" s="31"/>
      <c r="K9" s="21">
        <f t="shared" ref="K9:K14" si="1">H9/D9*1000</f>
        <v>402.5</v>
      </c>
      <c r="L9" s="21">
        <f t="shared" ref="L9:L14" si="2">K9/1.016*10</f>
        <v>3961.6141732283468</v>
      </c>
      <c r="M9" s="20">
        <f t="shared" ref="M9:M14" si="3">L9/1.12085</f>
        <v>3534.4730991911024</v>
      </c>
      <c r="N9" s="19">
        <f t="shared" ref="N9:O14" si="4">L9*$O$4</f>
        <v>1396.8267852411461</v>
      </c>
      <c r="O9" s="19">
        <f t="shared" si="4"/>
        <v>1246.220979828832</v>
      </c>
      <c r="P9" s="18">
        <f t="shared" ref="P9:P14" si="5">O9/480</f>
        <v>2.5962937079767334</v>
      </c>
    </row>
    <row r="10" spans="1:18" ht="13.5" thickBot="1" x14ac:dyDescent="0.25">
      <c r="C10" s="30">
        <v>4</v>
      </c>
      <c r="D10" s="30">
        <v>4</v>
      </c>
      <c r="E10" s="28">
        <v>1.05</v>
      </c>
      <c r="F10" s="28">
        <v>0.74</v>
      </c>
      <c r="G10" s="23"/>
      <c r="H10" s="23">
        <f t="shared" si="0"/>
        <v>1.79</v>
      </c>
      <c r="I10" s="31"/>
      <c r="K10" s="21">
        <f t="shared" si="1"/>
        <v>447.5</v>
      </c>
      <c r="L10" s="21">
        <f t="shared" si="2"/>
        <v>4404.5275590551182</v>
      </c>
      <c r="M10" s="20">
        <f t="shared" si="3"/>
        <v>3929.6315823304799</v>
      </c>
      <c r="N10" s="19">
        <f t="shared" si="4"/>
        <v>1552.9937550196594</v>
      </c>
      <c r="O10" s="19">
        <f t="shared" si="4"/>
        <v>1385.5500334742912</v>
      </c>
      <c r="P10" s="18">
        <f t="shared" si="5"/>
        <v>2.8865625697381065</v>
      </c>
    </row>
    <row r="11" spans="1:18" ht="13.5" thickBot="1" x14ac:dyDescent="0.25">
      <c r="C11" s="30">
        <v>5</v>
      </c>
      <c r="D11" s="30">
        <v>4</v>
      </c>
      <c r="E11" s="28">
        <v>1.32</v>
      </c>
      <c r="F11" s="28">
        <v>0.89</v>
      </c>
      <c r="G11" s="23"/>
      <c r="H11" s="23">
        <f t="shared" si="0"/>
        <v>2.21</v>
      </c>
      <c r="I11" s="31"/>
      <c r="K11" s="21">
        <f t="shared" si="1"/>
        <v>552.5</v>
      </c>
      <c r="L11" s="21">
        <f t="shared" si="2"/>
        <v>5437.9921259842522</v>
      </c>
      <c r="M11" s="20">
        <f t="shared" si="3"/>
        <v>4851.6680429890284</v>
      </c>
      <c r="N11" s="19">
        <f t="shared" si="4"/>
        <v>1917.3833511695234</v>
      </c>
      <c r="O11" s="19">
        <f t="shared" si="4"/>
        <v>1710.6511586470301</v>
      </c>
      <c r="P11" s="18">
        <f t="shared" si="5"/>
        <v>3.563856580514646</v>
      </c>
    </row>
    <row r="12" spans="1:18" ht="13.5" thickBot="1" x14ac:dyDescent="0.25">
      <c r="C12" s="30">
        <v>6</v>
      </c>
      <c r="D12" s="30">
        <v>4</v>
      </c>
      <c r="E12" s="28">
        <v>2.0499999999999998</v>
      </c>
      <c r="F12" s="28"/>
      <c r="G12" s="23"/>
      <c r="H12" s="23">
        <f t="shared" si="0"/>
        <v>2.0499999999999998</v>
      </c>
      <c r="I12" s="31"/>
      <c r="K12" s="21">
        <f t="shared" si="1"/>
        <v>512.5</v>
      </c>
      <c r="L12" s="21">
        <f t="shared" si="2"/>
        <v>5044.2913385826778</v>
      </c>
      <c r="M12" s="20">
        <f t="shared" si="3"/>
        <v>4500.4160579762483</v>
      </c>
      <c r="N12" s="19">
        <f t="shared" si="4"/>
        <v>1778.5682669219564</v>
      </c>
      <c r="O12" s="19">
        <f t="shared" si="4"/>
        <v>1586.8031109621772</v>
      </c>
      <c r="P12" s="18">
        <f t="shared" si="5"/>
        <v>3.305839814504536</v>
      </c>
    </row>
    <row r="13" spans="1:18" ht="13.5" thickBot="1" x14ac:dyDescent="0.25">
      <c r="C13" s="30">
        <v>7</v>
      </c>
      <c r="D13" s="30">
        <v>4</v>
      </c>
      <c r="E13" s="28">
        <v>1.46</v>
      </c>
      <c r="F13" s="28">
        <v>0.64</v>
      </c>
      <c r="G13" s="23"/>
      <c r="H13" s="23">
        <f t="shared" si="0"/>
        <v>2.1</v>
      </c>
      <c r="I13" s="31"/>
      <c r="K13" s="21">
        <f t="shared" si="1"/>
        <v>525</v>
      </c>
      <c r="L13" s="21">
        <f t="shared" si="2"/>
        <v>5167.322834645669</v>
      </c>
      <c r="M13" s="20">
        <f t="shared" si="3"/>
        <v>4610.1823032927414</v>
      </c>
      <c r="N13" s="19">
        <f t="shared" si="4"/>
        <v>1821.9479807493208</v>
      </c>
      <c r="O13" s="19">
        <f t="shared" si="4"/>
        <v>1625.5056258636935</v>
      </c>
      <c r="P13" s="18">
        <f t="shared" si="5"/>
        <v>3.3864700538826948</v>
      </c>
    </row>
    <row r="14" spans="1:18" ht="13.5" thickBot="1" x14ac:dyDescent="0.25">
      <c r="C14" s="30">
        <v>8</v>
      </c>
      <c r="D14" s="30">
        <v>4</v>
      </c>
      <c r="E14" s="28">
        <v>1.4</v>
      </c>
      <c r="F14" s="28"/>
      <c r="G14" s="23"/>
      <c r="H14" s="23">
        <f t="shared" si="0"/>
        <v>1.4</v>
      </c>
      <c r="I14" s="31"/>
      <c r="K14" s="21">
        <f t="shared" si="1"/>
        <v>350</v>
      </c>
      <c r="L14" s="21">
        <f t="shared" si="2"/>
        <v>3444.8818897637793</v>
      </c>
      <c r="M14" s="20">
        <f t="shared" si="3"/>
        <v>3073.4548688618279</v>
      </c>
      <c r="N14" s="19">
        <f t="shared" si="4"/>
        <v>1214.6319871662138</v>
      </c>
      <c r="O14" s="19">
        <f t="shared" si="4"/>
        <v>1083.6704172424625</v>
      </c>
      <c r="P14" s="18">
        <f t="shared" si="5"/>
        <v>2.2576467025884637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11.16</v>
      </c>
      <c r="I18" s="13"/>
      <c r="J18" s="12"/>
      <c r="K18" s="15">
        <f t="shared" ref="K18:P18" si="6">AVERAGE(K9:K14)+K16/6</f>
        <v>465</v>
      </c>
      <c r="L18" s="15">
        <f t="shared" si="6"/>
        <v>4576.7716535433074</v>
      </c>
      <c r="M18" s="17">
        <f t="shared" si="6"/>
        <v>4083.3043257735717</v>
      </c>
      <c r="N18" s="16">
        <f t="shared" si="6"/>
        <v>1613.72535437797</v>
      </c>
      <c r="O18" s="16">
        <f t="shared" si="6"/>
        <v>1439.7335543364143</v>
      </c>
      <c r="P18" s="15">
        <f t="shared" si="6"/>
        <v>2.9994449048675302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0.12847827313077759</v>
      </c>
      <c r="I19" s="13"/>
      <c r="J19" s="12"/>
      <c r="K19" s="10">
        <f t="shared" ref="K19:P19" si="7">STDEV(K9:K14)/SQRT(COUNT(K9:K14))</f>
        <v>32.119568282694381</v>
      </c>
      <c r="L19" s="10">
        <f t="shared" si="7"/>
        <v>316.13748309738634</v>
      </c>
      <c r="M19" s="11">
        <f t="shared" si="7"/>
        <v>282.05155292624676</v>
      </c>
      <c r="N19" s="10">
        <f t="shared" si="7"/>
        <v>111.46701442894231</v>
      </c>
      <c r="O19" s="10">
        <f t="shared" si="7"/>
        <v>99.448645607300548</v>
      </c>
      <c r="P19" s="9">
        <f t="shared" si="7"/>
        <v>0.20718467834854234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E49E-7C7A-4556-835D-A781DC847767}">
  <sheetPr codeName="Sheet34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45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2485.8000000000002</v>
      </c>
      <c r="N3" s="42" t="s">
        <v>116</v>
      </c>
      <c r="O3" s="41">
        <f>(L3-(L4+L5))/L3</f>
        <v>5.0164936841258452E-2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886.9</v>
      </c>
      <c r="N4" s="42" t="s">
        <v>111</v>
      </c>
      <c r="O4" s="41">
        <f>L4/L3</f>
        <v>0.35678654759031292</v>
      </c>
    </row>
    <row r="5" spans="1:18" ht="17.25" thickTop="1" thickBot="1" x14ac:dyDescent="0.25">
      <c r="B5" s="45" t="s">
        <v>110</v>
      </c>
      <c r="C5" s="44">
        <v>0.5</v>
      </c>
      <c r="F5" s="40"/>
      <c r="G5" s="40"/>
      <c r="K5" s="42" t="s">
        <v>109</v>
      </c>
      <c r="L5" s="43">
        <v>1474.2</v>
      </c>
      <c r="N5" s="42" t="s">
        <v>108</v>
      </c>
      <c r="O5" s="41">
        <f>L5/L3</f>
        <v>0.59304851556842864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0.7</v>
      </c>
      <c r="F9" s="28">
        <v>0.91</v>
      </c>
      <c r="G9" s="23"/>
      <c r="H9" s="23">
        <f t="shared" ref="H9:H14" si="0">SUM(E9:G9)</f>
        <v>1.6099999999999999</v>
      </c>
      <c r="I9" s="31"/>
      <c r="K9" s="21">
        <f t="shared" ref="K9:K14" si="1">H9/D9*1000</f>
        <v>402.49999999999994</v>
      </c>
      <c r="L9" s="21">
        <f t="shared" ref="L9:L14" si="2">K9/1.016*10</f>
        <v>3961.6141732283459</v>
      </c>
      <c r="M9" s="20">
        <f t="shared" ref="M9:M14" si="3">L9/1.12085</f>
        <v>3534.4730991911015</v>
      </c>
      <c r="N9" s="19">
        <f t="shared" ref="N9:O14" si="4">L9*$O$4</f>
        <v>1413.4506437509933</v>
      </c>
      <c r="O9" s="19">
        <f t="shared" si="4"/>
        <v>1261.0524546112267</v>
      </c>
      <c r="P9" s="18">
        <f t="shared" ref="P9:P14" si="5">O9/480</f>
        <v>2.627192613773389</v>
      </c>
    </row>
    <row r="10" spans="1:18" ht="13.5" thickBot="1" x14ac:dyDescent="0.25">
      <c r="C10" s="30">
        <v>4</v>
      </c>
      <c r="D10" s="30">
        <v>4</v>
      </c>
      <c r="E10" s="28">
        <v>1.41</v>
      </c>
      <c r="F10" s="28">
        <v>0.47</v>
      </c>
      <c r="G10" s="23"/>
      <c r="H10" s="23">
        <f t="shared" si="0"/>
        <v>1.88</v>
      </c>
      <c r="I10" s="31"/>
      <c r="K10" s="21">
        <f t="shared" si="1"/>
        <v>470</v>
      </c>
      <c r="L10" s="21">
        <f t="shared" si="2"/>
        <v>4625.9842519685035</v>
      </c>
      <c r="M10" s="20">
        <f t="shared" si="3"/>
        <v>4127.2108239001682</v>
      </c>
      <c r="N10" s="19">
        <f t="shared" si="4"/>
        <v>1650.4889504669986</v>
      </c>
      <c r="O10" s="19">
        <f t="shared" si="4"/>
        <v>1472.5333010367119</v>
      </c>
      <c r="P10" s="18">
        <f t="shared" si="5"/>
        <v>3.0677777104931496</v>
      </c>
    </row>
    <row r="11" spans="1:18" ht="13.5" thickBot="1" x14ac:dyDescent="0.25">
      <c r="C11" s="30">
        <v>5</v>
      </c>
      <c r="D11" s="30">
        <v>4</v>
      </c>
      <c r="E11" s="28">
        <v>1.06</v>
      </c>
      <c r="F11" s="28">
        <v>0.86</v>
      </c>
      <c r="G11" s="23">
        <v>0.28999999999999998</v>
      </c>
      <c r="H11" s="23">
        <f t="shared" si="0"/>
        <v>2.21</v>
      </c>
      <c r="I11" s="31"/>
      <c r="K11" s="21">
        <f t="shared" si="1"/>
        <v>552.5</v>
      </c>
      <c r="L11" s="21">
        <f t="shared" si="2"/>
        <v>5437.9921259842522</v>
      </c>
      <c r="M11" s="20">
        <f t="shared" si="3"/>
        <v>4851.6680429890284</v>
      </c>
      <c r="N11" s="19">
        <f t="shared" si="4"/>
        <v>1940.2024364532274</v>
      </c>
      <c r="O11" s="19">
        <f t="shared" si="4"/>
        <v>1731.0098911123052</v>
      </c>
      <c r="P11" s="18">
        <f t="shared" si="5"/>
        <v>3.6062706064839691</v>
      </c>
    </row>
    <row r="12" spans="1:18" ht="13.5" thickBot="1" x14ac:dyDescent="0.25">
      <c r="C12" s="30">
        <v>6</v>
      </c>
      <c r="D12" s="30">
        <v>4</v>
      </c>
      <c r="E12" s="28">
        <v>0.77</v>
      </c>
      <c r="F12" s="28">
        <v>0.97</v>
      </c>
      <c r="G12" s="23"/>
      <c r="H12" s="23">
        <f t="shared" si="0"/>
        <v>1.74</v>
      </c>
      <c r="I12" s="31"/>
      <c r="K12" s="21">
        <f t="shared" si="1"/>
        <v>435</v>
      </c>
      <c r="L12" s="21">
        <f t="shared" si="2"/>
        <v>4281.4960629921261</v>
      </c>
      <c r="M12" s="20">
        <f t="shared" si="3"/>
        <v>3819.8653370139864</v>
      </c>
      <c r="N12" s="19">
        <f t="shared" si="4"/>
        <v>1527.5801988364776</v>
      </c>
      <c r="O12" s="19">
        <f t="shared" si="4"/>
        <v>1362.8765658531274</v>
      </c>
      <c r="P12" s="18">
        <f t="shared" si="5"/>
        <v>2.8393261788606821</v>
      </c>
    </row>
    <row r="13" spans="1:18" ht="13.5" thickBot="1" x14ac:dyDescent="0.25">
      <c r="C13" s="30">
        <v>7</v>
      </c>
      <c r="D13" s="30">
        <v>4</v>
      </c>
      <c r="E13" s="28">
        <v>1.4</v>
      </c>
      <c r="F13" s="28">
        <v>0.72</v>
      </c>
      <c r="G13" s="23"/>
      <c r="H13" s="23">
        <f t="shared" si="0"/>
        <v>2.12</v>
      </c>
      <c r="I13" s="31"/>
      <c r="K13" s="21">
        <f t="shared" si="1"/>
        <v>530</v>
      </c>
      <c r="L13" s="21">
        <f t="shared" si="2"/>
        <v>5216.535433070866</v>
      </c>
      <c r="M13" s="20">
        <f t="shared" si="3"/>
        <v>4654.0888014193397</v>
      </c>
      <c r="N13" s="19">
        <f t="shared" si="4"/>
        <v>1861.1896675478922</v>
      </c>
      <c r="O13" s="19">
        <f t="shared" si="4"/>
        <v>1660.5162756371437</v>
      </c>
      <c r="P13" s="18">
        <f t="shared" si="5"/>
        <v>3.4594089075773828</v>
      </c>
    </row>
    <row r="14" spans="1:18" ht="13.5" thickBot="1" x14ac:dyDescent="0.25">
      <c r="C14" s="30">
        <v>8</v>
      </c>
      <c r="D14" s="30">
        <v>4</v>
      </c>
      <c r="E14" s="28">
        <v>1.0900000000000001</v>
      </c>
      <c r="F14" s="28">
        <v>0.49</v>
      </c>
      <c r="G14" s="23"/>
      <c r="H14" s="23">
        <f t="shared" si="0"/>
        <v>1.58</v>
      </c>
      <c r="I14" s="31"/>
      <c r="K14" s="21">
        <f t="shared" si="1"/>
        <v>395</v>
      </c>
      <c r="L14" s="21">
        <f t="shared" si="2"/>
        <v>3887.7952755905512</v>
      </c>
      <c r="M14" s="20">
        <f t="shared" si="3"/>
        <v>3468.6133520012058</v>
      </c>
      <c r="N14" s="19">
        <f t="shared" si="4"/>
        <v>1387.1130541158818</v>
      </c>
      <c r="O14" s="19">
        <f t="shared" si="4"/>
        <v>1237.5545827861731</v>
      </c>
      <c r="P14" s="18">
        <f t="shared" si="5"/>
        <v>2.5782387141378607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11.139999999999999</v>
      </c>
      <c r="I18" s="13"/>
      <c r="J18" s="12"/>
      <c r="K18" s="15">
        <f t="shared" ref="K18:P18" si="6">AVERAGE(K9:K14)+K16/6</f>
        <v>464.16666666666669</v>
      </c>
      <c r="L18" s="15">
        <f t="shared" si="6"/>
        <v>4568.5695538057735</v>
      </c>
      <c r="M18" s="17">
        <f t="shared" si="6"/>
        <v>4075.9865760858052</v>
      </c>
      <c r="N18" s="16">
        <f t="shared" si="6"/>
        <v>1630.0041585285783</v>
      </c>
      <c r="O18" s="16">
        <f t="shared" si="6"/>
        <v>1454.2571785061145</v>
      </c>
      <c r="P18" s="15">
        <f t="shared" si="6"/>
        <v>3.0297024552210723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0.10735196525655571</v>
      </c>
      <c r="I19" s="13"/>
      <c r="J19" s="12"/>
      <c r="K19" s="10">
        <f t="shared" ref="K19:P19" si="7">STDEV(K9:K14)/SQRT(COUNT(K9:K14))</f>
        <v>26.837991314138531</v>
      </c>
      <c r="L19" s="10">
        <f t="shared" si="7"/>
        <v>264.15345781632624</v>
      </c>
      <c r="M19" s="11">
        <f t="shared" si="7"/>
        <v>235.67244307117215</v>
      </c>
      <c r="N19" s="10">
        <f t="shared" si="7"/>
        <v>94.246400248330588</v>
      </c>
      <c r="O19" s="10">
        <f t="shared" si="7"/>
        <v>84.084757325539243</v>
      </c>
      <c r="P19" s="9">
        <f t="shared" si="7"/>
        <v>0.17517657776153861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9A15-E4C9-4624-9D69-C761AF63A26C}">
  <sheetPr codeName="Sheet35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46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2902.1</v>
      </c>
      <c r="N3" s="42" t="s">
        <v>116</v>
      </c>
      <c r="O3" s="41">
        <f>(L3-(L4+L5))/L3</f>
        <v>3.8971779056545232E-2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1033.4000000000001</v>
      </c>
      <c r="N4" s="42" t="s">
        <v>111</v>
      </c>
      <c r="O4" s="41">
        <f>L4/L3</f>
        <v>0.35608697150339413</v>
      </c>
    </row>
    <row r="5" spans="1:18" ht="17.25" thickTop="1" thickBot="1" x14ac:dyDescent="0.25">
      <c r="B5" s="45" t="s">
        <v>110</v>
      </c>
      <c r="C5" s="44">
        <v>0.56041666666666667</v>
      </c>
      <c r="F5" s="40"/>
      <c r="G5" s="40"/>
      <c r="K5" s="42" t="s">
        <v>109</v>
      </c>
      <c r="L5" s="43">
        <v>1755.6</v>
      </c>
      <c r="N5" s="42" t="s">
        <v>108</v>
      </c>
      <c r="O5" s="41">
        <f>L5/L3</f>
        <v>0.60494124944006067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1.1599999999999999</v>
      </c>
      <c r="F9" s="28">
        <v>0.92</v>
      </c>
      <c r="G9" s="23"/>
      <c r="H9" s="23">
        <f t="shared" ref="H9:H14" si="0">SUM(E9:G9)</f>
        <v>2.08</v>
      </c>
      <c r="I9" s="31"/>
      <c r="K9" s="21">
        <f t="shared" ref="K9:K14" si="1">H9/D9*1000</f>
        <v>520</v>
      </c>
      <c r="L9" s="21">
        <f t="shared" ref="L9:L14" si="2">K9/1.016*10</f>
        <v>5118.110236220472</v>
      </c>
      <c r="M9" s="20">
        <f t="shared" ref="M9:M14" si="3">L9/1.12085</f>
        <v>4566.275805166144</v>
      </c>
      <c r="N9" s="19">
        <f t="shared" ref="N9:O14" si="4">L9*$O$4</f>
        <v>1822.4923738362691</v>
      </c>
      <c r="O9" s="19">
        <f t="shared" si="4"/>
        <v>1625.9913225108348</v>
      </c>
      <c r="P9" s="18">
        <f t="shared" ref="P9:P14" si="5">O9/480</f>
        <v>3.3874819218975727</v>
      </c>
    </row>
    <row r="10" spans="1:18" ht="13.5" thickBot="1" x14ac:dyDescent="0.25">
      <c r="C10" s="30">
        <v>4</v>
      </c>
      <c r="D10" s="30">
        <v>4</v>
      </c>
      <c r="E10" s="28">
        <v>0.76</v>
      </c>
      <c r="F10" s="28">
        <v>0.96</v>
      </c>
      <c r="G10" s="23"/>
      <c r="H10" s="23">
        <f t="shared" si="0"/>
        <v>1.72</v>
      </c>
      <c r="I10" s="31"/>
      <c r="K10" s="21">
        <f t="shared" si="1"/>
        <v>430</v>
      </c>
      <c r="L10" s="21">
        <f t="shared" si="2"/>
        <v>4232.2834645669291</v>
      </c>
      <c r="M10" s="20">
        <f t="shared" si="3"/>
        <v>3775.9588388873885</v>
      </c>
      <c r="N10" s="19">
        <f t="shared" si="4"/>
        <v>1507.0610014415304</v>
      </c>
      <c r="O10" s="19">
        <f t="shared" si="4"/>
        <v>1344.5697474608828</v>
      </c>
      <c r="P10" s="18">
        <f t="shared" si="5"/>
        <v>2.8011869738768391</v>
      </c>
    </row>
    <row r="11" spans="1:18" ht="13.5" thickBot="1" x14ac:dyDescent="0.25">
      <c r="C11" s="30">
        <v>5</v>
      </c>
      <c r="D11" s="30">
        <v>4</v>
      </c>
      <c r="E11" s="28">
        <v>0.8</v>
      </c>
      <c r="F11" s="28">
        <v>0.71</v>
      </c>
      <c r="G11" s="23">
        <v>0.7</v>
      </c>
      <c r="H11" s="23">
        <f t="shared" si="0"/>
        <v>2.21</v>
      </c>
      <c r="I11" s="31"/>
      <c r="K11" s="21">
        <f t="shared" si="1"/>
        <v>552.5</v>
      </c>
      <c r="L11" s="21">
        <f t="shared" si="2"/>
        <v>5437.9921259842522</v>
      </c>
      <c r="M11" s="20">
        <f t="shared" si="3"/>
        <v>4851.6680429890284</v>
      </c>
      <c r="N11" s="19">
        <f t="shared" si="4"/>
        <v>1936.3981472010362</v>
      </c>
      <c r="O11" s="19">
        <f t="shared" si="4"/>
        <v>1727.6157801677621</v>
      </c>
      <c r="P11" s="18">
        <f t="shared" si="5"/>
        <v>3.5991995420161711</v>
      </c>
    </row>
    <row r="12" spans="1:18" ht="13.5" thickBot="1" x14ac:dyDescent="0.25">
      <c r="C12" s="30">
        <v>6</v>
      </c>
      <c r="D12" s="30">
        <v>4</v>
      </c>
      <c r="E12" s="28">
        <v>1.48</v>
      </c>
      <c r="F12" s="28">
        <v>0.83</v>
      </c>
      <c r="G12" s="23"/>
      <c r="H12" s="23">
        <f t="shared" si="0"/>
        <v>2.31</v>
      </c>
      <c r="I12" s="31"/>
      <c r="K12" s="21">
        <f t="shared" si="1"/>
        <v>577.5</v>
      </c>
      <c r="L12" s="21">
        <f t="shared" si="2"/>
        <v>5684.0551181102364</v>
      </c>
      <c r="M12" s="20">
        <f t="shared" si="3"/>
        <v>5071.2005336220163</v>
      </c>
      <c r="N12" s="19">
        <f t="shared" si="4"/>
        <v>2024.0179728662413</v>
      </c>
      <c r="O12" s="19">
        <f t="shared" si="4"/>
        <v>1805.7884399038601</v>
      </c>
      <c r="P12" s="18">
        <f t="shared" si="5"/>
        <v>3.7620592497997083</v>
      </c>
    </row>
    <row r="13" spans="1:18" ht="13.5" thickBot="1" x14ac:dyDescent="0.25">
      <c r="C13" s="30">
        <v>7</v>
      </c>
      <c r="D13" s="30">
        <v>4</v>
      </c>
      <c r="E13" s="28">
        <v>1.1499999999999999</v>
      </c>
      <c r="F13" s="28">
        <v>1.07</v>
      </c>
      <c r="G13" s="23"/>
      <c r="H13" s="23">
        <f t="shared" si="0"/>
        <v>2.2199999999999998</v>
      </c>
      <c r="I13" s="31"/>
      <c r="K13" s="21">
        <f t="shared" si="1"/>
        <v>554.99999999999989</v>
      </c>
      <c r="L13" s="21">
        <f t="shared" si="2"/>
        <v>5462.5984251968484</v>
      </c>
      <c r="M13" s="20">
        <f t="shared" si="3"/>
        <v>4873.6212920523258</v>
      </c>
      <c r="N13" s="19">
        <f t="shared" si="4"/>
        <v>1945.1601297675559</v>
      </c>
      <c r="O13" s="19">
        <f t="shared" si="4"/>
        <v>1735.4330461413715</v>
      </c>
      <c r="P13" s="18">
        <f t="shared" si="5"/>
        <v>3.6154855127945238</v>
      </c>
    </row>
    <row r="14" spans="1:18" ht="13.5" thickBot="1" x14ac:dyDescent="0.25">
      <c r="C14" s="30">
        <v>8</v>
      </c>
      <c r="D14" s="30">
        <v>4</v>
      </c>
      <c r="E14" s="28">
        <v>1.08</v>
      </c>
      <c r="F14" s="28">
        <v>1.23</v>
      </c>
      <c r="G14" s="23"/>
      <c r="H14" s="23">
        <f t="shared" si="0"/>
        <v>2.31</v>
      </c>
      <c r="I14" s="31"/>
      <c r="K14" s="21">
        <f t="shared" si="1"/>
        <v>577.5</v>
      </c>
      <c r="L14" s="21">
        <f t="shared" si="2"/>
        <v>5684.0551181102364</v>
      </c>
      <c r="M14" s="20">
        <f t="shared" si="3"/>
        <v>5071.2005336220163</v>
      </c>
      <c r="N14" s="19">
        <f t="shared" si="4"/>
        <v>2024.0179728662413</v>
      </c>
      <c r="O14" s="19">
        <f t="shared" si="4"/>
        <v>1805.7884399038601</v>
      </c>
      <c r="P14" s="18">
        <f t="shared" si="5"/>
        <v>3.7620592497997083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12.85</v>
      </c>
      <c r="I18" s="13"/>
      <c r="J18" s="12"/>
      <c r="K18" s="15">
        <f t="shared" ref="K18:P18" si="6">AVERAGE(K9:K14)+K16/6</f>
        <v>535.41666666666663</v>
      </c>
      <c r="L18" s="15">
        <f t="shared" si="6"/>
        <v>5269.8490813648286</v>
      </c>
      <c r="M18" s="17">
        <f t="shared" si="6"/>
        <v>4701.6541743898206</v>
      </c>
      <c r="N18" s="16">
        <f t="shared" si="6"/>
        <v>1876.5245996631456</v>
      </c>
      <c r="O18" s="16">
        <f t="shared" si="6"/>
        <v>1674.1977960147617</v>
      </c>
      <c r="P18" s="15">
        <f t="shared" si="6"/>
        <v>3.4879120750307542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9.1119579552244312E-2</v>
      </c>
      <c r="I19" s="13"/>
      <c r="J19" s="12"/>
      <c r="K19" s="10">
        <f t="shared" ref="K19:P19" si="7">STDEV(K9:K14)/SQRT(COUNT(K9:K14))</f>
        <v>22.779894888061072</v>
      </c>
      <c r="L19" s="10">
        <f t="shared" si="7"/>
        <v>224.21156385886889</v>
      </c>
      <c r="M19" s="11">
        <f t="shared" si="7"/>
        <v>200.03708244534855</v>
      </c>
      <c r="N19" s="10">
        <f t="shared" si="7"/>
        <v>79.838816750544439</v>
      </c>
      <c r="O19" s="10">
        <f t="shared" si="7"/>
        <v>71.230598876338931</v>
      </c>
      <c r="P19" s="9">
        <f t="shared" si="7"/>
        <v>0.14839708099237273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350C-B797-4897-BCD9-28A4A6FDBF12}">
  <sheetPr codeName="Sheet36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47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1920.4</v>
      </c>
      <c r="N3" s="42" t="s">
        <v>116</v>
      </c>
      <c r="O3" s="41">
        <f>(L3-(L4+L5))/L3</f>
        <v>5.4467819204332496E-2</v>
      </c>
    </row>
    <row r="4" spans="1:18" ht="17.25" thickTop="1" thickBot="1" x14ac:dyDescent="0.25">
      <c r="B4" s="45" t="s">
        <v>115</v>
      </c>
      <c r="C4" s="47">
        <v>39388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663.7</v>
      </c>
      <c r="N4" s="42" t="s">
        <v>111</v>
      </c>
      <c r="O4" s="41">
        <f>L4/L3</f>
        <v>0.34560508227452613</v>
      </c>
    </row>
    <row r="5" spans="1:18" ht="17.25" thickTop="1" thickBot="1" x14ac:dyDescent="0.25">
      <c r="B5" s="45" t="s">
        <v>110</v>
      </c>
      <c r="C5" s="44">
        <v>0.51597222222222217</v>
      </c>
      <c r="F5" s="40"/>
      <c r="G5" s="40"/>
      <c r="K5" s="42" t="s">
        <v>109</v>
      </c>
      <c r="L5" s="43">
        <v>1152.0999999999999</v>
      </c>
      <c r="N5" s="42" t="s">
        <v>108</v>
      </c>
      <c r="O5" s="41">
        <f>L5/L3</f>
        <v>0.59992709852114134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0.72</v>
      </c>
      <c r="F9" s="28">
        <v>0.96</v>
      </c>
      <c r="G9" s="23"/>
      <c r="H9" s="23">
        <f t="shared" ref="H9:H14" si="0">SUM(E9:G9)</f>
        <v>1.68</v>
      </c>
      <c r="I9" s="31"/>
      <c r="K9" s="21">
        <f t="shared" ref="K9:K14" si="1">H9/D9*1000</f>
        <v>420</v>
      </c>
      <c r="L9" s="21">
        <f t="shared" ref="L9:L14" si="2">K9/1.016*10</f>
        <v>4133.858267716535</v>
      </c>
      <c r="M9" s="20">
        <f t="shared" ref="M9:M14" si="3">L9/1.12085</f>
        <v>3688.1458426341933</v>
      </c>
      <c r="N9" s="19">
        <f t="shared" ref="N9:O14" si="4">L9*$O$4</f>
        <v>1428.682426725403</v>
      </c>
      <c r="O9" s="19">
        <f t="shared" si="4"/>
        <v>1274.6419473840419</v>
      </c>
      <c r="P9" s="18">
        <f t="shared" ref="P9:P14" si="5">O9/480</f>
        <v>2.6555040570500874</v>
      </c>
    </row>
    <row r="10" spans="1:18" ht="13.5" thickBot="1" x14ac:dyDescent="0.25">
      <c r="C10" s="30">
        <v>4</v>
      </c>
      <c r="D10" s="30">
        <v>4</v>
      </c>
      <c r="E10" s="28">
        <v>1.41</v>
      </c>
      <c r="F10" s="28"/>
      <c r="G10" s="23"/>
      <c r="H10" s="23">
        <f t="shared" si="0"/>
        <v>1.41</v>
      </c>
      <c r="I10" s="31"/>
      <c r="K10" s="21">
        <f t="shared" si="1"/>
        <v>352.5</v>
      </c>
      <c r="L10" s="21">
        <f t="shared" si="2"/>
        <v>3469.4881889763783</v>
      </c>
      <c r="M10" s="20">
        <f t="shared" si="3"/>
        <v>3095.408117925127</v>
      </c>
      <c r="N10" s="19">
        <f t="shared" si="4"/>
        <v>1199.0727510016779</v>
      </c>
      <c r="O10" s="19">
        <f t="shared" si="4"/>
        <v>1069.7887772687495</v>
      </c>
      <c r="P10" s="18">
        <f t="shared" si="5"/>
        <v>2.2287266193098949</v>
      </c>
    </row>
    <row r="11" spans="1:18" ht="13.5" thickBot="1" x14ac:dyDescent="0.25">
      <c r="C11" s="30">
        <v>5</v>
      </c>
      <c r="D11" s="30">
        <v>4</v>
      </c>
      <c r="E11" s="28">
        <v>1.06</v>
      </c>
      <c r="F11" s="28">
        <v>0.61</v>
      </c>
      <c r="G11" s="23"/>
      <c r="H11" s="23">
        <f t="shared" si="0"/>
        <v>1.67</v>
      </c>
      <c r="I11" s="31"/>
      <c r="K11" s="21">
        <f t="shared" si="1"/>
        <v>417.5</v>
      </c>
      <c r="L11" s="21">
        <f t="shared" si="2"/>
        <v>4109.251968503937</v>
      </c>
      <c r="M11" s="20">
        <f t="shared" si="3"/>
        <v>3666.1925935708946</v>
      </c>
      <c r="N11" s="19">
        <f t="shared" si="4"/>
        <v>1420.1783646615615</v>
      </c>
      <c r="O11" s="19">
        <f t="shared" si="4"/>
        <v>1267.0547929353274</v>
      </c>
      <c r="P11" s="18">
        <f t="shared" si="5"/>
        <v>2.6396974852819324</v>
      </c>
    </row>
    <row r="12" spans="1:18" ht="13.5" thickBot="1" x14ac:dyDescent="0.25">
      <c r="C12" s="30">
        <v>6</v>
      </c>
      <c r="D12" s="30">
        <v>4</v>
      </c>
      <c r="E12" s="28">
        <v>0.73</v>
      </c>
      <c r="F12" s="28">
        <v>0.63</v>
      </c>
      <c r="G12" s="23"/>
      <c r="H12" s="23">
        <f t="shared" si="0"/>
        <v>1.3599999999999999</v>
      </c>
      <c r="I12" s="31"/>
      <c r="K12" s="21">
        <f t="shared" si="1"/>
        <v>339.99999999999994</v>
      </c>
      <c r="L12" s="21">
        <f t="shared" si="2"/>
        <v>3346.4566929133853</v>
      </c>
      <c r="M12" s="20">
        <f t="shared" si="3"/>
        <v>2985.6418726086322</v>
      </c>
      <c r="N12" s="19">
        <f t="shared" si="4"/>
        <v>1156.5524406824691</v>
      </c>
      <c r="O12" s="19">
        <f t="shared" si="4"/>
        <v>1031.8530050251766</v>
      </c>
      <c r="P12" s="18">
        <f t="shared" si="5"/>
        <v>2.149693760469118</v>
      </c>
    </row>
    <row r="13" spans="1:18" ht="13.5" thickBot="1" x14ac:dyDescent="0.25">
      <c r="C13" s="30">
        <v>7</v>
      </c>
      <c r="D13" s="30">
        <v>4</v>
      </c>
      <c r="E13" s="28">
        <v>0.82</v>
      </c>
      <c r="F13" s="28"/>
      <c r="G13" s="23"/>
      <c r="H13" s="23">
        <f t="shared" si="0"/>
        <v>0.82</v>
      </c>
      <c r="I13" s="31"/>
      <c r="K13" s="21">
        <f t="shared" si="1"/>
        <v>205</v>
      </c>
      <c r="L13" s="21">
        <f t="shared" si="2"/>
        <v>2017.7165354330709</v>
      </c>
      <c r="M13" s="20">
        <f t="shared" si="3"/>
        <v>1800.1664231904992</v>
      </c>
      <c r="N13" s="19">
        <f t="shared" si="4"/>
        <v>697.33308923501829</v>
      </c>
      <c r="O13" s="19">
        <f t="shared" si="4"/>
        <v>622.14666479459197</v>
      </c>
      <c r="P13" s="18">
        <f t="shared" si="5"/>
        <v>1.2961388849887332</v>
      </c>
    </row>
    <row r="14" spans="1:18" ht="13.5" thickBot="1" x14ac:dyDescent="0.25">
      <c r="C14" s="30">
        <v>8</v>
      </c>
      <c r="D14" s="30">
        <v>4</v>
      </c>
      <c r="E14" s="28">
        <v>0.67</v>
      </c>
      <c r="F14" s="28">
        <v>0.83</v>
      </c>
      <c r="G14" s="23"/>
      <c r="H14" s="23">
        <f t="shared" si="0"/>
        <v>1.5</v>
      </c>
      <c r="I14" s="31"/>
      <c r="K14" s="21">
        <f t="shared" si="1"/>
        <v>375</v>
      </c>
      <c r="L14" s="21">
        <f t="shared" si="2"/>
        <v>3690.9448818897636</v>
      </c>
      <c r="M14" s="20">
        <f t="shared" si="3"/>
        <v>3292.9873594948153</v>
      </c>
      <c r="N14" s="19">
        <f t="shared" si="4"/>
        <v>1275.6093095762528</v>
      </c>
      <c r="O14" s="19">
        <f t="shared" si="4"/>
        <v>1138.0731673071803</v>
      </c>
      <c r="P14" s="18">
        <f t="shared" si="5"/>
        <v>2.3709857652232924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8.44</v>
      </c>
      <c r="I18" s="13"/>
      <c r="J18" s="12"/>
      <c r="K18" s="15">
        <f t="shared" ref="K18:P18" si="6">AVERAGE(K9:K14)+K16/6</f>
        <v>351.66666666666669</v>
      </c>
      <c r="L18" s="15">
        <f t="shared" si="6"/>
        <v>3461.2860892388453</v>
      </c>
      <c r="M18" s="17">
        <f t="shared" si="6"/>
        <v>3088.0903682373605</v>
      </c>
      <c r="N18" s="16">
        <f t="shared" si="6"/>
        <v>1196.2380636470637</v>
      </c>
      <c r="O18" s="16">
        <f t="shared" si="6"/>
        <v>1067.2597257858447</v>
      </c>
      <c r="P18" s="15">
        <f t="shared" si="6"/>
        <v>2.2234577620538429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0.1289875101619444</v>
      </c>
      <c r="I19" s="13"/>
      <c r="J19" s="12"/>
      <c r="K19" s="10">
        <f t="shared" ref="K19:P19" si="7">STDEV(K9:K14)/SQRT(COUNT(K9:K14))</f>
        <v>32.246877540486189</v>
      </c>
      <c r="L19" s="10">
        <f t="shared" si="7"/>
        <v>317.39052697328799</v>
      </c>
      <c r="M19" s="11">
        <f t="shared" si="7"/>
        <v>283.16949366399422</v>
      </c>
      <c r="N19" s="10">
        <f t="shared" si="7"/>
        <v>109.6917791877588</v>
      </c>
      <c r="O19" s="10">
        <f t="shared" si="7"/>
        <v>97.864816155380879</v>
      </c>
      <c r="P19" s="9">
        <f t="shared" si="7"/>
        <v>0.20388503365704391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858A-B02A-4182-AC66-B663D97A48D0}">
  <sheetPr codeName="Sheet37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1">
        <v>48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39379</v>
      </c>
      <c r="I3" s="48"/>
      <c r="K3" s="42" t="s">
        <v>117</v>
      </c>
      <c r="L3" s="43">
        <v>2862.3</v>
      </c>
      <c r="N3" s="42" t="s">
        <v>116</v>
      </c>
      <c r="O3" s="41">
        <f>(L3-(L4+L5))/L3</f>
        <v>4.339167802117172E-2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1028.7</v>
      </c>
      <c r="N4" s="42" t="s">
        <v>111</v>
      </c>
      <c r="O4" s="41">
        <f>L4/L3</f>
        <v>0.35939628969709675</v>
      </c>
    </row>
    <row r="5" spans="1:18" ht="17.25" thickTop="1" thickBot="1" x14ac:dyDescent="0.25">
      <c r="B5" s="45" t="s">
        <v>110</v>
      </c>
      <c r="C5" s="44">
        <v>0.38750000000000001</v>
      </c>
      <c r="F5" s="40"/>
      <c r="G5" s="40"/>
      <c r="K5" s="42" t="s">
        <v>109</v>
      </c>
      <c r="L5" s="43">
        <v>1709.4</v>
      </c>
      <c r="N5" s="42" t="s">
        <v>108</v>
      </c>
      <c r="O5" s="41">
        <f>L5/L3</f>
        <v>0.59721203228173148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0.88</v>
      </c>
      <c r="F9" s="28">
        <v>1.47</v>
      </c>
      <c r="G9" s="23"/>
      <c r="H9" s="23">
        <f t="shared" ref="H9:H14" si="0">SUM(E9:G9)</f>
        <v>2.35</v>
      </c>
      <c r="I9" s="31"/>
      <c r="K9" s="21">
        <f t="shared" ref="K9:K14" si="1">H9/D9*1000</f>
        <v>587.5</v>
      </c>
      <c r="L9" s="21">
        <f t="shared" ref="L9:L14" si="2">K9/1.016*10</f>
        <v>5782.4803149606296</v>
      </c>
      <c r="M9" s="20">
        <f t="shared" ref="M9:M14" si="3">L9/1.12085</f>
        <v>5159.0135298752111</v>
      </c>
      <c r="N9" s="19">
        <f t="shared" ref="N9:O14" si="4">L9*$O$4</f>
        <v>2078.2019704433496</v>
      </c>
      <c r="O9" s="19">
        <f t="shared" si="4"/>
        <v>1854.1303211342731</v>
      </c>
      <c r="P9" s="18">
        <f t="shared" ref="P9:P14" si="5">O9/480</f>
        <v>3.8627715023630689</v>
      </c>
    </row>
    <row r="10" spans="1:18" ht="13.5" thickBot="1" x14ac:dyDescent="0.25">
      <c r="C10" s="30">
        <v>4</v>
      </c>
      <c r="D10" s="30">
        <v>4</v>
      </c>
      <c r="E10" s="28">
        <v>0.8</v>
      </c>
      <c r="F10" s="28">
        <v>0.67</v>
      </c>
      <c r="G10" s="23"/>
      <c r="H10" s="23">
        <f t="shared" si="0"/>
        <v>1.4700000000000002</v>
      </c>
      <c r="I10" s="31"/>
      <c r="K10" s="21">
        <f t="shared" si="1"/>
        <v>367.50000000000006</v>
      </c>
      <c r="L10" s="21">
        <f t="shared" si="2"/>
        <v>3617.1259842519694</v>
      </c>
      <c r="M10" s="20">
        <f t="shared" si="3"/>
        <v>3227.1276123049201</v>
      </c>
      <c r="N10" s="19">
        <f t="shared" si="4"/>
        <v>1299.981658107117</v>
      </c>
      <c r="O10" s="19">
        <f t="shared" si="4"/>
        <v>1159.8176902414391</v>
      </c>
      <c r="P10" s="18">
        <f t="shared" si="5"/>
        <v>2.4162868546696648</v>
      </c>
    </row>
    <row r="11" spans="1:18" ht="13.5" thickBot="1" x14ac:dyDescent="0.25">
      <c r="C11" s="30">
        <v>5</v>
      </c>
      <c r="D11" s="30">
        <v>4</v>
      </c>
      <c r="E11" s="28">
        <v>0.67</v>
      </c>
      <c r="F11" s="28">
        <v>0.78</v>
      </c>
      <c r="G11" s="23"/>
      <c r="H11" s="23">
        <f t="shared" si="0"/>
        <v>1.4500000000000002</v>
      </c>
      <c r="I11" s="31"/>
      <c r="K11" s="21">
        <f t="shared" si="1"/>
        <v>362.50000000000006</v>
      </c>
      <c r="L11" s="21">
        <f t="shared" si="2"/>
        <v>3567.9133858267724</v>
      </c>
      <c r="M11" s="20">
        <f t="shared" si="3"/>
        <v>3183.2211141783223</v>
      </c>
      <c r="N11" s="19">
        <f t="shared" si="4"/>
        <v>1282.294832826748</v>
      </c>
      <c r="O11" s="19">
        <f t="shared" si="4"/>
        <v>1144.0378577211475</v>
      </c>
      <c r="P11" s="18">
        <f t="shared" si="5"/>
        <v>2.3834122035857237</v>
      </c>
    </row>
    <row r="12" spans="1:18" ht="13.5" thickBot="1" x14ac:dyDescent="0.25">
      <c r="C12" s="30">
        <v>6</v>
      </c>
      <c r="D12" s="30">
        <v>4</v>
      </c>
      <c r="E12" s="28">
        <v>1.0900000000000001</v>
      </c>
      <c r="F12" s="28">
        <v>0.9</v>
      </c>
      <c r="G12" s="23"/>
      <c r="H12" s="23">
        <f t="shared" si="0"/>
        <v>1.9900000000000002</v>
      </c>
      <c r="I12" s="31"/>
      <c r="K12" s="21">
        <f t="shared" si="1"/>
        <v>497.50000000000006</v>
      </c>
      <c r="L12" s="21">
        <f t="shared" si="2"/>
        <v>4896.6535433070876</v>
      </c>
      <c r="M12" s="20">
        <f t="shared" si="3"/>
        <v>4368.6965635964561</v>
      </c>
      <c r="N12" s="19">
        <f t="shared" si="4"/>
        <v>1759.8391153967093</v>
      </c>
      <c r="O12" s="19">
        <f t="shared" si="4"/>
        <v>1570.093335769023</v>
      </c>
      <c r="P12" s="18">
        <f t="shared" si="5"/>
        <v>3.2710277828521312</v>
      </c>
    </row>
    <row r="13" spans="1:18" ht="13.5" thickBot="1" x14ac:dyDescent="0.25">
      <c r="C13" s="30">
        <v>7</v>
      </c>
      <c r="D13" s="30">
        <v>4</v>
      </c>
      <c r="E13" s="28">
        <v>0.67</v>
      </c>
      <c r="F13" s="28">
        <v>0.56000000000000005</v>
      </c>
      <c r="G13" s="23">
        <v>0.99</v>
      </c>
      <c r="H13" s="23">
        <f t="shared" si="0"/>
        <v>2.2199999999999998</v>
      </c>
      <c r="I13" s="31"/>
      <c r="K13" s="21">
        <f t="shared" si="1"/>
        <v>554.99999999999989</v>
      </c>
      <c r="L13" s="21">
        <f t="shared" si="2"/>
        <v>5462.5984251968484</v>
      </c>
      <c r="M13" s="20">
        <f t="shared" si="3"/>
        <v>4873.6212920523258</v>
      </c>
      <c r="N13" s="19">
        <f t="shared" si="4"/>
        <v>1963.2376061209511</v>
      </c>
      <c r="O13" s="19">
        <f t="shared" si="4"/>
        <v>1751.5614097523767</v>
      </c>
      <c r="P13" s="18">
        <f t="shared" si="5"/>
        <v>3.6490862703174516</v>
      </c>
    </row>
    <row r="14" spans="1:18" ht="13.5" thickBot="1" x14ac:dyDescent="0.25">
      <c r="C14" s="30">
        <v>8</v>
      </c>
      <c r="D14" s="30">
        <v>4</v>
      </c>
      <c r="E14" s="28">
        <v>0.76</v>
      </c>
      <c r="F14" s="28">
        <v>1.29</v>
      </c>
      <c r="G14" s="23"/>
      <c r="H14" s="23">
        <f t="shared" si="0"/>
        <v>2.0499999999999998</v>
      </c>
      <c r="I14" s="31"/>
      <c r="K14" s="21">
        <f t="shared" si="1"/>
        <v>512.5</v>
      </c>
      <c r="L14" s="21">
        <f t="shared" si="2"/>
        <v>5044.2913385826778</v>
      </c>
      <c r="M14" s="20">
        <f t="shared" si="3"/>
        <v>4500.4160579762483</v>
      </c>
      <c r="N14" s="19">
        <f t="shared" si="4"/>
        <v>1812.8995912378159</v>
      </c>
      <c r="O14" s="19">
        <f t="shared" si="4"/>
        <v>1617.4328333298979</v>
      </c>
      <c r="P14" s="18">
        <f t="shared" si="5"/>
        <v>3.369651736103954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11.530000000000001</v>
      </c>
      <c r="I18" s="13"/>
      <c r="J18" s="12"/>
      <c r="K18" s="15">
        <f t="shared" ref="K18:P18" si="6">AVERAGE(K9:K14)+K16/6</f>
        <v>480.41666666666669</v>
      </c>
      <c r="L18" s="15">
        <f t="shared" si="6"/>
        <v>4728.510498687664</v>
      </c>
      <c r="M18" s="17">
        <f t="shared" si="6"/>
        <v>4218.6826949972465</v>
      </c>
      <c r="N18" s="16">
        <f t="shared" si="6"/>
        <v>1699.4091290221152</v>
      </c>
      <c r="O18" s="16">
        <f t="shared" si="6"/>
        <v>1516.1789079913594</v>
      </c>
      <c r="P18" s="15">
        <f t="shared" si="6"/>
        <v>3.1587060583153321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0.15492829882812797</v>
      </c>
      <c r="I19" s="13"/>
      <c r="J19" s="12"/>
      <c r="K19" s="10">
        <f t="shared" ref="K19:P19" si="7">STDEV(K9:K14)/SQRT(COUNT(K9:K14))</f>
        <v>38.732074707032012</v>
      </c>
      <c r="L19" s="10">
        <f t="shared" si="7"/>
        <v>381.22120774637932</v>
      </c>
      <c r="M19" s="11">
        <f t="shared" si="7"/>
        <v>340.11795311270868</v>
      </c>
      <c r="N19" s="10">
        <f t="shared" si="7"/>
        <v>137.00948761789431</v>
      </c>
      <c r="O19" s="10">
        <f t="shared" si="7"/>
        <v>122.23713040807871</v>
      </c>
      <c r="P19" s="9">
        <f t="shared" si="7"/>
        <v>0.25466068835016287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6425-5564-46F9-9DAF-D92C464DCDF1}">
  <sheetPr codeName="Sheet45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8" width="9.140625" style="8"/>
    <col min="9" max="9" width="9.710937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2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39384</v>
      </c>
      <c r="I3" s="48"/>
      <c r="K3" s="42" t="s">
        <v>117</v>
      </c>
      <c r="L3" s="43">
        <v>3160.4</v>
      </c>
      <c r="N3" s="42" t="s">
        <v>116</v>
      </c>
      <c r="O3" s="41">
        <f>(L3-(L4+L5))/L3</f>
        <v>4.9740539172256765E-2</v>
      </c>
    </row>
    <row r="4" spans="1:18" ht="17.25" thickTop="1" thickBot="1" x14ac:dyDescent="0.25">
      <c r="B4" s="45" t="s">
        <v>115</v>
      </c>
      <c r="C4" s="47">
        <v>39386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1166.8</v>
      </c>
      <c r="N4" s="42" t="s">
        <v>111</v>
      </c>
      <c r="O4" s="41">
        <f>L4/L3</f>
        <v>0.36919377294013411</v>
      </c>
    </row>
    <row r="5" spans="1:18" ht="17.25" thickTop="1" thickBot="1" x14ac:dyDescent="0.25">
      <c r="B5" s="45" t="s">
        <v>110</v>
      </c>
      <c r="C5" s="44">
        <v>0.58333333333333337</v>
      </c>
      <c r="F5" s="40"/>
      <c r="G5" s="40"/>
      <c r="K5" s="42" t="s">
        <v>109</v>
      </c>
      <c r="L5" s="43">
        <v>1836.4</v>
      </c>
      <c r="N5" s="42" t="s">
        <v>108</v>
      </c>
      <c r="O5" s="41">
        <f>L5/L3</f>
        <v>0.58106568788760915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0.4</v>
      </c>
      <c r="F9" s="28">
        <v>1.0900000000000001</v>
      </c>
      <c r="G9" s="23"/>
      <c r="H9" s="23">
        <f t="shared" ref="H9:H14" si="0">SUM(E9:G9)</f>
        <v>1.4900000000000002</v>
      </c>
      <c r="I9" s="31"/>
      <c r="K9" s="21">
        <f t="shared" ref="K9:K14" si="1">H9/D9*1000</f>
        <v>372.50000000000006</v>
      </c>
      <c r="L9" s="21">
        <f t="shared" ref="L9:L14" si="2">K9/1.016*10</f>
        <v>3666.3385826771655</v>
      </c>
      <c r="M9" s="20">
        <f t="shared" ref="M9:M14" si="3">L9/1.12085</f>
        <v>3271.0341104315171</v>
      </c>
      <c r="N9" s="19">
        <f t="shared" ref="N9:O14" si="4">L9*$O$4</f>
        <v>1353.5893742145665</v>
      </c>
      <c r="O9" s="19">
        <f t="shared" si="4"/>
        <v>1207.6454246460871</v>
      </c>
      <c r="P9" s="18">
        <f t="shared" ref="P9:P14" si="5">O9/480</f>
        <v>2.5159279680126816</v>
      </c>
    </row>
    <row r="10" spans="1:18" ht="13.5" thickBot="1" x14ac:dyDescent="0.25">
      <c r="C10" s="30">
        <v>4</v>
      </c>
      <c r="D10" s="30">
        <v>4</v>
      </c>
      <c r="E10" s="28">
        <v>0.85</v>
      </c>
      <c r="F10" s="28">
        <v>0.91</v>
      </c>
      <c r="G10" s="23"/>
      <c r="H10" s="23">
        <f t="shared" si="0"/>
        <v>1.76</v>
      </c>
      <c r="I10" s="31"/>
      <c r="K10" s="21">
        <f t="shared" si="1"/>
        <v>440</v>
      </c>
      <c r="L10" s="21">
        <f t="shared" si="2"/>
        <v>4330.7086614173222</v>
      </c>
      <c r="M10" s="20">
        <f t="shared" si="3"/>
        <v>3863.7718351405833</v>
      </c>
      <c r="N10" s="19">
        <f t="shared" si="4"/>
        <v>1598.870670213179</v>
      </c>
      <c r="O10" s="19">
        <f t="shared" si="4"/>
        <v>1426.4805015953777</v>
      </c>
      <c r="P10" s="18">
        <f t="shared" si="5"/>
        <v>2.9718343783237038</v>
      </c>
    </row>
    <row r="11" spans="1:18" ht="13.5" thickBot="1" x14ac:dyDescent="0.25">
      <c r="C11" s="30">
        <v>5</v>
      </c>
      <c r="D11" s="30">
        <v>4</v>
      </c>
      <c r="E11" s="28">
        <v>0.94</v>
      </c>
      <c r="F11" s="28">
        <v>0.34</v>
      </c>
      <c r="G11" s="23"/>
      <c r="H11" s="23">
        <f t="shared" si="0"/>
        <v>1.28</v>
      </c>
      <c r="I11" s="31"/>
      <c r="K11" s="21">
        <f t="shared" si="1"/>
        <v>320</v>
      </c>
      <c r="L11" s="21">
        <f t="shared" si="2"/>
        <v>3149.6062992125985</v>
      </c>
      <c r="M11" s="20">
        <f t="shared" si="3"/>
        <v>2810.0158801022426</v>
      </c>
      <c r="N11" s="19">
        <f t="shared" si="4"/>
        <v>1162.8150328823122</v>
      </c>
      <c r="O11" s="19">
        <f t="shared" si="4"/>
        <v>1037.4403647966385</v>
      </c>
      <c r="P11" s="18">
        <f t="shared" si="5"/>
        <v>2.1613340933263303</v>
      </c>
    </row>
    <row r="12" spans="1:18" ht="13.5" thickBot="1" x14ac:dyDescent="0.25">
      <c r="C12" s="30">
        <v>6</v>
      </c>
      <c r="D12" s="30">
        <v>4</v>
      </c>
      <c r="E12" s="28">
        <v>1.01</v>
      </c>
      <c r="F12" s="28">
        <v>0.93</v>
      </c>
      <c r="G12" s="23"/>
      <c r="H12" s="23">
        <f t="shared" si="0"/>
        <v>1.94</v>
      </c>
      <c r="I12" s="31"/>
      <c r="K12" s="21">
        <f t="shared" si="1"/>
        <v>485</v>
      </c>
      <c r="L12" s="21">
        <f t="shared" si="2"/>
        <v>4773.6220472440946</v>
      </c>
      <c r="M12" s="20">
        <f t="shared" si="3"/>
        <v>4258.9303182799613</v>
      </c>
      <c r="N12" s="19">
        <f t="shared" si="4"/>
        <v>1762.3915342122543</v>
      </c>
      <c r="O12" s="19">
        <f t="shared" si="4"/>
        <v>1572.3705528949051</v>
      </c>
      <c r="P12" s="18">
        <f t="shared" si="5"/>
        <v>3.2757719851977192</v>
      </c>
    </row>
    <row r="13" spans="1:18" ht="13.5" thickBot="1" x14ac:dyDescent="0.25">
      <c r="C13" s="30">
        <v>7</v>
      </c>
      <c r="D13" s="30">
        <v>4</v>
      </c>
      <c r="E13" s="28">
        <v>1.04</v>
      </c>
      <c r="F13" s="28">
        <v>0.7</v>
      </c>
      <c r="G13" s="23"/>
      <c r="H13" s="23">
        <f t="shared" si="0"/>
        <v>1.74</v>
      </c>
      <c r="I13" s="31"/>
      <c r="K13" s="21">
        <f t="shared" si="1"/>
        <v>435</v>
      </c>
      <c r="L13" s="21">
        <f t="shared" si="2"/>
        <v>4281.4960629921261</v>
      </c>
      <c r="M13" s="20">
        <f t="shared" si="3"/>
        <v>3819.8653370139864</v>
      </c>
      <c r="N13" s="19">
        <f t="shared" si="4"/>
        <v>1580.7016853243931</v>
      </c>
      <c r="O13" s="19">
        <f t="shared" si="4"/>
        <v>1410.2704958954305</v>
      </c>
      <c r="P13" s="18">
        <f t="shared" si="5"/>
        <v>2.9380635331154803</v>
      </c>
    </row>
    <row r="14" spans="1:18" ht="13.5" thickBot="1" x14ac:dyDescent="0.25">
      <c r="C14" s="30">
        <v>8</v>
      </c>
      <c r="D14" s="30">
        <v>4</v>
      </c>
      <c r="E14" s="28">
        <v>1.18</v>
      </c>
      <c r="F14" s="28">
        <v>0.88</v>
      </c>
      <c r="G14" s="23"/>
      <c r="H14" s="23">
        <f t="shared" si="0"/>
        <v>2.06</v>
      </c>
      <c r="I14" s="31"/>
      <c r="K14" s="21">
        <f t="shared" si="1"/>
        <v>515</v>
      </c>
      <c r="L14" s="21">
        <f t="shared" si="2"/>
        <v>5068.8976377952749</v>
      </c>
      <c r="M14" s="20">
        <f t="shared" si="3"/>
        <v>4522.3693070395466</v>
      </c>
      <c r="N14" s="19">
        <f t="shared" si="4"/>
        <v>1871.4054435449709</v>
      </c>
      <c r="O14" s="19">
        <f t="shared" si="4"/>
        <v>1669.6305870945901</v>
      </c>
      <c r="P14" s="18">
        <f t="shared" si="5"/>
        <v>3.4783970564470628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10.270000000000001</v>
      </c>
      <c r="I18" s="13"/>
      <c r="J18" s="12"/>
      <c r="K18" s="15">
        <f t="shared" ref="K18:P18" si="6">AVERAGE(K9:K14)+K16/6</f>
        <v>427.91666666666669</v>
      </c>
      <c r="L18" s="15">
        <f t="shared" si="6"/>
        <v>4211.7782152230966</v>
      </c>
      <c r="M18" s="17">
        <f t="shared" si="6"/>
        <v>3757.6644646679724</v>
      </c>
      <c r="N18" s="16">
        <f t="shared" si="6"/>
        <v>1554.9622900652794</v>
      </c>
      <c r="O18" s="16">
        <f t="shared" si="6"/>
        <v>1387.3063211538383</v>
      </c>
      <c r="P18" s="15">
        <f t="shared" si="6"/>
        <v>2.8902215024038296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0.11720115661166035</v>
      </c>
      <c r="I19" s="13"/>
      <c r="J19" s="12"/>
      <c r="K19" s="10">
        <f t="shared" ref="K19:P19" si="7">STDEV(K9:K14)/SQRT(COUNT(K9:K14))</f>
        <v>29.300289152915234</v>
      </c>
      <c r="L19" s="10">
        <f t="shared" si="7"/>
        <v>288.38867276491436</v>
      </c>
      <c r="M19" s="11">
        <f t="shared" si="7"/>
        <v>257.29461816024894</v>
      </c>
      <c r="N19" s="10">
        <f t="shared" si="7"/>
        <v>106.47130217127602</v>
      </c>
      <c r="O19" s="10">
        <f t="shared" si="7"/>
        <v>94.991570835772848</v>
      </c>
      <c r="P19" s="9">
        <f t="shared" si="7"/>
        <v>0.19789910590786075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4007-1A00-4DC6-AA46-C6A05AE174B4}">
  <sheetPr codeName="Sheet39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4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1033</v>
      </c>
      <c r="I3" s="48"/>
      <c r="K3" s="42" t="s">
        <v>117</v>
      </c>
      <c r="L3" s="43">
        <v>4171.3999999999996</v>
      </c>
      <c r="N3" s="42" t="s">
        <v>116</v>
      </c>
      <c r="O3" s="41">
        <f>(L3-(L4+L5))/L3</f>
        <v>3.8500263700436174E-2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1504.8</v>
      </c>
      <c r="N4" s="42" t="s">
        <v>111</v>
      </c>
      <c r="O4" s="41">
        <f>L4/L3</f>
        <v>0.3607421968643621</v>
      </c>
    </row>
    <row r="5" spans="1:18" ht="17.25" thickTop="1" thickBot="1" x14ac:dyDescent="0.25">
      <c r="B5" s="45" t="s">
        <v>110</v>
      </c>
      <c r="C5" s="44">
        <v>0.54513888888888895</v>
      </c>
      <c r="F5" s="40"/>
      <c r="G5" s="40"/>
      <c r="K5" s="42" t="s">
        <v>109</v>
      </c>
      <c r="L5" s="43">
        <v>2506</v>
      </c>
      <c r="N5" s="42" t="s">
        <v>108</v>
      </c>
      <c r="O5" s="41">
        <f>L5/L3</f>
        <v>0.60075753943520172</v>
      </c>
      <c r="Q5" s="18"/>
    </row>
    <row r="6" spans="1:18" ht="17.25" thickTop="1" thickBot="1" x14ac:dyDescent="0.25">
      <c r="C6" s="57"/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1.06</v>
      </c>
      <c r="F9" s="28">
        <v>0.85</v>
      </c>
      <c r="G9" s="23"/>
      <c r="H9" s="23">
        <f t="shared" ref="H9:H14" si="0">SUM(E9:G9)</f>
        <v>1.9100000000000001</v>
      </c>
      <c r="I9" s="31"/>
      <c r="K9" s="21">
        <f t="shared" ref="K9:K14" si="1">H9/D9*1000</f>
        <v>477.50000000000006</v>
      </c>
      <c r="L9" s="21">
        <f t="shared" ref="L9:L14" si="2">K9/1.016*10</f>
        <v>4699.8031496062995</v>
      </c>
      <c r="M9" s="20">
        <f t="shared" ref="M9:M14" si="3">L9/1.12085</f>
        <v>4193.0705710900656</v>
      </c>
      <c r="N9" s="19">
        <f t="shared" ref="N9:O14" si="4">L9*$O$4</f>
        <v>1695.4173130190247</v>
      </c>
      <c r="O9" s="19">
        <f t="shared" si="4"/>
        <v>1512.6174894223357</v>
      </c>
      <c r="P9" s="18">
        <f t="shared" ref="P9:P14" si="5">O9/480</f>
        <v>3.1512864362965325</v>
      </c>
    </row>
    <row r="10" spans="1:18" ht="13.5" thickBot="1" x14ac:dyDescent="0.25">
      <c r="C10" s="30">
        <v>4</v>
      </c>
      <c r="D10" s="30">
        <v>4</v>
      </c>
      <c r="E10" s="28">
        <v>0.6</v>
      </c>
      <c r="F10" s="28">
        <v>1.0900000000000001</v>
      </c>
      <c r="G10" s="23"/>
      <c r="H10" s="23">
        <f t="shared" si="0"/>
        <v>1.69</v>
      </c>
      <c r="I10" s="31"/>
      <c r="K10" s="21">
        <f t="shared" si="1"/>
        <v>422.5</v>
      </c>
      <c r="L10" s="21">
        <f t="shared" si="2"/>
        <v>4158.464566929134</v>
      </c>
      <c r="M10" s="20">
        <f t="shared" si="3"/>
        <v>3710.0990916974924</v>
      </c>
      <c r="N10" s="19">
        <f t="shared" si="4"/>
        <v>1500.133643456624</v>
      </c>
      <c r="O10" s="19">
        <f t="shared" si="4"/>
        <v>1338.3892969234278</v>
      </c>
      <c r="P10" s="18">
        <f t="shared" si="5"/>
        <v>2.788311035257141</v>
      </c>
    </row>
    <row r="11" spans="1:18" ht="13.5" thickBot="1" x14ac:dyDescent="0.25">
      <c r="C11" s="30">
        <v>5</v>
      </c>
      <c r="D11" s="30">
        <v>4</v>
      </c>
      <c r="E11" s="28">
        <v>0.84</v>
      </c>
      <c r="F11" s="28">
        <v>0.79</v>
      </c>
      <c r="G11" s="23"/>
      <c r="H11" s="23">
        <f t="shared" si="0"/>
        <v>1.63</v>
      </c>
      <c r="I11" s="31"/>
      <c r="K11" s="21">
        <f t="shared" si="1"/>
        <v>407.5</v>
      </c>
      <c r="L11" s="21">
        <f t="shared" si="2"/>
        <v>4010.8267716535429</v>
      </c>
      <c r="M11" s="20">
        <f t="shared" si="3"/>
        <v>3578.3795973176993</v>
      </c>
      <c r="N11" s="19">
        <f t="shared" si="4"/>
        <v>1446.8744608486963</v>
      </c>
      <c r="O11" s="19">
        <f t="shared" si="4"/>
        <v>1290.8725171509982</v>
      </c>
      <c r="P11" s="18">
        <f t="shared" si="5"/>
        <v>2.6893177440645797</v>
      </c>
    </row>
    <row r="12" spans="1:18" ht="13.5" thickBot="1" x14ac:dyDescent="0.25">
      <c r="C12" s="30">
        <v>6</v>
      </c>
      <c r="D12" s="30">
        <v>4</v>
      </c>
      <c r="E12" s="28">
        <v>1.64</v>
      </c>
      <c r="F12" s="28">
        <v>0.23</v>
      </c>
      <c r="G12" s="23"/>
      <c r="H12" s="23">
        <f t="shared" si="0"/>
        <v>1.8699999999999999</v>
      </c>
      <c r="I12" s="31"/>
      <c r="K12" s="21">
        <f t="shared" si="1"/>
        <v>467.49999999999994</v>
      </c>
      <c r="L12" s="21">
        <f t="shared" si="2"/>
        <v>4601.3779527559045</v>
      </c>
      <c r="M12" s="20">
        <f t="shared" si="3"/>
        <v>4105.257574836869</v>
      </c>
      <c r="N12" s="19">
        <f t="shared" si="4"/>
        <v>1659.911191280406</v>
      </c>
      <c r="O12" s="19">
        <f t="shared" si="4"/>
        <v>1480.9396362407156</v>
      </c>
      <c r="P12" s="18">
        <f t="shared" si="5"/>
        <v>3.0852909088348239</v>
      </c>
    </row>
    <row r="13" spans="1:18" ht="13.5" thickBot="1" x14ac:dyDescent="0.25">
      <c r="C13" s="30">
        <v>7</v>
      </c>
      <c r="D13" s="30">
        <v>4</v>
      </c>
      <c r="E13" s="28">
        <v>1.1599999999999999</v>
      </c>
      <c r="F13" s="28">
        <v>0.4</v>
      </c>
      <c r="G13" s="23"/>
      <c r="H13" s="23">
        <f t="shared" si="0"/>
        <v>1.56</v>
      </c>
      <c r="I13" s="31"/>
      <c r="K13" s="21">
        <f t="shared" si="1"/>
        <v>390</v>
      </c>
      <c r="L13" s="21">
        <f t="shared" si="2"/>
        <v>3838.5826771653542</v>
      </c>
      <c r="M13" s="20">
        <f t="shared" si="3"/>
        <v>3424.706853874608</v>
      </c>
      <c r="N13" s="19">
        <f t="shared" si="4"/>
        <v>1384.7387478061144</v>
      </c>
      <c r="O13" s="19">
        <f t="shared" si="4"/>
        <v>1235.4362740831639</v>
      </c>
      <c r="P13" s="18">
        <f t="shared" si="5"/>
        <v>2.5738255710065916</v>
      </c>
    </row>
    <row r="14" spans="1:18" ht="13.5" thickBot="1" x14ac:dyDescent="0.25">
      <c r="C14" s="30">
        <v>8</v>
      </c>
      <c r="D14" s="30">
        <v>4</v>
      </c>
      <c r="E14" s="28">
        <v>0.75</v>
      </c>
      <c r="F14" s="28">
        <v>0.83</v>
      </c>
      <c r="G14" s="23"/>
      <c r="H14" s="23">
        <f t="shared" si="0"/>
        <v>1.58</v>
      </c>
      <c r="I14" s="31"/>
      <c r="K14" s="21">
        <f t="shared" si="1"/>
        <v>395</v>
      </c>
      <c r="L14" s="21">
        <f t="shared" si="2"/>
        <v>3887.7952755905512</v>
      </c>
      <c r="M14" s="20">
        <f t="shared" si="3"/>
        <v>3468.6133520012058</v>
      </c>
      <c r="N14" s="19">
        <f t="shared" si="4"/>
        <v>1402.4918086754235</v>
      </c>
      <c r="O14" s="19">
        <f t="shared" si="4"/>
        <v>1251.2752006739738</v>
      </c>
      <c r="P14" s="18">
        <f t="shared" si="5"/>
        <v>2.6068233347374457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10.24</v>
      </c>
      <c r="I18" s="13"/>
      <c r="J18" s="12"/>
      <c r="K18" s="15">
        <f t="shared" ref="K18:P18" si="6">AVERAGE(K9:K14)+K16/6</f>
        <v>426.66666666666669</v>
      </c>
      <c r="L18" s="15">
        <f t="shared" si="6"/>
        <v>4199.4750656167971</v>
      </c>
      <c r="M18" s="17">
        <f t="shared" si="6"/>
        <v>3746.6878401363228</v>
      </c>
      <c r="N18" s="16">
        <f t="shared" si="6"/>
        <v>1514.9278608477146</v>
      </c>
      <c r="O18" s="16">
        <f t="shared" si="6"/>
        <v>1351.5884024157692</v>
      </c>
      <c r="P18" s="15">
        <f t="shared" si="6"/>
        <v>2.8158091716995188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6.1028226620510981E-2</v>
      </c>
      <c r="I19" s="13"/>
      <c r="J19" s="12"/>
      <c r="K19" s="10">
        <f t="shared" ref="K19:P19" si="7">STDEV(K9:K14)/SQRT(COUNT(K9:K14))</f>
        <v>15.257056655127748</v>
      </c>
      <c r="L19" s="10">
        <f t="shared" si="7"/>
        <v>150.16788046385574</v>
      </c>
      <c r="M19" s="11">
        <f t="shared" si="7"/>
        <v>133.97678588915176</v>
      </c>
      <c r="N19" s="10">
        <f t="shared" si="7"/>
        <v>54.171891096996234</v>
      </c>
      <c r="O19" s="10">
        <f t="shared" si="7"/>
        <v>48.331080070478897</v>
      </c>
      <c r="P19" s="9">
        <f t="shared" si="7"/>
        <v>0.10068975014683097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6044-CEA2-406F-BE7B-94F50F3E4F02}">
  <sheetPr codeName="Sheet44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5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39384</v>
      </c>
      <c r="I3" s="48"/>
      <c r="K3" s="42" t="s">
        <v>117</v>
      </c>
      <c r="L3" s="43">
        <v>1824.4</v>
      </c>
      <c r="N3" s="42" t="s">
        <v>116</v>
      </c>
      <c r="O3" s="41">
        <f>(L3-(L4+L5))/L3</f>
        <v>3.8588028941021757E-2</v>
      </c>
    </row>
    <row r="4" spans="1:18" ht="17.25" thickTop="1" thickBot="1" x14ac:dyDescent="0.25">
      <c r="B4" s="45" t="s">
        <v>115</v>
      </c>
      <c r="C4" s="47">
        <v>39392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625.6</v>
      </c>
      <c r="N4" s="42" t="s">
        <v>111</v>
      </c>
      <c r="O4" s="41">
        <f>L4/L3</f>
        <v>0.3429072571804429</v>
      </c>
    </row>
    <row r="5" spans="1:18" ht="17.25" thickTop="1" thickBot="1" x14ac:dyDescent="0.25">
      <c r="B5" s="45" t="s">
        <v>110</v>
      </c>
      <c r="C5" s="44">
        <v>0.40416666666666662</v>
      </c>
      <c r="F5" s="40"/>
      <c r="G5" s="40"/>
      <c r="K5" s="42" t="s">
        <v>109</v>
      </c>
      <c r="L5" s="43">
        <v>1128.4000000000001</v>
      </c>
      <c r="N5" s="42" t="s">
        <v>108</v>
      </c>
      <c r="O5" s="41">
        <f>L5/L3</f>
        <v>0.61850471387853545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</v>
      </c>
      <c r="F9" s="28">
        <v>0.54</v>
      </c>
      <c r="G9" s="23"/>
      <c r="H9" s="23">
        <f t="shared" ref="H9:H14" si="0">SUM(E9:G9)</f>
        <v>1.44</v>
      </c>
      <c r="I9" s="31"/>
      <c r="K9" s="21">
        <f t="shared" ref="K9:K14" si="1">H9/D9*1000</f>
        <v>360</v>
      </c>
      <c r="L9" s="21">
        <f t="shared" ref="L9:L14" si="2">K9/1.016*10</f>
        <v>3543.3070866141729</v>
      </c>
      <c r="M9" s="20">
        <f t="shared" ref="M9:M14" si="3">L9/1.12085</f>
        <v>3161.2678651150227</v>
      </c>
      <c r="N9" s="19">
        <f t="shared" ref="N9:O14" si="4">L9*$O$4</f>
        <v>1215.025714418892</v>
      </c>
      <c r="O9" s="19">
        <f t="shared" si="4"/>
        <v>1084.0216928392667</v>
      </c>
      <c r="P9" s="18">
        <f t="shared" ref="P9:P14" si="5">O9/480</f>
        <v>2.2583785267484724</v>
      </c>
    </row>
    <row r="10" spans="1:18" ht="13.5" thickBot="1" x14ac:dyDescent="0.25">
      <c r="C10" s="30">
        <v>4</v>
      </c>
      <c r="D10" s="30">
        <v>4</v>
      </c>
      <c r="E10" s="28">
        <v>1.06</v>
      </c>
      <c r="F10" s="28">
        <v>0.47</v>
      </c>
      <c r="G10" s="23"/>
      <c r="H10" s="23">
        <f t="shared" si="0"/>
        <v>1.53</v>
      </c>
      <c r="I10" s="31"/>
      <c r="K10" s="21">
        <f t="shared" si="1"/>
        <v>382.5</v>
      </c>
      <c r="L10" s="21">
        <f t="shared" si="2"/>
        <v>3764.7637795275591</v>
      </c>
      <c r="M10" s="20">
        <f t="shared" si="3"/>
        <v>3358.8471066847119</v>
      </c>
      <c r="N10" s="19">
        <f t="shared" si="4"/>
        <v>1290.9648215700729</v>
      </c>
      <c r="O10" s="19">
        <f t="shared" si="4"/>
        <v>1151.7730486417211</v>
      </c>
      <c r="P10" s="18">
        <f t="shared" si="5"/>
        <v>2.3995271846702524</v>
      </c>
    </row>
    <row r="11" spans="1:18" ht="13.5" thickBot="1" x14ac:dyDescent="0.25">
      <c r="C11" s="30">
        <v>5</v>
      </c>
      <c r="D11" s="30">
        <v>4</v>
      </c>
      <c r="E11" s="28">
        <v>1.62</v>
      </c>
      <c r="F11" s="28"/>
      <c r="G11" s="23"/>
      <c r="H11" s="23">
        <f t="shared" si="0"/>
        <v>1.62</v>
      </c>
      <c r="I11" s="31"/>
      <c r="K11" s="21">
        <f t="shared" si="1"/>
        <v>405</v>
      </c>
      <c r="L11" s="21">
        <f t="shared" si="2"/>
        <v>3986.2204724409448</v>
      </c>
      <c r="M11" s="20">
        <f t="shared" si="3"/>
        <v>3556.4263482544006</v>
      </c>
      <c r="N11" s="19">
        <f t="shared" si="4"/>
        <v>1366.9039287212536</v>
      </c>
      <c r="O11" s="19">
        <f t="shared" si="4"/>
        <v>1219.5244044441752</v>
      </c>
      <c r="P11" s="18">
        <f t="shared" si="5"/>
        <v>2.5406758425920315</v>
      </c>
    </row>
    <row r="12" spans="1:18" ht="13.5" thickBot="1" x14ac:dyDescent="0.25">
      <c r="C12" s="30">
        <v>6</v>
      </c>
      <c r="D12" s="30">
        <v>4</v>
      </c>
      <c r="E12" s="28">
        <v>1.05</v>
      </c>
      <c r="F12" s="28">
        <v>0.44</v>
      </c>
      <c r="G12" s="23"/>
      <c r="H12" s="23">
        <f t="shared" si="0"/>
        <v>1.49</v>
      </c>
      <c r="I12" s="31"/>
      <c r="K12" s="21">
        <f t="shared" si="1"/>
        <v>372.5</v>
      </c>
      <c r="L12" s="21">
        <f t="shared" si="2"/>
        <v>3666.338582677165</v>
      </c>
      <c r="M12" s="20">
        <f t="shared" si="3"/>
        <v>3271.0341104315166</v>
      </c>
      <c r="N12" s="19">
        <f t="shared" si="4"/>
        <v>1257.2141072806592</v>
      </c>
      <c r="O12" s="19">
        <f t="shared" si="4"/>
        <v>1121.6613349517413</v>
      </c>
      <c r="P12" s="18">
        <f t="shared" si="5"/>
        <v>2.3367944478161276</v>
      </c>
    </row>
    <row r="13" spans="1:18" ht="13.5" thickBot="1" x14ac:dyDescent="0.25">
      <c r="C13" s="30">
        <v>7</v>
      </c>
      <c r="D13" s="30">
        <v>4</v>
      </c>
      <c r="E13" s="28">
        <v>1.32</v>
      </c>
      <c r="F13" s="28"/>
      <c r="G13" s="23"/>
      <c r="H13" s="23">
        <f t="shared" si="0"/>
        <v>1.32</v>
      </c>
      <c r="I13" s="31"/>
      <c r="K13" s="21">
        <f t="shared" si="1"/>
        <v>330</v>
      </c>
      <c r="L13" s="21">
        <f t="shared" si="2"/>
        <v>3248.0314960629921</v>
      </c>
      <c r="M13" s="20">
        <f t="shared" si="3"/>
        <v>2897.8288763554378</v>
      </c>
      <c r="N13" s="19">
        <f t="shared" si="4"/>
        <v>1113.7735715506512</v>
      </c>
      <c r="O13" s="19">
        <f t="shared" si="4"/>
        <v>993.68655176932805</v>
      </c>
      <c r="P13" s="18">
        <f t="shared" si="5"/>
        <v>2.0701803161861001</v>
      </c>
    </row>
    <row r="14" spans="1:18" ht="13.5" thickBot="1" x14ac:dyDescent="0.25">
      <c r="C14" s="30">
        <v>8</v>
      </c>
      <c r="D14" s="30">
        <v>4</v>
      </c>
      <c r="E14" s="28">
        <v>1.04</v>
      </c>
      <c r="F14" s="28">
        <v>0.62</v>
      </c>
      <c r="G14" s="23"/>
      <c r="H14" s="23">
        <f t="shared" si="0"/>
        <v>1.6600000000000001</v>
      </c>
      <c r="I14" s="31"/>
      <c r="K14" s="21">
        <f t="shared" si="1"/>
        <v>415.00000000000006</v>
      </c>
      <c r="L14" s="21">
        <f t="shared" si="2"/>
        <v>4084.6456692913393</v>
      </c>
      <c r="M14" s="20">
        <f t="shared" si="3"/>
        <v>3644.2393445075968</v>
      </c>
      <c r="N14" s="19">
        <f t="shared" si="4"/>
        <v>1400.6546430106675</v>
      </c>
      <c r="O14" s="19">
        <f t="shared" si="4"/>
        <v>1249.6361181341551</v>
      </c>
      <c r="P14" s="18">
        <f t="shared" si="5"/>
        <v>2.6034085794461563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9.06</v>
      </c>
      <c r="I18" s="13"/>
      <c r="J18" s="12"/>
      <c r="K18" s="15">
        <f t="shared" ref="K18:P18" si="6">AVERAGE(K9:K14)+K16/6</f>
        <v>377.5</v>
      </c>
      <c r="L18" s="15">
        <f t="shared" si="6"/>
        <v>3715.5511811023621</v>
      </c>
      <c r="M18" s="17">
        <f t="shared" si="6"/>
        <v>3314.9406085581145</v>
      </c>
      <c r="N18" s="16">
        <f t="shared" si="6"/>
        <v>1274.089464425366</v>
      </c>
      <c r="O18" s="16">
        <f t="shared" si="6"/>
        <v>1136.7171917967312</v>
      </c>
      <c r="P18" s="15">
        <f t="shared" si="6"/>
        <v>2.36816081624319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5.0464508980734853E-2</v>
      </c>
      <c r="I19" s="13"/>
      <c r="J19" s="12"/>
      <c r="K19" s="10">
        <f t="shared" ref="K19:P19" si="7">STDEV(K9:K14)/SQRT(COUNT(K9:K14))</f>
        <v>12.616127245183716</v>
      </c>
      <c r="L19" s="10">
        <f t="shared" si="7"/>
        <v>124.17448075968227</v>
      </c>
      <c r="M19" s="11">
        <f t="shared" si="7"/>
        <v>110.78599345111502</v>
      </c>
      <c r="N19" s="10">
        <f t="shared" si="7"/>
        <v>42.580330609108309</v>
      </c>
      <c r="O19" s="10">
        <f t="shared" si="7"/>
        <v>37.989321148332358</v>
      </c>
      <c r="P19" s="9">
        <f t="shared" si="7"/>
        <v>7.9144419059025709E-2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BD80-6FC7-4A60-B28B-500BC13A4527}">
  <sheetPr codeName="Sheet40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6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39384</v>
      </c>
      <c r="I3" s="48"/>
      <c r="K3" s="42" t="s">
        <v>117</v>
      </c>
      <c r="L3" s="43">
        <v>2842.1</v>
      </c>
      <c r="N3" s="42" t="s">
        <v>116</v>
      </c>
      <c r="O3" s="41">
        <f>(L3-(L4+L5))/L3</f>
        <v>4.5353787692199464E-2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1052.5</v>
      </c>
      <c r="N4" s="42" t="s">
        <v>111</v>
      </c>
      <c r="O4" s="41">
        <f>L4/L3</f>
        <v>0.37032475986066643</v>
      </c>
    </row>
    <row r="5" spans="1:18" ht="17.25" thickTop="1" thickBot="1" x14ac:dyDescent="0.25">
      <c r="B5" s="45" t="s">
        <v>110</v>
      </c>
      <c r="C5" s="44">
        <v>0.56944444444444442</v>
      </c>
      <c r="F5" s="40"/>
      <c r="G5" s="40"/>
      <c r="K5" s="42" t="s">
        <v>109</v>
      </c>
      <c r="L5" s="43">
        <v>1660.7</v>
      </c>
      <c r="N5" s="42" t="s">
        <v>108</v>
      </c>
      <c r="O5" s="41">
        <f>L5/L3</f>
        <v>0.58432145244713418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0.91</v>
      </c>
      <c r="F9" s="28">
        <v>0.97</v>
      </c>
      <c r="G9" s="23"/>
      <c r="H9" s="23">
        <f t="shared" ref="H9:H14" si="0">SUM(E9:G9)</f>
        <v>1.88</v>
      </c>
      <c r="I9" s="31"/>
      <c r="K9" s="21">
        <f t="shared" ref="K9:K14" si="1">H9/D9*1000</f>
        <v>470</v>
      </c>
      <c r="L9" s="21">
        <f t="shared" ref="L9:L14" si="2">K9/1.016*10</f>
        <v>4625.9842519685035</v>
      </c>
      <c r="M9" s="20">
        <f t="shared" ref="M9:M14" si="3">L9/1.12085</f>
        <v>4127.2108239001682</v>
      </c>
      <c r="N9" s="19">
        <f t="shared" ref="N9:O14" si="4">L9*$O$4</f>
        <v>1713.1165072294607</v>
      </c>
      <c r="O9" s="19">
        <f t="shared" si="4"/>
        <v>1528.4083572551731</v>
      </c>
      <c r="P9" s="18">
        <f t="shared" ref="P9:P14" si="5">O9/480</f>
        <v>3.1841840776149439</v>
      </c>
    </row>
    <row r="10" spans="1:18" ht="13.5" thickBot="1" x14ac:dyDescent="0.25">
      <c r="C10" s="30">
        <v>4</v>
      </c>
      <c r="D10" s="30">
        <v>4</v>
      </c>
      <c r="E10" s="28">
        <v>1.2</v>
      </c>
      <c r="F10" s="28">
        <v>0.46</v>
      </c>
      <c r="G10" s="23"/>
      <c r="H10" s="23">
        <f t="shared" si="0"/>
        <v>1.66</v>
      </c>
      <c r="I10" s="31"/>
      <c r="K10" s="21">
        <f t="shared" si="1"/>
        <v>415</v>
      </c>
      <c r="L10" s="21">
        <f t="shared" si="2"/>
        <v>4084.6456692913389</v>
      </c>
      <c r="M10" s="20">
        <f t="shared" si="3"/>
        <v>3644.2393445075963</v>
      </c>
      <c r="N10" s="19">
        <f t="shared" si="4"/>
        <v>1512.6454265962261</v>
      </c>
      <c r="O10" s="19">
        <f t="shared" si="4"/>
        <v>1349.552060129568</v>
      </c>
      <c r="P10" s="18">
        <f t="shared" si="5"/>
        <v>2.8115667919365999</v>
      </c>
    </row>
    <row r="11" spans="1:18" ht="13.5" thickBot="1" x14ac:dyDescent="0.25">
      <c r="C11" s="30">
        <v>5</v>
      </c>
      <c r="D11" s="30">
        <v>4</v>
      </c>
      <c r="E11" s="28">
        <v>0.93</v>
      </c>
      <c r="F11" s="28">
        <v>0.88</v>
      </c>
      <c r="G11" s="23"/>
      <c r="H11" s="23">
        <f t="shared" si="0"/>
        <v>1.81</v>
      </c>
      <c r="I11" s="31"/>
      <c r="K11" s="21">
        <f t="shared" si="1"/>
        <v>452.5</v>
      </c>
      <c r="L11" s="21">
        <f t="shared" si="2"/>
        <v>4453.7401574803143</v>
      </c>
      <c r="M11" s="20">
        <f t="shared" si="3"/>
        <v>3973.5380804570768</v>
      </c>
      <c r="N11" s="19">
        <f t="shared" si="4"/>
        <v>1649.3302543007042</v>
      </c>
      <c r="O11" s="19">
        <f t="shared" si="4"/>
        <v>1471.4995354424805</v>
      </c>
      <c r="P11" s="18">
        <f t="shared" si="5"/>
        <v>3.0656240321718342</v>
      </c>
    </row>
    <row r="12" spans="1:18" ht="13.5" thickBot="1" x14ac:dyDescent="0.25">
      <c r="C12" s="30">
        <v>6</v>
      </c>
      <c r="D12" s="30">
        <v>4</v>
      </c>
      <c r="E12" s="28">
        <v>1.38</v>
      </c>
      <c r="F12" s="28">
        <v>0.64</v>
      </c>
      <c r="G12" s="23"/>
      <c r="H12" s="23">
        <f t="shared" si="0"/>
        <v>2.02</v>
      </c>
      <c r="I12" s="31"/>
      <c r="K12" s="21">
        <f t="shared" si="1"/>
        <v>505</v>
      </c>
      <c r="L12" s="21">
        <f t="shared" si="2"/>
        <v>4970.4724409448818</v>
      </c>
      <c r="M12" s="20">
        <f t="shared" si="3"/>
        <v>4434.5563107863518</v>
      </c>
      <c r="N12" s="19">
        <f t="shared" si="4"/>
        <v>1840.6890130869738</v>
      </c>
      <c r="O12" s="19">
        <f t="shared" si="4"/>
        <v>1642.2260008805586</v>
      </c>
      <c r="P12" s="18">
        <f t="shared" si="5"/>
        <v>3.4213041685011638</v>
      </c>
    </row>
    <row r="13" spans="1:18" ht="13.5" thickBot="1" x14ac:dyDescent="0.25">
      <c r="C13" s="30">
        <v>7</v>
      </c>
      <c r="D13" s="30">
        <v>4</v>
      </c>
      <c r="E13" s="28">
        <v>0.77</v>
      </c>
      <c r="F13" s="28"/>
      <c r="G13" s="23"/>
      <c r="H13" s="23">
        <f t="shared" si="0"/>
        <v>0.77</v>
      </c>
      <c r="I13" s="31"/>
      <c r="K13" s="21">
        <f t="shared" si="1"/>
        <v>192.5</v>
      </c>
      <c r="L13" s="21">
        <f t="shared" si="2"/>
        <v>1894.6850393700788</v>
      </c>
      <c r="M13" s="20">
        <f t="shared" si="3"/>
        <v>1690.4001778740055</v>
      </c>
      <c r="N13" s="19">
        <f t="shared" si="4"/>
        <v>701.64878221632171</v>
      </c>
      <c r="O13" s="19">
        <f t="shared" si="4"/>
        <v>625.99703993961896</v>
      </c>
      <c r="P13" s="18">
        <f t="shared" si="5"/>
        <v>1.3041604998742062</v>
      </c>
    </row>
    <row r="14" spans="1:18" ht="13.5" thickBot="1" x14ac:dyDescent="0.25">
      <c r="C14" s="30">
        <v>8</v>
      </c>
      <c r="D14" s="30">
        <v>4</v>
      </c>
      <c r="E14" s="28">
        <v>1.36</v>
      </c>
      <c r="F14" s="28">
        <v>0.49</v>
      </c>
      <c r="G14" s="23"/>
      <c r="H14" s="23">
        <f t="shared" si="0"/>
        <v>1.85</v>
      </c>
      <c r="I14" s="31"/>
      <c r="K14" s="21">
        <f t="shared" si="1"/>
        <v>462.5</v>
      </c>
      <c r="L14" s="21">
        <f t="shared" si="2"/>
        <v>4552.1653543307084</v>
      </c>
      <c r="M14" s="20">
        <f t="shared" si="3"/>
        <v>4061.3510767102725</v>
      </c>
      <c r="N14" s="19">
        <f t="shared" si="4"/>
        <v>1685.7795416885651</v>
      </c>
      <c r="O14" s="19">
        <f t="shared" si="4"/>
        <v>1504.0188621925906</v>
      </c>
      <c r="P14" s="18">
        <f t="shared" si="5"/>
        <v>3.133372629567897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9.9899999999999984</v>
      </c>
      <c r="I18" s="13"/>
      <c r="J18" s="12"/>
      <c r="K18" s="15">
        <f t="shared" ref="K18:P18" si="6">AVERAGE(K9:K14)+K16/6</f>
        <v>416.25</v>
      </c>
      <c r="L18" s="15">
        <f t="shared" si="6"/>
        <v>4096.9488188976375</v>
      </c>
      <c r="M18" s="17">
        <f t="shared" si="6"/>
        <v>3655.215969039245</v>
      </c>
      <c r="N18" s="16">
        <f t="shared" si="6"/>
        <v>1517.2015875197087</v>
      </c>
      <c r="O18" s="16">
        <f t="shared" si="6"/>
        <v>1353.6169759733316</v>
      </c>
      <c r="P18" s="15">
        <f t="shared" si="6"/>
        <v>2.8200353666111071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0.18516209115259014</v>
      </c>
      <c r="I19" s="13"/>
      <c r="J19" s="12"/>
      <c r="K19" s="10">
        <f t="shared" ref="K19:P19" si="7">STDEV(K9:K14)/SQRT(COUNT(K9:K14))</f>
        <v>46.290522788147477</v>
      </c>
      <c r="L19" s="10">
        <f t="shared" si="7"/>
        <v>455.61538177310427</v>
      </c>
      <c r="M19" s="11">
        <f t="shared" si="7"/>
        <v>406.49095041540454</v>
      </c>
      <c r="N19" s="10">
        <f t="shared" si="7"/>
        <v>168.72565684395039</v>
      </c>
      <c r="O19" s="10">
        <f t="shared" si="7"/>
        <v>150.53366359811844</v>
      </c>
      <c r="P19" s="9">
        <f t="shared" si="7"/>
        <v>0.31361179916274734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382C-1243-432D-82CC-78834073ED27}">
  <sheetPr codeName="Sheet38">
    <pageSetUpPr fitToPage="1"/>
  </sheetPr>
  <dimension ref="A1:R22"/>
  <sheetViews>
    <sheetView topLeftCell="D1" workbookViewId="0">
      <selection activeCell="N6" sqref="N6:P6"/>
    </sheetView>
  </sheetViews>
  <sheetFormatPr defaultRowHeight="12.75" x14ac:dyDescent="0.2"/>
  <cols>
    <col min="1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7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39384</v>
      </c>
      <c r="I3" s="48"/>
      <c r="K3" s="42" t="s">
        <v>117</v>
      </c>
      <c r="L3" s="43">
        <v>3004.7</v>
      </c>
      <c r="N3" s="42" t="s">
        <v>116</v>
      </c>
      <c r="O3" s="41">
        <f>(L3-(L4+L5))/L3</f>
        <v>3.7474623090491384E-2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1129.7</v>
      </c>
      <c r="N4" s="42" t="s">
        <v>111</v>
      </c>
      <c r="O4" s="41">
        <f>L4/L3</f>
        <v>0.37597763503843984</v>
      </c>
    </row>
    <row r="5" spans="1:18" ht="17.25" thickTop="1" thickBot="1" x14ac:dyDescent="0.25">
      <c r="B5" s="45" t="s">
        <v>110</v>
      </c>
      <c r="C5" s="44">
        <v>0.54513888888888895</v>
      </c>
      <c r="F5" s="40"/>
      <c r="G5" s="40"/>
      <c r="K5" s="42" t="s">
        <v>109</v>
      </c>
      <c r="L5" s="43">
        <v>1762.4</v>
      </c>
      <c r="N5" s="42" t="s">
        <v>108</v>
      </c>
      <c r="O5" s="41">
        <f>L5/L3</f>
        <v>0.58654774187106873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0.84</v>
      </c>
      <c r="F9" s="28">
        <v>0.96</v>
      </c>
      <c r="G9" s="23"/>
      <c r="H9" s="23">
        <f t="shared" ref="H9:H14" si="0">SUM(E9:G9)</f>
        <v>1.7999999999999998</v>
      </c>
      <c r="I9" s="31"/>
      <c r="K9" s="21">
        <f t="shared" ref="K9:K14" si="1">H9/D9*1000</f>
        <v>449.99999999999994</v>
      </c>
      <c r="L9" s="21">
        <f t="shared" ref="L9:L14" si="2">K9/1.016*10</f>
        <v>4429.1338582677163</v>
      </c>
      <c r="M9" s="20">
        <f t="shared" ref="M9:M14" si="3">L9/1.12085</f>
        <v>3951.5848313937786</v>
      </c>
      <c r="N9" s="19">
        <f t="shared" ref="N9:O14" si="4">L9*$O$4</f>
        <v>1665.2552733001764</v>
      </c>
      <c r="O9" s="19">
        <f t="shared" si="4"/>
        <v>1485.7075195612049</v>
      </c>
      <c r="P9" s="18">
        <f t="shared" ref="P9:P14" si="5">O9/480</f>
        <v>3.0952239990858437</v>
      </c>
    </row>
    <row r="10" spans="1:18" ht="13.5" thickBot="1" x14ac:dyDescent="0.25">
      <c r="C10" s="30">
        <v>4</v>
      </c>
      <c r="D10" s="30">
        <v>4</v>
      </c>
      <c r="E10" s="28">
        <v>0.83</v>
      </c>
      <c r="F10" s="28">
        <v>0.82</v>
      </c>
      <c r="G10" s="23"/>
      <c r="H10" s="23">
        <f t="shared" si="0"/>
        <v>1.65</v>
      </c>
      <c r="I10" s="31"/>
      <c r="K10" s="21">
        <f t="shared" si="1"/>
        <v>412.5</v>
      </c>
      <c r="L10" s="21">
        <f t="shared" si="2"/>
        <v>4060.0393700787399</v>
      </c>
      <c r="M10" s="20">
        <f t="shared" si="3"/>
        <v>3622.2860954442972</v>
      </c>
      <c r="N10" s="19">
        <f t="shared" si="4"/>
        <v>1526.4840005251617</v>
      </c>
      <c r="O10" s="19">
        <f t="shared" si="4"/>
        <v>1361.8985595977713</v>
      </c>
      <c r="P10" s="18">
        <f t="shared" si="5"/>
        <v>2.83728866582869</v>
      </c>
    </row>
    <row r="11" spans="1:18" ht="13.5" thickBot="1" x14ac:dyDescent="0.25">
      <c r="C11" s="30">
        <v>5</v>
      </c>
      <c r="D11" s="30">
        <v>4</v>
      </c>
      <c r="E11" s="28">
        <v>0.56000000000000005</v>
      </c>
      <c r="F11" s="28">
        <v>1.3</v>
      </c>
      <c r="G11" s="23"/>
      <c r="H11" s="23">
        <f t="shared" si="0"/>
        <v>1.86</v>
      </c>
      <c r="I11" s="31"/>
      <c r="K11" s="21">
        <f t="shared" si="1"/>
        <v>465</v>
      </c>
      <c r="L11" s="21">
        <f t="shared" si="2"/>
        <v>4576.7716535433074</v>
      </c>
      <c r="M11" s="20">
        <f t="shared" si="3"/>
        <v>4083.3043257735717</v>
      </c>
      <c r="N11" s="19">
        <f t="shared" si="4"/>
        <v>1720.7637824101823</v>
      </c>
      <c r="O11" s="19">
        <f t="shared" si="4"/>
        <v>1535.2311035465787</v>
      </c>
      <c r="P11" s="18">
        <f t="shared" si="5"/>
        <v>3.1983981323887054</v>
      </c>
    </row>
    <row r="12" spans="1:18" ht="13.5" thickBot="1" x14ac:dyDescent="0.25">
      <c r="C12" s="30">
        <v>6</v>
      </c>
      <c r="D12" s="30">
        <v>4</v>
      </c>
      <c r="E12" s="28">
        <v>0.9</v>
      </c>
      <c r="F12" s="28">
        <v>0.82</v>
      </c>
      <c r="G12" s="23"/>
      <c r="H12" s="23">
        <f t="shared" si="0"/>
        <v>1.72</v>
      </c>
      <c r="I12" s="31"/>
      <c r="K12" s="21">
        <f t="shared" si="1"/>
        <v>430</v>
      </c>
      <c r="L12" s="21">
        <f t="shared" si="2"/>
        <v>4232.2834645669291</v>
      </c>
      <c r="M12" s="20">
        <f t="shared" si="3"/>
        <v>3775.9588388873885</v>
      </c>
      <c r="N12" s="19">
        <f t="shared" si="4"/>
        <v>1591.2439278201687</v>
      </c>
      <c r="O12" s="19">
        <f t="shared" si="4"/>
        <v>1419.6760742473737</v>
      </c>
      <c r="P12" s="18">
        <f t="shared" si="5"/>
        <v>2.9576584880153618</v>
      </c>
    </row>
    <row r="13" spans="1:18" ht="13.5" thickBot="1" x14ac:dyDescent="0.25">
      <c r="C13" s="30">
        <v>7</v>
      </c>
      <c r="D13" s="30">
        <v>4</v>
      </c>
      <c r="E13" s="28">
        <v>0.5</v>
      </c>
      <c r="F13" s="28"/>
      <c r="G13" s="23"/>
      <c r="H13" s="23">
        <f t="shared" si="0"/>
        <v>0.5</v>
      </c>
      <c r="I13" s="31"/>
      <c r="K13" s="21">
        <f t="shared" si="1"/>
        <v>125</v>
      </c>
      <c r="L13" s="21">
        <f t="shared" si="2"/>
        <v>1230.3149606299212</v>
      </c>
      <c r="M13" s="20">
        <f t="shared" si="3"/>
        <v>1097.6624531649384</v>
      </c>
      <c r="N13" s="19">
        <f t="shared" si="4"/>
        <v>462.570909250049</v>
      </c>
      <c r="O13" s="19">
        <f t="shared" si="4"/>
        <v>412.69653321144574</v>
      </c>
      <c r="P13" s="18">
        <f t="shared" si="5"/>
        <v>0.85978444419051192</v>
      </c>
    </row>
    <row r="14" spans="1:18" ht="13.5" thickBot="1" x14ac:dyDescent="0.25">
      <c r="C14" s="30">
        <v>8</v>
      </c>
      <c r="D14" s="30">
        <v>4</v>
      </c>
      <c r="E14" s="28">
        <v>1.1100000000000001</v>
      </c>
      <c r="F14" s="28">
        <v>0.5</v>
      </c>
      <c r="G14" s="23"/>
      <c r="H14" s="23">
        <f t="shared" si="0"/>
        <v>1.61</v>
      </c>
      <c r="I14" s="31"/>
      <c r="K14" s="21">
        <f t="shared" si="1"/>
        <v>402.5</v>
      </c>
      <c r="L14" s="21">
        <f t="shared" si="2"/>
        <v>3961.6141732283468</v>
      </c>
      <c r="M14" s="20">
        <f t="shared" si="3"/>
        <v>3534.4730991911024</v>
      </c>
      <c r="N14" s="19">
        <f t="shared" si="4"/>
        <v>1489.4783277851579</v>
      </c>
      <c r="O14" s="19">
        <f t="shared" si="4"/>
        <v>1328.8828369408557</v>
      </c>
      <c r="P14" s="18">
        <f t="shared" si="5"/>
        <v>2.7685059102934493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9.1399999999999988</v>
      </c>
      <c r="I18" s="13"/>
      <c r="J18" s="12"/>
      <c r="K18" s="15">
        <f t="shared" ref="K18:P18" si="6">AVERAGE(K9:K14)+K16/6</f>
        <v>380.83333333333331</v>
      </c>
      <c r="L18" s="15">
        <f t="shared" si="6"/>
        <v>3748.3595800524931</v>
      </c>
      <c r="M18" s="17">
        <f t="shared" si="6"/>
        <v>3344.2116073091797</v>
      </c>
      <c r="N18" s="16">
        <f t="shared" si="6"/>
        <v>1409.2993701818161</v>
      </c>
      <c r="O18" s="16">
        <f t="shared" si="6"/>
        <v>1257.3487711842049</v>
      </c>
      <c r="P18" s="15">
        <f t="shared" si="6"/>
        <v>2.6194766066337603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0.20811321705050637</v>
      </c>
      <c r="I19" s="13"/>
      <c r="J19" s="12"/>
      <c r="K19" s="10">
        <f t="shared" ref="K19:P19" si="7">STDEV(K9:K14)/SQRT(COUNT(K9:K14))</f>
        <v>52.02830426262657</v>
      </c>
      <c r="L19" s="10">
        <f t="shared" si="7"/>
        <v>512.08960888412003</v>
      </c>
      <c r="M19" s="11">
        <f t="shared" si="7"/>
        <v>456.87612872741164</v>
      </c>
      <c r="N19" s="10">
        <f t="shared" si="7"/>
        <v>192.53424007601075</v>
      </c>
      <c r="O19" s="10">
        <f t="shared" si="7"/>
        <v>171.77520638445043</v>
      </c>
      <c r="P19" s="9">
        <f t="shared" si="7"/>
        <v>0.35786501330093839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74A7-09C6-4A0F-8E82-0A8CBBD81F2F}">
  <sheetPr codeName="Sheet41">
    <pageSetUpPr fitToPage="1"/>
  </sheetPr>
  <dimension ref="A1:R22"/>
  <sheetViews>
    <sheetView topLeftCell="F1" workbookViewId="0">
      <selection activeCell="N6" sqref="N6:P6"/>
    </sheetView>
  </sheetViews>
  <sheetFormatPr defaultRowHeight="12.75" x14ac:dyDescent="0.2"/>
  <cols>
    <col min="1" max="8" width="9.140625" style="8"/>
    <col min="9" max="9" width="20.140625" style="8" customWidth="1"/>
    <col min="10" max="16384" width="9.140625" style="8"/>
  </cols>
  <sheetData>
    <row r="1" spans="1:18" ht="37.5" x14ac:dyDescent="0.2">
      <c r="A1" s="53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1" thickBot="1" x14ac:dyDescent="0.35">
      <c r="H2" s="52" t="s">
        <v>120</v>
      </c>
      <c r="I2" s="56">
        <v>8</v>
      </c>
      <c r="J2" s="50"/>
      <c r="K2" s="42" t="s">
        <v>119</v>
      </c>
      <c r="L2" s="49">
        <v>39400</v>
      </c>
      <c r="N2" s="42"/>
      <c r="O2" s="43"/>
    </row>
    <row r="3" spans="1:18" ht="17.25" thickTop="1" thickBot="1" x14ac:dyDescent="0.25">
      <c r="B3" s="45" t="s">
        <v>118</v>
      </c>
      <c r="C3" s="47">
        <v>39384</v>
      </c>
      <c r="I3" s="48"/>
      <c r="K3" s="42" t="s">
        <v>117</v>
      </c>
      <c r="L3" s="43">
        <v>1658.7</v>
      </c>
      <c r="N3" s="42" t="s">
        <v>116</v>
      </c>
      <c r="O3" s="41">
        <f>(L3-(L4+L5))/L3</f>
        <v>5.0521492735274585E-2</v>
      </c>
    </row>
    <row r="4" spans="1:18" ht="17.25" thickTop="1" thickBot="1" x14ac:dyDescent="0.25">
      <c r="B4" s="45" t="s">
        <v>115</v>
      </c>
      <c r="C4" s="47">
        <v>39387</v>
      </c>
      <c r="F4" s="40"/>
      <c r="G4" s="40"/>
      <c r="H4" s="45" t="s">
        <v>114</v>
      </c>
      <c r="I4" s="46" t="s">
        <v>113</v>
      </c>
      <c r="K4" s="42" t="s">
        <v>112</v>
      </c>
      <c r="L4" s="43">
        <v>582.1</v>
      </c>
      <c r="N4" s="42" t="s">
        <v>111</v>
      </c>
      <c r="O4" s="41">
        <f>L4/L3</f>
        <v>0.35093748115994455</v>
      </c>
    </row>
    <row r="5" spans="1:18" ht="17.25" thickTop="1" thickBot="1" x14ac:dyDescent="0.25">
      <c r="B5" s="45" t="s">
        <v>110</v>
      </c>
      <c r="C5" s="44">
        <v>0.6020833333333333</v>
      </c>
      <c r="F5" s="40"/>
      <c r="G5" s="40"/>
      <c r="K5" s="42" t="s">
        <v>109</v>
      </c>
      <c r="L5" s="43">
        <v>992.8</v>
      </c>
      <c r="N5" s="42" t="s">
        <v>108</v>
      </c>
      <c r="O5" s="41">
        <f>L5/L3</f>
        <v>0.59854102610478077</v>
      </c>
      <c r="Q5" s="18"/>
    </row>
    <row r="6" spans="1:18" ht="17.25" thickTop="1" thickBot="1" x14ac:dyDescent="0.25">
      <c r="F6" s="40"/>
      <c r="G6" s="40"/>
      <c r="K6" s="94" t="s">
        <v>107</v>
      </c>
      <c r="L6" s="94"/>
      <c r="M6" s="95"/>
      <c r="N6" s="94" t="s">
        <v>106</v>
      </c>
      <c r="O6" s="94"/>
      <c r="P6" s="94"/>
    </row>
    <row r="7" spans="1:18" ht="26.25" thickBot="1" x14ac:dyDescent="0.25">
      <c r="A7" s="32"/>
      <c r="B7" s="32"/>
      <c r="C7" s="30" t="s">
        <v>105</v>
      </c>
      <c r="D7" s="35" t="s">
        <v>104</v>
      </c>
      <c r="E7" s="39" t="s">
        <v>103</v>
      </c>
      <c r="F7" s="39" t="s">
        <v>102</v>
      </c>
      <c r="G7" s="39" t="s">
        <v>101</v>
      </c>
      <c r="H7" s="39" t="s">
        <v>100</v>
      </c>
      <c r="I7" s="30" t="s">
        <v>99</v>
      </c>
      <c r="J7" s="34"/>
      <c r="K7" s="38" t="s">
        <v>98</v>
      </c>
      <c r="L7" s="34" t="s">
        <v>97</v>
      </c>
      <c r="M7" s="37" t="s">
        <v>96</v>
      </c>
      <c r="N7" s="34" t="s">
        <v>97</v>
      </c>
      <c r="O7" s="34" t="s">
        <v>96</v>
      </c>
      <c r="P7" s="36" t="s">
        <v>95</v>
      </c>
      <c r="Q7" s="32"/>
      <c r="R7" s="32"/>
    </row>
    <row r="8" spans="1:18" ht="13.5" thickBot="1" x14ac:dyDescent="0.25">
      <c r="A8" s="32"/>
      <c r="B8" s="32"/>
      <c r="C8" s="30"/>
      <c r="D8" s="35"/>
      <c r="E8" s="30"/>
      <c r="F8" s="30"/>
      <c r="G8" s="30"/>
      <c r="H8" s="30"/>
      <c r="I8" s="30"/>
      <c r="J8" s="34"/>
      <c r="K8" s="32"/>
      <c r="L8" s="32"/>
      <c r="M8" s="33"/>
      <c r="N8" s="32"/>
      <c r="O8" s="32"/>
      <c r="P8" s="32"/>
      <c r="Q8" s="32"/>
      <c r="R8" s="32"/>
    </row>
    <row r="9" spans="1:18" ht="13.5" thickBot="1" x14ac:dyDescent="0.25">
      <c r="C9" s="30">
        <v>3</v>
      </c>
      <c r="D9" s="30">
        <v>4</v>
      </c>
      <c r="E9" s="28">
        <v>0.86</v>
      </c>
      <c r="F9" s="28">
        <v>0.8</v>
      </c>
      <c r="G9" s="23"/>
      <c r="H9" s="23">
        <f t="shared" ref="H9:H14" si="0">SUM(E9:G9)</f>
        <v>1.6600000000000001</v>
      </c>
      <c r="I9" s="107" t="s">
        <v>131</v>
      </c>
      <c r="K9" s="21">
        <f t="shared" ref="K9:K14" si="1">H9/D9*1000</f>
        <v>415.00000000000006</v>
      </c>
      <c r="L9" s="21">
        <f t="shared" ref="L9:L14" si="2">K9/1.016*10</f>
        <v>4084.6456692913393</v>
      </c>
      <c r="M9" s="20">
        <f t="shared" ref="M9:M14" si="3">L9/1.12085</f>
        <v>3644.2393445075968</v>
      </c>
      <c r="N9" s="19">
        <f t="shared" ref="N9:O14" si="4">L9*$O$4</f>
        <v>1433.4552626119785</v>
      </c>
      <c r="O9" s="19">
        <f t="shared" si="4"/>
        <v>1278.9001763054634</v>
      </c>
      <c r="P9" s="18">
        <f t="shared" ref="P9:P14" si="5">O9/480</f>
        <v>2.664375367303049</v>
      </c>
    </row>
    <row r="10" spans="1:18" ht="13.5" thickBot="1" x14ac:dyDescent="0.25">
      <c r="C10" s="30">
        <v>4</v>
      </c>
      <c r="D10" s="30">
        <v>4</v>
      </c>
      <c r="E10" s="28">
        <v>1.31</v>
      </c>
      <c r="F10" s="28"/>
      <c r="G10" s="23"/>
      <c r="H10" s="23">
        <f t="shared" si="0"/>
        <v>1.31</v>
      </c>
      <c r="I10" s="108"/>
      <c r="K10" s="21">
        <f t="shared" si="1"/>
        <v>327.5</v>
      </c>
      <c r="L10" s="21">
        <f t="shared" si="2"/>
        <v>3223.4251968503936</v>
      </c>
      <c r="M10" s="20">
        <f t="shared" si="3"/>
        <v>2875.8756272921387</v>
      </c>
      <c r="N10" s="19">
        <f t="shared" si="4"/>
        <v>1131.2207192901756</v>
      </c>
      <c r="O10" s="19">
        <f t="shared" si="4"/>
        <v>1009.2525487711787</v>
      </c>
      <c r="P10" s="18">
        <f t="shared" si="5"/>
        <v>2.1026094766066223</v>
      </c>
    </row>
    <row r="11" spans="1:18" ht="13.5" thickBot="1" x14ac:dyDescent="0.25">
      <c r="C11" s="30">
        <v>5</v>
      </c>
      <c r="D11" s="30">
        <v>4</v>
      </c>
      <c r="E11" s="28">
        <v>1.35</v>
      </c>
      <c r="F11" s="28"/>
      <c r="G11" s="23"/>
      <c r="H11" s="23">
        <f t="shared" si="0"/>
        <v>1.35</v>
      </c>
      <c r="I11" s="108"/>
      <c r="K11" s="21">
        <f t="shared" si="1"/>
        <v>337.5</v>
      </c>
      <c r="L11" s="21">
        <f t="shared" si="2"/>
        <v>3321.8503937007877</v>
      </c>
      <c r="M11" s="20">
        <f t="shared" si="3"/>
        <v>2963.6886235453344</v>
      </c>
      <c r="N11" s="19">
        <f t="shared" si="4"/>
        <v>1165.7618099555245</v>
      </c>
      <c r="O11" s="19">
        <f t="shared" si="4"/>
        <v>1040.0694204893828</v>
      </c>
      <c r="P11" s="18">
        <f t="shared" si="5"/>
        <v>2.166811292686214</v>
      </c>
    </row>
    <row r="12" spans="1:18" ht="13.5" thickBot="1" x14ac:dyDescent="0.25">
      <c r="C12" s="30">
        <v>6</v>
      </c>
      <c r="D12" s="30">
        <v>4</v>
      </c>
      <c r="E12" s="28">
        <v>0.9</v>
      </c>
      <c r="F12" s="28">
        <v>0.56999999999999995</v>
      </c>
      <c r="G12" s="23"/>
      <c r="H12" s="23">
        <f t="shared" si="0"/>
        <v>1.47</v>
      </c>
      <c r="I12" s="108"/>
      <c r="K12" s="21">
        <f t="shared" si="1"/>
        <v>367.5</v>
      </c>
      <c r="L12" s="21">
        <f t="shared" si="2"/>
        <v>3617.1259842519685</v>
      </c>
      <c r="M12" s="20">
        <f t="shared" si="3"/>
        <v>3227.1276123049192</v>
      </c>
      <c r="N12" s="19">
        <f t="shared" si="4"/>
        <v>1269.385081951571</v>
      </c>
      <c r="O12" s="19">
        <f t="shared" si="4"/>
        <v>1132.5200356439943</v>
      </c>
      <c r="P12" s="18">
        <f t="shared" si="5"/>
        <v>2.359416740924988</v>
      </c>
    </row>
    <row r="13" spans="1:18" ht="13.5" thickBot="1" x14ac:dyDescent="0.25">
      <c r="C13" s="30">
        <v>7</v>
      </c>
      <c r="D13" s="30">
        <v>4</v>
      </c>
      <c r="E13" s="28">
        <v>0.92</v>
      </c>
      <c r="F13" s="28"/>
      <c r="G13" s="23"/>
      <c r="H13" s="23">
        <f t="shared" si="0"/>
        <v>0.92</v>
      </c>
      <c r="I13" s="108"/>
      <c r="K13" s="21">
        <f t="shared" si="1"/>
        <v>230</v>
      </c>
      <c r="L13" s="21">
        <f t="shared" si="2"/>
        <v>2263.7795275590552</v>
      </c>
      <c r="M13" s="20">
        <f t="shared" si="3"/>
        <v>2019.6989138234869</v>
      </c>
      <c r="N13" s="19">
        <f t="shared" si="4"/>
        <v>794.44508530302414</v>
      </c>
      <c r="O13" s="19">
        <f t="shared" si="4"/>
        <v>708.7880495186904</v>
      </c>
      <c r="P13" s="18">
        <f t="shared" si="5"/>
        <v>1.4766417698306049</v>
      </c>
    </row>
    <row r="14" spans="1:18" ht="13.5" thickBot="1" x14ac:dyDescent="0.25">
      <c r="C14" s="30">
        <v>8</v>
      </c>
      <c r="D14" s="30">
        <v>4</v>
      </c>
      <c r="E14" s="28">
        <v>0.47</v>
      </c>
      <c r="F14" s="28"/>
      <c r="G14" s="23"/>
      <c r="H14" s="23">
        <f t="shared" si="0"/>
        <v>0.47</v>
      </c>
      <c r="I14" s="109"/>
      <c r="K14" s="21">
        <f t="shared" si="1"/>
        <v>117.5</v>
      </c>
      <c r="L14" s="21">
        <f t="shared" si="2"/>
        <v>1156.4960629921259</v>
      </c>
      <c r="M14" s="20">
        <f t="shared" si="3"/>
        <v>1031.802705975042</v>
      </c>
      <c r="N14" s="19">
        <f t="shared" si="4"/>
        <v>405.8578153178492</v>
      </c>
      <c r="O14" s="19">
        <f t="shared" si="4"/>
        <v>362.09824268889611</v>
      </c>
      <c r="P14" s="18">
        <f t="shared" si="5"/>
        <v>0.75437133893520025</v>
      </c>
    </row>
    <row r="15" spans="1:18" ht="13.5" thickBot="1" x14ac:dyDescent="0.25">
      <c r="C15" s="30"/>
      <c r="D15" s="30"/>
      <c r="E15" s="22"/>
      <c r="F15" s="22"/>
      <c r="G15" s="22"/>
      <c r="H15" s="23"/>
      <c r="I15" s="22"/>
      <c r="K15" s="21"/>
      <c r="L15" s="21"/>
      <c r="M15" s="20"/>
    </row>
    <row r="16" spans="1:18" ht="13.5" thickBot="1" x14ac:dyDescent="0.25">
      <c r="C16" s="96" t="s">
        <v>94</v>
      </c>
      <c r="D16" s="97"/>
      <c r="E16" s="29" t="s">
        <v>93</v>
      </c>
      <c r="F16" s="98" t="s">
        <v>92</v>
      </c>
      <c r="G16" s="99"/>
      <c r="H16" s="28"/>
      <c r="I16" s="22"/>
      <c r="K16" s="21">
        <f>H16/SUM($D$9:$D$14)</f>
        <v>0</v>
      </c>
      <c r="L16" s="21">
        <f>K16/1.016*10</f>
        <v>0</v>
      </c>
      <c r="M16" s="20">
        <f>L16/1.12085</f>
        <v>0</v>
      </c>
      <c r="N16" s="19">
        <f>L16*$O$4</f>
        <v>0</v>
      </c>
      <c r="O16" s="19">
        <f>M16*$O$4</f>
        <v>0</v>
      </c>
      <c r="P16" s="18">
        <f>O16/480</f>
        <v>0</v>
      </c>
    </row>
    <row r="17" spans="3:16" ht="13.5" thickBot="1" x14ac:dyDescent="0.25">
      <c r="C17" s="27"/>
      <c r="D17" s="25"/>
      <c r="E17" s="26"/>
      <c r="F17" s="25"/>
      <c r="G17" s="24"/>
      <c r="H17" s="23"/>
      <c r="I17" s="22"/>
      <c r="K17" s="21"/>
      <c r="L17" s="21"/>
      <c r="M17" s="20"/>
      <c r="N17" s="19"/>
      <c r="O17" s="19"/>
      <c r="P17" s="18"/>
    </row>
    <row r="18" spans="3:16" ht="16.5" thickBot="1" x14ac:dyDescent="0.25">
      <c r="C18" s="91" t="s">
        <v>91</v>
      </c>
      <c r="D18" s="92"/>
      <c r="E18" s="92"/>
      <c r="F18" s="92"/>
      <c r="G18" s="93"/>
      <c r="H18" s="14">
        <f>SUM(H9:H14,H16)</f>
        <v>7.18</v>
      </c>
      <c r="I18" s="13"/>
      <c r="J18" s="12"/>
      <c r="K18" s="15">
        <f t="shared" ref="K18:P18" si="6">AVERAGE(K9:K14)+K16/6</f>
        <v>299.16666666666669</v>
      </c>
      <c r="L18" s="15">
        <f t="shared" si="6"/>
        <v>2944.5538057742783</v>
      </c>
      <c r="M18" s="17">
        <f t="shared" si="6"/>
        <v>2627.0721379080865</v>
      </c>
      <c r="N18" s="16">
        <f t="shared" si="6"/>
        <v>1033.3542957383538</v>
      </c>
      <c r="O18" s="16">
        <f t="shared" si="6"/>
        <v>921.93807890293419</v>
      </c>
      <c r="P18" s="15">
        <f t="shared" si="6"/>
        <v>1.92070433104778</v>
      </c>
    </row>
    <row r="19" spans="3:16" ht="16.5" thickBot="1" x14ac:dyDescent="0.25">
      <c r="C19" s="91" t="s">
        <v>90</v>
      </c>
      <c r="D19" s="92"/>
      <c r="E19" s="92"/>
      <c r="F19" s="92"/>
      <c r="G19" s="92"/>
      <c r="H19" s="14">
        <f>STDEV(H9:H14)/SQRT(COUNT(H9:H14))</f>
        <v>0.17609971922496406</v>
      </c>
      <c r="I19" s="13"/>
      <c r="J19" s="12"/>
      <c r="K19" s="10">
        <f t="shared" ref="K19:P19" si="7">STDEV(K9:K14)/SQRT(COUNT(K9:K14))</f>
        <v>44.024929806240984</v>
      </c>
      <c r="L19" s="10">
        <f t="shared" si="7"/>
        <v>433.31623825040305</v>
      </c>
      <c r="M19" s="11">
        <f t="shared" si="7"/>
        <v>386.59609961226107</v>
      </c>
      <c r="N19" s="10">
        <f t="shared" si="7"/>
        <v>152.06690919729897</v>
      </c>
      <c r="O19" s="10">
        <f t="shared" si="7"/>
        <v>135.67106142418626</v>
      </c>
      <c r="P19" s="9">
        <f t="shared" si="7"/>
        <v>0.28264804463372067</v>
      </c>
    </row>
    <row r="21" spans="3:16" x14ac:dyDescent="0.2">
      <c r="C21" s="8" t="s">
        <v>89</v>
      </c>
    </row>
    <row r="22" spans="3:16" x14ac:dyDescent="0.2">
      <c r="C22" s="8" t="s">
        <v>88</v>
      </c>
    </row>
  </sheetData>
  <mergeCells count="7">
    <mergeCell ref="C18:G18"/>
    <mergeCell ref="C19:G19"/>
    <mergeCell ref="K6:M6"/>
    <mergeCell ref="N6:P6"/>
    <mergeCell ref="C16:D16"/>
    <mergeCell ref="F16:G16"/>
    <mergeCell ref="I9:I14"/>
  </mergeCells>
  <pageMargins left="0.75" right="0.75" top="1" bottom="0.52" header="0.5" footer="0.5"/>
  <pageSetup scale="75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0EBC-421B-49A4-892B-F6E34798A94A}">
  <sheetPr>
    <pageSetUpPr fitToPage="1"/>
  </sheetPr>
  <dimension ref="B1:I59"/>
  <sheetViews>
    <sheetView zoomScaleNormal="100" workbookViewId="0">
      <selection activeCell="H1" sqref="H1:H2"/>
    </sheetView>
  </sheetViews>
  <sheetFormatPr defaultRowHeight="12.75" x14ac:dyDescent="0.2"/>
  <cols>
    <col min="1" max="1" width="9.140625" style="8"/>
    <col min="2" max="2" width="6.5703125" style="48" customWidth="1"/>
    <col min="3" max="8" width="11.7109375" style="8" customWidth="1"/>
    <col min="9" max="9" width="15.42578125" style="8" customWidth="1"/>
    <col min="10" max="16384" width="9.140625" style="8"/>
  </cols>
  <sheetData>
    <row r="1" spans="2:9" ht="18" x14ac:dyDescent="0.25">
      <c r="B1" s="90" t="s">
        <v>149</v>
      </c>
      <c r="C1" s="89"/>
      <c r="D1" s="89"/>
      <c r="E1" s="89"/>
      <c r="F1" s="89"/>
      <c r="G1" s="89"/>
      <c r="H1" s="89"/>
      <c r="I1" s="89"/>
    </row>
    <row r="2" spans="2:9" ht="18" x14ac:dyDescent="0.25">
      <c r="B2" s="90" t="s">
        <v>148</v>
      </c>
      <c r="C2" s="89"/>
      <c r="D2" s="89"/>
      <c r="E2" s="89"/>
      <c r="F2" s="89"/>
      <c r="G2" s="89"/>
      <c r="H2" s="89"/>
      <c r="I2" s="89"/>
    </row>
    <row r="3" spans="2:9" ht="15" x14ac:dyDescent="0.25">
      <c r="B3" s="89"/>
      <c r="C3" s="89"/>
      <c r="D3" s="89"/>
      <c r="E3" s="89"/>
      <c r="F3" s="89"/>
      <c r="G3" s="89"/>
      <c r="H3" s="89"/>
      <c r="I3" s="89"/>
    </row>
    <row r="4" spans="2:9" ht="15" x14ac:dyDescent="0.25">
      <c r="E4" s="88"/>
      <c r="F4" s="88"/>
      <c r="G4" s="88" t="s">
        <v>147</v>
      </c>
      <c r="H4" s="87" t="s">
        <v>146</v>
      </c>
      <c r="I4" s="81"/>
    </row>
    <row r="5" spans="2:9" ht="15" x14ac:dyDescent="0.25">
      <c r="E5" s="88"/>
      <c r="F5" s="88"/>
      <c r="G5" s="88"/>
      <c r="H5" s="87"/>
      <c r="I5" s="81"/>
    </row>
    <row r="6" spans="2:9" ht="15.75" x14ac:dyDescent="0.25">
      <c r="B6" s="86" t="s">
        <v>145</v>
      </c>
      <c r="I6" s="81"/>
    </row>
    <row r="7" spans="2:9" x14ac:dyDescent="0.2">
      <c r="I7" s="81"/>
    </row>
    <row r="8" spans="2:9" ht="23.25" customHeight="1" x14ac:dyDescent="0.25">
      <c r="B8" s="85" t="s">
        <v>144</v>
      </c>
      <c r="C8" s="85"/>
      <c r="D8" s="85"/>
      <c r="E8" s="85"/>
      <c r="F8" s="85"/>
      <c r="G8" s="85"/>
      <c r="H8" s="85"/>
      <c r="I8" s="84"/>
    </row>
    <row r="9" spans="2:9" ht="23.25" customHeight="1" x14ac:dyDescent="0.2">
      <c r="B9" s="85" t="s">
        <v>143</v>
      </c>
      <c r="C9" s="85"/>
      <c r="D9" s="85"/>
      <c r="E9" s="85"/>
      <c r="F9" s="85"/>
      <c r="G9" s="85"/>
      <c r="H9" s="85"/>
      <c r="I9" s="84"/>
    </row>
    <row r="10" spans="2:9" x14ac:dyDescent="0.2">
      <c r="B10" s="82"/>
      <c r="C10" s="82"/>
      <c r="D10" s="82"/>
      <c r="E10" s="82"/>
      <c r="F10" s="82"/>
      <c r="G10" s="82"/>
      <c r="H10" s="82"/>
      <c r="I10" s="81"/>
    </row>
    <row r="11" spans="2:9" ht="38.25" x14ac:dyDescent="0.2">
      <c r="C11" s="83" t="s">
        <v>142</v>
      </c>
      <c r="D11" s="82">
        <v>124.1</v>
      </c>
      <c r="E11" s="83" t="s">
        <v>141</v>
      </c>
      <c r="F11" s="82">
        <v>21.1</v>
      </c>
      <c r="G11" s="83" t="s">
        <v>140</v>
      </c>
      <c r="H11" s="82">
        <v>61.9</v>
      </c>
      <c r="I11" s="81"/>
    </row>
    <row r="12" spans="2:9" ht="25.7" customHeight="1" x14ac:dyDescent="0.2">
      <c r="B12" s="82"/>
      <c r="C12" s="114"/>
      <c r="D12" s="114"/>
      <c r="E12" s="82"/>
      <c r="F12" s="82"/>
      <c r="G12" s="82"/>
      <c r="H12" s="82"/>
      <c r="I12" s="81"/>
    </row>
    <row r="14" spans="2:9" ht="15.75" x14ac:dyDescent="0.25">
      <c r="B14" s="80"/>
      <c r="C14" s="112" t="s">
        <v>139</v>
      </c>
      <c r="D14" s="110" t="s">
        <v>138</v>
      </c>
      <c r="E14" s="112" t="s">
        <v>137</v>
      </c>
      <c r="F14" s="110" t="s">
        <v>136</v>
      </c>
      <c r="G14" s="112" t="s">
        <v>135</v>
      </c>
      <c r="H14" s="110" t="s">
        <v>134</v>
      </c>
      <c r="I14" s="79"/>
    </row>
    <row r="15" spans="2:9" ht="15.75" x14ac:dyDescent="0.25">
      <c r="B15" s="78" t="s">
        <v>133</v>
      </c>
      <c r="C15" s="113"/>
      <c r="D15" s="111"/>
      <c r="E15" s="113"/>
      <c r="F15" s="111"/>
      <c r="G15" s="113"/>
      <c r="H15" s="111"/>
      <c r="I15" s="77" t="s">
        <v>132</v>
      </c>
    </row>
    <row r="16" spans="2:9" ht="20.100000000000001" customHeight="1" x14ac:dyDescent="0.25">
      <c r="B16" s="70">
        <v>1</v>
      </c>
      <c r="C16" s="76"/>
      <c r="D16" s="76"/>
      <c r="E16" s="76"/>
      <c r="F16" s="76"/>
      <c r="G16" s="76"/>
      <c r="H16" s="71"/>
      <c r="I16" s="71"/>
    </row>
    <row r="17" spans="2:9" ht="20.100000000000001" customHeight="1" x14ac:dyDescent="0.25">
      <c r="B17" s="70">
        <v>2</v>
      </c>
      <c r="C17" s="60">
        <v>3284.5</v>
      </c>
      <c r="D17" s="61">
        <f>C17-$D$11</f>
        <v>3160.4</v>
      </c>
      <c r="E17" s="62">
        <v>1187.9000000000001</v>
      </c>
      <c r="F17" s="61">
        <f>E17-$F$11</f>
        <v>1166.8000000000002</v>
      </c>
      <c r="G17" s="60">
        <v>1898.3</v>
      </c>
      <c r="H17" s="59">
        <f>G17-$H$11</f>
        <v>1836.3999999999999</v>
      </c>
      <c r="I17" s="58"/>
    </row>
    <row r="18" spans="2:9" ht="20.100000000000001" customHeight="1" x14ac:dyDescent="0.25">
      <c r="B18" s="70">
        <v>3</v>
      </c>
      <c r="C18" s="73"/>
      <c r="D18" s="74"/>
      <c r="E18" s="75"/>
      <c r="F18" s="74"/>
      <c r="G18" s="73"/>
      <c r="H18" s="72"/>
      <c r="I18" s="71"/>
    </row>
    <row r="19" spans="2:9" ht="20.100000000000001" customHeight="1" x14ac:dyDescent="0.25">
      <c r="B19" s="70">
        <v>4</v>
      </c>
      <c r="C19" s="60">
        <v>4295.5</v>
      </c>
      <c r="D19" s="61">
        <f>C19-$D$11</f>
        <v>4171.3999999999996</v>
      </c>
      <c r="E19" s="62">
        <v>1525.9</v>
      </c>
      <c r="F19" s="61">
        <f>E19-$F$11</f>
        <v>1504.8000000000002</v>
      </c>
      <c r="G19" s="60">
        <v>2567.9</v>
      </c>
      <c r="H19" s="59">
        <f>G19-$H$11</f>
        <v>2506</v>
      </c>
      <c r="I19" s="58"/>
    </row>
    <row r="20" spans="2:9" ht="20.100000000000001" customHeight="1" x14ac:dyDescent="0.25">
      <c r="B20" s="70">
        <v>5</v>
      </c>
      <c r="C20" s="60">
        <v>1948.5</v>
      </c>
      <c r="D20" s="61">
        <f>C20-$D$11</f>
        <v>1824.4</v>
      </c>
      <c r="E20" s="62">
        <v>646.70000000000005</v>
      </c>
      <c r="F20" s="61">
        <f>E20-$F$11</f>
        <v>625.6</v>
      </c>
      <c r="G20" s="60">
        <v>1190.3</v>
      </c>
      <c r="H20" s="59">
        <f>G20-$H$11</f>
        <v>1128.3999999999999</v>
      </c>
      <c r="I20" s="58"/>
    </row>
    <row r="21" spans="2:9" ht="20.100000000000001" customHeight="1" x14ac:dyDescent="0.25">
      <c r="B21" s="70">
        <v>6</v>
      </c>
      <c r="C21" s="60">
        <v>2966.2</v>
      </c>
      <c r="D21" s="61">
        <f>C21-$D$11</f>
        <v>2842.1</v>
      </c>
      <c r="E21" s="62">
        <v>1073.5999999999999</v>
      </c>
      <c r="F21" s="61">
        <f>E21-$F$11</f>
        <v>1052.5</v>
      </c>
      <c r="G21" s="60">
        <v>1722.6</v>
      </c>
      <c r="H21" s="59">
        <f>G21-$H$11</f>
        <v>1660.6999999999998</v>
      </c>
      <c r="I21" s="58"/>
    </row>
    <row r="22" spans="2:9" ht="20.100000000000001" customHeight="1" x14ac:dyDescent="0.25">
      <c r="B22" s="70">
        <v>7</v>
      </c>
      <c r="C22" s="60">
        <v>3128.8</v>
      </c>
      <c r="D22" s="61">
        <f>C22-$D$11</f>
        <v>3004.7000000000003</v>
      </c>
      <c r="E22" s="62">
        <v>1150.8</v>
      </c>
      <c r="F22" s="61">
        <f>E22-$F$11</f>
        <v>1129.7</v>
      </c>
      <c r="G22" s="60">
        <v>1824.3</v>
      </c>
      <c r="H22" s="59">
        <f>G22-$H$11</f>
        <v>1762.3999999999999</v>
      </c>
      <c r="I22" s="58"/>
    </row>
    <row r="23" spans="2:9" ht="20.100000000000001" customHeight="1" x14ac:dyDescent="0.25">
      <c r="B23" s="70">
        <v>8</v>
      </c>
      <c r="C23" s="60">
        <v>1782.8</v>
      </c>
      <c r="D23" s="61">
        <f>C23-$D$11</f>
        <v>1658.7</v>
      </c>
      <c r="E23" s="62">
        <v>603.20000000000005</v>
      </c>
      <c r="F23" s="61">
        <f>E23-$F$11</f>
        <v>582.1</v>
      </c>
      <c r="G23" s="60">
        <v>1054.7</v>
      </c>
      <c r="H23" s="59">
        <f>G23-$H$11</f>
        <v>992.80000000000007</v>
      </c>
      <c r="I23" s="58"/>
    </row>
    <row r="24" spans="2:9" ht="10.15" customHeight="1" x14ac:dyDescent="0.25">
      <c r="B24" s="69"/>
      <c r="C24" s="66"/>
      <c r="D24" s="67"/>
      <c r="E24" s="68"/>
      <c r="F24" s="67"/>
      <c r="G24" s="66"/>
      <c r="H24" s="65"/>
      <c r="I24" s="64"/>
    </row>
    <row r="25" spans="2:9" ht="20.100000000000001" customHeight="1" x14ac:dyDescent="0.25">
      <c r="B25" s="63">
        <v>11</v>
      </c>
      <c r="C25" s="60">
        <v>3054.8</v>
      </c>
      <c r="D25" s="61">
        <f t="shared" ref="D25:D32" si="0">C25-$D$11</f>
        <v>2930.7000000000003</v>
      </c>
      <c r="E25" s="62">
        <v>1067.0999999999999</v>
      </c>
      <c r="F25" s="61">
        <f t="shared" ref="F25:F32" si="1">E25-$F$11</f>
        <v>1046</v>
      </c>
      <c r="G25" s="60">
        <v>1828.9</v>
      </c>
      <c r="H25" s="59">
        <f t="shared" ref="H25:H32" si="2">G25-$H$11</f>
        <v>1767</v>
      </c>
      <c r="I25" s="58"/>
    </row>
    <row r="26" spans="2:9" ht="20.100000000000001" customHeight="1" x14ac:dyDescent="0.25">
      <c r="B26" s="63">
        <v>12</v>
      </c>
      <c r="C26" s="60">
        <v>2824.8</v>
      </c>
      <c r="D26" s="61">
        <f t="shared" si="0"/>
        <v>2700.7000000000003</v>
      </c>
      <c r="E26" s="62">
        <v>984.5</v>
      </c>
      <c r="F26" s="61">
        <f t="shared" si="1"/>
        <v>963.4</v>
      </c>
      <c r="G26" s="60">
        <v>1682.9</v>
      </c>
      <c r="H26" s="59">
        <f t="shared" si="2"/>
        <v>1621</v>
      </c>
      <c r="I26" s="58"/>
    </row>
    <row r="27" spans="2:9" ht="20.100000000000001" customHeight="1" x14ac:dyDescent="0.25">
      <c r="B27" s="63">
        <v>13</v>
      </c>
      <c r="C27" s="60">
        <v>3743.8</v>
      </c>
      <c r="D27" s="61">
        <f t="shared" si="0"/>
        <v>3619.7000000000003</v>
      </c>
      <c r="E27" s="62">
        <v>1341.3</v>
      </c>
      <c r="F27" s="61">
        <f t="shared" si="1"/>
        <v>1320.2</v>
      </c>
      <c r="G27" s="60">
        <v>2227.6</v>
      </c>
      <c r="H27" s="59">
        <f t="shared" si="2"/>
        <v>2165.6999999999998</v>
      </c>
      <c r="I27" s="58"/>
    </row>
    <row r="28" spans="2:9" ht="20.100000000000001" customHeight="1" x14ac:dyDescent="0.25">
      <c r="B28" s="63">
        <v>14</v>
      </c>
      <c r="C28" s="60">
        <v>2928.6</v>
      </c>
      <c r="D28" s="61">
        <f t="shared" si="0"/>
        <v>2804.5</v>
      </c>
      <c r="E28" s="62">
        <v>1048.2</v>
      </c>
      <c r="F28" s="61">
        <f t="shared" si="1"/>
        <v>1027.1000000000001</v>
      </c>
      <c r="G28" s="60">
        <v>1705.2</v>
      </c>
      <c r="H28" s="59">
        <f t="shared" si="2"/>
        <v>1643.3</v>
      </c>
      <c r="I28" s="58"/>
    </row>
    <row r="29" spans="2:9" ht="20.100000000000001" customHeight="1" x14ac:dyDescent="0.25">
      <c r="B29" s="63">
        <v>15</v>
      </c>
      <c r="C29" s="60">
        <v>3584.3</v>
      </c>
      <c r="D29" s="61">
        <f t="shared" si="0"/>
        <v>3460.2000000000003</v>
      </c>
      <c r="E29" s="62">
        <v>1301.2</v>
      </c>
      <c r="F29" s="61">
        <f t="shared" si="1"/>
        <v>1280.1000000000001</v>
      </c>
      <c r="G29" s="60">
        <v>2167.5</v>
      </c>
      <c r="H29" s="59">
        <f t="shared" si="2"/>
        <v>2105.6</v>
      </c>
      <c r="I29" s="58"/>
    </row>
    <row r="30" spans="2:9" ht="20.100000000000001" customHeight="1" x14ac:dyDescent="0.25">
      <c r="B30" s="63">
        <v>16</v>
      </c>
      <c r="C30" s="60">
        <v>3386.9</v>
      </c>
      <c r="D30" s="61">
        <f t="shared" si="0"/>
        <v>3262.8</v>
      </c>
      <c r="E30" s="62">
        <v>1241.9000000000001</v>
      </c>
      <c r="F30" s="61">
        <f t="shared" si="1"/>
        <v>1220.8000000000002</v>
      </c>
      <c r="G30" s="60">
        <v>2007.7</v>
      </c>
      <c r="H30" s="59">
        <f t="shared" si="2"/>
        <v>1945.8</v>
      </c>
      <c r="I30" s="58"/>
    </row>
    <row r="31" spans="2:9" ht="20.100000000000001" customHeight="1" x14ac:dyDescent="0.25">
      <c r="B31" s="63">
        <v>17</v>
      </c>
      <c r="C31" s="60">
        <v>2749</v>
      </c>
      <c r="D31" s="61">
        <f t="shared" si="0"/>
        <v>2624.9</v>
      </c>
      <c r="E31" s="62">
        <v>972.7</v>
      </c>
      <c r="F31" s="61">
        <f t="shared" si="1"/>
        <v>951.6</v>
      </c>
      <c r="G31" s="60">
        <v>1649</v>
      </c>
      <c r="H31" s="59">
        <f t="shared" si="2"/>
        <v>1587.1</v>
      </c>
      <c r="I31" s="58"/>
    </row>
    <row r="32" spans="2:9" ht="20.100000000000001" customHeight="1" x14ac:dyDescent="0.25">
      <c r="B32" s="63">
        <v>18</v>
      </c>
      <c r="C32" s="60">
        <v>2664.4</v>
      </c>
      <c r="D32" s="61">
        <f t="shared" si="0"/>
        <v>2540.3000000000002</v>
      </c>
      <c r="E32" s="62">
        <v>968.5</v>
      </c>
      <c r="F32" s="61">
        <f t="shared" si="1"/>
        <v>947.4</v>
      </c>
      <c r="G32" s="60">
        <v>1577.6</v>
      </c>
      <c r="H32" s="59">
        <f t="shared" si="2"/>
        <v>1515.6999999999998</v>
      </c>
      <c r="I32" s="58"/>
    </row>
    <row r="33" spans="2:9" ht="10.15" customHeight="1" x14ac:dyDescent="0.25">
      <c r="B33" s="69"/>
      <c r="C33" s="66"/>
      <c r="D33" s="67"/>
      <c r="E33" s="68"/>
      <c r="F33" s="67"/>
      <c r="G33" s="66"/>
      <c r="H33" s="65"/>
      <c r="I33" s="64"/>
    </row>
    <row r="34" spans="2:9" ht="20.100000000000001" customHeight="1" x14ac:dyDescent="0.25">
      <c r="B34" s="63">
        <v>21</v>
      </c>
      <c r="C34" s="60">
        <v>2070.9</v>
      </c>
      <c r="D34" s="61">
        <f t="shared" ref="D34:D41" si="3">C34-$D$11</f>
        <v>1946.8000000000002</v>
      </c>
      <c r="E34" s="62">
        <v>715.2</v>
      </c>
      <c r="F34" s="61">
        <f t="shared" ref="F34:F41" si="4">E34-$F$11</f>
        <v>694.1</v>
      </c>
      <c r="G34" s="60">
        <v>1234.5</v>
      </c>
      <c r="H34" s="59">
        <f t="shared" ref="H34:H41" si="5">G34-$H$11</f>
        <v>1172.5999999999999</v>
      </c>
      <c r="I34" s="58"/>
    </row>
    <row r="35" spans="2:9" ht="20.100000000000001" customHeight="1" x14ac:dyDescent="0.25">
      <c r="B35" s="63">
        <v>22</v>
      </c>
      <c r="C35" s="60">
        <v>2466.1999999999998</v>
      </c>
      <c r="D35" s="61">
        <f t="shared" si="3"/>
        <v>2342.1</v>
      </c>
      <c r="E35" s="62">
        <v>878.8</v>
      </c>
      <c r="F35" s="61">
        <f t="shared" si="4"/>
        <v>857.69999999999993</v>
      </c>
      <c r="G35" s="60">
        <v>1448.1</v>
      </c>
      <c r="H35" s="59">
        <f t="shared" si="5"/>
        <v>1386.1999999999998</v>
      </c>
      <c r="I35" s="58"/>
    </row>
    <row r="36" spans="2:9" ht="20.100000000000001" customHeight="1" x14ac:dyDescent="0.25">
      <c r="B36" s="63">
        <v>23</v>
      </c>
      <c r="C36" s="60">
        <v>3014.6</v>
      </c>
      <c r="D36" s="61">
        <f t="shared" si="3"/>
        <v>2890.5</v>
      </c>
      <c r="E36" s="62">
        <v>1086.5</v>
      </c>
      <c r="F36" s="61">
        <f t="shared" si="4"/>
        <v>1065.4000000000001</v>
      </c>
      <c r="G36" s="60">
        <v>1772.8</v>
      </c>
      <c r="H36" s="59">
        <f t="shared" si="5"/>
        <v>1710.8999999999999</v>
      </c>
      <c r="I36" s="58"/>
    </row>
    <row r="37" spans="2:9" ht="20.100000000000001" customHeight="1" x14ac:dyDescent="0.25">
      <c r="B37" s="63">
        <v>24</v>
      </c>
      <c r="C37" s="60">
        <v>2637.6</v>
      </c>
      <c r="D37" s="61">
        <f t="shared" si="3"/>
        <v>2513.5</v>
      </c>
      <c r="E37" s="62">
        <v>923.2</v>
      </c>
      <c r="F37" s="61">
        <f t="shared" si="4"/>
        <v>902.1</v>
      </c>
      <c r="G37" s="60">
        <v>1553.6</v>
      </c>
      <c r="H37" s="59">
        <f t="shared" si="5"/>
        <v>1491.6999999999998</v>
      </c>
      <c r="I37" s="58"/>
    </row>
    <row r="38" spans="2:9" ht="20.100000000000001" customHeight="1" x14ac:dyDescent="0.25">
      <c r="B38" s="63">
        <v>25</v>
      </c>
      <c r="C38" s="60">
        <v>2915.4</v>
      </c>
      <c r="D38" s="61">
        <f t="shared" si="3"/>
        <v>2791.3</v>
      </c>
      <c r="E38" s="62">
        <v>1025.4000000000001</v>
      </c>
      <c r="F38" s="61">
        <f t="shared" si="4"/>
        <v>1004.3000000000001</v>
      </c>
      <c r="G38" s="60">
        <v>1745.1</v>
      </c>
      <c r="H38" s="59">
        <f t="shared" si="5"/>
        <v>1683.1999999999998</v>
      </c>
      <c r="I38" s="58"/>
    </row>
    <row r="39" spans="2:9" ht="20.100000000000001" customHeight="1" x14ac:dyDescent="0.25">
      <c r="B39" s="63">
        <v>26</v>
      </c>
      <c r="C39" s="60">
        <v>3082.9</v>
      </c>
      <c r="D39" s="61">
        <f t="shared" si="3"/>
        <v>2958.8</v>
      </c>
      <c r="E39" s="62">
        <v>1109.2</v>
      </c>
      <c r="F39" s="61">
        <f t="shared" si="4"/>
        <v>1088.1000000000001</v>
      </c>
      <c r="G39" s="60">
        <v>1844</v>
      </c>
      <c r="H39" s="59">
        <f t="shared" si="5"/>
        <v>1782.1</v>
      </c>
      <c r="I39" s="58"/>
    </row>
    <row r="40" spans="2:9" ht="20.100000000000001" customHeight="1" x14ac:dyDescent="0.25">
      <c r="B40" s="63">
        <v>27</v>
      </c>
      <c r="C40" s="60">
        <v>2730.3</v>
      </c>
      <c r="D40" s="61">
        <f t="shared" si="3"/>
        <v>2606.2000000000003</v>
      </c>
      <c r="E40" s="62">
        <v>943</v>
      </c>
      <c r="F40" s="61">
        <f t="shared" si="4"/>
        <v>921.9</v>
      </c>
      <c r="G40" s="60">
        <v>1604.8</v>
      </c>
      <c r="H40" s="59">
        <f t="shared" si="5"/>
        <v>1542.8999999999999</v>
      </c>
      <c r="I40" s="58"/>
    </row>
    <row r="41" spans="2:9" ht="20.100000000000001" customHeight="1" x14ac:dyDescent="0.25">
      <c r="B41" s="63">
        <v>28</v>
      </c>
      <c r="C41" s="60">
        <v>2623.7</v>
      </c>
      <c r="D41" s="61">
        <f t="shared" si="3"/>
        <v>2499.6</v>
      </c>
      <c r="E41" s="62">
        <v>918.9</v>
      </c>
      <c r="F41" s="61">
        <f t="shared" si="4"/>
        <v>897.8</v>
      </c>
      <c r="G41" s="60">
        <v>1537.4</v>
      </c>
      <c r="H41" s="59">
        <f t="shared" si="5"/>
        <v>1475.5</v>
      </c>
      <c r="I41" s="58"/>
    </row>
    <row r="42" spans="2:9" ht="10.15" customHeight="1" x14ac:dyDescent="0.25">
      <c r="B42" s="69"/>
      <c r="C42" s="66"/>
      <c r="D42" s="67"/>
      <c r="E42" s="68"/>
      <c r="F42" s="67"/>
      <c r="G42" s="66"/>
      <c r="H42" s="65"/>
      <c r="I42" s="64"/>
    </row>
    <row r="43" spans="2:9" ht="20.100000000000001" customHeight="1" x14ac:dyDescent="0.25">
      <c r="B43" s="63">
        <v>31</v>
      </c>
      <c r="C43" s="60">
        <v>4091</v>
      </c>
      <c r="D43" s="61">
        <f t="shared" ref="D43:D50" si="6">C43-$D$11</f>
        <v>3966.9</v>
      </c>
      <c r="E43" s="62">
        <v>1461.2</v>
      </c>
      <c r="F43" s="61">
        <f t="shared" ref="F43:F50" si="7">E43-$F$11</f>
        <v>1440.1000000000001</v>
      </c>
      <c r="G43" s="60">
        <v>2405</v>
      </c>
      <c r="H43" s="59">
        <f t="shared" ref="H43:H50" si="8">G43-$H$11</f>
        <v>2343.1</v>
      </c>
      <c r="I43" s="58"/>
    </row>
    <row r="44" spans="2:9" ht="20.100000000000001" customHeight="1" x14ac:dyDescent="0.25">
      <c r="B44" s="63">
        <v>32</v>
      </c>
      <c r="C44" s="60">
        <v>2433.4</v>
      </c>
      <c r="D44" s="61">
        <f t="shared" si="6"/>
        <v>2309.3000000000002</v>
      </c>
      <c r="E44" s="62">
        <v>849.9</v>
      </c>
      <c r="F44" s="61">
        <f t="shared" si="7"/>
        <v>828.8</v>
      </c>
      <c r="G44" s="60">
        <v>1444</v>
      </c>
      <c r="H44" s="59">
        <f t="shared" si="8"/>
        <v>1382.1</v>
      </c>
      <c r="I44" s="58"/>
    </row>
    <row r="45" spans="2:9" ht="20.100000000000001" customHeight="1" x14ac:dyDescent="0.25">
      <c r="B45" s="63">
        <v>33</v>
      </c>
      <c r="C45" s="60">
        <v>2707.3</v>
      </c>
      <c r="D45" s="61">
        <f t="shared" si="6"/>
        <v>2583.2000000000003</v>
      </c>
      <c r="E45" s="62">
        <v>951.2</v>
      </c>
      <c r="F45" s="61">
        <f t="shared" si="7"/>
        <v>930.1</v>
      </c>
      <c r="G45" s="60">
        <v>1616.6</v>
      </c>
      <c r="H45" s="59">
        <f t="shared" si="8"/>
        <v>1554.6999999999998</v>
      </c>
      <c r="I45" s="58"/>
    </row>
    <row r="46" spans="2:9" ht="20.100000000000001" customHeight="1" x14ac:dyDescent="0.25">
      <c r="B46" s="63">
        <v>34</v>
      </c>
      <c r="C46" s="60">
        <v>2824.1</v>
      </c>
      <c r="D46" s="61">
        <f t="shared" si="6"/>
        <v>2700</v>
      </c>
      <c r="E46" s="62">
        <v>987.7</v>
      </c>
      <c r="F46" s="61">
        <f t="shared" si="7"/>
        <v>966.6</v>
      </c>
      <c r="G46" s="60">
        <v>1686.3</v>
      </c>
      <c r="H46" s="59">
        <f t="shared" si="8"/>
        <v>1624.3999999999999</v>
      </c>
      <c r="I46" s="58"/>
    </row>
    <row r="47" spans="2:9" ht="20.100000000000001" customHeight="1" x14ac:dyDescent="0.25">
      <c r="B47" s="63">
        <v>35</v>
      </c>
      <c r="C47" s="60">
        <v>2660.7</v>
      </c>
      <c r="D47" s="61">
        <f t="shared" si="6"/>
        <v>2536.6</v>
      </c>
      <c r="E47" s="62">
        <v>933.1</v>
      </c>
      <c r="F47" s="61">
        <f t="shared" si="7"/>
        <v>912</v>
      </c>
      <c r="G47" s="60">
        <v>1612.3</v>
      </c>
      <c r="H47" s="59">
        <f t="shared" si="8"/>
        <v>1550.3999999999999</v>
      </c>
      <c r="I47" s="58"/>
    </row>
    <row r="48" spans="2:9" ht="20.100000000000001" customHeight="1" x14ac:dyDescent="0.25">
      <c r="B48" s="63">
        <v>36</v>
      </c>
      <c r="C48" s="60">
        <v>2878.3</v>
      </c>
      <c r="D48" s="61">
        <f t="shared" si="6"/>
        <v>2754.2000000000003</v>
      </c>
      <c r="E48" s="62">
        <v>1003.3</v>
      </c>
      <c r="F48" s="61">
        <f t="shared" si="7"/>
        <v>982.19999999999993</v>
      </c>
      <c r="G48" s="60">
        <v>1732.9</v>
      </c>
      <c r="H48" s="59">
        <f t="shared" si="8"/>
        <v>1671</v>
      </c>
      <c r="I48" s="58"/>
    </row>
    <row r="49" spans="2:9" ht="20.100000000000001" customHeight="1" x14ac:dyDescent="0.25">
      <c r="B49" s="63">
        <v>37</v>
      </c>
      <c r="C49" s="60">
        <v>2182.8000000000002</v>
      </c>
      <c r="D49" s="61">
        <f t="shared" si="6"/>
        <v>2058.7000000000003</v>
      </c>
      <c r="E49" s="62">
        <v>767</v>
      </c>
      <c r="F49" s="61">
        <f t="shared" si="7"/>
        <v>745.9</v>
      </c>
      <c r="G49" s="60">
        <v>1260</v>
      </c>
      <c r="H49" s="59">
        <f t="shared" si="8"/>
        <v>1198.0999999999999</v>
      </c>
      <c r="I49" s="58"/>
    </row>
    <row r="50" spans="2:9" ht="20.100000000000001" customHeight="1" x14ac:dyDescent="0.25">
      <c r="B50" s="63">
        <v>38</v>
      </c>
      <c r="C50" s="60">
        <v>2872.1</v>
      </c>
      <c r="D50" s="61">
        <f t="shared" si="6"/>
        <v>2748</v>
      </c>
      <c r="E50" s="62">
        <v>1034.4000000000001</v>
      </c>
      <c r="F50" s="61">
        <f t="shared" si="7"/>
        <v>1013.3000000000001</v>
      </c>
      <c r="G50" s="60">
        <v>1681.3</v>
      </c>
      <c r="H50" s="59">
        <f t="shared" si="8"/>
        <v>1619.3999999999999</v>
      </c>
      <c r="I50" s="58"/>
    </row>
    <row r="51" spans="2:9" ht="10.15" customHeight="1" x14ac:dyDescent="0.25">
      <c r="B51" s="69"/>
      <c r="C51" s="66"/>
      <c r="D51" s="67"/>
      <c r="E51" s="68"/>
      <c r="F51" s="67"/>
      <c r="G51" s="66"/>
      <c r="H51" s="65"/>
      <c r="I51" s="64"/>
    </row>
    <row r="52" spans="2:9" ht="20.100000000000001" customHeight="1" x14ac:dyDescent="0.25">
      <c r="B52" s="63">
        <v>41</v>
      </c>
      <c r="C52" s="60">
        <v>1806.2</v>
      </c>
      <c r="D52" s="61">
        <f t="shared" ref="D52:D59" si="9">C52-$D$11</f>
        <v>1682.1000000000001</v>
      </c>
      <c r="E52" s="62">
        <v>578.70000000000005</v>
      </c>
      <c r="F52" s="61">
        <f t="shared" ref="F52:F59" si="10">E52-$F$11</f>
        <v>557.6</v>
      </c>
      <c r="G52" s="60">
        <v>1059.0999999999999</v>
      </c>
      <c r="H52" s="59">
        <f t="shared" ref="H52:H59" si="11">G52-$H$11</f>
        <v>997.19999999999993</v>
      </c>
      <c r="I52" s="58"/>
    </row>
    <row r="53" spans="2:9" ht="20.100000000000001" customHeight="1" x14ac:dyDescent="0.25">
      <c r="B53" s="63">
        <v>42</v>
      </c>
      <c r="C53" s="60">
        <v>2103.3000000000002</v>
      </c>
      <c r="D53" s="61">
        <f t="shared" si="9"/>
        <v>1979.2000000000003</v>
      </c>
      <c r="E53" s="62">
        <v>675.3</v>
      </c>
      <c r="F53" s="61">
        <f t="shared" si="10"/>
        <v>654.19999999999993</v>
      </c>
      <c r="G53" s="60">
        <v>1242.9000000000001</v>
      </c>
      <c r="H53" s="59">
        <f t="shared" si="11"/>
        <v>1181</v>
      </c>
      <c r="I53" s="58"/>
    </row>
    <row r="54" spans="2:9" ht="20.100000000000001" customHeight="1" x14ac:dyDescent="0.25">
      <c r="B54" s="63">
        <v>43</v>
      </c>
      <c r="C54" s="60">
        <v>2298.1</v>
      </c>
      <c r="D54" s="61">
        <f t="shared" si="9"/>
        <v>2174</v>
      </c>
      <c r="E54" s="62">
        <v>787.9</v>
      </c>
      <c r="F54" s="61">
        <f t="shared" si="10"/>
        <v>766.8</v>
      </c>
      <c r="G54" s="60">
        <v>1386.6</v>
      </c>
      <c r="H54" s="59">
        <f t="shared" si="11"/>
        <v>1324.6999999999998</v>
      </c>
      <c r="I54" s="58"/>
    </row>
    <row r="55" spans="2:9" ht="20.100000000000001" customHeight="1" x14ac:dyDescent="0.25">
      <c r="B55" s="63">
        <v>44</v>
      </c>
      <c r="C55" s="60">
        <v>2789.8</v>
      </c>
      <c r="D55" s="61">
        <f t="shared" si="9"/>
        <v>2665.7000000000003</v>
      </c>
      <c r="E55" s="62">
        <v>961</v>
      </c>
      <c r="F55" s="61">
        <f t="shared" si="10"/>
        <v>939.9</v>
      </c>
      <c r="G55" s="60">
        <v>1692.8</v>
      </c>
      <c r="H55" s="59">
        <f t="shared" si="11"/>
        <v>1630.8999999999999</v>
      </c>
      <c r="I55" s="58"/>
    </row>
    <row r="56" spans="2:9" ht="20.100000000000001" customHeight="1" x14ac:dyDescent="0.25">
      <c r="B56" s="63">
        <v>45</v>
      </c>
      <c r="C56" s="60">
        <v>2609.9</v>
      </c>
      <c r="D56" s="61">
        <f t="shared" si="9"/>
        <v>2485.8000000000002</v>
      </c>
      <c r="E56" s="62">
        <v>908</v>
      </c>
      <c r="F56" s="61">
        <f t="shared" si="10"/>
        <v>886.9</v>
      </c>
      <c r="G56" s="60">
        <v>1536.1</v>
      </c>
      <c r="H56" s="59">
        <f t="shared" si="11"/>
        <v>1474.1999999999998</v>
      </c>
      <c r="I56" s="58"/>
    </row>
    <row r="57" spans="2:9" ht="20.100000000000001" customHeight="1" x14ac:dyDescent="0.25">
      <c r="B57" s="63">
        <v>46</v>
      </c>
      <c r="C57" s="60">
        <v>3026.2</v>
      </c>
      <c r="D57" s="61">
        <f t="shared" si="9"/>
        <v>2902.1</v>
      </c>
      <c r="E57" s="62">
        <v>1054.5</v>
      </c>
      <c r="F57" s="61">
        <f t="shared" si="10"/>
        <v>1033.4000000000001</v>
      </c>
      <c r="G57" s="60">
        <v>1817.5</v>
      </c>
      <c r="H57" s="59">
        <f t="shared" si="11"/>
        <v>1755.6</v>
      </c>
      <c r="I57" s="58"/>
    </row>
    <row r="58" spans="2:9" ht="20.100000000000001" customHeight="1" x14ac:dyDescent="0.25">
      <c r="B58" s="63">
        <v>47</v>
      </c>
      <c r="C58" s="60">
        <v>2044.5</v>
      </c>
      <c r="D58" s="61">
        <f t="shared" si="9"/>
        <v>1920.4</v>
      </c>
      <c r="E58" s="62">
        <v>684.8</v>
      </c>
      <c r="F58" s="61">
        <f t="shared" si="10"/>
        <v>663.69999999999993</v>
      </c>
      <c r="G58" s="60">
        <v>1214</v>
      </c>
      <c r="H58" s="59">
        <f t="shared" si="11"/>
        <v>1152.0999999999999</v>
      </c>
      <c r="I58" s="58"/>
    </row>
    <row r="59" spans="2:9" ht="20.100000000000001" customHeight="1" x14ac:dyDescent="0.25">
      <c r="B59" s="63">
        <v>48</v>
      </c>
      <c r="C59" s="60">
        <v>2986.4</v>
      </c>
      <c r="D59" s="61">
        <f t="shared" si="9"/>
        <v>2862.3</v>
      </c>
      <c r="E59" s="62">
        <v>1049.8</v>
      </c>
      <c r="F59" s="61">
        <f t="shared" si="10"/>
        <v>1028.7</v>
      </c>
      <c r="G59" s="60">
        <v>1771.3</v>
      </c>
      <c r="H59" s="59">
        <f t="shared" si="11"/>
        <v>1709.3999999999999</v>
      </c>
      <c r="I59" s="58"/>
    </row>
  </sheetData>
  <mergeCells count="7">
    <mergeCell ref="H14:H15"/>
    <mergeCell ref="C14:C15"/>
    <mergeCell ref="E14:E15"/>
    <mergeCell ref="G14:G15"/>
    <mergeCell ref="C12:D12"/>
    <mergeCell ref="D14:D15"/>
    <mergeCell ref="F14:F15"/>
  </mergeCells>
  <pageMargins left="0.75" right="0.75" top="0.48" bottom="0.26" header="0.51" footer="0.27"/>
  <pageSetup scale="83" orientation="portrait" r:id="rId1"/>
  <headerFooter alignWithMargins="0"/>
  <rowBreaks count="1" manualBreakCount="1">
    <brk id="42" min="1" max="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FDB8-1555-46AD-B01F-A25556D9956F}">
  <dimension ref="A1:F3422"/>
  <sheetViews>
    <sheetView workbookViewId="0"/>
  </sheetViews>
  <sheetFormatPr defaultRowHeight="15" x14ac:dyDescent="0.25"/>
  <sheetData>
    <row r="1" spans="1:6" x14ac:dyDescent="0.25">
      <c r="A1" t="s">
        <v>150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6" x14ac:dyDescent="0.25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</row>
    <row r="3" spans="1:6" x14ac:dyDescent="0.25">
      <c r="A3">
        <v>-111.97374499999999</v>
      </c>
      <c r="B3">
        <v>33.069017000000002</v>
      </c>
      <c r="C3">
        <v>5.0000000000000001E-3</v>
      </c>
      <c r="D3">
        <v>5.9500000000000004E-3</v>
      </c>
      <c r="E3">
        <v>878750941</v>
      </c>
      <c r="F3">
        <v>160</v>
      </c>
    </row>
    <row r="4" spans="1:6" x14ac:dyDescent="0.25">
      <c r="A4">
        <v>-111.973744</v>
      </c>
      <c r="B4">
        <v>33.069011000000003</v>
      </c>
      <c r="C4">
        <v>0.22500000000000001</v>
      </c>
      <c r="D4">
        <v>0.26774999999999999</v>
      </c>
      <c r="E4">
        <v>878750943</v>
      </c>
      <c r="F4">
        <v>160</v>
      </c>
    </row>
    <row r="5" spans="1:6" x14ac:dyDescent="0.25">
      <c r="A5">
        <v>-111.973744</v>
      </c>
      <c r="B5">
        <v>33.069006000000002</v>
      </c>
      <c r="C5">
        <v>1.0149999999999999</v>
      </c>
      <c r="D5">
        <v>1.2078500000000001</v>
      </c>
      <c r="E5">
        <v>878750945</v>
      </c>
      <c r="F5">
        <v>160</v>
      </c>
    </row>
    <row r="6" spans="1:6" x14ac:dyDescent="0.25">
      <c r="A6">
        <v>-111.97374499999999</v>
      </c>
      <c r="B6">
        <v>33.068995999999999</v>
      </c>
      <c r="C6">
        <v>0.60499999999999998</v>
      </c>
      <c r="D6">
        <v>0.71994999999999998</v>
      </c>
      <c r="E6">
        <v>878750947</v>
      </c>
      <c r="F6">
        <v>160</v>
      </c>
    </row>
    <row r="7" spans="1:6" x14ac:dyDescent="0.25">
      <c r="A7">
        <v>-111.97374499999999</v>
      </c>
      <c r="B7">
        <v>33.068987</v>
      </c>
      <c r="C7">
        <v>0.72</v>
      </c>
      <c r="D7">
        <v>0.85680000000000001</v>
      </c>
      <c r="E7">
        <v>878750949</v>
      </c>
      <c r="F7">
        <v>160</v>
      </c>
    </row>
    <row r="8" spans="1:6" x14ac:dyDescent="0.25">
      <c r="A8">
        <v>-111.97374499999999</v>
      </c>
      <c r="B8">
        <v>33.068978999999999</v>
      </c>
      <c r="C8">
        <v>0.51</v>
      </c>
      <c r="D8">
        <v>0.6069</v>
      </c>
      <c r="E8">
        <v>878750951</v>
      </c>
      <c r="F8">
        <v>160</v>
      </c>
    </row>
    <row r="9" spans="1:6" x14ac:dyDescent="0.25">
      <c r="A9">
        <v>-111.97374499999999</v>
      </c>
      <c r="B9">
        <v>33.068970999999998</v>
      </c>
      <c r="C9">
        <v>0.80500000000000005</v>
      </c>
      <c r="D9">
        <v>0.95794999999999997</v>
      </c>
      <c r="E9">
        <v>878750953</v>
      </c>
      <c r="F9">
        <v>160</v>
      </c>
    </row>
    <row r="10" spans="1:6" x14ac:dyDescent="0.25">
      <c r="A10">
        <v>-111.973744</v>
      </c>
      <c r="B10">
        <v>33.068962999999997</v>
      </c>
      <c r="C10">
        <v>0.79</v>
      </c>
      <c r="D10">
        <v>0.94010000000000005</v>
      </c>
      <c r="E10">
        <v>878750955</v>
      </c>
      <c r="F10">
        <v>160</v>
      </c>
    </row>
    <row r="11" spans="1:6" x14ac:dyDescent="0.25">
      <c r="A11">
        <v>-111.97374499999999</v>
      </c>
      <c r="B11">
        <v>33.068956999999997</v>
      </c>
      <c r="C11">
        <v>0.72</v>
      </c>
      <c r="D11">
        <v>0.85680000000000001</v>
      </c>
      <c r="E11">
        <v>878750957</v>
      </c>
      <c r="F11">
        <v>160</v>
      </c>
    </row>
    <row r="12" spans="1:6" x14ac:dyDescent="0.25">
      <c r="A12">
        <v>-111.973744</v>
      </c>
      <c r="B12">
        <v>33.068950000000001</v>
      </c>
      <c r="C12">
        <v>0.68500000000000005</v>
      </c>
      <c r="D12">
        <v>0.81515000000000004</v>
      </c>
      <c r="E12">
        <v>878750959</v>
      </c>
      <c r="F12">
        <v>160</v>
      </c>
    </row>
    <row r="13" spans="1:6" x14ac:dyDescent="0.25">
      <c r="A13">
        <v>-111.97374499999999</v>
      </c>
      <c r="B13">
        <v>33.068942999999997</v>
      </c>
      <c r="C13">
        <v>0.46500000000000002</v>
      </c>
      <c r="D13">
        <v>0.55335000000000001</v>
      </c>
      <c r="E13">
        <v>878750961</v>
      </c>
      <c r="F13">
        <v>160</v>
      </c>
    </row>
    <row r="14" spans="1:6" x14ac:dyDescent="0.25">
      <c r="A14">
        <v>-111.973744</v>
      </c>
      <c r="B14">
        <v>33.068935000000003</v>
      </c>
      <c r="C14">
        <v>0.39500000000000002</v>
      </c>
      <c r="D14">
        <v>0.47005000000000002</v>
      </c>
      <c r="E14">
        <v>878750963</v>
      </c>
      <c r="F14">
        <v>160</v>
      </c>
    </row>
    <row r="15" spans="1:6" x14ac:dyDescent="0.25">
      <c r="A15">
        <v>-111.973744</v>
      </c>
      <c r="B15">
        <v>33.068927000000002</v>
      </c>
      <c r="C15">
        <v>0.46500000000000002</v>
      </c>
      <c r="D15">
        <v>0.55335000000000001</v>
      </c>
      <c r="E15">
        <v>878750965</v>
      </c>
      <c r="F15">
        <v>160</v>
      </c>
    </row>
    <row r="16" spans="1:6" x14ac:dyDescent="0.25">
      <c r="A16">
        <v>-111.973744</v>
      </c>
      <c r="B16">
        <v>33.068919999999999</v>
      </c>
      <c r="C16">
        <v>4.4999999999999998E-2</v>
      </c>
      <c r="D16">
        <v>5.355E-2</v>
      </c>
      <c r="E16">
        <v>878750967</v>
      </c>
      <c r="F16">
        <v>160</v>
      </c>
    </row>
    <row r="17" spans="1:6" x14ac:dyDescent="0.25">
      <c r="A17">
        <v>-111.973744</v>
      </c>
      <c r="B17">
        <v>33.068911999999997</v>
      </c>
      <c r="C17">
        <v>5.5E-2</v>
      </c>
      <c r="D17">
        <v>6.5449999999999994E-2</v>
      </c>
      <c r="E17">
        <v>878750969</v>
      </c>
      <c r="F17">
        <v>160</v>
      </c>
    </row>
    <row r="18" spans="1:6" x14ac:dyDescent="0.25">
      <c r="A18">
        <v>-111.97374499999999</v>
      </c>
      <c r="B18">
        <v>33.068902999999999</v>
      </c>
      <c r="C18">
        <v>2.5000000000000001E-2</v>
      </c>
      <c r="D18">
        <v>2.9749999999999999E-2</v>
      </c>
      <c r="E18">
        <v>878750971</v>
      </c>
      <c r="F18">
        <v>160</v>
      </c>
    </row>
    <row r="19" spans="1:6" x14ac:dyDescent="0.25">
      <c r="A19">
        <v>-111.97374499999999</v>
      </c>
      <c r="B19">
        <v>33.068896000000002</v>
      </c>
      <c r="C19">
        <v>0.06</v>
      </c>
      <c r="D19">
        <v>7.1400000000000005E-2</v>
      </c>
      <c r="E19">
        <v>878750973</v>
      </c>
      <c r="F19">
        <v>160</v>
      </c>
    </row>
    <row r="20" spans="1:6" x14ac:dyDescent="0.25">
      <c r="A20">
        <v>-111.97374499999999</v>
      </c>
      <c r="B20">
        <v>33.068888000000001</v>
      </c>
      <c r="C20">
        <v>0.215</v>
      </c>
      <c r="D20">
        <v>0.25585000000000002</v>
      </c>
      <c r="E20">
        <v>878750975</v>
      </c>
      <c r="F20">
        <v>160</v>
      </c>
    </row>
    <row r="21" spans="1:6" x14ac:dyDescent="0.25">
      <c r="A21">
        <v>-111.973744</v>
      </c>
      <c r="B21">
        <v>33.068880999999998</v>
      </c>
      <c r="C21">
        <v>1</v>
      </c>
      <c r="D21">
        <v>1.19</v>
      </c>
      <c r="E21">
        <v>878750977</v>
      </c>
      <c r="F21">
        <v>160</v>
      </c>
    </row>
    <row r="22" spans="1:6" x14ac:dyDescent="0.25">
      <c r="A22">
        <v>-111.973744</v>
      </c>
      <c r="B22">
        <v>33.068873000000004</v>
      </c>
      <c r="C22">
        <v>0.93500000000000005</v>
      </c>
      <c r="D22">
        <v>1.1126499999999999</v>
      </c>
      <c r="E22">
        <v>878750979</v>
      </c>
      <c r="F22">
        <v>160</v>
      </c>
    </row>
    <row r="23" spans="1:6" x14ac:dyDescent="0.25">
      <c r="A23">
        <v>-111.97374499999999</v>
      </c>
      <c r="B23">
        <v>33.068866</v>
      </c>
      <c r="C23">
        <v>0.9</v>
      </c>
      <c r="D23">
        <v>1.071</v>
      </c>
      <c r="E23">
        <v>878750981</v>
      </c>
      <c r="F23">
        <v>160</v>
      </c>
    </row>
    <row r="24" spans="1:6" x14ac:dyDescent="0.25">
      <c r="A24">
        <v>-111.97374600000001</v>
      </c>
      <c r="B24">
        <v>33.068857999999999</v>
      </c>
      <c r="C24">
        <v>1.29</v>
      </c>
      <c r="D24">
        <v>1.5350999999999999</v>
      </c>
      <c r="E24">
        <v>878750983</v>
      </c>
      <c r="F24">
        <v>160</v>
      </c>
    </row>
    <row r="25" spans="1:6" x14ac:dyDescent="0.25">
      <c r="A25">
        <v>-111.97374600000001</v>
      </c>
      <c r="B25">
        <v>33.068851000000002</v>
      </c>
      <c r="C25">
        <v>0.12</v>
      </c>
      <c r="D25">
        <v>0.14280000000000001</v>
      </c>
      <c r="E25">
        <v>878750985</v>
      </c>
      <c r="F25">
        <v>160</v>
      </c>
    </row>
    <row r="26" spans="1:6" x14ac:dyDescent="0.25">
      <c r="A26">
        <v>-111.973747</v>
      </c>
      <c r="B26">
        <v>33.068843000000001</v>
      </c>
      <c r="C26">
        <v>5.0000000000000001E-3</v>
      </c>
      <c r="D26">
        <v>5.9500000000000004E-3</v>
      </c>
      <c r="E26">
        <v>878750987</v>
      </c>
      <c r="F26">
        <v>160</v>
      </c>
    </row>
    <row r="27" spans="1:6" x14ac:dyDescent="0.25">
      <c r="A27">
        <v>-111.97374600000001</v>
      </c>
      <c r="B27">
        <v>33.068828000000003</v>
      </c>
      <c r="C27">
        <v>5.0000000000000001E-3</v>
      </c>
      <c r="D27">
        <v>5.9500000000000004E-3</v>
      </c>
      <c r="E27">
        <v>878750991</v>
      </c>
      <c r="F27">
        <v>160</v>
      </c>
    </row>
    <row r="28" spans="1:6" x14ac:dyDescent="0.25">
      <c r="A28">
        <v>-111.97374600000001</v>
      </c>
      <c r="B28">
        <v>33.068820000000002</v>
      </c>
      <c r="C28">
        <v>5.0000000000000001E-3</v>
      </c>
      <c r="D28">
        <v>5.9500000000000004E-3</v>
      </c>
      <c r="E28">
        <v>878750993</v>
      </c>
      <c r="F28">
        <v>160</v>
      </c>
    </row>
    <row r="29" spans="1:6" x14ac:dyDescent="0.25">
      <c r="A29">
        <v>-111.97374499999999</v>
      </c>
      <c r="B29">
        <v>33.068776</v>
      </c>
      <c r="C29">
        <v>5.0000000000000001E-3</v>
      </c>
      <c r="D29">
        <v>5.9500000000000004E-3</v>
      </c>
      <c r="E29">
        <v>878751005</v>
      </c>
      <c r="F29">
        <v>160</v>
      </c>
    </row>
    <row r="30" spans="1:6" x14ac:dyDescent="0.25">
      <c r="A30">
        <v>-111.97374600000001</v>
      </c>
      <c r="B30">
        <v>33.068765999999997</v>
      </c>
      <c r="C30">
        <v>0.495</v>
      </c>
      <c r="D30">
        <v>0.58904999999999996</v>
      </c>
      <c r="E30">
        <v>878751007</v>
      </c>
      <c r="F30">
        <v>160</v>
      </c>
    </row>
    <row r="31" spans="1:6" x14ac:dyDescent="0.25">
      <c r="A31">
        <v>-111.97374600000001</v>
      </c>
      <c r="B31">
        <v>33.068759999999997</v>
      </c>
      <c r="C31">
        <v>1.27</v>
      </c>
      <c r="D31">
        <v>1.5113000000000001</v>
      </c>
      <c r="E31">
        <v>878751009</v>
      </c>
      <c r="F31">
        <v>160</v>
      </c>
    </row>
    <row r="32" spans="1:6" x14ac:dyDescent="0.25">
      <c r="A32">
        <v>-111.97374600000001</v>
      </c>
      <c r="B32">
        <v>33.068753000000001</v>
      </c>
      <c r="C32">
        <v>1.625</v>
      </c>
      <c r="D32">
        <v>1.9337500000000001</v>
      </c>
      <c r="E32">
        <v>878751011</v>
      </c>
      <c r="F32">
        <v>160</v>
      </c>
    </row>
    <row r="33" spans="1:6" x14ac:dyDescent="0.25">
      <c r="A33">
        <v>-111.97374499999999</v>
      </c>
      <c r="B33">
        <v>33.068745</v>
      </c>
      <c r="C33">
        <v>1.21</v>
      </c>
      <c r="D33">
        <v>1.4399</v>
      </c>
      <c r="E33">
        <v>878751013</v>
      </c>
      <c r="F33">
        <v>160</v>
      </c>
    </row>
    <row r="34" spans="1:6" x14ac:dyDescent="0.25">
      <c r="A34">
        <v>-111.97374499999999</v>
      </c>
      <c r="B34">
        <v>33.068739000000001</v>
      </c>
      <c r="C34">
        <v>1.2649999999999999</v>
      </c>
      <c r="D34">
        <v>1.50535</v>
      </c>
      <c r="E34">
        <v>878751015</v>
      </c>
      <c r="F34">
        <v>160</v>
      </c>
    </row>
    <row r="35" spans="1:6" x14ac:dyDescent="0.25">
      <c r="A35">
        <v>-111.97374499999999</v>
      </c>
      <c r="B35">
        <v>33.068731999999997</v>
      </c>
      <c r="C35">
        <v>1.43</v>
      </c>
      <c r="D35">
        <v>1.7017</v>
      </c>
      <c r="E35">
        <v>878751017</v>
      </c>
      <c r="F35">
        <v>160</v>
      </c>
    </row>
    <row r="36" spans="1:6" x14ac:dyDescent="0.25">
      <c r="A36">
        <v>-111.97374499999999</v>
      </c>
      <c r="B36">
        <v>33.068725000000001</v>
      </c>
      <c r="C36">
        <v>1.2</v>
      </c>
      <c r="D36">
        <v>1.4279999999999999</v>
      </c>
      <c r="E36">
        <v>878751019</v>
      </c>
      <c r="F36">
        <v>160</v>
      </c>
    </row>
    <row r="37" spans="1:6" x14ac:dyDescent="0.25">
      <c r="A37">
        <v>-111.97374499999999</v>
      </c>
      <c r="B37">
        <v>33.068717999999997</v>
      </c>
      <c r="C37">
        <v>1.0249999999999999</v>
      </c>
      <c r="D37">
        <v>1.2197499999999999</v>
      </c>
      <c r="E37">
        <v>878751021</v>
      </c>
      <c r="F37">
        <v>160</v>
      </c>
    </row>
    <row r="38" spans="1:6" x14ac:dyDescent="0.25">
      <c r="A38">
        <v>-111.97374499999999</v>
      </c>
      <c r="B38">
        <v>33.068711</v>
      </c>
      <c r="C38">
        <v>0.84499999999999997</v>
      </c>
      <c r="D38">
        <v>1.0055499999999999</v>
      </c>
      <c r="E38">
        <v>878751023</v>
      </c>
      <c r="F38">
        <v>160</v>
      </c>
    </row>
    <row r="39" spans="1:6" x14ac:dyDescent="0.25">
      <c r="A39">
        <v>-111.97374499999999</v>
      </c>
      <c r="B39">
        <v>33.068703999999997</v>
      </c>
      <c r="C39">
        <v>0.995</v>
      </c>
      <c r="D39">
        <v>1.18405</v>
      </c>
      <c r="E39">
        <v>878751025</v>
      </c>
      <c r="F39">
        <v>160</v>
      </c>
    </row>
    <row r="40" spans="1:6" x14ac:dyDescent="0.25">
      <c r="A40">
        <v>-111.97374499999999</v>
      </c>
      <c r="B40">
        <v>33.068697</v>
      </c>
      <c r="C40">
        <v>0.95</v>
      </c>
      <c r="D40">
        <v>1.1305000000000001</v>
      </c>
      <c r="E40">
        <v>878751027</v>
      </c>
      <c r="F40">
        <v>160</v>
      </c>
    </row>
    <row r="41" spans="1:6" x14ac:dyDescent="0.25">
      <c r="A41">
        <v>-111.97374499999999</v>
      </c>
      <c r="B41">
        <v>33.068691000000001</v>
      </c>
      <c r="C41">
        <v>0.92500000000000004</v>
      </c>
      <c r="D41">
        <v>1.1007499999999999</v>
      </c>
      <c r="E41">
        <v>878751029</v>
      </c>
      <c r="F41">
        <v>160</v>
      </c>
    </row>
    <row r="42" spans="1:6" x14ac:dyDescent="0.25">
      <c r="A42">
        <v>-111.97374499999999</v>
      </c>
      <c r="B42">
        <v>33.068683999999998</v>
      </c>
      <c r="C42">
        <v>0.28999999999999998</v>
      </c>
      <c r="D42">
        <v>0.34510000000000002</v>
      </c>
      <c r="E42">
        <v>878751031</v>
      </c>
      <c r="F42">
        <v>160</v>
      </c>
    </row>
    <row r="43" spans="1:6" x14ac:dyDescent="0.25">
      <c r="A43">
        <v>-111.97374499999999</v>
      </c>
      <c r="B43">
        <v>33.068676000000004</v>
      </c>
      <c r="C43">
        <v>0.01</v>
      </c>
      <c r="D43">
        <v>1.1900000000000001E-2</v>
      </c>
      <c r="E43">
        <v>878751033</v>
      </c>
      <c r="F43">
        <v>160</v>
      </c>
    </row>
    <row r="44" spans="1:6" x14ac:dyDescent="0.25">
      <c r="A44">
        <v>-111.97374499999999</v>
      </c>
      <c r="B44">
        <v>33.068668000000002</v>
      </c>
      <c r="C44">
        <v>3.5000000000000003E-2</v>
      </c>
      <c r="D44">
        <v>4.165E-2</v>
      </c>
      <c r="E44">
        <v>878751035</v>
      </c>
      <c r="F44">
        <v>160</v>
      </c>
    </row>
    <row r="45" spans="1:6" x14ac:dyDescent="0.25">
      <c r="A45">
        <v>-111.97374499999999</v>
      </c>
      <c r="B45">
        <v>33.068662000000003</v>
      </c>
      <c r="C45">
        <v>2.5000000000000001E-2</v>
      </c>
      <c r="D45">
        <v>2.9749999999999999E-2</v>
      </c>
      <c r="E45">
        <v>878751037</v>
      </c>
      <c r="F45">
        <v>160</v>
      </c>
    </row>
    <row r="46" spans="1:6" x14ac:dyDescent="0.25">
      <c r="A46">
        <v>-111.97374600000001</v>
      </c>
      <c r="B46">
        <v>33.068654000000002</v>
      </c>
      <c r="C46">
        <v>2.5000000000000001E-2</v>
      </c>
      <c r="D46">
        <v>2.9749999999999999E-2</v>
      </c>
      <c r="E46">
        <v>878751039</v>
      </c>
      <c r="F46">
        <v>160</v>
      </c>
    </row>
    <row r="47" spans="1:6" x14ac:dyDescent="0.25">
      <c r="A47">
        <v>-111.97374600000001</v>
      </c>
      <c r="B47">
        <v>33.068646999999999</v>
      </c>
      <c r="C47">
        <v>5.5E-2</v>
      </c>
      <c r="D47">
        <v>6.5449999999999994E-2</v>
      </c>
      <c r="E47">
        <v>878751041</v>
      </c>
      <c r="F47">
        <v>160</v>
      </c>
    </row>
    <row r="48" spans="1:6" x14ac:dyDescent="0.25">
      <c r="A48">
        <v>-111.97374600000001</v>
      </c>
      <c r="B48">
        <v>33.068640000000002</v>
      </c>
      <c r="C48">
        <v>1.02</v>
      </c>
      <c r="D48">
        <v>1.2138</v>
      </c>
      <c r="E48">
        <v>878751043</v>
      </c>
      <c r="F48">
        <v>160</v>
      </c>
    </row>
    <row r="49" spans="1:6" x14ac:dyDescent="0.25">
      <c r="A49">
        <v>-111.97374499999999</v>
      </c>
      <c r="B49">
        <v>33.068634000000003</v>
      </c>
      <c r="C49">
        <v>1.0549999999999999</v>
      </c>
      <c r="D49">
        <v>1.25545</v>
      </c>
      <c r="E49">
        <v>878751045</v>
      </c>
      <c r="F49">
        <v>160</v>
      </c>
    </row>
    <row r="50" spans="1:6" x14ac:dyDescent="0.25">
      <c r="A50">
        <v>-111.97374499999999</v>
      </c>
      <c r="B50">
        <v>33.068629000000001</v>
      </c>
      <c r="C50">
        <v>0.74</v>
      </c>
      <c r="D50">
        <v>0.88060000000000005</v>
      </c>
      <c r="E50">
        <v>878751047</v>
      </c>
      <c r="F50">
        <v>160</v>
      </c>
    </row>
    <row r="51" spans="1:6" x14ac:dyDescent="0.25">
      <c r="A51">
        <v>-111.97374499999999</v>
      </c>
      <c r="B51">
        <v>33.068621999999998</v>
      </c>
      <c r="C51">
        <v>0.74</v>
      </c>
      <c r="D51">
        <v>0.88060000000000005</v>
      </c>
      <c r="E51">
        <v>878751049</v>
      </c>
      <c r="F51">
        <v>160</v>
      </c>
    </row>
    <row r="52" spans="1:6" x14ac:dyDescent="0.25">
      <c r="A52">
        <v>-111.97374499999999</v>
      </c>
      <c r="B52">
        <v>33.068613999999997</v>
      </c>
      <c r="C52">
        <v>9.5000000000000001E-2</v>
      </c>
      <c r="D52">
        <v>0.11305</v>
      </c>
      <c r="E52">
        <v>878751051</v>
      </c>
      <c r="F52">
        <v>160</v>
      </c>
    </row>
    <row r="53" spans="1:6" x14ac:dyDescent="0.25">
      <c r="A53">
        <v>-111.97374499999999</v>
      </c>
      <c r="B53">
        <v>33.068612999999999</v>
      </c>
      <c r="C53">
        <v>5.0000000000000001E-3</v>
      </c>
      <c r="D53">
        <v>5.9500000000000004E-3</v>
      </c>
      <c r="E53">
        <v>878751053</v>
      </c>
      <c r="F53">
        <v>160</v>
      </c>
    </row>
    <row r="54" spans="1:6" x14ac:dyDescent="0.25">
      <c r="A54">
        <v>-111.97374600000001</v>
      </c>
      <c r="B54">
        <v>33.068603000000003</v>
      </c>
      <c r="C54">
        <v>7.0000000000000007E-2</v>
      </c>
      <c r="D54">
        <v>8.3299999999999999E-2</v>
      </c>
      <c r="E54">
        <v>878751065</v>
      </c>
      <c r="F54">
        <v>160</v>
      </c>
    </row>
    <row r="55" spans="1:6" x14ac:dyDescent="0.25">
      <c r="A55">
        <v>-111.97374600000001</v>
      </c>
      <c r="B55">
        <v>33.068595000000002</v>
      </c>
      <c r="C55">
        <v>1.5249999999999999</v>
      </c>
      <c r="D55">
        <v>1.8147500000000001</v>
      </c>
      <c r="E55">
        <v>878751067</v>
      </c>
      <c r="F55">
        <v>160</v>
      </c>
    </row>
    <row r="56" spans="1:6" x14ac:dyDescent="0.25">
      <c r="A56">
        <v>-111.97374600000001</v>
      </c>
      <c r="B56">
        <v>33.068587000000001</v>
      </c>
      <c r="C56">
        <v>1.89</v>
      </c>
      <c r="D56">
        <v>2.2490999999999999</v>
      </c>
      <c r="E56">
        <v>878751069</v>
      </c>
      <c r="F56">
        <v>160</v>
      </c>
    </row>
    <row r="57" spans="1:6" x14ac:dyDescent="0.25">
      <c r="A57">
        <v>-111.97374499999999</v>
      </c>
      <c r="B57">
        <v>33.068579</v>
      </c>
      <c r="C57">
        <v>1.77</v>
      </c>
      <c r="D57">
        <v>2.1063000000000001</v>
      </c>
      <c r="E57">
        <v>878751071</v>
      </c>
      <c r="F57">
        <v>160</v>
      </c>
    </row>
    <row r="58" spans="1:6" x14ac:dyDescent="0.25">
      <c r="A58">
        <v>-111.97374499999999</v>
      </c>
      <c r="B58">
        <v>33.068570999999999</v>
      </c>
      <c r="C58">
        <v>1.6950000000000001</v>
      </c>
      <c r="D58">
        <v>2.0170499999999998</v>
      </c>
      <c r="E58">
        <v>878751073</v>
      </c>
      <c r="F58">
        <v>160</v>
      </c>
    </row>
    <row r="59" spans="1:6" x14ac:dyDescent="0.25">
      <c r="A59">
        <v>-111.97374499999999</v>
      </c>
      <c r="B59">
        <v>33.068562999999997</v>
      </c>
      <c r="C59">
        <v>1.65</v>
      </c>
      <c r="D59">
        <v>1.9635</v>
      </c>
      <c r="E59">
        <v>878751075</v>
      </c>
      <c r="F59">
        <v>160</v>
      </c>
    </row>
    <row r="60" spans="1:6" x14ac:dyDescent="0.25">
      <c r="A60">
        <v>-111.97374499999999</v>
      </c>
      <c r="B60">
        <v>33.068555000000003</v>
      </c>
      <c r="C60">
        <v>1.5649999999999999</v>
      </c>
      <c r="D60">
        <v>1.8623499999999999</v>
      </c>
      <c r="E60">
        <v>878751077</v>
      </c>
      <c r="F60">
        <v>160</v>
      </c>
    </row>
    <row r="61" spans="1:6" x14ac:dyDescent="0.25">
      <c r="A61">
        <v>-111.97374499999999</v>
      </c>
      <c r="B61">
        <v>33.068547000000002</v>
      </c>
      <c r="C61">
        <v>1.375</v>
      </c>
      <c r="D61">
        <v>1.63625</v>
      </c>
      <c r="E61">
        <v>878751079</v>
      </c>
      <c r="F61">
        <v>160</v>
      </c>
    </row>
    <row r="62" spans="1:6" x14ac:dyDescent="0.25">
      <c r="A62">
        <v>-111.97374499999999</v>
      </c>
      <c r="B62">
        <v>33.068539999999999</v>
      </c>
      <c r="C62">
        <v>1.46</v>
      </c>
      <c r="D62">
        <v>1.7374000000000001</v>
      </c>
      <c r="E62">
        <v>878751081</v>
      </c>
      <c r="F62">
        <v>160</v>
      </c>
    </row>
    <row r="63" spans="1:6" x14ac:dyDescent="0.25">
      <c r="A63">
        <v>-111.97374499999999</v>
      </c>
      <c r="B63">
        <v>33.068531999999998</v>
      </c>
      <c r="C63">
        <v>1.355</v>
      </c>
      <c r="D63">
        <v>1.6124499999999999</v>
      </c>
      <c r="E63">
        <v>878751083</v>
      </c>
      <c r="F63">
        <v>160</v>
      </c>
    </row>
    <row r="64" spans="1:6" x14ac:dyDescent="0.25">
      <c r="A64">
        <v>-111.973744</v>
      </c>
      <c r="B64">
        <v>33.068525000000001</v>
      </c>
      <c r="C64">
        <v>0.94</v>
      </c>
      <c r="D64">
        <v>1.1186</v>
      </c>
      <c r="E64">
        <v>878751085</v>
      </c>
      <c r="F64">
        <v>160</v>
      </c>
    </row>
    <row r="65" spans="1:6" x14ac:dyDescent="0.25">
      <c r="A65">
        <v>-111.973744</v>
      </c>
      <c r="B65">
        <v>33.068517</v>
      </c>
      <c r="C65">
        <v>0.36499999999999999</v>
      </c>
      <c r="D65">
        <v>0.43435000000000001</v>
      </c>
      <c r="E65">
        <v>878751087</v>
      </c>
      <c r="F65">
        <v>160</v>
      </c>
    </row>
    <row r="66" spans="1:6" x14ac:dyDescent="0.25">
      <c r="A66">
        <v>-111.973744</v>
      </c>
      <c r="B66">
        <v>33.068508999999999</v>
      </c>
      <c r="C66">
        <v>3.5000000000000003E-2</v>
      </c>
      <c r="D66">
        <v>4.165E-2</v>
      </c>
      <c r="E66">
        <v>878751089</v>
      </c>
      <c r="F66">
        <v>160</v>
      </c>
    </row>
    <row r="67" spans="1:6" x14ac:dyDescent="0.25">
      <c r="A67">
        <v>-111.973744</v>
      </c>
      <c r="B67">
        <v>33.068500999999998</v>
      </c>
      <c r="C67">
        <v>0.03</v>
      </c>
      <c r="D67">
        <v>3.5700000000000003E-2</v>
      </c>
      <c r="E67">
        <v>878751091</v>
      </c>
      <c r="F67">
        <v>160</v>
      </c>
    </row>
    <row r="68" spans="1:6" x14ac:dyDescent="0.25">
      <c r="A68">
        <v>-111.97374499999999</v>
      </c>
      <c r="B68">
        <v>33.068494000000001</v>
      </c>
      <c r="C68">
        <v>1.4999999999999999E-2</v>
      </c>
      <c r="D68">
        <v>1.7850000000000001E-2</v>
      </c>
      <c r="E68">
        <v>878751093</v>
      </c>
      <c r="F68">
        <v>160</v>
      </c>
    </row>
    <row r="69" spans="1:6" x14ac:dyDescent="0.25">
      <c r="A69">
        <v>-111.97374499999999</v>
      </c>
      <c r="B69">
        <v>33.068486</v>
      </c>
      <c r="C69">
        <v>0.04</v>
      </c>
      <c r="D69">
        <v>4.7600000000000003E-2</v>
      </c>
      <c r="E69">
        <v>878751095</v>
      </c>
      <c r="F69">
        <v>160</v>
      </c>
    </row>
    <row r="70" spans="1:6" x14ac:dyDescent="0.25">
      <c r="A70">
        <v>-111.973744</v>
      </c>
      <c r="B70">
        <v>33.068477999999999</v>
      </c>
      <c r="C70">
        <v>0.755</v>
      </c>
      <c r="D70">
        <v>0.89844999999999997</v>
      </c>
      <c r="E70">
        <v>878751097</v>
      </c>
      <c r="F70">
        <v>160</v>
      </c>
    </row>
    <row r="71" spans="1:6" x14ac:dyDescent="0.25">
      <c r="A71">
        <v>-111.97374499999999</v>
      </c>
      <c r="B71">
        <v>33.068469999999998</v>
      </c>
      <c r="C71">
        <v>1.24</v>
      </c>
      <c r="D71">
        <v>1.4756</v>
      </c>
      <c r="E71">
        <v>878751099</v>
      </c>
      <c r="F71">
        <v>160</v>
      </c>
    </row>
    <row r="72" spans="1:6" x14ac:dyDescent="0.25">
      <c r="A72">
        <v>-111.97374499999999</v>
      </c>
      <c r="B72">
        <v>33.068463999999999</v>
      </c>
      <c r="C72">
        <v>1.1499999999999999</v>
      </c>
      <c r="D72">
        <v>1.3685</v>
      </c>
      <c r="E72">
        <v>878751101</v>
      </c>
      <c r="F72">
        <v>160</v>
      </c>
    </row>
    <row r="73" spans="1:6" x14ac:dyDescent="0.25">
      <c r="A73">
        <v>-111.97374499999999</v>
      </c>
      <c r="B73">
        <v>33.068458</v>
      </c>
      <c r="C73">
        <v>1.01</v>
      </c>
      <c r="D73">
        <v>1.2019</v>
      </c>
      <c r="E73">
        <v>878751103</v>
      </c>
      <c r="F73">
        <v>160</v>
      </c>
    </row>
    <row r="74" spans="1:6" x14ac:dyDescent="0.25">
      <c r="A74">
        <v>-111.973744</v>
      </c>
      <c r="B74">
        <v>33.068449000000001</v>
      </c>
      <c r="C74">
        <v>0.79</v>
      </c>
      <c r="D74">
        <v>0.94010000000000005</v>
      </c>
      <c r="E74">
        <v>878751105</v>
      </c>
      <c r="F74">
        <v>160</v>
      </c>
    </row>
    <row r="75" spans="1:6" x14ac:dyDescent="0.25">
      <c r="A75">
        <v>-111.973744</v>
      </c>
      <c r="B75">
        <v>33.068441</v>
      </c>
      <c r="C75">
        <v>1.4999999999999999E-2</v>
      </c>
      <c r="D75">
        <v>1.7850000000000001E-2</v>
      </c>
      <c r="E75">
        <v>878751107</v>
      </c>
      <c r="F75">
        <v>160</v>
      </c>
    </row>
    <row r="76" spans="1:6" x14ac:dyDescent="0.25">
      <c r="A76">
        <v>-111.973744</v>
      </c>
      <c r="B76">
        <v>33.068362</v>
      </c>
      <c r="C76">
        <v>2.5000000000000001E-2</v>
      </c>
      <c r="D76">
        <v>2.9749999999999999E-2</v>
      </c>
      <c r="E76">
        <v>878751127</v>
      </c>
      <c r="F76">
        <v>160</v>
      </c>
    </row>
    <row r="77" spans="1:6" x14ac:dyDescent="0.25">
      <c r="A77">
        <v>-111.973744</v>
      </c>
      <c r="B77">
        <v>33.068354999999997</v>
      </c>
      <c r="C77">
        <v>0.68</v>
      </c>
      <c r="D77">
        <v>0.80920000000000003</v>
      </c>
      <c r="E77">
        <v>878751129</v>
      </c>
      <c r="F77">
        <v>160</v>
      </c>
    </row>
    <row r="78" spans="1:6" x14ac:dyDescent="0.25">
      <c r="A78">
        <v>-111.97374499999999</v>
      </c>
      <c r="B78">
        <v>33.068347000000003</v>
      </c>
      <c r="C78">
        <v>1.66</v>
      </c>
      <c r="D78">
        <v>1.9754</v>
      </c>
      <c r="E78">
        <v>878751131</v>
      </c>
      <c r="F78">
        <v>160</v>
      </c>
    </row>
    <row r="79" spans="1:6" x14ac:dyDescent="0.25">
      <c r="A79">
        <v>-111.973744</v>
      </c>
      <c r="B79">
        <v>33.068339999999999</v>
      </c>
      <c r="C79">
        <v>1.5149999999999999</v>
      </c>
      <c r="D79">
        <v>1.8028500000000001</v>
      </c>
      <c r="E79">
        <v>878751133</v>
      </c>
      <c r="F79">
        <v>160</v>
      </c>
    </row>
    <row r="80" spans="1:6" x14ac:dyDescent="0.25">
      <c r="A80">
        <v>-111.97374499999999</v>
      </c>
      <c r="B80">
        <v>33.068331000000001</v>
      </c>
      <c r="C80">
        <v>1.2</v>
      </c>
      <c r="D80">
        <v>1.4279999999999999</v>
      </c>
      <c r="E80">
        <v>878751135</v>
      </c>
      <c r="F80">
        <v>160</v>
      </c>
    </row>
    <row r="81" spans="1:6" x14ac:dyDescent="0.25">
      <c r="A81">
        <v>-111.97374499999999</v>
      </c>
      <c r="B81">
        <v>33.068323999999997</v>
      </c>
      <c r="C81">
        <v>1.345</v>
      </c>
      <c r="D81">
        <v>1.6005499999999999</v>
      </c>
      <c r="E81">
        <v>878751137</v>
      </c>
      <c r="F81">
        <v>160</v>
      </c>
    </row>
    <row r="82" spans="1:6" x14ac:dyDescent="0.25">
      <c r="A82">
        <v>-111.97374499999999</v>
      </c>
      <c r="B82">
        <v>33.068316000000003</v>
      </c>
      <c r="C82">
        <v>1.395</v>
      </c>
      <c r="D82">
        <v>1.66005</v>
      </c>
      <c r="E82">
        <v>878751139</v>
      </c>
      <c r="F82">
        <v>160</v>
      </c>
    </row>
    <row r="83" spans="1:6" x14ac:dyDescent="0.25">
      <c r="A83">
        <v>-111.97374499999999</v>
      </c>
      <c r="B83">
        <v>33.068308999999999</v>
      </c>
      <c r="C83">
        <v>1.18</v>
      </c>
      <c r="D83">
        <v>1.4041999999999999</v>
      </c>
      <c r="E83">
        <v>878751141</v>
      </c>
      <c r="F83">
        <v>160</v>
      </c>
    </row>
    <row r="84" spans="1:6" x14ac:dyDescent="0.25">
      <c r="A84">
        <v>-111.97374499999999</v>
      </c>
      <c r="B84">
        <v>33.068300999999998</v>
      </c>
      <c r="C84">
        <v>1.23</v>
      </c>
      <c r="D84">
        <v>1.4637</v>
      </c>
      <c r="E84">
        <v>878751143</v>
      </c>
      <c r="F84">
        <v>160</v>
      </c>
    </row>
    <row r="85" spans="1:6" x14ac:dyDescent="0.25">
      <c r="A85">
        <v>-111.97374499999999</v>
      </c>
      <c r="B85">
        <v>33.068294000000002</v>
      </c>
      <c r="C85">
        <v>1.17</v>
      </c>
      <c r="D85">
        <v>1.3923000000000001</v>
      </c>
      <c r="E85">
        <v>878751145</v>
      </c>
      <c r="F85">
        <v>160</v>
      </c>
    </row>
    <row r="86" spans="1:6" x14ac:dyDescent="0.25">
      <c r="A86">
        <v>-111.97374499999999</v>
      </c>
      <c r="B86">
        <v>33.068286000000001</v>
      </c>
      <c r="C86">
        <v>1.3</v>
      </c>
      <c r="D86">
        <v>1.5469999999999999</v>
      </c>
      <c r="E86">
        <v>878751147</v>
      </c>
      <c r="F86">
        <v>160</v>
      </c>
    </row>
    <row r="87" spans="1:6" x14ac:dyDescent="0.25">
      <c r="A87">
        <v>-111.97374499999999</v>
      </c>
      <c r="B87">
        <v>33.068278999999997</v>
      </c>
      <c r="C87">
        <v>0.83</v>
      </c>
      <c r="D87">
        <v>0.98770000000000002</v>
      </c>
      <c r="E87">
        <v>878751149</v>
      </c>
      <c r="F87">
        <v>160</v>
      </c>
    </row>
    <row r="88" spans="1:6" x14ac:dyDescent="0.25">
      <c r="A88">
        <v>-111.97374499999999</v>
      </c>
      <c r="B88">
        <v>33.068271000000003</v>
      </c>
      <c r="C88">
        <v>1.0049999999999999</v>
      </c>
      <c r="D88">
        <v>1.1959500000000001</v>
      </c>
      <c r="E88">
        <v>878751151</v>
      </c>
      <c r="F88">
        <v>160</v>
      </c>
    </row>
    <row r="89" spans="1:6" x14ac:dyDescent="0.25">
      <c r="A89">
        <v>-111.97374499999999</v>
      </c>
      <c r="B89">
        <v>33.068263000000002</v>
      </c>
      <c r="C89">
        <v>7.4999999999999997E-2</v>
      </c>
      <c r="D89">
        <v>8.9249999999999996E-2</v>
      </c>
      <c r="E89">
        <v>878751153</v>
      </c>
      <c r="F89">
        <v>160</v>
      </c>
    </row>
    <row r="90" spans="1:6" x14ac:dyDescent="0.25">
      <c r="A90">
        <v>-111.97374499999999</v>
      </c>
      <c r="B90">
        <v>33.068255999999998</v>
      </c>
      <c r="C90">
        <v>0.03</v>
      </c>
      <c r="D90">
        <v>3.5700000000000003E-2</v>
      </c>
      <c r="E90">
        <v>878751155</v>
      </c>
      <c r="F90">
        <v>160</v>
      </c>
    </row>
    <row r="91" spans="1:6" x14ac:dyDescent="0.25">
      <c r="A91">
        <v>-111.97374499999999</v>
      </c>
      <c r="B91">
        <v>33.068247999999997</v>
      </c>
      <c r="C91">
        <v>0.02</v>
      </c>
      <c r="D91">
        <v>2.3800000000000002E-2</v>
      </c>
      <c r="E91">
        <v>878751157</v>
      </c>
      <c r="F91">
        <v>160</v>
      </c>
    </row>
    <row r="92" spans="1:6" x14ac:dyDescent="0.25">
      <c r="A92">
        <v>-111.97374499999999</v>
      </c>
      <c r="B92">
        <v>33.068240000000003</v>
      </c>
      <c r="C92">
        <v>0.03</v>
      </c>
      <c r="D92">
        <v>3.5700000000000003E-2</v>
      </c>
      <c r="E92">
        <v>878751159</v>
      </c>
      <c r="F92">
        <v>160</v>
      </c>
    </row>
    <row r="93" spans="1:6" x14ac:dyDescent="0.25">
      <c r="A93">
        <v>-111.97374499999999</v>
      </c>
      <c r="B93">
        <v>33.068232999999999</v>
      </c>
      <c r="C93">
        <v>0.315</v>
      </c>
      <c r="D93">
        <v>0.37485000000000002</v>
      </c>
      <c r="E93">
        <v>878751161</v>
      </c>
      <c r="F93">
        <v>160</v>
      </c>
    </row>
    <row r="94" spans="1:6" x14ac:dyDescent="0.25">
      <c r="A94">
        <v>-111.97374600000001</v>
      </c>
      <c r="B94">
        <v>33.068224999999998</v>
      </c>
      <c r="C94">
        <v>1.3149999999999999</v>
      </c>
      <c r="D94">
        <v>1.5648500000000001</v>
      </c>
      <c r="E94">
        <v>878751163</v>
      </c>
      <c r="F94">
        <v>160</v>
      </c>
    </row>
    <row r="95" spans="1:6" x14ac:dyDescent="0.25">
      <c r="A95">
        <v>-111.97374499999999</v>
      </c>
      <c r="B95">
        <v>33.068218000000002</v>
      </c>
      <c r="C95">
        <v>1.39</v>
      </c>
      <c r="D95">
        <v>1.6540999999999999</v>
      </c>
      <c r="E95">
        <v>878751165</v>
      </c>
      <c r="F95">
        <v>160</v>
      </c>
    </row>
    <row r="96" spans="1:6" x14ac:dyDescent="0.25">
      <c r="A96">
        <v>-111.97374499999999</v>
      </c>
      <c r="B96">
        <v>33.068210000000001</v>
      </c>
      <c r="C96">
        <v>1.665</v>
      </c>
      <c r="D96">
        <v>1.9813499999999999</v>
      </c>
      <c r="E96">
        <v>878751167</v>
      </c>
      <c r="F96">
        <v>160</v>
      </c>
    </row>
    <row r="97" spans="1:6" x14ac:dyDescent="0.25">
      <c r="A97">
        <v>-111.97374499999999</v>
      </c>
      <c r="B97">
        <v>33.068202999999997</v>
      </c>
      <c r="C97">
        <v>0.42</v>
      </c>
      <c r="D97">
        <v>0.49980000000000002</v>
      </c>
      <c r="E97">
        <v>878751169</v>
      </c>
      <c r="F97">
        <v>160</v>
      </c>
    </row>
    <row r="98" spans="1:6" x14ac:dyDescent="0.25">
      <c r="A98">
        <v>-111.97374499999999</v>
      </c>
      <c r="B98">
        <v>33.068198000000002</v>
      </c>
      <c r="C98">
        <v>5.0000000000000001E-3</v>
      </c>
      <c r="D98">
        <v>5.9500000000000004E-3</v>
      </c>
      <c r="E98">
        <v>878751171</v>
      </c>
      <c r="F98">
        <v>160</v>
      </c>
    </row>
    <row r="99" spans="1:6" x14ac:dyDescent="0.25">
      <c r="A99">
        <v>-111.97374600000001</v>
      </c>
      <c r="B99">
        <v>33.068187000000002</v>
      </c>
      <c r="C99">
        <v>0.06</v>
      </c>
      <c r="D99">
        <v>7.1400000000000005E-2</v>
      </c>
      <c r="E99">
        <v>878751183</v>
      </c>
      <c r="F99">
        <v>160</v>
      </c>
    </row>
    <row r="100" spans="1:6" x14ac:dyDescent="0.25">
      <c r="A100">
        <v>-111.97374499999999</v>
      </c>
      <c r="B100">
        <v>33.068179999999998</v>
      </c>
      <c r="C100">
        <v>0.68500000000000005</v>
      </c>
      <c r="D100">
        <v>0.81515000000000004</v>
      </c>
      <c r="E100">
        <v>878751185</v>
      </c>
      <c r="F100">
        <v>160</v>
      </c>
    </row>
    <row r="101" spans="1:6" x14ac:dyDescent="0.25">
      <c r="A101">
        <v>-111.97374499999999</v>
      </c>
      <c r="B101">
        <v>33.068171999999997</v>
      </c>
      <c r="C101">
        <v>1.385</v>
      </c>
      <c r="D101">
        <v>1.64815</v>
      </c>
      <c r="E101">
        <v>878751187</v>
      </c>
      <c r="F101">
        <v>160</v>
      </c>
    </row>
    <row r="102" spans="1:6" x14ac:dyDescent="0.25">
      <c r="A102">
        <v>-111.97374499999999</v>
      </c>
      <c r="B102">
        <v>33.068165999999998</v>
      </c>
      <c r="C102">
        <v>1.0449999999999999</v>
      </c>
      <c r="D102">
        <v>1.2435499999999999</v>
      </c>
      <c r="E102">
        <v>878751189</v>
      </c>
      <c r="F102">
        <v>160</v>
      </c>
    </row>
    <row r="103" spans="1:6" x14ac:dyDescent="0.25">
      <c r="A103">
        <v>-111.97374600000001</v>
      </c>
      <c r="B103">
        <v>33.068159000000001</v>
      </c>
      <c r="C103">
        <v>1.1100000000000001</v>
      </c>
      <c r="D103">
        <v>1.3209</v>
      </c>
      <c r="E103">
        <v>878751191</v>
      </c>
      <c r="F103">
        <v>160</v>
      </c>
    </row>
    <row r="104" spans="1:6" x14ac:dyDescent="0.25">
      <c r="A104">
        <v>-111.97374600000001</v>
      </c>
      <c r="B104">
        <v>33.068151999999998</v>
      </c>
      <c r="C104">
        <v>1.125</v>
      </c>
      <c r="D104">
        <v>1.3387500000000001</v>
      </c>
      <c r="E104">
        <v>878751193</v>
      </c>
      <c r="F104">
        <v>160</v>
      </c>
    </row>
    <row r="105" spans="1:6" x14ac:dyDescent="0.25">
      <c r="A105">
        <v>-111.97374600000001</v>
      </c>
      <c r="B105">
        <v>33.068145000000001</v>
      </c>
      <c r="C105">
        <v>1.125</v>
      </c>
      <c r="D105">
        <v>1.3387500000000001</v>
      </c>
      <c r="E105">
        <v>878751195</v>
      </c>
      <c r="F105">
        <v>160</v>
      </c>
    </row>
    <row r="106" spans="1:6" x14ac:dyDescent="0.25">
      <c r="A106">
        <v>-111.97374600000001</v>
      </c>
      <c r="B106">
        <v>33.068137999999998</v>
      </c>
      <c r="C106">
        <v>1.0249999999999999</v>
      </c>
      <c r="D106">
        <v>1.2197499999999999</v>
      </c>
      <c r="E106">
        <v>878751197</v>
      </c>
      <c r="F106">
        <v>160</v>
      </c>
    </row>
    <row r="107" spans="1:6" x14ac:dyDescent="0.25">
      <c r="A107">
        <v>-111.97374600000001</v>
      </c>
      <c r="B107">
        <v>33.068129999999996</v>
      </c>
      <c r="C107">
        <v>1.0549999999999999</v>
      </c>
      <c r="D107">
        <v>1.25545</v>
      </c>
      <c r="E107">
        <v>878751199</v>
      </c>
      <c r="F107">
        <v>160</v>
      </c>
    </row>
    <row r="108" spans="1:6" x14ac:dyDescent="0.25">
      <c r="A108">
        <v>-111.97374499999999</v>
      </c>
      <c r="B108">
        <v>33.068123</v>
      </c>
      <c r="C108">
        <v>1.145</v>
      </c>
      <c r="D108">
        <v>1.3625499999999999</v>
      </c>
      <c r="E108">
        <v>878751201</v>
      </c>
      <c r="F108">
        <v>160</v>
      </c>
    </row>
    <row r="109" spans="1:6" x14ac:dyDescent="0.25">
      <c r="A109">
        <v>-111.97374499999999</v>
      </c>
      <c r="B109">
        <v>33.068116000000003</v>
      </c>
      <c r="C109">
        <v>1.28</v>
      </c>
      <c r="D109">
        <v>1.5232000000000001</v>
      </c>
      <c r="E109">
        <v>878751203</v>
      </c>
      <c r="F109">
        <v>160</v>
      </c>
    </row>
    <row r="110" spans="1:6" x14ac:dyDescent="0.25">
      <c r="A110">
        <v>-111.97374499999999</v>
      </c>
      <c r="B110">
        <v>33.068109</v>
      </c>
      <c r="C110">
        <v>0.79500000000000004</v>
      </c>
      <c r="D110">
        <v>0.94604999999999995</v>
      </c>
      <c r="E110">
        <v>878751205</v>
      </c>
      <c r="F110">
        <v>160</v>
      </c>
    </row>
    <row r="111" spans="1:6" x14ac:dyDescent="0.25">
      <c r="A111">
        <v>-111.97374499999999</v>
      </c>
      <c r="B111">
        <v>33.068100999999999</v>
      </c>
      <c r="C111">
        <v>0.46500000000000002</v>
      </c>
      <c r="D111">
        <v>0.55335000000000001</v>
      </c>
      <c r="E111">
        <v>878751207</v>
      </c>
      <c r="F111">
        <v>160</v>
      </c>
    </row>
    <row r="112" spans="1:6" x14ac:dyDescent="0.25">
      <c r="A112">
        <v>-111.97374600000001</v>
      </c>
      <c r="B112">
        <v>33.068095</v>
      </c>
      <c r="C112">
        <v>0.06</v>
      </c>
      <c r="D112">
        <v>7.1400000000000005E-2</v>
      </c>
      <c r="E112">
        <v>878751209</v>
      </c>
      <c r="F112">
        <v>160</v>
      </c>
    </row>
    <row r="113" spans="1:6" x14ac:dyDescent="0.25">
      <c r="A113">
        <v>-111.97374600000001</v>
      </c>
      <c r="B113">
        <v>33.068086999999998</v>
      </c>
      <c r="C113">
        <v>0.03</v>
      </c>
      <c r="D113">
        <v>3.5700000000000003E-2</v>
      </c>
      <c r="E113">
        <v>878751211</v>
      </c>
      <c r="F113">
        <v>160</v>
      </c>
    </row>
    <row r="114" spans="1:6" x14ac:dyDescent="0.25">
      <c r="A114">
        <v>-111.97374600000001</v>
      </c>
      <c r="B114">
        <v>33.068080000000002</v>
      </c>
      <c r="C114">
        <v>0.03</v>
      </c>
      <c r="D114">
        <v>3.5700000000000003E-2</v>
      </c>
      <c r="E114">
        <v>878751213</v>
      </c>
      <c r="F114">
        <v>160</v>
      </c>
    </row>
    <row r="115" spans="1:6" x14ac:dyDescent="0.25">
      <c r="A115">
        <v>-111.97374499999999</v>
      </c>
      <c r="B115">
        <v>33.068072999999998</v>
      </c>
      <c r="C115">
        <v>5.0000000000000001E-3</v>
      </c>
      <c r="D115">
        <v>5.9500000000000004E-3</v>
      </c>
      <c r="E115">
        <v>878751215</v>
      </c>
      <c r="F115">
        <v>160</v>
      </c>
    </row>
    <row r="116" spans="1:6" x14ac:dyDescent="0.25">
      <c r="A116">
        <v>-111.97374499999999</v>
      </c>
      <c r="B116">
        <v>33.068064999999997</v>
      </c>
      <c r="C116">
        <v>0.16500000000000001</v>
      </c>
      <c r="D116">
        <v>0.19635</v>
      </c>
      <c r="E116">
        <v>878751217</v>
      </c>
      <c r="F116">
        <v>160</v>
      </c>
    </row>
    <row r="117" spans="1:6" x14ac:dyDescent="0.25">
      <c r="A117">
        <v>-111.97374499999999</v>
      </c>
      <c r="B117">
        <v>33.068058000000001</v>
      </c>
      <c r="C117">
        <v>0.72499999999999998</v>
      </c>
      <c r="D117">
        <v>0.86275000000000002</v>
      </c>
      <c r="E117">
        <v>878751219</v>
      </c>
      <c r="F117">
        <v>160</v>
      </c>
    </row>
    <row r="118" spans="1:6" x14ac:dyDescent="0.25">
      <c r="A118">
        <v>-111.97374499999999</v>
      </c>
      <c r="B118">
        <v>33.068050999999997</v>
      </c>
      <c r="C118">
        <v>1.18</v>
      </c>
      <c r="D118">
        <v>1.4041999999999999</v>
      </c>
      <c r="E118">
        <v>878751221</v>
      </c>
      <c r="F118">
        <v>160</v>
      </c>
    </row>
    <row r="119" spans="1:6" x14ac:dyDescent="0.25">
      <c r="A119">
        <v>-111.97374499999999</v>
      </c>
      <c r="B119">
        <v>33.068043000000003</v>
      </c>
      <c r="C119">
        <v>1.02</v>
      </c>
      <c r="D119">
        <v>1.2138</v>
      </c>
      <c r="E119">
        <v>878751223</v>
      </c>
      <c r="F119">
        <v>160</v>
      </c>
    </row>
    <row r="120" spans="1:6" x14ac:dyDescent="0.25">
      <c r="A120">
        <v>-111.97374600000001</v>
      </c>
      <c r="B120">
        <v>33.068035999999999</v>
      </c>
      <c r="C120">
        <v>0.41499999999999998</v>
      </c>
      <c r="D120">
        <v>0.49385000000000001</v>
      </c>
      <c r="E120">
        <v>878751225</v>
      </c>
      <c r="F120">
        <v>160</v>
      </c>
    </row>
    <row r="121" spans="1:6" x14ac:dyDescent="0.25">
      <c r="A121">
        <v>-111.97374499999999</v>
      </c>
      <c r="B121">
        <v>33.068029000000003</v>
      </c>
      <c r="C121">
        <v>2.5000000000000001E-2</v>
      </c>
      <c r="D121">
        <v>2.9749999999999999E-2</v>
      </c>
      <c r="E121">
        <v>878751227</v>
      </c>
      <c r="F121">
        <v>160</v>
      </c>
    </row>
    <row r="122" spans="1:6" x14ac:dyDescent="0.25">
      <c r="A122">
        <v>-111.973742</v>
      </c>
      <c r="B122">
        <v>33.068010000000001</v>
      </c>
      <c r="C122">
        <v>5.0000000000000001E-3</v>
      </c>
      <c r="D122">
        <v>5.9500000000000004E-3</v>
      </c>
      <c r="E122">
        <v>878751253</v>
      </c>
      <c r="F122">
        <v>160</v>
      </c>
    </row>
    <row r="123" spans="1:6" x14ac:dyDescent="0.25">
      <c r="A123">
        <v>-111.97373</v>
      </c>
      <c r="B123">
        <v>33.067993000000001</v>
      </c>
      <c r="C123">
        <v>5.0000000000000001E-3</v>
      </c>
      <c r="D123">
        <v>5.9500000000000004E-3</v>
      </c>
      <c r="E123">
        <v>878751257</v>
      </c>
      <c r="F123">
        <v>160</v>
      </c>
    </row>
    <row r="124" spans="1:6" x14ac:dyDescent="0.25">
      <c r="A124">
        <v>-111.973876</v>
      </c>
      <c r="B124">
        <v>33.069018999999997</v>
      </c>
      <c r="C124">
        <v>7.4999999999999997E-2</v>
      </c>
      <c r="D124">
        <v>8.9249999999999996E-2</v>
      </c>
      <c r="E124">
        <v>878751403</v>
      </c>
      <c r="F124">
        <v>160</v>
      </c>
    </row>
    <row r="125" spans="1:6" x14ac:dyDescent="0.25">
      <c r="A125">
        <v>-111.97387500000001</v>
      </c>
      <c r="B125">
        <v>33.069011000000003</v>
      </c>
      <c r="C125">
        <v>0.75</v>
      </c>
      <c r="D125">
        <v>0.89249999999999996</v>
      </c>
      <c r="E125">
        <v>878751405</v>
      </c>
      <c r="F125">
        <v>160</v>
      </c>
    </row>
    <row r="126" spans="1:6" x14ac:dyDescent="0.25">
      <c r="A126">
        <v>-111.973876</v>
      </c>
      <c r="B126">
        <v>33.069003000000002</v>
      </c>
      <c r="C126">
        <v>1.04</v>
      </c>
      <c r="D126">
        <v>1.2376</v>
      </c>
      <c r="E126">
        <v>878751407</v>
      </c>
      <c r="F126">
        <v>160</v>
      </c>
    </row>
    <row r="127" spans="1:6" x14ac:dyDescent="0.25">
      <c r="A127">
        <v>-111.973877</v>
      </c>
      <c r="B127">
        <v>33.068995999999999</v>
      </c>
      <c r="C127">
        <v>0.66500000000000004</v>
      </c>
      <c r="D127">
        <v>0.79135</v>
      </c>
      <c r="E127">
        <v>878751409</v>
      </c>
      <c r="F127">
        <v>160</v>
      </c>
    </row>
    <row r="128" spans="1:6" x14ac:dyDescent="0.25">
      <c r="A128">
        <v>-111.973876</v>
      </c>
      <c r="B128">
        <v>33.068989999999999</v>
      </c>
      <c r="C128">
        <v>0.495</v>
      </c>
      <c r="D128">
        <v>0.58904999999999996</v>
      </c>
      <c r="E128">
        <v>878751411</v>
      </c>
      <c r="F128">
        <v>160</v>
      </c>
    </row>
    <row r="129" spans="1:6" x14ac:dyDescent="0.25">
      <c r="A129">
        <v>-111.973876</v>
      </c>
      <c r="B129">
        <v>33.068983000000003</v>
      </c>
      <c r="C129">
        <v>0.6</v>
      </c>
      <c r="D129">
        <v>0.71399999999999997</v>
      </c>
      <c r="E129">
        <v>878751413</v>
      </c>
      <c r="F129">
        <v>160</v>
      </c>
    </row>
    <row r="130" spans="1:6" x14ac:dyDescent="0.25">
      <c r="A130">
        <v>-111.973876</v>
      </c>
      <c r="B130">
        <v>33.068975000000002</v>
      </c>
      <c r="C130">
        <v>0.76</v>
      </c>
      <c r="D130">
        <v>0.90439999999999998</v>
      </c>
      <c r="E130">
        <v>878751415</v>
      </c>
      <c r="F130">
        <v>160</v>
      </c>
    </row>
    <row r="131" spans="1:6" x14ac:dyDescent="0.25">
      <c r="A131">
        <v>-111.973876</v>
      </c>
      <c r="B131">
        <v>33.068967000000001</v>
      </c>
      <c r="C131">
        <v>0.81</v>
      </c>
      <c r="D131">
        <v>0.96389999999999998</v>
      </c>
      <c r="E131">
        <v>878751417</v>
      </c>
      <c r="F131">
        <v>160</v>
      </c>
    </row>
    <row r="132" spans="1:6" x14ac:dyDescent="0.25">
      <c r="A132">
        <v>-111.973877</v>
      </c>
      <c r="B132">
        <v>33.068959999999997</v>
      </c>
      <c r="C132">
        <v>0.81</v>
      </c>
      <c r="D132">
        <v>0.96389999999999998</v>
      </c>
      <c r="E132">
        <v>878751419</v>
      </c>
      <c r="F132">
        <v>160</v>
      </c>
    </row>
    <row r="133" spans="1:6" x14ac:dyDescent="0.25">
      <c r="A133">
        <v>-111.973877</v>
      </c>
      <c r="B133">
        <v>33.068952000000003</v>
      </c>
      <c r="C133">
        <v>0.77500000000000002</v>
      </c>
      <c r="D133">
        <v>0.92225000000000001</v>
      </c>
      <c r="E133">
        <v>878751421</v>
      </c>
      <c r="F133">
        <v>160</v>
      </c>
    </row>
    <row r="134" spans="1:6" x14ac:dyDescent="0.25">
      <c r="A134">
        <v>-111.973877</v>
      </c>
      <c r="B134">
        <v>33.068944999999999</v>
      </c>
      <c r="C134">
        <v>0.83499999999999996</v>
      </c>
      <c r="D134">
        <v>0.99365000000000003</v>
      </c>
      <c r="E134">
        <v>878751423</v>
      </c>
      <c r="F134">
        <v>160</v>
      </c>
    </row>
    <row r="135" spans="1:6" x14ac:dyDescent="0.25">
      <c r="A135">
        <v>-111.973877</v>
      </c>
      <c r="B135">
        <v>33.068936999999998</v>
      </c>
      <c r="C135">
        <v>0.57999999999999996</v>
      </c>
      <c r="D135">
        <v>0.69020000000000004</v>
      </c>
      <c r="E135">
        <v>878751425</v>
      </c>
      <c r="F135">
        <v>160</v>
      </c>
    </row>
    <row r="136" spans="1:6" x14ac:dyDescent="0.25">
      <c r="A136">
        <v>-111.973877</v>
      </c>
      <c r="B136">
        <v>33.068930000000002</v>
      </c>
      <c r="C136">
        <v>0.69</v>
      </c>
      <c r="D136">
        <v>0.82110000000000005</v>
      </c>
      <c r="E136">
        <v>878751427</v>
      </c>
      <c r="F136">
        <v>160</v>
      </c>
    </row>
    <row r="137" spans="1:6" x14ac:dyDescent="0.25">
      <c r="A137">
        <v>-111.973877</v>
      </c>
      <c r="B137">
        <v>33.068922999999998</v>
      </c>
      <c r="C137">
        <v>0.20499999999999999</v>
      </c>
      <c r="D137">
        <v>0.24395</v>
      </c>
      <c r="E137">
        <v>878751429</v>
      </c>
      <c r="F137">
        <v>160</v>
      </c>
    </row>
    <row r="138" spans="1:6" x14ac:dyDescent="0.25">
      <c r="A138">
        <v>-111.973877</v>
      </c>
      <c r="B138">
        <v>33.068916999999999</v>
      </c>
      <c r="C138">
        <v>3.5000000000000003E-2</v>
      </c>
      <c r="D138">
        <v>4.165E-2</v>
      </c>
      <c r="E138">
        <v>878751431</v>
      </c>
      <c r="F138">
        <v>160</v>
      </c>
    </row>
    <row r="139" spans="1:6" x14ac:dyDescent="0.25">
      <c r="A139">
        <v>-111.973877</v>
      </c>
      <c r="B139">
        <v>33.068910000000002</v>
      </c>
      <c r="C139">
        <v>0.01</v>
      </c>
      <c r="D139">
        <v>1.1900000000000001E-2</v>
      </c>
      <c r="E139">
        <v>878751433</v>
      </c>
      <c r="F139">
        <v>160</v>
      </c>
    </row>
    <row r="140" spans="1:6" x14ac:dyDescent="0.25">
      <c r="A140">
        <v>-111.973878</v>
      </c>
      <c r="B140">
        <v>33.068902999999999</v>
      </c>
      <c r="C140">
        <v>1.4999999999999999E-2</v>
      </c>
      <c r="D140">
        <v>1.7850000000000001E-2</v>
      </c>
      <c r="E140">
        <v>878751435</v>
      </c>
      <c r="F140">
        <v>160</v>
      </c>
    </row>
    <row r="141" spans="1:6" x14ac:dyDescent="0.25">
      <c r="A141">
        <v>-111.973877</v>
      </c>
      <c r="B141">
        <v>33.068896000000002</v>
      </c>
      <c r="C141">
        <v>0.02</v>
      </c>
      <c r="D141">
        <v>2.3800000000000002E-2</v>
      </c>
      <c r="E141">
        <v>878751437</v>
      </c>
      <c r="F141">
        <v>160</v>
      </c>
    </row>
    <row r="142" spans="1:6" x14ac:dyDescent="0.25">
      <c r="A142">
        <v>-111.973877</v>
      </c>
      <c r="B142">
        <v>33.068888999999999</v>
      </c>
      <c r="C142">
        <v>0.495</v>
      </c>
      <c r="D142">
        <v>0.58904999999999996</v>
      </c>
      <c r="E142">
        <v>878751439</v>
      </c>
      <c r="F142">
        <v>160</v>
      </c>
    </row>
    <row r="143" spans="1:6" x14ac:dyDescent="0.25">
      <c r="A143">
        <v>-111.973878</v>
      </c>
      <c r="B143">
        <v>33.068882000000002</v>
      </c>
      <c r="C143">
        <v>1.2250000000000001</v>
      </c>
      <c r="D143">
        <v>1.4577500000000001</v>
      </c>
      <c r="E143">
        <v>878751441</v>
      </c>
      <c r="F143">
        <v>160</v>
      </c>
    </row>
    <row r="144" spans="1:6" x14ac:dyDescent="0.25">
      <c r="A144">
        <v>-111.973878</v>
      </c>
      <c r="B144">
        <v>33.068874999999998</v>
      </c>
      <c r="C144">
        <v>1.41</v>
      </c>
      <c r="D144">
        <v>1.6778999999999999</v>
      </c>
      <c r="E144">
        <v>878751443</v>
      </c>
      <c r="F144">
        <v>160</v>
      </c>
    </row>
    <row r="145" spans="1:6" x14ac:dyDescent="0.25">
      <c r="A145">
        <v>-111.973878</v>
      </c>
      <c r="B145">
        <v>33.068869999999997</v>
      </c>
      <c r="C145">
        <v>1.145</v>
      </c>
      <c r="D145">
        <v>1.3625499999999999</v>
      </c>
      <c r="E145">
        <v>878751445</v>
      </c>
      <c r="F145">
        <v>160</v>
      </c>
    </row>
    <row r="146" spans="1:6" x14ac:dyDescent="0.25">
      <c r="A146">
        <v>-111.973877</v>
      </c>
      <c r="B146">
        <v>33.068860999999998</v>
      </c>
      <c r="C146">
        <v>1.5349999999999999</v>
      </c>
      <c r="D146">
        <v>1.8266500000000001</v>
      </c>
      <c r="E146">
        <v>878751447</v>
      </c>
      <c r="F146">
        <v>160</v>
      </c>
    </row>
    <row r="147" spans="1:6" x14ac:dyDescent="0.25">
      <c r="A147">
        <v>-111.973878</v>
      </c>
      <c r="B147">
        <v>33.068854000000002</v>
      </c>
      <c r="C147">
        <v>0.27500000000000002</v>
      </c>
      <c r="D147">
        <v>0.32724999999999999</v>
      </c>
      <c r="E147">
        <v>878751449</v>
      </c>
      <c r="F147">
        <v>160</v>
      </c>
    </row>
    <row r="148" spans="1:6" x14ac:dyDescent="0.25">
      <c r="A148">
        <v>-111.973878</v>
      </c>
      <c r="B148">
        <v>33.068846000000001</v>
      </c>
      <c r="C148">
        <v>5.0000000000000001E-3</v>
      </c>
      <c r="D148">
        <v>5.9500000000000004E-3</v>
      </c>
      <c r="E148">
        <v>878751451</v>
      </c>
      <c r="F148">
        <v>160</v>
      </c>
    </row>
    <row r="149" spans="1:6" x14ac:dyDescent="0.25">
      <c r="A149">
        <v>-111.973877</v>
      </c>
      <c r="B149">
        <v>33.068809000000002</v>
      </c>
      <c r="C149">
        <v>5.0000000000000001E-3</v>
      </c>
      <c r="D149">
        <v>5.9500000000000004E-3</v>
      </c>
      <c r="E149">
        <v>878751461</v>
      </c>
      <c r="F149">
        <v>160</v>
      </c>
    </row>
    <row r="150" spans="1:6" x14ac:dyDescent="0.25">
      <c r="A150">
        <v>-111.973877</v>
      </c>
      <c r="B150">
        <v>33.068792999999999</v>
      </c>
      <c r="C150">
        <v>5.0000000000000001E-3</v>
      </c>
      <c r="D150">
        <v>5.9500000000000004E-3</v>
      </c>
      <c r="E150">
        <v>878751465</v>
      </c>
      <c r="F150">
        <v>160</v>
      </c>
    </row>
    <row r="151" spans="1:6" x14ac:dyDescent="0.25">
      <c r="A151">
        <v>-111.973877</v>
      </c>
      <c r="B151">
        <v>33.068779999999997</v>
      </c>
      <c r="C151">
        <v>5.0000000000000001E-3</v>
      </c>
      <c r="D151">
        <v>5.9500000000000004E-3</v>
      </c>
      <c r="E151">
        <v>878751469</v>
      </c>
      <c r="F151">
        <v>160</v>
      </c>
    </row>
    <row r="152" spans="1:6" x14ac:dyDescent="0.25">
      <c r="A152">
        <v>-111.973876</v>
      </c>
      <c r="B152">
        <v>33.068770999999998</v>
      </c>
      <c r="C152">
        <v>1.4999999999999999E-2</v>
      </c>
      <c r="D152">
        <v>1.7850000000000001E-2</v>
      </c>
      <c r="E152">
        <v>878751471</v>
      </c>
      <c r="F152">
        <v>160</v>
      </c>
    </row>
    <row r="153" spans="1:6" x14ac:dyDescent="0.25">
      <c r="A153">
        <v>-111.973876</v>
      </c>
      <c r="B153">
        <v>33.068764999999999</v>
      </c>
      <c r="C153">
        <v>0.62</v>
      </c>
      <c r="D153">
        <v>0.73780000000000001</v>
      </c>
      <c r="E153">
        <v>878751473</v>
      </c>
      <c r="F153">
        <v>160</v>
      </c>
    </row>
    <row r="154" spans="1:6" x14ac:dyDescent="0.25">
      <c r="A154">
        <v>-111.973877</v>
      </c>
      <c r="B154">
        <v>33.068758000000003</v>
      </c>
      <c r="C154">
        <v>1.7949999999999999</v>
      </c>
      <c r="D154">
        <v>2.13605</v>
      </c>
      <c r="E154">
        <v>878751475</v>
      </c>
      <c r="F154">
        <v>160</v>
      </c>
    </row>
    <row r="155" spans="1:6" x14ac:dyDescent="0.25">
      <c r="A155">
        <v>-111.973878</v>
      </c>
      <c r="B155">
        <v>33.068750999999999</v>
      </c>
      <c r="C155">
        <v>1.52</v>
      </c>
      <c r="D155">
        <v>1.8088</v>
      </c>
      <c r="E155">
        <v>878751477</v>
      </c>
      <c r="F155">
        <v>160</v>
      </c>
    </row>
    <row r="156" spans="1:6" x14ac:dyDescent="0.25">
      <c r="A156">
        <v>-111.973878</v>
      </c>
      <c r="B156">
        <v>33.068744000000002</v>
      </c>
      <c r="C156">
        <v>1.4650000000000001</v>
      </c>
      <c r="D156">
        <v>1.74335</v>
      </c>
      <c r="E156">
        <v>878751479</v>
      </c>
      <c r="F156">
        <v>160</v>
      </c>
    </row>
    <row r="157" spans="1:6" x14ac:dyDescent="0.25">
      <c r="A157">
        <v>-111.973878</v>
      </c>
      <c r="B157">
        <v>33.068736999999999</v>
      </c>
      <c r="C157">
        <v>1.5449999999999999</v>
      </c>
      <c r="D157">
        <v>1.8385499999999999</v>
      </c>
      <c r="E157">
        <v>878751481</v>
      </c>
      <c r="F157">
        <v>160</v>
      </c>
    </row>
    <row r="158" spans="1:6" x14ac:dyDescent="0.25">
      <c r="A158">
        <v>-111.973878</v>
      </c>
      <c r="B158">
        <v>33.068730000000002</v>
      </c>
      <c r="C158">
        <v>1.19</v>
      </c>
      <c r="D158">
        <v>1.4160999999999999</v>
      </c>
      <c r="E158">
        <v>878751483</v>
      </c>
      <c r="F158">
        <v>160</v>
      </c>
    </row>
    <row r="159" spans="1:6" x14ac:dyDescent="0.25">
      <c r="A159">
        <v>-111.973878</v>
      </c>
      <c r="B159">
        <v>33.068722999999999</v>
      </c>
      <c r="C159">
        <v>1.49</v>
      </c>
      <c r="D159">
        <v>1.7730999999999999</v>
      </c>
      <c r="E159">
        <v>878751485</v>
      </c>
      <c r="F159">
        <v>160</v>
      </c>
    </row>
    <row r="160" spans="1:6" x14ac:dyDescent="0.25">
      <c r="A160">
        <v>-111.973878</v>
      </c>
      <c r="B160">
        <v>33.068716000000002</v>
      </c>
      <c r="C160">
        <v>1.63</v>
      </c>
      <c r="D160">
        <v>1.9397</v>
      </c>
      <c r="E160">
        <v>878751487</v>
      </c>
      <c r="F160">
        <v>160</v>
      </c>
    </row>
    <row r="161" spans="1:6" x14ac:dyDescent="0.25">
      <c r="A161">
        <v>-111.973878</v>
      </c>
      <c r="B161">
        <v>33.068708999999998</v>
      </c>
      <c r="C161">
        <v>1.4550000000000001</v>
      </c>
      <c r="D161">
        <v>1.7314499999999999</v>
      </c>
      <c r="E161">
        <v>878751489</v>
      </c>
      <c r="F161">
        <v>160</v>
      </c>
    </row>
    <row r="162" spans="1:6" x14ac:dyDescent="0.25">
      <c r="A162">
        <v>-111.973879</v>
      </c>
      <c r="B162">
        <v>33.068702000000002</v>
      </c>
      <c r="C162">
        <v>1.5249999999999999</v>
      </c>
      <c r="D162">
        <v>1.8147500000000001</v>
      </c>
      <c r="E162">
        <v>878751491</v>
      </c>
      <c r="F162">
        <v>160</v>
      </c>
    </row>
    <row r="163" spans="1:6" x14ac:dyDescent="0.25">
      <c r="A163">
        <v>-111.973879</v>
      </c>
      <c r="B163">
        <v>33.068694999999998</v>
      </c>
      <c r="C163">
        <v>1.2849999999999999</v>
      </c>
      <c r="D163">
        <v>1.52915</v>
      </c>
      <c r="E163">
        <v>878751493</v>
      </c>
      <c r="F163">
        <v>160</v>
      </c>
    </row>
    <row r="164" spans="1:6" x14ac:dyDescent="0.25">
      <c r="A164">
        <v>-111.973878</v>
      </c>
      <c r="B164">
        <v>33.068686999999997</v>
      </c>
      <c r="C164">
        <v>0.875</v>
      </c>
      <c r="D164">
        <v>1.04125</v>
      </c>
      <c r="E164">
        <v>878751495</v>
      </c>
      <c r="F164">
        <v>160</v>
      </c>
    </row>
    <row r="165" spans="1:6" x14ac:dyDescent="0.25">
      <c r="A165">
        <v>-111.973878</v>
      </c>
      <c r="B165">
        <v>33.068680000000001</v>
      </c>
      <c r="C165">
        <v>0.59499999999999997</v>
      </c>
      <c r="D165">
        <v>0.70804999999999996</v>
      </c>
      <c r="E165">
        <v>878751497</v>
      </c>
      <c r="F165">
        <v>160</v>
      </c>
    </row>
    <row r="166" spans="1:6" x14ac:dyDescent="0.25">
      <c r="A166">
        <v>-111.973879</v>
      </c>
      <c r="B166">
        <v>33.068671999999999</v>
      </c>
      <c r="C166">
        <v>9.5000000000000001E-2</v>
      </c>
      <c r="D166">
        <v>0.11305</v>
      </c>
      <c r="E166">
        <v>878751499</v>
      </c>
      <c r="F166">
        <v>160</v>
      </c>
    </row>
    <row r="167" spans="1:6" x14ac:dyDescent="0.25">
      <c r="A167">
        <v>-111.973879</v>
      </c>
      <c r="B167">
        <v>33.068665000000003</v>
      </c>
      <c r="C167">
        <v>5.5E-2</v>
      </c>
      <c r="D167">
        <v>6.5449999999999994E-2</v>
      </c>
      <c r="E167">
        <v>878751501</v>
      </c>
      <c r="F167">
        <v>160</v>
      </c>
    </row>
    <row r="168" spans="1:6" x14ac:dyDescent="0.25">
      <c r="A168">
        <v>-111.973879</v>
      </c>
      <c r="B168">
        <v>33.068657999999999</v>
      </c>
      <c r="C168">
        <v>0.04</v>
      </c>
      <c r="D168">
        <v>4.7600000000000003E-2</v>
      </c>
      <c r="E168">
        <v>878751503</v>
      </c>
      <c r="F168">
        <v>160</v>
      </c>
    </row>
    <row r="169" spans="1:6" x14ac:dyDescent="0.25">
      <c r="A169">
        <v>-111.973878</v>
      </c>
      <c r="B169">
        <v>33.068651000000003</v>
      </c>
      <c r="C169">
        <v>7.0000000000000007E-2</v>
      </c>
      <c r="D169">
        <v>8.3299999999999999E-2</v>
      </c>
      <c r="E169">
        <v>878751505</v>
      </c>
      <c r="F169">
        <v>160</v>
      </c>
    </row>
    <row r="170" spans="1:6" x14ac:dyDescent="0.25">
      <c r="A170">
        <v>-111.973878</v>
      </c>
      <c r="B170">
        <v>33.068643000000002</v>
      </c>
      <c r="C170">
        <v>0.57499999999999996</v>
      </c>
      <c r="D170">
        <v>0.68425000000000002</v>
      </c>
      <c r="E170">
        <v>878751507</v>
      </c>
      <c r="F170">
        <v>160</v>
      </c>
    </row>
    <row r="171" spans="1:6" x14ac:dyDescent="0.25">
      <c r="A171">
        <v>-111.973877</v>
      </c>
      <c r="B171">
        <v>33.068637000000003</v>
      </c>
      <c r="C171">
        <v>1.4450000000000001</v>
      </c>
      <c r="D171">
        <v>1.7195499999999999</v>
      </c>
      <c r="E171">
        <v>878751509</v>
      </c>
      <c r="F171">
        <v>160</v>
      </c>
    </row>
    <row r="172" spans="1:6" x14ac:dyDescent="0.25">
      <c r="A172">
        <v>-111.973878</v>
      </c>
      <c r="B172">
        <v>33.068629999999999</v>
      </c>
      <c r="C172">
        <v>1.4950000000000001</v>
      </c>
      <c r="D172">
        <v>1.77905</v>
      </c>
      <c r="E172">
        <v>878751511</v>
      </c>
      <c r="F172">
        <v>160</v>
      </c>
    </row>
    <row r="173" spans="1:6" x14ac:dyDescent="0.25">
      <c r="A173">
        <v>-111.973878</v>
      </c>
      <c r="B173">
        <v>33.068621999999998</v>
      </c>
      <c r="C173">
        <v>1.5249999999999999</v>
      </c>
      <c r="D173">
        <v>1.8147500000000001</v>
      </c>
      <c r="E173">
        <v>878751513</v>
      </c>
      <c r="F173">
        <v>160</v>
      </c>
    </row>
    <row r="174" spans="1:6" x14ac:dyDescent="0.25">
      <c r="A174">
        <v>-111.973878</v>
      </c>
      <c r="B174">
        <v>33.068615999999999</v>
      </c>
      <c r="C174">
        <v>1.145</v>
      </c>
      <c r="D174">
        <v>1.3625499999999999</v>
      </c>
      <c r="E174">
        <v>878751515</v>
      </c>
      <c r="F174">
        <v>160</v>
      </c>
    </row>
    <row r="175" spans="1:6" x14ac:dyDescent="0.25">
      <c r="A175">
        <v>-111.973878</v>
      </c>
      <c r="B175">
        <v>33.06861</v>
      </c>
      <c r="C175">
        <v>0.05</v>
      </c>
      <c r="D175">
        <v>5.9499999999999997E-2</v>
      </c>
      <c r="E175">
        <v>878751517</v>
      </c>
      <c r="F175">
        <v>160</v>
      </c>
    </row>
    <row r="176" spans="1:6" x14ac:dyDescent="0.25">
      <c r="A176">
        <v>-111.973878</v>
      </c>
      <c r="B176">
        <v>33.068601999999998</v>
      </c>
      <c r="C176">
        <v>5.0000000000000001E-3</v>
      </c>
      <c r="D176">
        <v>5.9500000000000004E-3</v>
      </c>
      <c r="E176">
        <v>878751527</v>
      </c>
      <c r="F176">
        <v>160</v>
      </c>
    </row>
    <row r="177" spans="1:6" x14ac:dyDescent="0.25">
      <c r="A177">
        <v>-111.973877</v>
      </c>
      <c r="B177">
        <v>33.068593999999997</v>
      </c>
      <c r="C177">
        <v>0.30499999999999999</v>
      </c>
      <c r="D177">
        <v>0.36294999999999999</v>
      </c>
      <c r="E177">
        <v>878751529</v>
      </c>
      <c r="F177">
        <v>160</v>
      </c>
    </row>
    <row r="178" spans="1:6" x14ac:dyDescent="0.25">
      <c r="A178">
        <v>-111.973877</v>
      </c>
      <c r="B178">
        <v>33.068589000000003</v>
      </c>
      <c r="C178">
        <v>1.52</v>
      </c>
      <c r="D178">
        <v>1.8088</v>
      </c>
      <c r="E178">
        <v>878751531</v>
      </c>
      <c r="F178">
        <v>160</v>
      </c>
    </row>
    <row r="179" spans="1:6" x14ac:dyDescent="0.25">
      <c r="A179">
        <v>-111.973877</v>
      </c>
      <c r="B179">
        <v>33.068581999999999</v>
      </c>
      <c r="C179">
        <v>1.605</v>
      </c>
      <c r="D179">
        <v>1.90995</v>
      </c>
      <c r="E179">
        <v>878751533</v>
      </c>
      <c r="F179">
        <v>160</v>
      </c>
    </row>
    <row r="180" spans="1:6" x14ac:dyDescent="0.25">
      <c r="A180">
        <v>-111.973878</v>
      </c>
      <c r="B180">
        <v>33.068575000000003</v>
      </c>
      <c r="C180">
        <v>1.3049999999999999</v>
      </c>
      <c r="D180">
        <v>1.5529500000000001</v>
      </c>
      <c r="E180">
        <v>878751535</v>
      </c>
      <c r="F180">
        <v>160</v>
      </c>
    </row>
    <row r="181" spans="1:6" x14ac:dyDescent="0.25">
      <c r="A181">
        <v>-111.973878</v>
      </c>
      <c r="B181">
        <v>33.068568999999997</v>
      </c>
      <c r="C181">
        <v>1.385</v>
      </c>
      <c r="D181">
        <v>1.64815</v>
      </c>
      <c r="E181">
        <v>878751537</v>
      </c>
      <c r="F181">
        <v>160</v>
      </c>
    </row>
    <row r="182" spans="1:6" x14ac:dyDescent="0.25">
      <c r="A182">
        <v>-111.973878</v>
      </c>
      <c r="B182">
        <v>33.068562</v>
      </c>
      <c r="C182">
        <v>1.5649999999999999</v>
      </c>
      <c r="D182">
        <v>1.8623499999999999</v>
      </c>
      <c r="E182">
        <v>878751539</v>
      </c>
      <c r="F182">
        <v>160</v>
      </c>
    </row>
    <row r="183" spans="1:6" x14ac:dyDescent="0.25">
      <c r="A183">
        <v>-111.973878</v>
      </c>
      <c r="B183">
        <v>33.068555000000003</v>
      </c>
      <c r="C183">
        <v>1.54</v>
      </c>
      <c r="D183">
        <v>1.8326</v>
      </c>
      <c r="E183">
        <v>878751541</v>
      </c>
      <c r="F183">
        <v>160</v>
      </c>
    </row>
    <row r="184" spans="1:6" x14ac:dyDescent="0.25">
      <c r="A184">
        <v>-111.973879</v>
      </c>
      <c r="B184">
        <v>33.068547000000002</v>
      </c>
      <c r="C184">
        <v>1.375</v>
      </c>
      <c r="D184">
        <v>1.63625</v>
      </c>
      <c r="E184">
        <v>878751543</v>
      </c>
      <c r="F184">
        <v>160</v>
      </c>
    </row>
    <row r="185" spans="1:6" x14ac:dyDescent="0.25">
      <c r="A185">
        <v>-111.973878</v>
      </c>
      <c r="B185">
        <v>33.068539999999999</v>
      </c>
      <c r="C185">
        <v>1.54</v>
      </c>
      <c r="D185">
        <v>1.8326</v>
      </c>
      <c r="E185">
        <v>878751545</v>
      </c>
      <c r="F185">
        <v>160</v>
      </c>
    </row>
    <row r="186" spans="1:6" x14ac:dyDescent="0.25">
      <c r="A186">
        <v>-111.973878</v>
      </c>
      <c r="B186">
        <v>33.068533000000002</v>
      </c>
      <c r="C186">
        <v>1.32</v>
      </c>
      <c r="D186">
        <v>1.5708</v>
      </c>
      <c r="E186">
        <v>878751547</v>
      </c>
      <c r="F186">
        <v>160</v>
      </c>
    </row>
    <row r="187" spans="1:6" x14ac:dyDescent="0.25">
      <c r="A187">
        <v>-111.973878</v>
      </c>
      <c r="B187">
        <v>33.068525999999999</v>
      </c>
      <c r="C187">
        <v>0.85</v>
      </c>
      <c r="D187">
        <v>1.0115000000000001</v>
      </c>
      <c r="E187">
        <v>878751549</v>
      </c>
      <c r="F187">
        <v>160</v>
      </c>
    </row>
    <row r="188" spans="1:6" x14ac:dyDescent="0.25">
      <c r="A188">
        <v>-111.973878</v>
      </c>
      <c r="B188">
        <v>33.068519000000002</v>
      </c>
      <c r="C188">
        <v>1.36</v>
      </c>
      <c r="D188">
        <v>1.6184000000000001</v>
      </c>
      <c r="E188">
        <v>878751551</v>
      </c>
      <c r="F188">
        <v>160</v>
      </c>
    </row>
    <row r="189" spans="1:6" x14ac:dyDescent="0.25">
      <c r="A189">
        <v>-111.973878</v>
      </c>
      <c r="B189">
        <v>33.068511999999998</v>
      </c>
      <c r="C189">
        <v>0.23499999999999999</v>
      </c>
      <c r="D189">
        <v>0.27965000000000001</v>
      </c>
      <c r="E189">
        <v>878751553</v>
      </c>
      <c r="F189">
        <v>160</v>
      </c>
    </row>
    <row r="190" spans="1:6" x14ac:dyDescent="0.25">
      <c r="A190">
        <v>-111.973878</v>
      </c>
      <c r="B190">
        <v>33.068505000000002</v>
      </c>
      <c r="C190">
        <v>4.4999999999999998E-2</v>
      </c>
      <c r="D190">
        <v>5.355E-2</v>
      </c>
      <c r="E190">
        <v>878751555</v>
      </c>
      <c r="F190">
        <v>160</v>
      </c>
    </row>
    <row r="191" spans="1:6" x14ac:dyDescent="0.25">
      <c r="A191">
        <v>-111.973878</v>
      </c>
      <c r="B191">
        <v>33.068497999999998</v>
      </c>
      <c r="C191">
        <v>5.5E-2</v>
      </c>
      <c r="D191">
        <v>6.5449999999999994E-2</v>
      </c>
      <c r="E191">
        <v>878751557</v>
      </c>
      <c r="F191">
        <v>160</v>
      </c>
    </row>
    <row r="192" spans="1:6" x14ac:dyDescent="0.25">
      <c r="A192">
        <v>-111.973878</v>
      </c>
      <c r="B192">
        <v>33.068491000000002</v>
      </c>
      <c r="C192">
        <v>0.04</v>
      </c>
      <c r="D192">
        <v>4.7600000000000003E-2</v>
      </c>
      <c r="E192">
        <v>878751559</v>
      </c>
      <c r="F192">
        <v>160</v>
      </c>
    </row>
    <row r="193" spans="1:6" x14ac:dyDescent="0.25">
      <c r="A193">
        <v>-111.973879</v>
      </c>
      <c r="B193">
        <v>33.068483000000001</v>
      </c>
      <c r="C193">
        <v>4.4999999999999998E-2</v>
      </c>
      <c r="D193">
        <v>5.355E-2</v>
      </c>
      <c r="E193">
        <v>878751561</v>
      </c>
      <c r="F193">
        <v>160</v>
      </c>
    </row>
    <row r="194" spans="1:6" x14ac:dyDescent="0.25">
      <c r="A194">
        <v>-111.973879</v>
      </c>
      <c r="B194">
        <v>33.068475999999997</v>
      </c>
      <c r="C194">
        <v>0.54</v>
      </c>
      <c r="D194">
        <v>0.64259999999999995</v>
      </c>
      <c r="E194">
        <v>878751563</v>
      </c>
      <c r="F194">
        <v>160</v>
      </c>
    </row>
    <row r="195" spans="1:6" x14ac:dyDescent="0.25">
      <c r="A195">
        <v>-111.973878</v>
      </c>
      <c r="B195">
        <v>33.068469999999998</v>
      </c>
      <c r="C195">
        <v>1.25</v>
      </c>
      <c r="D195">
        <v>1.4875</v>
      </c>
      <c r="E195">
        <v>878751565</v>
      </c>
      <c r="F195">
        <v>160</v>
      </c>
    </row>
    <row r="196" spans="1:6" x14ac:dyDescent="0.25">
      <c r="A196">
        <v>-111.973878</v>
      </c>
      <c r="B196">
        <v>33.068463000000001</v>
      </c>
      <c r="C196">
        <v>1.0549999999999999</v>
      </c>
      <c r="D196">
        <v>1.25545</v>
      </c>
      <c r="E196">
        <v>878751567</v>
      </c>
      <c r="F196">
        <v>160</v>
      </c>
    </row>
    <row r="197" spans="1:6" x14ac:dyDescent="0.25">
      <c r="A197">
        <v>-111.973878</v>
      </c>
      <c r="B197">
        <v>33.068458</v>
      </c>
      <c r="C197">
        <v>1.095</v>
      </c>
      <c r="D197">
        <v>1.30305</v>
      </c>
      <c r="E197">
        <v>878751569</v>
      </c>
      <c r="F197">
        <v>160</v>
      </c>
    </row>
    <row r="198" spans="1:6" x14ac:dyDescent="0.25">
      <c r="A198">
        <v>-111.973878</v>
      </c>
      <c r="B198">
        <v>33.068449999999999</v>
      </c>
      <c r="C198">
        <v>1.0900000000000001</v>
      </c>
      <c r="D198">
        <v>1.2970999999999999</v>
      </c>
      <c r="E198">
        <v>878751571</v>
      </c>
      <c r="F198">
        <v>160</v>
      </c>
    </row>
    <row r="199" spans="1:6" x14ac:dyDescent="0.25">
      <c r="A199">
        <v>-111.973878</v>
      </c>
      <c r="B199">
        <v>33.068443000000002</v>
      </c>
      <c r="C199">
        <v>7.4999999999999997E-2</v>
      </c>
      <c r="D199">
        <v>8.9249999999999996E-2</v>
      </c>
      <c r="E199">
        <v>878751573</v>
      </c>
      <c r="F199">
        <v>160</v>
      </c>
    </row>
    <row r="200" spans="1:6" x14ac:dyDescent="0.25">
      <c r="A200">
        <v>-111.973879</v>
      </c>
      <c r="B200">
        <v>33.068435000000001</v>
      </c>
      <c r="C200">
        <v>5.0000000000000001E-3</v>
      </c>
      <c r="D200">
        <v>5.9500000000000004E-3</v>
      </c>
      <c r="E200">
        <v>878751575</v>
      </c>
      <c r="F200">
        <v>160</v>
      </c>
    </row>
    <row r="201" spans="1:6" x14ac:dyDescent="0.25">
      <c r="A201">
        <v>-111.973878</v>
      </c>
      <c r="B201">
        <v>33.068356000000001</v>
      </c>
      <c r="C201">
        <v>0.315</v>
      </c>
      <c r="D201">
        <v>0.37485000000000002</v>
      </c>
      <c r="E201">
        <v>878751597</v>
      </c>
      <c r="F201">
        <v>160</v>
      </c>
    </row>
    <row r="202" spans="1:6" x14ac:dyDescent="0.25">
      <c r="A202">
        <v>-111.973878</v>
      </c>
      <c r="B202">
        <v>33.068348999999998</v>
      </c>
      <c r="C202">
        <v>1.355</v>
      </c>
      <c r="D202">
        <v>1.6124499999999999</v>
      </c>
      <c r="E202">
        <v>878751599</v>
      </c>
      <c r="F202">
        <v>160</v>
      </c>
    </row>
    <row r="203" spans="1:6" x14ac:dyDescent="0.25">
      <c r="A203">
        <v>-111.973878</v>
      </c>
      <c r="B203">
        <v>33.068340999999997</v>
      </c>
      <c r="C203">
        <v>1.47</v>
      </c>
      <c r="D203">
        <v>1.7493000000000001</v>
      </c>
      <c r="E203">
        <v>878751601</v>
      </c>
      <c r="F203">
        <v>160</v>
      </c>
    </row>
    <row r="204" spans="1:6" x14ac:dyDescent="0.25">
      <c r="A204">
        <v>-111.973878</v>
      </c>
      <c r="B204">
        <v>33.068334</v>
      </c>
      <c r="C204">
        <v>1.44</v>
      </c>
      <c r="D204">
        <v>1.7136</v>
      </c>
      <c r="E204">
        <v>878751603</v>
      </c>
      <c r="F204">
        <v>160</v>
      </c>
    </row>
    <row r="205" spans="1:6" x14ac:dyDescent="0.25">
      <c r="A205">
        <v>-111.973878</v>
      </c>
      <c r="B205">
        <v>33.068326999999996</v>
      </c>
      <c r="C205">
        <v>1.21</v>
      </c>
      <c r="D205">
        <v>1.4399</v>
      </c>
      <c r="E205">
        <v>878751605</v>
      </c>
      <c r="F205">
        <v>160</v>
      </c>
    </row>
    <row r="206" spans="1:6" x14ac:dyDescent="0.25">
      <c r="A206">
        <v>-111.973878</v>
      </c>
      <c r="B206">
        <v>33.068320999999997</v>
      </c>
      <c r="C206">
        <v>1.1200000000000001</v>
      </c>
      <c r="D206">
        <v>1.3328</v>
      </c>
      <c r="E206">
        <v>878751607</v>
      </c>
      <c r="F206">
        <v>160</v>
      </c>
    </row>
    <row r="207" spans="1:6" x14ac:dyDescent="0.25">
      <c r="A207">
        <v>-111.973878</v>
      </c>
      <c r="B207">
        <v>33.068314000000001</v>
      </c>
      <c r="C207">
        <v>0.98</v>
      </c>
      <c r="D207">
        <v>1.1661999999999999</v>
      </c>
      <c r="E207">
        <v>878751609</v>
      </c>
      <c r="F207">
        <v>160</v>
      </c>
    </row>
    <row r="208" spans="1:6" x14ac:dyDescent="0.25">
      <c r="A208">
        <v>-111.973878</v>
      </c>
      <c r="B208">
        <v>33.068308000000002</v>
      </c>
      <c r="C208">
        <v>1.35</v>
      </c>
      <c r="D208">
        <v>1.6065</v>
      </c>
      <c r="E208">
        <v>878751611</v>
      </c>
      <c r="F208">
        <v>160</v>
      </c>
    </row>
    <row r="209" spans="1:6" x14ac:dyDescent="0.25">
      <c r="A209">
        <v>-111.973878</v>
      </c>
      <c r="B209">
        <v>33.068300999999998</v>
      </c>
      <c r="C209">
        <v>1.1950000000000001</v>
      </c>
      <c r="D209">
        <v>1.42205</v>
      </c>
      <c r="E209">
        <v>878751613</v>
      </c>
      <c r="F209">
        <v>160</v>
      </c>
    </row>
    <row r="210" spans="1:6" x14ac:dyDescent="0.25">
      <c r="A210">
        <v>-111.973878</v>
      </c>
      <c r="B210">
        <v>33.068292999999997</v>
      </c>
      <c r="C210">
        <v>1.06</v>
      </c>
      <c r="D210">
        <v>1.2614000000000001</v>
      </c>
      <c r="E210">
        <v>878751615</v>
      </c>
      <c r="F210">
        <v>160</v>
      </c>
    </row>
    <row r="211" spans="1:6" x14ac:dyDescent="0.25">
      <c r="A211">
        <v>-111.973878</v>
      </c>
      <c r="B211">
        <v>33.068286000000001</v>
      </c>
      <c r="C211">
        <v>1.03</v>
      </c>
      <c r="D211">
        <v>1.2257</v>
      </c>
      <c r="E211">
        <v>878751617</v>
      </c>
      <c r="F211">
        <v>160</v>
      </c>
    </row>
    <row r="212" spans="1:6" x14ac:dyDescent="0.25">
      <c r="A212">
        <v>-111.973878</v>
      </c>
      <c r="B212">
        <v>33.068278999999997</v>
      </c>
      <c r="C212">
        <v>0.83</v>
      </c>
      <c r="D212">
        <v>0.98770000000000002</v>
      </c>
      <c r="E212">
        <v>878751619</v>
      </c>
      <c r="F212">
        <v>160</v>
      </c>
    </row>
    <row r="213" spans="1:6" x14ac:dyDescent="0.25">
      <c r="A213">
        <v>-111.973878</v>
      </c>
      <c r="B213">
        <v>33.068272</v>
      </c>
      <c r="C213">
        <v>0.84</v>
      </c>
      <c r="D213">
        <v>0.99960000000000004</v>
      </c>
      <c r="E213">
        <v>878751621</v>
      </c>
      <c r="F213">
        <v>160</v>
      </c>
    </row>
    <row r="214" spans="1:6" x14ac:dyDescent="0.25">
      <c r="A214">
        <v>-111.973878</v>
      </c>
      <c r="B214">
        <v>33.068264999999997</v>
      </c>
      <c r="C214">
        <v>0.18</v>
      </c>
      <c r="D214">
        <v>0.2142</v>
      </c>
      <c r="E214">
        <v>878751623</v>
      </c>
      <c r="F214">
        <v>160</v>
      </c>
    </row>
    <row r="215" spans="1:6" x14ac:dyDescent="0.25">
      <c r="A215">
        <v>-111.973878</v>
      </c>
      <c r="B215">
        <v>33.068258</v>
      </c>
      <c r="C215">
        <v>4.4999999999999998E-2</v>
      </c>
      <c r="D215">
        <v>5.355E-2</v>
      </c>
      <c r="E215">
        <v>878751625</v>
      </c>
      <c r="F215">
        <v>160</v>
      </c>
    </row>
    <row r="216" spans="1:6" x14ac:dyDescent="0.25">
      <c r="A216">
        <v>-111.973878</v>
      </c>
      <c r="B216">
        <v>33.068250999999997</v>
      </c>
      <c r="C216">
        <v>2.5000000000000001E-2</v>
      </c>
      <c r="D216">
        <v>2.9749999999999999E-2</v>
      </c>
      <c r="E216">
        <v>878751627</v>
      </c>
      <c r="F216">
        <v>160</v>
      </c>
    </row>
    <row r="217" spans="1:6" x14ac:dyDescent="0.25">
      <c r="A217">
        <v>-111.973878</v>
      </c>
      <c r="B217">
        <v>33.068244</v>
      </c>
      <c r="C217">
        <v>0.04</v>
      </c>
      <c r="D217">
        <v>4.7600000000000003E-2</v>
      </c>
      <c r="E217">
        <v>878751629</v>
      </c>
      <c r="F217">
        <v>160</v>
      </c>
    </row>
    <row r="218" spans="1:6" x14ac:dyDescent="0.25">
      <c r="A218">
        <v>-111.973878</v>
      </c>
      <c r="B218">
        <v>33.068235999999999</v>
      </c>
      <c r="C218">
        <v>0.02</v>
      </c>
      <c r="D218">
        <v>2.3800000000000002E-2</v>
      </c>
      <c r="E218">
        <v>878751631</v>
      </c>
      <c r="F218">
        <v>160</v>
      </c>
    </row>
    <row r="219" spans="1:6" x14ac:dyDescent="0.25">
      <c r="A219">
        <v>-111.973878</v>
      </c>
      <c r="B219">
        <v>33.06823</v>
      </c>
      <c r="C219">
        <v>0.41</v>
      </c>
      <c r="D219">
        <v>0.4879</v>
      </c>
      <c r="E219">
        <v>878751633</v>
      </c>
      <c r="F219">
        <v>160</v>
      </c>
    </row>
    <row r="220" spans="1:6" x14ac:dyDescent="0.25">
      <c r="A220">
        <v>-111.973878</v>
      </c>
      <c r="B220">
        <v>33.068221999999999</v>
      </c>
      <c r="C220">
        <v>1.44</v>
      </c>
      <c r="D220">
        <v>1.7136</v>
      </c>
      <c r="E220">
        <v>878751635</v>
      </c>
      <c r="F220">
        <v>160</v>
      </c>
    </row>
    <row r="221" spans="1:6" x14ac:dyDescent="0.25">
      <c r="A221">
        <v>-111.973878</v>
      </c>
      <c r="B221">
        <v>33.068215000000002</v>
      </c>
      <c r="C221">
        <v>1.0249999999999999</v>
      </c>
      <c r="D221">
        <v>1.2197499999999999</v>
      </c>
      <c r="E221">
        <v>878751637</v>
      </c>
      <c r="F221">
        <v>160</v>
      </c>
    </row>
    <row r="222" spans="1:6" x14ac:dyDescent="0.25">
      <c r="A222">
        <v>-111.973878</v>
      </c>
      <c r="B222">
        <v>33.068207999999998</v>
      </c>
      <c r="C222">
        <v>1.395</v>
      </c>
      <c r="D222">
        <v>1.66005</v>
      </c>
      <c r="E222">
        <v>878751639</v>
      </c>
      <c r="F222">
        <v>160</v>
      </c>
    </row>
    <row r="223" spans="1:6" x14ac:dyDescent="0.25">
      <c r="A223">
        <v>-111.973879</v>
      </c>
      <c r="B223">
        <v>33.068201000000002</v>
      </c>
      <c r="C223">
        <v>1.1299999999999999</v>
      </c>
      <c r="D223">
        <v>1.3447</v>
      </c>
      <c r="E223">
        <v>878751641</v>
      </c>
      <c r="F223">
        <v>160</v>
      </c>
    </row>
    <row r="224" spans="1:6" x14ac:dyDescent="0.25">
      <c r="A224">
        <v>-111.973878</v>
      </c>
      <c r="B224">
        <v>33.068199999999997</v>
      </c>
      <c r="C224">
        <v>0.01</v>
      </c>
      <c r="D224">
        <v>1.1900000000000001E-2</v>
      </c>
      <c r="E224">
        <v>878751657</v>
      </c>
      <c r="F224">
        <v>160</v>
      </c>
    </row>
    <row r="225" spans="1:6" x14ac:dyDescent="0.25">
      <c r="A225">
        <v>-111.973877</v>
      </c>
      <c r="B225">
        <v>33.068195000000003</v>
      </c>
      <c r="C225">
        <v>0.01</v>
      </c>
      <c r="D225">
        <v>1.1900000000000001E-2</v>
      </c>
      <c r="E225">
        <v>878751659</v>
      </c>
      <c r="F225">
        <v>160</v>
      </c>
    </row>
    <row r="226" spans="1:6" x14ac:dyDescent="0.25">
      <c r="A226">
        <v>-111.973878</v>
      </c>
      <c r="B226">
        <v>33.068188999999997</v>
      </c>
      <c r="C226">
        <v>4.4999999999999998E-2</v>
      </c>
      <c r="D226">
        <v>5.355E-2</v>
      </c>
      <c r="E226">
        <v>878751661</v>
      </c>
      <c r="F226">
        <v>160</v>
      </c>
    </row>
    <row r="227" spans="1:6" x14ac:dyDescent="0.25">
      <c r="A227">
        <v>-111.973878</v>
      </c>
      <c r="B227">
        <v>33.068184000000002</v>
      </c>
      <c r="C227">
        <v>0.16500000000000001</v>
      </c>
      <c r="D227">
        <v>0.19635</v>
      </c>
      <c r="E227">
        <v>878751663</v>
      </c>
      <c r="F227">
        <v>160</v>
      </c>
    </row>
    <row r="228" spans="1:6" x14ac:dyDescent="0.25">
      <c r="A228">
        <v>-111.973878</v>
      </c>
      <c r="B228">
        <v>33.068178000000003</v>
      </c>
      <c r="C228">
        <v>0.88500000000000001</v>
      </c>
      <c r="D228">
        <v>1.05315</v>
      </c>
      <c r="E228">
        <v>878751665</v>
      </c>
      <c r="F228">
        <v>160</v>
      </c>
    </row>
    <row r="229" spans="1:6" x14ac:dyDescent="0.25">
      <c r="A229">
        <v>-111.973878</v>
      </c>
      <c r="B229">
        <v>33.068171</v>
      </c>
      <c r="C229">
        <v>1.61</v>
      </c>
      <c r="D229">
        <v>1.9158999999999999</v>
      </c>
      <c r="E229">
        <v>878751667</v>
      </c>
      <c r="F229">
        <v>160</v>
      </c>
    </row>
    <row r="230" spans="1:6" x14ac:dyDescent="0.25">
      <c r="A230">
        <v>-111.973878</v>
      </c>
      <c r="B230">
        <v>33.068162999999998</v>
      </c>
      <c r="C230">
        <v>1.2749999999999999</v>
      </c>
      <c r="D230">
        <v>1.51725</v>
      </c>
      <c r="E230">
        <v>878751669</v>
      </c>
      <c r="F230">
        <v>160</v>
      </c>
    </row>
    <row r="231" spans="1:6" x14ac:dyDescent="0.25">
      <c r="A231">
        <v>-111.973878</v>
      </c>
      <c r="B231">
        <v>33.068156000000002</v>
      </c>
      <c r="C231">
        <v>0.99</v>
      </c>
      <c r="D231">
        <v>1.1780999999999999</v>
      </c>
      <c r="E231">
        <v>878751671</v>
      </c>
      <c r="F231">
        <v>160</v>
      </c>
    </row>
    <row r="232" spans="1:6" x14ac:dyDescent="0.25">
      <c r="A232">
        <v>-111.973878</v>
      </c>
      <c r="B232">
        <v>33.068148000000001</v>
      </c>
      <c r="C232">
        <v>1.0449999999999999</v>
      </c>
      <c r="D232">
        <v>1.2435499999999999</v>
      </c>
      <c r="E232">
        <v>878751673</v>
      </c>
      <c r="F232">
        <v>160</v>
      </c>
    </row>
    <row r="233" spans="1:6" x14ac:dyDescent="0.25">
      <c r="A233">
        <v>-111.973878</v>
      </c>
      <c r="B233">
        <v>33.068140999999997</v>
      </c>
      <c r="C233">
        <v>0.93500000000000005</v>
      </c>
      <c r="D233">
        <v>1.1126499999999999</v>
      </c>
      <c r="E233">
        <v>878751675</v>
      </c>
      <c r="F233">
        <v>160</v>
      </c>
    </row>
    <row r="234" spans="1:6" x14ac:dyDescent="0.25">
      <c r="A234">
        <v>-111.973878</v>
      </c>
      <c r="B234">
        <v>33.068134000000001</v>
      </c>
      <c r="C234">
        <v>0.83</v>
      </c>
      <c r="D234">
        <v>0.98770000000000002</v>
      </c>
      <c r="E234">
        <v>878751677</v>
      </c>
      <c r="F234">
        <v>160</v>
      </c>
    </row>
    <row r="235" spans="1:6" x14ac:dyDescent="0.25">
      <c r="A235">
        <v>-111.973878</v>
      </c>
      <c r="B235">
        <v>33.068125999999999</v>
      </c>
      <c r="C235">
        <v>0.86499999999999999</v>
      </c>
      <c r="D235">
        <v>1.02935</v>
      </c>
      <c r="E235">
        <v>878751679</v>
      </c>
      <c r="F235">
        <v>160</v>
      </c>
    </row>
    <row r="236" spans="1:6" x14ac:dyDescent="0.25">
      <c r="A236">
        <v>-111.973878</v>
      </c>
      <c r="B236">
        <v>33.068117999999998</v>
      </c>
      <c r="C236">
        <v>1.145</v>
      </c>
      <c r="D236">
        <v>1.3625499999999999</v>
      </c>
      <c r="E236">
        <v>878751681</v>
      </c>
      <c r="F236">
        <v>160</v>
      </c>
    </row>
    <row r="237" spans="1:6" x14ac:dyDescent="0.25">
      <c r="A237">
        <v>-111.973878</v>
      </c>
      <c r="B237">
        <v>33.068109999999997</v>
      </c>
      <c r="C237">
        <v>0.84</v>
      </c>
      <c r="D237">
        <v>0.99960000000000004</v>
      </c>
      <c r="E237">
        <v>878751683</v>
      </c>
      <c r="F237">
        <v>160</v>
      </c>
    </row>
    <row r="238" spans="1:6" x14ac:dyDescent="0.25">
      <c r="A238">
        <v>-111.973879</v>
      </c>
      <c r="B238">
        <v>33.068102000000003</v>
      </c>
      <c r="C238">
        <v>0.51500000000000001</v>
      </c>
      <c r="D238">
        <v>0.61285000000000001</v>
      </c>
      <c r="E238">
        <v>878751685</v>
      </c>
      <c r="F238">
        <v>160</v>
      </c>
    </row>
    <row r="239" spans="1:6" x14ac:dyDescent="0.25">
      <c r="A239">
        <v>-111.973879</v>
      </c>
      <c r="B239">
        <v>33.068095</v>
      </c>
      <c r="C239">
        <v>0.02</v>
      </c>
      <c r="D239">
        <v>2.3800000000000002E-2</v>
      </c>
      <c r="E239">
        <v>878751687</v>
      </c>
      <c r="F239">
        <v>160</v>
      </c>
    </row>
    <row r="240" spans="1:6" x14ac:dyDescent="0.25">
      <c r="A240">
        <v>-111.973879</v>
      </c>
      <c r="B240">
        <v>33.068086999999998</v>
      </c>
      <c r="C240">
        <v>1.4999999999999999E-2</v>
      </c>
      <c r="D240">
        <v>1.7850000000000001E-2</v>
      </c>
      <c r="E240">
        <v>878751689</v>
      </c>
      <c r="F240">
        <v>160</v>
      </c>
    </row>
    <row r="241" spans="1:6" x14ac:dyDescent="0.25">
      <c r="A241">
        <v>-111.973879</v>
      </c>
      <c r="B241">
        <v>33.068080000000002</v>
      </c>
      <c r="C241">
        <v>1.4999999999999999E-2</v>
      </c>
      <c r="D241">
        <v>1.7850000000000001E-2</v>
      </c>
      <c r="E241">
        <v>878751691</v>
      </c>
      <c r="F241">
        <v>160</v>
      </c>
    </row>
    <row r="242" spans="1:6" x14ac:dyDescent="0.25">
      <c r="A242">
        <v>-111.973878</v>
      </c>
      <c r="B242">
        <v>33.068072000000001</v>
      </c>
      <c r="C242">
        <v>1.4999999999999999E-2</v>
      </c>
      <c r="D242">
        <v>1.7850000000000001E-2</v>
      </c>
      <c r="E242">
        <v>878751693</v>
      </c>
      <c r="F242">
        <v>160</v>
      </c>
    </row>
    <row r="243" spans="1:6" x14ac:dyDescent="0.25">
      <c r="A243">
        <v>-111.973878</v>
      </c>
      <c r="B243">
        <v>33.068064999999997</v>
      </c>
      <c r="C243">
        <v>0.43</v>
      </c>
      <c r="D243">
        <v>0.51170000000000004</v>
      </c>
      <c r="E243">
        <v>878751695</v>
      </c>
      <c r="F243">
        <v>160</v>
      </c>
    </row>
    <row r="244" spans="1:6" x14ac:dyDescent="0.25">
      <c r="A244">
        <v>-111.973878</v>
      </c>
      <c r="B244">
        <v>33.068058000000001</v>
      </c>
      <c r="C244">
        <v>0.85499999999999998</v>
      </c>
      <c r="D244">
        <v>1.01745</v>
      </c>
      <c r="E244">
        <v>878751697</v>
      </c>
      <c r="F244">
        <v>160</v>
      </c>
    </row>
    <row r="245" spans="1:6" x14ac:dyDescent="0.25">
      <c r="A245">
        <v>-111.973878</v>
      </c>
      <c r="B245">
        <v>33.068049999999999</v>
      </c>
      <c r="C245">
        <v>0.85499999999999998</v>
      </c>
      <c r="D245">
        <v>1.01745</v>
      </c>
      <c r="E245">
        <v>878751699</v>
      </c>
      <c r="F245">
        <v>160</v>
      </c>
    </row>
    <row r="246" spans="1:6" x14ac:dyDescent="0.25">
      <c r="A246">
        <v>-111.973878</v>
      </c>
      <c r="B246">
        <v>33.068043000000003</v>
      </c>
      <c r="C246">
        <v>1.1950000000000001</v>
      </c>
      <c r="D246">
        <v>1.42205</v>
      </c>
      <c r="E246">
        <v>878751701</v>
      </c>
      <c r="F246">
        <v>160</v>
      </c>
    </row>
    <row r="247" spans="1:6" x14ac:dyDescent="0.25">
      <c r="A247">
        <v>-111.973878</v>
      </c>
      <c r="B247">
        <v>33.068035000000002</v>
      </c>
      <c r="C247">
        <v>1.0049999999999999</v>
      </c>
      <c r="D247">
        <v>1.1959500000000001</v>
      </c>
      <c r="E247">
        <v>878751703</v>
      </c>
      <c r="F247">
        <v>160</v>
      </c>
    </row>
    <row r="248" spans="1:6" x14ac:dyDescent="0.25">
      <c r="A248">
        <v>-111.973877</v>
      </c>
      <c r="B248">
        <v>33.068026000000003</v>
      </c>
      <c r="C248">
        <v>3.5000000000000003E-2</v>
      </c>
      <c r="D248">
        <v>4.165E-2</v>
      </c>
      <c r="E248">
        <v>878751705</v>
      </c>
      <c r="F248">
        <v>160</v>
      </c>
    </row>
    <row r="249" spans="1:6" x14ac:dyDescent="0.25">
      <c r="A249">
        <v>-111.973877</v>
      </c>
      <c r="B249">
        <v>33.068021999999999</v>
      </c>
      <c r="C249">
        <v>5.0000000000000001E-3</v>
      </c>
      <c r="D249">
        <v>5.9500000000000004E-3</v>
      </c>
      <c r="E249">
        <v>878751707</v>
      </c>
      <c r="F249">
        <v>160</v>
      </c>
    </row>
    <row r="250" spans="1:6" x14ac:dyDescent="0.25">
      <c r="A250">
        <v>-111.974006</v>
      </c>
      <c r="B250">
        <v>33.069025000000003</v>
      </c>
      <c r="C250">
        <v>0.01</v>
      </c>
      <c r="D250">
        <v>1.1900000000000001E-2</v>
      </c>
      <c r="E250">
        <v>878751861</v>
      </c>
      <c r="F250">
        <v>160</v>
      </c>
    </row>
    <row r="251" spans="1:6" x14ac:dyDescent="0.25">
      <c r="A251">
        <v>-111.974006</v>
      </c>
      <c r="B251">
        <v>33.069018999999997</v>
      </c>
      <c r="C251">
        <v>0.215</v>
      </c>
      <c r="D251">
        <v>0.25585000000000002</v>
      </c>
      <c r="E251">
        <v>878751863</v>
      </c>
      <c r="F251">
        <v>160</v>
      </c>
    </row>
    <row r="252" spans="1:6" x14ac:dyDescent="0.25">
      <c r="A252">
        <v>-111.974006</v>
      </c>
      <c r="B252">
        <v>33.069012999999998</v>
      </c>
      <c r="C252">
        <v>0.99</v>
      </c>
      <c r="D252">
        <v>1.1780999999999999</v>
      </c>
      <c r="E252">
        <v>878751865</v>
      </c>
      <c r="F252">
        <v>160</v>
      </c>
    </row>
    <row r="253" spans="1:6" x14ac:dyDescent="0.25">
      <c r="A253">
        <v>-111.974006</v>
      </c>
      <c r="B253">
        <v>33.069004999999997</v>
      </c>
      <c r="C253">
        <v>1.115</v>
      </c>
      <c r="D253">
        <v>1.3268500000000001</v>
      </c>
      <c r="E253">
        <v>878751867</v>
      </c>
      <c r="F253">
        <v>160</v>
      </c>
    </row>
    <row r="254" spans="1:6" x14ac:dyDescent="0.25">
      <c r="A254">
        <v>-111.97400500000001</v>
      </c>
      <c r="B254">
        <v>33.068997000000003</v>
      </c>
      <c r="C254">
        <v>0.73499999999999999</v>
      </c>
      <c r="D254">
        <v>0.87465000000000004</v>
      </c>
      <c r="E254">
        <v>878751869</v>
      </c>
      <c r="F254">
        <v>160</v>
      </c>
    </row>
    <row r="255" spans="1:6" x14ac:dyDescent="0.25">
      <c r="A255">
        <v>-111.974006</v>
      </c>
      <c r="B255">
        <v>33.068990999999997</v>
      </c>
      <c r="C255">
        <v>0.67</v>
      </c>
      <c r="D255">
        <v>0.79730000000000001</v>
      </c>
      <c r="E255">
        <v>878751871</v>
      </c>
      <c r="F255">
        <v>160</v>
      </c>
    </row>
    <row r="256" spans="1:6" x14ac:dyDescent="0.25">
      <c r="A256">
        <v>-111.974006</v>
      </c>
      <c r="B256">
        <v>33.068984</v>
      </c>
      <c r="C256">
        <v>0.56999999999999995</v>
      </c>
      <c r="D256">
        <v>0.67830000000000001</v>
      </c>
      <c r="E256">
        <v>878751873</v>
      </c>
      <c r="F256">
        <v>160</v>
      </c>
    </row>
    <row r="257" spans="1:6" x14ac:dyDescent="0.25">
      <c r="A257">
        <v>-111.974006</v>
      </c>
      <c r="B257">
        <v>33.068976999999997</v>
      </c>
      <c r="C257">
        <v>0.62</v>
      </c>
      <c r="D257">
        <v>0.73780000000000001</v>
      </c>
      <c r="E257">
        <v>878751875</v>
      </c>
      <c r="F257">
        <v>160</v>
      </c>
    </row>
    <row r="258" spans="1:6" x14ac:dyDescent="0.25">
      <c r="A258">
        <v>-111.974006</v>
      </c>
      <c r="B258">
        <v>33.06897</v>
      </c>
      <c r="C258">
        <v>0.88500000000000001</v>
      </c>
      <c r="D258">
        <v>1.05315</v>
      </c>
      <c r="E258">
        <v>878751877</v>
      </c>
      <c r="F258">
        <v>160</v>
      </c>
    </row>
    <row r="259" spans="1:6" x14ac:dyDescent="0.25">
      <c r="A259">
        <v>-111.974007</v>
      </c>
      <c r="B259">
        <v>33.068961999999999</v>
      </c>
      <c r="C259">
        <v>0.93500000000000005</v>
      </c>
      <c r="D259">
        <v>1.1126499999999999</v>
      </c>
      <c r="E259">
        <v>878751879</v>
      </c>
      <c r="F259">
        <v>160</v>
      </c>
    </row>
    <row r="260" spans="1:6" x14ac:dyDescent="0.25">
      <c r="A260">
        <v>-111.974006</v>
      </c>
      <c r="B260">
        <v>33.068955000000003</v>
      </c>
      <c r="C260">
        <v>0.83499999999999996</v>
      </c>
      <c r="D260">
        <v>0.99365000000000003</v>
      </c>
      <c r="E260">
        <v>878751881</v>
      </c>
      <c r="F260">
        <v>160</v>
      </c>
    </row>
    <row r="261" spans="1:6" x14ac:dyDescent="0.25">
      <c r="A261">
        <v>-111.974006</v>
      </c>
      <c r="B261">
        <v>33.068947999999999</v>
      </c>
      <c r="C261">
        <v>0.6</v>
      </c>
      <c r="D261">
        <v>0.71399999999999997</v>
      </c>
      <c r="E261">
        <v>878751883</v>
      </c>
      <c r="F261">
        <v>160</v>
      </c>
    </row>
    <row r="262" spans="1:6" x14ac:dyDescent="0.25">
      <c r="A262">
        <v>-111.974006</v>
      </c>
      <c r="B262">
        <v>33.068941000000002</v>
      </c>
      <c r="C262">
        <v>0.60499999999999998</v>
      </c>
      <c r="D262">
        <v>0.71994999999999998</v>
      </c>
      <c r="E262">
        <v>878751885</v>
      </c>
      <c r="F262">
        <v>160</v>
      </c>
    </row>
    <row r="263" spans="1:6" x14ac:dyDescent="0.25">
      <c r="A263">
        <v>-111.974006</v>
      </c>
      <c r="B263">
        <v>33.068933000000001</v>
      </c>
      <c r="C263">
        <v>0.63</v>
      </c>
      <c r="D263">
        <v>0.74970000000000003</v>
      </c>
      <c r="E263">
        <v>878751887</v>
      </c>
      <c r="F263">
        <v>160</v>
      </c>
    </row>
    <row r="264" spans="1:6" x14ac:dyDescent="0.25">
      <c r="A264">
        <v>-111.974006</v>
      </c>
      <c r="B264">
        <v>33.068925999999998</v>
      </c>
      <c r="C264">
        <v>0.23</v>
      </c>
      <c r="D264">
        <v>0.2737</v>
      </c>
      <c r="E264">
        <v>878751889</v>
      </c>
      <c r="F264">
        <v>160</v>
      </c>
    </row>
    <row r="265" spans="1:6" x14ac:dyDescent="0.25">
      <c r="A265">
        <v>-111.974006</v>
      </c>
      <c r="B265">
        <v>33.068919000000001</v>
      </c>
      <c r="C265">
        <v>0.02</v>
      </c>
      <c r="D265">
        <v>2.3800000000000002E-2</v>
      </c>
      <c r="E265">
        <v>878751891</v>
      </c>
      <c r="F265">
        <v>160</v>
      </c>
    </row>
    <row r="266" spans="1:6" x14ac:dyDescent="0.25">
      <c r="A266">
        <v>-111.974006</v>
      </c>
      <c r="B266">
        <v>33.068911999999997</v>
      </c>
      <c r="C266">
        <v>1.4999999999999999E-2</v>
      </c>
      <c r="D266">
        <v>1.7850000000000001E-2</v>
      </c>
      <c r="E266">
        <v>878751893</v>
      </c>
      <c r="F266">
        <v>160</v>
      </c>
    </row>
    <row r="267" spans="1:6" x14ac:dyDescent="0.25">
      <c r="A267">
        <v>-111.974006</v>
      </c>
      <c r="B267">
        <v>33.068905000000001</v>
      </c>
      <c r="C267">
        <v>3.5000000000000003E-2</v>
      </c>
      <c r="D267">
        <v>4.165E-2</v>
      </c>
      <c r="E267">
        <v>878751895</v>
      </c>
      <c r="F267">
        <v>160</v>
      </c>
    </row>
    <row r="268" spans="1:6" x14ac:dyDescent="0.25">
      <c r="A268">
        <v>-111.974006</v>
      </c>
      <c r="B268">
        <v>33.068897999999997</v>
      </c>
      <c r="C268">
        <v>0.04</v>
      </c>
      <c r="D268">
        <v>4.7600000000000003E-2</v>
      </c>
      <c r="E268">
        <v>878751897</v>
      </c>
      <c r="F268">
        <v>160</v>
      </c>
    </row>
    <row r="269" spans="1:6" x14ac:dyDescent="0.25">
      <c r="A269">
        <v>-111.974006</v>
      </c>
      <c r="B269">
        <v>33.068890000000003</v>
      </c>
      <c r="C269">
        <v>0.5</v>
      </c>
      <c r="D269">
        <v>0.59499999999999997</v>
      </c>
      <c r="E269">
        <v>878751899</v>
      </c>
      <c r="F269">
        <v>160</v>
      </c>
    </row>
    <row r="270" spans="1:6" x14ac:dyDescent="0.25">
      <c r="A270">
        <v>-111.974006</v>
      </c>
      <c r="B270">
        <v>33.068883</v>
      </c>
      <c r="C270">
        <v>1.1200000000000001</v>
      </c>
      <c r="D270">
        <v>1.3328</v>
      </c>
      <c r="E270">
        <v>878751901</v>
      </c>
      <c r="F270">
        <v>160</v>
      </c>
    </row>
    <row r="271" spans="1:6" x14ac:dyDescent="0.25">
      <c r="A271">
        <v>-111.974007</v>
      </c>
      <c r="B271">
        <v>33.068877000000001</v>
      </c>
      <c r="C271">
        <v>1.395</v>
      </c>
      <c r="D271">
        <v>1.66005</v>
      </c>
      <c r="E271">
        <v>878751903</v>
      </c>
      <c r="F271">
        <v>160</v>
      </c>
    </row>
    <row r="272" spans="1:6" x14ac:dyDescent="0.25">
      <c r="A272">
        <v>-111.974007</v>
      </c>
      <c r="B272">
        <v>33.068869999999997</v>
      </c>
      <c r="C272">
        <v>1.385</v>
      </c>
      <c r="D272">
        <v>1.64815</v>
      </c>
      <c r="E272">
        <v>878751905</v>
      </c>
      <c r="F272">
        <v>160</v>
      </c>
    </row>
    <row r="273" spans="1:6" x14ac:dyDescent="0.25">
      <c r="A273">
        <v>-111.974007</v>
      </c>
      <c r="B273">
        <v>33.068863</v>
      </c>
      <c r="C273">
        <v>1.47</v>
      </c>
      <c r="D273">
        <v>1.7493000000000001</v>
      </c>
      <c r="E273">
        <v>878751907</v>
      </c>
      <c r="F273">
        <v>160</v>
      </c>
    </row>
    <row r="274" spans="1:6" x14ac:dyDescent="0.25">
      <c r="A274">
        <v>-111.974007</v>
      </c>
      <c r="B274">
        <v>33.068854000000002</v>
      </c>
      <c r="C274">
        <v>7.4999999999999997E-2</v>
      </c>
      <c r="D274">
        <v>8.9249999999999996E-2</v>
      </c>
      <c r="E274">
        <v>878751909</v>
      </c>
      <c r="F274">
        <v>160</v>
      </c>
    </row>
    <row r="275" spans="1:6" x14ac:dyDescent="0.25">
      <c r="A275">
        <v>-111.974007</v>
      </c>
      <c r="B275">
        <v>33.068846999999998</v>
      </c>
      <c r="C275">
        <v>5.0000000000000001E-3</v>
      </c>
      <c r="D275">
        <v>5.9500000000000004E-3</v>
      </c>
      <c r="E275">
        <v>878751911</v>
      </c>
      <c r="F275">
        <v>160</v>
      </c>
    </row>
    <row r="276" spans="1:6" x14ac:dyDescent="0.25">
      <c r="A276">
        <v>-111.974007</v>
      </c>
      <c r="B276">
        <v>33.068781000000001</v>
      </c>
      <c r="C276">
        <v>5.0000000000000001E-3</v>
      </c>
      <c r="D276">
        <v>5.9500000000000004E-3</v>
      </c>
      <c r="E276">
        <v>878751929</v>
      </c>
      <c r="F276">
        <v>160</v>
      </c>
    </row>
    <row r="277" spans="1:6" x14ac:dyDescent="0.25">
      <c r="A277">
        <v>-111.974006</v>
      </c>
      <c r="B277">
        <v>33.068773999999998</v>
      </c>
      <c r="C277">
        <v>9.5000000000000001E-2</v>
      </c>
      <c r="D277">
        <v>0.11305</v>
      </c>
      <c r="E277">
        <v>878751931</v>
      </c>
      <c r="F277">
        <v>160</v>
      </c>
    </row>
    <row r="278" spans="1:6" x14ac:dyDescent="0.25">
      <c r="A278">
        <v>-111.974007</v>
      </c>
      <c r="B278">
        <v>33.068765999999997</v>
      </c>
      <c r="C278">
        <v>0.78</v>
      </c>
      <c r="D278">
        <v>0.92820000000000003</v>
      </c>
      <c r="E278">
        <v>878751933</v>
      </c>
      <c r="F278">
        <v>160</v>
      </c>
    </row>
    <row r="279" spans="1:6" x14ac:dyDescent="0.25">
      <c r="A279">
        <v>-111.974006</v>
      </c>
      <c r="B279">
        <v>33.068759999999997</v>
      </c>
      <c r="C279">
        <v>2.17</v>
      </c>
      <c r="D279">
        <v>2.5823</v>
      </c>
      <c r="E279">
        <v>878751935</v>
      </c>
      <c r="F279">
        <v>160</v>
      </c>
    </row>
    <row r="280" spans="1:6" x14ac:dyDescent="0.25">
      <c r="A280">
        <v>-111.974006</v>
      </c>
      <c r="B280">
        <v>33.068753000000001</v>
      </c>
      <c r="C280">
        <v>1.5349999999999999</v>
      </c>
      <c r="D280">
        <v>1.8266500000000001</v>
      </c>
      <c r="E280">
        <v>878751937</v>
      </c>
      <c r="F280">
        <v>160</v>
      </c>
    </row>
    <row r="281" spans="1:6" x14ac:dyDescent="0.25">
      <c r="A281">
        <v>-111.974006</v>
      </c>
      <c r="B281">
        <v>33.068745999999997</v>
      </c>
      <c r="C281">
        <v>1.63</v>
      </c>
      <c r="D281">
        <v>1.9397</v>
      </c>
      <c r="E281">
        <v>878751939</v>
      </c>
      <c r="F281">
        <v>160</v>
      </c>
    </row>
    <row r="282" spans="1:6" x14ac:dyDescent="0.25">
      <c r="A282">
        <v>-111.974006</v>
      </c>
      <c r="B282">
        <v>33.068738000000003</v>
      </c>
      <c r="C282">
        <v>1.21</v>
      </c>
      <c r="D282">
        <v>1.4399</v>
      </c>
      <c r="E282">
        <v>878751941</v>
      </c>
      <c r="F282">
        <v>160</v>
      </c>
    </row>
    <row r="283" spans="1:6" x14ac:dyDescent="0.25">
      <c r="A283">
        <v>-111.974006</v>
      </c>
      <c r="B283">
        <v>33.068731</v>
      </c>
      <c r="C283">
        <v>1.54</v>
      </c>
      <c r="D283">
        <v>1.8326</v>
      </c>
      <c r="E283">
        <v>878751943</v>
      </c>
      <c r="F283">
        <v>160</v>
      </c>
    </row>
    <row r="284" spans="1:6" x14ac:dyDescent="0.25">
      <c r="A284">
        <v>-111.974006</v>
      </c>
      <c r="B284">
        <v>33.068725000000001</v>
      </c>
      <c r="C284">
        <v>1.365</v>
      </c>
      <c r="D284">
        <v>1.62435</v>
      </c>
      <c r="E284">
        <v>878751945</v>
      </c>
      <c r="F284">
        <v>160</v>
      </c>
    </row>
    <row r="285" spans="1:6" x14ac:dyDescent="0.25">
      <c r="A285">
        <v>-111.97400500000001</v>
      </c>
      <c r="B285">
        <v>33.068717999999997</v>
      </c>
      <c r="C285">
        <v>1.355</v>
      </c>
      <c r="D285">
        <v>1.6124499999999999</v>
      </c>
      <c r="E285">
        <v>878751947</v>
      </c>
      <c r="F285">
        <v>160</v>
      </c>
    </row>
    <row r="286" spans="1:6" x14ac:dyDescent="0.25">
      <c r="A286">
        <v>-111.974006</v>
      </c>
      <c r="B286">
        <v>33.068711</v>
      </c>
      <c r="C286">
        <v>1.335</v>
      </c>
      <c r="D286">
        <v>1.5886499999999999</v>
      </c>
      <c r="E286">
        <v>878751949</v>
      </c>
      <c r="F286">
        <v>160</v>
      </c>
    </row>
    <row r="287" spans="1:6" x14ac:dyDescent="0.25">
      <c r="A287">
        <v>-111.974006</v>
      </c>
      <c r="B287">
        <v>33.068702999999999</v>
      </c>
      <c r="C287">
        <v>1.2549999999999999</v>
      </c>
      <c r="D287">
        <v>1.4934499999999999</v>
      </c>
      <c r="E287">
        <v>878751951</v>
      </c>
      <c r="F287">
        <v>160</v>
      </c>
    </row>
    <row r="288" spans="1:6" x14ac:dyDescent="0.25">
      <c r="A288">
        <v>-111.974006</v>
      </c>
      <c r="B288">
        <v>33.068696000000003</v>
      </c>
      <c r="C288">
        <v>1.1499999999999999</v>
      </c>
      <c r="D288">
        <v>1.3685</v>
      </c>
      <c r="E288">
        <v>878751953</v>
      </c>
      <c r="F288">
        <v>160</v>
      </c>
    </row>
    <row r="289" spans="1:6" x14ac:dyDescent="0.25">
      <c r="A289">
        <v>-111.974007</v>
      </c>
      <c r="B289">
        <v>33.068688999999999</v>
      </c>
      <c r="C289">
        <v>0.995</v>
      </c>
      <c r="D289">
        <v>1.18405</v>
      </c>
      <c r="E289">
        <v>878751955</v>
      </c>
      <c r="F289">
        <v>160</v>
      </c>
    </row>
    <row r="290" spans="1:6" x14ac:dyDescent="0.25">
      <c r="A290">
        <v>-111.974007</v>
      </c>
      <c r="B290">
        <v>33.068680999999998</v>
      </c>
      <c r="C290">
        <v>0.23499999999999999</v>
      </c>
      <c r="D290">
        <v>0.27965000000000001</v>
      </c>
      <c r="E290">
        <v>878751957</v>
      </c>
      <c r="F290">
        <v>160</v>
      </c>
    </row>
    <row r="291" spans="1:6" x14ac:dyDescent="0.25">
      <c r="A291">
        <v>-111.974007</v>
      </c>
      <c r="B291">
        <v>33.068674999999999</v>
      </c>
      <c r="C291">
        <v>3.5000000000000003E-2</v>
      </c>
      <c r="D291">
        <v>4.165E-2</v>
      </c>
      <c r="E291">
        <v>878751959</v>
      </c>
      <c r="F291">
        <v>160</v>
      </c>
    </row>
    <row r="292" spans="1:6" x14ac:dyDescent="0.25">
      <c r="A292">
        <v>-111.974007</v>
      </c>
      <c r="B292">
        <v>33.068666999999998</v>
      </c>
      <c r="C292">
        <v>0.04</v>
      </c>
      <c r="D292">
        <v>4.7600000000000003E-2</v>
      </c>
      <c r="E292">
        <v>878751961</v>
      </c>
      <c r="F292">
        <v>160</v>
      </c>
    </row>
    <row r="293" spans="1:6" x14ac:dyDescent="0.25">
      <c r="A293">
        <v>-111.974007</v>
      </c>
      <c r="B293">
        <v>33.068660000000001</v>
      </c>
      <c r="C293">
        <v>0.04</v>
      </c>
      <c r="D293">
        <v>4.7600000000000003E-2</v>
      </c>
      <c r="E293">
        <v>878751963</v>
      </c>
      <c r="F293">
        <v>160</v>
      </c>
    </row>
    <row r="294" spans="1:6" x14ac:dyDescent="0.25">
      <c r="A294">
        <v>-111.974007</v>
      </c>
      <c r="B294">
        <v>33.068652999999998</v>
      </c>
      <c r="C294">
        <v>7.0000000000000007E-2</v>
      </c>
      <c r="D294">
        <v>8.3299999999999999E-2</v>
      </c>
      <c r="E294">
        <v>878751965</v>
      </c>
      <c r="F294">
        <v>160</v>
      </c>
    </row>
    <row r="295" spans="1:6" x14ac:dyDescent="0.25">
      <c r="A295">
        <v>-111.974007</v>
      </c>
      <c r="B295">
        <v>33.068646000000001</v>
      </c>
      <c r="C295">
        <v>0.72499999999999998</v>
      </c>
      <c r="D295">
        <v>0.86275000000000002</v>
      </c>
      <c r="E295">
        <v>878751967</v>
      </c>
      <c r="F295">
        <v>160</v>
      </c>
    </row>
    <row r="296" spans="1:6" x14ac:dyDescent="0.25">
      <c r="A296">
        <v>-111.974007</v>
      </c>
      <c r="B296">
        <v>33.068638999999997</v>
      </c>
      <c r="C296">
        <v>1.585</v>
      </c>
      <c r="D296">
        <v>1.88615</v>
      </c>
      <c r="E296">
        <v>878751969</v>
      </c>
      <c r="F296">
        <v>160</v>
      </c>
    </row>
    <row r="297" spans="1:6" x14ac:dyDescent="0.25">
      <c r="A297">
        <v>-111.974008</v>
      </c>
      <c r="B297">
        <v>33.068631000000003</v>
      </c>
      <c r="C297">
        <v>1.31</v>
      </c>
      <c r="D297">
        <v>1.5589</v>
      </c>
      <c r="E297">
        <v>878751971</v>
      </c>
      <c r="F297">
        <v>160</v>
      </c>
    </row>
    <row r="298" spans="1:6" x14ac:dyDescent="0.25">
      <c r="A298">
        <v>-111.974008</v>
      </c>
      <c r="B298">
        <v>33.068624999999997</v>
      </c>
      <c r="C298">
        <v>1.635</v>
      </c>
      <c r="D298">
        <v>1.9456500000000001</v>
      </c>
      <c r="E298">
        <v>878751973</v>
      </c>
      <c r="F298">
        <v>160</v>
      </c>
    </row>
    <row r="299" spans="1:6" x14ac:dyDescent="0.25">
      <c r="A299">
        <v>-111.974007</v>
      </c>
      <c r="B299">
        <v>33.068618000000001</v>
      </c>
      <c r="C299">
        <v>0.98</v>
      </c>
      <c r="D299">
        <v>1.1661999999999999</v>
      </c>
      <c r="E299">
        <v>878751975</v>
      </c>
      <c r="F299">
        <v>160</v>
      </c>
    </row>
    <row r="300" spans="1:6" x14ac:dyDescent="0.25">
      <c r="A300">
        <v>-111.974007</v>
      </c>
      <c r="B300">
        <v>33.068618999999998</v>
      </c>
      <c r="C300">
        <v>0.01</v>
      </c>
      <c r="D300">
        <v>1.1900000000000001E-2</v>
      </c>
      <c r="E300">
        <v>878751977</v>
      </c>
      <c r="F300">
        <v>160</v>
      </c>
    </row>
    <row r="301" spans="1:6" x14ac:dyDescent="0.25">
      <c r="A301">
        <v>-111.974007</v>
      </c>
      <c r="B301">
        <v>33.068618999999998</v>
      </c>
      <c r="C301">
        <v>5.0000000000000001E-3</v>
      </c>
      <c r="D301">
        <v>5.9500000000000004E-3</v>
      </c>
      <c r="E301">
        <v>878751983</v>
      </c>
      <c r="F301">
        <v>160</v>
      </c>
    </row>
    <row r="302" spans="1:6" x14ac:dyDescent="0.25">
      <c r="A302">
        <v>-111.974006</v>
      </c>
      <c r="B302">
        <v>33.068613999999997</v>
      </c>
      <c r="C302">
        <v>6.5000000000000002E-2</v>
      </c>
      <c r="D302">
        <v>7.7350000000000002E-2</v>
      </c>
      <c r="E302">
        <v>878751985</v>
      </c>
      <c r="F302">
        <v>160</v>
      </c>
    </row>
    <row r="303" spans="1:6" x14ac:dyDescent="0.25">
      <c r="A303">
        <v>-111.974006</v>
      </c>
      <c r="B303">
        <v>33.068607999999998</v>
      </c>
      <c r="C303">
        <v>3.5000000000000003E-2</v>
      </c>
      <c r="D303">
        <v>4.165E-2</v>
      </c>
      <c r="E303">
        <v>878751987</v>
      </c>
      <c r="F303">
        <v>160</v>
      </c>
    </row>
    <row r="304" spans="1:6" x14ac:dyDescent="0.25">
      <c r="A304">
        <v>-111.974007</v>
      </c>
      <c r="B304">
        <v>33.068601999999998</v>
      </c>
      <c r="C304">
        <v>0.185</v>
      </c>
      <c r="D304">
        <v>0.22015000000000001</v>
      </c>
      <c r="E304">
        <v>878751989</v>
      </c>
      <c r="F304">
        <v>160</v>
      </c>
    </row>
    <row r="305" spans="1:6" x14ac:dyDescent="0.25">
      <c r="A305">
        <v>-111.974007</v>
      </c>
      <c r="B305">
        <v>33.068595999999999</v>
      </c>
      <c r="C305">
        <v>0.59</v>
      </c>
      <c r="D305">
        <v>0.70209999999999995</v>
      </c>
      <c r="E305">
        <v>878751991</v>
      </c>
      <c r="F305">
        <v>160</v>
      </c>
    </row>
    <row r="306" spans="1:6" x14ac:dyDescent="0.25">
      <c r="A306">
        <v>-111.974007</v>
      </c>
      <c r="B306">
        <v>33.068587999999998</v>
      </c>
      <c r="C306">
        <v>1.595</v>
      </c>
      <c r="D306">
        <v>1.89805</v>
      </c>
      <c r="E306">
        <v>878751993</v>
      </c>
      <c r="F306">
        <v>160</v>
      </c>
    </row>
    <row r="307" spans="1:6" x14ac:dyDescent="0.25">
      <c r="A307">
        <v>-111.974008</v>
      </c>
      <c r="B307">
        <v>33.068581000000002</v>
      </c>
      <c r="C307">
        <v>1.97</v>
      </c>
      <c r="D307">
        <v>2.3443000000000001</v>
      </c>
      <c r="E307">
        <v>878751995</v>
      </c>
      <c r="F307">
        <v>160</v>
      </c>
    </row>
    <row r="308" spans="1:6" x14ac:dyDescent="0.25">
      <c r="A308">
        <v>-111.974007</v>
      </c>
      <c r="B308">
        <v>33.068573999999998</v>
      </c>
      <c r="C308">
        <v>1.75</v>
      </c>
      <c r="D308">
        <v>2.0825</v>
      </c>
      <c r="E308">
        <v>878751997</v>
      </c>
      <c r="F308">
        <v>160</v>
      </c>
    </row>
    <row r="309" spans="1:6" x14ac:dyDescent="0.25">
      <c r="A309">
        <v>-111.974007</v>
      </c>
      <c r="B309">
        <v>33.068565999999997</v>
      </c>
      <c r="C309">
        <v>1.73</v>
      </c>
      <c r="D309">
        <v>2.0587</v>
      </c>
      <c r="E309">
        <v>878751999</v>
      </c>
      <c r="F309">
        <v>160</v>
      </c>
    </row>
    <row r="310" spans="1:6" x14ac:dyDescent="0.25">
      <c r="A310">
        <v>-111.974007</v>
      </c>
      <c r="B310">
        <v>33.068559</v>
      </c>
      <c r="C310">
        <v>1.86</v>
      </c>
      <c r="D310">
        <v>2.2134</v>
      </c>
      <c r="E310">
        <v>878752001</v>
      </c>
      <c r="F310">
        <v>160</v>
      </c>
    </row>
    <row r="311" spans="1:6" x14ac:dyDescent="0.25">
      <c r="A311">
        <v>-111.974007</v>
      </c>
      <c r="B311">
        <v>33.068550999999999</v>
      </c>
      <c r="C311">
        <v>1.7450000000000001</v>
      </c>
      <c r="D311">
        <v>2.0765500000000001</v>
      </c>
      <c r="E311">
        <v>878752003</v>
      </c>
      <c r="F311">
        <v>160</v>
      </c>
    </row>
    <row r="312" spans="1:6" x14ac:dyDescent="0.25">
      <c r="A312">
        <v>-111.974007</v>
      </c>
      <c r="B312">
        <v>33.068545</v>
      </c>
      <c r="C312">
        <v>1.7050000000000001</v>
      </c>
      <c r="D312">
        <v>2.02895</v>
      </c>
      <c r="E312">
        <v>878752005</v>
      </c>
      <c r="F312">
        <v>160</v>
      </c>
    </row>
    <row r="313" spans="1:6" x14ac:dyDescent="0.25">
      <c r="A313">
        <v>-111.974007</v>
      </c>
      <c r="B313">
        <v>33.068536999999999</v>
      </c>
      <c r="C313">
        <v>1.7</v>
      </c>
      <c r="D313">
        <v>2.0230000000000001</v>
      </c>
      <c r="E313">
        <v>878752007</v>
      </c>
      <c r="F313">
        <v>160</v>
      </c>
    </row>
    <row r="314" spans="1:6" x14ac:dyDescent="0.25">
      <c r="A314">
        <v>-111.974006</v>
      </c>
      <c r="B314">
        <v>33.068528999999998</v>
      </c>
      <c r="C314">
        <v>1.32</v>
      </c>
      <c r="D314">
        <v>1.5708</v>
      </c>
      <c r="E314">
        <v>878752009</v>
      </c>
      <c r="F314">
        <v>160</v>
      </c>
    </row>
    <row r="315" spans="1:6" x14ac:dyDescent="0.25">
      <c r="A315">
        <v>-111.974007</v>
      </c>
      <c r="B315">
        <v>33.068522000000002</v>
      </c>
      <c r="C315">
        <v>1.33</v>
      </c>
      <c r="D315">
        <v>1.5827</v>
      </c>
      <c r="E315">
        <v>878752011</v>
      </c>
      <c r="F315">
        <v>160</v>
      </c>
    </row>
    <row r="316" spans="1:6" x14ac:dyDescent="0.25">
      <c r="A316">
        <v>-111.974007</v>
      </c>
      <c r="B316">
        <v>33.068514</v>
      </c>
      <c r="C316">
        <v>0.28000000000000003</v>
      </c>
      <c r="D316">
        <v>0.3332</v>
      </c>
      <c r="E316">
        <v>878752013</v>
      </c>
      <c r="F316">
        <v>160</v>
      </c>
    </row>
    <row r="317" spans="1:6" x14ac:dyDescent="0.25">
      <c r="A317">
        <v>-111.974006</v>
      </c>
      <c r="B317">
        <v>33.068505999999999</v>
      </c>
      <c r="C317">
        <v>3.5000000000000003E-2</v>
      </c>
      <c r="D317">
        <v>4.165E-2</v>
      </c>
      <c r="E317">
        <v>878752015</v>
      </c>
      <c r="F317">
        <v>160</v>
      </c>
    </row>
    <row r="318" spans="1:6" x14ac:dyDescent="0.25">
      <c r="A318">
        <v>-111.974006</v>
      </c>
      <c r="B318">
        <v>33.068499000000003</v>
      </c>
      <c r="C318">
        <v>7.4999999999999997E-2</v>
      </c>
      <c r="D318">
        <v>8.9249999999999996E-2</v>
      </c>
      <c r="E318">
        <v>878752017</v>
      </c>
      <c r="F318">
        <v>160</v>
      </c>
    </row>
    <row r="319" spans="1:6" x14ac:dyDescent="0.25">
      <c r="A319">
        <v>-111.974007</v>
      </c>
      <c r="B319">
        <v>33.068491000000002</v>
      </c>
      <c r="C319">
        <v>8.5000000000000006E-2</v>
      </c>
      <c r="D319">
        <v>0.10115</v>
      </c>
      <c r="E319">
        <v>878752019</v>
      </c>
      <c r="F319">
        <v>160</v>
      </c>
    </row>
    <row r="320" spans="1:6" x14ac:dyDescent="0.25">
      <c r="A320">
        <v>-111.974007</v>
      </c>
      <c r="B320">
        <v>33.068483999999998</v>
      </c>
      <c r="C320">
        <v>0.16</v>
      </c>
      <c r="D320">
        <v>0.19040000000000001</v>
      </c>
      <c r="E320">
        <v>878752021</v>
      </c>
      <c r="F320">
        <v>160</v>
      </c>
    </row>
    <row r="321" spans="1:6" x14ac:dyDescent="0.25">
      <c r="A321">
        <v>-111.974007</v>
      </c>
      <c r="B321">
        <v>33.068475999999997</v>
      </c>
      <c r="C321">
        <v>1.45</v>
      </c>
      <c r="D321">
        <v>1.7255</v>
      </c>
      <c r="E321">
        <v>878752023</v>
      </c>
      <c r="F321">
        <v>160</v>
      </c>
    </row>
    <row r="322" spans="1:6" x14ac:dyDescent="0.25">
      <c r="A322">
        <v>-111.974007</v>
      </c>
      <c r="B322">
        <v>33.068469</v>
      </c>
      <c r="C322">
        <v>1.8049999999999999</v>
      </c>
      <c r="D322">
        <v>2.1479499999999998</v>
      </c>
      <c r="E322">
        <v>878752025</v>
      </c>
      <c r="F322">
        <v>160</v>
      </c>
    </row>
    <row r="323" spans="1:6" x14ac:dyDescent="0.25">
      <c r="A323">
        <v>-111.974007</v>
      </c>
      <c r="B323">
        <v>33.068463000000001</v>
      </c>
      <c r="C323">
        <v>1.5249999999999999</v>
      </c>
      <c r="D323">
        <v>1.8147500000000001</v>
      </c>
      <c r="E323">
        <v>878752027</v>
      </c>
      <c r="F323">
        <v>160</v>
      </c>
    </row>
    <row r="324" spans="1:6" x14ac:dyDescent="0.25">
      <c r="A324">
        <v>-111.974007</v>
      </c>
      <c r="B324">
        <v>33.068455</v>
      </c>
      <c r="C324">
        <v>1.65</v>
      </c>
      <c r="D324">
        <v>1.9635</v>
      </c>
      <c r="E324">
        <v>878752029</v>
      </c>
      <c r="F324">
        <v>160</v>
      </c>
    </row>
    <row r="325" spans="1:6" x14ac:dyDescent="0.25">
      <c r="A325">
        <v>-111.974007</v>
      </c>
      <c r="B325">
        <v>33.068446000000002</v>
      </c>
      <c r="C325">
        <v>7.0000000000000007E-2</v>
      </c>
      <c r="D325">
        <v>8.3299999999999999E-2</v>
      </c>
      <c r="E325">
        <v>878752031</v>
      </c>
      <c r="F325">
        <v>160</v>
      </c>
    </row>
    <row r="326" spans="1:6" x14ac:dyDescent="0.25">
      <c r="A326">
        <v>-111.974007</v>
      </c>
      <c r="B326">
        <v>33.068438</v>
      </c>
      <c r="C326">
        <v>0.01</v>
      </c>
      <c r="D326">
        <v>1.1900000000000001E-2</v>
      </c>
      <c r="E326">
        <v>878752033</v>
      </c>
      <c r="F326">
        <v>160</v>
      </c>
    </row>
    <row r="327" spans="1:6" x14ac:dyDescent="0.25">
      <c r="A327">
        <v>-111.974008</v>
      </c>
      <c r="B327">
        <v>33.068362999999998</v>
      </c>
      <c r="C327">
        <v>0.215</v>
      </c>
      <c r="D327">
        <v>0.25585000000000002</v>
      </c>
      <c r="E327">
        <v>878752053</v>
      </c>
      <c r="F327">
        <v>160</v>
      </c>
    </row>
    <row r="328" spans="1:6" x14ac:dyDescent="0.25">
      <c r="A328">
        <v>-111.974008</v>
      </c>
      <c r="B328">
        <v>33.068354999999997</v>
      </c>
      <c r="C328">
        <v>1.355</v>
      </c>
      <c r="D328">
        <v>1.6124499999999999</v>
      </c>
      <c r="E328">
        <v>878752055</v>
      </c>
      <c r="F328">
        <v>160</v>
      </c>
    </row>
    <row r="329" spans="1:6" x14ac:dyDescent="0.25">
      <c r="A329">
        <v>-111.974008</v>
      </c>
      <c r="B329">
        <v>33.068347000000003</v>
      </c>
      <c r="C329">
        <v>1.87</v>
      </c>
      <c r="D329">
        <v>2.2252999999999998</v>
      </c>
      <c r="E329">
        <v>878752057</v>
      </c>
      <c r="F329">
        <v>160</v>
      </c>
    </row>
    <row r="330" spans="1:6" x14ac:dyDescent="0.25">
      <c r="A330">
        <v>-111.974008</v>
      </c>
      <c r="B330">
        <v>33.068339999999999</v>
      </c>
      <c r="C330">
        <v>1.59</v>
      </c>
      <c r="D330">
        <v>1.8920999999999999</v>
      </c>
      <c r="E330">
        <v>878752059</v>
      </c>
      <c r="F330">
        <v>160</v>
      </c>
    </row>
    <row r="331" spans="1:6" x14ac:dyDescent="0.25">
      <c r="A331">
        <v>-111.974007</v>
      </c>
      <c r="B331">
        <v>33.068333000000003</v>
      </c>
      <c r="C331">
        <v>1.3049999999999999</v>
      </c>
      <c r="D331">
        <v>1.5529500000000001</v>
      </c>
      <c r="E331">
        <v>878752061</v>
      </c>
      <c r="F331">
        <v>160</v>
      </c>
    </row>
    <row r="332" spans="1:6" x14ac:dyDescent="0.25">
      <c r="A332">
        <v>-111.974008</v>
      </c>
      <c r="B332">
        <v>33.068325999999999</v>
      </c>
      <c r="C332">
        <v>1.355</v>
      </c>
      <c r="D332">
        <v>1.6124499999999999</v>
      </c>
      <c r="E332">
        <v>878752063</v>
      </c>
      <c r="F332">
        <v>160</v>
      </c>
    </row>
    <row r="333" spans="1:6" x14ac:dyDescent="0.25">
      <c r="A333">
        <v>-111.974007</v>
      </c>
      <c r="B333">
        <v>33.068319000000002</v>
      </c>
      <c r="C333">
        <v>1.415</v>
      </c>
      <c r="D333">
        <v>1.6838500000000001</v>
      </c>
      <c r="E333">
        <v>878752065</v>
      </c>
      <c r="F333">
        <v>160</v>
      </c>
    </row>
    <row r="334" spans="1:6" x14ac:dyDescent="0.25">
      <c r="A334">
        <v>-111.974008</v>
      </c>
      <c r="B334">
        <v>33.068311000000001</v>
      </c>
      <c r="C334">
        <v>1.79</v>
      </c>
      <c r="D334">
        <v>2.1301000000000001</v>
      </c>
      <c r="E334">
        <v>878752067</v>
      </c>
      <c r="F334">
        <v>160</v>
      </c>
    </row>
    <row r="335" spans="1:6" x14ac:dyDescent="0.25">
      <c r="A335">
        <v>-111.974008</v>
      </c>
      <c r="B335">
        <v>33.068303</v>
      </c>
      <c r="C335">
        <v>1.67</v>
      </c>
      <c r="D335">
        <v>1.9873000000000001</v>
      </c>
      <c r="E335">
        <v>878752069</v>
      </c>
      <c r="F335">
        <v>160</v>
      </c>
    </row>
    <row r="336" spans="1:6" x14ac:dyDescent="0.25">
      <c r="A336">
        <v>-111.974008</v>
      </c>
      <c r="B336">
        <v>33.068295999999997</v>
      </c>
      <c r="C336">
        <v>1.65</v>
      </c>
      <c r="D336">
        <v>1.9635</v>
      </c>
      <c r="E336">
        <v>878752071</v>
      </c>
      <c r="F336">
        <v>160</v>
      </c>
    </row>
    <row r="337" spans="1:6" x14ac:dyDescent="0.25">
      <c r="A337">
        <v>-111.974008</v>
      </c>
      <c r="B337">
        <v>33.068289</v>
      </c>
      <c r="C337">
        <v>1.365</v>
      </c>
      <c r="D337">
        <v>1.62435</v>
      </c>
      <c r="E337">
        <v>878752073</v>
      </c>
      <c r="F337">
        <v>160</v>
      </c>
    </row>
    <row r="338" spans="1:6" x14ac:dyDescent="0.25">
      <c r="A338">
        <v>-111.974007</v>
      </c>
      <c r="B338">
        <v>33.068280999999999</v>
      </c>
      <c r="C338">
        <v>1.075</v>
      </c>
      <c r="D338">
        <v>1.27925</v>
      </c>
      <c r="E338">
        <v>878752075</v>
      </c>
      <c r="F338">
        <v>160</v>
      </c>
    </row>
    <row r="339" spans="1:6" x14ac:dyDescent="0.25">
      <c r="A339">
        <v>-111.974007</v>
      </c>
      <c r="B339">
        <v>33.068274000000002</v>
      </c>
      <c r="C339">
        <v>1.04</v>
      </c>
      <c r="D339">
        <v>1.2376</v>
      </c>
      <c r="E339">
        <v>878752077</v>
      </c>
      <c r="F339">
        <v>160</v>
      </c>
    </row>
    <row r="340" spans="1:6" x14ac:dyDescent="0.25">
      <c r="A340">
        <v>-111.974007</v>
      </c>
      <c r="B340">
        <v>33.068266000000001</v>
      </c>
      <c r="C340">
        <v>0.17499999999999999</v>
      </c>
      <c r="D340">
        <v>0.20824999999999999</v>
      </c>
      <c r="E340">
        <v>878752079</v>
      </c>
      <c r="F340">
        <v>160</v>
      </c>
    </row>
    <row r="341" spans="1:6" x14ac:dyDescent="0.25">
      <c r="A341">
        <v>-111.974008</v>
      </c>
      <c r="B341">
        <v>33.068258</v>
      </c>
      <c r="C341">
        <v>0.1</v>
      </c>
      <c r="D341">
        <v>0.11899999999999999</v>
      </c>
      <c r="E341">
        <v>878752081</v>
      </c>
      <c r="F341">
        <v>160</v>
      </c>
    </row>
    <row r="342" spans="1:6" x14ac:dyDescent="0.25">
      <c r="A342">
        <v>-111.974008</v>
      </c>
      <c r="B342">
        <v>33.068250999999997</v>
      </c>
      <c r="C342">
        <v>0.09</v>
      </c>
      <c r="D342">
        <v>0.1071</v>
      </c>
      <c r="E342">
        <v>878752083</v>
      </c>
      <c r="F342">
        <v>160</v>
      </c>
    </row>
    <row r="343" spans="1:6" x14ac:dyDescent="0.25">
      <c r="A343">
        <v>-111.974008</v>
      </c>
      <c r="B343">
        <v>33.068243000000002</v>
      </c>
      <c r="C343">
        <v>0.08</v>
      </c>
      <c r="D343">
        <v>9.5200000000000007E-2</v>
      </c>
      <c r="E343">
        <v>878752085</v>
      </c>
      <c r="F343">
        <v>160</v>
      </c>
    </row>
    <row r="344" spans="1:6" x14ac:dyDescent="0.25">
      <c r="A344">
        <v>-111.974009</v>
      </c>
      <c r="B344">
        <v>33.068235000000001</v>
      </c>
      <c r="C344">
        <v>0.315</v>
      </c>
      <c r="D344">
        <v>0.37485000000000002</v>
      </c>
      <c r="E344">
        <v>878752087</v>
      </c>
      <c r="F344">
        <v>160</v>
      </c>
    </row>
    <row r="345" spans="1:6" x14ac:dyDescent="0.25">
      <c r="A345">
        <v>-111.974008</v>
      </c>
      <c r="B345">
        <v>33.068227999999998</v>
      </c>
      <c r="C345">
        <v>1.405</v>
      </c>
      <c r="D345">
        <v>1.67195</v>
      </c>
      <c r="E345">
        <v>878752089</v>
      </c>
      <c r="F345">
        <v>160</v>
      </c>
    </row>
    <row r="346" spans="1:6" x14ac:dyDescent="0.25">
      <c r="A346">
        <v>-111.974008</v>
      </c>
      <c r="B346">
        <v>33.068221000000001</v>
      </c>
      <c r="C346">
        <v>1.39</v>
      </c>
      <c r="D346">
        <v>1.6540999999999999</v>
      </c>
      <c r="E346">
        <v>878752091</v>
      </c>
      <c r="F346">
        <v>160</v>
      </c>
    </row>
    <row r="347" spans="1:6" x14ac:dyDescent="0.25">
      <c r="A347">
        <v>-111.974008</v>
      </c>
      <c r="B347">
        <v>33.068213999999998</v>
      </c>
      <c r="C347">
        <v>1.48</v>
      </c>
      <c r="D347">
        <v>1.7612000000000001</v>
      </c>
      <c r="E347">
        <v>878752093</v>
      </c>
      <c r="F347">
        <v>160</v>
      </c>
    </row>
    <row r="348" spans="1:6" x14ac:dyDescent="0.25">
      <c r="A348">
        <v>-111.974008</v>
      </c>
      <c r="B348">
        <v>33.068206000000004</v>
      </c>
      <c r="C348">
        <v>1.605</v>
      </c>
      <c r="D348">
        <v>1.90995</v>
      </c>
      <c r="E348">
        <v>878752095</v>
      </c>
      <c r="F348">
        <v>160</v>
      </c>
    </row>
    <row r="349" spans="1:6" x14ac:dyDescent="0.25">
      <c r="A349">
        <v>-111.974008</v>
      </c>
      <c r="B349">
        <v>33.068201999999999</v>
      </c>
      <c r="C349">
        <v>0.20499999999999999</v>
      </c>
      <c r="D349">
        <v>0.24395</v>
      </c>
      <c r="E349">
        <v>878752097</v>
      </c>
      <c r="F349">
        <v>160</v>
      </c>
    </row>
    <row r="350" spans="1:6" x14ac:dyDescent="0.25">
      <c r="A350">
        <v>-111.974009</v>
      </c>
      <c r="B350">
        <v>33.068196999999998</v>
      </c>
      <c r="C350">
        <v>0.02</v>
      </c>
      <c r="D350">
        <v>2.3800000000000002E-2</v>
      </c>
      <c r="E350">
        <v>878752107</v>
      </c>
      <c r="F350">
        <v>160</v>
      </c>
    </row>
    <row r="351" spans="1:6" x14ac:dyDescent="0.25">
      <c r="A351">
        <v>-111.974009</v>
      </c>
      <c r="B351">
        <v>33.068190999999999</v>
      </c>
      <c r="C351">
        <v>0.01</v>
      </c>
      <c r="D351">
        <v>1.1900000000000001E-2</v>
      </c>
      <c r="E351">
        <v>878752109</v>
      </c>
      <c r="F351">
        <v>160</v>
      </c>
    </row>
    <row r="352" spans="1:6" x14ac:dyDescent="0.25">
      <c r="A352">
        <v>-111.97401000000001</v>
      </c>
      <c r="B352">
        <v>33.068185</v>
      </c>
      <c r="C352">
        <v>0.59</v>
      </c>
      <c r="D352">
        <v>0.70209999999999995</v>
      </c>
      <c r="E352">
        <v>878752111</v>
      </c>
      <c r="F352">
        <v>160</v>
      </c>
    </row>
    <row r="353" spans="1:6" x14ac:dyDescent="0.25">
      <c r="A353">
        <v>-111.974009</v>
      </c>
      <c r="B353">
        <v>33.068178000000003</v>
      </c>
      <c r="C353">
        <v>1.865</v>
      </c>
      <c r="D353">
        <v>2.2193499999999999</v>
      </c>
      <c r="E353">
        <v>878752113</v>
      </c>
      <c r="F353">
        <v>160</v>
      </c>
    </row>
    <row r="354" spans="1:6" x14ac:dyDescent="0.25">
      <c r="A354">
        <v>-111.974009</v>
      </c>
      <c r="B354">
        <v>33.068170000000002</v>
      </c>
      <c r="C354">
        <v>1.6850000000000001</v>
      </c>
      <c r="D354">
        <v>2.00515</v>
      </c>
      <c r="E354">
        <v>878752115</v>
      </c>
      <c r="F354">
        <v>160</v>
      </c>
    </row>
    <row r="355" spans="1:6" x14ac:dyDescent="0.25">
      <c r="A355">
        <v>-111.97401000000001</v>
      </c>
      <c r="B355">
        <v>33.068162999999998</v>
      </c>
      <c r="C355">
        <v>1.59</v>
      </c>
      <c r="D355">
        <v>1.8920999999999999</v>
      </c>
      <c r="E355">
        <v>878752117</v>
      </c>
      <c r="F355">
        <v>160</v>
      </c>
    </row>
    <row r="356" spans="1:6" x14ac:dyDescent="0.25">
      <c r="A356">
        <v>-111.97401000000001</v>
      </c>
      <c r="B356">
        <v>33.068156000000002</v>
      </c>
      <c r="C356">
        <v>1.635</v>
      </c>
      <c r="D356">
        <v>1.9456500000000001</v>
      </c>
      <c r="E356">
        <v>878752119</v>
      </c>
      <c r="F356">
        <v>160</v>
      </c>
    </row>
    <row r="357" spans="1:6" x14ac:dyDescent="0.25">
      <c r="A357">
        <v>-111.974009</v>
      </c>
      <c r="B357">
        <v>33.068148000000001</v>
      </c>
      <c r="C357">
        <v>1.4</v>
      </c>
      <c r="D357">
        <v>1.6659999999999999</v>
      </c>
      <c r="E357">
        <v>878752121</v>
      </c>
      <c r="F357">
        <v>160</v>
      </c>
    </row>
    <row r="358" spans="1:6" x14ac:dyDescent="0.25">
      <c r="A358">
        <v>-111.97401000000001</v>
      </c>
      <c r="B358">
        <v>33.06814</v>
      </c>
      <c r="C358">
        <v>1.42</v>
      </c>
      <c r="D358">
        <v>1.6898</v>
      </c>
      <c r="E358">
        <v>878752123</v>
      </c>
      <c r="F358">
        <v>160</v>
      </c>
    </row>
    <row r="359" spans="1:6" x14ac:dyDescent="0.25">
      <c r="A359">
        <v>-111.97401000000001</v>
      </c>
      <c r="B359">
        <v>33.068133000000003</v>
      </c>
      <c r="C359">
        <v>1.49</v>
      </c>
      <c r="D359">
        <v>1.7730999999999999</v>
      </c>
      <c r="E359">
        <v>878752125</v>
      </c>
      <c r="F359">
        <v>160</v>
      </c>
    </row>
    <row r="360" spans="1:6" x14ac:dyDescent="0.25">
      <c r="A360">
        <v>-111.97401000000001</v>
      </c>
      <c r="B360">
        <v>33.068125999999999</v>
      </c>
      <c r="C360">
        <v>1.5549999999999999</v>
      </c>
      <c r="D360">
        <v>1.8504499999999999</v>
      </c>
      <c r="E360">
        <v>878752127</v>
      </c>
      <c r="F360">
        <v>160</v>
      </c>
    </row>
    <row r="361" spans="1:6" x14ac:dyDescent="0.25">
      <c r="A361">
        <v>-111.97401000000001</v>
      </c>
      <c r="B361">
        <v>33.068117999999998</v>
      </c>
      <c r="C361">
        <v>1.52</v>
      </c>
      <c r="D361">
        <v>1.8088</v>
      </c>
      <c r="E361">
        <v>878752129</v>
      </c>
      <c r="F361">
        <v>160</v>
      </c>
    </row>
    <row r="362" spans="1:6" x14ac:dyDescent="0.25">
      <c r="A362">
        <v>-111.97401000000001</v>
      </c>
      <c r="B362">
        <v>33.068111000000002</v>
      </c>
      <c r="C362">
        <v>1.1200000000000001</v>
      </c>
      <c r="D362">
        <v>1.3328</v>
      </c>
      <c r="E362">
        <v>878752131</v>
      </c>
      <c r="F362">
        <v>160</v>
      </c>
    </row>
    <row r="363" spans="1:6" x14ac:dyDescent="0.25">
      <c r="A363">
        <v>-111.97401000000001</v>
      </c>
      <c r="B363">
        <v>33.068103000000001</v>
      </c>
      <c r="C363">
        <v>0.9</v>
      </c>
      <c r="D363">
        <v>1.071</v>
      </c>
      <c r="E363">
        <v>878752133</v>
      </c>
      <c r="F363">
        <v>160</v>
      </c>
    </row>
    <row r="364" spans="1:6" x14ac:dyDescent="0.25">
      <c r="A364">
        <v>-111.97401000000001</v>
      </c>
      <c r="B364">
        <v>33.068095999999997</v>
      </c>
      <c r="C364">
        <v>0.105</v>
      </c>
      <c r="D364">
        <v>0.12495000000000001</v>
      </c>
      <c r="E364">
        <v>878752135</v>
      </c>
      <c r="F364">
        <v>160</v>
      </c>
    </row>
    <row r="365" spans="1:6" x14ac:dyDescent="0.25">
      <c r="A365">
        <v>-111.974009</v>
      </c>
      <c r="B365">
        <v>33.068089000000001</v>
      </c>
      <c r="C365">
        <v>0.05</v>
      </c>
      <c r="D365">
        <v>5.9499999999999997E-2</v>
      </c>
      <c r="E365">
        <v>878752137</v>
      </c>
      <c r="F365">
        <v>160</v>
      </c>
    </row>
    <row r="366" spans="1:6" x14ac:dyDescent="0.25">
      <c r="A366">
        <v>-111.97401000000001</v>
      </c>
      <c r="B366">
        <v>33.068081999999997</v>
      </c>
      <c r="C366">
        <v>6.5000000000000002E-2</v>
      </c>
      <c r="D366">
        <v>7.7350000000000002E-2</v>
      </c>
      <c r="E366">
        <v>878752139</v>
      </c>
      <c r="F366">
        <v>160</v>
      </c>
    </row>
    <row r="367" spans="1:6" x14ac:dyDescent="0.25">
      <c r="A367">
        <v>-111.97401000000001</v>
      </c>
      <c r="B367">
        <v>33.068074000000003</v>
      </c>
      <c r="C367">
        <v>8.5000000000000006E-2</v>
      </c>
      <c r="D367">
        <v>0.10115</v>
      </c>
      <c r="E367">
        <v>878752141</v>
      </c>
      <c r="F367">
        <v>160</v>
      </c>
    </row>
    <row r="368" spans="1:6" x14ac:dyDescent="0.25">
      <c r="A368">
        <v>-111.97401000000001</v>
      </c>
      <c r="B368">
        <v>33.068066999999999</v>
      </c>
      <c r="C368">
        <v>0.59499999999999997</v>
      </c>
      <c r="D368">
        <v>0.70804999999999996</v>
      </c>
      <c r="E368">
        <v>878752143</v>
      </c>
      <c r="F368">
        <v>160</v>
      </c>
    </row>
    <row r="369" spans="1:6" x14ac:dyDescent="0.25">
      <c r="A369">
        <v>-111.97401000000001</v>
      </c>
      <c r="B369">
        <v>33.068058999999998</v>
      </c>
      <c r="C369">
        <v>1.425</v>
      </c>
      <c r="D369">
        <v>1.6957500000000001</v>
      </c>
      <c r="E369">
        <v>878752145</v>
      </c>
      <c r="F369">
        <v>160</v>
      </c>
    </row>
    <row r="370" spans="1:6" x14ac:dyDescent="0.25">
      <c r="A370">
        <v>-111.97401000000001</v>
      </c>
      <c r="B370">
        <v>33.068052000000002</v>
      </c>
      <c r="C370">
        <v>1.22</v>
      </c>
      <c r="D370">
        <v>1.4518</v>
      </c>
      <c r="E370">
        <v>878752147</v>
      </c>
      <c r="F370">
        <v>160</v>
      </c>
    </row>
    <row r="371" spans="1:6" x14ac:dyDescent="0.25">
      <c r="A371">
        <v>-111.97401000000001</v>
      </c>
      <c r="B371">
        <v>33.068044</v>
      </c>
      <c r="C371">
        <v>1.53</v>
      </c>
      <c r="D371">
        <v>1.8207</v>
      </c>
      <c r="E371">
        <v>878752149</v>
      </c>
      <c r="F371">
        <v>160</v>
      </c>
    </row>
    <row r="372" spans="1:6" x14ac:dyDescent="0.25">
      <c r="A372">
        <v>-111.97401000000001</v>
      </c>
      <c r="B372">
        <v>33.068035999999999</v>
      </c>
      <c r="C372">
        <v>0.88500000000000001</v>
      </c>
      <c r="D372">
        <v>1.05315</v>
      </c>
      <c r="E372">
        <v>878752151</v>
      </c>
      <c r="F372">
        <v>160</v>
      </c>
    </row>
    <row r="373" spans="1:6" x14ac:dyDescent="0.25">
      <c r="A373">
        <v>-111.974009</v>
      </c>
      <c r="B373">
        <v>33.068029000000003</v>
      </c>
      <c r="C373">
        <v>0.04</v>
      </c>
      <c r="D373">
        <v>4.7600000000000003E-2</v>
      </c>
      <c r="E373">
        <v>878752153</v>
      </c>
      <c r="F373">
        <v>160</v>
      </c>
    </row>
    <row r="374" spans="1:6" x14ac:dyDescent="0.25">
      <c r="A374">
        <v>-111.97401000000001</v>
      </c>
      <c r="B374">
        <v>33.068024999999999</v>
      </c>
      <c r="C374">
        <v>5.0000000000000001E-3</v>
      </c>
      <c r="D374">
        <v>5.9500000000000004E-3</v>
      </c>
      <c r="E374">
        <v>878752161</v>
      </c>
      <c r="F374">
        <v>160</v>
      </c>
    </row>
    <row r="375" spans="1:6" x14ac:dyDescent="0.25">
      <c r="A375">
        <v>-111.974001</v>
      </c>
      <c r="B375">
        <v>33.067993000000001</v>
      </c>
      <c r="C375">
        <v>5.0000000000000001E-3</v>
      </c>
      <c r="D375">
        <v>5.9500000000000004E-3</v>
      </c>
      <c r="E375">
        <v>878752171</v>
      </c>
      <c r="F375">
        <v>160</v>
      </c>
    </row>
    <row r="376" spans="1:6" x14ac:dyDescent="0.25">
      <c r="A376">
        <v>-111.974138</v>
      </c>
      <c r="B376">
        <v>33.069025000000003</v>
      </c>
      <c r="C376">
        <v>1.4999999999999999E-2</v>
      </c>
      <c r="D376">
        <v>1.7850000000000001E-2</v>
      </c>
      <c r="E376">
        <v>878752367</v>
      </c>
      <c r="F376">
        <v>160</v>
      </c>
    </row>
    <row r="377" spans="1:6" x14ac:dyDescent="0.25">
      <c r="A377">
        <v>-111.974138</v>
      </c>
      <c r="B377">
        <v>33.069018999999997</v>
      </c>
      <c r="C377">
        <v>0.20499999999999999</v>
      </c>
      <c r="D377">
        <v>0.24395</v>
      </c>
      <c r="E377">
        <v>878752369</v>
      </c>
      <c r="F377">
        <v>160</v>
      </c>
    </row>
    <row r="378" spans="1:6" x14ac:dyDescent="0.25">
      <c r="A378">
        <v>-111.974137</v>
      </c>
      <c r="B378">
        <v>33.069012000000001</v>
      </c>
      <c r="C378">
        <v>1.59</v>
      </c>
      <c r="D378">
        <v>1.8920999999999999</v>
      </c>
      <c r="E378">
        <v>878752371</v>
      </c>
      <c r="F378">
        <v>160</v>
      </c>
    </row>
    <row r="379" spans="1:6" x14ac:dyDescent="0.25">
      <c r="A379">
        <v>-111.974137</v>
      </c>
      <c r="B379">
        <v>33.069003000000002</v>
      </c>
      <c r="C379">
        <v>1</v>
      </c>
      <c r="D379">
        <v>1.19</v>
      </c>
      <c r="E379">
        <v>878752373</v>
      </c>
      <c r="F379">
        <v>160</v>
      </c>
    </row>
    <row r="380" spans="1:6" x14ac:dyDescent="0.25">
      <c r="A380">
        <v>-111.974137</v>
      </c>
      <c r="B380">
        <v>33.068995000000001</v>
      </c>
      <c r="C380">
        <v>0.99</v>
      </c>
      <c r="D380">
        <v>1.1780999999999999</v>
      </c>
      <c r="E380">
        <v>878752375</v>
      </c>
      <c r="F380">
        <v>160</v>
      </c>
    </row>
    <row r="381" spans="1:6" x14ac:dyDescent="0.25">
      <c r="A381">
        <v>-111.974137</v>
      </c>
      <c r="B381">
        <v>33.068987</v>
      </c>
      <c r="C381">
        <v>0.92500000000000004</v>
      </c>
      <c r="D381">
        <v>1.1007499999999999</v>
      </c>
      <c r="E381">
        <v>878752377</v>
      </c>
      <c r="F381">
        <v>160</v>
      </c>
    </row>
    <row r="382" spans="1:6" x14ac:dyDescent="0.25">
      <c r="A382">
        <v>-111.974137</v>
      </c>
      <c r="B382">
        <v>33.068980000000003</v>
      </c>
      <c r="C382">
        <v>1.0349999999999999</v>
      </c>
      <c r="D382">
        <v>1.2316499999999999</v>
      </c>
      <c r="E382">
        <v>878752379</v>
      </c>
      <c r="F382">
        <v>160</v>
      </c>
    </row>
    <row r="383" spans="1:6" x14ac:dyDescent="0.25">
      <c r="A383">
        <v>-111.974137</v>
      </c>
      <c r="B383">
        <v>33.068972000000002</v>
      </c>
      <c r="C383">
        <v>0.93</v>
      </c>
      <c r="D383">
        <v>1.1067</v>
      </c>
      <c r="E383">
        <v>878752381</v>
      </c>
      <c r="F383">
        <v>160</v>
      </c>
    </row>
    <row r="384" spans="1:6" x14ac:dyDescent="0.25">
      <c r="A384">
        <v>-111.974137</v>
      </c>
      <c r="B384">
        <v>33.068966000000003</v>
      </c>
      <c r="C384">
        <v>1.075</v>
      </c>
      <c r="D384">
        <v>1.27925</v>
      </c>
      <c r="E384">
        <v>878752383</v>
      </c>
      <c r="F384">
        <v>160</v>
      </c>
    </row>
    <row r="385" spans="1:6" x14ac:dyDescent="0.25">
      <c r="A385">
        <v>-111.974137</v>
      </c>
      <c r="B385">
        <v>33.068959</v>
      </c>
      <c r="C385">
        <v>1.2250000000000001</v>
      </c>
      <c r="D385">
        <v>1.4577500000000001</v>
      </c>
      <c r="E385">
        <v>878752385</v>
      </c>
      <c r="F385">
        <v>160</v>
      </c>
    </row>
    <row r="386" spans="1:6" x14ac:dyDescent="0.25">
      <c r="A386">
        <v>-111.974137</v>
      </c>
      <c r="B386">
        <v>33.068953</v>
      </c>
      <c r="C386">
        <v>1.05</v>
      </c>
      <c r="D386">
        <v>1.2495000000000001</v>
      </c>
      <c r="E386">
        <v>878752387</v>
      </c>
      <c r="F386">
        <v>160</v>
      </c>
    </row>
    <row r="387" spans="1:6" x14ac:dyDescent="0.25">
      <c r="A387">
        <v>-111.974137</v>
      </c>
      <c r="B387">
        <v>33.068944000000002</v>
      </c>
      <c r="C387">
        <v>1.08</v>
      </c>
      <c r="D387">
        <v>1.2851999999999999</v>
      </c>
      <c r="E387">
        <v>878752389</v>
      </c>
      <c r="F387">
        <v>160</v>
      </c>
    </row>
    <row r="388" spans="1:6" x14ac:dyDescent="0.25">
      <c r="A388">
        <v>-111.974138</v>
      </c>
      <c r="B388">
        <v>33.068938000000003</v>
      </c>
      <c r="C388">
        <v>0.61</v>
      </c>
      <c r="D388">
        <v>0.72589999999999999</v>
      </c>
      <c r="E388">
        <v>878752391</v>
      </c>
      <c r="F388">
        <v>160</v>
      </c>
    </row>
    <row r="389" spans="1:6" x14ac:dyDescent="0.25">
      <c r="A389">
        <v>-111.974136</v>
      </c>
      <c r="B389">
        <v>33.068930000000002</v>
      </c>
      <c r="C389">
        <v>0.755</v>
      </c>
      <c r="D389">
        <v>0.89844999999999997</v>
      </c>
      <c r="E389">
        <v>878752393</v>
      </c>
      <c r="F389">
        <v>160</v>
      </c>
    </row>
    <row r="390" spans="1:6" x14ac:dyDescent="0.25">
      <c r="A390">
        <v>-111.974136</v>
      </c>
      <c r="B390">
        <v>33.068922000000001</v>
      </c>
      <c r="C390">
        <v>0.115</v>
      </c>
      <c r="D390">
        <v>0.13685</v>
      </c>
      <c r="E390">
        <v>878752395</v>
      </c>
      <c r="F390">
        <v>160</v>
      </c>
    </row>
    <row r="391" spans="1:6" x14ac:dyDescent="0.25">
      <c r="A391">
        <v>-111.974137</v>
      </c>
      <c r="B391">
        <v>33.068914999999997</v>
      </c>
      <c r="C391">
        <v>0.1</v>
      </c>
      <c r="D391">
        <v>0.11899999999999999</v>
      </c>
      <c r="E391">
        <v>878752397</v>
      </c>
      <c r="F391">
        <v>160</v>
      </c>
    </row>
    <row r="392" spans="1:6" x14ac:dyDescent="0.25">
      <c r="A392">
        <v>-111.974137</v>
      </c>
      <c r="B392">
        <v>33.068905999999998</v>
      </c>
      <c r="C392">
        <v>0.09</v>
      </c>
      <c r="D392">
        <v>0.1071</v>
      </c>
      <c r="E392">
        <v>878752399</v>
      </c>
      <c r="F392">
        <v>160</v>
      </c>
    </row>
    <row r="393" spans="1:6" x14ac:dyDescent="0.25">
      <c r="A393">
        <v>-111.974137</v>
      </c>
      <c r="B393">
        <v>33.068899999999999</v>
      </c>
      <c r="C393">
        <v>7.4999999999999997E-2</v>
      </c>
      <c r="D393">
        <v>8.9249999999999996E-2</v>
      </c>
      <c r="E393">
        <v>878752401</v>
      </c>
      <c r="F393">
        <v>160</v>
      </c>
    </row>
    <row r="394" spans="1:6" x14ac:dyDescent="0.25">
      <c r="A394">
        <v>-111.974137</v>
      </c>
      <c r="B394">
        <v>33.068891000000001</v>
      </c>
      <c r="C394">
        <v>0.29499999999999998</v>
      </c>
      <c r="D394">
        <v>0.35104999999999997</v>
      </c>
      <c r="E394">
        <v>878752403</v>
      </c>
      <c r="F394">
        <v>160</v>
      </c>
    </row>
    <row r="395" spans="1:6" x14ac:dyDescent="0.25">
      <c r="A395">
        <v>-111.974136</v>
      </c>
      <c r="B395">
        <v>33.068883999999997</v>
      </c>
      <c r="C395">
        <v>1.2749999999999999</v>
      </c>
      <c r="D395">
        <v>1.51725</v>
      </c>
      <c r="E395">
        <v>878752405</v>
      </c>
      <c r="F395">
        <v>160</v>
      </c>
    </row>
    <row r="396" spans="1:6" x14ac:dyDescent="0.25">
      <c r="A396">
        <v>-111.974136</v>
      </c>
      <c r="B396">
        <v>33.068877000000001</v>
      </c>
      <c r="C396">
        <v>1.4</v>
      </c>
      <c r="D396">
        <v>1.6659999999999999</v>
      </c>
      <c r="E396">
        <v>878752407</v>
      </c>
      <c r="F396">
        <v>160</v>
      </c>
    </row>
    <row r="397" spans="1:6" x14ac:dyDescent="0.25">
      <c r="A397">
        <v>-111.974136</v>
      </c>
      <c r="B397">
        <v>33.068868999999999</v>
      </c>
      <c r="C397">
        <v>1.575</v>
      </c>
      <c r="D397">
        <v>1.87425</v>
      </c>
      <c r="E397">
        <v>878752409</v>
      </c>
      <c r="F397">
        <v>160</v>
      </c>
    </row>
    <row r="398" spans="1:6" x14ac:dyDescent="0.25">
      <c r="A398">
        <v>-111.974137</v>
      </c>
      <c r="B398">
        <v>33.068860999999998</v>
      </c>
      <c r="C398">
        <v>0.9</v>
      </c>
      <c r="D398">
        <v>1.071</v>
      </c>
      <c r="E398">
        <v>878752411</v>
      </c>
      <c r="F398">
        <v>160</v>
      </c>
    </row>
    <row r="399" spans="1:6" x14ac:dyDescent="0.25">
      <c r="A399">
        <v>-111.974136</v>
      </c>
      <c r="B399">
        <v>33.068854000000002</v>
      </c>
      <c r="C399">
        <v>4.4999999999999998E-2</v>
      </c>
      <c r="D399">
        <v>5.355E-2</v>
      </c>
      <c r="E399">
        <v>878752413</v>
      </c>
      <c r="F399">
        <v>160</v>
      </c>
    </row>
    <row r="400" spans="1:6" x14ac:dyDescent="0.25">
      <c r="A400">
        <v>-111.974136</v>
      </c>
      <c r="B400">
        <v>33.068846999999998</v>
      </c>
      <c r="C400">
        <v>0.01</v>
      </c>
      <c r="D400">
        <v>1.1900000000000001E-2</v>
      </c>
      <c r="E400">
        <v>878752415</v>
      </c>
      <c r="F400">
        <v>160</v>
      </c>
    </row>
    <row r="401" spans="1:6" x14ac:dyDescent="0.25">
      <c r="A401">
        <v>-111.974138</v>
      </c>
      <c r="B401">
        <v>33.068778000000002</v>
      </c>
      <c r="C401">
        <v>3.5000000000000003E-2</v>
      </c>
      <c r="D401">
        <v>4.165E-2</v>
      </c>
      <c r="E401">
        <v>878752433</v>
      </c>
      <c r="F401">
        <v>160</v>
      </c>
    </row>
    <row r="402" spans="1:6" x14ac:dyDescent="0.25">
      <c r="A402">
        <v>-111.974138</v>
      </c>
      <c r="B402">
        <v>33.068770000000001</v>
      </c>
      <c r="C402">
        <v>0.45</v>
      </c>
      <c r="D402">
        <v>0.53549999999999998</v>
      </c>
      <c r="E402">
        <v>878752435</v>
      </c>
      <c r="F402">
        <v>160</v>
      </c>
    </row>
    <row r="403" spans="1:6" x14ac:dyDescent="0.25">
      <c r="A403">
        <v>-111.974136</v>
      </c>
      <c r="B403">
        <v>33.068762999999997</v>
      </c>
      <c r="C403">
        <v>1.605</v>
      </c>
      <c r="D403">
        <v>1.90995</v>
      </c>
      <c r="E403">
        <v>878752437</v>
      </c>
      <c r="F403">
        <v>160</v>
      </c>
    </row>
    <row r="404" spans="1:6" x14ac:dyDescent="0.25">
      <c r="A404">
        <v>-111.974136</v>
      </c>
      <c r="B404">
        <v>33.068753999999998</v>
      </c>
      <c r="C404">
        <v>1.9</v>
      </c>
      <c r="D404">
        <v>2.2610000000000001</v>
      </c>
      <c r="E404">
        <v>878752439</v>
      </c>
      <c r="F404">
        <v>160</v>
      </c>
    </row>
    <row r="405" spans="1:6" x14ac:dyDescent="0.25">
      <c r="A405">
        <v>-111.974137</v>
      </c>
      <c r="B405">
        <v>33.068747000000002</v>
      </c>
      <c r="C405">
        <v>1.095</v>
      </c>
      <c r="D405">
        <v>1.30305</v>
      </c>
      <c r="E405">
        <v>878752441</v>
      </c>
      <c r="F405">
        <v>160</v>
      </c>
    </row>
    <row r="406" spans="1:6" x14ac:dyDescent="0.25">
      <c r="A406">
        <v>-111.974137</v>
      </c>
      <c r="B406">
        <v>33.068739999999998</v>
      </c>
      <c r="C406">
        <v>1.4350000000000001</v>
      </c>
      <c r="D406">
        <v>1.7076499999999999</v>
      </c>
      <c r="E406">
        <v>878752443</v>
      </c>
      <c r="F406">
        <v>160</v>
      </c>
    </row>
    <row r="407" spans="1:6" x14ac:dyDescent="0.25">
      <c r="A407">
        <v>-111.974136</v>
      </c>
      <c r="B407">
        <v>33.068733000000002</v>
      </c>
      <c r="C407">
        <v>1.83</v>
      </c>
      <c r="D407">
        <v>2.1777000000000002</v>
      </c>
      <c r="E407">
        <v>878752445</v>
      </c>
      <c r="F407">
        <v>160</v>
      </c>
    </row>
    <row r="408" spans="1:6" x14ac:dyDescent="0.25">
      <c r="A408">
        <v>-111.974136</v>
      </c>
      <c r="B408">
        <v>33.068725999999998</v>
      </c>
      <c r="C408">
        <v>1.4650000000000001</v>
      </c>
      <c r="D408">
        <v>1.74335</v>
      </c>
      <c r="E408">
        <v>878752447</v>
      </c>
      <c r="F408">
        <v>160</v>
      </c>
    </row>
    <row r="409" spans="1:6" x14ac:dyDescent="0.25">
      <c r="A409">
        <v>-111.974136</v>
      </c>
      <c r="B409">
        <v>33.068719000000002</v>
      </c>
      <c r="C409">
        <v>1.395</v>
      </c>
      <c r="D409">
        <v>1.66005</v>
      </c>
      <c r="E409">
        <v>878752449</v>
      </c>
      <c r="F409">
        <v>160</v>
      </c>
    </row>
    <row r="410" spans="1:6" x14ac:dyDescent="0.25">
      <c r="A410">
        <v>-111.974137</v>
      </c>
      <c r="B410">
        <v>33.068711</v>
      </c>
      <c r="C410">
        <v>1.5449999999999999</v>
      </c>
      <c r="D410">
        <v>1.8385499999999999</v>
      </c>
      <c r="E410">
        <v>878752451</v>
      </c>
      <c r="F410">
        <v>160</v>
      </c>
    </row>
    <row r="411" spans="1:6" x14ac:dyDescent="0.25">
      <c r="A411">
        <v>-111.974137</v>
      </c>
      <c r="B411">
        <v>33.068703999999997</v>
      </c>
      <c r="C411">
        <v>1.69</v>
      </c>
      <c r="D411">
        <v>2.0110999999999999</v>
      </c>
      <c r="E411">
        <v>878752453</v>
      </c>
      <c r="F411">
        <v>160</v>
      </c>
    </row>
    <row r="412" spans="1:6" x14ac:dyDescent="0.25">
      <c r="A412">
        <v>-111.974137</v>
      </c>
      <c r="B412">
        <v>33.068696000000003</v>
      </c>
      <c r="C412">
        <v>1.2250000000000001</v>
      </c>
      <c r="D412">
        <v>1.4577500000000001</v>
      </c>
      <c r="E412">
        <v>878752455</v>
      </c>
      <c r="F412">
        <v>160</v>
      </c>
    </row>
    <row r="413" spans="1:6" x14ac:dyDescent="0.25">
      <c r="A413">
        <v>-111.974136</v>
      </c>
      <c r="B413">
        <v>33.068688000000002</v>
      </c>
      <c r="C413">
        <v>1.25</v>
      </c>
      <c r="D413">
        <v>1.4875</v>
      </c>
      <c r="E413">
        <v>878752457</v>
      </c>
      <c r="F413">
        <v>160</v>
      </c>
    </row>
    <row r="414" spans="1:6" x14ac:dyDescent="0.25">
      <c r="A414">
        <v>-111.974136</v>
      </c>
      <c r="B414">
        <v>33.068680999999998</v>
      </c>
      <c r="C414">
        <v>0.16</v>
      </c>
      <c r="D414">
        <v>0.19040000000000001</v>
      </c>
      <c r="E414">
        <v>878752459</v>
      </c>
      <c r="F414">
        <v>160</v>
      </c>
    </row>
    <row r="415" spans="1:6" x14ac:dyDescent="0.25">
      <c r="A415">
        <v>-111.974136</v>
      </c>
      <c r="B415">
        <v>33.068674000000001</v>
      </c>
      <c r="C415">
        <v>8.5000000000000006E-2</v>
      </c>
      <c r="D415">
        <v>0.10115</v>
      </c>
      <c r="E415">
        <v>878752461</v>
      </c>
      <c r="F415">
        <v>160</v>
      </c>
    </row>
    <row r="416" spans="1:6" x14ac:dyDescent="0.25">
      <c r="A416">
        <v>-111.974136</v>
      </c>
      <c r="B416">
        <v>33.068666</v>
      </c>
      <c r="C416">
        <v>0.08</v>
      </c>
      <c r="D416">
        <v>9.5200000000000007E-2</v>
      </c>
      <c r="E416">
        <v>878752463</v>
      </c>
      <c r="F416">
        <v>160</v>
      </c>
    </row>
    <row r="417" spans="1:6" x14ac:dyDescent="0.25">
      <c r="A417">
        <v>-111.974137</v>
      </c>
      <c r="B417">
        <v>33.068657999999999</v>
      </c>
      <c r="C417">
        <v>9.5000000000000001E-2</v>
      </c>
      <c r="D417">
        <v>0.11305</v>
      </c>
      <c r="E417">
        <v>878752465</v>
      </c>
      <c r="F417">
        <v>160</v>
      </c>
    </row>
    <row r="418" spans="1:6" x14ac:dyDescent="0.25">
      <c r="A418">
        <v>-111.974136</v>
      </c>
      <c r="B418">
        <v>33.068651000000003</v>
      </c>
      <c r="C418">
        <v>0.09</v>
      </c>
      <c r="D418">
        <v>0.1071</v>
      </c>
      <c r="E418">
        <v>878752467</v>
      </c>
      <c r="F418">
        <v>160</v>
      </c>
    </row>
    <row r="419" spans="1:6" x14ac:dyDescent="0.25">
      <c r="A419">
        <v>-111.974136</v>
      </c>
      <c r="B419">
        <v>33.068643999999999</v>
      </c>
      <c r="C419">
        <v>1.05</v>
      </c>
      <c r="D419">
        <v>1.2495000000000001</v>
      </c>
      <c r="E419">
        <v>878752469</v>
      </c>
      <c r="F419">
        <v>160</v>
      </c>
    </row>
    <row r="420" spans="1:6" x14ac:dyDescent="0.25">
      <c r="A420">
        <v>-111.974137</v>
      </c>
      <c r="B420">
        <v>33.068637000000003</v>
      </c>
      <c r="C420">
        <v>1.335</v>
      </c>
      <c r="D420">
        <v>1.5886499999999999</v>
      </c>
      <c r="E420">
        <v>878752471</v>
      </c>
      <c r="F420">
        <v>160</v>
      </c>
    </row>
    <row r="421" spans="1:6" x14ac:dyDescent="0.25">
      <c r="A421">
        <v>-111.974137</v>
      </c>
      <c r="B421">
        <v>33.068629999999999</v>
      </c>
      <c r="C421">
        <v>1.67</v>
      </c>
      <c r="D421">
        <v>1.9873000000000001</v>
      </c>
      <c r="E421">
        <v>878752473</v>
      </c>
      <c r="F421">
        <v>160</v>
      </c>
    </row>
    <row r="422" spans="1:6" x14ac:dyDescent="0.25">
      <c r="A422">
        <v>-111.974136</v>
      </c>
      <c r="B422">
        <v>33.068621</v>
      </c>
      <c r="C422">
        <v>0.77500000000000002</v>
      </c>
      <c r="D422">
        <v>0.92225000000000001</v>
      </c>
      <c r="E422">
        <v>878752475</v>
      </c>
      <c r="F422">
        <v>160</v>
      </c>
    </row>
    <row r="423" spans="1:6" x14ac:dyDescent="0.25">
      <c r="A423">
        <v>-111.974136</v>
      </c>
      <c r="B423">
        <v>33.068617000000003</v>
      </c>
      <c r="C423">
        <v>0.20499999999999999</v>
      </c>
      <c r="D423">
        <v>0.24395</v>
      </c>
      <c r="E423">
        <v>878752477</v>
      </c>
      <c r="F423">
        <v>160</v>
      </c>
    </row>
    <row r="424" spans="1:6" x14ac:dyDescent="0.25">
      <c r="A424">
        <v>-111.974136</v>
      </c>
      <c r="B424">
        <v>33.068618000000001</v>
      </c>
      <c r="C424">
        <v>5.0000000000000001E-3</v>
      </c>
      <c r="D424">
        <v>5.9500000000000004E-3</v>
      </c>
      <c r="E424">
        <v>878752479</v>
      </c>
      <c r="F424">
        <v>160</v>
      </c>
    </row>
    <row r="425" spans="1:6" x14ac:dyDescent="0.25">
      <c r="A425">
        <v>-111.974137</v>
      </c>
      <c r="B425">
        <v>33.068612999999999</v>
      </c>
      <c r="C425">
        <v>4.4999999999999998E-2</v>
      </c>
      <c r="D425">
        <v>5.355E-2</v>
      </c>
      <c r="E425">
        <v>878752487</v>
      </c>
      <c r="F425">
        <v>160</v>
      </c>
    </row>
    <row r="426" spans="1:6" x14ac:dyDescent="0.25">
      <c r="A426">
        <v>-111.974136</v>
      </c>
      <c r="B426">
        <v>33.068606000000003</v>
      </c>
      <c r="C426">
        <v>0.02</v>
      </c>
      <c r="D426">
        <v>2.3800000000000002E-2</v>
      </c>
      <c r="E426">
        <v>878752489</v>
      </c>
      <c r="F426">
        <v>160</v>
      </c>
    </row>
    <row r="427" spans="1:6" x14ac:dyDescent="0.25">
      <c r="A427">
        <v>-111.974135</v>
      </c>
      <c r="B427">
        <v>33.068598000000001</v>
      </c>
      <c r="C427">
        <v>0.63</v>
      </c>
      <c r="D427">
        <v>0.74970000000000003</v>
      </c>
      <c r="E427">
        <v>878752491</v>
      </c>
      <c r="F427">
        <v>160</v>
      </c>
    </row>
    <row r="428" spans="1:6" x14ac:dyDescent="0.25">
      <c r="A428">
        <v>-111.974136</v>
      </c>
      <c r="B428">
        <v>33.068590999999998</v>
      </c>
      <c r="C428">
        <v>1.7050000000000001</v>
      </c>
      <c r="D428">
        <v>2.02895</v>
      </c>
      <c r="E428">
        <v>878752493</v>
      </c>
      <c r="F428">
        <v>160</v>
      </c>
    </row>
    <row r="429" spans="1:6" x14ac:dyDescent="0.25">
      <c r="A429">
        <v>-111.974136</v>
      </c>
      <c r="B429">
        <v>33.068584999999999</v>
      </c>
      <c r="C429">
        <v>1.825</v>
      </c>
      <c r="D429">
        <v>2.1717499999999998</v>
      </c>
      <c r="E429">
        <v>878752495</v>
      </c>
      <c r="F429">
        <v>160</v>
      </c>
    </row>
    <row r="430" spans="1:6" x14ac:dyDescent="0.25">
      <c r="A430">
        <v>-111.974137</v>
      </c>
      <c r="B430">
        <v>33.068578000000002</v>
      </c>
      <c r="C430">
        <v>1.78</v>
      </c>
      <c r="D430">
        <v>2.1181999999999999</v>
      </c>
      <c r="E430">
        <v>878752497</v>
      </c>
      <c r="F430">
        <v>160</v>
      </c>
    </row>
    <row r="431" spans="1:6" x14ac:dyDescent="0.25">
      <c r="A431">
        <v>-111.974135</v>
      </c>
      <c r="B431">
        <v>33.068570999999999</v>
      </c>
      <c r="C431">
        <v>1.57</v>
      </c>
      <c r="D431">
        <v>1.8683000000000001</v>
      </c>
      <c r="E431">
        <v>878752499</v>
      </c>
      <c r="F431">
        <v>160</v>
      </c>
    </row>
    <row r="432" spans="1:6" x14ac:dyDescent="0.25">
      <c r="A432">
        <v>-111.974135</v>
      </c>
      <c r="B432">
        <v>33.068562999999997</v>
      </c>
      <c r="C432">
        <v>1.5049999999999999</v>
      </c>
      <c r="D432">
        <v>1.79095</v>
      </c>
      <c r="E432">
        <v>878752501</v>
      </c>
      <c r="F432">
        <v>160</v>
      </c>
    </row>
    <row r="433" spans="1:6" x14ac:dyDescent="0.25">
      <c r="A433">
        <v>-111.974135</v>
      </c>
      <c r="B433">
        <v>33.068556000000001</v>
      </c>
      <c r="C433">
        <v>1.8149999999999999</v>
      </c>
      <c r="D433">
        <v>2.15985</v>
      </c>
      <c r="E433">
        <v>878752503</v>
      </c>
      <c r="F433">
        <v>160</v>
      </c>
    </row>
    <row r="434" spans="1:6" x14ac:dyDescent="0.25">
      <c r="A434">
        <v>-111.974135</v>
      </c>
      <c r="B434">
        <v>33.068548999999997</v>
      </c>
      <c r="C434">
        <v>1.5249999999999999</v>
      </c>
      <c r="D434">
        <v>1.8147500000000001</v>
      </c>
      <c r="E434">
        <v>878752505</v>
      </c>
      <c r="F434">
        <v>160</v>
      </c>
    </row>
    <row r="435" spans="1:6" x14ac:dyDescent="0.25">
      <c r="A435">
        <v>-111.974136</v>
      </c>
      <c r="B435">
        <v>33.068541000000003</v>
      </c>
      <c r="C435">
        <v>1.645</v>
      </c>
      <c r="D435">
        <v>1.9575499999999999</v>
      </c>
      <c r="E435">
        <v>878752507</v>
      </c>
      <c r="F435">
        <v>160</v>
      </c>
    </row>
    <row r="436" spans="1:6" x14ac:dyDescent="0.25">
      <c r="A436">
        <v>-111.974136</v>
      </c>
      <c r="B436">
        <v>33.068533000000002</v>
      </c>
      <c r="C436">
        <v>1.66</v>
      </c>
      <c r="D436">
        <v>1.9754</v>
      </c>
      <c r="E436">
        <v>878752509</v>
      </c>
      <c r="F436">
        <v>160</v>
      </c>
    </row>
    <row r="437" spans="1:6" x14ac:dyDescent="0.25">
      <c r="A437">
        <v>-111.974136</v>
      </c>
      <c r="B437">
        <v>33.068525999999999</v>
      </c>
      <c r="C437">
        <v>1.1599999999999999</v>
      </c>
      <c r="D437">
        <v>1.3804000000000001</v>
      </c>
      <c r="E437">
        <v>878752511</v>
      </c>
      <c r="F437">
        <v>160</v>
      </c>
    </row>
    <row r="438" spans="1:6" x14ac:dyDescent="0.25">
      <c r="A438">
        <v>-111.974136</v>
      </c>
      <c r="B438">
        <v>33.068519000000002</v>
      </c>
      <c r="C438">
        <v>0.81</v>
      </c>
      <c r="D438">
        <v>0.96389999999999998</v>
      </c>
      <c r="E438">
        <v>878752513</v>
      </c>
      <c r="F438">
        <v>160</v>
      </c>
    </row>
    <row r="439" spans="1:6" x14ac:dyDescent="0.25">
      <c r="A439">
        <v>-111.974136</v>
      </c>
      <c r="B439">
        <v>33.068511000000001</v>
      </c>
      <c r="C439">
        <v>0.125</v>
      </c>
      <c r="D439">
        <v>0.14874999999999999</v>
      </c>
      <c r="E439">
        <v>878752515</v>
      </c>
      <c r="F439">
        <v>160</v>
      </c>
    </row>
    <row r="440" spans="1:6" x14ac:dyDescent="0.25">
      <c r="A440">
        <v>-111.974136</v>
      </c>
      <c r="B440">
        <v>33.068503999999997</v>
      </c>
      <c r="C440">
        <v>5.5E-2</v>
      </c>
      <c r="D440">
        <v>6.5449999999999994E-2</v>
      </c>
      <c r="E440">
        <v>878752517</v>
      </c>
      <c r="F440">
        <v>160</v>
      </c>
    </row>
    <row r="441" spans="1:6" x14ac:dyDescent="0.25">
      <c r="A441">
        <v>-111.974136</v>
      </c>
      <c r="B441">
        <v>33.068496000000003</v>
      </c>
      <c r="C441">
        <v>0.06</v>
      </c>
      <c r="D441">
        <v>7.1400000000000005E-2</v>
      </c>
      <c r="E441">
        <v>878752519</v>
      </c>
      <c r="F441">
        <v>160</v>
      </c>
    </row>
    <row r="442" spans="1:6" x14ac:dyDescent="0.25">
      <c r="A442">
        <v>-111.974136</v>
      </c>
      <c r="B442">
        <v>33.068489</v>
      </c>
      <c r="C442">
        <v>5.5E-2</v>
      </c>
      <c r="D442">
        <v>6.5449999999999994E-2</v>
      </c>
      <c r="E442">
        <v>878752521</v>
      </c>
      <c r="F442">
        <v>160</v>
      </c>
    </row>
    <row r="443" spans="1:6" x14ac:dyDescent="0.25">
      <c r="A443">
        <v>-111.974136</v>
      </c>
      <c r="B443">
        <v>33.068482000000003</v>
      </c>
      <c r="C443">
        <v>0.60499999999999998</v>
      </c>
      <c r="D443">
        <v>0.71994999999999998</v>
      </c>
      <c r="E443">
        <v>878752523</v>
      </c>
      <c r="F443">
        <v>160</v>
      </c>
    </row>
    <row r="444" spans="1:6" x14ac:dyDescent="0.25">
      <c r="A444">
        <v>-111.974136</v>
      </c>
      <c r="B444">
        <v>33.068474999999999</v>
      </c>
      <c r="C444">
        <v>1.61</v>
      </c>
      <c r="D444">
        <v>1.9158999999999999</v>
      </c>
      <c r="E444">
        <v>878752525</v>
      </c>
      <c r="F444">
        <v>160</v>
      </c>
    </row>
    <row r="445" spans="1:6" x14ac:dyDescent="0.25">
      <c r="A445">
        <v>-111.974137</v>
      </c>
      <c r="B445">
        <v>33.068466999999998</v>
      </c>
      <c r="C445">
        <v>1.59</v>
      </c>
      <c r="D445">
        <v>1.8920999999999999</v>
      </c>
      <c r="E445">
        <v>878752527</v>
      </c>
      <c r="F445">
        <v>160</v>
      </c>
    </row>
    <row r="446" spans="1:6" x14ac:dyDescent="0.25">
      <c r="A446">
        <v>-111.974137</v>
      </c>
      <c r="B446">
        <v>33.068460000000002</v>
      </c>
      <c r="C446">
        <v>1.5</v>
      </c>
      <c r="D446">
        <v>1.7849999999999999</v>
      </c>
      <c r="E446">
        <v>878752529</v>
      </c>
      <c r="F446">
        <v>160</v>
      </c>
    </row>
    <row r="447" spans="1:6" x14ac:dyDescent="0.25">
      <c r="A447">
        <v>-111.974137</v>
      </c>
      <c r="B447">
        <v>33.068452000000001</v>
      </c>
      <c r="C447">
        <v>1.19</v>
      </c>
      <c r="D447">
        <v>1.4160999999999999</v>
      </c>
      <c r="E447">
        <v>878752531</v>
      </c>
      <c r="F447">
        <v>160</v>
      </c>
    </row>
    <row r="448" spans="1:6" x14ac:dyDescent="0.25">
      <c r="A448">
        <v>-111.974136</v>
      </c>
      <c r="B448">
        <v>33.068444</v>
      </c>
      <c r="C448">
        <v>3.5000000000000003E-2</v>
      </c>
      <c r="D448">
        <v>4.165E-2</v>
      </c>
      <c r="E448">
        <v>878752533</v>
      </c>
      <c r="F448">
        <v>160</v>
      </c>
    </row>
    <row r="449" spans="1:6" x14ac:dyDescent="0.25">
      <c r="A449">
        <v>-111.974136</v>
      </c>
      <c r="B449">
        <v>33.068435999999998</v>
      </c>
      <c r="C449">
        <v>0.01</v>
      </c>
      <c r="D449">
        <v>1.1900000000000001E-2</v>
      </c>
      <c r="E449">
        <v>878752535</v>
      </c>
      <c r="F449">
        <v>160</v>
      </c>
    </row>
    <row r="450" spans="1:6" x14ac:dyDescent="0.25">
      <c r="A450">
        <v>-111.974137</v>
      </c>
      <c r="B450">
        <v>33.068368</v>
      </c>
      <c r="C450">
        <v>0.01</v>
      </c>
      <c r="D450">
        <v>1.1900000000000001E-2</v>
      </c>
      <c r="E450">
        <v>878752553</v>
      </c>
      <c r="F450">
        <v>160</v>
      </c>
    </row>
    <row r="451" spans="1:6" x14ac:dyDescent="0.25">
      <c r="A451">
        <v>-111.974137</v>
      </c>
      <c r="B451">
        <v>33.068362999999998</v>
      </c>
      <c r="C451">
        <v>0.375</v>
      </c>
      <c r="D451">
        <v>0.44624999999999998</v>
      </c>
      <c r="E451">
        <v>878752555</v>
      </c>
      <c r="F451">
        <v>160</v>
      </c>
    </row>
    <row r="452" spans="1:6" x14ac:dyDescent="0.25">
      <c r="A452">
        <v>-111.974137</v>
      </c>
      <c r="B452">
        <v>33.068353999999999</v>
      </c>
      <c r="C452">
        <v>1.615</v>
      </c>
      <c r="D452">
        <v>1.9218500000000001</v>
      </c>
      <c r="E452">
        <v>878752557</v>
      </c>
      <c r="F452">
        <v>160</v>
      </c>
    </row>
    <row r="453" spans="1:6" x14ac:dyDescent="0.25">
      <c r="A453">
        <v>-111.974137</v>
      </c>
      <c r="B453">
        <v>33.068345999999998</v>
      </c>
      <c r="C453">
        <v>1.905</v>
      </c>
      <c r="D453">
        <v>2.26695</v>
      </c>
      <c r="E453">
        <v>878752559</v>
      </c>
      <c r="F453">
        <v>160</v>
      </c>
    </row>
    <row r="454" spans="1:6" x14ac:dyDescent="0.25">
      <c r="A454">
        <v>-111.974136</v>
      </c>
      <c r="B454">
        <v>33.068339000000002</v>
      </c>
      <c r="C454">
        <v>1.34</v>
      </c>
      <c r="D454">
        <v>1.5946</v>
      </c>
      <c r="E454">
        <v>878752561</v>
      </c>
      <c r="F454">
        <v>160</v>
      </c>
    </row>
    <row r="455" spans="1:6" x14ac:dyDescent="0.25">
      <c r="A455">
        <v>-111.974137</v>
      </c>
      <c r="B455">
        <v>33.068331000000001</v>
      </c>
      <c r="C455">
        <v>1.175</v>
      </c>
      <c r="D455">
        <v>1.39825</v>
      </c>
      <c r="E455">
        <v>878752563</v>
      </c>
      <c r="F455">
        <v>160</v>
      </c>
    </row>
    <row r="456" spans="1:6" x14ac:dyDescent="0.25">
      <c r="A456">
        <v>-111.974137</v>
      </c>
      <c r="B456">
        <v>33.068323999999997</v>
      </c>
      <c r="C456">
        <v>1.1000000000000001</v>
      </c>
      <c r="D456">
        <v>1.3089999999999999</v>
      </c>
      <c r="E456">
        <v>878752565</v>
      </c>
      <c r="F456">
        <v>160</v>
      </c>
    </row>
    <row r="457" spans="1:6" x14ac:dyDescent="0.25">
      <c r="A457">
        <v>-111.974137</v>
      </c>
      <c r="B457">
        <v>33.068317</v>
      </c>
      <c r="C457">
        <v>1.27</v>
      </c>
      <c r="D457">
        <v>1.5113000000000001</v>
      </c>
      <c r="E457">
        <v>878752567</v>
      </c>
      <c r="F457">
        <v>160</v>
      </c>
    </row>
    <row r="458" spans="1:6" x14ac:dyDescent="0.25">
      <c r="A458">
        <v>-111.974137</v>
      </c>
      <c r="B458">
        <v>33.068308999999999</v>
      </c>
      <c r="C458">
        <v>1.2749999999999999</v>
      </c>
      <c r="D458">
        <v>1.51725</v>
      </c>
      <c r="E458">
        <v>878752569</v>
      </c>
      <c r="F458">
        <v>160</v>
      </c>
    </row>
    <row r="459" spans="1:6" x14ac:dyDescent="0.25">
      <c r="A459">
        <v>-111.974136</v>
      </c>
      <c r="B459">
        <v>33.068302000000003</v>
      </c>
      <c r="C459">
        <v>0.98</v>
      </c>
      <c r="D459">
        <v>1.1661999999999999</v>
      </c>
      <c r="E459">
        <v>878752571</v>
      </c>
      <c r="F459">
        <v>160</v>
      </c>
    </row>
    <row r="460" spans="1:6" x14ac:dyDescent="0.25">
      <c r="A460">
        <v>-111.974136</v>
      </c>
      <c r="B460">
        <v>33.068294999999999</v>
      </c>
      <c r="C460">
        <v>1.415</v>
      </c>
      <c r="D460">
        <v>1.6838500000000001</v>
      </c>
      <c r="E460">
        <v>878752573</v>
      </c>
      <c r="F460">
        <v>160</v>
      </c>
    </row>
    <row r="461" spans="1:6" x14ac:dyDescent="0.25">
      <c r="A461">
        <v>-111.974136</v>
      </c>
      <c r="B461">
        <v>33.068286999999998</v>
      </c>
      <c r="C461">
        <v>1.345</v>
      </c>
      <c r="D461">
        <v>1.6005499999999999</v>
      </c>
      <c r="E461">
        <v>878752575</v>
      </c>
      <c r="F461">
        <v>160</v>
      </c>
    </row>
    <row r="462" spans="1:6" x14ac:dyDescent="0.25">
      <c r="A462">
        <v>-111.974136</v>
      </c>
      <c r="B462">
        <v>33.068280000000001</v>
      </c>
      <c r="C462">
        <v>0.7</v>
      </c>
      <c r="D462">
        <v>0.83299999999999996</v>
      </c>
      <c r="E462">
        <v>878752577</v>
      </c>
      <c r="F462">
        <v>160</v>
      </c>
    </row>
    <row r="463" spans="1:6" x14ac:dyDescent="0.25">
      <c r="A463">
        <v>-111.974136</v>
      </c>
      <c r="B463">
        <v>33.068272</v>
      </c>
      <c r="C463">
        <v>0.92500000000000004</v>
      </c>
      <c r="D463">
        <v>1.1007499999999999</v>
      </c>
      <c r="E463">
        <v>878752579</v>
      </c>
      <c r="F463">
        <v>160</v>
      </c>
    </row>
    <row r="464" spans="1:6" x14ac:dyDescent="0.25">
      <c r="A464">
        <v>-111.974136</v>
      </c>
      <c r="B464">
        <v>33.068263999999999</v>
      </c>
      <c r="C464">
        <v>8.5000000000000006E-2</v>
      </c>
      <c r="D464">
        <v>0.10115</v>
      </c>
      <c r="E464">
        <v>878752581</v>
      </c>
      <c r="F464">
        <v>160</v>
      </c>
    </row>
    <row r="465" spans="1:6" x14ac:dyDescent="0.25">
      <c r="A465">
        <v>-111.974136</v>
      </c>
      <c r="B465">
        <v>33.068257000000003</v>
      </c>
      <c r="C465">
        <v>5.5E-2</v>
      </c>
      <c r="D465">
        <v>6.5449999999999994E-2</v>
      </c>
      <c r="E465">
        <v>878752583</v>
      </c>
      <c r="F465">
        <v>160</v>
      </c>
    </row>
    <row r="466" spans="1:6" x14ac:dyDescent="0.25">
      <c r="A466">
        <v>-111.974137</v>
      </c>
      <c r="B466">
        <v>33.068249000000002</v>
      </c>
      <c r="C466">
        <v>9.5000000000000001E-2</v>
      </c>
      <c r="D466">
        <v>0.11305</v>
      </c>
      <c r="E466">
        <v>878752585</v>
      </c>
      <c r="F466">
        <v>160</v>
      </c>
    </row>
    <row r="467" spans="1:6" x14ac:dyDescent="0.25">
      <c r="A467">
        <v>-111.974137</v>
      </c>
      <c r="B467">
        <v>33.068241999999998</v>
      </c>
      <c r="C467">
        <v>0.115</v>
      </c>
      <c r="D467">
        <v>0.13685</v>
      </c>
      <c r="E467">
        <v>878752587</v>
      </c>
      <c r="F467">
        <v>160</v>
      </c>
    </row>
    <row r="468" spans="1:6" x14ac:dyDescent="0.25">
      <c r="A468">
        <v>-111.974137</v>
      </c>
      <c r="B468">
        <v>33.068235000000001</v>
      </c>
      <c r="C468">
        <v>0.27</v>
      </c>
      <c r="D468">
        <v>0.32129999999999997</v>
      </c>
      <c r="E468">
        <v>878752589</v>
      </c>
      <c r="F468">
        <v>160</v>
      </c>
    </row>
    <row r="469" spans="1:6" x14ac:dyDescent="0.25">
      <c r="A469">
        <v>-111.974137</v>
      </c>
      <c r="B469">
        <v>33.068227</v>
      </c>
      <c r="C469">
        <v>1.165</v>
      </c>
      <c r="D469">
        <v>1.38635</v>
      </c>
      <c r="E469">
        <v>878752591</v>
      </c>
      <c r="F469">
        <v>160</v>
      </c>
    </row>
    <row r="470" spans="1:6" x14ac:dyDescent="0.25">
      <c r="A470">
        <v>-111.974137</v>
      </c>
      <c r="B470">
        <v>33.068221000000001</v>
      </c>
      <c r="C470">
        <v>1.6</v>
      </c>
      <c r="D470">
        <v>1.9039999999999999</v>
      </c>
      <c r="E470">
        <v>878752593</v>
      </c>
      <c r="F470">
        <v>160</v>
      </c>
    </row>
    <row r="471" spans="1:6" x14ac:dyDescent="0.25">
      <c r="A471">
        <v>-111.974136</v>
      </c>
      <c r="B471">
        <v>33.068213</v>
      </c>
      <c r="C471">
        <v>1.59</v>
      </c>
      <c r="D471">
        <v>1.8920999999999999</v>
      </c>
      <c r="E471">
        <v>878752595</v>
      </c>
      <c r="F471">
        <v>160</v>
      </c>
    </row>
    <row r="472" spans="1:6" x14ac:dyDescent="0.25">
      <c r="A472">
        <v>-111.974136</v>
      </c>
      <c r="B472">
        <v>33.068204999999999</v>
      </c>
      <c r="C472">
        <v>1.0649999999999999</v>
      </c>
      <c r="D472">
        <v>1.26735</v>
      </c>
      <c r="E472">
        <v>878752597</v>
      </c>
      <c r="F472">
        <v>160</v>
      </c>
    </row>
    <row r="473" spans="1:6" x14ac:dyDescent="0.25">
      <c r="A473">
        <v>-111.974136</v>
      </c>
      <c r="B473">
        <v>33.068204999999999</v>
      </c>
      <c r="C473">
        <v>1.4999999999999999E-2</v>
      </c>
      <c r="D473">
        <v>1.7850000000000001E-2</v>
      </c>
      <c r="E473">
        <v>878752599</v>
      </c>
      <c r="F473">
        <v>160</v>
      </c>
    </row>
    <row r="474" spans="1:6" x14ac:dyDescent="0.25">
      <c r="A474">
        <v>-111.974136</v>
      </c>
      <c r="B474">
        <v>33.068201999999999</v>
      </c>
      <c r="C474">
        <v>0.03</v>
      </c>
      <c r="D474">
        <v>3.5700000000000003E-2</v>
      </c>
      <c r="E474">
        <v>878752609</v>
      </c>
      <c r="F474">
        <v>160</v>
      </c>
    </row>
    <row r="475" spans="1:6" x14ac:dyDescent="0.25">
      <c r="A475">
        <v>-111.974137</v>
      </c>
      <c r="B475">
        <v>33.068195000000003</v>
      </c>
      <c r="C475">
        <v>0.01</v>
      </c>
      <c r="D475">
        <v>1.1900000000000001E-2</v>
      </c>
      <c r="E475">
        <v>878752611</v>
      </c>
      <c r="F475">
        <v>160</v>
      </c>
    </row>
    <row r="476" spans="1:6" x14ac:dyDescent="0.25">
      <c r="A476">
        <v>-111.974137</v>
      </c>
      <c r="B476">
        <v>33.068187999999999</v>
      </c>
      <c r="C476">
        <v>0.34</v>
      </c>
      <c r="D476">
        <v>0.40460000000000002</v>
      </c>
      <c r="E476">
        <v>878752613</v>
      </c>
      <c r="F476">
        <v>160</v>
      </c>
    </row>
    <row r="477" spans="1:6" x14ac:dyDescent="0.25">
      <c r="A477">
        <v>-111.974136</v>
      </c>
      <c r="B477">
        <v>33.068182</v>
      </c>
      <c r="C477">
        <v>1.38</v>
      </c>
      <c r="D477">
        <v>1.6422000000000001</v>
      </c>
      <c r="E477">
        <v>878752615</v>
      </c>
      <c r="F477">
        <v>160</v>
      </c>
    </row>
    <row r="478" spans="1:6" x14ac:dyDescent="0.25">
      <c r="A478">
        <v>-111.974136</v>
      </c>
      <c r="B478">
        <v>33.068173999999999</v>
      </c>
      <c r="C478">
        <v>1.5049999999999999</v>
      </c>
      <c r="D478">
        <v>1.79095</v>
      </c>
      <c r="E478">
        <v>878752617</v>
      </c>
      <c r="F478">
        <v>160</v>
      </c>
    </row>
    <row r="479" spans="1:6" x14ac:dyDescent="0.25">
      <c r="A479">
        <v>-111.974136</v>
      </c>
      <c r="B479">
        <v>33.068167000000003</v>
      </c>
      <c r="C479">
        <v>1.73</v>
      </c>
      <c r="D479">
        <v>2.0587</v>
      </c>
      <c r="E479">
        <v>878752619</v>
      </c>
      <c r="F479">
        <v>160</v>
      </c>
    </row>
    <row r="480" spans="1:6" x14ac:dyDescent="0.25">
      <c r="A480">
        <v>-111.974136</v>
      </c>
      <c r="B480">
        <v>33.068159000000001</v>
      </c>
      <c r="C480">
        <v>1.46</v>
      </c>
      <c r="D480">
        <v>1.7374000000000001</v>
      </c>
      <c r="E480">
        <v>878752621</v>
      </c>
      <c r="F480">
        <v>160</v>
      </c>
    </row>
    <row r="481" spans="1:6" x14ac:dyDescent="0.25">
      <c r="A481">
        <v>-111.974136</v>
      </c>
      <c r="B481">
        <v>33.068151</v>
      </c>
      <c r="C481">
        <v>1.35</v>
      </c>
      <c r="D481">
        <v>1.6065</v>
      </c>
      <c r="E481">
        <v>878752623</v>
      </c>
      <c r="F481">
        <v>160</v>
      </c>
    </row>
    <row r="482" spans="1:6" x14ac:dyDescent="0.25">
      <c r="A482">
        <v>-111.974137</v>
      </c>
      <c r="B482">
        <v>33.068143999999997</v>
      </c>
      <c r="C482">
        <v>1.32</v>
      </c>
      <c r="D482">
        <v>1.5708</v>
      </c>
      <c r="E482">
        <v>878752625</v>
      </c>
      <c r="F482">
        <v>160</v>
      </c>
    </row>
    <row r="483" spans="1:6" x14ac:dyDescent="0.25">
      <c r="A483">
        <v>-111.974137</v>
      </c>
      <c r="B483">
        <v>33.068136000000003</v>
      </c>
      <c r="C483">
        <v>1.43</v>
      </c>
      <c r="D483">
        <v>1.7017</v>
      </c>
      <c r="E483">
        <v>878752627</v>
      </c>
      <c r="F483">
        <v>160</v>
      </c>
    </row>
    <row r="484" spans="1:6" x14ac:dyDescent="0.25">
      <c r="A484">
        <v>-111.974136</v>
      </c>
      <c r="B484">
        <v>33.068128999999999</v>
      </c>
      <c r="C484">
        <v>1.585</v>
      </c>
      <c r="D484">
        <v>1.88615</v>
      </c>
      <c r="E484">
        <v>878752629</v>
      </c>
      <c r="F484">
        <v>160</v>
      </c>
    </row>
    <row r="485" spans="1:6" x14ac:dyDescent="0.25">
      <c r="A485">
        <v>-111.974136</v>
      </c>
      <c r="B485">
        <v>33.068120999999998</v>
      </c>
      <c r="C485">
        <v>1.07</v>
      </c>
      <c r="D485">
        <v>1.2733000000000001</v>
      </c>
      <c r="E485">
        <v>878752631</v>
      </c>
      <c r="F485">
        <v>160</v>
      </c>
    </row>
    <row r="486" spans="1:6" x14ac:dyDescent="0.25">
      <c r="A486">
        <v>-111.974136</v>
      </c>
      <c r="B486">
        <v>33.068112999999997</v>
      </c>
      <c r="C486">
        <v>1.07</v>
      </c>
      <c r="D486">
        <v>1.2733000000000001</v>
      </c>
      <c r="E486">
        <v>878752633</v>
      </c>
      <c r="F486">
        <v>160</v>
      </c>
    </row>
    <row r="487" spans="1:6" x14ac:dyDescent="0.25">
      <c r="A487">
        <v>-111.974136</v>
      </c>
      <c r="B487">
        <v>33.068106</v>
      </c>
      <c r="C487">
        <v>0.98499999999999999</v>
      </c>
      <c r="D487">
        <v>1.17215</v>
      </c>
      <c r="E487">
        <v>878752635</v>
      </c>
      <c r="F487">
        <v>160</v>
      </c>
    </row>
    <row r="488" spans="1:6" x14ac:dyDescent="0.25">
      <c r="A488">
        <v>-111.974137</v>
      </c>
      <c r="B488">
        <v>33.068100000000001</v>
      </c>
      <c r="C488">
        <v>0.125</v>
      </c>
      <c r="D488">
        <v>0.14874999999999999</v>
      </c>
      <c r="E488">
        <v>878752637</v>
      </c>
      <c r="F488">
        <v>160</v>
      </c>
    </row>
    <row r="489" spans="1:6" x14ac:dyDescent="0.25">
      <c r="A489">
        <v>-111.974137</v>
      </c>
      <c r="B489">
        <v>33.068092</v>
      </c>
      <c r="C489">
        <v>0.11</v>
      </c>
      <c r="D489">
        <v>0.13089999999999999</v>
      </c>
      <c r="E489">
        <v>878752639</v>
      </c>
      <c r="F489">
        <v>160</v>
      </c>
    </row>
    <row r="490" spans="1:6" x14ac:dyDescent="0.25">
      <c r="A490">
        <v>-111.974137</v>
      </c>
      <c r="B490">
        <v>33.068083999999999</v>
      </c>
      <c r="C490">
        <v>8.5000000000000006E-2</v>
      </c>
      <c r="D490">
        <v>0.10115</v>
      </c>
      <c r="E490">
        <v>878752641</v>
      </c>
      <c r="F490">
        <v>160</v>
      </c>
    </row>
    <row r="491" spans="1:6" x14ac:dyDescent="0.25">
      <c r="A491">
        <v>-111.974136</v>
      </c>
      <c r="B491">
        <v>33.068077000000002</v>
      </c>
      <c r="C491">
        <v>3.5000000000000003E-2</v>
      </c>
      <c r="D491">
        <v>4.165E-2</v>
      </c>
      <c r="E491">
        <v>878752643</v>
      </c>
      <c r="F491">
        <v>160</v>
      </c>
    </row>
    <row r="492" spans="1:6" x14ac:dyDescent="0.25">
      <c r="A492">
        <v>-111.974136</v>
      </c>
      <c r="B492">
        <v>33.068069999999999</v>
      </c>
      <c r="C492">
        <v>0.61499999999999999</v>
      </c>
      <c r="D492">
        <v>0.73185</v>
      </c>
      <c r="E492">
        <v>878752645</v>
      </c>
      <c r="F492">
        <v>160</v>
      </c>
    </row>
    <row r="493" spans="1:6" x14ac:dyDescent="0.25">
      <c r="A493">
        <v>-111.974136</v>
      </c>
      <c r="B493">
        <v>33.068063000000002</v>
      </c>
      <c r="C493">
        <v>1.6</v>
      </c>
      <c r="D493">
        <v>1.9039999999999999</v>
      </c>
      <c r="E493">
        <v>878752647</v>
      </c>
      <c r="F493">
        <v>160</v>
      </c>
    </row>
    <row r="494" spans="1:6" x14ac:dyDescent="0.25">
      <c r="A494">
        <v>-111.974136</v>
      </c>
      <c r="B494">
        <v>33.068055000000001</v>
      </c>
      <c r="C494">
        <v>1.75</v>
      </c>
      <c r="D494">
        <v>2.0825</v>
      </c>
      <c r="E494">
        <v>878752649</v>
      </c>
      <c r="F494">
        <v>160</v>
      </c>
    </row>
    <row r="495" spans="1:6" x14ac:dyDescent="0.25">
      <c r="A495">
        <v>-111.974137</v>
      </c>
      <c r="B495">
        <v>33.068047</v>
      </c>
      <c r="C495">
        <v>1.6950000000000001</v>
      </c>
      <c r="D495">
        <v>2.0170499999999998</v>
      </c>
      <c r="E495">
        <v>878752651</v>
      </c>
      <c r="F495">
        <v>160</v>
      </c>
    </row>
    <row r="496" spans="1:6" x14ac:dyDescent="0.25">
      <c r="A496">
        <v>-111.974136</v>
      </c>
      <c r="B496">
        <v>33.068040000000003</v>
      </c>
      <c r="C496">
        <v>1.45</v>
      </c>
      <c r="D496">
        <v>1.7255</v>
      </c>
      <c r="E496">
        <v>878752653</v>
      </c>
      <c r="F496">
        <v>160</v>
      </c>
    </row>
    <row r="497" spans="1:6" x14ac:dyDescent="0.25">
      <c r="A497">
        <v>-111.974136</v>
      </c>
      <c r="B497">
        <v>33.068032000000002</v>
      </c>
      <c r="C497">
        <v>0.115</v>
      </c>
      <c r="D497">
        <v>0.13685</v>
      </c>
      <c r="E497">
        <v>878752655</v>
      </c>
      <c r="F497">
        <v>160</v>
      </c>
    </row>
    <row r="498" spans="1:6" x14ac:dyDescent="0.25">
      <c r="A498">
        <v>-111.974135</v>
      </c>
      <c r="B498">
        <v>33.068024999999999</v>
      </c>
      <c r="C498">
        <v>2.5000000000000001E-2</v>
      </c>
      <c r="D498">
        <v>2.9749999999999999E-2</v>
      </c>
      <c r="E498">
        <v>878752657</v>
      </c>
      <c r="F498">
        <v>160</v>
      </c>
    </row>
    <row r="499" spans="1:6" x14ac:dyDescent="0.25">
      <c r="A499">
        <v>-111.974108</v>
      </c>
      <c r="B499">
        <v>33.067985</v>
      </c>
      <c r="C499">
        <v>5.0000000000000001E-3</v>
      </c>
      <c r="D499">
        <v>5.9500000000000004E-3</v>
      </c>
      <c r="E499">
        <v>878752675</v>
      </c>
      <c r="F499">
        <v>160</v>
      </c>
    </row>
    <row r="500" spans="1:6" x14ac:dyDescent="0.25">
      <c r="A500">
        <v>-111.974265</v>
      </c>
      <c r="B500">
        <v>33.069029999999998</v>
      </c>
      <c r="C500">
        <v>1.4999999999999999E-2</v>
      </c>
      <c r="D500">
        <v>1.7850000000000001E-2</v>
      </c>
      <c r="E500">
        <v>878752817</v>
      </c>
      <c r="F500">
        <v>160</v>
      </c>
    </row>
    <row r="501" spans="1:6" x14ac:dyDescent="0.25">
      <c r="A501">
        <v>-111.974265</v>
      </c>
      <c r="B501">
        <v>33.069023000000001</v>
      </c>
      <c r="C501">
        <v>0.23</v>
      </c>
      <c r="D501">
        <v>0.2737</v>
      </c>
      <c r="E501">
        <v>878752819</v>
      </c>
      <c r="F501">
        <v>160</v>
      </c>
    </row>
    <row r="502" spans="1:6" x14ac:dyDescent="0.25">
      <c r="A502">
        <v>-111.974265</v>
      </c>
      <c r="B502">
        <v>33.069015999999998</v>
      </c>
      <c r="C502">
        <v>0.84</v>
      </c>
      <c r="D502">
        <v>0.99960000000000004</v>
      </c>
      <c r="E502">
        <v>878752821</v>
      </c>
      <c r="F502">
        <v>160</v>
      </c>
    </row>
    <row r="503" spans="1:6" x14ac:dyDescent="0.25">
      <c r="A503">
        <v>-111.974266</v>
      </c>
      <c r="B503">
        <v>33.069009999999999</v>
      </c>
      <c r="C503">
        <v>1.0549999999999999</v>
      </c>
      <c r="D503">
        <v>1.25545</v>
      </c>
      <c r="E503">
        <v>878752823</v>
      </c>
      <c r="F503">
        <v>160</v>
      </c>
    </row>
    <row r="504" spans="1:6" x14ac:dyDescent="0.25">
      <c r="A504">
        <v>-111.974265</v>
      </c>
      <c r="B504">
        <v>33.069001</v>
      </c>
      <c r="C504">
        <v>1</v>
      </c>
      <c r="D504">
        <v>1.19</v>
      </c>
      <c r="E504">
        <v>878752825</v>
      </c>
      <c r="F504">
        <v>160</v>
      </c>
    </row>
    <row r="505" spans="1:6" x14ac:dyDescent="0.25">
      <c r="A505">
        <v>-111.974266</v>
      </c>
      <c r="B505">
        <v>33.068992999999999</v>
      </c>
      <c r="C505">
        <v>1.0049999999999999</v>
      </c>
      <c r="D505">
        <v>1.1959500000000001</v>
      </c>
      <c r="E505">
        <v>878752827</v>
      </c>
      <c r="F505">
        <v>160</v>
      </c>
    </row>
    <row r="506" spans="1:6" x14ac:dyDescent="0.25">
      <c r="A506">
        <v>-111.974266</v>
      </c>
      <c r="B506">
        <v>33.068986000000002</v>
      </c>
      <c r="C506">
        <v>1.1299999999999999</v>
      </c>
      <c r="D506">
        <v>1.3447</v>
      </c>
      <c r="E506">
        <v>878752829</v>
      </c>
      <c r="F506">
        <v>160</v>
      </c>
    </row>
    <row r="507" spans="1:6" x14ac:dyDescent="0.25">
      <c r="A507">
        <v>-111.974265</v>
      </c>
      <c r="B507">
        <v>33.068978999999999</v>
      </c>
      <c r="C507">
        <v>1.1850000000000001</v>
      </c>
      <c r="D507">
        <v>1.41015</v>
      </c>
      <c r="E507">
        <v>878752831</v>
      </c>
      <c r="F507">
        <v>160</v>
      </c>
    </row>
    <row r="508" spans="1:6" x14ac:dyDescent="0.25">
      <c r="A508">
        <v>-111.974266</v>
      </c>
      <c r="B508">
        <v>33.068970999999998</v>
      </c>
      <c r="C508">
        <v>0.995</v>
      </c>
      <c r="D508">
        <v>1.18405</v>
      </c>
      <c r="E508">
        <v>878752833</v>
      </c>
      <c r="F508">
        <v>160</v>
      </c>
    </row>
    <row r="509" spans="1:6" x14ac:dyDescent="0.25">
      <c r="A509">
        <v>-111.974266</v>
      </c>
      <c r="B509">
        <v>33.068964000000001</v>
      </c>
      <c r="C509">
        <v>1.45</v>
      </c>
      <c r="D509">
        <v>1.7255</v>
      </c>
      <c r="E509">
        <v>878752835</v>
      </c>
      <c r="F509">
        <v>160</v>
      </c>
    </row>
    <row r="510" spans="1:6" x14ac:dyDescent="0.25">
      <c r="A510">
        <v>-111.974266</v>
      </c>
      <c r="B510">
        <v>33.068956999999997</v>
      </c>
      <c r="C510">
        <v>0.83499999999999996</v>
      </c>
      <c r="D510">
        <v>0.99365000000000003</v>
      </c>
      <c r="E510">
        <v>878752837</v>
      </c>
      <c r="F510">
        <v>160</v>
      </c>
    </row>
    <row r="511" spans="1:6" x14ac:dyDescent="0.25">
      <c r="A511">
        <v>-111.974265</v>
      </c>
      <c r="B511">
        <v>33.068950000000001</v>
      </c>
      <c r="C511">
        <v>1.1299999999999999</v>
      </c>
      <c r="D511">
        <v>1.3447</v>
      </c>
      <c r="E511">
        <v>878752839</v>
      </c>
      <c r="F511">
        <v>160</v>
      </c>
    </row>
    <row r="512" spans="1:6" x14ac:dyDescent="0.25">
      <c r="A512">
        <v>-111.974266</v>
      </c>
      <c r="B512">
        <v>33.068942</v>
      </c>
      <c r="C512">
        <v>1.0649999999999999</v>
      </c>
      <c r="D512">
        <v>1.26735</v>
      </c>
      <c r="E512">
        <v>878752841</v>
      </c>
      <c r="F512">
        <v>160</v>
      </c>
    </row>
    <row r="513" spans="1:6" x14ac:dyDescent="0.25">
      <c r="A513">
        <v>-111.974266</v>
      </c>
      <c r="B513">
        <v>33.068935000000003</v>
      </c>
      <c r="C513">
        <v>0.8</v>
      </c>
      <c r="D513">
        <v>0.95199999999999996</v>
      </c>
      <c r="E513">
        <v>878752843</v>
      </c>
      <c r="F513">
        <v>160</v>
      </c>
    </row>
    <row r="514" spans="1:6" x14ac:dyDescent="0.25">
      <c r="A514">
        <v>-111.974266</v>
      </c>
      <c r="B514">
        <v>33.068927000000002</v>
      </c>
      <c r="C514">
        <v>0.32500000000000001</v>
      </c>
      <c r="D514">
        <v>0.38674999999999998</v>
      </c>
      <c r="E514">
        <v>878752845</v>
      </c>
      <c r="F514">
        <v>160</v>
      </c>
    </row>
    <row r="515" spans="1:6" x14ac:dyDescent="0.25">
      <c r="A515">
        <v>-111.974266</v>
      </c>
      <c r="B515">
        <v>33.068919999999999</v>
      </c>
      <c r="C515">
        <v>7.4999999999999997E-2</v>
      </c>
      <c r="D515">
        <v>8.9249999999999996E-2</v>
      </c>
      <c r="E515">
        <v>878752847</v>
      </c>
      <c r="F515">
        <v>160</v>
      </c>
    </row>
    <row r="516" spans="1:6" x14ac:dyDescent="0.25">
      <c r="A516">
        <v>-111.974266</v>
      </c>
      <c r="B516">
        <v>33.068913999999999</v>
      </c>
      <c r="C516">
        <v>0.08</v>
      </c>
      <c r="D516">
        <v>9.5200000000000007E-2</v>
      </c>
      <c r="E516">
        <v>878752849</v>
      </c>
      <c r="F516">
        <v>160</v>
      </c>
    </row>
    <row r="517" spans="1:6" x14ac:dyDescent="0.25">
      <c r="A517">
        <v>-111.974266</v>
      </c>
      <c r="B517">
        <v>33.068905999999998</v>
      </c>
      <c r="C517">
        <v>7.4999999999999997E-2</v>
      </c>
      <c r="D517">
        <v>8.9249999999999996E-2</v>
      </c>
      <c r="E517">
        <v>878752851</v>
      </c>
      <c r="F517">
        <v>160</v>
      </c>
    </row>
    <row r="518" spans="1:6" x14ac:dyDescent="0.25">
      <c r="A518">
        <v>-111.974266</v>
      </c>
      <c r="B518">
        <v>33.068899999999999</v>
      </c>
      <c r="C518">
        <v>0.11</v>
      </c>
      <c r="D518">
        <v>0.13089999999999999</v>
      </c>
      <c r="E518">
        <v>878752853</v>
      </c>
      <c r="F518">
        <v>160</v>
      </c>
    </row>
    <row r="519" spans="1:6" x14ac:dyDescent="0.25">
      <c r="A519">
        <v>-111.974266</v>
      </c>
      <c r="B519">
        <v>33.068891999999998</v>
      </c>
      <c r="C519">
        <v>0.70499999999999996</v>
      </c>
      <c r="D519">
        <v>0.83894999999999997</v>
      </c>
      <c r="E519">
        <v>878752855</v>
      </c>
      <c r="F519">
        <v>160</v>
      </c>
    </row>
    <row r="520" spans="1:6" x14ac:dyDescent="0.25">
      <c r="A520">
        <v>-111.974267</v>
      </c>
      <c r="B520">
        <v>33.068885000000002</v>
      </c>
      <c r="C520">
        <v>1.1850000000000001</v>
      </c>
      <c r="D520">
        <v>1.41015</v>
      </c>
      <c r="E520">
        <v>878752857</v>
      </c>
      <c r="F520">
        <v>160</v>
      </c>
    </row>
    <row r="521" spans="1:6" x14ac:dyDescent="0.25">
      <c r="A521">
        <v>-111.974267</v>
      </c>
      <c r="B521">
        <v>33.068877000000001</v>
      </c>
      <c r="C521">
        <v>1.27</v>
      </c>
      <c r="D521">
        <v>1.5113000000000001</v>
      </c>
      <c r="E521">
        <v>878752859</v>
      </c>
      <c r="F521">
        <v>160</v>
      </c>
    </row>
    <row r="522" spans="1:6" x14ac:dyDescent="0.25">
      <c r="A522">
        <v>-111.974267</v>
      </c>
      <c r="B522">
        <v>33.068869999999997</v>
      </c>
      <c r="C522">
        <v>1.105</v>
      </c>
      <c r="D522">
        <v>1.3149500000000001</v>
      </c>
      <c r="E522">
        <v>878752861</v>
      </c>
      <c r="F522">
        <v>160</v>
      </c>
    </row>
    <row r="523" spans="1:6" x14ac:dyDescent="0.25">
      <c r="A523">
        <v>-111.974267</v>
      </c>
      <c r="B523">
        <v>33.068863</v>
      </c>
      <c r="C523">
        <v>1.2350000000000001</v>
      </c>
      <c r="D523">
        <v>1.4696499999999999</v>
      </c>
      <c r="E523">
        <v>878752863</v>
      </c>
      <c r="F523">
        <v>160</v>
      </c>
    </row>
    <row r="524" spans="1:6" x14ac:dyDescent="0.25">
      <c r="A524">
        <v>-111.974267</v>
      </c>
      <c r="B524">
        <v>33.068854999999999</v>
      </c>
      <c r="C524">
        <v>3.5000000000000003E-2</v>
      </c>
      <c r="D524">
        <v>4.165E-2</v>
      </c>
      <c r="E524">
        <v>878752865</v>
      </c>
      <c r="F524">
        <v>160</v>
      </c>
    </row>
    <row r="525" spans="1:6" x14ac:dyDescent="0.25">
      <c r="A525">
        <v>-111.974266</v>
      </c>
      <c r="B525">
        <v>33.068849</v>
      </c>
      <c r="C525">
        <v>1.4999999999999999E-2</v>
      </c>
      <c r="D525">
        <v>1.7850000000000001E-2</v>
      </c>
      <c r="E525">
        <v>878752867</v>
      </c>
      <c r="F525">
        <v>160</v>
      </c>
    </row>
    <row r="526" spans="1:6" x14ac:dyDescent="0.25">
      <c r="A526">
        <v>-111.974266</v>
      </c>
      <c r="B526">
        <v>33.068781000000001</v>
      </c>
      <c r="C526">
        <v>0.04</v>
      </c>
      <c r="D526">
        <v>4.7600000000000003E-2</v>
      </c>
      <c r="E526">
        <v>878752885</v>
      </c>
      <c r="F526">
        <v>160</v>
      </c>
    </row>
    <row r="527" spans="1:6" x14ac:dyDescent="0.25">
      <c r="A527">
        <v>-111.974267</v>
      </c>
      <c r="B527">
        <v>33.068775000000002</v>
      </c>
      <c r="C527">
        <v>0.31</v>
      </c>
      <c r="D527">
        <v>0.36890000000000001</v>
      </c>
      <c r="E527">
        <v>878752887</v>
      </c>
      <c r="F527">
        <v>160</v>
      </c>
    </row>
    <row r="528" spans="1:6" x14ac:dyDescent="0.25">
      <c r="A528">
        <v>-111.974267</v>
      </c>
      <c r="B528">
        <v>33.068767999999999</v>
      </c>
      <c r="C528">
        <v>1.7250000000000001</v>
      </c>
      <c r="D528">
        <v>2.0527500000000001</v>
      </c>
      <c r="E528">
        <v>878752889</v>
      </c>
      <c r="F528">
        <v>160</v>
      </c>
    </row>
    <row r="529" spans="1:6" x14ac:dyDescent="0.25">
      <c r="A529">
        <v>-111.974266</v>
      </c>
      <c r="B529">
        <v>33.068761000000002</v>
      </c>
      <c r="C529">
        <v>1.835</v>
      </c>
      <c r="D529">
        <v>2.1836500000000001</v>
      </c>
      <c r="E529">
        <v>878752891</v>
      </c>
      <c r="F529">
        <v>160</v>
      </c>
    </row>
    <row r="530" spans="1:6" x14ac:dyDescent="0.25">
      <c r="A530">
        <v>-111.974266</v>
      </c>
      <c r="B530">
        <v>33.068753000000001</v>
      </c>
      <c r="C530">
        <v>1.4550000000000001</v>
      </c>
      <c r="D530">
        <v>1.7314499999999999</v>
      </c>
      <c r="E530">
        <v>878752893</v>
      </c>
      <c r="F530">
        <v>160</v>
      </c>
    </row>
    <row r="531" spans="1:6" x14ac:dyDescent="0.25">
      <c r="A531">
        <v>-111.974266</v>
      </c>
      <c r="B531">
        <v>33.068745999999997</v>
      </c>
      <c r="C531">
        <v>1.38</v>
      </c>
      <c r="D531">
        <v>1.6422000000000001</v>
      </c>
      <c r="E531">
        <v>878752895</v>
      </c>
      <c r="F531">
        <v>160</v>
      </c>
    </row>
    <row r="532" spans="1:6" x14ac:dyDescent="0.25">
      <c r="A532">
        <v>-111.974266</v>
      </c>
      <c r="B532">
        <v>33.068739000000001</v>
      </c>
      <c r="C532">
        <v>1.335</v>
      </c>
      <c r="D532">
        <v>1.5886499999999999</v>
      </c>
      <c r="E532">
        <v>878752897</v>
      </c>
      <c r="F532">
        <v>160</v>
      </c>
    </row>
    <row r="533" spans="1:6" x14ac:dyDescent="0.25">
      <c r="A533">
        <v>-111.974266</v>
      </c>
      <c r="B533">
        <v>33.068731</v>
      </c>
      <c r="C533">
        <v>1.2050000000000001</v>
      </c>
      <c r="D533">
        <v>1.4339500000000001</v>
      </c>
      <c r="E533">
        <v>878752899</v>
      </c>
      <c r="F533">
        <v>160</v>
      </c>
    </row>
    <row r="534" spans="1:6" x14ac:dyDescent="0.25">
      <c r="A534">
        <v>-111.974267</v>
      </c>
      <c r="B534">
        <v>33.068725000000001</v>
      </c>
      <c r="C534">
        <v>1.51</v>
      </c>
      <c r="D534">
        <v>1.7968999999999999</v>
      </c>
      <c r="E534">
        <v>878752901</v>
      </c>
      <c r="F534">
        <v>160</v>
      </c>
    </row>
    <row r="535" spans="1:6" x14ac:dyDescent="0.25">
      <c r="A535">
        <v>-111.974267</v>
      </c>
      <c r="B535">
        <v>33.068716999999999</v>
      </c>
      <c r="C535">
        <v>1.51</v>
      </c>
      <c r="D535">
        <v>1.7968999999999999</v>
      </c>
      <c r="E535">
        <v>878752903</v>
      </c>
      <c r="F535">
        <v>160</v>
      </c>
    </row>
    <row r="536" spans="1:6" x14ac:dyDescent="0.25">
      <c r="A536">
        <v>-111.974267</v>
      </c>
      <c r="B536">
        <v>33.068710000000003</v>
      </c>
      <c r="C536">
        <v>1.29</v>
      </c>
      <c r="D536">
        <v>1.5350999999999999</v>
      </c>
      <c r="E536">
        <v>878752905</v>
      </c>
      <c r="F536">
        <v>160</v>
      </c>
    </row>
    <row r="537" spans="1:6" x14ac:dyDescent="0.25">
      <c r="A537">
        <v>-111.974267</v>
      </c>
      <c r="B537">
        <v>33.068702999999999</v>
      </c>
      <c r="C537">
        <v>1.0900000000000001</v>
      </c>
      <c r="D537">
        <v>1.2970999999999999</v>
      </c>
      <c r="E537">
        <v>878752907</v>
      </c>
      <c r="F537">
        <v>160</v>
      </c>
    </row>
    <row r="538" spans="1:6" x14ac:dyDescent="0.25">
      <c r="A538">
        <v>-111.974267</v>
      </c>
      <c r="B538">
        <v>33.068694999999998</v>
      </c>
      <c r="C538">
        <v>0.69499999999999995</v>
      </c>
      <c r="D538">
        <v>0.82704999999999995</v>
      </c>
      <c r="E538">
        <v>878752909</v>
      </c>
      <c r="F538">
        <v>160</v>
      </c>
    </row>
    <row r="539" spans="1:6" x14ac:dyDescent="0.25">
      <c r="A539">
        <v>-111.974268</v>
      </c>
      <c r="B539">
        <v>33.068688000000002</v>
      </c>
      <c r="C539">
        <v>0.91</v>
      </c>
      <c r="D539">
        <v>1.0829</v>
      </c>
      <c r="E539">
        <v>878752911</v>
      </c>
      <c r="F539">
        <v>160</v>
      </c>
    </row>
    <row r="540" spans="1:6" x14ac:dyDescent="0.25">
      <c r="A540">
        <v>-111.974268</v>
      </c>
      <c r="B540">
        <v>33.068680999999998</v>
      </c>
      <c r="C540">
        <v>0.125</v>
      </c>
      <c r="D540">
        <v>0.14874999999999999</v>
      </c>
      <c r="E540">
        <v>878752913</v>
      </c>
      <c r="F540">
        <v>160</v>
      </c>
    </row>
    <row r="541" spans="1:6" x14ac:dyDescent="0.25">
      <c r="A541">
        <v>-111.974268</v>
      </c>
      <c r="B541">
        <v>33.068674000000001</v>
      </c>
      <c r="C541">
        <v>0.1</v>
      </c>
      <c r="D541">
        <v>0.11899999999999999</v>
      </c>
      <c r="E541">
        <v>878752915</v>
      </c>
      <c r="F541">
        <v>160</v>
      </c>
    </row>
    <row r="542" spans="1:6" x14ac:dyDescent="0.25">
      <c r="A542">
        <v>-111.974268</v>
      </c>
      <c r="B542">
        <v>33.068666</v>
      </c>
      <c r="C542">
        <v>0.06</v>
      </c>
      <c r="D542">
        <v>7.1400000000000005E-2</v>
      </c>
      <c r="E542">
        <v>878752917</v>
      </c>
      <c r="F542">
        <v>160</v>
      </c>
    </row>
    <row r="543" spans="1:6" x14ac:dyDescent="0.25">
      <c r="A543">
        <v>-111.974268</v>
      </c>
      <c r="B543">
        <v>33.068658999999997</v>
      </c>
      <c r="C543">
        <v>0.1</v>
      </c>
      <c r="D543">
        <v>0.11899999999999999</v>
      </c>
      <c r="E543">
        <v>878752919</v>
      </c>
      <c r="F543">
        <v>160</v>
      </c>
    </row>
    <row r="544" spans="1:6" x14ac:dyDescent="0.25">
      <c r="A544">
        <v>-111.974267</v>
      </c>
      <c r="B544">
        <v>33.068652</v>
      </c>
      <c r="C544">
        <v>0.16500000000000001</v>
      </c>
      <c r="D544">
        <v>0.19635</v>
      </c>
      <c r="E544">
        <v>878752921</v>
      </c>
      <c r="F544">
        <v>160</v>
      </c>
    </row>
    <row r="545" spans="1:6" x14ac:dyDescent="0.25">
      <c r="A545">
        <v>-111.974267</v>
      </c>
      <c r="B545">
        <v>33.068644999999997</v>
      </c>
      <c r="C545">
        <v>1.375</v>
      </c>
      <c r="D545">
        <v>1.63625</v>
      </c>
      <c r="E545">
        <v>878752923</v>
      </c>
      <c r="F545">
        <v>160</v>
      </c>
    </row>
    <row r="546" spans="1:6" x14ac:dyDescent="0.25">
      <c r="A546">
        <v>-111.974267</v>
      </c>
      <c r="B546">
        <v>33.068638</v>
      </c>
      <c r="C546">
        <v>1.56</v>
      </c>
      <c r="D546">
        <v>1.8564000000000001</v>
      </c>
      <c r="E546">
        <v>878752925</v>
      </c>
      <c r="F546">
        <v>160</v>
      </c>
    </row>
    <row r="547" spans="1:6" x14ac:dyDescent="0.25">
      <c r="A547">
        <v>-111.974267</v>
      </c>
      <c r="B547">
        <v>33.068631000000003</v>
      </c>
      <c r="C547">
        <v>1.645</v>
      </c>
      <c r="D547">
        <v>1.9575499999999999</v>
      </c>
      <c r="E547">
        <v>878752927</v>
      </c>
      <c r="F547">
        <v>160</v>
      </c>
    </row>
    <row r="548" spans="1:6" x14ac:dyDescent="0.25">
      <c r="A548">
        <v>-111.974267</v>
      </c>
      <c r="B548">
        <v>33.068623000000002</v>
      </c>
      <c r="C548">
        <v>1.5</v>
      </c>
      <c r="D548">
        <v>1.7849999999999999</v>
      </c>
      <c r="E548">
        <v>878752929</v>
      </c>
      <c r="F548">
        <v>160</v>
      </c>
    </row>
    <row r="549" spans="1:6" x14ac:dyDescent="0.25">
      <c r="A549">
        <v>-111.974267</v>
      </c>
      <c r="B549">
        <v>33.068618999999998</v>
      </c>
      <c r="C549">
        <v>8.5000000000000006E-2</v>
      </c>
      <c r="D549">
        <v>0.10115</v>
      </c>
      <c r="E549">
        <v>878752931</v>
      </c>
      <c r="F549">
        <v>160</v>
      </c>
    </row>
    <row r="550" spans="1:6" x14ac:dyDescent="0.25">
      <c r="A550">
        <v>-111.974267</v>
      </c>
      <c r="B550">
        <v>33.068618999999998</v>
      </c>
      <c r="C550">
        <v>5.0000000000000001E-3</v>
      </c>
      <c r="D550">
        <v>5.9500000000000004E-3</v>
      </c>
      <c r="E550">
        <v>878752933</v>
      </c>
      <c r="F550">
        <v>160</v>
      </c>
    </row>
    <row r="551" spans="1:6" x14ac:dyDescent="0.25">
      <c r="A551">
        <v>-111.974267</v>
      </c>
      <c r="B551">
        <v>33.068618999999998</v>
      </c>
      <c r="C551">
        <v>5.0000000000000001E-3</v>
      </c>
      <c r="D551">
        <v>5.9500000000000004E-3</v>
      </c>
      <c r="E551">
        <v>878752935</v>
      </c>
      <c r="F551">
        <v>160</v>
      </c>
    </row>
    <row r="552" spans="1:6" x14ac:dyDescent="0.25">
      <c r="A552">
        <v>-111.974267</v>
      </c>
      <c r="B552">
        <v>33.068618000000001</v>
      </c>
      <c r="C552">
        <v>0.03</v>
      </c>
      <c r="D552">
        <v>3.5700000000000003E-2</v>
      </c>
      <c r="E552">
        <v>878752939</v>
      </c>
      <c r="F552">
        <v>160</v>
      </c>
    </row>
    <row r="553" spans="1:6" x14ac:dyDescent="0.25">
      <c r="A553">
        <v>-111.974266</v>
      </c>
      <c r="B553">
        <v>33.068610999999997</v>
      </c>
      <c r="C553">
        <v>0.20499999999999999</v>
      </c>
      <c r="D553">
        <v>0.24395</v>
      </c>
      <c r="E553">
        <v>878752941</v>
      </c>
      <c r="F553">
        <v>160</v>
      </c>
    </row>
    <row r="554" spans="1:6" x14ac:dyDescent="0.25">
      <c r="A554">
        <v>-111.974265</v>
      </c>
      <c r="B554">
        <v>33.068604999999998</v>
      </c>
      <c r="C554">
        <v>7.0000000000000007E-2</v>
      </c>
      <c r="D554">
        <v>8.3299999999999999E-2</v>
      </c>
      <c r="E554">
        <v>878752943</v>
      </c>
      <c r="F554">
        <v>160</v>
      </c>
    </row>
    <row r="555" spans="1:6" x14ac:dyDescent="0.25">
      <c r="A555">
        <v>-111.974267</v>
      </c>
      <c r="B555">
        <v>33.068598999999999</v>
      </c>
      <c r="C555">
        <v>0.435</v>
      </c>
      <c r="D555">
        <v>0.51765000000000005</v>
      </c>
      <c r="E555">
        <v>878752945</v>
      </c>
      <c r="F555">
        <v>160</v>
      </c>
    </row>
    <row r="556" spans="1:6" x14ac:dyDescent="0.25">
      <c r="A556">
        <v>-111.974268</v>
      </c>
      <c r="B556">
        <v>33.068590999999998</v>
      </c>
      <c r="C556">
        <v>1.59</v>
      </c>
      <c r="D556">
        <v>1.8920999999999999</v>
      </c>
      <c r="E556">
        <v>878752947</v>
      </c>
      <c r="F556">
        <v>160</v>
      </c>
    </row>
    <row r="557" spans="1:6" x14ac:dyDescent="0.25">
      <c r="A557">
        <v>-111.974268</v>
      </c>
      <c r="B557">
        <v>33.068582999999997</v>
      </c>
      <c r="C557">
        <v>1.845</v>
      </c>
      <c r="D557">
        <v>2.1955499999999999</v>
      </c>
      <c r="E557">
        <v>878752949</v>
      </c>
      <c r="F557">
        <v>160</v>
      </c>
    </row>
    <row r="558" spans="1:6" x14ac:dyDescent="0.25">
      <c r="A558">
        <v>-111.974268</v>
      </c>
      <c r="B558">
        <v>33.068576999999998</v>
      </c>
      <c r="C558">
        <v>1.7450000000000001</v>
      </c>
      <c r="D558">
        <v>2.0765500000000001</v>
      </c>
      <c r="E558">
        <v>878752951</v>
      </c>
      <c r="F558">
        <v>160</v>
      </c>
    </row>
    <row r="559" spans="1:6" x14ac:dyDescent="0.25">
      <c r="A559">
        <v>-111.974267</v>
      </c>
      <c r="B559">
        <v>33.068568999999997</v>
      </c>
      <c r="C559">
        <v>1.8</v>
      </c>
      <c r="D559">
        <v>2.1419999999999999</v>
      </c>
      <c r="E559">
        <v>878752953</v>
      </c>
      <c r="F559">
        <v>160</v>
      </c>
    </row>
    <row r="560" spans="1:6" x14ac:dyDescent="0.25">
      <c r="A560">
        <v>-111.974267</v>
      </c>
      <c r="B560">
        <v>33.068562</v>
      </c>
      <c r="C560">
        <v>1.8149999999999999</v>
      </c>
      <c r="D560">
        <v>2.15985</v>
      </c>
      <c r="E560">
        <v>878752955</v>
      </c>
      <c r="F560">
        <v>160</v>
      </c>
    </row>
    <row r="561" spans="1:6" x14ac:dyDescent="0.25">
      <c r="A561">
        <v>-111.974268</v>
      </c>
      <c r="B561">
        <v>33.068553999999999</v>
      </c>
      <c r="C561">
        <v>2</v>
      </c>
      <c r="D561">
        <v>2.38</v>
      </c>
      <c r="E561">
        <v>878752957</v>
      </c>
      <c r="F561">
        <v>160</v>
      </c>
    </row>
    <row r="562" spans="1:6" x14ac:dyDescent="0.25">
      <c r="A562">
        <v>-111.974267</v>
      </c>
      <c r="B562">
        <v>33.068547000000002</v>
      </c>
      <c r="C562">
        <v>1.71</v>
      </c>
      <c r="D562">
        <v>2.0348999999999999</v>
      </c>
      <c r="E562">
        <v>878752959</v>
      </c>
      <c r="F562">
        <v>160</v>
      </c>
    </row>
    <row r="563" spans="1:6" x14ac:dyDescent="0.25">
      <c r="A563">
        <v>-111.974267</v>
      </c>
      <c r="B563">
        <v>33.068539999999999</v>
      </c>
      <c r="C563">
        <v>1.8</v>
      </c>
      <c r="D563">
        <v>2.1419999999999999</v>
      </c>
      <c r="E563">
        <v>878752961</v>
      </c>
      <c r="F563">
        <v>160</v>
      </c>
    </row>
    <row r="564" spans="1:6" x14ac:dyDescent="0.25">
      <c r="A564">
        <v>-111.974268</v>
      </c>
      <c r="B564">
        <v>33.068531999999998</v>
      </c>
      <c r="C564">
        <v>1.76</v>
      </c>
      <c r="D564">
        <v>2.0943999999999998</v>
      </c>
      <c r="E564">
        <v>878752963</v>
      </c>
      <c r="F564">
        <v>160</v>
      </c>
    </row>
    <row r="565" spans="1:6" x14ac:dyDescent="0.25">
      <c r="A565">
        <v>-111.974268</v>
      </c>
      <c r="B565">
        <v>33.068523999999996</v>
      </c>
      <c r="C565">
        <v>1.38</v>
      </c>
      <c r="D565">
        <v>1.6422000000000001</v>
      </c>
      <c r="E565">
        <v>878752965</v>
      </c>
      <c r="F565">
        <v>160</v>
      </c>
    </row>
    <row r="566" spans="1:6" x14ac:dyDescent="0.25">
      <c r="A566">
        <v>-111.974268</v>
      </c>
      <c r="B566">
        <v>33.068517</v>
      </c>
      <c r="C566">
        <v>0.27500000000000002</v>
      </c>
      <c r="D566">
        <v>0.32724999999999999</v>
      </c>
      <c r="E566">
        <v>878752967</v>
      </c>
      <c r="F566">
        <v>160</v>
      </c>
    </row>
    <row r="567" spans="1:6" x14ac:dyDescent="0.25">
      <c r="A567">
        <v>-111.974267</v>
      </c>
      <c r="B567">
        <v>33.068508999999999</v>
      </c>
      <c r="C567">
        <v>0.09</v>
      </c>
      <c r="D567">
        <v>0.1071</v>
      </c>
      <c r="E567">
        <v>878752969</v>
      </c>
      <c r="F567">
        <v>160</v>
      </c>
    </row>
    <row r="568" spans="1:6" x14ac:dyDescent="0.25">
      <c r="A568">
        <v>-111.974267</v>
      </c>
      <c r="B568">
        <v>33.068500999999998</v>
      </c>
      <c r="C568">
        <v>9.5000000000000001E-2</v>
      </c>
      <c r="D568">
        <v>0.11305</v>
      </c>
      <c r="E568">
        <v>878752971</v>
      </c>
      <c r="F568">
        <v>160</v>
      </c>
    </row>
    <row r="569" spans="1:6" x14ac:dyDescent="0.25">
      <c r="A569">
        <v>-111.974268</v>
      </c>
      <c r="B569">
        <v>33.068494000000001</v>
      </c>
      <c r="C569">
        <v>0.1</v>
      </c>
      <c r="D569">
        <v>0.11899999999999999</v>
      </c>
      <c r="E569">
        <v>878752973</v>
      </c>
      <c r="F569">
        <v>160</v>
      </c>
    </row>
    <row r="570" spans="1:6" x14ac:dyDescent="0.25">
      <c r="A570">
        <v>-111.974268</v>
      </c>
      <c r="B570">
        <v>33.068486</v>
      </c>
      <c r="C570">
        <v>0.255</v>
      </c>
      <c r="D570">
        <v>0.30345</v>
      </c>
      <c r="E570">
        <v>878752975</v>
      </c>
      <c r="F570">
        <v>160</v>
      </c>
    </row>
    <row r="571" spans="1:6" x14ac:dyDescent="0.25">
      <c r="A571">
        <v>-111.974268</v>
      </c>
      <c r="B571">
        <v>33.068477999999999</v>
      </c>
      <c r="C571">
        <v>1.4550000000000001</v>
      </c>
      <c r="D571">
        <v>1.7314499999999999</v>
      </c>
      <c r="E571">
        <v>878752977</v>
      </c>
      <c r="F571">
        <v>160</v>
      </c>
    </row>
    <row r="572" spans="1:6" x14ac:dyDescent="0.25">
      <c r="A572">
        <v>-111.974268</v>
      </c>
      <c r="B572">
        <v>33.068471000000002</v>
      </c>
      <c r="C572">
        <v>1.7250000000000001</v>
      </c>
      <c r="D572">
        <v>2.0527500000000001</v>
      </c>
      <c r="E572">
        <v>878752979</v>
      </c>
      <c r="F572">
        <v>160</v>
      </c>
    </row>
    <row r="573" spans="1:6" x14ac:dyDescent="0.25">
      <c r="A573">
        <v>-111.974268</v>
      </c>
      <c r="B573">
        <v>33.068465000000003</v>
      </c>
      <c r="C573">
        <v>1.575</v>
      </c>
      <c r="D573">
        <v>1.87425</v>
      </c>
      <c r="E573">
        <v>878752981</v>
      </c>
      <c r="F573">
        <v>160</v>
      </c>
    </row>
    <row r="574" spans="1:6" x14ac:dyDescent="0.25">
      <c r="A574">
        <v>-111.974268</v>
      </c>
      <c r="B574">
        <v>33.068455999999998</v>
      </c>
      <c r="C574">
        <v>1.5049999999999999</v>
      </c>
      <c r="D574">
        <v>1.79095</v>
      </c>
      <c r="E574">
        <v>878752983</v>
      </c>
      <c r="F574">
        <v>160</v>
      </c>
    </row>
    <row r="575" spans="1:6" x14ac:dyDescent="0.25">
      <c r="A575">
        <v>-111.974268</v>
      </c>
      <c r="B575">
        <v>33.068447999999997</v>
      </c>
      <c r="C575">
        <v>0.08</v>
      </c>
      <c r="D575">
        <v>9.5200000000000007E-2</v>
      </c>
      <c r="E575">
        <v>878752985</v>
      </c>
      <c r="F575">
        <v>160</v>
      </c>
    </row>
    <row r="576" spans="1:6" x14ac:dyDescent="0.25">
      <c r="A576">
        <v>-111.974268</v>
      </c>
      <c r="B576">
        <v>33.068430999999997</v>
      </c>
      <c r="C576">
        <v>5.0000000000000001E-3</v>
      </c>
      <c r="D576">
        <v>5.9500000000000004E-3</v>
      </c>
      <c r="E576">
        <v>878752989</v>
      </c>
      <c r="F576">
        <v>160</v>
      </c>
    </row>
    <row r="577" spans="1:6" x14ac:dyDescent="0.25">
      <c r="A577">
        <v>-111.974268</v>
      </c>
      <c r="B577">
        <v>33.068378000000003</v>
      </c>
      <c r="C577">
        <v>5.0000000000000001E-3</v>
      </c>
      <c r="D577">
        <v>5.9500000000000004E-3</v>
      </c>
      <c r="E577">
        <v>878753003</v>
      </c>
      <c r="F577">
        <v>160</v>
      </c>
    </row>
    <row r="578" spans="1:6" x14ac:dyDescent="0.25">
      <c r="A578">
        <v>-111.974268</v>
      </c>
      <c r="B578">
        <v>33.068370000000002</v>
      </c>
      <c r="C578">
        <v>0.01</v>
      </c>
      <c r="D578">
        <v>1.1900000000000001E-2</v>
      </c>
      <c r="E578">
        <v>878753005</v>
      </c>
      <c r="F578">
        <v>160</v>
      </c>
    </row>
    <row r="579" spans="1:6" x14ac:dyDescent="0.25">
      <c r="A579">
        <v>-111.974268</v>
      </c>
      <c r="B579">
        <v>33.068364000000003</v>
      </c>
      <c r="C579">
        <v>0.58499999999999996</v>
      </c>
      <c r="D579">
        <v>0.69615000000000005</v>
      </c>
      <c r="E579">
        <v>878753007</v>
      </c>
      <c r="F579">
        <v>160</v>
      </c>
    </row>
    <row r="580" spans="1:6" x14ac:dyDescent="0.25">
      <c r="A580">
        <v>-111.974268</v>
      </c>
      <c r="B580">
        <v>33.068356000000001</v>
      </c>
      <c r="C580">
        <v>2.0499999999999998</v>
      </c>
      <c r="D580">
        <v>2.4394999999999998</v>
      </c>
      <c r="E580">
        <v>878753009</v>
      </c>
      <c r="F580">
        <v>160</v>
      </c>
    </row>
    <row r="581" spans="1:6" x14ac:dyDescent="0.25">
      <c r="A581">
        <v>-111.974268</v>
      </c>
      <c r="B581">
        <v>33.068347000000003</v>
      </c>
      <c r="C581">
        <v>1.96</v>
      </c>
      <c r="D581">
        <v>2.3323999999999998</v>
      </c>
      <c r="E581">
        <v>878753011</v>
      </c>
      <c r="F581">
        <v>160</v>
      </c>
    </row>
    <row r="582" spans="1:6" x14ac:dyDescent="0.25">
      <c r="A582">
        <v>-111.974268</v>
      </c>
      <c r="B582">
        <v>33.068339999999999</v>
      </c>
      <c r="C582">
        <v>1.84</v>
      </c>
      <c r="D582">
        <v>2.1896</v>
      </c>
      <c r="E582">
        <v>878753013</v>
      </c>
      <c r="F582">
        <v>160</v>
      </c>
    </row>
    <row r="583" spans="1:6" x14ac:dyDescent="0.25">
      <c r="A583">
        <v>-111.974268</v>
      </c>
      <c r="B583">
        <v>33.068333000000003</v>
      </c>
      <c r="C583">
        <v>1.52</v>
      </c>
      <c r="D583">
        <v>1.8088</v>
      </c>
      <c r="E583">
        <v>878753015</v>
      </c>
      <c r="F583">
        <v>160</v>
      </c>
    </row>
    <row r="584" spans="1:6" x14ac:dyDescent="0.25">
      <c r="A584">
        <v>-111.974267</v>
      </c>
      <c r="B584">
        <v>33.068325000000002</v>
      </c>
      <c r="C584">
        <v>1.625</v>
      </c>
      <c r="D584">
        <v>1.9337500000000001</v>
      </c>
      <c r="E584">
        <v>878753017</v>
      </c>
      <c r="F584">
        <v>160</v>
      </c>
    </row>
    <row r="585" spans="1:6" x14ac:dyDescent="0.25">
      <c r="A585">
        <v>-111.974268</v>
      </c>
      <c r="B585">
        <v>33.068317</v>
      </c>
      <c r="C585">
        <v>1.885</v>
      </c>
      <c r="D585">
        <v>2.24315</v>
      </c>
      <c r="E585">
        <v>878753019</v>
      </c>
      <c r="F585">
        <v>160</v>
      </c>
    </row>
    <row r="586" spans="1:6" x14ac:dyDescent="0.25">
      <c r="A586">
        <v>-111.974268</v>
      </c>
      <c r="B586">
        <v>33.068309999999997</v>
      </c>
      <c r="C586">
        <v>1.655</v>
      </c>
      <c r="D586">
        <v>1.9694499999999999</v>
      </c>
      <c r="E586">
        <v>878753021</v>
      </c>
      <c r="F586">
        <v>160</v>
      </c>
    </row>
    <row r="587" spans="1:6" x14ac:dyDescent="0.25">
      <c r="A587">
        <v>-111.974268</v>
      </c>
      <c r="B587">
        <v>33.068302000000003</v>
      </c>
      <c r="C587">
        <v>1.9350000000000001</v>
      </c>
      <c r="D587">
        <v>2.3026499999999999</v>
      </c>
      <c r="E587">
        <v>878753023</v>
      </c>
      <c r="F587">
        <v>160</v>
      </c>
    </row>
    <row r="588" spans="1:6" x14ac:dyDescent="0.25">
      <c r="A588">
        <v>-111.974267</v>
      </c>
      <c r="B588">
        <v>33.068294999999999</v>
      </c>
      <c r="C588">
        <v>1.7649999999999999</v>
      </c>
      <c r="D588">
        <v>2.1003500000000002</v>
      </c>
      <c r="E588">
        <v>878753025</v>
      </c>
      <c r="F588">
        <v>160</v>
      </c>
    </row>
    <row r="589" spans="1:6" x14ac:dyDescent="0.25">
      <c r="A589">
        <v>-111.974267</v>
      </c>
      <c r="B589">
        <v>33.068288000000003</v>
      </c>
      <c r="C589">
        <v>1.615</v>
      </c>
      <c r="D589">
        <v>1.9218500000000001</v>
      </c>
      <c r="E589">
        <v>878753027</v>
      </c>
      <c r="F589">
        <v>160</v>
      </c>
    </row>
    <row r="590" spans="1:6" x14ac:dyDescent="0.25">
      <c r="A590">
        <v>-111.974267</v>
      </c>
      <c r="B590">
        <v>33.068280000000001</v>
      </c>
      <c r="C590">
        <v>1.085</v>
      </c>
      <c r="D590">
        <v>1.29115</v>
      </c>
      <c r="E590">
        <v>878753029</v>
      </c>
      <c r="F590">
        <v>160</v>
      </c>
    </row>
    <row r="591" spans="1:6" x14ac:dyDescent="0.25">
      <c r="A591">
        <v>-111.974268</v>
      </c>
      <c r="B591">
        <v>33.068272</v>
      </c>
      <c r="C591">
        <v>0.505</v>
      </c>
      <c r="D591">
        <v>0.60094999999999998</v>
      </c>
      <c r="E591">
        <v>878753031</v>
      </c>
      <c r="F591">
        <v>160</v>
      </c>
    </row>
    <row r="592" spans="1:6" x14ac:dyDescent="0.25">
      <c r="A592">
        <v>-111.974268</v>
      </c>
      <c r="B592">
        <v>33.068264999999997</v>
      </c>
      <c r="C592">
        <v>0.125</v>
      </c>
      <c r="D592">
        <v>0.14874999999999999</v>
      </c>
      <c r="E592">
        <v>878753033</v>
      </c>
      <c r="F592">
        <v>160</v>
      </c>
    </row>
    <row r="593" spans="1:6" x14ac:dyDescent="0.25">
      <c r="A593">
        <v>-111.974268</v>
      </c>
      <c r="B593">
        <v>33.068258</v>
      </c>
      <c r="C593">
        <v>8.5000000000000006E-2</v>
      </c>
      <c r="D593">
        <v>0.10115</v>
      </c>
      <c r="E593">
        <v>878753035</v>
      </c>
      <c r="F593">
        <v>160</v>
      </c>
    </row>
    <row r="594" spans="1:6" x14ac:dyDescent="0.25">
      <c r="A594">
        <v>-111.974268</v>
      </c>
      <c r="B594">
        <v>33.068249999999999</v>
      </c>
      <c r="C594">
        <v>0.14000000000000001</v>
      </c>
      <c r="D594">
        <v>0.1666</v>
      </c>
      <c r="E594">
        <v>878753037</v>
      </c>
      <c r="F594">
        <v>160</v>
      </c>
    </row>
    <row r="595" spans="1:6" x14ac:dyDescent="0.25">
      <c r="A595">
        <v>-111.974268</v>
      </c>
      <c r="B595">
        <v>33.068241999999998</v>
      </c>
      <c r="C595">
        <v>0.13500000000000001</v>
      </c>
      <c r="D595">
        <v>0.16064999999999999</v>
      </c>
      <c r="E595">
        <v>878753039</v>
      </c>
      <c r="F595">
        <v>160</v>
      </c>
    </row>
    <row r="596" spans="1:6" x14ac:dyDescent="0.25">
      <c r="A596">
        <v>-111.974268</v>
      </c>
      <c r="B596">
        <v>33.068235000000001</v>
      </c>
      <c r="C596">
        <v>1.35</v>
      </c>
      <c r="D596">
        <v>1.6065</v>
      </c>
      <c r="E596">
        <v>878753041</v>
      </c>
      <c r="F596">
        <v>160</v>
      </c>
    </row>
    <row r="597" spans="1:6" x14ac:dyDescent="0.25">
      <c r="A597">
        <v>-111.974268</v>
      </c>
      <c r="B597">
        <v>33.068227</v>
      </c>
      <c r="C597">
        <v>1.8</v>
      </c>
      <c r="D597">
        <v>2.1419999999999999</v>
      </c>
      <c r="E597">
        <v>878753043</v>
      </c>
      <c r="F597">
        <v>160</v>
      </c>
    </row>
    <row r="598" spans="1:6" x14ac:dyDescent="0.25">
      <c r="A598">
        <v>-111.974268</v>
      </c>
      <c r="B598">
        <v>33.068218999999999</v>
      </c>
      <c r="C598">
        <v>1.75</v>
      </c>
      <c r="D598">
        <v>2.0825</v>
      </c>
      <c r="E598">
        <v>878753045</v>
      </c>
      <c r="F598">
        <v>160</v>
      </c>
    </row>
    <row r="599" spans="1:6" x14ac:dyDescent="0.25">
      <c r="A599">
        <v>-111.974268</v>
      </c>
      <c r="B599">
        <v>33.068212000000003</v>
      </c>
      <c r="C599">
        <v>1.47</v>
      </c>
      <c r="D599">
        <v>1.7493000000000001</v>
      </c>
      <c r="E599">
        <v>878753047</v>
      </c>
      <c r="F599">
        <v>160</v>
      </c>
    </row>
    <row r="600" spans="1:6" x14ac:dyDescent="0.25">
      <c r="A600">
        <v>-111.974268</v>
      </c>
      <c r="B600">
        <v>33.068206000000004</v>
      </c>
      <c r="C600">
        <v>0.46500000000000002</v>
      </c>
      <c r="D600">
        <v>0.55335000000000001</v>
      </c>
      <c r="E600">
        <v>878753049</v>
      </c>
      <c r="F600">
        <v>160</v>
      </c>
    </row>
    <row r="601" spans="1:6" x14ac:dyDescent="0.25">
      <c r="A601">
        <v>-111.974268</v>
      </c>
      <c r="B601">
        <v>33.068204999999999</v>
      </c>
      <c r="C601">
        <v>5.0000000000000001E-3</v>
      </c>
      <c r="D601">
        <v>5.9500000000000004E-3</v>
      </c>
      <c r="E601">
        <v>878753059</v>
      </c>
      <c r="F601">
        <v>160</v>
      </c>
    </row>
    <row r="602" spans="1:6" x14ac:dyDescent="0.25">
      <c r="A602">
        <v>-111.97426900000001</v>
      </c>
      <c r="B602">
        <v>33.068193999999998</v>
      </c>
      <c r="C602">
        <v>9.5000000000000001E-2</v>
      </c>
      <c r="D602">
        <v>0.11305</v>
      </c>
      <c r="E602">
        <v>878753061</v>
      </c>
      <c r="F602">
        <v>160</v>
      </c>
    </row>
    <row r="603" spans="1:6" x14ac:dyDescent="0.25">
      <c r="A603">
        <v>-111.974268</v>
      </c>
      <c r="B603">
        <v>33.068187000000002</v>
      </c>
      <c r="C603">
        <v>0.75</v>
      </c>
      <c r="D603">
        <v>0.89249999999999996</v>
      </c>
      <c r="E603">
        <v>878753063</v>
      </c>
      <c r="F603">
        <v>160</v>
      </c>
    </row>
    <row r="604" spans="1:6" x14ac:dyDescent="0.25">
      <c r="A604">
        <v>-111.974268</v>
      </c>
      <c r="B604">
        <v>33.068179999999998</v>
      </c>
      <c r="C604">
        <v>1.86</v>
      </c>
      <c r="D604">
        <v>2.2134</v>
      </c>
      <c r="E604">
        <v>878753065</v>
      </c>
      <c r="F604">
        <v>160</v>
      </c>
    </row>
    <row r="605" spans="1:6" x14ac:dyDescent="0.25">
      <c r="A605">
        <v>-111.974268</v>
      </c>
      <c r="B605">
        <v>33.068173000000002</v>
      </c>
      <c r="C605">
        <v>1.97</v>
      </c>
      <c r="D605">
        <v>2.3443000000000001</v>
      </c>
      <c r="E605">
        <v>878753067</v>
      </c>
      <c r="F605">
        <v>160</v>
      </c>
    </row>
    <row r="606" spans="1:6" x14ac:dyDescent="0.25">
      <c r="A606">
        <v>-111.974268</v>
      </c>
      <c r="B606">
        <v>33.068165</v>
      </c>
      <c r="C606">
        <v>1.675</v>
      </c>
      <c r="D606">
        <v>1.99325</v>
      </c>
      <c r="E606">
        <v>878753069</v>
      </c>
      <c r="F606">
        <v>160</v>
      </c>
    </row>
    <row r="607" spans="1:6" x14ac:dyDescent="0.25">
      <c r="A607">
        <v>-111.974268</v>
      </c>
      <c r="B607">
        <v>33.068157999999997</v>
      </c>
      <c r="C607">
        <v>1.34</v>
      </c>
      <c r="D607">
        <v>1.5946</v>
      </c>
      <c r="E607">
        <v>878753071</v>
      </c>
      <c r="F607">
        <v>160</v>
      </c>
    </row>
    <row r="608" spans="1:6" x14ac:dyDescent="0.25">
      <c r="A608">
        <v>-111.974268</v>
      </c>
      <c r="B608">
        <v>33.068151</v>
      </c>
      <c r="C608">
        <v>1.5149999999999999</v>
      </c>
      <c r="D608">
        <v>1.8028500000000001</v>
      </c>
      <c r="E608">
        <v>878753073</v>
      </c>
      <c r="F608">
        <v>160</v>
      </c>
    </row>
    <row r="609" spans="1:6" x14ac:dyDescent="0.25">
      <c r="A609">
        <v>-111.974267</v>
      </c>
      <c r="B609">
        <v>33.068143999999997</v>
      </c>
      <c r="C609">
        <v>1.54</v>
      </c>
      <c r="D609">
        <v>1.8326</v>
      </c>
      <c r="E609">
        <v>878753075</v>
      </c>
      <c r="F609">
        <v>160</v>
      </c>
    </row>
    <row r="610" spans="1:6" x14ac:dyDescent="0.25">
      <c r="A610">
        <v>-111.974267</v>
      </c>
      <c r="B610">
        <v>33.068136000000003</v>
      </c>
      <c r="C610">
        <v>1.44</v>
      </c>
      <c r="D610">
        <v>1.7136</v>
      </c>
      <c r="E610">
        <v>878753077</v>
      </c>
      <c r="F610">
        <v>160</v>
      </c>
    </row>
    <row r="611" spans="1:6" x14ac:dyDescent="0.25">
      <c r="A611">
        <v>-111.974268</v>
      </c>
      <c r="B611">
        <v>33.068128000000002</v>
      </c>
      <c r="C611">
        <v>1.655</v>
      </c>
      <c r="D611">
        <v>1.9694499999999999</v>
      </c>
      <c r="E611">
        <v>878753079</v>
      </c>
      <c r="F611">
        <v>160</v>
      </c>
    </row>
    <row r="612" spans="1:6" x14ac:dyDescent="0.25">
      <c r="A612">
        <v>-111.974268</v>
      </c>
      <c r="B612">
        <v>33.068120999999998</v>
      </c>
      <c r="C612">
        <v>1.99</v>
      </c>
      <c r="D612">
        <v>2.3681000000000001</v>
      </c>
      <c r="E612">
        <v>878753081</v>
      </c>
      <c r="F612">
        <v>160</v>
      </c>
    </row>
    <row r="613" spans="1:6" x14ac:dyDescent="0.25">
      <c r="A613">
        <v>-111.974268</v>
      </c>
      <c r="B613">
        <v>33.068112999999997</v>
      </c>
      <c r="C613">
        <v>1.0900000000000001</v>
      </c>
      <c r="D613">
        <v>1.2970999999999999</v>
      </c>
      <c r="E613">
        <v>878753083</v>
      </c>
      <c r="F613">
        <v>160</v>
      </c>
    </row>
    <row r="614" spans="1:6" x14ac:dyDescent="0.25">
      <c r="A614">
        <v>-111.974268</v>
      </c>
      <c r="B614">
        <v>33.068105000000003</v>
      </c>
      <c r="C614">
        <v>0.28499999999999998</v>
      </c>
      <c r="D614">
        <v>0.33915000000000001</v>
      </c>
      <c r="E614">
        <v>878753085</v>
      </c>
      <c r="F614">
        <v>160</v>
      </c>
    </row>
    <row r="615" spans="1:6" x14ac:dyDescent="0.25">
      <c r="A615">
        <v>-111.974268</v>
      </c>
      <c r="B615">
        <v>33.068097999999999</v>
      </c>
      <c r="C615">
        <v>9.5000000000000001E-2</v>
      </c>
      <c r="D615">
        <v>0.11305</v>
      </c>
      <c r="E615">
        <v>878753087</v>
      </c>
      <c r="F615">
        <v>160</v>
      </c>
    </row>
    <row r="616" spans="1:6" x14ac:dyDescent="0.25">
      <c r="A616">
        <v>-111.974268</v>
      </c>
      <c r="B616">
        <v>33.068089999999998</v>
      </c>
      <c r="C616">
        <v>9.5000000000000001E-2</v>
      </c>
      <c r="D616">
        <v>0.11305</v>
      </c>
      <c r="E616">
        <v>878753089</v>
      </c>
      <c r="F616">
        <v>160</v>
      </c>
    </row>
    <row r="617" spans="1:6" x14ac:dyDescent="0.25">
      <c r="A617">
        <v>-111.974268</v>
      </c>
      <c r="B617">
        <v>33.068083000000001</v>
      </c>
      <c r="C617">
        <v>0.105</v>
      </c>
      <c r="D617">
        <v>0.12495000000000001</v>
      </c>
      <c r="E617">
        <v>878753091</v>
      </c>
      <c r="F617">
        <v>160</v>
      </c>
    </row>
    <row r="618" spans="1:6" x14ac:dyDescent="0.25">
      <c r="A618">
        <v>-111.974268</v>
      </c>
      <c r="B618">
        <v>33.068075999999998</v>
      </c>
      <c r="C618">
        <v>0.125</v>
      </c>
      <c r="D618">
        <v>0.14874999999999999</v>
      </c>
      <c r="E618">
        <v>878753093</v>
      </c>
      <c r="F618">
        <v>160</v>
      </c>
    </row>
    <row r="619" spans="1:6" x14ac:dyDescent="0.25">
      <c r="A619">
        <v>-111.974268</v>
      </c>
      <c r="B619">
        <v>33.068069000000001</v>
      </c>
      <c r="C619">
        <v>1.085</v>
      </c>
      <c r="D619">
        <v>1.29115</v>
      </c>
      <c r="E619">
        <v>878753095</v>
      </c>
      <c r="F619">
        <v>160</v>
      </c>
    </row>
    <row r="620" spans="1:6" x14ac:dyDescent="0.25">
      <c r="A620">
        <v>-111.974268</v>
      </c>
      <c r="B620">
        <v>33.068061</v>
      </c>
      <c r="C620">
        <v>0.72499999999999998</v>
      </c>
      <c r="D620">
        <v>0.86275000000000002</v>
      </c>
      <c r="E620">
        <v>878753097</v>
      </c>
      <c r="F620">
        <v>160</v>
      </c>
    </row>
    <row r="621" spans="1:6" x14ac:dyDescent="0.25">
      <c r="A621">
        <v>-111.974268</v>
      </c>
      <c r="B621">
        <v>33.068053999999997</v>
      </c>
      <c r="C621">
        <v>1.335</v>
      </c>
      <c r="D621">
        <v>1.5886499999999999</v>
      </c>
      <c r="E621">
        <v>878753099</v>
      </c>
      <c r="F621">
        <v>160</v>
      </c>
    </row>
    <row r="622" spans="1:6" x14ac:dyDescent="0.25">
      <c r="A622">
        <v>-111.974268</v>
      </c>
      <c r="B622">
        <v>33.068046000000002</v>
      </c>
      <c r="C622">
        <v>1.63</v>
      </c>
      <c r="D622">
        <v>1.9397</v>
      </c>
      <c r="E622">
        <v>878753101</v>
      </c>
      <c r="F622">
        <v>160</v>
      </c>
    </row>
    <row r="623" spans="1:6" x14ac:dyDescent="0.25">
      <c r="A623">
        <v>-111.974268</v>
      </c>
      <c r="B623">
        <v>33.068038000000001</v>
      </c>
      <c r="C623">
        <v>0.69</v>
      </c>
      <c r="D623">
        <v>0.82110000000000005</v>
      </c>
      <c r="E623">
        <v>878753103</v>
      </c>
      <c r="F623">
        <v>160</v>
      </c>
    </row>
    <row r="624" spans="1:6" x14ac:dyDescent="0.25">
      <c r="A624">
        <v>-111.974268</v>
      </c>
      <c r="B624">
        <v>33.068030999999998</v>
      </c>
      <c r="C624">
        <v>1.4999999999999999E-2</v>
      </c>
      <c r="D624">
        <v>1.7850000000000001E-2</v>
      </c>
      <c r="E624">
        <v>878753105</v>
      </c>
      <c r="F624">
        <v>160</v>
      </c>
    </row>
    <row r="625" spans="1:6" x14ac:dyDescent="0.25">
      <c r="A625">
        <v>-111.974268</v>
      </c>
      <c r="B625">
        <v>33.068022999999997</v>
      </c>
      <c r="C625">
        <v>5.0000000000000001E-3</v>
      </c>
      <c r="D625">
        <v>5.9500000000000004E-3</v>
      </c>
      <c r="E625">
        <v>878753115</v>
      </c>
      <c r="F625">
        <v>160</v>
      </c>
    </row>
    <row r="626" spans="1:6" x14ac:dyDescent="0.25">
      <c r="A626">
        <v>-111.974256</v>
      </c>
      <c r="B626">
        <v>33.067993999999999</v>
      </c>
      <c r="C626">
        <v>0.01</v>
      </c>
      <c r="D626">
        <v>1.1900000000000001E-2</v>
      </c>
      <c r="E626">
        <v>878753121</v>
      </c>
      <c r="F626">
        <v>160</v>
      </c>
    </row>
    <row r="627" spans="1:6" x14ac:dyDescent="0.25">
      <c r="A627">
        <v>-111.974397</v>
      </c>
      <c r="B627">
        <v>33.068786000000003</v>
      </c>
      <c r="C627">
        <v>0.03</v>
      </c>
      <c r="D627">
        <v>3.5700000000000003E-2</v>
      </c>
      <c r="E627">
        <v>878753299</v>
      </c>
      <c r="F627">
        <v>160</v>
      </c>
    </row>
    <row r="628" spans="1:6" x14ac:dyDescent="0.25">
      <c r="A628">
        <v>-111.97439799999999</v>
      </c>
      <c r="B628">
        <v>33.068778000000002</v>
      </c>
      <c r="C628">
        <v>0.155</v>
      </c>
      <c r="D628">
        <v>0.18445</v>
      </c>
      <c r="E628">
        <v>878753301</v>
      </c>
      <c r="F628">
        <v>160</v>
      </c>
    </row>
    <row r="629" spans="1:6" x14ac:dyDescent="0.25">
      <c r="A629">
        <v>-111.974396</v>
      </c>
      <c r="B629">
        <v>33.068773</v>
      </c>
      <c r="C629">
        <v>0.69</v>
      </c>
      <c r="D629">
        <v>0.82110000000000005</v>
      </c>
      <c r="E629">
        <v>878753303</v>
      </c>
      <c r="F629">
        <v>160</v>
      </c>
    </row>
    <row r="630" spans="1:6" x14ac:dyDescent="0.25">
      <c r="A630">
        <v>-111.974396</v>
      </c>
      <c r="B630">
        <v>33.068764999999999</v>
      </c>
      <c r="C630">
        <v>2.0350000000000001</v>
      </c>
      <c r="D630">
        <v>2.4216500000000001</v>
      </c>
      <c r="E630">
        <v>878753305</v>
      </c>
      <c r="F630">
        <v>160</v>
      </c>
    </row>
    <row r="631" spans="1:6" x14ac:dyDescent="0.25">
      <c r="A631">
        <v>-111.974396</v>
      </c>
      <c r="B631">
        <v>33.068756999999998</v>
      </c>
      <c r="C631">
        <v>2.2050000000000001</v>
      </c>
      <c r="D631">
        <v>2.6239499999999998</v>
      </c>
      <c r="E631">
        <v>878753307</v>
      </c>
      <c r="F631">
        <v>160</v>
      </c>
    </row>
    <row r="632" spans="1:6" x14ac:dyDescent="0.25">
      <c r="A632">
        <v>-111.974397</v>
      </c>
      <c r="B632">
        <v>33.068750999999999</v>
      </c>
      <c r="C632">
        <v>1.155</v>
      </c>
      <c r="D632">
        <v>1.3744499999999999</v>
      </c>
      <c r="E632">
        <v>878753309</v>
      </c>
      <c r="F632">
        <v>160</v>
      </c>
    </row>
    <row r="633" spans="1:6" x14ac:dyDescent="0.25">
      <c r="A633">
        <v>-111.97439799999999</v>
      </c>
      <c r="B633">
        <v>33.068742999999998</v>
      </c>
      <c r="C633">
        <v>1.655</v>
      </c>
      <c r="D633">
        <v>1.9694499999999999</v>
      </c>
      <c r="E633">
        <v>878753311</v>
      </c>
      <c r="F633">
        <v>160</v>
      </c>
    </row>
    <row r="634" spans="1:6" x14ac:dyDescent="0.25">
      <c r="A634">
        <v>-111.97439799999999</v>
      </c>
      <c r="B634">
        <v>33.068734999999997</v>
      </c>
      <c r="C634">
        <v>1.71</v>
      </c>
      <c r="D634">
        <v>2.0348999999999999</v>
      </c>
      <c r="E634">
        <v>878753313</v>
      </c>
      <c r="F634">
        <v>160</v>
      </c>
    </row>
    <row r="635" spans="1:6" x14ac:dyDescent="0.25">
      <c r="A635">
        <v>-111.974397</v>
      </c>
      <c r="B635">
        <v>33.068727000000003</v>
      </c>
      <c r="C635">
        <v>1.925</v>
      </c>
      <c r="D635">
        <v>2.2907500000000001</v>
      </c>
      <c r="E635">
        <v>878753315</v>
      </c>
      <c r="F635">
        <v>160</v>
      </c>
    </row>
    <row r="636" spans="1:6" x14ac:dyDescent="0.25">
      <c r="A636">
        <v>-111.974397</v>
      </c>
      <c r="B636">
        <v>33.068719999999999</v>
      </c>
      <c r="C636">
        <v>1.335</v>
      </c>
      <c r="D636">
        <v>1.5886499999999999</v>
      </c>
      <c r="E636">
        <v>878753317</v>
      </c>
      <c r="F636">
        <v>160</v>
      </c>
    </row>
    <row r="637" spans="1:6" x14ac:dyDescent="0.25">
      <c r="A637">
        <v>-111.974397</v>
      </c>
      <c r="B637">
        <v>33.068713000000002</v>
      </c>
      <c r="C637">
        <v>1.4450000000000001</v>
      </c>
      <c r="D637">
        <v>1.7195499999999999</v>
      </c>
      <c r="E637">
        <v>878753319</v>
      </c>
      <c r="F637">
        <v>160</v>
      </c>
    </row>
    <row r="638" spans="1:6" x14ac:dyDescent="0.25">
      <c r="A638">
        <v>-111.974397</v>
      </c>
      <c r="B638">
        <v>33.068705000000001</v>
      </c>
      <c r="C638">
        <v>1.7649999999999999</v>
      </c>
      <c r="D638">
        <v>2.1003500000000002</v>
      </c>
      <c r="E638">
        <v>878753321</v>
      </c>
      <c r="F638">
        <v>160</v>
      </c>
    </row>
    <row r="639" spans="1:6" x14ac:dyDescent="0.25">
      <c r="A639">
        <v>-111.974397</v>
      </c>
      <c r="B639">
        <v>33.068697999999998</v>
      </c>
      <c r="C639">
        <v>0.83499999999999996</v>
      </c>
      <c r="D639">
        <v>0.99365000000000003</v>
      </c>
      <c r="E639">
        <v>878753323</v>
      </c>
      <c r="F639">
        <v>160</v>
      </c>
    </row>
    <row r="640" spans="1:6" x14ac:dyDescent="0.25">
      <c r="A640">
        <v>-111.97439799999999</v>
      </c>
      <c r="B640">
        <v>33.068691000000001</v>
      </c>
      <c r="C640">
        <v>1.18</v>
      </c>
      <c r="D640">
        <v>1.4041999999999999</v>
      </c>
      <c r="E640">
        <v>878753325</v>
      </c>
      <c r="F640">
        <v>160</v>
      </c>
    </row>
    <row r="641" spans="1:6" x14ac:dyDescent="0.25">
      <c r="A641">
        <v>-111.97439799999999</v>
      </c>
      <c r="B641">
        <v>33.068683999999998</v>
      </c>
      <c r="C641">
        <v>0.34</v>
      </c>
      <c r="D641">
        <v>0.40460000000000002</v>
      </c>
      <c r="E641">
        <v>878753327</v>
      </c>
      <c r="F641">
        <v>160</v>
      </c>
    </row>
    <row r="642" spans="1:6" x14ac:dyDescent="0.25">
      <c r="A642">
        <v>-111.974397</v>
      </c>
      <c r="B642">
        <v>33.068676000000004</v>
      </c>
      <c r="C642">
        <v>6.5000000000000002E-2</v>
      </c>
      <c r="D642">
        <v>7.7350000000000002E-2</v>
      </c>
      <c r="E642">
        <v>878753329</v>
      </c>
      <c r="F642">
        <v>160</v>
      </c>
    </row>
    <row r="643" spans="1:6" x14ac:dyDescent="0.25">
      <c r="A643">
        <v>-111.97439799999999</v>
      </c>
      <c r="B643">
        <v>33.068669</v>
      </c>
      <c r="C643">
        <v>0.06</v>
      </c>
      <c r="D643">
        <v>7.1400000000000005E-2</v>
      </c>
      <c r="E643">
        <v>878753331</v>
      </c>
      <c r="F643">
        <v>160</v>
      </c>
    </row>
    <row r="644" spans="1:6" x14ac:dyDescent="0.25">
      <c r="A644">
        <v>-111.97439799999999</v>
      </c>
      <c r="B644">
        <v>33.068660999999999</v>
      </c>
      <c r="C644">
        <v>6.5000000000000002E-2</v>
      </c>
      <c r="D644">
        <v>7.7350000000000002E-2</v>
      </c>
      <c r="E644">
        <v>878753333</v>
      </c>
      <c r="F644">
        <v>160</v>
      </c>
    </row>
    <row r="645" spans="1:6" x14ac:dyDescent="0.25">
      <c r="A645">
        <v>-111.97439799999999</v>
      </c>
      <c r="B645">
        <v>33.068654000000002</v>
      </c>
      <c r="C645">
        <v>0.08</v>
      </c>
      <c r="D645">
        <v>9.5200000000000007E-2</v>
      </c>
      <c r="E645">
        <v>878753335</v>
      </c>
      <c r="F645">
        <v>160</v>
      </c>
    </row>
    <row r="646" spans="1:6" x14ac:dyDescent="0.25">
      <c r="A646">
        <v>-111.97439799999999</v>
      </c>
      <c r="B646">
        <v>33.068646000000001</v>
      </c>
      <c r="C646">
        <v>0.41</v>
      </c>
      <c r="D646">
        <v>0.4879</v>
      </c>
      <c r="E646">
        <v>878753337</v>
      </c>
      <c r="F646">
        <v>160</v>
      </c>
    </row>
    <row r="647" spans="1:6" x14ac:dyDescent="0.25">
      <c r="A647">
        <v>-111.974397</v>
      </c>
      <c r="B647">
        <v>33.068640000000002</v>
      </c>
      <c r="C647">
        <v>1.5549999999999999</v>
      </c>
      <c r="D647">
        <v>1.8504499999999999</v>
      </c>
      <c r="E647">
        <v>878753339</v>
      </c>
      <c r="F647">
        <v>160</v>
      </c>
    </row>
    <row r="648" spans="1:6" x14ac:dyDescent="0.25">
      <c r="A648">
        <v>-111.97439799999999</v>
      </c>
      <c r="B648">
        <v>33.068634000000003</v>
      </c>
      <c r="C648">
        <v>1.345</v>
      </c>
      <c r="D648">
        <v>1.6005499999999999</v>
      </c>
      <c r="E648">
        <v>878753341</v>
      </c>
      <c r="F648">
        <v>160</v>
      </c>
    </row>
    <row r="649" spans="1:6" x14ac:dyDescent="0.25">
      <c r="A649">
        <v>-111.97439799999999</v>
      </c>
      <c r="B649">
        <v>33.068624999999997</v>
      </c>
      <c r="C649">
        <v>1.59</v>
      </c>
      <c r="D649">
        <v>1.8920999999999999</v>
      </c>
      <c r="E649">
        <v>878753343</v>
      </c>
      <c r="F649">
        <v>160</v>
      </c>
    </row>
    <row r="650" spans="1:6" x14ac:dyDescent="0.25">
      <c r="A650">
        <v>-111.974397</v>
      </c>
      <c r="B650">
        <v>33.068621</v>
      </c>
      <c r="C650">
        <v>0.22500000000000001</v>
      </c>
      <c r="D650">
        <v>0.26774999999999999</v>
      </c>
      <c r="E650">
        <v>878753345</v>
      </c>
      <c r="F650">
        <v>160</v>
      </c>
    </row>
    <row r="651" spans="1:6" x14ac:dyDescent="0.25">
      <c r="A651">
        <v>-111.974397</v>
      </c>
      <c r="B651">
        <v>33.068618000000001</v>
      </c>
      <c r="C651">
        <v>2.5000000000000001E-2</v>
      </c>
      <c r="D651">
        <v>2.9749999999999999E-2</v>
      </c>
      <c r="E651">
        <v>878753353</v>
      </c>
      <c r="F651">
        <v>160</v>
      </c>
    </row>
    <row r="652" spans="1:6" x14ac:dyDescent="0.25">
      <c r="A652">
        <v>-111.974396</v>
      </c>
      <c r="B652">
        <v>33.06861</v>
      </c>
      <c r="C652">
        <v>0.26500000000000001</v>
      </c>
      <c r="D652">
        <v>0.31535000000000002</v>
      </c>
      <c r="E652">
        <v>878753355</v>
      </c>
      <c r="F652">
        <v>160</v>
      </c>
    </row>
    <row r="653" spans="1:6" x14ac:dyDescent="0.25">
      <c r="A653">
        <v>-111.974397</v>
      </c>
      <c r="B653">
        <v>33.068603000000003</v>
      </c>
      <c r="C653">
        <v>0.36499999999999999</v>
      </c>
      <c r="D653">
        <v>0.43435000000000001</v>
      </c>
      <c r="E653">
        <v>878753357</v>
      </c>
      <c r="F653">
        <v>160</v>
      </c>
    </row>
    <row r="654" spans="1:6" x14ac:dyDescent="0.25">
      <c r="A654">
        <v>-111.974397</v>
      </c>
      <c r="B654">
        <v>33.068596999999997</v>
      </c>
      <c r="C654">
        <v>1.2250000000000001</v>
      </c>
      <c r="D654">
        <v>1.4577500000000001</v>
      </c>
      <c r="E654">
        <v>878753359</v>
      </c>
      <c r="F654">
        <v>160</v>
      </c>
    </row>
    <row r="655" spans="1:6" x14ac:dyDescent="0.25">
      <c r="A655">
        <v>-111.974397</v>
      </c>
      <c r="B655">
        <v>33.06859</v>
      </c>
      <c r="C655">
        <v>2.0249999999999999</v>
      </c>
      <c r="D655">
        <v>2.4097499999999998</v>
      </c>
      <c r="E655">
        <v>878753361</v>
      </c>
      <c r="F655">
        <v>160</v>
      </c>
    </row>
    <row r="656" spans="1:6" x14ac:dyDescent="0.25">
      <c r="A656">
        <v>-111.97439799999999</v>
      </c>
      <c r="B656">
        <v>33.068582999999997</v>
      </c>
      <c r="C656">
        <v>2.2450000000000001</v>
      </c>
      <c r="D656">
        <v>2.6715499999999999</v>
      </c>
      <c r="E656">
        <v>878753363</v>
      </c>
      <c r="F656">
        <v>160</v>
      </c>
    </row>
    <row r="657" spans="1:6" x14ac:dyDescent="0.25">
      <c r="A657">
        <v>-111.97439799999999</v>
      </c>
      <c r="B657">
        <v>33.068576</v>
      </c>
      <c r="C657">
        <v>2.02</v>
      </c>
      <c r="D657">
        <v>2.4037999999999999</v>
      </c>
      <c r="E657">
        <v>878753365</v>
      </c>
      <c r="F657">
        <v>160</v>
      </c>
    </row>
    <row r="658" spans="1:6" x14ac:dyDescent="0.25">
      <c r="A658">
        <v>-111.974397</v>
      </c>
      <c r="B658">
        <v>33.068568999999997</v>
      </c>
      <c r="C658">
        <v>1.635</v>
      </c>
      <c r="D658">
        <v>1.9456500000000001</v>
      </c>
      <c r="E658">
        <v>878753367</v>
      </c>
      <c r="F658">
        <v>160</v>
      </c>
    </row>
    <row r="659" spans="1:6" x14ac:dyDescent="0.25">
      <c r="A659">
        <v>-111.974397</v>
      </c>
      <c r="B659">
        <v>33.068561000000003</v>
      </c>
      <c r="C659">
        <v>1.9350000000000001</v>
      </c>
      <c r="D659">
        <v>2.3026499999999999</v>
      </c>
      <c r="E659">
        <v>878753369</v>
      </c>
      <c r="F659">
        <v>160</v>
      </c>
    </row>
    <row r="660" spans="1:6" x14ac:dyDescent="0.25">
      <c r="A660">
        <v>-111.974397</v>
      </c>
      <c r="B660">
        <v>33.068553999999999</v>
      </c>
      <c r="C660">
        <v>1.87</v>
      </c>
      <c r="D660">
        <v>2.2252999999999998</v>
      </c>
      <c r="E660">
        <v>878753371</v>
      </c>
      <c r="F660">
        <v>160</v>
      </c>
    </row>
    <row r="661" spans="1:6" x14ac:dyDescent="0.25">
      <c r="A661">
        <v>-111.974397</v>
      </c>
      <c r="B661">
        <v>33.068547000000002</v>
      </c>
      <c r="C661">
        <v>1.855</v>
      </c>
      <c r="D661">
        <v>2.2074500000000001</v>
      </c>
      <c r="E661">
        <v>878753373</v>
      </c>
      <c r="F661">
        <v>160</v>
      </c>
    </row>
    <row r="662" spans="1:6" x14ac:dyDescent="0.25">
      <c r="A662">
        <v>-111.974397</v>
      </c>
      <c r="B662">
        <v>33.068541000000003</v>
      </c>
      <c r="C662">
        <v>1.625</v>
      </c>
      <c r="D662">
        <v>1.9337500000000001</v>
      </c>
      <c r="E662">
        <v>878753375</v>
      </c>
      <c r="F662">
        <v>160</v>
      </c>
    </row>
    <row r="663" spans="1:6" x14ac:dyDescent="0.25">
      <c r="A663">
        <v>-111.974397</v>
      </c>
      <c r="B663">
        <v>33.068534</v>
      </c>
      <c r="C663">
        <v>1.2150000000000001</v>
      </c>
      <c r="D663">
        <v>1.4458500000000001</v>
      </c>
      <c r="E663">
        <v>878753377</v>
      </c>
      <c r="F663">
        <v>160</v>
      </c>
    </row>
    <row r="664" spans="1:6" x14ac:dyDescent="0.25">
      <c r="A664">
        <v>-111.974397</v>
      </c>
      <c r="B664">
        <v>33.068525999999999</v>
      </c>
      <c r="C664">
        <v>1.3</v>
      </c>
      <c r="D664">
        <v>1.5469999999999999</v>
      </c>
      <c r="E664">
        <v>878753379</v>
      </c>
      <c r="F664">
        <v>160</v>
      </c>
    </row>
    <row r="665" spans="1:6" x14ac:dyDescent="0.25">
      <c r="A665">
        <v>-111.974397</v>
      </c>
      <c r="B665">
        <v>33.068519000000002</v>
      </c>
      <c r="C665">
        <v>0.56999999999999995</v>
      </c>
      <c r="D665">
        <v>0.67830000000000001</v>
      </c>
      <c r="E665">
        <v>878753381</v>
      </c>
      <c r="F665">
        <v>160</v>
      </c>
    </row>
    <row r="666" spans="1:6" x14ac:dyDescent="0.25">
      <c r="A666">
        <v>-111.974397</v>
      </c>
      <c r="B666">
        <v>33.068511000000001</v>
      </c>
      <c r="C666">
        <v>0.14499999999999999</v>
      </c>
      <c r="D666">
        <v>0.17255000000000001</v>
      </c>
      <c r="E666">
        <v>878753383</v>
      </c>
      <c r="F666">
        <v>160</v>
      </c>
    </row>
    <row r="667" spans="1:6" x14ac:dyDescent="0.25">
      <c r="A667">
        <v>-111.97439799999999</v>
      </c>
      <c r="B667">
        <v>33.068503999999997</v>
      </c>
      <c r="C667">
        <v>0.06</v>
      </c>
      <c r="D667">
        <v>7.1400000000000005E-2</v>
      </c>
      <c r="E667">
        <v>878753385</v>
      </c>
      <c r="F667">
        <v>160</v>
      </c>
    </row>
    <row r="668" spans="1:6" x14ac:dyDescent="0.25">
      <c r="A668">
        <v>-111.974397</v>
      </c>
      <c r="B668">
        <v>33.068497000000001</v>
      </c>
      <c r="C668">
        <v>0.09</v>
      </c>
      <c r="D668">
        <v>0.1071</v>
      </c>
      <c r="E668">
        <v>878753387</v>
      </c>
      <c r="F668">
        <v>160</v>
      </c>
    </row>
    <row r="669" spans="1:6" x14ac:dyDescent="0.25">
      <c r="A669">
        <v>-111.974397</v>
      </c>
      <c r="B669">
        <v>33.068489999999997</v>
      </c>
      <c r="C669">
        <v>0.13</v>
      </c>
      <c r="D669">
        <v>0.1547</v>
      </c>
      <c r="E669">
        <v>878753389</v>
      </c>
      <c r="F669">
        <v>160</v>
      </c>
    </row>
    <row r="670" spans="1:6" x14ac:dyDescent="0.25">
      <c r="A670">
        <v>-111.974397</v>
      </c>
      <c r="B670">
        <v>33.068482000000003</v>
      </c>
      <c r="C670">
        <v>1.04</v>
      </c>
      <c r="D670">
        <v>1.2376</v>
      </c>
      <c r="E670">
        <v>878753391</v>
      </c>
      <c r="F670">
        <v>160</v>
      </c>
    </row>
    <row r="671" spans="1:6" x14ac:dyDescent="0.25">
      <c r="A671">
        <v>-111.974397</v>
      </c>
      <c r="B671">
        <v>33.068474999999999</v>
      </c>
      <c r="C671">
        <v>1.7150000000000001</v>
      </c>
      <c r="D671">
        <v>2.0408499999999998</v>
      </c>
      <c r="E671">
        <v>878753393</v>
      </c>
      <c r="F671">
        <v>160</v>
      </c>
    </row>
    <row r="672" spans="1:6" x14ac:dyDescent="0.25">
      <c r="A672">
        <v>-111.97439799999999</v>
      </c>
      <c r="B672">
        <v>33.068469</v>
      </c>
      <c r="C672">
        <v>1.4850000000000001</v>
      </c>
      <c r="D672">
        <v>1.76715</v>
      </c>
      <c r="E672">
        <v>878753395</v>
      </c>
      <c r="F672">
        <v>160</v>
      </c>
    </row>
    <row r="673" spans="1:6" x14ac:dyDescent="0.25">
      <c r="A673">
        <v>-111.97439900000001</v>
      </c>
      <c r="B673">
        <v>33.068460000000002</v>
      </c>
      <c r="C673">
        <v>1.79</v>
      </c>
      <c r="D673">
        <v>2.1301000000000001</v>
      </c>
      <c r="E673">
        <v>878753397</v>
      </c>
      <c r="F673">
        <v>160</v>
      </c>
    </row>
    <row r="674" spans="1:6" x14ac:dyDescent="0.25">
      <c r="A674">
        <v>-111.97439799999999</v>
      </c>
      <c r="B674">
        <v>33.068452999999998</v>
      </c>
      <c r="C674">
        <v>1.1200000000000001</v>
      </c>
      <c r="D674">
        <v>1.3328</v>
      </c>
      <c r="E674">
        <v>878753399</v>
      </c>
      <c r="F674">
        <v>160</v>
      </c>
    </row>
    <row r="675" spans="1:6" x14ac:dyDescent="0.25">
      <c r="A675">
        <v>-111.97439900000001</v>
      </c>
      <c r="B675">
        <v>33.068446000000002</v>
      </c>
      <c r="C675">
        <v>6.5000000000000002E-2</v>
      </c>
      <c r="D675">
        <v>7.7350000000000002E-2</v>
      </c>
      <c r="E675">
        <v>878753401</v>
      </c>
      <c r="F675">
        <v>160</v>
      </c>
    </row>
    <row r="676" spans="1:6" x14ac:dyDescent="0.25">
      <c r="A676">
        <v>-111.97439900000001</v>
      </c>
      <c r="B676">
        <v>33.068438999999998</v>
      </c>
      <c r="C676">
        <v>5.0000000000000001E-3</v>
      </c>
      <c r="D676">
        <v>5.9500000000000004E-3</v>
      </c>
      <c r="E676">
        <v>878753403</v>
      </c>
      <c r="F676">
        <v>160</v>
      </c>
    </row>
    <row r="677" spans="1:6" x14ac:dyDescent="0.25">
      <c r="A677">
        <v>-111.97439799999999</v>
      </c>
      <c r="B677">
        <v>33.068424</v>
      </c>
      <c r="C677">
        <v>5.0000000000000001E-3</v>
      </c>
      <c r="D677">
        <v>5.9500000000000004E-3</v>
      </c>
      <c r="E677">
        <v>878753407</v>
      </c>
      <c r="F677">
        <v>160</v>
      </c>
    </row>
    <row r="678" spans="1:6" x14ac:dyDescent="0.25">
      <c r="A678">
        <v>-111.974397</v>
      </c>
      <c r="B678">
        <v>33.068399999999997</v>
      </c>
      <c r="C678">
        <v>5.0000000000000001E-3</v>
      </c>
      <c r="D678">
        <v>5.9500000000000004E-3</v>
      </c>
      <c r="E678">
        <v>878753413</v>
      </c>
      <c r="F678">
        <v>160</v>
      </c>
    </row>
    <row r="679" spans="1:6" x14ac:dyDescent="0.25">
      <c r="A679">
        <v>-111.97439799999999</v>
      </c>
      <c r="B679">
        <v>33.068370999999999</v>
      </c>
      <c r="C679">
        <v>0.17499999999999999</v>
      </c>
      <c r="D679">
        <v>0.20824999999999999</v>
      </c>
      <c r="E679">
        <v>878753421</v>
      </c>
      <c r="F679">
        <v>160</v>
      </c>
    </row>
    <row r="680" spans="1:6" x14ac:dyDescent="0.25">
      <c r="A680">
        <v>-111.97439799999999</v>
      </c>
      <c r="B680">
        <v>33.068365</v>
      </c>
      <c r="C680">
        <v>0.82</v>
      </c>
      <c r="D680">
        <v>0.9758</v>
      </c>
      <c r="E680">
        <v>878753423</v>
      </c>
      <c r="F680">
        <v>160</v>
      </c>
    </row>
    <row r="681" spans="1:6" x14ac:dyDescent="0.25">
      <c r="A681">
        <v>-111.97439799999999</v>
      </c>
      <c r="B681">
        <v>33.068356999999999</v>
      </c>
      <c r="C681">
        <v>1.405</v>
      </c>
      <c r="D681">
        <v>1.67195</v>
      </c>
      <c r="E681">
        <v>878753425</v>
      </c>
      <c r="F681">
        <v>160</v>
      </c>
    </row>
    <row r="682" spans="1:6" x14ac:dyDescent="0.25">
      <c r="A682">
        <v>-111.97439799999999</v>
      </c>
      <c r="B682">
        <v>33.068350000000002</v>
      </c>
      <c r="C682">
        <v>1.75</v>
      </c>
      <c r="D682">
        <v>2.0825</v>
      </c>
      <c r="E682">
        <v>878753427</v>
      </c>
      <c r="F682">
        <v>160</v>
      </c>
    </row>
    <row r="683" spans="1:6" x14ac:dyDescent="0.25">
      <c r="A683">
        <v>-111.97439799999999</v>
      </c>
      <c r="B683">
        <v>33.068342000000001</v>
      </c>
      <c r="C683">
        <v>1.625</v>
      </c>
      <c r="D683">
        <v>1.9337500000000001</v>
      </c>
      <c r="E683">
        <v>878753429</v>
      </c>
      <c r="F683">
        <v>160</v>
      </c>
    </row>
    <row r="684" spans="1:6" x14ac:dyDescent="0.25">
      <c r="A684">
        <v>-111.97439799999999</v>
      </c>
      <c r="B684">
        <v>33.068334</v>
      </c>
      <c r="C684">
        <v>0.97499999999999998</v>
      </c>
      <c r="D684">
        <v>1.16025</v>
      </c>
      <c r="E684">
        <v>878753431</v>
      </c>
      <c r="F684">
        <v>160</v>
      </c>
    </row>
    <row r="685" spans="1:6" x14ac:dyDescent="0.25">
      <c r="A685">
        <v>-111.97439900000001</v>
      </c>
      <c r="B685">
        <v>33.068326999999996</v>
      </c>
      <c r="C685">
        <v>1.18</v>
      </c>
      <c r="D685">
        <v>1.4041999999999999</v>
      </c>
      <c r="E685">
        <v>878753433</v>
      </c>
      <c r="F685">
        <v>160</v>
      </c>
    </row>
    <row r="686" spans="1:6" x14ac:dyDescent="0.25">
      <c r="A686">
        <v>-111.97439799999999</v>
      </c>
      <c r="B686">
        <v>33.06832</v>
      </c>
      <c r="C686">
        <v>0.92</v>
      </c>
      <c r="D686">
        <v>1.0948</v>
      </c>
      <c r="E686">
        <v>878753435</v>
      </c>
      <c r="F686">
        <v>160</v>
      </c>
    </row>
    <row r="687" spans="1:6" x14ac:dyDescent="0.25">
      <c r="A687">
        <v>-111.97439799999999</v>
      </c>
      <c r="B687">
        <v>33.068313000000003</v>
      </c>
      <c r="C687">
        <v>1.2</v>
      </c>
      <c r="D687">
        <v>1.4279999999999999</v>
      </c>
      <c r="E687">
        <v>878753437</v>
      </c>
      <c r="F687">
        <v>160</v>
      </c>
    </row>
    <row r="688" spans="1:6" x14ac:dyDescent="0.25">
      <c r="A688">
        <v>-111.97439799999999</v>
      </c>
      <c r="B688">
        <v>33.068306</v>
      </c>
      <c r="C688">
        <v>1.37</v>
      </c>
      <c r="D688">
        <v>1.6303000000000001</v>
      </c>
      <c r="E688">
        <v>878753439</v>
      </c>
      <c r="F688">
        <v>160</v>
      </c>
    </row>
    <row r="689" spans="1:6" x14ac:dyDescent="0.25">
      <c r="A689">
        <v>-111.97439799999999</v>
      </c>
      <c r="B689">
        <v>33.068299000000003</v>
      </c>
      <c r="C689">
        <v>1.29</v>
      </c>
      <c r="D689">
        <v>1.5350999999999999</v>
      </c>
      <c r="E689">
        <v>878753441</v>
      </c>
      <c r="F689">
        <v>160</v>
      </c>
    </row>
    <row r="690" spans="1:6" x14ac:dyDescent="0.25">
      <c r="A690">
        <v>-111.97439799999999</v>
      </c>
      <c r="B690">
        <v>33.068292</v>
      </c>
      <c r="C690">
        <v>1.0649999999999999</v>
      </c>
      <c r="D690">
        <v>1.26735</v>
      </c>
      <c r="E690">
        <v>878753443</v>
      </c>
      <c r="F690">
        <v>160</v>
      </c>
    </row>
    <row r="691" spans="1:6" x14ac:dyDescent="0.25">
      <c r="A691">
        <v>-111.97439900000001</v>
      </c>
      <c r="B691">
        <v>33.068285000000003</v>
      </c>
      <c r="C691">
        <v>0.98499999999999999</v>
      </c>
      <c r="D691">
        <v>1.17215</v>
      </c>
      <c r="E691">
        <v>878753445</v>
      </c>
      <c r="F691">
        <v>160</v>
      </c>
    </row>
    <row r="692" spans="1:6" x14ac:dyDescent="0.25">
      <c r="A692">
        <v>-111.97439900000001</v>
      </c>
      <c r="B692">
        <v>33.068277000000002</v>
      </c>
      <c r="C692">
        <v>0.59</v>
      </c>
      <c r="D692">
        <v>0.70209999999999995</v>
      </c>
      <c r="E692">
        <v>878753447</v>
      </c>
      <c r="F692">
        <v>160</v>
      </c>
    </row>
    <row r="693" spans="1:6" x14ac:dyDescent="0.25">
      <c r="A693">
        <v>-111.97439900000001</v>
      </c>
      <c r="B693">
        <v>33.068269000000001</v>
      </c>
      <c r="C693">
        <v>7.0000000000000007E-2</v>
      </c>
      <c r="D693">
        <v>8.3299999999999999E-2</v>
      </c>
      <c r="E693">
        <v>878753449</v>
      </c>
      <c r="F693">
        <v>160</v>
      </c>
    </row>
    <row r="694" spans="1:6" x14ac:dyDescent="0.25">
      <c r="A694">
        <v>-111.97439799999999</v>
      </c>
      <c r="B694">
        <v>33.068261999999997</v>
      </c>
      <c r="C694">
        <v>0.08</v>
      </c>
      <c r="D694">
        <v>9.5200000000000007E-2</v>
      </c>
      <c r="E694">
        <v>878753451</v>
      </c>
      <c r="F694">
        <v>160</v>
      </c>
    </row>
    <row r="695" spans="1:6" x14ac:dyDescent="0.25">
      <c r="A695">
        <v>-111.97439799999999</v>
      </c>
      <c r="B695">
        <v>33.068255000000001</v>
      </c>
      <c r="C695">
        <v>0.16500000000000001</v>
      </c>
      <c r="D695">
        <v>0.19635</v>
      </c>
      <c r="E695">
        <v>878753453</v>
      </c>
      <c r="F695">
        <v>160</v>
      </c>
    </row>
    <row r="696" spans="1:6" x14ac:dyDescent="0.25">
      <c r="A696">
        <v>-111.97439799999999</v>
      </c>
      <c r="B696">
        <v>33.068247</v>
      </c>
      <c r="C696">
        <v>0.20499999999999999</v>
      </c>
      <c r="D696">
        <v>0.24395</v>
      </c>
      <c r="E696">
        <v>878753455</v>
      </c>
      <c r="F696">
        <v>160</v>
      </c>
    </row>
    <row r="697" spans="1:6" x14ac:dyDescent="0.25">
      <c r="A697">
        <v>-111.97439900000001</v>
      </c>
      <c r="B697">
        <v>33.068240000000003</v>
      </c>
      <c r="C697">
        <v>0.315</v>
      </c>
      <c r="D697">
        <v>0.37485000000000002</v>
      </c>
      <c r="E697">
        <v>878753457</v>
      </c>
      <c r="F697">
        <v>160</v>
      </c>
    </row>
    <row r="698" spans="1:6" x14ac:dyDescent="0.25">
      <c r="A698">
        <v>-111.97439900000001</v>
      </c>
      <c r="B698">
        <v>33.068232999999999</v>
      </c>
      <c r="C698">
        <v>1.175</v>
      </c>
      <c r="D698">
        <v>1.39825</v>
      </c>
      <c r="E698">
        <v>878753459</v>
      </c>
      <c r="F698">
        <v>160</v>
      </c>
    </row>
    <row r="699" spans="1:6" x14ac:dyDescent="0.25">
      <c r="A699">
        <v>-111.97439900000001</v>
      </c>
      <c r="B699">
        <v>33.068224999999998</v>
      </c>
      <c r="C699">
        <v>1.6950000000000001</v>
      </c>
      <c r="D699">
        <v>2.0170499999999998</v>
      </c>
      <c r="E699">
        <v>878753461</v>
      </c>
      <c r="F699">
        <v>160</v>
      </c>
    </row>
    <row r="700" spans="1:6" x14ac:dyDescent="0.25">
      <c r="A700">
        <v>-111.97439900000001</v>
      </c>
      <c r="B700">
        <v>33.068218000000002</v>
      </c>
      <c r="C700">
        <v>1.98</v>
      </c>
      <c r="D700">
        <v>2.3561999999999999</v>
      </c>
      <c r="E700">
        <v>878753463</v>
      </c>
      <c r="F700">
        <v>160</v>
      </c>
    </row>
    <row r="701" spans="1:6" x14ac:dyDescent="0.25">
      <c r="A701">
        <v>-111.97439900000001</v>
      </c>
      <c r="B701">
        <v>33.068210000000001</v>
      </c>
      <c r="C701">
        <v>1.2649999999999999</v>
      </c>
      <c r="D701">
        <v>1.50535</v>
      </c>
      <c r="E701">
        <v>878753465</v>
      </c>
      <c r="F701">
        <v>160</v>
      </c>
    </row>
    <row r="702" spans="1:6" x14ac:dyDescent="0.25">
      <c r="A702">
        <v>-111.97439900000001</v>
      </c>
      <c r="B702">
        <v>33.068204999999999</v>
      </c>
      <c r="C702">
        <v>7.4999999999999997E-2</v>
      </c>
      <c r="D702">
        <v>8.9249999999999996E-2</v>
      </c>
      <c r="E702">
        <v>878753467</v>
      </c>
      <c r="F702">
        <v>160</v>
      </c>
    </row>
    <row r="703" spans="1:6" x14ac:dyDescent="0.25">
      <c r="A703">
        <v>-111.9744</v>
      </c>
      <c r="B703">
        <v>33.068199999999997</v>
      </c>
      <c r="C703">
        <v>0.54500000000000004</v>
      </c>
      <c r="D703">
        <v>0.64854999999999996</v>
      </c>
      <c r="E703">
        <v>878753477</v>
      </c>
      <c r="F703">
        <v>160</v>
      </c>
    </row>
    <row r="704" spans="1:6" x14ac:dyDescent="0.25">
      <c r="A704">
        <v>-111.9744</v>
      </c>
      <c r="B704">
        <v>33.068193000000001</v>
      </c>
      <c r="C704">
        <v>0.46500000000000002</v>
      </c>
      <c r="D704">
        <v>0.55335000000000001</v>
      </c>
      <c r="E704">
        <v>878753479</v>
      </c>
      <c r="F704">
        <v>160</v>
      </c>
    </row>
    <row r="705" spans="1:6" x14ac:dyDescent="0.25">
      <c r="A705">
        <v>-111.9744</v>
      </c>
      <c r="B705">
        <v>33.068185999999997</v>
      </c>
      <c r="C705">
        <v>1.02</v>
      </c>
      <c r="D705">
        <v>1.2138</v>
      </c>
      <c r="E705">
        <v>878753481</v>
      </c>
      <c r="F705">
        <v>160</v>
      </c>
    </row>
    <row r="706" spans="1:6" x14ac:dyDescent="0.25">
      <c r="A706">
        <v>-111.97439900000001</v>
      </c>
      <c r="B706">
        <v>33.068179999999998</v>
      </c>
      <c r="C706">
        <v>1.77</v>
      </c>
      <c r="D706">
        <v>2.1063000000000001</v>
      </c>
      <c r="E706">
        <v>878753483</v>
      </c>
      <c r="F706">
        <v>160</v>
      </c>
    </row>
    <row r="707" spans="1:6" x14ac:dyDescent="0.25">
      <c r="A707">
        <v>-111.9744</v>
      </c>
      <c r="B707">
        <v>33.068173000000002</v>
      </c>
      <c r="C707">
        <v>1.73</v>
      </c>
      <c r="D707">
        <v>2.0587</v>
      </c>
      <c r="E707">
        <v>878753485</v>
      </c>
      <c r="F707">
        <v>160</v>
      </c>
    </row>
    <row r="708" spans="1:6" x14ac:dyDescent="0.25">
      <c r="A708">
        <v>-111.9744</v>
      </c>
      <c r="B708">
        <v>33.068165999999998</v>
      </c>
      <c r="C708">
        <v>1.8149999999999999</v>
      </c>
      <c r="D708">
        <v>2.15985</v>
      </c>
      <c r="E708">
        <v>878753487</v>
      </c>
      <c r="F708">
        <v>160</v>
      </c>
    </row>
    <row r="709" spans="1:6" x14ac:dyDescent="0.25">
      <c r="A709">
        <v>-111.9744</v>
      </c>
      <c r="B709">
        <v>33.068157999999997</v>
      </c>
      <c r="C709">
        <v>1.865</v>
      </c>
      <c r="D709">
        <v>2.2193499999999999</v>
      </c>
      <c r="E709">
        <v>878753489</v>
      </c>
      <c r="F709">
        <v>160</v>
      </c>
    </row>
    <row r="710" spans="1:6" x14ac:dyDescent="0.25">
      <c r="A710">
        <v>-111.9744</v>
      </c>
      <c r="B710">
        <v>33.068151</v>
      </c>
      <c r="C710">
        <v>1.355</v>
      </c>
      <c r="D710">
        <v>1.6124499999999999</v>
      </c>
      <c r="E710">
        <v>878753491</v>
      </c>
      <c r="F710">
        <v>160</v>
      </c>
    </row>
    <row r="711" spans="1:6" x14ac:dyDescent="0.25">
      <c r="A711">
        <v>-111.9744</v>
      </c>
      <c r="B711">
        <v>33.068142999999999</v>
      </c>
      <c r="C711">
        <v>1.38</v>
      </c>
      <c r="D711">
        <v>1.6422000000000001</v>
      </c>
      <c r="E711">
        <v>878753493</v>
      </c>
      <c r="F711">
        <v>160</v>
      </c>
    </row>
    <row r="712" spans="1:6" x14ac:dyDescent="0.25">
      <c r="A712">
        <v>-111.9744</v>
      </c>
      <c r="B712">
        <v>33.068137</v>
      </c>
      <c r="C712">
        <v>1.4550000000000001</v>
      </c>
      <c r="D712">
        <v>1.7314499999999999</v>
      </c>
      <c r="E712">
        <v>878753495</v>
      </c>
      <c r="F712">
        <v>160</v>
      </c>
    </row>
    <row r="713" spans="1:6" x14ac:dyDescent="0.25">
      <c r="A713">
        <v>-111.9744</v>
      </c>
      <c r="B713">
        <v>33.068128999999999</v>
      </c>
      <c r="C713">
        <v>1.325</v>
      </c>
      <c r="D713">
        <v>1.5767500000000001</v>
      </c>
      <c r="E713">
        <v>878753497</v>
      </c>
      <c r="F713">
        <v>160</v>
      </c>
    </row>
    <row r="714" spans="1:6" x14ac:dyDescent="0.25">
      <c r="A714">
        <v>-111.97439900000001</v>
      </c>
      <c r="B714">
        <v>33.068122000000002</v>
      </c>
      <c r="C714">
        <v>1.395</v>
      </c>
      <c r="D714">
        <v>1.66005</v>
      </c>
      <c r="E714">
        <v>878753499</v>
      </c>
      <c r="F714">
        <v>160</v>
      </c>
    </row>
    <row r="715" spans="1:6" x14ac:dyDescent="0.25">
      <c r="A715">
        <v>-111.97439900000001</v>
      </c>
      <c r="B715">
        <v>33.068114999999999</v>
      </c>
      <c r="C715">
        <v>1.325</v>
      </c>
      <c r="D715">
        <v>1.5767500000000001</v>
      </c>
      <c r="E715">
        <v>878753501</v>
      </c>
      <c r="F715">
        <v>160</v>
      </c>
    </row>
    <row r="716" spans="1:6" x14ac:dyDescent="0.25">
      <c r="A716">
        <v>-111.9744</v>
      </c>
      <c r="B716">
        <v>33.068106999999998</v>
      </c>
      <c r="C716">
        <v>0.84</v>
      </c>
      <c r="D716">
        <v>0.99960000000000004</v>
      </c>
      <c r="E716">
        <v>878753503</v>
      </c>
      <c r="F716">
        <v>160</v>
      </c>
    </row>
    <row r="717" spans="1:6" x14ac:dyDescent="0.25">
      <c r="A717">
        <v>-111.9744</v>
      </c>
      <c r="B717">
        <v>33.068100000000001</v>
      </c>
      <c r="C717">
        <v>0.12</v>
      </c>
      <c r="D717">
        <v>0.14280000000000001</v>
      </c>
      <c r="E717">
        <v>878753505</v>
      </c>
      <c r="F717">
        <v>160</v>
      </c>
    </row>
    <row r="718" spans="1:6" x14ac:dyDescent="0.25">
      <c r="A718">
        <v>-111.9744</v>
      </c>
      <c r="B718">
        <v>33.068092999999998</v>
      </c>
      <c r="C718">
        <v>0.255</v>
      </c>
      <c r="D718">
        <v>0.30345</v>
      </c>
      <c r="E718">
        <v>878753507</v>
      </c>
      <c r="F718">
        <v>160</v>
      </c>
    </row>
    <row r="719" spans="1:6" x14ac:dyDescent="0.25">
      <c r="A719">
        <v>-111.9744</v>
      </c>
      <c r="B719">
        <v>33.068085000000004</v>
      </c>
      <c r="C719">
        <v>0.1</v>
      </c>
      <c r="D719">
        <v>0.11899999999999999</v>
      </c>
      <c r="E719">
        <v>878753509</v>
      </c>
      <c r="F719">
        <v>160</v>
      </c>
    </row>
    <row r="720" spans="1:6" x14ac:dyDescent="0.25">
      <c r="A720">
        <v>-111.9744</v>
      </c>
      <c r="B720">
        <v>33.068078</v>
      </c>
      <c r="C720">
        <v>0.18</v>
      </c>
      <c r="D720">
        <v>0.2142</v>
      </c>
      <c r="E720">
        <v>878753511</v>
      </c>
      <c r="F720">
        <v>160</v>
      </c>
    </row>
    <row r="721" spans="1:6" x14ac:dyDescent="0.25">
      <c r="A721">
        <v>-111.9744</v>
      </c>
      <c r="B721">
        <v>33.068071000000003</v>
      </c>
      <c r="C721">
        <v>0.90500000000000003</v>
      </c>
      <c r="D721">
        <v>1.0769500000000001</v>
      </c>
      <c r="E721">
        <v>878753513</v>
      </c>
      <c r="F721">
        <v>160</v>
      </c>
    </row>
    <row r="722" spans="1:6" x14ac:dyDescent="0.25">
      <c r="A722">
        <v>-111.9744</v>
      </c>
      <c r="B722">
        <v>33.068064</v>
      </c>
      <c r="C722">
        <v>1.52</v>
      </c>
      <c r="D722">
        <v>1.8088</v>
      </c>
      <c r="E722">
        <v>878753515</v>
      </c>
      <c r="F722">
        <v>160</v>
      </c>
    </row>
    <row r="723" spans="1:6" x14ac:dyDescent="0.25">
      <c r="A723">
        <v>-111.9744</v>
      </c>
      <c r="B723">
        <v>33.068055999999999</v>
      </c>
      <c r="C723">
        <v>1.45</v>
      </c>
      <c r="D723">
        <v>1.7255</v>
      </c>
      <c r="E723">
        <v>878753517</v>
      </c>
      <c r="F723">
        <v>160</v>
      </c>
    </row>
    <row r="724" spans="1:6" x14ac:dyDescent="0.25">
      <c r="A724">
        <v>-111.9744</v>
      </c>
      <c r="B724">
        <v>33.068047999999997</v>
      </c>
      <c r="C724">
        <v>1.4850000000000001</v>
      </c>
      <c r="D724">
        <v>1.76715</v>
      </c>
      <c r="E724">
        <v>878753519</v>
      </c>
      <c r="F724">
        <v>160</v>
      </c>
    </row>
    <row r="725" spans="1:6" x14ac:dyDescent="0.25">
      <c r="A725">
        <v>-111.9744</v>
      </c>
      <c r="B725">
        <v>33.068041000000001</v>
      </c>
      <c r="C725">
        <v>0.9</v>
      </c>
      <c r="D725">
        <v>1.071</v>
      </c>
      <c r="E725">
        <v>878753521</v>
      </c>
      <c r="F725">
        <v>160</v>
      </c>
    </row>
    <row r="726" spans="1:6" x14ac:dyDescent="0.25">
      <c r="A726">
        <v>-111.9744</v>
      </c>
      <c r="B726">
        <v>33.068035000000002</v>
      </c>
      <c r="C726">
        <v>0.01</v>
      </c>
      <c r="D726">
        <v>1.1900000000000001E-2</v>
      </c>
      <c r="E726">
        <v>878753523</v>
      </c>
      <c r="F726">
        <v>160</v>
      </c>
    </row>
    <row r="727" spans="1:6" x14ac:dyDescent="0.25">
      <c r="A727">
        <v>-111.9744</v>
      </c>
      <c r="B727">
        <v>33.068035999999999</v>
      </c>
      <c r="C727">
        <v>5.0000000000000001E-3</v>
      </c>
      <c r="D727">
        <v>5.9500000000000004E-3</v>
      </c>
      <c r="E727">
        <v>878753529</v>
      </c>
      <c r="F727">
        <v>160</v>
      </c>
    </row>
    <row r="728" spans="1:6" x14ac:dyDescent="0.25">
      <c r="A728">
        <v>-111.9744</v>
      </c>
      <c r="B728">
        <v>33.068022999999997</v>
      </c>
      <c r="C728">
        <v>5.0000000000000001E-3</v>
      </c>
      <c r="D728">
        <v>5.9500000000000004E-3</v>
      </c>
      <c r="E728">
        <v>878753533</v>
      </c>
      <c r="F728">
        <v>160</v>
      </c>
    </row>
    <row r="729" spans="1:6" x14ac:dyDescent="0.25">
      <c r="A729">
        <v>-111.974397</v>
      </c>
      <c r="B729">
        <v>33.068012000000003</v>
      </c>
      <c r="C729">
        <v>5.0000000000000001E-3</v>
      </c>
      <c r="D729">
        <v>5.9500000000000004E-3</v>
      </c>
      <c r="E729">
        <v>878753535</v>
      </c>
      <c r="F729">
        <v>160</v>
      </c>
    </row>
    <row r="730" spans="1:6" x14ac:dyDescent="0.25">
      <c r="A730">
        <v>-111.974391</v>
      </c>
      <c r="B730">
        <v>33.068001000000002</v>
      </c>
      <c r="C730">
        <v>5.0000000000000001E-3</v>
      </c>
      <c r="D730">
        <v>5.9500000000000004E-3</v>
      </c>
      <c r="E730">
        <v>878753537</v>
      </c>
      <c r="F730">
        <v>160</v>
      </c>
    </row>
    <row r="731" spans="1:6" x14ac:dyDescent="0.25">
      <c r="A731">
        <v>-111.97438</v>
      </c>
      <c r="B731">
        <v>33.067993000000001</v>
      </c>
      <c r="C731">
        <v>5.0000000000000001E-3</v>
      </c>
      <c r="D731">
        <v>5.9500000000000004E-3</v>
      </c>
      <c r="E731">
        <v>878753539</v>
      </c>
      <c r="F731">
        <v>160</v>
      </c>
    </row>
    <row r="732" spans="1:6" x14ac:dyDescent="0.25">
      <c r="A732">
        <v>-111.974338</v>
      </c>
      <c r="B732">
        <v>33.067974999999997</v>
      </c>
      <c r="C732">
        <v>0.01</v>
      </c>
      <c r="D732">
        <v>1.1900000000000001E-2</v>
      </c>
      <c r="E732">
        <v>878753545</v>
      </c>
      <c r="F732">
        <v>160</v>
      </c>
    </row>
    <row r="733" spans="1:6" x14ac:dyDescent="0.25">
      <c r="A733">
        <v>-111.974322</v>
      </c>
      <c r="B733">
        <v>33.067974999999997</v>
      </c>
      <c r="C733">
        <v>5.0000000000000001E-3</v>
      </c>
      <c r="D733">
        <v>5.9500000000000004E-3</v>
      </c>
      <c r="E733">
        <v>878753547</v>
      </c>
      <c r="F733">
        <v>160</v>
      </c>
    </row>
    <row r="734" spans="1:6" x14ac:dyDescent="0.25">
      <c r="A734">
        <v>-111.974307</v>
      </c>
      <c r="B734">
        <v>33.067974999999997</v>
      </c>
      <c r="C734">
        <v>5.0000000000000001E-3</v>
      </c>
      <c r="D734">
        <v>5.9500000000000004E-3</v>
      </c>
      <c r="E734">
        <v>878753549</v>
      </c>
      <c r="F734">
        <v>160</v>
      </c>
    </row>
    <row r="735" spans="1:6" x14ac:dyDescent="0.25">
      <c r="A735">
        <v>-111.973494</v>
      </c>
      <c r="B735">
        <v>33.069056000000003</v>
      </c>
      <c r="C735">
        <v>6.5000000000000002E-2</v>
      </c>
      <c r="D735">
        <v>7.7350000000000002E-2</v>
      </c>
      <c r="E735">
        <v>878753625</v>
      </c>
      <c r="F735">
        <v>160</v>
      </c>
    </row>
    <row r="736" spans="1:6" x14ac:dyDescent="0.25">
      <c r="A736">
        <v>-111.97359299999999</v>
      </c>
      <c r="B736">
        <v>33.069088000000001</v>
      </c>
      <c r="C736">
        <v>0.03</v>
      </c>
      <c r="D736">
        <v>3.5700000000000003E-2</v>
      </c>
      <c r="E736">
        <v>878753631</v>
      </c>
      <c r="F736">
        <v>160</v>
      </c>
    </row>
    <row r="737" spans="1:6" x14ac:dyDescent="0.25">
      <c r="A737">
        <v>-111.97362800000001</v>
      </c>
      <c r="B737">
        <v>33.069088999999998</v>
      </c>
      <c r="C737">
        <v>0.06</v>
      </c>
      <c r="D737">
        <v>7.1400000000000005E-2</v>
      </c>
      <c r="E737">
        <v>878753633</v>
      </c>
      <c r="F737">
        <v>160</v>
      </c>
    </row>
    <row r="738" spans="1:6" x14ac:dyDescent="0.25">
      <c r="A738">
        <v>-111.974519</v>
      </c>
      <c r="B738">
        <v>33.069085999999999</v>
      </c>
      <c r="C738">
        <v>0.115</v>
      </c>
      <c r="D738">
        <v>0.13685</v>
      </c>
      <c r="E738">
        <v>878753669</v>
      </c>
      <c r="F738">
        <v>160</v>
      </c>
    </row>
    <row r="739" spans="1:6" x14ac:dyDescent="0.25">
      <c r="A739">
        <v>-111.974531</v>
      </c>
      <c r="B739">
        <v>33.069073000000003</v>
      </c>
      <c r="C739">
        <v>0.61</v>
      </c>
      <c r="D739">
        <v>0.72589999999999999</v>
      </c>
      <c r="E739">
        <v>878753671</v>
      </c>
      <c r="F739">
        <v>160</v>
      </c>
    </row>
    <row r="740" spans="1:6" x14ac:dyDescent="0.25">
      <c r="A740">
        <v>-111.97453299999999</v>
      </c>
      <c r="B740">
        <v>33.069060999999998</v>
      </c>
      <c r="C740">
        <v>0.26</v>
      </c>
      <c r="D740">
        <v>0.30940000000000001</v>
      </c>
      <c r="E740">
        <v>878753673</v>
      </c>
      <c r="F740">
        <v>160</v>
      </c>
    </row>
    <row r="741" spans="1:6" x14ac:dyDescent="0.25">
      <c r="A741">
        <v>-111.97452800000001</v>
      </c>
      <c r="B741">
        <v>33.069051000000002</v>
      </c>
      <c r="C741">
        <v>0.22500000000000001</v>
      </c>
      <c r="D741">
        <v>0.26774999999999999</v>
      </c>
      <c r="E741">
        <v>878753675</v>
      </c>
      <c r="F741">
        <v>160</v>
      </c>
    </row>
    <row r="742" spans="1:6" x14ac:dyDescent="0.25">
      <c r="A742">
        <v>-111.97452699999999</v>
      </c>
      <c r="B742">
        <v>33.069046</v>
      </c>
      <c r="C742">
        <v>9.5000000000000001E-2</v>
      </c>
      <c r="D742">
        <v>0.11305</v>
      </c>
      <c r="E742">
        <v>878753677</v>
      </c>
      <c r="F742">
        <v>160</v>
      </c>
    </row>
    <row r="743" spans="1:6" x14ac:dyDescent="0.25">
      <c r="A743">
        <v>-111.974526</v>
      </c>
      <c r="B743">
        <v>33.069043000000001</v>
      </c>
      <c r="C743">
        <v>0.68</v>
      </c>
      <c r="D743">
        <v>0.80920000000000003</v>
      </c>
      <c r="E743">
        <v>878753679</v>
      </c>
      <c r="F743">
        <v>160</v>
      </c>
    </row>
    <row r="744" spans="1:6" x14ac:dyDescent="0.25">
      <c r="A744">
        <v>-111.974526</v>
      </c>
      <c r="B744">
        <v>33.069043000000001</v>
      </c>
      <c r="C744">
        <v>0.09</v>
      </c>
      <c r="D744">
        <v>0.1071</v>
      </c>
      <c r="E744">
        <v>878753681</v>
      </c>
      <c r="F744">
        <v>160</v>
      </c>
    </row>
    <row r="745" spans="1:6" x14ac:dyDescent="0.25">
      <c r="A745">
        <v>-111.974526</v>
      </c>
      <c r="B745">
        <v>33.069038999999997</v>
      </c>
      <c r="C745">
        <v>5.0000000000000001E-3</v>
      </c>
      <c r="D745">
        <v>5.9500000000000004E-3</v>
      </c>
      <c r="E745">
        <v>878753699</v>
      </c>
      <c r="F745">
        <v>160</v>
      </c>
    </row>
    <row r="746" spans="1:6" x14ac:dyDescent="0.25">
      <c r="A746">
        <v>-111.974526</v>
      </c>
      <c r="B746">
        <v>33.069026999999998</v>
      </c>
      <c r="C746">
        <v>0.55500000000000005</v>
      </c>
      <c r="D746">
        <v>0.66044999999999998</v>
      </c>
      <c r="E746">
        <v>878753703</v>
      </c>
      <c r="F746">
        <v>160</v>
      </c>
    </row>
    <row r="747" spans="1:6" x14ac:dyDescent="0.25">
      <c r="A747">
        <v>-111.974526</v>
      </c>
      <c r="B747">
        <v>33.069020999999999</v>
      </c>
      <c r="C747">
        <v>0.77500000000000002</v>
      </c>
      <c r="D747">
        <v>0.92225000000000001</v>
      </c>
      <c r="E747">
        <v>878753705</v>
      </c>
      <c r="F747">
        <v>160</v>
      </c>
    </row>
    <row r="748" spans="1:6" x14ac:dyDescent="0.25">
      <c r="A748">
        <v>-111.974526</v>
      </c>
      <c r="B748">
        <v>33.069015</v>
      </c>
      <c r="C748">
        <v>1.4450000000000001</v>
      </c>
      <c r="D748">
        <v>1.7195499999999999</v>
      </c>
      <c r="E748">
        <v>878753707</v>
      </c>
      <c r="F748">
        <v>160</v>
      </c>
    </row>
    <row r="749" spans="1:6" x14ac:dyDescent="0.25">
      <c r="A749">
        <v>-111.974526</v>
      </c>
      <c r="B749">
        <v>33.069007999999997</v>
      </c>
      <c r="C749">
        <v>0.86499999999999999</v>
      </c>
      <c r="D749">
        <v>1.02935</v>
      </c>
      <c r="E749">
        <v>878753709</v>
      </c>
      <c r="F749">
        <v>160</v>
      </c>
    </row>
    <row r="750" spans="1:6" x14ac:dyDescent="0.25">
      <c r="A750">
        <v>-111.97452699999999</v>
      </c>
      <c r="B750">
        <v>33.069000000000003</v>
      </c>
      <c r="C750">
        <v>0.875</v>
      </c>
      <c r="D750">
        <v>1.04125</v>
      </c>
      <c r="E750">
        <v>878753711</v>
      </c>
      <c r="F750">
        <v>160</v>
      </c>
    </row>
    <row r="751" spans="1:6" x14ac:dyDescent="0.25">
      <c r="A751">
        <v>-111.97452800000001</v>
      </c>
      <c r="B751">
        <v>33.068992000000001</v>
      </c>
      <c r="C751">
        <v>0.745</v>
      </c>
      <c r="D751">
        <v>0.88654999999999995</v>
      </c>
      <c r="E751">
        <v>878753713</v>
      </c>
      <c r="F751">
        <v>160</v>
      </c>
    </row>
    <row r="752" spans="1:6" x14ac:dyDescent="0.25">
      <c r="A752">
        <v>-111.97452800000001</v>
      </c>
      <c r="B752">
        <v>33.068984999999998</v>
      </c>
      <c r="C752">
        <v>1.625</v>
      </c>
      <c r="D752">
        <v>1.9337500000000001</v>
      </c>
      <c r="E752">
        <v>878753715</v>
      </c>
      <c r="F752">
        <v>160</v>
      </c>
    </row>
    <row r="753" spans="1:6" x14ac:dyDescent="0.25">
      <c r="A753">
        <v>-111.97452800000001</v>
      </c>
      <c r="B753">
        <v>33.068978000000001</v>
      </c>
      <c r="C753">
        <v>1.84</v>
      </c>
      <c r="D753">
        <v>2.1896</v>
      </c>
      <c r="E753">
        <v>878753717</v>
      </c>
      <c r="F753">
        <v>160</v>
      </c>
    </row>
    <row r="754" spans="1:6" x14ac:dyDescent="0.25">
      <c r="A754">
        <v>-111.97452800000001</v>
      </c>
      <c r="B754">
        <v>33.068970999999998</v>
      </c>
      <c r="C754">
        <v>1.6</v>
      </c>
      <c r="D754">
        <v>1.9039999999999999</v>
      </c>
      <c r="E754">
        <v>878753719</v>
      </c>
      <c r="F754">
        <v>160</v>
      </c>
    </row>
    <row r="755" spans="1:6" x14ac:dyDescent="0.25">
      <c r="A755">
        <v>-111.97452800000001</v>
      </c>
      <c r="B755">
        <v>33.068964999999999</v>
      </c>
      <c r="C755">
        <v>0.87</v>
      </c>
      <c r="D755">
        <v>1.0353000000000001</v>
      </c>
      <c r="E755">
        <v>878753721</v>
      </c>
      <c r="F755">
        <v>160</v>
      </c>
    </row>
    <row r="756" spans="1:6" x14ac:dyDescent="0.25">
      <c r="A756">
        <v>-111.97452800000001</v>
      </c>
      <c r="B756">
        <v>33.068958000000002</v>
      </c>
      <c r="C756">
        <v>1.105</v>
      </c>
      <c r="D756">
        <v>1.3149500000000001</v>
      </c>
      <c r="E756">
        <v>878753723</v>
      </c>
      <c r="F756">
        <v>160</v>
      </c>
    </row>
    <row r="757" spans="1:6" x14ac:dyDescent="0.25">
      <c r="A757">
        <v>-111.97452699999999</v>
      </c>
      <c r="B757">
        <v>33.068950999999998</v>
      </c>
      <c r="C757">
        <v>1.9</v>
      </c>
      <c r="D757">
        <v>2.2610000000000001</v>
      </c>
      <c r="E757">
        <v>878753725</v>
      </c>
      <c r="F757">
        <v>160</v>
      </c>
    </row>
    <row r="758" spans="1:6" x14ac:dyDescent="0.25">
      <c r="A758">
        <v>-111.97452699999999</v>
      </c>
      <c r="B758">
        <v>33.068944000000002</v>
      </c>
      <c r="C758">
        <v>1.55</v>
      </c>
      <c r="D758">
        <v>1.8445</v>
      </c>
      <c r="E758">
        <v>878753727</v>
      </c>
      <c r="F758">
        <v>160</v>
      </c>
    </row>
    <row r="759" spans="1:6" x14ac:dyDescent="0.25">
      <c r="A759">
        <v>-111.97452800000001</v>
      </c>
      <c r="B759">
        <v>33.068936000000001</v>
      </c>
      <c r="C759">
        <v>0.81</v>
      </c>
      <c r="D759">
        <v>0.96389999999999998</v>
      </c>
      <c r="E759">
        <v>878753729</v>
      </c>
      <c r="F759">
        <v>160</v>
      </c>
    </row>
    <row r="760" spans="1:6" x14ac:dyDescent="0.25">
      <c r="A760">
        <v>-111.97452800000001</v>
      </c>
      <c r="B760">
        <v>33.068928999999997</v>
      </c>
      <c r="C760">
        <v>0.14000000000000001</v>
      </c>
      <c r="D760">
        <v>0.1666</v>
      </c>
      <c r="E760">
        <v>878753731</v>
      </c>
      <c r="F760">
        <v>160</v>
      </c>
    </row>
    <row r="761" spans="1:6" x14ac:dyDescent="0.25">
      <c r="A761">
        <v>-111.97452699999999</v>
      </c>
      <c r="B761">
        <v>33.068922000000001</v>
      </c>
      <c r="C761">
        <v>4.4999999999999998E-2</v>
      </c>
      <c r="D761">
        <v>5.355E-2</v>
      </c>
      <c r="E761">
        <v>878753733</v>
      </c>
      <c r="F761">
        <v>160</v>
      </c>
    </row>
    <row r="762" spans="1:6" x14ac:dyDescent="0.25">
      <c r="A762">
        <v>-111.97452800000001</v>
      </c>
      <c r="B762">
        <v>33.068914999999997</v>
      </c>
      <c r="C762">
        <v>4.4999999999999998E-2</v>
      </c>
      <c r="D762">
        <v>5.355E-2</v>
      </c>
      <c r="E762">
        <v>878753735</v>
      </c>
      <c r="F762">
        <v>160</v>
      </c>
    </row>
    <row r="763" spans="1:6" x14ac:dyDescent="0.25">
      <c r="A763">
        <v>-111.97452800000001</v>
      </c>
      <c r="B763">
        <v>33.068908</v>
      </c>
      <c r="C763">
        <v>0.04</v>
      </c>
      <c r="D763">
        <v>4.7600000000000003E-2</v>
      </c>
      <c r="E763">
        <v>878753737</v>
      </c>
      <c r="F763">
        <v>160</v>
      </c>
    </row>
    <row r="764" spans="1:6" x14ac:dyDescent="0.25">
      <c r="A764">
        <v>-111.97452699999999</v>
      </c>
      <c r="B764">
        <v>33.068900999999997</v>
      </c>
      <c r="C764">
        <v>5.5E-2</v>
      </c>
      <c r="D764">
        <v>6.5449999999999994E-2</v>
      </c>
      <c r="E764">
        <v>878753739</v>
      </c>
      <c r="F764">
        <v>160</v>
      </c>
    </row>
    <row r="765" spans="1:6" x14ac:dyDescent="0.25">
      <c r="A765">
        <v>-111.97452699999999</v>
      </c>
      <c r="B765">
        <v>33.068893000000003</v>
      </c>
      <c r="C765">
        <v>1.0249999999999999</v>
      </c>
      <c r="D765">
        <v>1.2197499999999999</v>
      </c>
      <c r="E765">
        <v>878753741</v>
      </c>
      <c r="F765">
        <v>160</v>
      </c>
    </row>
    <row r="766" spans="1:6" x14ac:dyDescent="0.25">
      <c r="A766">
        <v>-111.974526</v>
      </c>
      <c r="B766">
        <v>33.068886999999997</v>
      </c>
      <c r="C766">
        <v>1.5</v>
      </c>
      <c r="D766">
        <v>1.7849999999999999</v>
      </c>
      <c r="E766">
        <v>878753743</v>
      </c>
      <c r="F766">
        <v>160</v>
      </c>
    </row>
    <row r="767" spans="1:6" x14ac:dyDescent="0.25">
      <c r="A767">
        <v>-111.97452699999999</v>
      </c>
      <c r="B767">
        <v>33.06888</v>
      </c>
      <c r="C767">
        <v>1.4</v>
      </c>
      <c r="D767">
        <v>1.6659999999999999</v>
      </c>
      <c r="E767">
        <v>878753745</v>
      </c>
      <c r="F767">
        <v>160</v>
      </c>
    </row>
    <row r="768" spans="1:6" x14ac:dyDescent="0.25">
      <c r="A768">
        <v>-111.974526</v>
      </c>
      <c r="B768">
        <v>33.068873000000004</v>
      </c>
      <c r="C768">
        <v>1.99</v>
      </c>
      <c r="D768">
        <v>2.3681000000000001</v>
      </c>
      <c r="E768">
        <v>878753747</v>
      </c>
      <c r="F768">
        <v>160</v>
      </c>
    </row>
    <row r="769" spans="1:6" x14ac:dyDescent="0.25">
      <c r="A769">
        <v>-111.974526</v>
      </c>
      <c r="B769">
        <v>33.068865000000002</v>
      </c>
      <c r="C769">
        <v>0.76</v>
      </c>
      <c r="D769">
        <v>0.90439999999999998</v>
      </c>
      <c r="E769">
        <v>878753749</v>
      </c>
      <c r="F769">
        <v>160</v>
      </c>
    </row>
    <row r="770" spans="1:6" x14ac:dyDescent="0.25">
      <c r="A770">
        <v>-111.97452699999999</v>
      </c>
      <c r="B770">
        <v>33.068857999999999</v>
      </c>
      <c r="C770">
        <v>2.5000000000000001E-2</v>
      </c>
      <c r="D770">
        <v>2.9749999999999999E-2</v>
      </c>
      <c r="E770">
        <v>878753751</v>
      </c>
      <c r="F770">
        <v>160</v>
      </c>
    </row>
    <row r="771" spans="1:6" x14ac:dyDescent="0.25">
      <c r="A771">
        <v>-111.97452699999999</v>
      </c>
      <c r="B771">
        <v>33.068851000000002</v>
      </c>
      <c r="C771">
        <v>5.0000000000000001E-3</v>
      </c>
      <c r="D771">
        <v>5.9500000000000004E-3</v>
      </c>
      <c r="E771">
        <v>878753753</v>
      </c>
      <c r="F771">
        <v>160</v>
      </c>
    </row>
    <row r="772" spans="1:6" x14ac:dyDescent="0.25">
      <c r="A772">
        <v>-111.97452800000001</v>
      </c>
      <c r="B772">
        <v>33.068815000000001</v>
      </c>
      <c r="C772">
        <v>0.61499999999999999</v>
      </c>
      <c r="D772">
        <v>0.73185</v>
      </c>
      <c r="E772">
        <v>878753763</v>
      </c>
      <c r="F772">
        <v>160</v>
      </c>
    </row>
    <row r="773" spans="1:6" x14ac:dyDescent="0.25">
      <c r="A773">
        <v>-111.97452800000001</v>
      </c>
      <c r="B773">
        <v>33.068807</v>
      </c>
      <c r="C773">
        <v>0.53500000000000003</v>
      </c>
      <c r="D773">
        <v>0.63665000000000005</v>
      </c>
      <c r="E773">
        <v>878753765</v>
      </c>
      <c r="F773">
        <v>160</v>
      </c>
    </row>
    <row r="774" spans="1:6" x14ac:dyDescent="0.25">
      <c r="A774">
        <v>-111.97452800000001</v>
      </c>
      <c r="B774">
        <v>33.068801000000001</v>
      </c>
      <c r="C774">
        <v>0.38</v>
      </c>
      <c r="D774">
        <v>0.45219999999999999</v>
      </c>
      <c r="E774">
        <v>878753767</v>
      </c>
      <c r="F774">
        <v>160</v>
      </c>
    </row>
    <row r="775" spans="1:6" x14ac:dyDescent="0.25">
      <c r="A775">
        <v>-111.97452800000001</v>
      </c>
      <c r="B775">
        <v>33.068792999999999</v>
      </c>
      <c r="C775">
        <v>0.68500000000000005</v>
      </c>
      <c r="D775">
        <v>0.81515000000000004</v>
      </c>
      <c r="E775">
        <v>878753769</v>
      </c>
      <c r="F775">
        <v>160</v>
      </c>
    </row>
    <row r="776" spans="1:6" x14ac:dyDescent="0.25">
      <c r="A776">
        <v>-111.97452699999999</v>
      </c>
      <c r="B776">
        <v>33.068784999999998</v>
      </c>
      <c r="C776">
        <v>1.05</v>
      </c>
      <c r="D776">
        <v>1.2495000000000001</v>
      </c>
      <c r="E776">
        <v>878753771</v>
      </c>
      <c r="F776">
        <v>160</v>
      </c>
    </row>
    <row r="777" spans="1:6" x14ac:dyDescent="0.25">
      <c r="A777">
        <v>-111.97452800000001</v>
      </c>
      <c r="B777">
        <v>33.068776999999997</v>
      </c>
      <c r="C777">
        <v>0.68500000000000005</v>
      </c>
      <c r="D777">
        <v>0.81515000000000004</v>
      </c>
      <c r="E777">
        <v>878753773</v>
      </c>
      <c r="F777">
        <v>160</v>
      </c>
    </row>
    <row r="778" spans="1:6" x14ac:dyDescent="0.25">
      <c r="A778">
        <v>-111.97452800000001</v>
      </c>
      <c r="B778">
        <v>33.068770000000001</v>
      </c>
      <c r="C778">
        <v>1.1599999999999999</v>
      </c>
      <c r="D778">
        <v>1.3804000000000001</v>
      </c>
      <c r="E778">
        <v>878753775</v>
      </c>
      <c r="F778">
        <v>160</v>
      </c>
    </row>
    <row r="779" spans="1:6" x14ac:dyDescent="0.25">
      <c r="A779">
        <v>-111.97452800000001</v>
      </c>
      <c r="B779">
        <v>33.068762999999997</v>
      </c>
      <c r="C779">
        <v>2.0150000000000001</v>
      </c>
      <c r="D779">
        <v>2.39785</v>
      </c>
      <c r="E779">
        <v>878753777</v>
      </c>
      <c r="F779">
        <v>160</v>
      </c>
    </row>
    <row r="780" spans="1:6" x14ac:dyDescent="0.25">
      <c r="A780">
        <v>-111.97452800000001</v>
      </c>
      <c r="B780">
        <v>33.068755000000003</v>
      </c>
      <c r="C780">
        <v>1.9650000000000001</v>
      </c>
      <c r="D780">
        <v>2.3383500000000002</v>
      </c>
      <c r="E780">
        <v>878753779</v>
      </c>
      <c r="F780">
        <v>160</v>
      </c>
    </row>
    <row r="781" spans="1:6" x14ac:dyDescent="0.25">
      <c r="A781">
        <v>-111.97452800000001</v>
      </c>
      <c r="B781">
        <v>33.068748999999997</v>
      </c>
      <c r="C781">
        <v>1.5449999999999999</v>
      </c>
      <c r="D781">
        <v>1.8385499999999999</v>
      </c>
      <c r="E781">
        <v>878753781</v>
      </c>
      <c r="F781">
        <v>160</v>
      </c>
    </row>
    <row r="782" spans="1:6" x14ac:dyDescent="0.25">
      <c r="A782">
        <v>-111.974529</v>
      </c>
      <c r="B782">
        <v>33.068741000000003</v>
      </c>
      <c r="C782">
        <v>2.125</v>
      </c>
      <c r="D782">
        <v>2.5287500000000001</v>
      </c>
      <c r="E782">
        <v>878753783</v>
      </c>
      <c r="F782">
        <v>160</v>
      </c>
    </row>
    <row r="783" spans="1:6" x14ac:dyDescent="0.25">
      <c r="A783">
        <v>-111.974529</v>
      </c>
      <c r="B783">
        <v>33.068733000000002</v>
      </c>
      <c r="C783">
        <v>1.77</v>
      </c>
      <c r="D783">
        <v>2.1063000000000001</v>
      </c>
      <c r="E783">
        <v>878753785</v>
      </c>
      <c r="F783">
        <v>160</v>
      </c>
    </row>
    <row r="784" spans="1:6" x14ac:dyDescent="0.25">
      <c r="A784">
        <v>-111.974529</v>
      </c>
      <c r="B784">
        <v>33.068727000000003</v>
      </c>
      <c r="C784">
        <v>1.79</v>
      </c>
      <c r="D784">
        <v>2.1301000000000001</v>
      </c>
      <c r="E784">
        <v>878753787</v>
      </c>
      <c r="F784">
        <v>160</v>
      </c>
    </row>
    <row r="785" spans="1:6" x14ac:dyDescent="0.25">
      <c r="A785">
        <v>-111.97452800000001</v>
      </c>
      <c r="B785">
        <v>33.068719999999999</v>
      </c>
      <c r="C785">
        <v>1.7949999999999999</v>
      </c>
      <c r="D785">
        <v>2.13605</v>
      </c>
      <c r="E785">
        <v>878753789</v>
      </c>
      <c r="F785">
        <v>160</v>
      </c>
    </row>
    <row r="786" spans="1:6" x14ac:dyDescent="0.25">
      <c r="A786">
        <v>-111.97452800000001</v>
      </c>
      <c r="B786">
        <v>33.068713000000002</v>
      </c>
      <c r="C786">
        <v>1.7649999999999999</v>
      </c>
      <c r="D786">
        <v>2.1003500000000002</v>
      </c>
      <c r="E786">
        <v>878753791</v>
      </c>
      <c r="F786">
        <v>160</v>
      </c>
    </row>
    <row r="787" spans="1:6" x14ac:dyDescent="0.25">
      <c r="A787">
        <v>-111.97452800000001</v>
      </c>
      <c r="B787">
        <v>33.068705999999999</v>
      </c>
      <c r="C787">
        <v>1.72</v>
      </c>
      <c r="D787">
        <v>2.0468000000000002</v>
      </c>
      <c r="E787">
        <v>878753793</v>
      </c>
      <c r="F787">
        <v>160</v>
      </c>
    </row>
    <row r="788" spans="1:6" x14ac:dyDescent="0.25">
      <c r="A788">
        <v>-111.97452800000001</v>
      </c>
      <c r="B788">
        <v>33.068699000000002</v>
      </c>
      <c r="C788">
        <v>1.585</v>
      </c>
      <c r="D788">
        <v>1.88615</v>
      </c>
      <c r="E788">
        <v>878753795</v>
      </c>
      <c r="F788">
        <v>160</v>
      </c>
    </row>
    <row r="789" spans="1:6" x14ac:dyDescent="0.25">
      <c r="A789">
        <v>-111.97452800000001</v>
      </c>
      <c r="B789">
        <v>33.068691000000001</v>
      </c>
      <c r="C789">
        <v>1.405</v>
      </c>
      <c r="D789">
        <v>1.67195</v>
      </c>
      <c r="E789">
        <v>878753797</v>
      </c>
      <c r="F789">
        <v>160</v>
      </c>
    </row>
    <row r="790" spans="1:6" x14ac:dyDescent="0.25">
      <c r="A790">
        <v>-111.97452800000001</v>
      </c>
      <c r="B790">
        <v>33.068683999999998</v>
      </c>
      <c r="C790">
        <v>0.46</v>
      </c>
      <c r="D790">
        <v>0.5474</v>
      </c>
      <c r="E790">
        <v>878753799</v>
      </c>
      <c r="F790">
        <v>160</v>
      </c>
    </row>
    <row r="791" spans="1:6" x14ac:dyDescent="0.25">
      <c r="A791">
        <v>-111.97452800000001</v>
      </c>
      <c r="B791">
        <v>33.068677000000001</v>
      </c>
      <c r="C791">
        <v>0.14499999999999999</v>
      </c>
      <c r="D791">
        <v>0.17255000000000001</v>
      </c>
      <c r="E791">
        <v>878753801</v>
      </c>
      <c r="F791">
        <v>160</v>
      </c>
    </row>
    <row r="792" spans="1:6" x14ac:dyDescent="0.25">
      <c r="A792">
        <v>-111.97452800000001</v>
      </c>
      <c r="B792">
        <v>33.068669</v>
      </c>
      <c r="C792">
        <v>0.125</v>
      </c>
      <c r="D792">
        <v>0.14874999999999999</v>
      </c>
      <c r="E792">
        <v>878753803</v>
      </c>
      <c r="F792">
        <v>160</v>
      </c>
    </row>
    <row r="793" spans="1:6" x14ac:dyDescent="0.25">
      <c r="A793">
        <v>-111.97452800000001</v>
      </c>
      <c r="B793">
        <v>33.068662000000003</v>
      </c>
      <c r="C793">
        <v>0.15</v>
      </c>
      <c r="D793">
        <v>0.17849999999999999</v>
      </c>
      <c r="E793">
        <v>878753805</v>
      </c>
      <c r="F793">
        <v>160</v>
      </c>
    </row>
    <row r="794" spans="1:6" x14ac:dyDescent="0.25">
      <c r="A794">
        <v>-111.97452800000001</v>
      </c>
      <c r="B794">
        <v>33.068655</v>
      </c>
      <c r="C794">
        <v>0.15</v>
      </c>
      <c r="D794">
        <v>0.17849999999999999</v>
      </c>
      <c r="E794">
        <v>878753807</v>
      </c>
      <c r="F794">
        <v>160</v>
      </c>
    </row>
    <row r="795" spans="1:6" x14ac:dyDescent="0.25">
      <c r="A795">
        <v>-111.97452800000001</v>
      </c>
      <c r="B795">
        <v>33.068648000000003</v>
      </c>
      <c r="C795">
        <v>0.95499999999999996</v>
      </c>
      <c r="D795">
        <v>1.13645</v>
      </c>
      <c r="E795">
        <v>878753809</v>
      </c>
      <c r="F795">
        <v>160</v>
      </c>
    </row>
    <row r="796" spans="1:6" x14ac:dyDescent="0.25">
      <c r="A796">
        <v>-111.974529</v>
      </c>
      <c r="B796">
        <v>33.068641</v>
      </c>
      <c r="C796">
        <v>1.66</v>
      </c>
      <c r="D796">
        <v>1.9754</v>
      </c>
      <c r="E796">
        <v>878753811</v>
      </c>
      <c r="F796">
        <v>160</v>
      </c>
    </row>
    <row r="797" spans="1:6" x14ac:dyDescent="0.25">
      <c r="A797">
        <v>-111.974529</v>
      </c>
      <c r="B797">
        <v>33.068635</v>
      </c>
      <c r="C797">
        <v>1.55</v>
      </c>
      <c r="D797">
        <v>1.8445</v>
      </c>
      <c r="E797">
        <v>878753813</v>
      </c>
      <c r="F797">
        <v>160</v>
      </c>
    </row>
    <row r="798" spans="1:6" x14ac:dyDescent="0.25">
      <c r="A798">
        <v>-111.974529</v>
      </c>
      <c r="B798">
        <v>33.068626999999999</v>
      </c>
      <c r="C798">
        <v>1.325</v>
      </c>
      <c r="D798">
        <v>1.5767500000000001</v>
      </c>
      <c r="E798">
        <v>878753815</v>
      </c>
      <c r="F798">
        <v>160</v>
      </c>
    </row>
    <row r="799" spans="1:6" x14ac:dyDescent="0.25">
      <c r="A799">
        <v>-111.974529</v>
      </c>
      <c r="B799">
        <v>33.068621999999998</v>
      </c>
      <c r="C799">
        <v>0.96499999999999997</v>
      </c>
      <c r="D799">
        <v>1.14835</v>
      </c>
      <c r="E799">
        <v>878753817</v>
      </c>
      <c r="F799">
        <v>160</v>
      </c>
    </row>
    <row r="800" spans="1:6" x14ac:dyDescent="0.25">
      <c r="A800">
        <v>-111.97452800000001</v>
      </c>
      <c r="B800">
        <v>33.068621999999998</v>
      </c>
      <c r="C800">
        <v>0.01</v>
      </c>
      <c r="D800">
        <v>1.1900000000000001E-2</v>
      </c>
      <c r="E800">
        <v>878753819</v>
      </c>
      <c r="F800">
        <v>160</v>
      </c>
    </row>
    <row r="801" spans="1:6" x14ac:dyDescent="0.25">
      <c r="A801">
        <v>-111.974529</v>
      </c>
      <c r="B801">
        <v>33.068621</v>
      </c>
      <c r="C801">
        <v>1.4999999999999999E-2</v>
      </c>
      <c r="D801">
        <v>1.7850000000000001E-2</v>
      </c>
      <c r="E801">
        <v>878753825</v>
      </c>
      <c r="F801">
        <v>160</v>
      </c>
    </row>
    <row r="802" spans="1:6" x14ac:dyDescent="0.25">
      <c r="A802">
        <v>-111.97452800000001</v>
      </c>
      <c r="B802">
        <v>33.068613999999997</v>
      </c>
      <c r="C802">
        <v>7.4999999999999997E-2</v>
      </c>
      <c r="D802">
        <v>8.9249999999999996E-2</v>
      </c>
      <c r="E802">
        <v>878753827</v>
      </c>
      <c r="F802">
        <v>160</v>
      </c>
    </row>
    <row r="803" spans="1:6" x14ac:dyDescent="0.25">
      <c r="A803">
        <v>-111.97452699999999</v>
      </c>
      <c r="B803">
        <v>33.068607</v>
      </c>
      <c r="C803">
        <v>8.5000000000000006E-2</v>
      </c>
      <c r="D803">
        <v>0.10115</v>
      </c>
      <c r="E803">
        <v>878753829</v>
      </c>
      <c r="F803">
        <v>160</v>
      </c>
    </row>
    <row r="804" spans="1:6" x14ac:dyDescent="0.25">
      <c r="A804">
        <v>-111.97452699999999</v>
      </c>
      <c r="B804">
        <v>33.068598999999999</v>
      </c>
      <c r="C804">
        <v>0.89500000000000002</v>
      </c>
      <c r="D804">
        <v>1.0650500000000001</v>
      </c>
      <c r="E804">
        <v>878753831</v>
      </c>
      <c r="F804">
        <v>160</v>
      </c>
    </row>
    <row r="805" spans="1:6" x14ac:dyDescent="0.25">
      <c r="A805">
        <v>-111.97452800000001</v>
      </c>
      <c r="B805">
        <v>33.068592000000002</v>
      </c>
      <c r="C805">
        <v>1.5549999999999999</v>
      </c>
      <c r="D805">
        <v>1.8504499999999999</v>
      </c>
      <c r="E805">
        <v>878753833</v>
      </c>
      <c r="F805">
        <v>160</v>
      </c>
    </row>
    <row r="806" spans="1:6" x14ac:dyDescent="0.25">
      <c r="A806">
        <v>-111.97452800000001</v>
      </c>
      <c r="B806">
        <v>33.068584000000001</v>
      </c>
      <c r="C806">
        <v>2.5099999999999998</v>
      </c>
      <c r="D806">
        <v>2.9868999999999999</v>
      </c>
      <c r="E806">
        <v>878753835</v>
      </c>
      <c r="F806">
        <v>160</v>
      </c>
    </row>
    <row r="807" spans="1:6" x14ac:dyDescent="0.25">
      <c r="A807">
        <v>-111.974529</v>
      </c>
      <c r="B807">
        <v>33.068576999999998</v>
      </c>
      <c r="C807">
        <v>1.855</v>
      </c>
      <c r="D807">
        <v>2.2074500000000001</v>
      </c>
      <c r="E807">
        <v>878753837</v>
      </c>
      <c r="F807">
        <v>160</v>
      </c>
    </row>
    <row r="808" spans="1:6" x14ac:dyDescent="0.25">
      <c r="A808">
        <v>-111.97452800000001</v>
      </c>
      <c r="B808">
        <v>33.068568999999997</v>
      </c>
      <c r="C808">
        <v>1.37</v>
      </c>
      <c r="D808">
        <v>1.6303000000000001</v>
      </c>
      <c r="E808">
        <v>878753839</v>
      </c>
      <c r="F808">
        <v>160</v>
      </c>
    </row>
    <row r="809" spans="1:6" x14ac:dyDescent="0.25">
      <c r="A809">
        <v>-111.974529</v>
      </c>
      <c r="B809">
        <v>33.068562</v>
      </c>
      <c r="C809">
        <v>1.6</v>
      </c>
      <c r="D809">
        <v>1.9039999999999999</v>
      </c>
      <c r="E809">
        <v>878753841</v>
      </c>
      <c r="F809">
        <v>160</v>
      </c>
    </row>
    <row r="810" spans="1:6" x14ac:dyDescent="0.25">
      <c r="A810">
        <v>-111.97452800000001</v>
      </c>
      <c r="B810">
        <v>33.068555000000003</v>
      </c>
      <c r="C810">
        <v>1.36</v>
      </c>
      <c r="D810">
        <v>1.6184000000000001</v>
      </c>
      <c r="E810">
        <v>878753843</v>
      </c>
      <c r="F810">
        <v>160</v>
      </c>
    </row>
    <row r="811" spans="1:6" x14ac:dyDescent="0.25">
      <c r="A811">
        <v>-111.97452800000001</v>
      </c>
      <c r="B811">
        <v>33.068545999999998</v>
      </c>
      <c r="C811">
        <v>1.56</v>
      </c>
      <c r="D811">
        <v>1.8564000000000001</v>
      </c>
      <c r="E811">
        <v>878753845</v>
      </c>
      <c r="F811">
        <v>160</v>
      </c>
    </row>
    <row r="812" spans="1:6" x14ac:dyDescent="0.25">
      <c r="A812">
        <v>-111.97452800000001</v>
      </c>
      <c r="B812">
        <v>33.068539000000001</v>
      </c>
      <c r="C812">
        <v>0.98499999999999999</v>
      </c>
      <c r="D812">
        <v>1.17215</v>
      </c>
      <c r="E812">
        <v>878753847</v>
      </c>
      <c r="F812">
        <v>160</v>
      </c>
    </row>
    <row r="813" spans="1:6" x14ac:dyDescent="0.25">
      <c r="A813">
        <v>-111.97452800000001</v>
      </c>
      <c r="B813">
        <v>33.068531999999998</v>
      </c>
      <c r="C813">
        <v>0.79500000000000004</v>
      </c>
      <c r="D813">
        <v>0.94604999999999995</v>
      </c>
      <c r="E813">
        <v>878753849</v>
      </c>
      <c r="F813">
        <v>160</v>
      </c>
    </row>
    <row r="814" spans="1:6" x14ac:dyDescent="0.25">
      <c r="A814">
        <v>-111.97452800000001</v>
      </c>
      <c r="B814">
        <v>33.068525000000001</v>
      </c>
      <c r="C814">
        <v>0.82499999999999996</v>
      </c>
      <c r="D814">
        <v>0.98175000000000001</v>
      </c>
      <c r="E814">
        <v>878753851</v>
      </c>
      <c r="F814">
        <v>160</v>
      </c>
    </row>
    <row r="815" spans="1:6" x14ac:dyDescent="0.25">
      <c r="A815">
        <v>-111.97452800000001</v>
      </c>
      <c r="B815">
        <v>33.068517</v>
      </c>
      <c r="C815">
        <v>5.5E-2</v>
      </c>
      <c r="D815">
        <v>6.5449999999999994E-2</v>
      </c>
      <c r="E815">
        <v>878753853</v>
      </c>
      <c r="F815">
        <v>160</v>
      </c>
    </row>
    <row r="816" spans="1:6" x14ac:dyDescent="0.25">
      <c r="A816">
        <v>-111.974529</v>
      </c>
      <c r="B816">
        <v>33.068510000000003</v>
      </c>
      <c r="C816">
        <v>4.4999999999999998E-2</v>
      </c>
      <c r="D816">
        <v>5.355E-2</v>
      </c>
      <c r="E816">
        <v>878753855</v>
      </c>
      <c r="F816">
        <v>160</v>
      </c>
    </row>
    <row r="817" spans="1:6" x14ac:dyDescent="0.25">
      <c r="A817">
        <v>-111.97452800000001</v>
      </c>
      <c r="B817">
        <v>33.068502000000002</v>
      </c>
      <c r="C817">
        <v>0.03</v>
      </c>
      <c r="D817">
        <v>3.5700000000000003E-2</v>
      </c>
      <c r="E817">
        <v>878753857</v>
      </c>
      <c r="F817">
        <v>160</v>
      </c>
    </row>
    <row r="818" spans="1:6" x14ac:dyDescent="0.25">
      <c r="A818">
        <v>-111.97452800000001</v>
      </c>
      <c r="B818">
        <v>33.068494000000001</v>
      </c>
      <c r="C818">
        <v>0.05</v>
      </c>
      <c r="D818">
        <v>5.9499999999999997E-2</v>
      </c>
      <c r="E818">
        <v>878753859</v>
      </c>
      <c r="F818">
        <v>160</v>
      </c>
    </row>
    <row r="819" spans="1:6" x14ac:dyDescent="0.25">
      <c r="A819">
        <v>-111.974529</v>
      </c>
      <c r="B819">
        <v>33.068486</v>
      </c>
      <c r="C819">
        <v>0.09</v>
      </c>
      <c r="D819">
        <v>0.1071</v>
      </c>
      <c r="E819">
        <v>878753861</v>
      </c>
      <c r="F819">
        <v>160</v>
      </c>
    </row>
    <row r="820" spans="1:6" x14ac:dyDescent="0.25">
      <c r="A820">
        <v>-111.974529</v>
      </c>
      <c r="B820">
        <v>33.068479000000004</v>
      </c>
      <c r="C820">
        <v>0.98499999999999999</v>
      </c>
      <c r="D820">
        <v>1.17215</v>
      </c>
      <c r="E820">
        <v>878753863</v>
      </c>
      <c r="F820">
        <v>160</v>
      </c>
    </row>
    <row r="821" spans="1:6" x14ac:dyDescent="0.25">
      <c r="A821">
        <v>-111.974529</v>
      </c>
      <c r="B821">
        <v>33.068471000000002</v>
      </c>
      <c r="C821">
        <v>1.32</v>
      </c>
      <c r="D821">
        <v>1.5708</v>
      </c>
      <c r="E821">
        <v>878753865</v>
      </c>
      <c r="F821">
        <v>160</v>
      </c>
    </row>
    <row r="822" spans="1:6" x14ac:dyDescent="0.25">
      <c r="A822">
        <v>-111.974529</v>
      </c>
      <c r="B822">
        <v>33.068466000000001</v>
      </c>
      <c r="C822">
        <v>1.585</v>
      </c>
      <c r="D822">
        <v>1.88615</v>
      </c>
      <c r="E822">
        <v>878753867</v>
      </c>
      <c r="F822">
        <v>160</v>
      </c>
    </row>
    <row r="823" spans="1:6" x14ac:dyDescent="0.25">
      <c r="A823">
        <v>-111.974529</v>
      </c>
      <c r="B823">
        <v>33.068457000000002</v>
      </c>
      <c r="C823">
        <v>1.1000000000000001</v>
      </c>
      <c r="D823">
        <v>1.3089999999999999</v>
      </c>
      <c r="E823">
        <v>878753869</v>
      </c>
      <c r="F823">
        <v>160</v>
      </c>
    </row>
    <row r="824" spans="1:6" x14ac:dyDescent="0.25">
      <c r="A824">
        <v>-111.974529</v>
      </c>
      <c r="B824">
        <v>33.068449000000001</v>
      </c>
      <c r="C824">
        <v>0.05</v>
      </c>
      <c r="D824">
        <v>5.9499999999999997E-2</v>
      </c>
      <c r="E824">
        <v>878753871</v>
      </c>
      <c r="F824">
        <v>160</v>
      </c>
    </row>
    <row r="825" spans="1:6" x14ac:dyDescent="0.25">
      <c r="A825">
        <v>-111.974529</v>
      </c>
      <c r="B825">
        <v>33.068441</v>
      </c>
      <c r="C825">
        <v>0.01</v>
      </c>
      <c r="D825">
        <v>1.1900000000000001E-2</v>
      </c>
      <c r="E825">
        <v>878753873</v>
      </c>
      <c r="F825">
        <v>160</v>
      </c>
    </row>
    <row r="826" spans="1:6" x14ac:dyDescent="0.25">
      <c r="A826">
        <v>-111.97452800000001</v>
      </c>
      <c r="B826">
        <v>33.068434000000003</v>
      </c>
      <c r="C826">
        <v>0.01</v>
      </c>
      <c r="D826">
        <v>1.1900000000000001E-2</v>
      </c>
      <c r="E826">
        <v>878753875</v>
      </c>
      <c r="F826">
        <v>160</v>
      </c>
    </row>
    <row r="827" spans="1:6" x14ac:dyDescent="0.25">
      <c r="A827">
        <v>-111.97452800000001</v>
      </c>
      <c r="B827">
        <v>33.068426000000002</v>
      </c>
      <c r="C827">
        <v>5.0000000000000001E-3</v>
      </c>
      <c r="D827">
        <v>5.9500000000000004E-3</v>
      </c>
      <c r="E827">
        <v>878753877</v>
      </c>
      <c r="F827">
        <v>160</v>
      </c>
    </row>
    <row r="828" spans="1:6" x14ac:dyDescent="0.25">
      <c r="A828">
        <v>-111.97452800000001</v>
      </c>
      <c r="B828">
        <v>33.068418000000001</v>
      </c>
      <c r="C828">
        <v>5.0000000000000001E-3</v>
      </c>
      <c r="D828">
        <v>5.9500000000000004E-3</v>
      </c>
      <c r="E828">
        <v>878753879</v>
      </c>
      <c r="F828">
        <v>160</v>
      </c>
    </row>
    <row r="829" spans="1:6" x14ac:dyDescent="0.25">
      <c r="A829">
        <v>-111.97452800000001</v>
      </c>
      <c r="B829">
        <v>33.068403000000004</v>
      </c>
      <c r="C829">
        <v>5.0000000000000001E-3</v>
      </c>
      <c r="D829">
        <v>5.9500000000000004E-3</v>
      </c>
      <c r="E829">
        <v>878753883</v>
      </c>
      <c r="F829">
        <v>160</v>
      </c>
    </row>
    <row r="830" spans="1:6" x14ac:dyDescent="0.25">
      <c r="A830">
        <v>-111.974529</v>
      </c>
      <c r="B830">
        <v>33.068395000000002</v>
      </c>
      <c r="C830">
        <v>0.06</v>
      </c>
      <c r="D830">
        <v>7.1400000000000005E-2</v>
      </c>
      <c r="E830">
        <v>878753885</v>
      </c>
      <c r="F830">
        <v>160</v>
      </c>
    </row>
    <row r="831" spans="1:6" x14ac:dyDescent="0.25">
      <c r="A831">
        <v>-111.974529</v>
      </c>
      <c r="B831">
        <v>33.068387999999999</v>
      </c>
      <c r="C831">
        <v>5.0000000000000001E-3</v>
      </c>
      <c r="D831">
        <v>5.9500000000000004E-3</v>
      </c>
      <c r="E831">
        <v>878753887</v>
      </c>
      <c r="F831">
        <v>160</v>
      </c>
    </row>
    <row r="832" spans="1:6" x14ac:dyDescent="0.25">
      <c r="A832">
        <v>-111.97453</v>
      </c>
      <c r="B832">
        <v>33.068379999999998</v>
      </c>
      <c r="C832">
        <v>3.5000000000000003E-2</v>
      </c>
      <c r="D832">
        <v>4.165E-2</v>
      </c>
      <c r="E832">
        <v>878753889</v>
      </c>
      <c r="F832">
        <v>160</v>
      </c>
    </row>
    <row r="833" spans="1:6" x14ac:dyDescent="0.25">
      <c r="A833">
        <v>-111.974529</v>
      </c>
      <c r="B833">
        <v>33.068370999999999</v>
      </c>
      <c r="C833">
        <v>0.76</v>
      </c>
      <c r="D833">
        <v>0.90439999999999998</v>
      </c>
      <c r="E833">
        <v>878753891</v>
      </c>
      <c r="F833">
        <v>160</v>
      </c>
    </row>
    <row r="834" spans="1:6" x14ac:dyDescent="0.25">
      <c r="A834">
        <v>-111.97453</v>
      </c>
      <c r="B834">
        <v>33.068365</v>
      </c>
      <c r="C834">
        <v>0.27500000000000002</v>
      </c>
      <c r="D834">
        <v>0.32724999999999999</v>
      </c>
      <c r="E834">
        <v>878753893</v>
      </c>
      <c r="F834">
        <v>160</v>
      </c>
    </row>
    <row r="835" spans="1:6" x14ac:dyDescent="0.25">
      <c r="A835">
        <v>-111.97453</v>
      </c>
      <c r="B835">
        <v>33.068356000000001</v>
      </c>
      <c r="C835">
        <v>1.26</v>
      </c>
      <c r="D835">
        <v>1.4994000000000001</v>
      </c>
      <c r="E835">
        <v>878753895</v>
      </c>
      <c r="F835">
        <v>160</v>
      </c>
    </row>
    <row r="836" spans="1:6" x14ac:dyDescent="0.25">
      <c r="A836">
        <v>-111.974529</v>
      </c>
      <c r="B836">
        <v>33.068348999999998</v>
      </c>
      <c r="C836">
        <v>1.89</v>
      </c>
      <c r="D836">
        <v>2.2490999999999999</v>
      </c>
      <c r="E836">
        <v>878753897</v>
      </c>
      <c r="F836">
        <v>160</v>
      </c>
    </row>
    <row r="837" spans="1:6" x14ac:dyDescent="0.25">
      <c r="A837">
        <v>-111.97452800000001</v>
      </c>
      <c r="B837">
        <v>33.068342000000001</v>
      </c>
      <c r="C837">
        <v>1.365</v>
      </c>
      <c r="D837">
        <v>1.62435</v>
      </c>
      <c r="E837">
        <v>878753899</v>
      </c>
      <c r="F837">
        <v>160</v>
      </c>
    </row>
    <row r="838" spans="1:6" x14ac:dyDescent="0.25">
      <c r="A838">
        <v>-111.97452800000001</v>
      </c>
      <c r="B838">
        <v>33.068334999999998</v>
      </c>
      <c r="C838">
        <v>1.2949999999999999</v>
      </c>
      <c r="D838">
        <v>1.54105</v>
      </c>
      <c r="E838">
        <v>878753901</v>
      </c>
      <c r="F838">
        <v>160</v>
      </c>
    </row>
    <row r="839" spans="1:6" x14ac:dyDescent="0.25">
      <c r="A839">
        <v>-111.97452800000001</v>
      </c>
      <c r="B839">
        <v>33.068326999999996</v>
      </c>
      <c r="C839">
        <v>1.29</v>
      </c>
      <c r="D839">
        <v>1.5350999999999999</v>
      </c>
      <c r="E839">
        <v>878753903</v>
      </c>
      <c r="F839">
        <v>160</v>
      </c>
    </row>
    <row r="840" spans="1:6" x14ac:dyDescent="0.25">
      <c r="A840">
        <v>-111.974529</v>
      </c>
      <c r="B840">
        <v>33.06832</v>
      </c>
      <c r="C840">
        <v>1.21</v>
      </c>
      <c r="D840">
        <v>1.4399</v>
      </c>
      <c r="E840">
        <v>878753905</v>
      </c>
      <c r="F840">
        <v>160</v>
      </c>
    </row>
    <row r="841" spans="1:6" x14ac:dyDescent="0.25">
      <c r="A841">
        <v>-111.974529</v>
      </c>
      <c r="B841">
        <v>33.068313000000003</v>
      </c>
      <c r="C841">
        <v>1.665</v>
      </c>
      <c r="D841">
        <v>1.9813499999999999</v>
      </c>
      <c r="E841">
        <v>878753907</v>
      </c>
      <c r="F841">
        <v>160</v>
      </c>
    </row>
    <row r="842" spans="1:6" x14ac:dyDescent="0.25">
      <c r="A842">
        <v>-111.974529</v>
      </c>
      <c r="B842">
        <v>33.068306</v>
      </c>
      <c r="C842">
        <v>1.645</v>
      </c>
      <c r="D842">
        <v>1.9575499999999999</v>
      </c>
      <c r="E842">
        <v>878753909</v>
      </c>
      <c r="F842">
        <v>160</v>
      </c>
    </row>
    <row r="843" spans="1:6" x14ac:dyDescent="0.25">
      <c r="A843">
        <v>-111.974529</v>
      </c>
      <c r="B843">
        <v>33.068300000000001</v>
      </c>
      <c r="C843">
        <v>1.73</v>
      </c>
      <c r="D843">
        <v>2.0587</v>
      </c>
      <c r="E843">
        <v>878753911</v>
      </c>
      <c r="F843">
        <v>160</v>
      </c>
    </row>
    <row r="844" spans="1:6" x14ac:dyDescent="0.25">
      <c r="A844">
        <v>-111.97452800000001</v>
      </c>
      <c r="B844">
        <v>33.068292999999997</v>
      </c>
      <c r="C844">
        <v>1.3049999999999999</v>
      </c>
      <c r="D844">
        <v>1.5529500000000001</v>
      </c>
      <c r="E844">
        <v>878753913</v>
      </c>
      <c r="F844">
        <v>160</v>
      </c>
    </row>
    <row r="845" spans="1:6" x14ac:dyDescent="0.25">
      <c r="A845">
        <v>-111.97452800000001</v>
      </c>
      <c r="B845">
        <v>33.068283999999998</v>
      </c>
      <c r="C845">
        <v>1.0900000000000001</v>
      </c>
      <c r="D845">
        <v>1.2970999999999999</v>
      </c>
      <c r="E845">
        <v>878753915</v>
      </c>
      <c r="F845">
        <v>160</v>
      </c>
    </row>
    <row r="846" spans="1:6" x14ac:dyDescent="0.25">
      <c r="A846">
        <v>-111.974529</v>
      </c>
      <c r="B846">
        <v>33.068275999999997</v>
      </c>
      <c r="C846">
        <v>0.78500000000000003</v>
      </c>
      <c r="D846">
        <v>0.93415000000000004</v>
      </c>
      <c r="E846">
        <v>878753917</v>
      </c>
      <c r="F846">
        <v>160</v>
      </c>
    </row>
    <row r="847" spans="1:6" x14ac:dyDescent="0.25">
      <c r="A847">
        <v>-111.974529</v>
      </c>
      <c r="B847">
        <v>33.068269999999998</v>
      </c>
      <c r="C847">
        <v>7.0000000000000007E-2</v>
      </c>
      <c r="D847">
        <v>8.3299999999999999E-2</v>
      </c>
      <c r="E847">
        <v>878753919</v>
      </c>
      <c r="F847">
        <v>160</v>
      </c>
    </row>
    <row r="848" spans="1:6" x14ac:dyDescent="0.25">
      <c r="A848">
        <v>-111.974529</v>
      </c>
      <c r="B848">
        <v>33.068261999999997</v>
      </c>
      <c r="C848">
        <v>0.06</v>
      </c>
      <c r="D848">
        <v>7.1400000000000005E-2</v>
      </c>
      <c r="E848">
        <v>878753921</v>
      </c>
      <c r="F848">
        <v>160</v>
      </c>
    </row>
    <row r="849" spans="1:6" x14ac:dyDescent="0.25">
      <c r="A849">
        <v>-111.974529</v>
      </c>
      <c r="B849">
        <v>33.068254000000003</v>
      </c>
      <c r="C849">
        <v>0.06</v>
      </c>
      <c r="D849">
        <v>7.1400000000000005E-2</v>
      </c>
      <c r="E849">
        <v>878753923</v>
      </c>
      <c r="F849">
        <v>160</v>
      </c>
    </row>
    <row r="850" spans="1:6" x14ac:dyDescent="0.25">
      <c r="A850">
        <v>-111.974529</v>
      </c>
      <c r="B850">
        <v>33.068247</v>
      </c>
      <c r="C850">
        <v>0.08</v>
      </c>
      <c r="D850">
        <v>9.5200000000000007E-2</v>
      </c>
      <c r="E850">
        <v>878753925</v>
      </c>
      <c r="F850">
        <v>160</v>
      </c>
    </row>
    <row r="851" spans="1:6" x14ac:dyDescent="0.25">
      <c r="A851">
        <v>-111.974529</v>
      </c>
      <c r="B851">
        <v>33.068240000000003</v>
      </c>
      <c r="C851">
        <v>0.48499999999999999</v>
      </c>
      <c r="D851">
        <v>0.57715000000000005</v>
      </c>
      <c r="E851">
        <v>878753927</v>
      </c>
      <c r="F851">
        <v>160</v>
      </c>
    </row>
    <row r="852" spans="1:6" x14ac:dyDescent="0.25">
      <c r="A852">
        <v>-111.974529</v>
      </c>
      <c r="B852">
        <v>33.068232000000002</v>
      </c>
      <c r="C852">
        <v>1.79</v>
      </c>
      <c r="D852">
        <v>2.1301000000000001</v>
      </c>
      <c r="E852">
        <v>878753929</v>
      </c>
      <c r="F852">
        <v>160</v>
      </c>
    </row>
    <row r="853" spans="1:6" x14ac:dyDescent="0.25">
      <c r="A853">
        <v>-111.974529</v>
      </c>
      <c r="B853">
        <v>33.068224999999998</v>
      </c>
      <c r="C853">
        <v>1.63</v>
      </c>
      <c r="D853">
        <v>1.9397</v>
      </c>
      <c r="E853">
        <v>878753931</v>
      </c>
      <c r="F853">
        <v>160</v>
      </c>
    </row>
    <row r="854" spans="1:6" x14ac:dyDescent="0.25">
      <c r="A854">
        <v>-111.974529</v>
      </c>
      <c r="B854">
        <v>33.068218000000002</v>
      </c>
      <c r="C854">
        <v>1.4650000000000001</v>
      </c>
      <c r="D854">
        <v>1.74335</v>
      </c>
      <c r="E854">
        <v>878753933</v>
      </c>
      <c r="F854">
        <v>160</v>
      </c>
    </row>
    <row r="855" spans="1:6" x14ac:dyDescent="0.25">
      <c r="A855">
        <v>-111.974529</v>
      </c>
      <c r="B855">
        <v>33.068212000000003</v>
      </c>
      <c r="C855">
        <v>0.52500000000000002</v>
      </c>
      <c r="D855">
        <v>0.62475000000000003</v>
      </c>
      <c r="E855">
        <v>878753935</v>
      </c>
      <c r="F855">
        <v>160</v>
      </c>
    </row>
    <row r="856" spans="1:6" x14ac:dyDescent="0.25">
      <c r="A856">
        <v>-111.974529</v>
      </c>
      <c r="B856">
        <v>33.068212000000003</v>
      </c>
      <c r="C856">
        <v>5.0000000000000001E-3</v>
      </c>
      <c r="D856">
        <v>5.9500000000000004E-3</v>
      </c>
      <c r="E856">
        <v>878753937</v>
      </c>
      <c r="F856">
        <v>160</v>
      </c>
    </row>
    <row r="857" spans="1:6" x14ac:dyDescent="0.25">
      <c r="A857">
        <v>-111.97452800000001</v>
      </c>
      <c r="B857">
        <v>33.068207000000001</v>
      </c>
      <c r="C857">
        <v>2.5000000000000001E-2</v>
      </c>
      <c r="D857">
        <v>2.9749999999999999E-2</v>
      </c>
      <c r="E857">
        <v>878753945</v>
      </c>
      <c r="F857">
        <v>160</v>
      </c>
    </row>
    <row r="858" spans="1:6" x14ac:dyDescent="0.25">
      <c r="A858">
        <v>-111.974529</v>
      </c>
      <c r="B858">
        <v>33.068201000000002</v>
      </c>
      <c r="C858">
        <v>4.4999999999999998E-2</v>
      </c>
      <c r="D858">
        <v>5.355E-2</v>
      </c>
      <c r="E858">
        <v>878753947</v>
      </c>
      <c r="F858">
        <v>160</v>
      </c>
    </row>
    <row r="859" spans="1:6" x14ac:dyDescent="0.25">
      <c r="A859">
        <v>-111.974529</v>
      </c>
      <c r="B859">
        <v>33.068193000000001</v>
      </c>
      <c r="C859">
        <v>0.59</v>
      </c>
      <c r="D859">
        <v>0.70209999999999995</v>
      </c>
      <c r="E859">
        <v>878753949</v>
      </c>
      <c r="F859">
        <v>160</v>
      </c>
    </row>
    <row r="860" spans="1:6" x14ac:dyDescent="0.25">
      <c r="A860">
        <v>-111.97452800000001</v>
      </c>
      <c r="B860">
        <v>33.068185999999997</v>
      </c>
      <c r="C860">
        <v>2.0099999999999998</v>
      </c>
      <c r="D860">
        <v>2.3919000000000001</v>
      </c>
      <c r="E860">
        <v>878753951</v>
      </c>
      <c r="F860">
        <v>160</v>
      </c>
    </row>
    <row r="861" spans="1:6" x14ac:dyDescent="0.25">
      <c r="A861">
        <v>-111.97452800000001</v>
      </c>
      <c r="B861">
        <v>33.068178000000003</v>
      </c>
      <c r="C861">
        <v>1.85</v>
      </c>
      <c r="D861">
        <v>2.2014999999999998</v>
      </c>
      <c r="E861">
        <v>878753953</v>
      </c>
      <c r="F861">
        <v>160</v>
      </c>
    </row>
    <row r="862" spans="1:6" x14ac:dyDescent="0.25">
      <c r="A862">
        <v>-111.974529</v>
      </c>
      <c r="B862">
        <v>33.068170000000002</v>
      </c>
      <c r="C862">
        <v>1.34</v>
      </c>
      <c r="D862">
        <v>1.5946</v>
      </c>
      <c r="E862">
        <v>878753955</v>
      </c>
      <c r="F862">
        <v>160</v>
      </c>
    </row>
    <row r="863" spans="1:6" x14ac:dyDescent="0.25">
      <c r="A863">
        <v>-111.974529</v>
      </c>
      <c r="B863">
        <v>33.068162999999998</v>
      </c>
      <c r="C863">
        <v>1.19</v>
      </c>
      <c r="D863">
        <v>1.4160999999999999</v>
      </c>
      <c r="E863">
        <v>878753957</v>
      </c>
      <c r="F863">
        <v>160</v>
      </c>
    </row>
    <row r="864" spans="1:6" x14ac:dyDescent="0.25">
      <c r="A864">
        <v>-111.97453</v>
      </c>
      <c r="B864">
        <v>33.068154999999997</v>
      </c>
      <c r="C864">
        <v>1.0049999999999999</v>
      </c>
      <c r="D864">
        <v>1.1959500000000001</v>
      </c>
      <c r="E864">
        <v>878753959</v>
      </c>
      <c r="F864">
        <v>160</v>
      </c>
    </row>
    <row r="865" spans="1:6" x14ac:dyDescent="0.25">
      <c r="A865">
        <v>-111.97453</v>
      </c>
      <c r="B865">
        <v>33.068147000000003</v>
      </c>
      <c r="C865">
        <v>1.1200000000000001</v>
      </c>
      <c r="D865">
        <v>1.3328</v>
      </c>
      <c r="E865">
        <v>878753961</v>
      </c>
      <c r="F865">
        <v>160</v>
      </c>
    </row>
    <row r="866" spans="1:6" x14ac:dyDescent="0.25">
      <c r="A866">
        <v>-111.97453</v>
      </c>
      <c r="B866">
        <v>33.068139000000002</v>
      </c>
      <c r="C866">
        <v>0.82499999999999996</v>
      </c>
      <c r="D866">
        <v>0.98175000000000001</v>
      </c>
      <c r="E866">
        <v>878753963</v>
      </c>
      <c r="F866">
        <v>160</v>
      </c>
    </row>
    <row r="867" spans="1:6" x14ac:dyDescent="0.25">
      <c r="A867">
        <v>-111.974529</v>
      </c>
      <c r="B867">
        <v>33.068131000000001</v>
      </c>
      <c r="C867">
        <v>1.1100000000000001</v>
      </c>
      <c r="D867">
        <v>1.3209</v>
      </c>
      <c r="E867">
        <v>878753965</v>
      </c>
      <c r="F867">
        <v>160</v>
      </c>
    </row>
    <row r="868" spans="1:6" x14ac:dyDescent="0.25">
      <c r="A868">
        <v>-111.974529</v>
      </c>
      <c r="B868">
        <v>33.068123999999997</v>
      </c>
      <c r="C868">
        <v>1.18</v>
      </c>
      <c r="D868">
        <v>1.4041999999999999</v>
      </c>
      <c r="E868">
        <v>878753967</v>
      </c>
      <c r="F868">
        <v>160</v>
      </c>
    </row>
    <row r="869" spans="1:6" x14ac:dyDescent="0.25">
      <c r="A869">
        <v>-111.97452800000001</v>
      </c>
      <c r="B869">
        <v>33.068116000000003</v>
      </c>
      <c r="C869">
        <v>0.61</v>
      </c>
      <c r="D869">
        <v>0.72589999999999999</v>
      </c>
      <c r="E869">
        <v>878753969</v>
      </c>
      <c r="F869">
        <v>160</v>
      </c>
    </row>
    <row r="870" spans="1:6" x14ac:dyDescent="0.25">
      <c r="A870">
        <v>-111.97452800000001</v>
      </c>
      <c r="B870">
        <v>33.068109</v>
      </c>
      <c r="C870">
        <v>0.245</v>
      </c>
      <c r="D870">
        <v>0.29154999999999998</v>
      </c>
      <c r="E870">
        <v>878753971</v>
      </c>
      <c r="F870">
        <v>160</v>
      </c>
    </row>
    <row r="871" spans="1:6" x14ac:dyDescent="0.25">
      <c r="A871">
        <v>-111.974529</v>
      </c>
      <c r="B871">
        <v>33.068100999999999</v>
      </c>
      <c r="C871">
        <v>2.5000000000000001E-2</v>
      </c>
      <c r="D871">
        <v>2.9749999999999999E-2</v>
      </c>
      <c r="E871">
        <v>878753973</v>
      </c>
      <c r="F871">
        <v>160</v>
      </c>
    </row>
    <row r="872" spans="1:6" x14ac:dyDescent="0.25">
      <c r="A872">
        <v>-111.974529</v>
      </c>
      <c r="B872">
        <v>33.068094000000002</v>
      </c>
      <c r="C872">
        <v>0.02</v>
      </c>
      <c r="D872">
        <v>2.3800000000000002E-2</v>
      </c>
      <c r="E872">
        <v>878753975</v>
      </c>
      <c r="F872">
        <v>160</v>
      </c>
    </row>
    <row r="873" spans="1:6" x14ac:dyDescent="0.25">
      <c r="A873">
        <v>-111.974529</v>
      </c>
      <c r="B873">
        <v>33.068085000000004</v>
      </c>
      <c r="C873">
        <v>0.03</v>
      </c>
      <c r="D873">
        <v>3.5700000000000003E-2</v>
      </c>
      <c r="E873">
        <v>878753977</v>
      </c>
      <c r="F873">
        <v>160</v>
      </c>
    </row>
    <row r="874" spans="1:6" x14ac:dyDescent="0.25">
      <c r="A874">
        <v>-111.974529</v>
      </c>
      <c r="B874">
        <v>33.068077000000002</v>
      </c>
      <c r="C874">
        <v>0.11</v>
      </c>
      <c r="D874">
        <v>0.13089999999999999</v>
      </c>
      <c r="E874">
        <v>878753979</v>
      </c>
      <c r="F874">
        <v>160</v>
      </c>
    </row>
    <row r="875" spans="1:6" x14ac:dyDescent="0.25">
      <c r="A875">
        <v>-111.974529</v>
      </c>
      <c r="B875">
        <v>33.068069999999999</v>
      </c>
      <c r="C875">
        <v>0.71499999999999997</v>
      </c>
      <c r="D875">
        <v>0.85085</v>
      </c>
      <c r="E875">
        <v>878753981</v>
      </c>
      <c r="F875">
        <v>160</v>
      </c>
    </row>
    <row r="876" spans="1:6" x14ac:dyDescent="0.25">
      <c r="A876">
        <v>-111.97452800000001</v>
      </c>
      <c r="B876">
        <v>33.068061999999998</v>
      </c>
      <c r="C876">
        <v>0.95499999999999996</v>
      </c>
      <c r="D876">
        <v>1.13645</v>
      </c>
      <c r="E876">
        <v>878753983</v>
      </c>
      <c r="F876">
        <v>160</v>
      </c>
    </row>
    <row r="877" spans="1:6" x14ac:dyDescent="0.25">
      <c r="A877">
        <v>-111.974529</v>
      </c>
      <c r="B877">
        <v>33.068052999999999</v>
      </c>
      <c r="C877">
        <v>1.26</v>
      </c>
      <c r="D877">
        <v>1.4994000000000001</v>
      </c>
      <c r="E877">
        <v>878753985</v>
      </c>
      <c r="F877">
        <v>160</v>
      </c>
    </row>
    <row r="878" spans="1:6" x14ac:dyDescent="0.25">
      <c r="A878">
        <v>-111.97452800000001</v>
      </c>
      <c r="B878">
        <v>33.068046000000002</v>
      </c>
      <c r="C878">
        <v>1.25</v>
      </c>
      <c r="D878">
        <v>1.4875</v>
      </c>
      <c r="E878">
        <v>878753987</v>
      </c>
      <c r="F878">
        <v>160</v>
      </c>
    </row>
    <row r="879" spans="1:6" x14ac:dyDescent="0.25">
      <c r="A879">
        <v>-111.97452800000001</v>
      </c>
      <c r="B879">
        <v>33.068038999999999</v>
      </c>
      <c r="C879">
        <v>1.33</v>
      </c>
      <c r="D879">
        <v>1.5827</v>
      </c>
      <c r="E879">
        <v>878753989</v>
      </c>
      <c r="F879">
        <v>160</v>
      </c>
    </row>
    <row r="880" spans="1:6" x14ac:dyDescent="0.25">
      <c r="A880">
        <v>-111.97452800000001</v>
      </c>
      <c r="B880">
        <v>33.068033999999997</v>
      </c>
      <c r="C880">
        <v>0.76500000000000001</v>
      </c>
      <c r="D880">
        <v>0.91034999999999999</v>
      </c>
      <c r="E880">
        <v>878753991</v>
      </c>
      <c r="F880">
        <v>160</v>
      </c>
    </row>
    <row r="881" spans="1:6" x14ac:dyDescent="0.25">
      <c r="A881">
        <v>-111.974521</v>
      </c>
      <c r="B881">
        <v>33.068010999999998</v>
      </c>
      <c r="C881">
        <v>5.0000000000000001E-3</v>
      </c>
      <c r="D881">
        <v>5.9500000000000004E-3</v>
      </c>
      <c r="E881">
        <v>878754003</v>
      </c>
      <c r="F881">
        <v>160</v>
      </c>
    </row>
    <row r="882" spans="1:6" x14ac:dyDescent="0.25">
      <c r="A882">
        <v>-111.974512</v>
      </c>
      <c r="B882">
        <v>33.068002</v>
      </c>
      <c r="C882">
        <v>5.0000000000000001E-3</v>
      </c>
      <c r="D882">
        <v>5.9500000000000004E-3</v>
      </c>
      <c r="E882">
        <v>878754005</v>
      </c>
      <c r="F882">
        <v>160</v>
      </c>
    </row>
    <row r="883" spans="1:6" x14ac:dyDescent="0.25">
      <c r="A883">
        <v>-111.97450000000001</v>
      </c>
      <c r="B883">
        <v>33.067996999999998</v>
      </c>
      <c r="C883">
        <v>5.0000000000000001E-3</v>
      </c>
      <c r="D883">
        <v>5.9500000000000004E-3</v>
      </c>
      <c r="E883">
        <v>878754007</v>
      </c>
      <c r="F883">
        <v>160</v>
      </c>
    </row>
    <row r="884" spans="1:6" x14ac:dyDescent="0.25">
      <c r="A884">
        <v>-111.974474</v>
      </c>
      <c r="B884">
        <v>33.067987000000002</v>
      </c>
      <c r="C884">
        <v>0.04</v>
      </c>
      <c r="D884">
        <v>4.7600000000000003E-2</v>
      </c>
      <c r="E884">
        <v>878754011</v>
      </c>
      <c r="F884">
        <v>160</v>
      </c>
    </row>
    <row r="885" spans="1:6" x14ac:dyDescent="0.25">
      <c r="A885">
        <v>-111.974459</v>
      </c>
      <c r="B885">
        <v>33.067982999999998</v>
      </c>
      <c r="C885">
        <v>0.4</v>
      </c>
      <c r="D885">
        <v>0.47599999999999998</v>
      </c>
      <c r="E885">
        <v>878754013</v>
      </c>
      <c r="F885">
        <v>160</v>
      </c>
    </row>
    <row r="886" spans="1:6" x14ac:dyDescent="0.25">
      <c r="A886">
        <v>-111.974441</v>
      </c>
      <c r="B886">
        <v>33.067984000000003</v>
      </c>
      <c r="C886">
        <v>1.35</v>
      </c>
      <c r="D886">
        <v>1.6065</v>
      </c>
      <c r="E886">
        <v>878754015</v>
      </c>
      <c r="F886">
        <v>160</v>
      </c>
    </row>
    <row r="887" spans="1:6" x14ac:dyDescent="0.25">
      <c r="A887">
        <v>-111.974424</v>
      </c>
      <c r="B887">
        <v>33.067984000000003</v>
      </c>
      <c r="C887">
        <v>5.0000000000000001E-3</v>
      </c>
      <c r="D887">
        <v>5.9500000000000004E-3</v>
      </c>
      <c r="E887">
        <v>878754019</v>
      </c>
      <c r="F887">
        <v>160</v>
      </c>
    </row>
    <row r="888" spans="1:6" x14ac:dyDescent="0.25">
      <c r="A888">
        <v>-111.974388</v>
      </c>
      <c r="B888">
        <v>33.067985</v>
      </c>
      <c r="C888">
        <v>0.08</v>
      </c>
      <c r="D888">
        <v>9.5200000000000007E-2</v>
      </c>
      <c r="E888">
        <v>878754031</v>
      </c>
      <c r="F888">
        <v>160</v>
      </c>
    </row>
    <row r="889" spans="1:6" x14ac:dyDescent="0.25">
      <c r="A889">
        <v>-111.97435</v>
      </c>
      <c r="B889">
        <v>33.067987000000002</v>
      </c>
      <c r="C889">
        <v>0.36499999999999999</v>
      </c>
      <c r="D889">
        <v>0.43435000000000001</v>
      </c>
      <c r="E889">
        <v>878754033</v>
      </c>
      <c r="F889">
        <v>160</v>
      </c>
    </row>
    <row r="890" spans="1:6" x14ac:dyDescent="0.25">
      <c r="A890">
        <v>-111.973874</v>
      </c>
      <c r="B890">
        <v>33.067982999999998</v>
      </c>
      <c r="C890">
        <v>0.01</v>
      </c>
      <c r="D890">
        <v>1.1900000000000001E-2</v>
      </c>
      <c r="E890">
        <v>878754047</v>
      </c>
      <c r="F890">
        <v>160</v>
      </c>
    </row>
    <row r="891" spans="1:6" x14ac:dyDescent="0.25">
      <c r="A891">
        <v>-111.97359400000001</v>
      </c>
      <c r="B891">
        <v>33.067979999999999</v>
      </c>
      <c r="C891">
        <v>2.5000000000000001E-2</v>
      </c>
      <c r="D891">
        <v>2.9749999999999999E-2</v>
      </c>
      <c r="E891">
        <v>878754055</v>
      </c>
      <c r="F891">
        <v>160</v>
      </c>
    </row>
    <row r="892" spans="1:6" x14ac:dyDescent="0.25">
      <c r="A892">
        <v>-111.973512</v>
      </c>
      <c r="B892">
        <v>33.067996000000001</v>
      </c>
      <c r="C892">
        <v>5.0000000000000001E-3</v>
      </c>
      <c r="D892">
        <v>5.9500000000000004E-3</v>
      </c>
      <c r="E892">
        <v>878754059</v>
      </c>
      <c r="F892">
        <v>160</v>
      </c>
    </row>
    <row r="893" spans="1:6" x14ac:dyDescent="0.25">
      <c r="A893">
        <v>-111.97349</v>
      </c>
      <c r="B893">
        <v>33.068024000000001</v>
      </c>
      <c r="C893">
        <v>0.06</v>
      </c>
      <c r="D893">
        <v>7.1400000000000005E-2</v>
      </c>
      <c r="E893">
        <v>878754061</v>
      </c>
      <c r="F893">
        <v>160</v>
      </c>
    </row>
    <row r="894" spans="1:6" x14ac:dyDescent="0.25">
      <c r="A894">
        <v>-111.97348</v>
      </c>
      <c r="B894">
        <v>33.068060000000003</v>
      </c>
      <c r="C894">
        <v>4.4999999999999998E-2</v>
      </c>
      <c r="D894">
        <v>5.355E-2</v>
      </c>
      <c r="E894">
        <v>878754063</v>
      </c>
      <c r="F894">
        <v>160</v>
      </c>
    </row>
    <row r="895" spans="1:6" x14ac:dyDescent="0.25">
      <c r="A895">
        <v>-111.973479</v>
      </c>
      <c r="B895">
        <v>33.068102000000003</v>
      </c>
      <c r="C895">
        <v>5.0000000000000001E-3</v>
      </c>
      <c r="D895">
        <v>5.9500000000000004E-3</v>
      </c>
      <c r="E895">
        <v>878754065</v>
      </c>
      <c r="F895">
        <v>160</v>
      </c>
    </row>
    <row r="896" spans="1:6" x14ac:dyDescent="0.25">
      <c r="A896">
        <v>-111.97347499999999</v>
      </c>
      <c r="B896">
        <v>33.068981000000001</v>
      </c>
      <c r="C896">
        <v>0.01</v>
      </c>
      <c r="D896">
        <v>1.1900000000000001E-2</v>
      </c>
      <c r="E896">
        <v>878754091</v>
      </c>
      <c r="F896">
        <v>160</v>
      </c>
    </row>
    <row r="897" spans="1:6" x14ac:dyDescent="0.25">
      <c r="A897">
        <v>-111.973477</v>
      </c>
      <c r="B897">
        <v>33.069026000000001</v>
      </c>
      <c r="C897">
        <v>0.01</v>
      </c>
      <c r="D897">
        <v>1.1900000000000001E-2</v>
      </c>
      <c r="E897">
        <v>878754093</v>
      </c>
      <c r="F897">
        <v>160</v>
      </c>
    </row>
    <row r="898" spans="1:6" x14ac:dyDescent="0.25">
      <c r="A898">
        <v>-111.973493</v>
      </c>
      <c r="B898">
        <v>33.069057000000001</v>
      </c>
      <c r="C898">
        <v>0.115</v>
      </c>
      <c r="D898">
        <v>0.13685</v>
      </c>
      <c r="E898">
        <v>878754095</v>
      </c>
      <c r="F898">
        <v>160</v>
      </c>
    </row>
    <row r="899" spans="1:6" x14ac:dyDescent="0.25">
      <c r="A899">
        <v>-111.973556</v>
      </c>
      <c r="B899">
        <v>33.069080999999997</v>
      </c>
      <c r="C899">
        <v>4.4999999999999998E-2</v>
      </c>
      <c r="D899">
        <v>5.355E-2</v>
      </c>
      <c r="E899">
        <v>878754099</v>
      </c>
      <c r="F899">
        <v>160</v>
      </c>
    </row>
    <row r="900" spans="1:6" x14ac:dyDescent="0.25">
      <c r="A900">
        <v>-111.973598</v>
      </c>
      <c r="B900">
        <v>33.069085000000001</v>
      </c>
      <c r="C900">
        <v>0.04</v>
      </c>
      <c r="D900">
        <v>4.7600000000000003E-2</v>
      </c>
      <c r="E900">
        <v>878754101</v>
      </c>
      <c r="F900">
        <v>160</v>
      </c>
    </row>
    <row r="901" spans="1:6" x14ac:dyDescent="0.25">
      <c r="A901">
        <v>-111.974611</v>
      </c>
      <c r="B901">
        <v>33.069077999999998</v>
      </c>
      <c r="C901">
        <v>0.08</v>
      </c>
      <c r="D901">
        <v>9.5200000000000007E-2</v>
      </c>
      <c r="E901">
        <v>878754137</v>
      </c>
      <c r="F901">
        <v>160</v>
      </c>
    </row>
    <row r="902" spans="1:6" x14ac:dyDescent="0.25">
      <c r="A902">
        <v>-111.974656</v>
      </c>
      <c r="B902">
        <v>33.068810999999997</v>
      </c>
      <c r="C902">
        <v>0.01</v>
      </c>
      <c r="D902">
        <v>1.1900000000000001E-2</v>
      </c>
      <c r="E902">
        <v>878754181</v>
      </c>
      <c r="F902">
        <v>160</v>
      </c>
    </row>
    <row r="903" spans="1:6" x14ac:dyDescent="0.25">
      <c r="A903">
        <v>-111.974656</v>
      </c>
      <c r="B903">
        <v>33.068798000000001</v>
      </c>
      <c r="C903">
        <v>4.4999999999999998E-2</v>
      </c>
      <c r="D903">
        <v>5.355E-2</v>
      </c>
      <c r="E903">
        <v>878754189</v>
      </c>
      <c r="F903">
        <v>160</v>
      </c>
    </row>
    <row r="904" spans="1:6" x14ac:dyDescent="0.25">
      <c r="A904">
        <v>-111.974656</v>
      </c>
      <c r="B904">
        <v>33.068798000000001</v>
      </c>
      <c r="C904">
        <v>0.57999999999999996</v>
      </c>
      <c r="D904">
        <v>0.69020000000000004</v>
      </c>
      <c r="E904">
        <v>878754191</v>
      </c>
      <c r="F904">
        <v>160</v>
      </c>
    </row>
    <row r="905" spans="1:6" x14ac:dyDescent="0.25">
      <c r="A905">
        <v>-111.974656</v>
      </c>
      <c r="B905">
        <v>33.068792000000002</v>
      </c>
      <c r="C905">
        <v>5.0000000000000001E-3</v>
      </c>
      <c r="D905">
        <v>5.9500000000000004E-3</v>
      </c>
      <c r="E905">
        <v>878754195</v>
      </c>
      <c r="F905">
        <v>160</v>
      </c>
    </row>
    <row r="906" spans="1:6" x14ac:dyDescent="0.25">
      <c r="A906">
        <v>-111.974656</v>
      </c>
      <c r="B906">
        <v>33.068781000000001</v>
      </c>
      <c r="C906">
        <v>0.05</v>
      </c>
      <c r="D906">
        <v>5.9499999999999997E-2</v>
      </c>
      <c r="E906">
        <v>878754199</v>
      </c>
      <c r="F906">
        <v>160</v>
      </c>
    </row>
    <row r="907" spans="1:6" x14ac:dyDescent="0.25">
      <c r="A907">
        <v>-111.974656</v>
      </c>
      <c r="B907">
        <v>33.068773</v>
      </c>
      <c r="C907">
        <v>0.56999999999999995</v>
      </c>
      <c r="D907">
        <v>0.67830000000000001</v>
      </c>
      <c r="E907">
        <v>878754201</v>
      </c>
      <c r="F907">
        <v>160</v>
      </c>
    </row>
    <row r="908" spans="1:6" x14ac:dyDescent="0.25">
      <c r="A908">
        <v>-111.974656</v>
      </c>
      <c r="B908">
        <v>33.068765999999997</v>
      </c>
      <c r="C908">
        <v>1.8049999999999999</v>
      </c>
      <c r="D908">
        <v>2.1479499999999998</v>
      </c>
      <c r="E908">
        <v>878754203</v>
      </c>
      <c r="F908">
        <v>160</v>
      </c>
    </row>
    <row r="909" spans="1:6" x14ac:dyDescent="0.25">
      <c r="A909">
        <v>-111.974656</v>
      </c>
      <c r="B909">
        <v>33.068758000000003</v>
      </c>
      <c r="C909">
        <v>1.54</v>
      </c>
      <c r="D909">
        <v>1.8326</v>
      </c>
      <c r="E909">
        <v>878754205</v>
      </c>
      <c r="F909">
        <v>160</v>
      </c>
    </row>
    <row r="910" spans="1:6" x14ac:dyDescent="0.25">
      <c r="A910">
        <v>-111.974656</v>
      </c>
      <c r="B910">
        <v>33.068748999999997</v>
      </c>
      <c r="C910">
        <v>1.18</v>
      </c>
      <c r="D910">
        <v>1.4041999999999999</v>
      </c>
      <c r="E910">
        <v>878754207</v>
      </c>
      <c r="F910">
        <v>160</v>
      </c>
    </row>
    <row r="911" spans="1:6" x14ac:dyDescent="0.25">
      <c r="A911">
        <v>-111.974656</v>
      </c>
      <c r="B911">
        <v>33.068742999999998</v>
      </c>
      <c r="C911">
        <v>1.35</v>
      </c>
      <c r="D911">
        <v>1.6065</v>
      </c>
      <c r="E911">
        <v>878754209</v>
      </c>
      <c r="F911">
        <v>160</v>
      </c>
    </row>
    <row r="912" spans="1:6" x14ac:dyDescent="0.25">
      <c r="A912">
        <v>-111.97465699999999</v>
      </c>
      <c r="B912">
        <v>33.068734999999997</v>
      </c>
      <c r="C912">
        <v>1.175</v>
      </c>
      <c r="D912">
        <v>1.39825</v>
      </c>
      <c r="E912">
        <v>878754211</v>
      </c>
      <c r="F912">
        <v>160</v>
      </c>
    </row>
    <row r="913" spans="1:6" x14ac:dyDescent="0.25">
      <c r="A913">
        <v>-111.974656</v>
      </c>
      <c r="B913">
        <v>33.068728</v>
      </c>
      <c r="C913">
        <v>1.1950000000000001</v>
      </c>
      <c r="D913">
        <v>1.42205</v>
      </c>
      <c r="E913">
        <v>878754213</v>
      </c>
      <c r="F913">
        <v>160</v>
      </c>
    </row>
    <row r="914" spans="1:6" x14ac:dyDescent="0.25">
      <c r="A914">
        <v>-111.974656</v>
      </c>
      <c r="B914">
        <v>33.068720999999996</v>
      </c>
      <c r="C914">
        <v>1.28</v>
      </c>
      <c r="D914">
        <v>1.5232000000000001</v>
      </c>
      <c r="E914">
        <v>878754215</v>
      </c>
      <c r="F914">
        <v>160</v>
      </c>
    </row>
    <row r="915" spans="1:6" x14ac:dyDescent="0.25">
      <c r="A915">
        <v>-111.974656</v>
      </c>
      <c r="B915">
        <v>33.068714</v>
      </c>
      <c r="C915">
        <v>1.375</v>
      </c>
      <c r="D915">
        <v>1.63625</v>
      </c>
      <c r="E915">
        <v>878754217</v>
      </c>
      <c r="F915">
        <v>160</v>
      </c>
    </row>
    <row r="916" spans="1:6" x14ac:dyDescent="0.25">
      <c r="A916">
        <v>-111.974656</v>
      </c>
      <c r="B916">
        <v>33.068707000000003</v>
      </c>
      <c r="C916">
        <v>1.665</v>
      </c>
      <c r="D916">
        <v>1.9813499999999999</v>
      </c>
      <c r="E916">
        <v>878754219</v>
      </c>
      <c r="F916">
        <v>160</v>
      </c>
    </row>
    <row r="917" spans="1:6" x14ac:dyDescent="0.25">
      <c r="A917">
        <v>-111.974656</v>
      </c>
      <c r="B917">
        <v>33.0687</v>
      </c>
      <c r="C917">
        <v>0.95</v>
      </c>
      <c r="D917">
        <v>1.1305000000000001</v>
      </c>
      <c r="E917">
        <v>878754221</v>
      </c>
      <c r="F917">
        <v>160</v>
      </c>
    </row>
    <row r="918" spans="1:6" x14ac:dyDescent="0.25">
      <c r="A918">
        <v>-111.974656</v>
      </c>
      <c r="B918">
        <v>33.068693000000003</v>
      </c>
      <c r="C918">
        <v>1.5649999999999999</v>
      </c>
      <c r="D918">
        <v>1.8623499999999999</v>
      </c>
      <c r="E918">
        <v>878754223</v>
      </c>
      <c r="F918">
        <v>160</v>
      </c>
    </row>
    <row r="919" spans="1:6" x14ac:dyDescent="0.25">
      <c r="A919">
        <v>-111.974656</v>
      </c>
      <c r="B919">
        <v>33.068685000000002</v>
      </c>
      <c r="C919">
        <v>0.41499999999999998</v>
      </c>
      <c r="D919">
        <v>0.49385000000000001</v>
      </c>
      <c r="E919">
        <v>878754225</v>
      </c>
      <c r="F919">
        <v>160</v>
      </c>
    </row>
    <row r="920" spans="1:6" x14ac:dyDescent="0.25">
      <c r="A920">
        <v>-111.974656</v>
      </c>
      <c r="B920">
        <v>33.068677999999998</v>
      </c>
      <c r="C920">
        <v>6.5000000000000002E-2</v>
      </c>
      <c r="D920">
        <v>7.7350000000000002E-2</v>
      </c>
      <c r="E920">
        <v>878754227</v>
      </c>
      <c r="F920">
        <v>160</v>
      </c>
    </row>
    <row r="921" spans="1:6" x14ac:dyDescent="0.25">
      <c r="A921">
        <v>-111.974656</v>
      </c>
      <c r="B921">
        <v>33.068671000000002</v>
      </c>
      <c r="C921">
        <v>7.0000000000000007E-2</v>
      </c>
      <c r="D921">
        <v>8.3299999999999999E-2</v>
      </c>
      <c r="E921">
        <v>878754229</v>
      </c>
      <c r="F921">
        <v>160</v>
      </c>
    </row>
    <row r="922" spans="1:6" x14ac:dyDescent="0.25">
      <c r="A922">
        <v>-111.974656</v>
      </c>
      <c r="B922">
        <v>33.068663000000001</v>
      </c>
      <c r="C922">
        <v>8.5000000000000006E-2</v>
      </c>
      <c r="D922">
        <v>0.10115</v>
      </c>
      <c r="E922">
        <v>878754231</v>
      </c>
      <c r="F922">
        <v>160</v>
      </c>
    </row>
    <row r="923" spans="1:6" x14ac:dyDescent="0.25">
      <c r="A923">
        <v>-111.974656</v>
      </c>
      <c r="B923">
        <v>33.068655999999997</v>
      </c>
      <c r="C923">
        <v>0.115</v>
      </c>
      <c r="D923">
        <v>0.13685</v>
      </c>
      <c r="E923">
        <v>878754233</v>
      </c>
      <c r="F923">
        <v>160</v>
      </c>
    </row>
    <row r="924" spans="1:6" x14ac:dyDescent="0.25">
      <c r="A924">
        <v>-111.974656</v>
      </c>
      <c r="B924">
        <v>33.068649000000001</v>
      </c>
      <c r="C924">
        <v>0.30499999999999999</v>
      </c>
      <c r="D924">
        <v>0.36294999999999999</v>
      </c>
      <c r="E924">
        <v>878754235</v>
      </c>
      <c r="F924">
        <v>160</v>
      </c>
    </row>
    <row r="925" spans="1:6" x14ac:dyDescent="0.25">
      <c r="A925">
        <v>-111.974656</v>
      </c>
      <c r="B925">
        <v>33.068641999999997</v>
      </c>
      <c r="C925">
        <v>1.54</v>
      </c>
      <c r="D925">
        <v>1.8326</v>
      </c>
      <c r="E925">
        <v>878754237</v>
      </c>
      <c r="F925">
        <v>160</v>
      </c>
    </row>
    <row r="926" spans="1:6" x14ac:dyDescent="0.25">
      <c r="A926">
        <v>-111.97465699999999</v>
      </c>
      <c r="B926">
        <v>33.068637000000003</v>
      </c>
      <c r="C926">
        <v>1.2150000000000001</v>
      </c>
      <c r="D926">
        <v>1.4458500000000001</v>
      </c>
      <c r="E926">
        <v>878754239</v>
      </c>
      <c r="F926">
        <v>160</v>
      </c>
    </row>
    <row r="927" spans="1:6" x14ac:dyDescent="0.25">
      <c r="A927">
        <v>-111.974656</v>
      </c>
      <c r="B927">
        <v>33.068627999999997</v>
      </c>
      <c r="C927">
        <v>1.57</v>
      </c>
      <c r="D927">
        <v>1.8683000000000001</v>
      </c>
      <c r="E927">
        <v>878754241</v>
      </c>
      <c r="F927">
        <v>160</v>
      </c>
    </row>
    <row r="928" spans="1:6" x14ac:dyDescent="0.25">
      <c r="A928">
        <v>-111.97465699999999</v>
      </c>
      <c r="B928">
        <v>33.068623000000002</v>
      </c>
      <c r="C928">
        <v>0.30499999999999999</v>
      </c>
      <c r="D928">
        <v>0.36294999999999999</v>
      </c>
      <c r="E928">
        <v>878754243</v>
      </c>
      <c r="F928">
        <v>160</v>
      </c>
    </row>
    <row r="929" spans="1:6" x14ac:dyDescent="0.25">
      <c r="A929">
        <v>-111.97465699999999</v>
      </c>
      <c r="B929">
        <v>33.068624999999997</v>
      </c>
      <c r="C929">
        <v>0.02</v>
      </c>
      <c r="D929">
        <v>2.3800000000000002E-2</v>
      </c>
      <c r="E929">
        <v>878754251</v>
      </c>
      <c r="F929">
        <v>160</v>
      </c>
    </row>
    <row r="930" spans="1:6" x14ac:dyDescent="0.25">
      <c r="A930">
        <v>-111.97465699999999</v>
      </c>
      <c r="B930">
        <v>33.068618000000001</v>
      </c>
      <c r="C930">
        <v>7.0000000000000007E-2</v>
      </c>
      <c r="D930">
        <v>8.3299999999999999E-2</v>
      </c>
      <c r="E930">
        <v>878754253</v>
      </c>
      <c r="F930">
        <v>160</v>
      </c>
    </row>
    <row r="931" spans="1:6" x14ac:dyDescent="0.25">
      <c r="A931">
        <v>-111.974656</v>
      </c>
      <c r="B931">
        <v>33.068609000000002</v>
      </c>
      <c r="C931">
        <v>0.215</v>
      </c>
      <c r="D931">
        <v>0.25585000000000002</v>
      </c>
      <c r="E931">
        <v>878754255</v>
      </c>
      <c r="F931">
        <v>160</v>
      </c>
    </row>
    <row r="932" spans="1:6" x14ac:dyDescent="0.25">
      <c r="A932">
        <v>-111.974656</v>
      </c>
      <c r="B932">
        <v>33.068601999999998</v>
      </c>
      <c r="C932">
        <v>1.0249999999999999</v>
      </c>
      <c r="D932">
        <v>1.2197499999999999</v>
      </c>
      <c r="E932">
        <v>878754257</v>
      </c>
      <c r="F932">
        <v>160</v>
      </c>
    </row>
    <row r="933" spans="1:6" x14ac:dyDescent="0.25">
      <c r="A933">
        <v>-111.974656</v>
      </c>
      <c r="B933">
        <v>33.068595000000002</v>
      </c>
      <c r="C933">
        <v>1.27</v>
      </c>
      <c r="D933">
        <v>1.5113000000000001</v>
      </c>
      <c r="E933">
        <v>878754259</v>
      </c>
      <c r="F933">
        <v>160</v>
      </c>
    </row>
    <row r="934" spans="1:6" x14ac:dyDescent="0.25">
      <c r="A934">
        <v>-111.97465800000001</v>
      </c>
      <c r="B934">
        <v>33.068587000000001</v>
      </c>
      <c r="C934">
        <v>1.7250000000000001</v>
      </c>
      <c r="D934">
        <v>2.0527500000000001</v>
      </c>
      <c r="E934">
        <v>878754261</v>
      </c>
      <c r="F934">
        <v>160</v>
      </c>
    </row>
    <row r="935" spans="1:6" x14ac:dyDescent="0.25">
      <c r="A935">
        <v>-111.97465800000001</v>
      </c>
      <c r="B935">
        <v>33.068581000000002</v>
      </c>
      <c r="C935">
        <v>1.92</v>
      </c>
      <c r="D935">
        <v>2.2848000000000002</v>
      </c>
      <c r="E935">
        <v>878754263</v>
      </c>
      <c r="F935">
        <v>160</v>
      </c>
    </row>
    <row r="936" spans="1:6" x14ac:dyDescent="0.25">
      <c r="A936">
        <v>-111.97465800000001</v>
      </c>
      <c r="B936">
        <v>33.068573999999998</v>
      </c>
      <c r="C936">
        <v>1.34</v>
      </c>
      <c r="D936">
        <v>1.5946</v>
      </c>
      <c r="E936">
        <v>878754265</v>
      </c>
      <c r="F936">
        <v>160</v>
      </c>
    </row>
    <row r="937" spans="1:6" x14ac:dyDescent="0.25">
      <c r="A937">
        <v>-111.97465699999999</v>
      </c>
      <c r="B937">
        <v>33.068567000000002</v>
      </c>
      <c r="C937">
        <v>1.28</v>
      </c>
      <c r="D937">
        <v>1.5232000000000001</v>
      </c>
      <c r="E937">
        <v>878754267</v>
      </c>
      <c r="F937">
        <v>160</v>
      </c>
    </row>
    <row r="938" spans="1:6" x14ac:dyDescent="0.25">
      <c r="A938">
        <v>-111.97465800000001</v>
      </c>
      <c r="B938">
        <v>33.068559</v>
      </c>
      <c r="C938">
        <v>1.24</v>
      </c>
      <c r="D938">
        <v>1.4756</v>
      </c>
      <c r="E938">
        <v>878754269</v>
      </c>
      <c r="F938">
        <v>160</v>
      </c>
    </row>
    <row r="939" spans="1:6" x14ac:dyDescent="0.25">
      <c r="A939">
        <v>-111.97465699999999</v>
      </c>
      <c r="B939">
        <v>33.068550999999999</v>
      </c>
      <c r="C939">
        <v>1.5549999999999999</v>
      </c>
      <c r="D939">
        <v>1.8504499999999999</v>
      </c>
      <c r="E939">
        <v>878754271</v>
      </c>
      <c r="F939">
        <v>160</v>
      </c>
    </row>
    <row r="940" spans="1:6" x14ac:dyDescent="0.25">
      <c r="A940">
        <v>-111.97465699999999</v>
      </c>
      <c r="B940">
        <v>33.068545</v>
      </c>
      <c r="C940">
        <v>1.43</v>
      </c>
      <c r="D940">
        <v>1.7017</v>
      </c>
      <c r="E940">
        <v>878754273</v>
      </c>
      <c r="F940">
        <v>160</v>
      </c>
    </row>
    <row r="941" spans="1:6" x14ac:dyDescent="0.25">
      <c r="A941">
        <v>-111.97465699999999</v>
      </c>
      <c r="B941">
        <v>33.068537999999997</v>
      </c>
      <c r="C941">
        <v>1.4950000000000001</v>
      </c>
      <c r="D941">
        <v>1.77905</v>
      </c>
      <c r="E941">
        <v>878754275</v>
      </c>
      <c r="F941">
        <v>160</v>
      </c>
    </row>
    <row r="942" spans="1:6" x14ac:dyDescent="0.25">
      <c r="A942">
        <v>-111.97465699999999</v>
      </c>
      <c r="B942">
        <v>33.068530000000003</v>
      </c>
      <c r="C942">
        <v>0.84499999999999997</v>
      </c>
      <c r="D942">
        <v>1.0055499999999999</v>
      </c>
      <c r="E942">
        <v>878754277</v>
      </c>
      <c r="F942">
        <v>160</v>
      </c>
    </row>
    <row r="943" spans="1:6" x14ac:dyDescent="0.25">
      <c r="A943">
        <v>-111.97465699999999</v>
      </c>
      <c r="B943">
        <v>33.068522999999999</v>
      </c>
      <c r="C943">
        <v>0.73499999999999999</v>
      </c>
      <c r="D943">
        <v>0.87465000000000004</v>
      </c>
      <c r="E943">
        <v>878754279</v>
      </c>
      <c r="F943">
        <v>160</v>
      </c>
    </row>
    <row r="944" spans="1:6" x14ac:dyDescent="0.25">
      <c r="A944">
        <v>-111.97465800000001</v>
      </c>
      <c r="B944">
        <v>33.068516000000002</v>
      </c>
      <c r="C944">
        <v>0.115</v>
      </c>
      <c r="D944">
        <v>0.13685</v>
      </c>
      <c r="E944">
        <v>878754281</v>
      </c>
      <c r="F944">
        <v>160</v>
      </c>
    </row>
    <row r="945" spans="1:6" x14ac:dyDescent="0.25">
      <c r="A945">
        <v>-111.97465800000001</v>
      </c>
      <c r="B945">
        <v>33.068508000000001</v>
      </c>
      <c r="C945">
        <v>7.4999999999999997E-2</v>
      </c>
      <c r="D945">
        <v>8.9249999999999996E-2</v>
      </c>
      <c r="E945">
        <v>878754283</v>
      </c>
      <c r="F945">
        <v>160</v>
      </c>
    </row>
    <row r="946" spans="1:6" x14ac:dyDescent="0.25">
      <c r="A946">
        <v>-111.97465800000001</v>
      </c>
      <c r="B946">
        <v>33.068500999999998</v>
      </c>
      <c r="C946">
        <v>4.4999999999999998E-2</v>
      </c>
      <c r="D946">
        <v>5.355E-2</v>
      </c>
      <c r="E946">
        <v>878754285</v>
      </c>
      <c r="F946">
        <v>160</v>
      </c>
    </row>
    <row r="947" spans="1:6" x14ac:dyDescent="0.25">
      <c r="A947">
        <v>-111.97465800000001</v>
      </c>
      <c r="B947">
        <v>33.068492999999997</v>
      </c>
      <c r="C947">
        <v>5.5E-2</v>
      </c>
      <c r="D947">
        <v>6.5449999999999994E-2</v>
      </c>
      <c r="E947">
        <v>878754287</v>
      </c>
      <c r="F947">
        <v>160</v>
      </c>
    </row>
    <row r="948" spans="1:6" x14ac:dyDescent="0.25">
      <c r="A948">
        <v>-111.97465699999999</v>
      </c>
      <c r="B948">
        <v>33.068486</v>
      </c>
      <c r="C948">
        <v>0.45500000000000002</v>
      </c>
      <c r="D948">
        <v>0.54144999999999999</v>
      </c>
      <c r="E948">
        <v>878754289</v>
      </c>
      <c r="F948">
        <v>160</v>
      </c>
    </row>
    <row r="949" spans="1:6" x14ac:dyDescent="0.25">
      <c r="A949">
        <v>-111.97465800000001</v>
      </c>
      <c r="B949">
        <v>33.068479000000004</v>
      </c>
      <c r="C949">
        <v>1.2350000000000001</v>
      </c>
      <c r="D949">
        <v>1.4696499999999999</v>
      </c>
      <c r="E949">
        <v>878754291</v>
      </c>
      <c r="F949">
        <v>160</v>
      </c>
    </row>
    <row r="950" spans="1:6" x14ac:dyDescent="0.25">
      <c r="A950">
        <v>-111.97465800000001</v>
      </c>
      <c r="B950">
        <v>33.068472</v>
      </c>
      <c r="C950">
        <v>1.085</v>
      </c>
      <c r="D950">
        <v>1.29115</v>
      </c>
      <c r="E950">
        <v>878754293</v>
      </c>
      <c r="F950">
        <v>160</v>
      </c>
    </row>
    <row r="951" spans="1:6" x14ac:dyDescent="0.25">
      <c r="A951">
        <v>-111.97465800000001</v>
      </c>
      <c r="B951">
        <v>33.068465000000003</v>
      </c>
      <c r="C951">
        <v>1.61</v>
      </c>
      <c r="D951">
        <v>1.9158999999999999</v>
      </c>
      <c r="E951">
        <v>878754295</v>
      </c>
      <c r="F951">
        <v>160</v>
      </c>
    </row>
    <row r="952" spans="1:6" x14ac:dyDescent="0.25">
      <c r="A952">
        <v>-111.97465800000001</v>
      </c>
      <c r="B952">
        <v>33.068455999999998</v>
      </c>
      <c r="C952">
        <v>1.5349999999999999</v>
      </c>
      <c r="D952">
        <v>1.8266500000000001</v>
      </c>
      <c r="E952">
        <v>878754297</v>
      </c>
      <c r="F952">
        <v>160</v>
      </c>
    </row>
    <row r="953" spans="1:6" x14ac:dyDescent="0.25">
      <c r="A953">
        <v>-111.97465800000001</v>
      </c>
      <c r="B953">
        <v>33.068447999999997</v>
      </c>
      <c r="C953">
        <v>1.23</v>
      </c>
      <c r="D953">
        <v>1.4637</v>
      </c>
      <c r="E953">
        <v>878754299</v>
      </c>
      <c r="F953">
        <v>160</v>
      </c>
    </row>
    <row r="954" spans="1:6" x14ac:dyDescent="0.25">
      <c r="A954">
        <v>-111.97465800000001</v>
      </c>
      <c r="B954">
        <v>33.068441</v>
      </c>
      <c r="C954">
        <v>0.64</v>
      </c>
      <c r="D954">
        <v>0.76160000000000005</v>
      </c>
      <c r="E954">
        <v>878754301</v>
      </c>
      <c r="F954">
        <v>160</v>
      </c>
    </row>
    <row r="955" spans="1:6" x14ac:dyDescent="0.25">
      <c r="A955">
        <v>-111.97465800000001</v>
      </c>
      <c r="B955">
        <v>33.068426000000002</v>
      </c>
      <c r="C955">
        <v>5.0000000000000001E-3</v>
      </c>
      <c r="D955">
        <v>5.9500000000000004E-3</v>
      </c>
      <c r="E955">
        <v>878754305</v>
      </c>
      <c r="F955">
        <v>160</v>
      </c>
    </row>
    <row r="956" spans="1:6" x14ac:dyDescent="0.25">
      <c r="A956">
        <v>-111.97465800000001</v>
      </c>
      <c r="B956">
        <v>33.068418999999999</v>
      </c>
      <c r="C956">
        <v>5.0000000000000001E-3</v>
      </c>
      <c r="D956">
        <v>5.9500000000000004E-3</v>
      </c>
      <c r="E956">
        <v>878754307</v>
      </c>
      <c r="F956">
        <v>160</v>
      </c>
    </row>
    <row r="957" spans="1:6" x14ac:dyDescent="0.25">
      <c r="A957">
        <v>-111.97465800000001</v>
      </c>
      <c r="B957">
        <v>33.068403000000004</v>
      </c>
      <c r="C957">
        <v>5.0000000000000001E-3</v>
      </c>
      <c r="D957">
        <v>5.9500000000000004E-3</v>
      </c>
      <c r="E957">
        <v>878754311</v>
      </c>
      <c r="F957">
        <v>160</v>
      </c>
    </row>
    <row r="958" spans="1:6" x14ac:dyDescent="0.25">
      <c r="A958">
        <v>-111.97465699999999</v>
      </c>
      <c r="B958">
        <v>33.068395000000002</v>
      </c>
      <c r="C958">
        <v>0.01</v>
      </c>
      <c r="D958">
        <v>1.1900000000000001E-2</v>
      </c>
      <c r="E958">
        <v>878754313</v>
      </c>
      <c r="F958">
        <v>160</v>
      </c>
    </row>
    <row r="959" spans="1:6" x14ac:dyDescent="0.25">
      <c r="A959">
        <v>-111.97465800000001</v>
      </c>
      <c r="B959">
        <v>33.068379</v>
      </c>
      <c r="C959">
        <v>4.4999999999999998E-2</v>
      </c>
      <c r="D959">
        <v>5.355E-2</v>
      </c>
      <c r="E959">
        <v>878754317</v>
      </c>
      <c r="F959">
        <v>160</v>
      </c>
    </row>
    <row r="960" spans="1:6" x14ac:dyDescent="0.25">
      <c r="A960">
        <v>-111.97465800000001</v>
      </c>
      <c r="B960">
        <v>33.068370999999999</v>
      </c>
      <c r="C960">
        <v>0.30499999999999999</v>
      </c>
      <c r="D960">
        <v>0.36294999999999999</v>
      </c>
      <c r="E960">
        <v>878754319</v>
      </c>
      <c r="F960">
        <v>160</v>
      </c>
    </row>
    <row r="961" spans="1:6" x14ac:dyDescent="0.25">
      <c r="A961">
        <v>-111.97465800000001</v>
      </c>
      <c r="B961">
        <v>33.068362999999998</v>
      </c>
      <c r="C961">
        <v>1.0249999999999999</v>
      </c>
      <c r="D961">
        <v>1.2197499999999999</v>
      </c>
      <c r="E961">
        <v>878754321</v>
      </c>
      <c r="F961">
        <v>160</v>
      </c>
    </row>
    <row r="962" spans="1:6" x14ac:dyDescent="0.25">
      <c r="A962">
        <v>-111.974659</v>
      </c>
      <c r="B962">
        <v>33.068356000000001</v>
      </c>
      <c r="C962">
        <v>1.98</v>
      </c>
      <c r="D962">
        <v>2.3561999999999999</v>
      </c>
      <c r="E962">
        <v>878754323</v>
      </c>
      <c r="F962">
        <v>160</v>
      </c>
    </row>
    <row r="963" spans="1:6" x14ac:dyDescent="0.25">
      <c r="A963">
        <v>-111.97465800000001</v>
      </c>
      <c r="B963">
        <v>33.068348</v>
      </c>
      <c r="C963">
        <v>1.8</v>
      </c>
      <c r="D963">
        <v>2.1419999999999999</v>
      </c>
      <c r="E963">
        <v>878754325</v>
      </c>
      <c r="F963">
        <v>160</v>
      </c>
    </row>
    <row r="964" spans="1:6" x14ac:dyDescent="0.25">
      <c r="A964">
        <v>-111.97465800000001</v>
      </c>
      <c r="B964">
        <v>33.068340999999997</v>
      </c>
      <c r="C964">
        <v>1.71</v>
      </c>
      <c r="D964">
        <v>2.0348999999999999</v>
      </c>
      <c r="E964">
        <v>878754327</v>
      </c>
      <c r="F964">
        <v>160</v>
      </c>
    </row>
    <row r="965" spans="1:6" x14ac:dyDescent="0.25">
      <c r="A965">
        <v>-111.97465800000001</v>
      </c>
      <c r="B965">
        <v>33.068334</v>
      </c>
      <c r="C965">
        <v>1.385</v>
      </c>
      <c r="D965">
        <v>1.64815</v>
      </c>
      <c r="E965">
        <v>878754329</v>
      </c>
      <c r="F965">
        <v>160</v>
      </c>
    </row>
    <row r="966" spans="1:6" x14ac:dyDescent="0.25">
      <c r="A966">
        <v>-111.974659</v>
      </c>
      <c r="B966">
        <v>33.068325999999999</v>
      </c>
      <c r="C966">
        <v>1.83</v>
      </c>
      <c r="D966">
        <v>2.1777000000000002</v>
      </c>
      <c r="E966">
        <v>878754331</v>
      </c>
      <c r="F966">
        <v>160</v>
      </c>
    </row>
    <row r="967" spans="1:6" x14ac:dyDescent="0.25">
      <c r="A967">
        <v>-111.974659</v>
      </c>
      <c r="B967">
        <v>33.068319000000002</v>
      </c>
      <c r="C967">
        <v>1.7450000000000001</v>
      </c>
      <c r="D967">
        <v>2.0765500000000001</v>
      </c>
      <c r="E967">
        <v>878754333</v>
      </c>
      <c r="F967">
        <v>160</v>
      </c>
    </row>
    <row r="968" spans="1:6" x14ac:dyDescent="0.25">
      <c r="A968">
        <v>-111.974659</v>
      </c>
      <c r="B968">
        <v>33.068311000000001</v>
      </c>
      <c r="C968">
        <v>1.5449999999999999</v>
      </c>
      <c r="D968">
        <v>1.8385499999999999</v>
      </c>
      <c r="E968">
        <v>878754335</v>
      </c>
      <c r="F968">
        <v>160</v>
      </c>
    </row>
    <row r="969" spans="1:6" x14ac:dyDescent="0.25">
      <c r="A969">
        <v>-111.974659</v>
      </c>
      <c r="B969">
        <v>33.068303999999998</v>
      </c>
      <c r="C969">
        <v>1.835</v>
      </c>
      <c r="D969">
        <v>2.1836500000000001</v>
      </c>
      <c r="E969">
        <v>878754337</v>
      </c>
      <c r="F969">
        <v>160</v>
      </c>
    </row>
    <row r="970" spans="1:6" x14ac:dyDescent="0.25">
      <c r="A970">
        <v>-111.97465800000001</v>
      </c>
      <c r="B970">
        <v>33.068295999999997</v>
      </c>
      <c r="C970">
        <v>1.6850000000000001</v>
      </c>
      <c r="D970">
        <v>2.00515</v>
      </c>
      <c r="E970">
        <v>878754339</v>
      </c>
      <c r="F970">
        <v>160</v>
      </c>
    </row>
    <row r="971" spans="1:6" x14ac:dyDescent="0.25">
      <c r="A971">
        <v>-111.97465800000001</v>
      </c>
      <c r="B971">
        <v>33.068288000000003</v>
      </c>
      <c r="C971">
        <v>1.55</v>
      </c>
      <c r="D971">
        <v>1.8445</v>
      </c>
      <c r="E971">
        <v>878754341</v>
      </c>
      <c r="F971">
        <v>160</v>
      </c>
    </row>
    <row r="972" spans="1:6" x14ac:dyDescent="0.25">
      <c r="A972">
        <v>-111.974659</v>
      </c>
      <c r="B972">
        <v>33.068280999999999</v>
      </c>
      <c r="C972">
        <v>1.35</v>
      </c>
      <c r="D972">
        <v>1.6065</v>
      </c>
      <c r="E972">
        <v>878754343</v>
      </c>
      <c r="F972">
        <v>160</v>
      </c>
    </row>
    <row r="973" spans="1:6" x14ac:dyDescent="0.25">
      <c r="A973">
        <v>-111.974659</v>
      </c>
      <c r="B973">
        <v>33.068274000000002</v>
      </c>
      <c r="C973">
        <v>0.125</v>
      </c>
      <c r="D973">
        <v>0.14874999999999999</v>
      </c>
      <c r="E973">
        <v>878754345</v>
      </c>
      <c r="F973">
        <v>160</v>
      </c>
    </row>
    <row r="974" spans="1:6" x14ac:dyDescent="0.25">
      <c r="A974">
        <v>-111.97465800000001</v>
      </c>
      <c r="B974">
        <v>33.068266000000001</v>
      </c>
      <c r="C974">
        <v>0.06</v>
      </c>
      <c r="D974">
        <v>7.1400000000000005E-2</v>
      </c>
      <c r="E974">
        <v>878754347</v>
      </c>
      <c r="F974">
        <v>160</v>
      </c>
    </row>
    <row r="975" spans="1:6" x14ac:dyDescent="0.25">
      <c r="A975">
        <v>-111.97465800000001</v>
      </c>
      <c r="B975">
        <v>33.068258</v>
      </c>
      <c r="C975">
        <v>6.5000000000000002E-2</v>
      </c>
      <c r="D975">
        <v>7.7350000000000002E-2</v>
      </c>
      <c r="E975">
        <v>878754349</v>
      </c>
      <c r="F975">
        <v>160</v>
      </c>
    </row>
    <row r="976" spans="1:6" x14ac:dyDescent="0.25">
      <c r="A976">
        <v>-111.97465800000001</v>
      </c>
      <c r="B976">
        <v>33.068249999999999</v>
      </c>
      <c r="C976">
        <v>0.06</v>
      </c>
      <c r="D976">
        <v>7.1400000000000005E-2</v>
      </c>
      <c r="E976">
        <v>878754351</v>
      </c>
      <c r="F976">
        <v>160</v>
      </c>
    </row>
    <row r="977" spans="1:6" x14ac:dyDescent="0.25">
      <c r="A977">
        <v>-111.97465800000001</v>
      </c>
      <c r="B977">
        <v>33.068243000000002</v>
      </c>
      <c r="C977">
        <v>0.71499999999999997</v>
      </c>
      <c r="D977">
        <v>0.85085</v>
      </c>
      <c r="E977">
        <v>878754353</v>
      </c>
      <c r="F977">
        <v>160</v>
      </c>
    </row>
    <row r="978" spans="1:6" x14ac:dyDescent="0.25">
      <c r="A978">
        <v>-111.97465800000001</v>
      </c>
      <c r="B978">
        <v>33.068235999999999</v>
      </c>
      <c r="C978">
        <v>1.7649999999999999</v>
      </c>
      <c r="D978">
        <v>2.1003500000000002</v>
      </c>
      <c r="E978">
        <v>878754355</v>
      </c>
      <c r="F978">
        <v>160</v>
      </c>
    </row>
    <row r="979" spans="1:6" x14ac:dyDescent="0.25">
      <c r="A979">
        <v>-111.974659</v>
      </c>
      <c r="B979">
        <v>33.068229000000002</v>
      </c>
      <c r="C979">
        <v>1.825</v>
      </c>
      <c r="D979">
        <v>2.1717499999999998</v>
      </c>
      <c r="E979">
        <v>878754357</v>
      </c>
      <c r="F979">
        <v>160</v>
      </c>
    </row>
    <row r="980" spans="1:6" x14ac:dyDescent="0.25">
      <c r="A980">
        <v>-111.97465800000001</v>
      </c>
      <c r="B980">
        <v>33.068221000000001</v>
      </c>
      <c r="C980">
        <v>1.4350000000000001</v>
      </c>
      <c r="D980">
        <v>1.7076499999999999</v>
      </c>
      <c r="E980">
        <v>878754359</v>
      </c>
      <c r="F980">
        <v>160</v>
      </c>
    </row>
    <row r="981" spans="1:6" x14ac:dyDescent="0.25">
      <c r="A981">
        <v>-111.97465800000001</v>
      </c>
      <c r="B981">
        <v>33.068213999999998</v>
      </c>
      <c r="C981">
        <v>0.56999999999999995</v>
      </c>
      <c r="D981">
        <v>0.67830000000000001</v>
      </c>
      <c r="E981">
        <v>878754361</v>
      </c>
      <c r="F981">
        <v>160</v>
      </c>
    </row>
    <row r="982" spans="1:6" x14ac:dyDescent="0.25">
      <c r="A982">
        <v>-111.974659</v>
      </c>
      <c r="B982">
        <v>33.068213</v>
      </c>
      <c r="C982">
        <v>0.01</v>
      </c>
      <c r="D982">
        <v>1.1900000000000001E-2</v>
      </c>
      <c r="E982">
        <v>878754363</v>
      </c>
      <c r="F982">
        <v>160</v>
      </c>
    </row>
    <row r="983" spans="1:6" x14ac:dyDescent="0.25">
      <c r="A983">
        <v>-111.97466</v>
      </c>
      <c r="B983">
        <v>33.068207999999998</v>
      </c>
      <c r="C983">
        <v>2.5000000000000001E-2</v>
      </c>
      <c r="D983">
        <v>2.9749999999999999E-2</v>
      </c>
      <c r="E983">
        <v>878754371</v>
      </c>
      <c r="F983">
        <v>160</v>
      </c>
    </row>
    <row r="984" spans="1:6" x14ac:dyDescent="0.25">
      <c r="A984">
        <v>-111.974659</v>
      </c>
      <c r="B984">
        <v>33.068201000000002</v>
      </c>
      <c r="C984">
        <v>3.5000000000000003E-2</v>
      </c>
      <c r="D984">
        <v>4.165E-2</v>
      </c>
      <c r="E984">
        <v>878754373</v>
      </c>
      <c r="F984">
        <v>160</v>
      </c>
    </row>
    <row r="985" spans="1:6" x14ac:dyDescent="0.25">
      <c r="A985">
        <v>-111.97466</v>
      </c>
      <c r="B985">
        <v>33.068193999999998</v>
      </c>
      <c r="C985">
        <v>1.01</v>
      </c>
      <c r="D985">
        <v>1.2019</v>
      </c>
      <c r="E985">
        <v>878754375</v>
      </c>
      <c r="F985">
        <v>160</v>
      </c>
    </row>
    <row r="986" spans="1:6" x14ac:dyDescent="0.25">
      <c r="A986">
        <v>-111.974659</v>
      </c>
      <c r="B986">
        <v>33.068185999999997</v>
      </c>
      <c r="C986">
        <v>1.87</v>
      </c>
      <c r="D986">
        <v>2.2252999999999998</v>
      </c>
      <c r="E986">
        <v>878754377</v>
      </c>
      <c r="F986">
        <v>160</v>
      </c>
    </row>
    <row r="987" spans="1:6" x14ac:dyDescent="0.25">
      <c r="A987">
        <v>-111.974659</v>
      </c>
      <c r="B987">
        <v>33.068179000000001</v>
      </c>
      <c r="C987">
        <v>1.595</v>
      </c>
      <c r="D987">
        <v>1.89805</v>
      </c>
      <c r="E987">
        <v>878754379</v>
      </c>
      <c r="F987">
        <v>160</v>
      </c>
    </row>
    <row r="988" spans="1:6" x14ac:dyDescent="0.25">
      <c r="A988">
        <v>-111.974659</v>
      </c>
      <c r="B988">
        <v>33.068173000000002</v>
      </c>
      <c r="C988">
        <v>0.99</v>
      </c>
      <c r="D988">
        <v>1.1780999999999999</v>
      </c>
      <c r="E988">
        <v>878754381</v>
      </c>
      <c r="F988">
        <v>160</v>
      </c>
    </row>
    <row r="989" spans="1:6" x14ac:dyDescent="0.25">
      <c r="A989">
        <v>-111.974659</v>
      </c>
      <c r="B989">
        <v>33.068165</v>
      </c>
      <c r="C989">
        <v>1.1000000000000001</v>
      </c>
      <c r="D989">
        <v>1.3089999999999999</v>
      </c>
      <c r="E989">
        <v>878754383</v>
      </c>
      <c r="F989">
        <v>160</v>
      </c>
    </row>
    <row r="990" spans="1:6" x14ac:dyDescent="0.25">
      <c r="A990">
        <v>-111.974659</v>
      </c>
      <c r="B990">
        <v>33.068156999999999</v>
      </c>
      <c r="C990">
        <v>1.145</v>
      </c>
      <c r="D990">
        <v>1.3625499999999999</v>
      </c>
      <c r="E990">
        <v>878754385</v>
      </c>
      <c r="F990">
        <v>160</v>
      </c>
    </row>
    <row r="991" spans="1:6" x14ac:dyDescent="0.25">
      <c r="A991">
        <v>-111.974659</v>
      </c>
      <c r="B991">
        <v>33.068150000000003</v>
      </c>
      <c r="C991">
        <v>1.2649999999999999</v>
      </c>
      <c r="D991">
        <v>1.50535</v>
      </c>
      <c r="E991">
        <v>878754387</v>
      </c>
      <c r="F991">
        <v>160</v>
      </c>
    </row>
    <row r="992" spans="1:6" x14ac:dyDescent="0.25">
      <c r="A992">
        <v>-111.974659</v>
      </c>
      <c r="B992">
        <v>33.068140999999997</v>
      </c>
      <c r="C992">
        <v>1.19</v>
      </c>
      <c r="D992">
        <v>1.4160999999999999</v>
      </c>
      <c r="E992">
        <v>878754389</v>
      </c>
      <c r="F992">
        <v>160</v>
      </c>
    </row>
    <row r="993" spans="1:6" x14ac:dyDescent="0.25">
      <c r="A993">
        <v>-111.974659</v>
      </c>
      <c r="B993">
        <v>33.068134000000001</v>
      </c>
      <c r="C993">
        <v>0.99</v>
      </c>
      <c r="D993">
        <v>1.1780999999999999</v>
      </c>
      <c r="E993">
        <v>878754391</v>
      </c>
      <c r="F993">
        <v>160</v>
      </c>
    </row>
    <row r="994" spans="1:6" x14ac:dyDescent="0.25">
      <c r="A994">
        <v>-111.97466</v>
      </c>
      <c r="B994">
        <v>33.068125999999999</v>
      </c>
      <c r="C994">
        <v>0.64500000000000002</v>
      </c>
      <c r="D994">
        <v>0.76754999999999995</v>
      </c>
      <c r="E994">
        <v>878754393</v>
      </c>
      <c r="F994">
        <v>160</v>
      </c>
    </row>
    <row r="995" spans="1:6" x14ac:dyDescent="0.25">
      <c r="A995">
        <v>-111.97466</v>
      </c>
      <c r="B995">
        <v>33.068117999999998</v>
      </c>
      <c r="C995">
        <v>0.91</v>
      </c>
      <c r="D995">
        <v>1.0829</v>
      </c>
      <c r="E995">
        <v>878754395</v>
      </c>
      <c r="F995">
        <v>160</v>
      </c>
    </row>
    <row r="996" spans="1:6" x14ac:dyDescent="0.25">
      <c r="A996">
        <v>-111.97466</v>
      </c>
      <c r="B996">
        <v>33.068111000000002</v>
      </c>
      <c r="C996">
        <v>7.0000000000000007E-2</v>
      </c>
      <c r="D996">
        <v>8.3299999999999999E-2</v>
      </c>
      <c r="E996">
        <v>878754397</v>
      </c>
      <c r="F996">
        <v>160</v>
      </c>
    </row>
    <row r="997" spans="1:6" x14ac:dyDescent="0.25">
      <c r="A997">
        <v>-111.974659</v>
      </c>
      <c r="B997">
        <v>33.068103000000001</v>
      </c>
      <c r="C997">
        <v>0.03</v>
      </c>
      <c r="D997">
        <v>3.5700000000000003E-2</v>
      </c>
      <c r="E997">
        <v>878754399</v>
      </c>
      <c r="F997">
        <v>160</v>
      </c>
    </row>
    <row r="998" spans="1:6" x14ac:dyDescent="0.25">
      <c r="A998">
        <v>-111.974659</v>
      </c>
      <c r="B998">
        <v>33.068095</v>
      </c>
      <c r="C998">
        <v>4.4999999999999998E-2</v>
      </c>
      <c r="D998">
        <v>5.355E-2</v>
      </c>
      <c r="E998">
        <v>878754401</v>
      </c>
      <c r="F998">
        <v>160</v>
      </c>
    </row>
    <row r="999" spans="1:6" x14ac:dyDescent="0.25">
      <c r="A999">
        <v>-111.97466</v>
      </c>
      <c r="B999">
        <v>33.068086999999998</v>
      </c>
      <c r="C999">
        <v>0.05</v>
      </c>
      <c r="D999">
        <v>5.9499999999999997E-2</v>
      </c>
      <c r="E999">
        <v>878754403</v>
      </c>
      <c r="F999">
        <v>160</v>
      </c>
    </row>
    <row r="1000" spans="1:6" x14ac:dyDescent="0.25">
      <c r="A1000">
        <v>-111.97466</v>
      </c>
      <c r="B1000">
        <v>33.068078999999997</v>
      </c>
      <c r="C1000">
        <v>0.20499999999999999</v>
      </c>
      <c r="D1000">
        <v>0.24395</v>
      </c>
      <c r="E1000">
        <v>878754405</v>
      </c>
      <c r="F1000">
        <v>160</v>
      </c>
    </row>
    <row r="1001" spans="1:6" x14ac:dyDescent="0.25">
      <c r="A1001">
        <v>-111.97466</v>
      </c>
      <c r="B1001">
        <v>33.068071000000003</v>
      </c>
      <c r="C1001">
        <v>0.67500000000000004</v>
      </c>
      <c r="D1001">
        <v>0.80325000000000002</v>
      </c>
      <c r="E1001">
        <v>878754407</v>
      </c>
      <c r="F1001">
        <v>160</v>
      </c>
    </row>
    <row r="1002" spans="1:6" x14ac:dyDescent="0.25">
      <c r="A1002">
        <v>-111.97466</v>
      </c>
      <c r="B1002">
        <v>33.068064</v>
      </c>
      <c r="C1002">
        <v>0.70499999999999996</v>
      </c>
      <c r="D1002">
        <v>0.83894999999999997</v>
      </c>
      <c r="E1002">
        <v>878754409</v>
      </c>
      <c r="F1002">
        <v>160</v>
      </c>
    </row>
    <row r="1003" spans="1:6" x14ac:dyDescent="0.25">
      <c r="A1003">
        <v>-111.97466</v>
      </c>
      <c r="B1003">
        <v>33.068055999999999</v>
      </c>
      <c r="C1003">
        <v>0.995</v>
      </c>
      <c r="D1003">
        <v>1.18405</v>
      </c>
      <c r="E1003">
        <v>878754411</v>
      </c>
      <c r="F1003">
        <v>160</v>
      </c>
    </row>
    <row r="1004" spans="1:6" x14ac:dyDescent="0.25">
      <c r="A1004">
        <v>-111.97466</v>
      </c>
      <c r="B1004">
        <v>33.068047</v>
      </c>
      <c r="C1004">
        <v>1.0349999999999999</v>
      </c>
      <c r="D1004">
        <v>1.2316499999999999</v>
      </c>
      <c r="E1004">
        <v>878754413</v>
      </c>
      <c r="F1004">
        <v>160</v>
      </c>
    </row>
    <row r="1005" spans="1:6" x14ac:dyDescent="0.25">
      <c r="A1005">
        <v>-111.97466</v>
      </c>
      <c r="B1005">
        <v>33.068040000000003</v>
      </c>
      <c r="C1005">
        <v>0.06</v>
      </c>
      <c r="D1005">
        <v>7.1400000000000005E-2</v>
      </c>
      <c r="E1005">
        <v>878754415</v>
      </c>
      <c r="F1005">
        <v>160</v>
      </c>
    </row>
    <row r="1006" spans="1:6" x14ac:dyDescent="0.25">
      <c r="A1006">
        <v>-111.97466</v>
      </c>
      <c r="B1006">
        <v>33.068038000000001</v>
      </c>
      <c r="C1006">
        <v>5.0000000000000001E-3</v>
      </c>
      <c r="D1006">
        <v>5.9500000000000004E-3</v>
      </c>
      <c r="E1006">
        <v>878754417</v>
      </c>
      <c r="F1006">
        <v>160</v>
      </c>
    </row>
    <row r="1007" spans="1:6" x14ac:dyDescent="0.25">
      <c r="A1007">
        <v>-111.97466</v>
      </c>
      <c r="B1007">
        <v>33.068038000000001</v>
      </c>
      <c r="C1007">
        <v>1.4999999999999999E-2</v>
      </c>
      <c r="D1007">
        <v>1.7850000000000001E-2</v>
      </c>
      <c r="E1007">
        <v>878754419</v>
      </c>
      <c r="F1007">
        <v>160</v>
      </c>
    </row>
    <row r="1008" spans="1:6" x14ac:dyDescent="0.25">
      <c r="A1008">
        <v>-111.973618</v>
      </c>
      <c r="B1008">
        <v>33.069014000000003</v>
      </c>
      <c r="C1008">
        <v>5.0000000000000001E-3</v>
      </c>
      <c r="D1008">
        <v>4.4799999999999996E-3</v>
      </c>
      <c r="E1008">
        <v>878760185</v>
      </c>
      <c r="F1008">
        <v>120</v>
      </c>
    </row>
    <row r="1009" spans="1:6" x14ac:dyDescent="0.25">
      <c r="A1009">
        <v>-111.973618</v>
      </c>
      <c r="B1009">
        <v>33.069009000000001</v>
      </c>
      <c r="C1009">
        <v>0.19500000000000001</v>
      </c>
      <c r="D1009">
        <v>0.17471999999999999</v>
      </c>
      <c r="E1009">
        <v>878760187</v>
      </c>
      <c r="F1009">
        <v>120</v>
      </c>
    </row>
    <row r="1010" spans="1:6" x14ac:dyDescent="0.25">
      <c r="A1010">
        <v>-111.973618</v>
      </c>
      <c r="B1010">
        <v>33.069003000000002</v>
      </c>
      <c r="C1010">
        <v>0.755</v>
      </c>
      <c r="D1010">
        <v>0.67647999999999997</v>
      </c>
      <c r="E1010">
        <v>878760189</v>
      </c>
      <c r="F1010">
        <v>120</v>
      </c>
    </row>
    <row r="1011" spans="1:6" x14ac:dyDescent="0.25">
      <c r="A1011">
        <v>-111.973618</v>
      </c>
      <c r="B1011">
        <v>33.068995999999999</v>
      </c>
      <c r="C1011">
        <v>0.6</v>
      </c>
      <c r="D1011">
        <v>0.53759999999999997</v>
      </c>
      <c r="E1011">
        <v>878760191</v>
      </c>
      <c r="F1011">
        <v>120</v>
      </c>
    </row>
    <row r="1012" spans="1:6" x14ac:dyDescent="0.25">
      <c r="A1012">
        <v>-111.97362</v>
      </c>
      <c r="B1012">
        <v>33.068987999999997</v>
      </c>
      <c r="C1012">
        <v>0.42499999999999999</v>
      </c>
      <c r="D1012">
        <v>0.38080000000000003</v>
      </c>
      <c r="E1012">
        <v>878760193</v>
      </c>
      <c r="F1012">
        <v>120</v>
      </c>
    </row>
    <row r="1013" spans="1:6" x14ac:dyDescent="0.25">
      <c r="A1013">
        <v>-111.973618</v>
      </c>
      <c r="B1013">
        <v>33.068981999999998</v>
      </c>
      <c r="C1013">
        <v>0.49</v>
      </c>
      <c r="D1013">
        <v>0.43903999999999999</v>
      </c>
      <c r="E1013">
        <v>878760195</v>
      </c>
      <c r="F1013">
        <v>120</v>
      </c>
    </row>
    <row r="1014" spans="1:6" x14ac:dyDescent="0.25">
      <c r="A1014">
        <v>-111.973618</v>
      </c>
      <c r="B1014">
        <v>33.068975000000002</v>
      </c>
      <c r="C1014">
        <v>0.80500000000000005</v>
      </c>
      <c r="D1014">
        <v>0.72128000000000003</v>
      </c>
      <c r="E1014">
        <v>878760197</v>
      </c>
      <c r="F1014">
        <v>120</v>
      </c>
    </row>
    <row r="1015" spans="1:6" x14ac:dyDescent="0.25">
      <c r="A1015">
        <v>-111.973617</v>
      </c>
      <c r="B1015">
        <v>33.068969000000003</v>
      </c>
      <c r="C1015">
        <v>0.78500000000000003</v>
      </c>
      <c r="D1015">
        <v>0.70335999999999999</v>
      </c>
      <c r="E1015">
        <v>878760199</v>
      </c>
      <c r="F1015">
        <v>120</v>
      </c>
    </row>
    <row r="1016" spans="1:6" x14ac:dyDescent="0.25">
      <c r="A1016">
        <v>-111.973617</v>
      </c>
      <c r="B1016">
        <v>33.068961999999999</v>
      </c>
      <c r="C1016">
        <v>0.81</v>
      </c>
      <c r="D1016">
        <v>0.72575999999999996</v>
      </c>
      <c r="E1016">
        <v>878760201</v>
      </c>
      <c r="F1016">
        <v>120</v>
      </c>
    </row>
    <row r="1017" spans="1:6" x14ac:dyDescent="0.25">
      <c r="A1017">
        <v>-111.973618</v>
      </c>
      <c r="B1017">
        <v>33.068955000000003</v>
      </c>
      <c r="C1017">
        <v>0.79500000000000004</v>
      </c>
      <c r="D1017">
        <v>0.71231999999999995</v>
      </c>
      <c r="E1017">
        <v>878760203</v>
      </c>
      <c r="F1017">
        <v>120</v>
      </c>
    </row>
    <row r="1018" spans="1:6" x14ac:dyDescent="0.25">
      <c r="A1018">
        <v>-111.973618</v>
      </c>
      <c r="B1018">
        <v>33.068945999999997</v>
      </c>
      <c r="C1018">
        <v>0.85</v>
      </c>
      <c r="D1018">
        <v>0.76160000000000005</v>
      </c>
      <c r="E1018">
        <v>878760205</v>
      </c>
      <c r="F1018">
        <v>120</v>
      </c>
    </row>
    <row r="1019" spans="1:6" x14ac:dyDescent="0.25">
      <c r="A1019">
        <v>-111.973618</v>
      </c>
      <c r="B1019">
        <v>33.068938000000003</v>
      </c>
      <c r="C1019">
        <v>0.66</v>
      </c>
      <c r="D1019">
        <v>0.59136</v>
      </c>
      <c r="E1019">
        <v>878760207</v>
      </c>
      <c r="F1019">
        <v>120</v>
      </c>
    </row>
    <row r="1020" spans="1:6" x14ac:dyDescent="0.25">
      <c r="A1020">
        <v>-111.973618</v>
      </c>
      <c r="B1020">
        <v>33.068931999999997</v>
      </c>
      <c r="C1020">
        <v>0.435</v>
      </c>
      <c r="D1020">
        <v>0.38976</v>
      </c>
      <c r="E1020">
        <v>878760209</v>
      </c>
      <c r="F1020">
        <v>120</v>
      </c>
    </row>
    <row r="1021" spans="1:6" x14ac:dyDescent="0.25">
      <c r="A1021">
        <v>-111.973618</v>
      </c>
      <c r="B1021">
        <v>33.068924000000003</v>
      </c>
      <c r="C1021">
        <v>0.66500000000000004</v>
      </c>
      <c r="D1021">
        <v>0.59584000000000004</v>
      </c>
      <c r="E1021">
        <v>878760211</v>
      </c>
      <c r="F1021">
        <v>120</v>
      </c>
    </row>
    <row r="1022" spans="1:6" x14ac:dyDescent="0.25">
      <c r="A1022">
        <v>-111.973619</v>
      </c>
      <c r="B1022">
        <v>33.068916000000002</v>
      </c>
      <c r="C1022">
        <v>0.97499999999999998</v>
      </c>
      <c r="D1022">
        <v>0.87360000000000004</v>
      </c>
      <c r="E1022">
        <v>878760213</v>
      </c>
      <c r="F1022">
        <v>120</v>
      </c>
    </row>
    <row r="1023" spans="1:6" x14ac:dyDescent="0.25">
      <c r="A1023">
        <v>-111.973619</v>
      </c>
      <c r="B1023">
        <v>33.068908999999998</v>
      </c>
      <c r="C1023">
        <v>0.94</v>
      </c>
      <c r="D1023">
        <v>0.84223999999999999</v>
      </c>
      <c r="E1023">
        <v>878760215</v>
      </c>
      <c r="F1023">
        <v>120</v>
      </c>
    </row>
    <row r="1024" spans="1:6" x14ac:dyDescent="0.25">
      <c r="A1024">
        <v>-111.973618</v>
      </c>
      <c r="B1024">
        <v>33.068902000000001</v>
      </c>
      <c r="C1024">
        <v>0.9</v>
      </c>
      <c r="D1024">
        <v>0.80640000000000001</v>
      </c>
      <c r="E1024">
        <v>878760217</v>
      </c>
      <c r="F1024">
        <v>120</v>
      </c>
    </row>
    <row r="1025" spans="1:6" x14ac:dyDescent="0.25">
      <c r="A1025">
        <v>-111.973618</v>
      </c>
      <c r="B1025">
        <v>33.068894</v>
      </c>
      <c r="C1025">
        <v>1.02</v>
      </c>
      <c r="D1025">
        <v>0.91391999999999995</v>
      </c>
      <c r="E1025">
        <v>878760219</v>
      </c>
      <c r="F1025">
        <v>120</v>
      </c>
    </row>
    <row r="1026" spans="1:6" x14ac:dyDescent="0.25">
      <c r="A1026">
        <v>-111.973618</v>
      </c>
      <c r="B1026">
        <v>33.068886999999997</v>
      </c>
      <c r="C1026">
        <v>0.95499999999999996</v>
      </c>
      <c r="D1026">
        <v>0.85568</v>
      </c>
      <c r="E1026">
        <v>878760221</v>
      </c>
      <c r="F1026">
        <v>120</v>
      </c>
    </row>
    <row r="1027" spans="1:6" x14ac:dyDescent="0.25">
      <c r="A1027">
        <v>-111.973618</v>
      </c>
      <c r="B1027">
        <v>33.068879000000003</v>
      </c>
      <c r="C1027">
        <v>1.125</v>
      </c>
      <c r="D1027">
        <v>1.008</v>
      </c>
      <c r="E1027">
        <v>878760223</v>
      </c>
      <c r="F1027">
        <v>120</v>
      </c>
    </row>
    <row r="1028" spans="1:6" x14ac:dyDescent="0.25">
      <c r="A1028">
        <v>-111.973618</v>
      </c>
      <c r="B1028">
        <v>33.068871999999999</v>
      </c>
      <c r="C1028">
        <v>1.135</v>
      </c>
      <c r="D1028">
        <v>1.0169600000000001</v>
      </c>
      <c r="E1028">
        <v>878760225</v>
      </c>
      <c r="F1028">
        <v>120</v>
      </c>
    </row>
    <row r="1029" spans="1:6" x14ac:dyDescent="0.25">
      <c r="A1029">
        <v>-111.973618</v>
      </c>
      <c r="B1029">
        <v>33.068863999999998</v>
      </c>
      <c r="C1029">
        <v>1.145</v>
      </c>
      <c r="D1029">
        <v>1.0259199999999999</v>
      </c>
      <c r="E1029">
        <v>878760227</v>
      </c>
      <c r="F1029">
        <v>120</v>
      </c>
    </row>
    <row r="1030" spans="1:6" x14ac:dyDescent="0.25">
      <c r="A1030">
        <v>-111.973618</v>
      </c>
      <c r="B1030">
        <v>33.068857000000001</v>
      </c>
      <c r="C1030">
        <v>1.385</v>
      </c>
      <c r="D1030">
        <v>1.2409600000000001</v>
      </c>
      <c r="E1030">
        <v>878760229</v>
      </c>
      <c r="F1030">
        <v>120</v>
      </c>
    </row>
    <row r="1031" spans="1:6" x14ac:dyDescent="0.25">
      <c r="A1031">
        <v>-111.973618</v>
      </c>
      <c r="B1031">
        <v>33.068849</v>
      </c>
      <c r="C1031">
        <v>0.22</v>
      </c>
      <c r="D1031">
        <v>0.19711999999999999</v>
      </c>
      <c r="E1031">
        <v>878760231</v>
      </c>
      <c r="F1031">
        <v>120</v>
      </c>
    </row>
    <row r="1032" spans="1:6" x14ac:dyDescent="0.25">
      <c r="A1032">
        <v>-111.97362</v>
      </c>
      <c r="B1032">
        <v>33.068840999999999</v>
      </c>
      <c r="C1032">
        <v>5.0000000000000001E-3</v>
      </c>
      <c r="D1032">
        <v>4.4799999999999996E-3</v>
      </c>
      <c r="E1032">
        <v>878760233</v>
      </c>
      <c r="F1032">
        <v>120</v>
      </c>
    </row>
    <row r="1033" spans="1:6" x14ac:dyDescent="0.25">
      <c r="A1033">
        <v>-111.973618</v>
      </c>
      <c r="B1033">
        <v>33.068767999999999</v>
      </c>
      <c r="C1033">
        <v>0.23499999999999999</v>
      </c>
      <c r="D1033">
        <v>0.21056</v>
      </c>
      <c r="E1033">
        <v>878760253</v>
      </c>
      <c r="F1033">
        <v>120</v>
      </c>
    </row>
    <row r="1034" spans="1:6" x14ac:dyDescent="0.25">
      <c r="A1034">
        <v>-111.97362</v>
      </c>
      <c r="B1034">
        <v>33.068759999999997</v>
      </c>
      <c r="C1034">
        <v>1.07</v>
      </c>
      <c r="D1034">
        <v>0.95872000000000002</v>
      </c>
      <c r="E1034">
        <v>878760255</v>
      </c>
      <c r="F1034">
        <v>120</v>
      </c>
    </row>
    <row r="1035" spans="1:6" x14ac:dyDescent="0.25">
      <c r="A1035">
        <v>-111.97362099999999</v>
      </c>
      <c r="B1035">
        <v>33.068753999999998</v>
      </c>
      <c r="C1035">
        <v>1.075</v>
      </c>
      <c r="D1035">
        <v>0.96319999999999995</v>
      </c>
      <c r="E1035">
        <v>878760257</v>
      </c>
      <c r="F1035">
        <v>120</v>
      </c>
    </row>
    <row r="1036" spans="1:6" x14ac:dyDescent="0.25">
      <c r="A1036">
        <v>-111.97362</v>
      </c>
      <c r="B1036">
        <v>33.068745999999997</v>
      </c>
      <c r="C1036">
        <v>1.385</v>
      </c>
      <c r="D1036">
        <v>1.2409600000000001</v>
      </c>
      <c r="E1036">
        <v>878760259</v>
      </c>
      <c r="F1036">
        <v>120</v>
      </c>
    </row>
    <row r="1037" spans="1:6" x14ac:dyDescent="0.25">
      <c r="A1037">
        <v>-111.973618</v>
      </c>
      <c r="B1037">
        <v>33.068739000000001</v>
      </c>
      <c r="C1037">
        <v>1.34</v>
      </c>
      <c r="D1037">
        <v>1.2006399999999999</v>
      </c>
      <c r="E1037">
        <v>878760261</v>
      </c>
      <c r="F1037">
        <v>120</v>
      </c>
    </row>
    <row r="1038" spans="1:6" x14ac:dyDescent="0.25">
      <c r="A1038">
        <v>-111.973619</v>
      </c>
      <c r="B1038">
        <v>33.068730000000002</v>
      </c>
      <c r="C1038">
        <v>1.425</v>
      </c>
      <c r="D1038">
        <v>1.2767999999999999</v>
      </c>
      <c r="E1038">
        <v>878760263</v>
      </c>
      <c r="F1038">
        <v>120</v>
      </c>
    </row>
    <row r="1039" spans="1:6" x14ac:dyDescent="0.25">
      <c r="A1039">
        <v>-111.973619</v>
      </c>
      <c r="B1039">
        <v>33.068722000000001</v>
      </c>
      <c r="C1039">
        <v>1.51</v>
      </c>
      <c r="D1039">
        <v>1.3529599999999999</v>
      </c>
      <c r="E1039">
        <v>878760265</v>
      </c>
      <c r="F1039">
        <v>120</v>
      </c>
    </row>
    <row r="1040" spans="1:6" x14ac:dyDescent="0.25">
      <c r="A1040">
        <v>-111.973619</v>
      </c>
      <c r="B1040">
        <v>33.068714999999997</v>
      </c>
      <c r="C1040">
        <v>1.405</v>
      </c>
      <c r="D1040">
        <v>1.25888</v>
      </c>
      <c r="E1040">
        <v>878760267</v>
      </c>
      <c r="F1040">
        <v>120</v>
      </c>
    </row>
    <row r="1041" spans="1:6" x14ac:dyDescent="0.25">
      <c r="A1041">
        <v>-111.973619</v>
      </c>
      <c r="B1041">
        <v>33.068708000000001</v>
      </c>
      <c r="C1041">
        <v>1.175</v>
      </c>
      <c r="D1041">
        <v>1.0528</v>
      </c>
      <c r="E1041">
        <v>878760269</v>
      </c>
      <c r="F1041">
        <v>120</v>
      </c>
    </row>
    <row r="1042" spans="1:6" x14ac:dyDescent="0.25">
      <c r="A1042">
        <v>-111.973618</v>
      </c>
      <c r="B1042">
        <v>33.068700999999997</v>
      </c>
      <c r="C1042">
        <v>1.43</v>
      </c>
      <c r="D1042">
        <v>1.28128</v>
      </c>
      <c r="E1042">
        <v>878760271</v>
      </c>
      <c r="F1042">
        <v>120</v>
      </c>
    </row>
    <row r="1043" spans="1:6" x14ac:dyDescent="0.25">
      <c r="A1043">
        <v>-111.973618</v>
      </c>
      <c r="B1043">
        <v>33.068694999999998</v>
      </c>
      <c r="C1043">
        <v>1.61</v>
      </c>
      <c r="D1043">
        <v>1.4425600000000001</v>
      </c>
      <c r="E1043">
        <v>878760273</v>
      </c>
      <c r="F1043">
        <v>120</v>
      </c>
    </row>
    <row r="1044" spans="1:6" x14ac:dyDescent="0.25">
      <c r="A1044">
        <v>-111.973618</v>
      </c>
      <c r="B1044">
        <v>33.068686999999997</v>
      </c>
      <c r="C1044">
        <v>1.2450000000000001</v>
      </c>
      <c r="D1044">
        <v>1.1155200000000001</v>
      </c>
      <c r="E1044">
        <v>878760275</v>
      </c>
      <c r="F1044">
        <v>120</v>
      </c>
    </row>
    <row r="1045" spans="1:6" x14ac:dyDescent="0.25">
      <c r="A1045">
        <v>-111.973618</v>
      </c>
      <c r="B1045">
        <v>33.068680000000001</v>
      </c>
      <c r="C1045">
        <v>1.43</v>
      </c>
      <c r="D1045">
        <v>1.28128</v>
      </c>
      <c r="E1045">
        <v>878760277</v>
      </c>
      <c r="F1045">
        <v>120</v>
      </c>
    </row>
    <row r="1046" spans="1:6" x14ac:dyDescent="0.25">
      <c r="A1046">
        <v>-111.973619</v>
      </c>
      <c r="B1046">
        <v>33.068672999999997</v>
      </c>
      <c r="C1046">
        <v>1.34</v>
      </c>
      <c r="D1046">
        <v>1.2006399999999999</v>
      </c>
      <c r="E1046">
        <v>878760279</v>
      </c>
      <c r="F1046">
        <v>120</v>
      </c>
    </row>
    <row r="1047" spans="1:6" x14ac:dyDescent="0.25">
      <c r="A1047">
        <v>-111.973618</v>
      </c>
      <c r="B1047">
        <v>33.068665000000003</v>
      </c>
      <c r="C1047">
        <v>1.55</v>
      </c>
      <c r="D1047">
        <v>1.3888</v>
      </c>
      <c r="E1047">
        <v>878760281</v>
      </c>
      <c r="F1047">
        <v>120</v>
      </c>
    </row>
    <row r="1048" spans="1:6" x14ac:dyDescent="0.25">
      <c r="A1048">
        <v>-111.973617</v>
      </c>
      <c r="B1048">
        <v>33.068657999999999</v>
      </c>
      <c r="C1048">
        <v>1.31</v>
      </c>
      <c r="D1048">
        <v>1.1737599999999999</v>
      </c>
      <c r="E1048">
        <v>878760283</v>
      </c>
      <c r="F1048">
        <v>120</v>
      </c>
    </row>
    <row r="1049" spans="1:6" x14ac:dyDescent="0.25">
      <c r="A1049">
        <v>-111.973617</v>
      </c>
      <c r="B1049">
        <v>33.068649999999998</v>
      </c>
      <c r="C1049">
        <v>1.47</v>
      </c>
      <c r="D1049">
        <v>1.3171200000000001</v>
      </c>
      <c r="E1049">
        <v>878760285</v>
      </c>
      <c r="F1049">
        <v>120</v>
      </c>
    </row>
    <row r="1050" spans="1:6" x14ac:dyDescent="0.25">
      <c r="A1050">
        <v>-111.973617</v>
      </c>
      <c r="B1050">
        <v>33.068641999999997</v>
      </c>
      <c r="C1050">
        <v>1.2749999999999999</v>
      </c>
      <c r="D1050">
        <v>1.1424000000000001</v>
      </c>
      <c r="E1050">
        <v>878760287</v>
      </c>
      <c r="F1050">
        <v>120</v>
      </c>
    </row>
    <row r="1051" spans="1:6" x14ac:dyDescent="0.25">
      <c r="A1051">
        <v>-111.973618</v>
      </c>
      <c r="B1051">
        <v>33.068635</v>
      </c>
      <c r="C1051">
        <v>1.47</v>
      </c>
      <c r="D1051">
        <v>1.3171200000000001</v>
      </c>
      <c r="E1051">
        <v>878760289</v>
      </c>
      <c r="F1051">
        <v>120</v>
      </c>
    </row>
    <row r="1052" spans="1:6" x14ac:dyDescent="0.25">
      <c r="A1052">
        <v>-111.973618</v>
      </c>
      <c r="B1052">
        <v>33.068627999999997</v>
      </c>
      <c r="C1052">
        <v>1.56</v>
      </c>
      <c r="D1052">
        <v>1.3977599999999999</v>
      </c>
      <c r="E1052">
        <v>878760291</v>
      </c>
      <c r="F1052">
        <v>120</v>
      </c>
    </row>
    <row r="1053" spans="1:6" x14ac:dyDescent="0.25">
      <c r="A1053">
        <v>-111.973618</v>
      </c>
      <c r="B1053">
        <v>33.068623000000002</v>
      </c>
      <c r="C1053">
        <v>1.21</v>
      </c>
      <c r="D1053">
        <v>1.08416</v>
      </c>
      <c r="E1053">
        <v>878760293</v>
      </c>
      <c r="F1053">
        <v>120</v>
      </c>
    </row>
    <row r="1054" spans="1:6" x14ac:dyDescent="0.25">
      <c r="A1054">
        <v>-111.973619</v>
      </c>
      <c r="B1054">
        <v>33.068612999999999</v>
      </c>
      <c r="C1054">
        <v>0.72</v>
      </c>
      <c r="D1054">
        <v>0.64512000000000003</v>
      </c>
      <c r="E1054">
        <v>878760295</v>
      </c>
      <c r="F1054">
        <v>120</v>
      </c>
    </row>
    <row r="1055" spans="1:6" x14ac:dyDescent="0.25">
      <c r="A1055">
        <v>-111.973619</v>
      </c>
      <c r="B1055">
        <v>33.06861</v>
      </c>
      <c r="C1055">
        <v>4.4999999999999998E-2</v>
      </c>
      <c r="D1055">
        <v>4.0320000000000002E-2</v>
      </c>
      <c r="E1055">
        <v>878760297</v>
      </c>
      <c r="F1055">
        <v>120</v>
      </c>
    </row>
    <row r="1056" spans="1:6" x14ac:dyDescent="0.25">
      <c r="A1056">
        <v>-111.973618</v>
      </c>
      <c r="B1056">
        <v>33.06861</v>
      </c>
      <c r="C1056">
        <v>5.0000000000000001E-3</v>
      </c>
      <c r="D1056">
        <v>4.4799999999999996E-3</v>
      </c>
      <c r="E1056">
        <v>878760303</v>
      </c>
      <c r="F1056">
        <v>120</v>
      </c>
    </row>
    <row r="1057" spans="1:6" x14ac:dyDescent="0.25">
      <c r="A1057">
        <v>-111.973618</v>
      </c>
      <c r="B1057">
        <v>33.068603000000003</v>
      </c>
      <c r="C1057">
        <v>5.0000000000000001E-3</v>
      </c>
      <c r="D1057">
        <v>4.4799999999999996E-3</v>
      </c>
      <c r="E1057">
        <v>878760305</v>
      </c>
      <c r="F1057">
        <v>120</v>
      </c>
    </row>
    <row r="1058" spans="1:6" x14ac:dyDescent="0.25">
      <c r="A1058">
        <v>-111.97362</v>
      </c>
      <c r="B1058">
        <v>33.068595999999999</v>
      </c>
      <c r="C1058">
        <v>0.48</v>
      </c>
      <c r="D1058">
        <v>0.43008000000000002</v>
      </c>
      <c r="E1058">
        <v>878760307</v>
      </c>
      <c r="F1058">
        <v>120</v>
      </c>
    </row>
    <row r="1059" spans="1:6" x14ac:dyDescent="0.25">
      <c r="A1059">
        <v>-111.97362</v>
      </c>
      <c r="B1059">
        <v>33.068589000000003</v>
      </c>
      <c r="C1059">
        <v>0.97</v>
      </c>
      <c r="D1059">
        <v>0.86912</v>
      </c>
      <c r="E1059">
        <v>878760309</v>
      </c>
      <c r="F1059">
        <v>120</v>
      </c>
    </row>
    <row r="1060" spans="1:6" x14ac:dyDescent="0.25">
      <c r="A1060">
        <v>-111.973619</v>
      </c>
      <c r="B1060">
        <v>33.068581999999999</v>
      </c>
      <c r="C1060">
        <v>1.5</v>
      </c>
      <c r="D1060">
        <v>1.3440000000000001</v>
      </c>
      <c r="E1060">
        <v>878760311</v>
      </c>
      <c r="F1060">
        <v>120</v>
      </c>
    </row>
    <row r="1061" spans="1:6" x14ac:dyDescent="0.25">
      <c r="A1061">
        <v>-111.973618</v>
      </c>
      <c r="B1061">
        <v>33.068575000000003</v>
      </c>
      <c r="C1061">
        <v>1.65</v>
      </c>
      <c r="D1061">
        <v>1.4783999999999999</v>
      </c>
      <c r="E1061">
        <v>878760313</v>
      </c>
      <c r="F1061">
        <v>120</v>
      </c>
    </row>
    <row r="1062" spans="1:6" x14ac:dyDescent="0.25">
      <c r="A1062">
        <v>-111.97361600000001</v>
      </c>
      <c r="B1062">
        <v>33.068567999999999</v>
      </c>
      <c r="C1062">
        <v>1.39</v>
      </c>
      <c r="D1062">
        <v>1.2454400000000001</v>
      </c>
      <c r="E1062">
        <v>878760315</v>
      </c>
      <c r="F1062">
        <v>120</v>
      </c>
    </row>
    <row r="1063" spans="1:6" x14ac:dyDescent="0.25">
      <c r="A1063">
        <v>-111.97361600000001</v>
      </c>
      <c r="B1063">
        <v>33.068561000000003</v>
      </c>
      <c r="C1063">
        <v>1.63</v>
      </c>
      <c r="D1063">
        <v>1.46048</v>
      </c>
      <c r="E1063">
        <v>878760317</v>
      </c>
      <c r="F1063">
        <v>120</v>
      </c>
    </row>
    <row r="1064" spans="1:6" x14ac:dyDescent="0.25">
      <c r="A1064">
        <v>-111.973617</v>
      </c>
      <c r="B1064">
        <v>33.068553999999999</v>
      </c>
      <c r="C1064">
        <v>1.37</v>
      </c>
      <c r="D1064">
        <v>1.2275199999999999</v>
      </c>
      <c r="E1064">
        <v>878760319</v>
      </c>
      <c r="F1064">
        <v>120</v>
      </c>
    </row>
    <row r="1065" spans="1:6" x14ac:dyDescent="0.25">
      <c r="A1065">
        <v>-111.973617</v>
      </c>
      <c r="B1065">
        <v>33.068547000000002</v>
      </c>
      <c r="C1065">
        <v>1.26</v>
      </c>
      <c r="D1065">
        <v>1.12896</v>
      </c>
      <c r="E1065">
        <v>878760321</v>
      </c>
      <c r="F1065">
        <v>120</v>
      </c>
    </row>
    <row r="1066" spans="1:6" x14ac:dyDescent="0.25">
      <c r="A1066">
        <v>-111.973618</v>
      </c>
      <c r="B1066">
        <v>33.068539000000001</v>
      </c>
      <c r="C1066">
        <v>1.375</v>
      </c>
      <c r="D1066">
        <v>1.232</v>
      </c>
      <c r="E1066">
        <v>878760323</v>
      </c>
      <c r="F1066">
        <v>120</v>
      </c>
    </row>
    <row r="1067" spans="1:6" x14ac:dyDescent="0.25">
      <c r="A1067">
        <v>-111.973618</v>
      </c>
      <c r="B1067">
        <v>33.068531999999998</v>
      </c>
      <c r="C1067">
        <v>1.51</v>
      </c>
      <c r="D1067">
        <v>1.3529599999999999</v>
      </c>
      <c r="E1067">
        <v>878760325</v>
      </c>
      <c r="F1067">
        <v>120</v>
      </c>
    </row>
    <row r="1068" spans="1:6" x14ac:dyDescent="0.25">
      <c r="A1068">
        <v>-111.973618</v>
      </c>
      <c r="B1068">
        <v>33.068523999999996</v>
      </c>
      <c r="C1068">
        <v>1.21</v>
      </c>
      <c r="D1068">
        <v>1.08416</v>
      </c>
      <c r="E1068">
        <v>878760327</v>
      </c>
      <c r="F1068">
        <v>120</v>
      </c>
    </row>
    <row r="1069" spans="1:6" x14ac:dyDescent="0.25">
      <c r="A1069">
        <v>-111.973618</v>
      </c>
      <c r="B1069">
        <v>33.068516000000002</v>
      </c>
      <c r="C1069">
        <v>1.28</v>
      </c>
      <c r="D1069">
        <v>1.1468799999999999</v>
      </c>
      <c r="E1069">
        <v>878760329</v>
      </c>
      <c r="F1069">
        <v>120</v>
      </c>
    </row>
    <row r="1070" spans="1:6" x14ac:dyDescent="0.25">
      <c r="A1070">
        <v>-111.973618</v>
      </c>
      <c r="B1070">
        <v>33.068510000000003</v>
      </c>
      <c r="C1070">
        <v>1.38</v>
      </c>
      <c r="D1070">
        <v>1.23648</v>
      </c>
      <c r="E1070">
        <v>878760331</v>
      </c>
      <c r="F1070">
        <v>120</v>
      </c>
    </row>
    <row r="1071" spans="1:6" x14ac:dyDescent="0.25">
      <c r="A1071">
        <v>-111.973617</v>
      </c>
      <c r="B1071">
        <v>33.068502000000002</v>
      </c>
      <c r="C1071">
        <v>1.37</v>
      </c>
      <c r="D1071">
        <v>1.2275199999999999</v>
      </c>
      <c r="E1071">
        <v>878760333</v>
      </c>
      <c r="F1071">
        <v>120</v>
      </c>
    </row>
    <row r="1072" spans="1:6" x14ac:dyDescent="0.25">
      <c r="A1072">
        <v>-111.973617</v>
      </c>
      <c r="B1072">
        <v>33.068494999999999</v>
      </c>
      <c r="C1072">
        <v>1.385</v>
      </c>
      <c r="D1072">
        <v>1.2409600000000001</v>
      </c>
      <c r="E1072">
        <v>878760335</v>
      </c>
      <c r="F1072">
        <v>120</v>
      </c>
    </row>
    <row r="1073" spans="1:6" x14ac:dyDescent="0.25">
      <c r="A1073">
        <v>-111.973617</v>
      </c>
      <c r="B1073">
        <v>33.068486999999998</v>
      </c>
      <c r="C1073">
        <v>1.39</v>
      </c>
      <c r="D1073">
        <v>1.2454400000000001</v>
      </c>
      <c r="E1073">
        <v>878760337</v>
      </c>
      <c r="F1073">
        <v>120</v>
      </c>
    </row>
    <row r="1074" spans="1:6" x14ac:dyDescent="0.25">
      <c r="A1074">
        <v>-111.973617</v>
      </c>
      <c r="B1074">
        <v>33.068480000000001</v>
      </c>
      <c r="C1074">
        <v>1.2949999999999999</v>
      </c>
      <c r="D1074">
        <v>1.16032</v>
      </c>
      <c r="E1074">
        <v>878760339</v>
      </c>
      <c r="F1074">
        <v>120</v>
      </c>
    </row>
    <row r="1075" spans="1:6" x14ac:dyDescent="0.25">
      <c r="A1075">
        <v>-111.973618</v>
      </c>
      <c r="B1075">
        <v>33.068472</v>
      </c>
      <c r="C1075">
        <v>1.2949999999999999</v>
      </c>
      <c r="D1075">
        <v>1.16032</v>
      </c>
      <c r="E1075">
        <v>878760341</v>
      </c>
      <c r="F1075">
        <v>120</v>
      </c>
    </row>
    <row r="1076" spans="1:6" x14ac:dyDescent="0.25">
      <c r="A1076">
        <v>-111.973617</v>
      </c>
      <c r="B1076">
        <v>33.068465000000003</v>
      </c>
      <c r="C1076">
        <v>1.125</v>
      </c>
      <c r="D1076">
        <v>1.008</v>
      </c>
      <c r="E1076">
        <v>878760343</v>
      </c>
      <c r="F1076">
        <v>120</v>
      </c>
    </row>
    <row r="1077" spans="1:6" x14ac:dyDescent="0.25">
      <c r="A1077">
        <v>-111.973618</v>
      </c>
      <c r="B1077">
        <v>33.068458</v>
      </c>
      <c r="C1077">
        <v>1.28</v>
      </c>
      <c r="D1077">
        <v>1.1468799999999999</v>
      </c>
      <c r="E1077">
        <v>878760345</v>
      </c>
      <c r="F1077">
        <v>120</v>
      </c>
    </row>
    <row r="1078" spans="1:6" x14ac:dyDescent="0.25">
      <c r="A1078">
        <v>-111.973618</v>
      </c>
      <c r="B1078">
        <v>33.068449999999999</v>
      </c>
      <c r="C1078">
        <v>1.49</v>
      </c>
      <c r="D1078">
        <v>1.33504</v>
      </c>
      <c r="E1078">
        <v>878760347</v>
      </c>
      <c r="F1078">
        <v>120</v>
      </c>
    </row>
    <row r="1079" spans="1:6" x14ac:dyDescent="0.25">
      <c r="A1079">
        <v>-111.973618</v>
      </c>
      <c r="B1079">
        <v>33.068443000000002</v>
      </c>
      <c r="C1079">
        <v>0.67</v>
      </c>
      <c r="D1079">
        <v>0.60031999999999996</v>
      </c>
      <c r="E1079">
        <v>878760349</v>
      </c>
      <c r="F1079">
        <v>120</v>
      </c>
    </row>
    <row r="1080" spans="1:6" x14ac:dyDescent="0.25">
      <c r="A1080">
        <v>-111.973618</v>
      </c>
      <c r="B1080">
        <v>33.068435000000001</v>
      </c>
      <c r="C1080">
        <v>2.5000000000000001E-2</v>
      </c>
      <c r="D1080">
        <v>2.24E-2</v>
      </c>
      <c r="E1080">
        <v>878760351</v>
      </c>
      <c r="F1080">
        <v>120</v>
      </c>
    </row>
    <row r="1081" spans="1:6" x14ac:dyDescent="0.25">
      <c r="A1081">
        <v>-111.973619</v>
      </c>
      <c r="B1081">
        <v>33.068361000000003</v>
      </c>
      <c r="C1081">
        <v>2.5000000000000001E-2</v>
      </c>
      <c r="D1081">
        <v>2.24E-2</v>
      </c>
      <c r="E1081">
        <v>878760371</v>
      </c>
      <c r="F1081">
        <v>120</v>
      </c>
    </row>
    <row r="1082" spans="1:6" x14ac:dyDescent="0.25">
      <c r="A1082">
        <v>-111.97362</v>
      </c>
      <c r="B1082">
        <v>33.068353999999999</v>
      </c>
      <c r="C1082">
        <v>0.315</v>
      </c>
      <c r="D1082">
        <v>0.28223999999999999</v>
      </c>
      <c r="E1082">
        <v>878760373</v>
      </c>
      <c r="F1082">
        <v>120</v>
      </c>
    </row>
    <row r="1083" spans="1:6" x14ac:dyDescent="0.25">
      <c r="A1083">
        <v>-111.97362</v>
      </c>
      <c r="B1083">
        <v>33.068347000000003</v>
      </c>
      <c r="C1083">
        <v>1.0149999999999999</v>
      </c>
      <c r="D1083">
        <v>0.90944000000000003</v>
      </c>
      <c r="E1083">
        <v>878760375</v>
      </c>
      <c r="F1083">
        <v>120</v>
      </c>
    </row>
    <row r="1084" spans="1:6" x14ac:dyDescent="0.25">
      <c r="A1084">
        <v>-111.973619</v>
      </c>
      <c r="B1084">
        <v>33.068339000000002</v>
      </c>
      <c r="C1084">
        <v>1.2949999999999999</v>
      </c>
      <c r="D1084">
        <v>1.16032</v>
      </c>
      <c r="E1084">
        <v>878760377</v>
      </c>
      <c r="F1084">
        <v>120</v>
      </c>
    </row>
    <row r="1085" spans="1:6" x14ac:dyDescent="0.25">
      <c r="A1085">
        <v>-111.973617</v>
      </c>
      <c r="B1085">
        <v>33.068331999999998</v>
      </c>
      <c r="C1085">
        <v>1.2849999999999999</v>
      </c>
      <c r="D1085">
        <v>1.1513599999999999</v>
      </c>
      <c r="E1085">
        <v>878760379</v>
      </c>
      <c r="F1085">
        <v>120</v>
      </c>
    </row>
    <row r="1086" spans="1:6" x14ac:dyDescent="0.25">
      <c r="A1086">
        <v>-111.973617</v>
      </c>
      <c r="B1086">
        <v>33.068323999999997</v>
      </c>
      <c r="C1086">
        <v>0.995</v>
      </c>
      <c r="D1086">
        <v>0.89151999999999998</v>
      </c>
      <c r="E1086">
        <v>878760381</v>
      </c>
      <c r="F1086">
        <v>120</v>
      </c>
    </row>
    <row r="1087" spans="1:6" x14ac:dyDescent="0.25">
      <c r="A1087">
        <v>-111.973618</v>
      </c>
      <c r="B1087">
        <v>33.068316000000003</v>
      </c>
      <c r="C1087">
        <v>1.26</v>
      </c>
      <c r="D1087">
        <v>1.12896</v>
      </c>
      <c r="E1087">
        <v>878760383</v>
      </c>
      <c r="F1087">
        <v>120</v>
      </c>
    </row>
    <row r="1088" spans="1:6" x14ac:dyDescent="0.25">
      <c r="A1088">
        <v>-111.973618</v>
      </c>
      <c r="B1088">
        <v>33.068308999999999</v>
      </c>
      <c r="C1088">
        <v>1.155</v>
      </c>
      <c r="D1088">
        <v>1.03488</v>
      </c>
      <c r="E1088">
        <v>878760385</v>
      </c>
      <c r="F1088">
        <v>120</v>
      </c>
    </row>
    <row r="1089" spans="1:6" x14ac:dyDescent="0.25">
      <c r="A1089">
        <v>-111.973618</v>
      </c>
      <c r="B1089">
        <v>33.068302000000003</v>
      </c>
      <c r="C1089">
        <v>0.99</v>
      </c>
      <c r="D1089">
        <v>0.88704000000000005</v>
      </c>
      <c r="E1089">
        <v>878760387</v>
      </c>
      <c r="F1089">
        <v>120</v>
      </c>
    </row>
    <row r="1090" spans="1:6" x14ac:dyDescent="0.25">
      <c r="A1090">
        <v>-111.973619</v>
      </c>
      <c r="B1090">
        <v>33.068295999999997</v>
      </c>
      <c r="C1090">
        <v>1.25</v>
      </c>
      <c r="D1090">
        <v>1.1200000000000001</v>
      </c>
      <c r="E1090">
        <v>878760389</v>
      </c>
      <c r="F1090">
        <v>120</v>
      </c>
    </row>
    <row r="1091" spans="1:6" x14ac:dyDescent="0.25">
      <c r="A1091">
        <v>-111.973618</v>
      </c>
      <c r="B1091">
        <v>33.068288000000003</v>
      </c>
      <c r="C1091">
        <v>1.1000000000000001</v>
      </c>
      <c r="D1091">
        <v>0.98560000000000003</v>
      </c>
      <c r="E1091">
        <v>878760391</v>
      </c>
      <c r="F1091">
        <v>120</v>
      </c>
    </row>
    <row r="1092" spans="1:6" x14ac:dyDescent="0.25">
      <c r="A1092">
        <v>-111.973618</v>
      </c>
      <c r="B1092">
        <v>33.068280000000001</v>
      </c>
      <c r="C1092">
        <v>1.32</v>
      </c>
      <c r="D1092">
        <v>1.18272</v>
      </c>
      <c r="E1092">
        <v>878760393</v>
      </c>
      <c r="F1092">
        <v>120</v>
      </c>
    </row>
    <row r="1093" spans="1:6" x14ac:dyDescent="0.25">
      <c r="A1093">
        <v>-111.973618</v>
      </c>
      <c r="B1093">
        <v>33.068272999999998</v>
      </c>
      <c r="C1093">
        <v>1.02</v>
      </c>
      <c r="D1093">
        <v>0.91391999999999995</v>
      </c>
      <c r="E1093">
        <v>878760395</v>
      </c>
      <c r="F1093">
        <v>120</v>
      </c>
    </row>
    <row r="1094" spans="1:6" x14ac:dyDescent="0.25">
      <c r="A1094">
        <v>-111.973618</v>
      </c>
      <c r="B1094">
        <v>33.068266000000001</v>
      </c>
      <c r="C1094">
        <v>0.83</v>
      </c>
      <c r="D1094">
        <v>0.74368000000000001</v>
      </c>
      <c r="E1094">
        <v>878760397</v>
      </c>
      <c r="F1094">
        <v>120</v>
      </c>
    </row>
    <row r="1095" spans="1:6" x14ac:dyDescent="0.25">
      <c r="A1095">
        <v>-111.973619</v>
      </c>
      <c r="B1095">
        <v>33.068258</v>
      </c>
      <c r="C1095">
        <v>1.095</v>
      </c>
      <c r="D1095">
        <v>0.98111999999999999</v>
      </c>
      <c r="E1095">
        <v>878760399</v>
      </c>
      <c r="F1095">
        <v>120</v>
      </c>
    </row>
    <row r="1096" spans="1:6" x14ac:dyDescent="0.25">
      <c r="A1096">
        <v>-111.973619</v>
      </c>
      <c r="B1096">
        <v>33.068250999999997</v>
      </c>
      <c r="C1096">
        <v>1.0449999999999999</v>
      </c>
      <c r="D1096">
        <v>0.93632000000000004</v>
      </c>
      <c r="E1096">
        <v>878760401</v>
      </c>
      <c r="F1096">
        <v>120</v>
      </c>
    </row>
    <row r="1097" spans="1:6" x14ac:dyDescent="0.25">
      <c r="A1097">
        <v>-111.973618</v>
      </c>
      <c r="B1097">
        <v>33.068244</v>
      </c>
      <c r="C1097">
        <v>1.155</v>
      </c>
      <c r="D1097">
        <v>1.03488</v>
      </c>
      <c r="E1097">
        <v>878760403</v>
      </c>
      <c r="F1097">
        <v>120</v>
      </c>
    </row>
    <row r="1098" spans="1:6" x14ac:dyDescent="0.25">
      <c r="A1098">
        <v>-111.973618</v>
      </c>
      <c r="B1098">
        <v>33.068235999999999</v>
      </c>
      <c r="C1098">
        <v>1.06</v>
      </c>
      <c r="D1098">
        <v>0.94976000000000005</v>
      </c>
      <c r="E1098">
        <v>878760405</v>
      </c>
      <c r="F1098">
        <v>120</v>
      </c>
    </row>
    <row r="1099" spans="1:6" x14ac:dyDescent="0.25">
      <c r="A1099">
        <v>-111.973618</v>
      </c>
      <c r="B1099">
        <v>33.068229000000002</v>
      </c>
      <c r="C1099">
        <v>1.06</v>
      </c>
      <c r="D1099">
        <v>0.94976000000000005</v>
      </c>
      <c r="E1099">
        <v>878760407</v>
      </c>
      <c r="F1099">
        <v>120</v>
      </c>
    </row>
    <row r="1100" spans="1:6" x14ac:dyDescent="0.25">
      <c r="A1100">
        <v>-111.973618</v>
      </c>
      <c r="B1100">
        <v>33.068221000000001</v>
      </c>
      <c r="C1100">
        <v>1.325</v>
      </c>
      <c r="D1100">
        <v>1.1872</v>
      </c>
      <c r="E1100">
        <v>878760409</v>
      </c>
      <c r="F1100">
        <v>120</v>
      </c>
    </row>
    <row r="1101" spans="1:6" x14ac:dyDescent="0.25">
      <c r="A1101">
        <v>-111.973619</v>
      </c>
      <c r="B1101">
        <v>33.068213999999998</v>
      </c>
      <c r="C1101">
        <v>1.1850000000000001</v>
      </c>
      <c r="D1101">
        <v>1.06176</v>
      </c>
      <c r="E1101">
        <v>878760411</v>
      </c>
      <c r="F1101">
        <v>120</v>
      </c>
    </row>
    <row r="1102" spans="1:6" x14ac:dyDescent="0.25">
      <c r="A1102">
        <v>-111.973618</v>
      </c>
      <c r="B1102">
        <v>33.068206000000004</v>
      </c>
      <c r="C1102">
        <v>1.3049999999999999</v>
      </c>
      <c r="D1102">
        <v>1.1692800000000001</v>
      </c>
      <c r="E1102">
        <v>878760413</v>
      </c>
      <c r="F1102">
        <v>120</v>
      </c>
    </row>
    <row r="1103" spans="1:6" x14ac:dyDescent="0.25">
      <c r="A1103">
        <v>-111.973618</v>
      </c>
      <c r="B1103">
        <v>33.068199999999997</v>
      </c>
      <c r="C1103">
        <v>1.2749999999999999</v>
      </c>
      <c r="D1103">
        <v>1.1424000000000001</v>
      </c>
      <c r="E1103">
        <v>878760415</v>
      </c>
      <c r="F1103">
        <v>120</v>
      </c>
    </row>
    <row r="1104" spans="1:6" x14ac:dyDescent="0.25">
      <c r="A1104">
        <v>-111.973618</v>
      </c>
      <c r="B1104">
        <v>33.068193000000001</v>
      </c>
      <c r="C1104">
        <v>0.37</v>
      </c>
      <c r="D1104">
        <v>0.33151999999999998</v>
      </c>
      <c r="E1104">
        <v>878760417</v>
      </c>
      <c r="F1104">
        <v>120</v>
      </c>
    </row>
    <row r="1105" spans="1:6" x14ac:dyDescent="0.25">
      <c r="A1105">
        <v>-111.973618</v>
      </c>
      <c r="B1105">
        <v>33.068187999999999</v>
      </c>
      <c r="C1105">
        <v>5.0000000000000001E-3</v>
      </c>
      <c r="D1105">
        <v>4.4799999999999996E-3</v>
      </c>
      <c r="E1105">
        <v>878760425</v>
      </c>
      <c r="F1105">
        <v>120</v>
      </c>
    </row>
    <row r="1106" spans="1:6" x14ac:dyDescent="0.25">
      <c r="A1106">
        <v>-111.973619</v>
      </c>
      <c r="B1106">
        <v>33.068182999999998</v>
      </c>
      <c r="C1106">
        <v>0.03</v>
      </c>
      <c r="D1106">
        <v>2.6880000000000001E-2</v>
      </c>
      <c r="E1106">
        <v>878760427</v>
      </c>
      <c r="F1106">
        <v>120</v>
      </c>
    </row>
    <row r="1107" spans="1:6" x14ac:dyDescent="0.25">
      <c r="A1107">
        <v>-111.97362</v>
      </c>
      <c r="B1107">
        <v>33.068176999999999</v>
      </c>
      <c r="C1107">
        <v>0.215</v>
      </c>
      <c r="D1107">
        <v>0.19264000000000001</v>
      </c>
      <c r="E1107">
        <v>878760429</v>
      </c>
      <c r="F1107">
        <v>120</v>
      </c>
    </row>
    <row r="1108" spans="1:6" x14ac:dyDescent="0.25">
      <c r="A1108">
        <v>-111.973619</v>
      </c>
      <c r="B1108">
        <v>33.068171</v>
      </c>
      <c r="C1108">
        <v>1.1299999999999999</v>
      </c>
      <c r="D1108">
        <v>1.01248</v>
      </c>
      <c r="E1108">
        <v>878760431</v>
      </c>
      <c r="F1108">
        <v>120</v>
      </c>
    </row>
    <row r="1109" spans="1:6" x14ac:dyDescent="0.25">
      <c r="A1109">
        <v>-111.97362</v>
      </c>
      <c r="B1109">
        <v>33.068165</v>
      </c>
      <c r="C1109">
        <v>1.19</v>
      </c>
      <c r="D1109">
        <v>1.0662400000000001</v>
      </c>
      <c r="E1109">
        <v>878760433</v>
      </c>
      <c r="F1109">
        <v>120</v>
      </c>
    </row>
    <row r="1110" spans="1:6" x14ac:dyDescent="0.25">
      <c r="A1110">
        <v>-111.97362</v>
      </c>
      <c r="B1110">
        <v>33.068159000000001</v>
      </c>
      <c r="C1110">
        <v>1.24</v>
      </c>
      <c r="D1110">
        <v>1.11104</v>
      </c>
      <c r="E1110">
        <v>878760435</v>
      </c>
      <c r="F1110">
        <v>120</v>
      </c>
    </row>
    <row r="1111" spans="1:6" x14ac:dyDescent="0.25">
      <c r="A1111">
        <v>-111.973618</v>
      </c>
      <c r="B1111">
        <v>33.068151999999998</v>
      </c>
      <c r="C1111">
        <v>1.2</v>
      </c>
      <c r="D1111">
        <v>1.0751999999999999</v>
      </c>
      <c r="E1111">
        <v>878760437</v>
      </c>
      <c r="F1111">
        <v>120</v>
      </c>
    </row>
    <row r="1112" spans="1:6" x14ac:dyDescent="0.25">
      <c r="A1112">
        <v>-111.973618</v>
      </c>
      <c r="B1112">
        <v>33.068143999999997</v>
      </c>
      <c r="C1112">
        <v>1.0149999999999999</v>
      </c>
      <c r="D1112">
        <v>0.90944000000000003</v>
      </c>
      <c r="E1112">
        <v>878760439</v>
      </c>
      <c r="F1112">
        <v>120</v>
      </c>
    </row>
    <row r="1113" spans="1:6" x14ac:dyDescent="0.25">
      <c r="A1113">
        <v>-111.973618</v>
      </c>
      <c r="B1113">
        <v>33.068136000000003</v>
      </c>
      <c r="C1113">
        <v>1.085</v>
      </c>
      <c r="D1113">
        <v>0.97216000000000002</v>
      </c>
      <c r="E1113">
        <v>878760441</v>
      </c>
      <c r="F1113">
        <v>120</v>
      </c>
    </row>
    <row r="1114" spans="1:6" x14ac:dyDescent="0.25">
      <c r="A1114">
        <v>-111.973618</v>
      </c>
      <c r="B1114">
        <v>33.068128999999999</v>
      </c>
      <c r="C1114">
        <v>1.0449999999999999</v>
      </c>
      <c r="D1114">
        <v>0.93632000000000004</v>
      </c>
      <c r="E1114">
        <v>878760443</v>
      </c>
      <c r="F1114">
        <v>120</v>
      </c>
    </row>
    <row r="1115" spans="1:6" x14ac:dyDescent="0.25">
      <c r="A1115">
        <v>-111.973619</v>
      </c>
      <c r="B1115">
        <v>33.068120999999998</v>
      </c>
      <c r="C1115">
        <v>0.77500000000000002</v>
      </c>
      <c r="D1115">
        <v>0.69440000000000002</v>
      </c>
      <c r="E1115">
        <v>878760445</v>
      </c>
      <c r="F1115">
        <v>120</v>
      </c>
    </row>
    <row r="1116" spans="1:6" x14ac:dyDescent="0.25">
      <c r="A1116">
        <v>-111.97362</v>
      </c>
      <c r="B1116">
        <v>33.068112999999997</v>
      </c>
      <c r="C1116">
        <v>1.135</v>
      </c>
      <c r="D1116">
        <v>1.0169600000000001</v>
      </c>
      <c r="E1116">
        <v>878760447</v>
      </c>
      <c r="F1116">
        <v>120</v>
      </c>
    </row>
    <row r="1117" spans="1:6" x14ac:dyDescent="0.25">
      <c r="A1117">
        <v>-111.97362</v>
      </c>
      <c r="B1117">
        <v>33.068105000000003</v>
      </c>
      <c r="C1117">
        <v>0.995</v>
      </c>
      <c r="D1117">
        <v>0.89151999999999998</v>
      </c>
      <c r="E1117">
        <v>878760449</v>
      </c>
      <c r="F1117">
        <v>120</v>
      </c>
    </row>
    <row r="1118" spans="1:6" x14ac:dyDescent="0.25">
      <c r="A1118">
        <v>-111.97362</v>
      </c>
      <c r="B1118">
        <v>33.068097999999999</v>
      </c>
      <c r="C1118">
        <v>1.25</v>
      </c>
      <c r="D1118">
        <v>1.1200000000000001</v>
      </c>
      <c r="E1118">
        <v>878760451</v>
      </c>
      <c r="F1118">
        <v>120</v>
      </c>
    </row>
    <row r="1119" spans="1:6" x14ac:dyDescent="0.25">
      <c r="A1119">
        <v>-111.97362</v>
      </c>
      <c r="B1119">
        <v>33.068089999999998</v>
      </c>
      <c r="C1119">
        <v>1.18</v>
      </c>
      <c r="D1119">
        <v>1.05728</v>
      </c>
      <c r="E1119">
        <v>878760453</v>
      </c>
      <c r="F1119">
        <v>120</v>
      </c>
    </row>
    <row r="1120" spans="1:6" x14ac:dyDescent="0.25">
      <c r="A1120">
        <v>-111.97362</v>
      </c>
      <c r="B1120">
        <v>33.068083000000001</v>
      </c>
      <c r="C1120">
        <v>1.0149999999999999</v>
      </c>
      <c r="D1120">
        <v>0.90944000000000003</v>
      </c>
      <c r="E1120">
        <v>878760455</v>
      </c>
      <c r="F1120">
        <v>120</v>
      </c>
    </row>
    <row r="1121" spans="1:6" x14ac:dyDescent="0.25">
      <c r="A1121">
        <v>-111.973619</v>
      </c>
      <c r="B1121">
        <v>33.068075</v>
      </c>
      <c r="C1121">
        <v>0.59</v>
      </c>
      <c r="D1121">
        <v>0.52864</v>
      </c>
      <c r="E1121">
        <v>878760457</v>
      </c>
      <c r="F1121">
        <v>120</v>
      </c>
    </row>
    <row r="1122" spans="1:6" x14ac:dyDescent="0.25">
      <c r="A1122">
        <v>-111.973619</v>
      </c>
      <c r="B1122">
        <v>33.068066999999999</v>
      </c>
      <c r="C1122">
        <v>0.95</v>
      </c>
      <c r="D1122">
        <v>0.85119999999999996</v>
      </c>
      <c r="E1122">
        <v>878760459</v>
      </c>
      <c r="F1122">
        <v>120</v>
      </c>
    </row>
    <row r="1123" spans="1:6" x14ac:dyDescent="0.25">
      <c r="A1123">
        <v>-111.973619</v>
      </c>
      <c r="B1123">
        <v>33.068058999999998</v>
      </c>
      <c r="C1123">
        <v>0.94</v>
      </c>
      <c r="D1123">
        <v>0.84223999999999999</v>
      </c>
      <c r="E1123">
        <v>878760461</v>
      </c>
      <c r="F1123">
        <v>120</v>
      </c>
    </row>
    <row r="1124" spans="1:6" x14ac:dyDescent="0.25">
      <c r="A1124">
        <v>-111.973619</v>
      </c>
      <c r="B1124">
        <v>33.068052000000002</v>
      </c>
      <c r="C1124">
        <v>0.87</v>
      </c>
      <c r="D1124">
        <v>0.77951999999999999</v>
      </c>
      <c r="E1124">
        <v>878760463</v>
      </c>
      <c r="F1124">
        <v>120</v>
      </c>
    </row>
    <row r="1125" spans="1:6" x14ac:dyDescent="0.25">
      <c r="A1125">
        <v>-111.973619</v>
      </c>
      <c r="B1125">
        <v>33.068044</v>
      </c>
      <c r="C1125">
        <v>0.625</v>
      </c>
      <c r="D1125">
        <v>0.56000000000000005</v>
      </c>
      <c r="E1125">
        <v>878760465</v>
      </c>
      <c r="F1125">
        <v>120</v>
      </c>
    </row>
    <row r="1126" spans="1:6" x14ac:dyDescent="0.25">
      <c r="A1126">
        <v>-111.973619</v>
      </c>
      <c r="B1126">
        <v>33.068035999999999</v>
      </c>
      <c r="C1126">
        <v>0.35499999999999998</v>
      </c>
      <c r="D1126">
        <v>0.31807999999999997</v>
      </c>
      <c r="E1126">
        <v>878760467</v>
      </c>
      <c r="F1126">
        <v>120</v>
      </c>
    </row>
    <row r="1127" spans="1:6" x14ac:dyDescent="0.25">
      <c r="A1127">
        <v>-111.97362</v>
      </c>
      <c r="B1127">
        <v>33.068027999999998</v>
      </c>
      <c r="C1127">
        <v>0.22500000000000001</v>
      </c>
      <c r="D1127">
        <v>0.2016</v>
      </c>
      <c r="E1127">
        <v>878760469</v>
      </c>
      <c r="F1127">
        <v>120</v>
      </c>
    </row>
    <row r="1128" spans="1:6" x14ac:dyDescent="0.25">
      <c r="A1128">
        <v>-111.97362</v>
      </c>
      <c r="B1128">
        <v>33.068026000000003</v>
      </c>
      <c r="C1128">
        <v>5.0000000000000001E-3</v>
      </c>
      <c r="D1128">
        <v>4.4799999999999996E-3</v>
      </c>
      <c r="E1128">
        <v>878760471</v>
      </c>
      <c r="F1128">
        <v>120</v>
      </c>
    </row>
    <row r="1129" spans="1:6" x14ac:dyDescent="0.25">
      <c r="A1129">
        <v>-111.97362099999999</v>
      </c>
      <c r="B1129">
        <v>33.068022999999997</v>
      </c>
      <c r="C1129">
        <v>5.0000000000000001E-3</v>
      </c>
      <c r="D1129">
        <v>4.4799999999999996E-3</v>
      </c>
      <c r="E1129">
        <v>878760477</v>
      </c>
      <c r="F1129">
        <v>120</v>
      </c>
    </row>
    <row r="1130" spans="1:6" x14ac:dyDescent="0.25">
      <c r="A1130">
        <v>-111.973626</v>
      </c>
      <c r="B1130">
        <v>33.068002</v>
      </c>
      <c r="C1130">
        <v>5.0000000000000001E-3</v>
      </c>
      <c r="D1130">
        <v>4.4799999999999996E-3</v>
      </c>
      <c r="E1130">
        <v>878760481</v>
      </c>
      <c r="F1130">
        <v>120</v>
      </c>
    </row>
    <row r="1131" spans="1:6" x14ac:dyDescent="0.25">
      <c r="A1131">
        <v>-111.97366700000001</v>
      </c>
      <c r="B1131">
        <v>33.067995000000003</v>
      </c>
      <c r="C1131">
        <v>0.01</v>
      </c>
      <c r="D1131">
        <v>8.9599999999999992E-3</v>
      </c>
      <c r="E1131">
        <v>878760517</v>
      </c>
      <c r="F1131">
        <v>120</v>
      </c>
    </row>
    <row r="1132" spans="1:6" x14ac:dyDescent="0.25">
      <c r="A1132">
        <v>-111.973662</v>
      </c>
      <c r="B1132">
        <v>33.068035999999999</v>
      </c>
      <c r="C1132">
        <v>1.4999999999999999E-2</v>
      </c>
      <c r="D1132">
        <v>1.3440000000000001E-2</v>
      </c>
      <c r="E1132">
        <v>878760535</v>
      </c>
      <c r="F1132">
        <v>120</v>
      </c>
    </row>
    <row r="1133" spans="1:6" x14ac:dyDescent="0.25">
      <c r="A1133">
        <v>-111.973662</v>
      </c>
      <c r="B1133">
        <v>33.068040000000003</v>
      </c>
      <c r="C1133">
        <v>0.26</v>
      </c>
      <c r="D1133">
        <v>0.23296</v>
      </c>
      <c r="E1133">
        <v>878760537</v>
      </c>
      <c r="F1133">
        <v>120</v>
      </c>
    </row>
    <row r="1134" spans="1:6" x14ac:dyDescent="0.25">
      <c r="A1134">
        <v>-111.973662</v>
      </c>
      <c r="B1134">
        <v>33.068044</v>
      </c>
      <c r="C1134">
        <v>0.69</v>
      </c>
      <c r="D1134">
        <v>0.61824000000000001</v>
      </c>
      <c r="E1134">
        <v>878760539</v>
      </c>
      <c r="F1134">
        <v>120</v>
      </c>
    </row>
    <row r="1135" spans="1:6" x14ac:dyDescent="0.25">
      <c r="A1135">
        <v>-111.97366100000001</v>
      </c>
      <c r="B1135">
        <v>33.068049000000002</v>
      </c>
      <c r="C1135">
        <v>0.47</v>
      </c>
      <c r="D1135">
        <v>0.42111999999999999</v>
      </c>
      <c r="E1135">
        <v>878760541</v>
      </c>
      <c r="F1135">
        <v>120</v>
      </c>
    </row>
    <row r="1136" spans="1:6" x14ac:dyDescent="0.25">
      <c r="A1136">
        <v>-111.97366100000001</v>
      </c>
      <c r="B1136">
        <v>33.068052999999999</v>
      </c>
      <c r="C1136">
        <v>0.59499999999999997</v>
      </c>
      <c r="D1136">
        <v>0.53312000000000004</v>
      </c>
      <c r="E1136">
        <v>878760543</v>
      </c>
      <c r="F1136">
        <v>120</v>
      </c>
    </row>
    <row r="1137" spans="1:6" x14ac:dyDescent="0.25">
      <c r="A1137">
        <v>-111.973662</v>
      </c>
      <c r="B1137">
        <v>33.068058999999998</v>
      </c>
      <c r="C1137">
        <v>0.6</v>
      </c>
      <c r="D1137">
        <v>0.53759999999999997</v>
      </c>
      <c r="E1137">
        <v>878760545</v>
      </c>
      <c r="F1137">
        <v>120</v>
      </c>
    </row>
    <row r="1138" spans="1:6" x14ac:dyDescent="0.25">
      <c r="A1138">
        <v>-111.973662</v>
      </c>
      <c r="B1138">
        <v>33.068063000000002</v>
      </c>
      <c r="C1138">
        <v>0.63500000000000001</v>
      </c>
      <c r="D1138">
        <v>0.56896000000000002</v>
      </c>
      <c r="E1138">
        <v>878760547</v>
      </c>
      <c r="F1138">
        <v>120</v>
      </c>
    </row>
    <row r="1139" spans="1:6" x14ac:dyDescent="0.25">
      <c r="A1139">
        <v>-111.973662</v>
      </c>
      <c r="B1139">
        <v>33.068069000000001</v>
      </c>
      <c r="C1139">
        <v>0.625</v>
      </c>
      <c r="D1139">
        <v>0.56000000000000005</v>
      </c>
      <c r="E1139">
        <v>878760549</v>
      </c>
      <c r="F1139">
        <v>120</v>
      </c>
    </row>
    <row r="1140" spans="1:6" x14ac:dyDescent="0.25">
      <c r="A1140">
        <v>-111.973663</v>
      </c>
      <c r="B1140">
        <v>33.068075999999998</v>
      </c>
      <c r="C1140">
        <v>0.79</v>
      </c>
      <c r="D1140">
        <v>0.70784000000000002</v>
      </c>
      <c r="E1140">
        <v>878760551</v>
      </c>
      <c r="F1140">
        <v>120</v>
      </c>
    </row>
    <row r="1141" spans="1:6" x14ac:dyDescent="0.25">
      <c r="A1141">
        <v>-111.973664</v>
      </c>
      <c r="B1141">
        <v>33.068083000000001</v>
      </c>
      <c r="C1141">
        <v>1.0449999999999999</v>
      </c>
      <c r="D1141">
        <v>0.93632000000000004</v>
      </c>
      <c r="E1141">
        <v>878760553</v>
      </c>
      <c r="F1141">
        <v>120</v>
      </c>
    </row>
    <row r="1142" spans="1:6" x14ac:dyDescent="0.25">
      <c r="A1142">
        <v>-111.973665</v>
      </c>
      <c r="B1142">
        <v>33.068091000000003</v>
      </c>
      <c r="C1142">
        <v>1.35</v>
      </c>
      <c r="D1142">
        <v>1.2096</v>
      </c>
      <c r="E1142">
        <v>878760555</v>
      </c>
      <c r="F1142">
        <v>120</v>
      </c>
    </row>
    <row r="1143" spans="1:6" x14ac:dyDescent="0.25">
      <c r="A1143">
        <v>-111.973665</v>
      </c>
      <c r="B1143">
        <v>33.068097000000002</v>
      </c>
      <c r="C1143">
        <v>1.1399999999999999</v>
      </c>
      <c r="D1143">
        <v>1.0214399999999999</v>
      </c>
      <c r="E1143">
        <v>878760557</v>
      </c>
      <c r="F1143">
        <v>120</v>
      </c>
    </row>
    <row r="1144" spans="1:6" x14ac:dyDescent="0.25">
      <c r="A1144">
        <v>-111.973664</v>
      </c>
      <c r="B1144">
        <v>33.068103999999998</v>
      </c>
      <c r="C1144">
        <v>1.105</v>
      </c>
      <c r="D1144">
        <v>0.99007999999999996</v>
      </c>
      <c r="E1144">
        <v>878760559</v>
      </c>
      <c r="F1144">
        <v>120</v>
      </c>
    </row>
    <row r="1145" spans="1:6" x14ac:dyDescent="0.25">
      <c r="A1145">
        <v>-111.973665</v>
      </c>
      <c r="B1145">
        <v>33.068111000000002</v>
      </c>
      <c r="C1145">
        <v>1.2849999999999999</v>
      </c>
      <c r="D1145">
        <v>1.1513599999999999</v>
      </c>
      <c r="E1145">
        <v>878760561</v>
      </c>
      <c r="F1145">
        <v>120</v>
      </c>
    </row>
    <row r="1146" spans="1:6" x14ac:dyDescent="0.25">
      <c r="A1146">
        <v>-111.973665</v>
      </c>
      <c r="B1146">
        <v>33.068117999999998</v>
      </c>
      <c r="C1146">
        <v>0.79500000000000004</v>
      </c>
      <c r="D1146">
        <v>0.71231999999999995</v>
      </c>
      <c r="E1146">
        <v>878760563</v>
      </c>
      <c r="F1146">
        <v>120</v>
      </c>
    </row>
    <row r="1147" spans="1:6" x14ac:dyDescent="0.25">
      <c r="A1147">
        <v>-111.973665</v>
      </c>
      <c r="B1147">
        <v>33.068125000000002</v>
      </c>
      <c r="C1147">
        <v>1.2549999999999999</v>
      </c>
      <c r="D1147">
        <v>1.1244799999999999</v>
      </c>
      <c r="E1147">
        <v>878760565</v>
      </c>
      <c r="F1147">
        <v>120</v>
      </c>
    </row>
    <row r="1148" spans="1:6" x14ac:dyDescent="0.25">
      <c r="A1148">
        <v>-111.973664</v>
      </c>
      <c r="B1148">
        <v>33.068133000000003</v>
      </c>
      <c r="C1148">
        <v>1.0449999999999999</v>
      </c>
      <c r="D1148">
        <v>0.93632000000000004</v>
      </c>
      <c r="E1148">
        <v>878760567</v>
      </c>
      <c r="F1148">
        <v>120</v>
      </c>
    </row>
    <row r="1149" spans="1:6" x14ac:dyDescent="0.25">
      <c r="A1149">
        <v>-111.973663</v>
      </c>
      <c r="B1149">
        <v>33.06814</v>
      </c>
      <c r="C1149">
        <v>1</v>
      </c>
      <c r="D1149">
        <v>0.89600000000000002</v>
      </c>
      <c r="E1149">
        <v>878760569</v>
      </c>
      <c r="F1149">
        <v>120</v>
      </c>
    </row>
    <row r="1150" spans="1:6" x14ac:dyDescent="0.25">
      <c r="A1150">
        <v>-111.973663</v>
      </c>
      <c r="B1150">
        <v>33.068147000000003</v>
      </c>
      <c r="C1150">
        <v>1.0349999999999999</v>
      </c>
      <c r="D1150">
        <v>0.92735999999999996</v>
      </c>
      <c r="E1150">
        <v>878760571</v>
      </c>
      <c r="F1150">
        <v>120</v>
      </c>
    </row>
    <row r="1151" spans="1:6" x14ac:dyDescent="0.25">
      <c r="A1151">
        <v>-111.973664</v>
      </c>
      <c r="B1151">
        <v>33.068154999999997</v>
      </c>
      <c r="C1151">
        <v>0.97499999999999998</v>
      </c>
      <c r="D1151">
        <v>0.87360000000000004</v>
      </c>
      <c r="E1151">
        <v>878760573</v>
      </c>
      <c r="F1151">
        <v>120</v>
      </c>
    </row>
    <row r="1152" spans="1:6" x14ac:dyDescent="0.25">
      <c r="A1152">
        <v>-111.973664</v>
      </c>
      <c r="B1152">
        <v>33.068162000000001</v>
      </c>
      <c r="C1152">
        <v>1.05</v>
      </c>
      <c r="D1152">
        <v>0.94079999999999997</v>
      </c>
      <c r="E1152">
        <v>878760575</v>
      </c>
      <c r="F1152">
        <v>120</v>
      </c>
    </row>
    <row r="1153" spans="1:6" x14ac:dyDescent="0.25">
      <c r="A1153">
        <v>-111.973663</v>
      </c>
      <c r="B1153">
        <v>33.068168</v>
      </c>
      <c r="C1153">
        <v>1.0049999999999999</v>
      </c>
      <c r="D1153">
        <v>0.90047999999999995</v>
      </c>
      <c r="E1153">
        <v>878760577</v>
      </c>
      <c r="F1153">
        <v>120</v>
      </c>
    </row>
    <row r="1154" spans="1:6" x14ac:dyDescent="0.25">
      <c r="A1154">
        <v>-111.973663</v>
      </c>
      <c r="B1154">
        <v>33.068176000000001</v>
      </c>
      <c r="C1154">
        <v>1.23</v>
      </c>
      <c r="D1154">
        <v>1.1020799999999999</v>
      </c>
      <c r="E1154">
        <v>878760579</v>
      </c>
      <c r="F1154">
        <v>120</v>
      </c>
    </row>
    <row r="1155" spans="1:6" x14ac:dyDescent="0.25">
      <c r="A1155">
        <v>-111.973663</v>
      </c>
      <c r="B1155">
        <v>33.068182999999998</v>
      </c>
      <c r="C1155">
        <v>1.33</v>
      </c>
      <c r="D1155">
        <v>1.1916800000000001</v>
      </c>
      <c r="E1155">
        <v>878760581</v>
      </c>
      <c r="F1155">
        <v>120</v>
      </c>
    </row>
    <row r="1156" spans="1:6" x14ac:dyDescent="0.25">
      <c r="A1156">
        <v>-111.973665</v>
      </c>
      <c r="B1156">
        <v>33.068190000000001</v>
      </c>
      <c r="C1156">
        <v>0.61499999999999999</v>
      </c>
      <c r="D1156">
        <v>0.55103999999999997</v>
      </c>
      <c r="E1156">
        <v>878760583</v>
      </c>
      <c r="F1156">
        <v>120</v>
      </c>
    </row>
    <row r="1157" spans="1:6" x14ac:dyDescent="0.25">
      <c r="A1157">
        <v>-111.973665</v>
      </c>
      <c r="B1157">
        <v>33.068190999999999</v>
      </c>
      <c r="C1157">
        <v>0.01</v>
      </c>
      <c r="D1157">
        <v>8.9599999999999992E-3</v>
      </c>
      <c r="E1157">
        <v>878760585</v>
      </c>
      <c r="F1157">
        <v>120</v>
      </c>
    </row>
    <row r="1158" spans="1:6" x14ac:dyDescent="0.25">
      <c r="A1158">
        <v>-111.97366599999999</v>
      </c>
      <c r="B1158">
        <v>33.068193000000001</v>
      </c>
      <c r="C1158">
        <v>5.0000000000000001E-3</v>
      </c>
      <c r="D1158">
        <v>4.4799999999999996E-3</v>
      </c>
      <c r="E1158">
        <v>878760591</v>
      </c>
      <c r="F1158">
        <v>120</v>
      </c>
    </row>
    <row r="1159" spans="1:6" x14ac:dyDescent="0.25">
      <c r="A1159">
        <v>-111.973665</v>
      </c>
      <c r="B1159">
        <v>33.068201000000002</v>
      </c>
      <c r="C1159">
        <v>0.02</v>
      </c>
      <c r="D1159">
        <v>1.7919999999999998E-2</v>
      </c>
      <c r="E1159">
        <v>878760593</v>
      </c>
      <c r="F1159">
        <v>120</v>
      </c>
    </row>
    <row r="1160" spans="1:6" x14ac:dyDescent="0.25">
      <c r="A1160">
        <v>-111.973664</v>
      </c>
      <c r="B1160">
        <v>33.068207000000001</v>
      </c>
      <c r="C1160">
        <v>0.22500000000000001</v>
      </c>
      <c r="D1160">
        <v>0.2016</v>
      </c>
      <c r="E1160">
        <v>878760595</v>
      </c>
      <c r="F1160">
        <v>120</v>
      </c>
    </row>
    <row r="1161" spans="1:6" x14ac:dyDescent="0.25">
      <c r="A1161">
        <v>-111.973663</v>
      </c>
      <c r="B1161">
        <v>33.068213999999998</v>
      </c>
      <c r="C1161">
        <v>1.095</v>
      </c>
      <c r="D1161">
        <v>0.98111999999999999</v>
      </c>
      <c r="E1161">
        <v>878760597</v>
      </c>
      <c r="F1161">
        <v>120</v>
      </c>
    </row>
    <row r="1162" spans="1:6" x14ac:dyDescent="0.25">
      <c r="A1162">
        <v>-111.973663</v>
      </c>
      <c r="B1162">
        <v>33.068223000000003</v>
      </c>
      <c r="C1162">
        <v>0.98499999999999999</v>
      </c>
      <c r="D1162">
        <v>0.88256000000000001</v>
      </c>
      <c r="E1162">
        <v>878760599</v>
      </c>
      <c r="F1162">
        <v>120</v>
      </c>
    </row>
    <row r="1163" spans="1:6" x14ac:dyDescent="0.25">
      <c r="A1163">
        <v>-111.973665</v>
      </c>
      <c r="B1163">
        <v>33.068230999999997</v>
      </c>
      <c r="C1163">
        <v>1.075</v>
      </c>
      <c r="D1163">
        <v>0.96319999999999995</v>
      </c>
      <c r="E1163">
        <v>878760601</v>
      </c>
      <c r="F1163">
        <v>120</v>
      </c>
    </row>
    <row r="1164" spans="1:6" x14ac:dyDescent="0.25">
      <c r="A1164">
        <v>-111.973664</v>
      </c>
      <c r="B1164">
        <v>33.068238000000001</v>
      </c>
      <c r="C1164">
        <v>0.53500000000000003</v>
      </c>
      <c r="D1164">
        <v>0.47936000000000001</v>
      </c>
      <c r="E1164">
        <v>878760603</v>
      </c>
      <c r="F1164">
        <v>120</v>
      </c>
    </row>
    <row r="1165" spans="1:6" x14ac:dyDescent="0.25">
      <c r="A1165">
        <v>-111.973663</v>
      </c>
      <c r="B1165">
        <v>33.068244999999997</v>
      </c>
      <c r="C1165">
        <v>0.68500000000000005</v>
      </c>
      <c r="D1165">
        <v>0.61375999999999997</v>
      </c>
      <c r="E1165">
        <v>878760605</v>
      </c>
      <c r="F1165">
        <v>120</v>
      </c>
    </row>
    <row r="1166" spans="1:6" x14ac:dyDescent="0.25">
      <c r="A1166">
        <v>-111.973664</v>
      </c>
      <c r="B1166">
        <v>33.068252000000001</v>
      </c>
      <c r="C1166">
        <v>0.83499999999999996</v>
      </c>
      <c r="D1166">
        <v>0.74816000000000005</v>
      </c>
      <c r="E1166">
        <v>878760607</v>
      </c>
      <c r="F1166">
        <v>120</v>
      </c>
    </row>
    <row r="1167" spans="1:6" x14ac:dyDescent="0.25">
      <c r="A1167">
        <v>-111.973664</v>
      </c>
      <c r="B1167">
        <v>33.068258</v>
      </c>
      <c r="C1167">
        <v>0.70499999999999996</v>
      </c>
      <c r="D1167">
        <v>0.63168000000000002</v>
      </c>
      <c r="E1167">
        <v>878760609</v>
      </c>
      <c r="F1167">
        <v>120</v>
      </c>
    </row>
    <row r="1168" spans="1:6" x14ac:dyDescent="0.25">
      <c r="A1168">
        <v>-111.973664</v>
      </c>
      <c r="B1168">
        <v>33.068266000000001</v>
      </c>
      <c r="C1168">
        <v>1</v>
      </c>
      <c r="D1168">
        <v>0.89600000000000002</v>
      </c>
      <c r="E1168">
        <v>878760611</v>
      </c>
      <c r="F1168">
        <v>120</v>
      </c>
    </row>
    <row r="1169" spans="1:6" x14ac:dyDescent="0.25">
      <c r="A1169">
        <v>-111.973664</v>
      </c>
      <c r="B1169">
        <v>33.068272999999998</v>
      </c>
      <c r="C1169">
        <v>0.94499999999999995</v>
      </c>
      <c r="D1169">
        <v>0.84672000000000003</v>
      </c>
      <c r="E1169">
        <v>878760613</v>
      </c>
      <c r="F1169">
        <v>120</v>
      </c>
    </row>
    <row r="1170" spans="1:6" x14ac:dyDescent="0.25">
      <c r="A1170">
        <v>-111.973665</v>
      </c>
      <c r="B1170">
        <v>33.068280000000001</v>
      </c>
      <c r="C1170">
        <v>0.625</v>
      </c>
      <c r="D1170">
        <v>0.56000000000000005</v>
      </c>
      <c r="E1170">
        <v>878760615</v>
      </c>
      <c r="F1170">
        <v>120</v>
      </c>
    </row>
    <row r="1171" spans="1:6" x14ac:dyDescent="0.25">
      <c r="A1171">
        <v>-111.973665</v>
      </c>
      <c r="B1171">
        <v>33.068288000000003</v>
      </c>
      <c r="C1171">
        <v>1.145</v>
      </c>
      <c r="D1171">
        <v>1.0259199999999999</v>
      </c>
      <c r="E1171">
        <v>878760617</v>
      </c>
      <c r="F1171">
        <v>120</v>
      </c>
    </row>
    <row r="1172" spans="1:6" x14ac:dyDescent="0.25">
      <c r="A1172">
        <v>-111.973664</v>
      </c>
      <c r="B1172">
        <v>33.068294999999999</v>
      </c>
      <c r="C1172">
        <v>0.755</v>
      </c>
      <c r="D1172">
        <v>0.67647999999999997</v>
      </c>
      <c r="E1172">
        <v>878760619</v>
      </c>
      <c r="F1172">
        <v>120</v>
      </c>
    </row>
    <row r="1173" spans="1:6" x14ac:dyDescent="0.25">
      <c r="A1173">
        <v>-111.973663</v>
      </c>
      <c r="B1173">
        <v>33.068302000000003</v>
      </c>
      <c r="C1173">
        <v>0.875</v>
      </c>
      <c r="D1173">
        <v>0.78400000000000003</v>
      </c>
      <c r="E1173">
        <v>878760621</v>
      </c>
      <c r="F1173">
        <v>120</v>
      </c>
    </row>
    <row r="1174" spans="1:6" x14ac:dyDescent="0.25">
      <c r="A1174">
        <v>-111.973664</v>
      </c>
      <c r="B1174">
        <v>33.068311000000001</v>
      </c>
      <c r="C1174">
        <v>0.47499999999999998</v>
      </c>
      <c r="D1174">
        <v>0.42559999999999998</v>
      </c>
      <c r="E1174">
        <v>878760623</v>
      </c>
      <c r="F1174">
        <v>120</v>
      </c>
    </row>
    <row r="1175" spans="1:6" x14ac:dyDescent="0.25">
      <c r="A1175">
        <v>-111.973664</v>
      </c>
      <c r="B1175">
        <v>33.068317999999998</v>
      </c>
      <c r="C1175">
        <v>0.55000000000000004</v>
      </c>
      <c r="D1175">
        <v>0.49280000000000002</v>
      </c>
      <c r="E1175">
        <v>878760625</v>
      </c>
      <c r="F1175">
        <v>120</v>
      </c>
    </row>
    <row r="1176" spans="1:6" x14ac:dyDescent="0.25">
      <c r="A1176">
        <v>-111.973664</v>
      </c>
      <c r="B1176">
        <v>33.068325000000002</v>
      </c>
      <c r="C1176">
        <v>0.69</v>
      </c>
      <c r="D1176">
        <v>0.61824000000000001</v>
      </c>
      <c r="E1176">
        <v>878760627</v>
      </c>
      <c r="F1176">
        <v>120</v>
      </c>
    </row>
    <row r="1177" spans="1:6" x14ac:dyDescent="0.25">
      <c r="A1177">
        <v>-111.973664</v>
      </c>
      <c r="B1177">
        <v>33.068333000000003</v>
      </c>
      <c r="C1177">
        <v>0.53500000000000003</v>
      </c>
      <c r="D1177">
        <v>0.47936000000000001</v>
      </c>
      <c r="E1177">
        <v>878760629</v>
      </c>
      <c r="F1177">
        <v>120</v>
      </c>
    </row>
    <row r="1178" spans="1:6" x14ac:dyDescent="0.25">
      <c r="A1178">
        <v>-111.973663</v>
      </c>
      <c r="B1178">
        <v>33.068337999999997</v>
      </c>
      <c r="C1178">
        <v>0.81</v>
      </c>
      <c r="D1178">
        <v>0.72575999999999996</v>
      </c>
      <c r="E1178">
        <v>878760631</v>
      </c>
      <c r="F1178">
        <v>120</v>
      </c>
    </row>
    <row r="1179" spans="1:6" x14ac:dyDescent="0.25">
      <c r="A1179">
        <v>-111.973663</v>
      </c>
      <c r="B1179">
        <v>33.068345000000001</v>
      </c>
      <c r="C1179">
        <v>0.47</v>
      </c>
      <c r="D1179">
        <v>0.42111999999999999</v>
      </c>
      <c r="E1179">
        <v>878760633</v>
      </c>
      <c r="F1179">
        <v>120</v>
      </c>
    </row>
    <row r="1180" spans="1:6" x14ac:dyDescent="0.25">
      <c r="A1180">
        <v>-111.973664</v>
      </c>
      <c r="B1180">
        <v>33.068353000000002</v>
      </c>
      <c r="C1180">
        <v>1.1100000000000001</v>
      </c>
      <c r="D1180">
        <v>0.99456</v>
      </c>
      <c r="E1180">
        <v>878760635</v>
      </c>
      <c r="F1180">
        <v>120</v>
      </c>
    </row>
    <row r="1181" spans="1:6" x14ac:dyDescent="0.25">
      <c r="A1181">
        <v>-111.973663</v>
      </c>
      <c r="B1181">
        <v>33.068361000000003</v>
      </c>
      <c r="C1181">
        <v>0.93500000000000005</v>
      </c>
      <c r="D1181">
        <v>0.83775999999999995</v>
      </c>
      <c r="E1181">
        <v>878760637</v>
      </c>
      <c r="F1181">
        <v>120</v>
      </c>
    </row>
    <row r="1182" spans="1:6" x14ac:dyDescent="0.25">
      <c r="A1182">
        <v>-111.973663</v>
      </c>
      <c r="B1182">
        <v>33.068368999999997</v>
      </c>
      <c r="C1182">
        <v>2.5000000000000001E-2</v>
      </c>
      <c r="D1182">
        <v>2.24E-2</v>
      </c>
      <c r="E1182">
        <v>878760639</v>
      </c>
      <c r="F1182">
        <v>120</v>
      </c>
    </row>
    <row r="1183" spans="1:6" x14ac:dyDescent="0.25">
      <c r="A1183">
        <v>-111.973663</v>
      </c>
      <c r="B1183">
        <v>33.068435999999998</v>
      </c>
      <c r="C1183">
        <v>0.02</v>
      </c>
      <c r="D1183">
        <v>1.7919999999999998E-2</v>
      </c>
      <c r="E1183">
        <v>878760657</v>
      </c>
      <c r="F1183">
        <v>120</v>
      </c>
    </row>
    <row r="1184" spans="1:6" x14ac:dyDescent="0.25">
      <c r="A1184">
        <v>-111.973664</v>
      </c>
      <c r="B1184">
        <v>33.068451000000003</v>
      </c>
      <c r="C1184">
        <v>0.06</v>
      </c>
      <c r="D1184">
        <v>5.3760000000000002E-2</v>
      </c>
      <c r="E1184">
        <v>878760661</v>
      </c>
      <c r="F1184">
        <v>120</v>
      </c>
    </row>
    <row r="1185" spans="1:6" x14ac:dyDescent="0.25">
      <c r="A1185">
        <v>-111.973662</v>
      </c>
      <c r="B1185">
        <v>33.068458999999997</v>
      </c>
      <c r="C1185">
        <v>0.89</v>
      </c>
      <c r="D1185">
        <v>0.79744000000000004</v>
      </c>
      <c r="E1185">
        <v>878760663</v>
      </c>
      <c r="F1185">
        <v>120</v>
      </c>
    </row>
    <row r="1186" spans="1:6" x14ac:dyDescent="0.25">
      <c r="A1186">
        <v>-111.97366</v>
      </c>
      <c r="B1186">
        <v>33.068466000000001</v>
      </c>
      <c r="C1186">
        <v>1.365</v>
      </c>
      <c r="D1186">
        <v>1.2230399999999999</v>
      </c>
      <c r="E1186">
        <v>878760665</v>
      </c>
      <c r="F1186">
        <v>120</v>
      </c>
    </row>
    <row r="1187" spans="1:6" x14ac:dyDescent="0.25">
      <c r="A1187">
        <v>-111.973662</v>
      </c>
      <c r="B1187">
        <v>33.068472999999997</v>
      </c>
      <c r="C1187">
        <v>1.1950000000000001</v>
      </c>
      <c r="D1187">
        <v>1.0707199999999999</v>
      </c>
      <c r="E1187">
        <v>878760667</v>
      </c>
      <c r="F1187">
        <v>120</v>
      </c>
    </row>
    <row r="1188" spans="1:6" x14ac:dyDescent="0.25">
      <c r="A1188">
        <v>-111.973663</v>
      </c>
      <c r="B1188">
        <v>33.068480000000001</v>
      </c>
      <c r="C1188">
        <v>1.22</v>
      </c>
      <c r="D1188">
        <v>1.0931200000000001</v>
      </c>
      <c r="E1188">
        <v>878760669</v>
      </c>
      <c r="F1188">
        <v>120</v>
      </c>
    </row>
    <row r="1189" spans="1:6" x14ac:dyDescent="0.25">
      <c r="A1189">
        <v>-111.973665</v>
      </c>
      <c r="B1189">
        <v>33.068488000000002</v>
      </c>
      <c r="C1189">
        <v>1.35</v>
      </c>
      <c r="D1189">
        <v>1.2096</v>
      </c>
      <c r="E1189">
        <v>878760671</v>
      </c>
      <c r="F1189">
        <v>120</v>
      </c>
    </row>
    <row r="1190" spans="1:6" x14ac:dyDescent="0.25">
      <c r="A1190">
        <v>-111.973665</v>
      </c>
      <c r="B1190">
        <v>33.068494999999999</v>
      </c>
      <c r="C1190">
        <v>1.36</v>
      </c>
      <c r="D1190">
        <v>1.2185600000000001</v>
      </c>
      <c r="E1190">
        <v>878760673</v>
      </c>
      <c r="F1190">
        <v>120</v>
      </c>
    </row>
    <row r="1191" spans="1:6" x14ac:dyDescent="0.25">
      <c r="A1191">
        <v>-111.973664</v>
      </c>
      <c r="B1191">
        <v>33.068503</v>
      </c>
      <c r="C1191">
        <v>1.165</v>
      </c>
      <c r="D1191">
        <v>1.0438400000000001</v>
      </c>
      <c r="E1191">
        <v>878760675</v>
      </c>
      <c r="F1191">
        <v>120</v>
      </c>
    </row>
    <row r="1192" spans="1:6" x14ac:dyDescent="0.25">
      <c r="A1192">
        <v>-111.973663</v>
      </c>
      <c r="B1192">
        <v>33.068508999999999</v>
      </c>
      <c r="C1192">
        <v>1.2949999999999999</v>
      </c>
      <c r="D1192">
        <v>1.16032</v>
      </c>
      <c r="E1192">
        <v>878760677</v>
      </c>
      <c r="F1192">
        <v>120</v>
      </c>
    </row>
    <row r="1193" spans="1:6" x14ac:dyDescent="0.25">
      <c r="A1193">
        <v>-111.973663</v>
      </c>
      <c r="B1193">
        <v>33.068516000000002</v>
      </c>
      <c r="C1193">
        <v>1.29</v>
      </c>
      <c r="D1193">
        <v>1.15584</v>
      </c>
      <c r="E1193">
        <v>878760679</v>
      </c>
      <c r="F1193">
        <v>120</v>
      </c>
    </row>
    <row r="1194" spans="1:6" x14ac:dyDescent="0.25">
      <c r="A1194">
        <v>-111.973663</v>
      </c>
      <c r="B1194">
        <v>33.068525000000001</v>
      </c>
      <c r="C1194">
        <v>1.22</v>
      </c>
      <c r="D1194">
        <v>1.0931200000000001</v>
      </c>
      <c r="E1194">
        <v>878760681</v>
      </c>
      <c r="F1194">
        <v>120</v>
      </c>
    </row>
    <row r="1195" spans="1:6" x14ac:dyDescent="0.25">
      <c r="A1195">
        <v>-111.973664</v>
      </c>
      <c r="B1195">
        <v>33.068531999999998</v>
      </c>
      <c r="C1195">
        <v>1.2350000000000001</v>
      </c>
      <c r="D1195">
        <v>1.10656</v>
      </c>
      <c r="E1195">
        <v>878760683</v>
      </c>
      <c r="F1195">
        <v>120</v>
      </c>
    </row>
    <row r="1196" spans="1:6" x14ac:dyDescent="0.25">
      <c r="A1196">
        <v>-111.973664</v>
      </c>
      <c r="B1196">
        <v>33.068539000000001</v>
      </c>
      <c r="C1196">
        <v>1.2050000000000001</v>
      </c>
      <c r="D1196">
        <v>1.07968</v>
      </c>
      <c r="E1196">
        <v>878760685</v>
      </c>
      <c r="F1196">
        <v>120</v>
      </c>
    </row>
    <row r="1197" spans="1:6" x14ac:dyDescent="0.25">
      <c r="A1197">
        <v>-111.973664</v>
      </c>
      <c r="B1197">
        <v>33.068547000000002</v>
      </c>
      <c r="C1197">
        <v>1.02</v>
      </c>
      <c r="D1197">
        <v>0.91391999999999995</v>
      </c>
      <c r="E1197">
        <v>878760687</v>
      </c>
      <c r="F1197">
        <v>120</v>
      </c>
    </row>
    <row r="1198" spans="1:6" x14ac:dyDescent="0.25">
      <c r="A1198">
        <v>-111.973663</v>
      </c>
      <c r="B1198">
        <v>33.068553000000001</v>
      </c>
      <c r="C1198">
        <v>1.2749999999999999</v>
      </c>
      <c r="D1198">
        <v>1.1424000000000001</v>
      </c>
      <c r="E1198">
        <v>878760689</v>
      </c>
      <c r="F1198">
        <v>120</v>
      </c>
    </row>
    <row r="1199" spans="1:6" x14ac:dyDescent="0.25">
      <c r="A1199">
        <v>-111.973663</v>
      </c>
      <c r="B1199">
        <v>33.068561000000003</v>
      </c>
      <c r="C1199">
        <v>1.26</v>
      </c>
      <c r="D1199">
        <v>1.12896</v>
      </c>
      <c r="E1199">
        <v>878760691</v>
      </c>
      <c r="F1199">
        <v>120</v>
      </c>
    </row>
    <row r="1200" spans="1:6" x14ac:dyDescent="0.25">
      <c r="A1200">
        <v>-111.973663</v>
      </c>
      <c r="B1200">
        <v>33.068567999999999</v>
      </c>
      <c r="C1200">
        <v>1.54</v>
      </c>
      <c r="D1200">
        <v>1.37984</v>
      </c>
      <c r="E1200">
        <v>878760693</v>
      </c>
      <c r="F1200">
        <v>120</v>
      </c>
    </row>
    <row r="1201" spans="1:6" x14ac:dyDescent="0.25">
      <c r="A1201">
        <v>-111.973663</v>
      </c>
      <c r="B1201">
        <v>33.068576</v>
      </c>
      <c r="C1201">
        <v>1.375</v>
      </c>
      <c r="D1201">
        <v>1.232</v>
      </c>
      <c r="E1201">
        <v>878760695</v>
      </c>
      <c r="F1201">
        <v>120</v>
      </c>
    </row>
    <row r="1202" spans="1:6" x14ac:dyDescent="0.25">
      <c r="A1202">
        <v>-111.973662</v>
      </c>
      <c r="B1202">
        <v>33.068582999999997</v>
      </c>
      <c r="C1202">
        <v>1.4450000000000001</v>
      </c>
      <c r="D1202">
        <v>1.2947200000000001</v>
      </c>
      <c r="E1202">
        <v>878760697</v>
      </c>
      <c r="F1202">
        <v>120</v>
      </c>
    </row>
    <row r="1203" spans="1:6" x14ac:dyDescent="0.25">
      <c r="A1203">
        <v>-111.973663</v>
      </c>
      <c r="B1203">
        <v>33.068589000000003</v>
      </c>
      <c r="C1203">
        <v>1.1850000000000001</v>
      </c>
      <c r="D1203">
        <v>1.06176</v>
      </c>
      <c r="E1203">
        <v>878760699</v>
      </c>
      <c r="F1203">
        <v>120</v>
      </c>
    </row>
    <row r="1204" spans="1:6" x14ac:dyDescent="0.25">
      <c r="A1204">
        <v>-111.973662</v>
      </c>
      <c r="B1204">
        <v>33.068595999999999</v>
      </c>
      <c r="C1204">
        <v>1.2749999999999999</v>
      </c>
      <c r="D1204">
        <v>1.1424000000000001</v>
      </c>
      <c r="E1204">
        <v>878760701</v>
      </c>
      <c r="F1204">
        <v>120</v>
      </c>
    </row>
    <row r="1205" spans="1:6" x14ac:dyDescent="0.25">
      <c r="A1205">
        <v>-111.973663</v>
      </c>
      <c r="B1205">
        <v>33.068604999999998</v>
      </c>
      <c r="C1205">
        <v>1.52</v>
      </c>
      <c r="D1205">
        <v>1.36192</v>
      </c>
      <c r="E1205">
        <v>878760703</v>
      </c>
      <c r="F1205">
        <v>120</v>
      </c>
    </row>
    <row r="1206" spans="1:6" x14ac:dyDescent="0.25">
      <c r="A1206">
        <v>-111.973662</v>
      </c>
      <c r="B1206">
        <v>33.068612000000002</v>
      </c>
      <c r="C1206">
        <v>6.5000000000000002E-2</v>
      </c>
      <c r="D1206">
        <v>5.824E-2</v>
      </c>
      <c r="E1206">
        <v>878760705</v>
      </c>
      <c r="F1206">
        <v>120</v>
      </c>
    </row>
    <row r="1207" spans="1:6" x14ac:dyDescent="0.25">
      <c r="A1207">
        <v>-111.973662</v>
      </c>
      <c r="B1207">
        <v>33.068612000000002</v>
      </c>
      <c r="C1207">
        <v>5.0000000000000001E-3</v>
      </c>
      <c r="D1207">
        <v>4.4799999999999996E-3</v>
      </c>
      <c r="E1207">
        <v>878760707</v>
      </c>
      <c r="F1207">
        <v>120</v>
      </c>
    </row>
    <row r="1208" spans="1:6" x14ac:dyDescent="0.25">
      <c r="A1208">
        <v>-111.97366100000001</v>
      </c>
      <c r="B1208">
        <v>33.068618000000001</v>
      </c>
      <c r="C1208">
        <v>5.0000000000000001E-3</v>
      </c>
      <c r="D1208">
        <v>4.4799999999999996E-3</v>
      </c>
      <c r="E1208">
        <v>878760713</v>
      </c>
      <c r="F1208">
        <v>120</v>
      </c>
    </row>
    <row r="1209" spans="1:6" x14ac:dyDescent="0.25">
      <c r="A1209">
        <v>-111.973658</v>
      </c>
      <c r="B1209">
        <v>33.068624</v>
      </c>
      <c r="C1209">
        <v>0.33</v>
      </c>
      <c r="D1209">
        <v>0.29568</v>
      </c>
      <c r="E1209">
        <v>878760715</v>
      </c>
      <c r="F1209">
        <v>120</v>
      </c>
    </row>
    <row r="1210" spans="1:6" x14ac:dyDescent="0.25">
      <c r="A1210">
        <v>-111.973658</v>
      </c>
      <c r="B1210">
        <v>33.068631000000003</v>
      </c>
      <c r="C1210">
        <v>0.99</v>
      </c>
      <c r="D1210">
        <v>0.88704000000000005</v>
      </c>
      <c r="E1210">
        <v>878760717</v>
      </c>
      <c r="F1210">
        <v>120</v>
      </c>
    </row>
    <row r="1211" spans="1:6" x14ac:dyDescent="0.25">
      <c r="A1211">
        <v>-111.973659</v>
      </c>
      <c r="B1211">
        <v>33.068640000000002</v>
      </c>
      <c r="C1211">
        <v>1.73</v>
      </c>
      <c r="D1211">
        <v>1.5500799999999999</v>
      </c>
      <c r="E1211">
        <v>878760719</v>
      </c>
      <c r="F1211">
        <v>120</v>
      </c>
    </row>
    <row r="1212" spans="1:6" x14ac:dyDescent="0.25">
      <c r="A1212">
        <v>-111.973662</v>
      </c>
      <c r="B1212">
        <v>33.068648000000003</v>
      </c>
      <c r="C1212">
        <v>1.79</v>
      </c>
      <c r="D1212">
        <v>1.6038399999999999</v>
      </c>
      <c r="E1212">
        <v>878760721</v>
      </c>
      <c r="F1212">
        <v>120</v>
      </c>
    </row>
    <row r="1213" spans="1:6" x14ac:dyDescent="0.25">
      <c r="A1213">
        <v>-111.973663</v>
      </c>
      <c r="B1213">
        <v>33.068655999999997</v>
      </c>
      <c r="C1213">
        <v>1.605</v>
      </c>
      <c r="D1213">
        <v>1.43808</v>
      </c>
      <c r="E1213">
        <v>878760723</v>
      </c>
      <c r="F1213">
        <v>120</v>
      </c>
    </row>
    <row r="1214" spans="1:6" x14ac:dyDescent="0.25">
      <c r="A1214">
        <v>-111.973662</v>
      </c>
      <c r="B1214">
        <v>33.068663999999998</v>
      </c>
      <c r="C1214">
        <v>1.65</v>
      </c>
      <c r="D1214">
        <v>1.4783999999999999</v>
      </c>
      <c r="E1214">
        <v>878760725</v>
      </c>
      <c r="F1214">
        <v>120</v>
      </c>
    </row>
    <row r="1215" spans="1:6" x14ac:dyDescent="0.25">
      <c r="A1215">
        <v>-111.973662</v>
      </c>
      <c r="B1215">
        <v>33.068671999999999</v>
      </c>
      <c r="C1215">
        <v>1.83</v>
      </c>
      <c r="D1215">
        <v>1.63968</v>
      </c>
      <c r="E1215">
        <v>878760727</v>
      </c>
      <c r="F1215">
        <v>120</v>
      </c>
    </row>
    <row r="1216" spans="1:6" x14ac:dyDescent="0.25">
      <c r="A1216">
        <v>-111.973663</v>
      </c>
      <c r="B1216">
        <v>33.068680000000001</v>
      </c>
      <c r="C1216">
        <v>1.48</v>
      </c>
      <c r="D1216">
        <v>1.3260799999999999</v>
      </c>
      <c r="E1216">
        <v>878760729</v>
      </c>
      <c r="F1216">
        <v>120</v>
      </c>
    </row>
    <row r="1217" spans="1:6" x14ac:dyDescent="0.25">
      <c r="A1217">
        <v>-111.973663</v>
      </c>
      <c r="B1217">
        <v>33.068688000000002</v>
      </c>
      <c r="C1217">
        <v>1.395</v>
      </c>
      <c r="D1217">
        <v>1.2499199999999999</v>
      </c>
      <c r="E1217">
        <v>878760731</v>
      </c>
      <c r="F1217">
        <v>120</v>
      </c>
    </row>
    <row r="1218" spans="1:6" x14ac:dyDescent="0.25">
      <c r="A1218">
        <v>-111.973662</v>
      </c>
      <c r="B1218">
        <v>33.068694999999998</v>
      </c>
      <c r="C1218">
        <v>1.395</v>
      </c>
      <c r="D1218">
        <v>1.2499199999999999</v>
      </c>
      <c r="E1218">
        <v>878760733</v>
      </c>
      <c r="F1218">
        <v>120</v>
      </c>
    </row>
    <row r="1219" spans="1:6" x14ac:dyDescent="0.25">
      <c r="A1219">
        <v>-111.97366100000001</v>
      </c>
      <c r="B1219">
        <v>33.068702000000002</v>
      </c>
      <c r="C1219">
        <v>1.18</v>
      </c>
      <c r="D1219">
        <v>1.05728</v>
      </c>
      <c r="E1219">
        <v>878760735</v>
      </c>
      <c r="F1219">
        <v>120</v>
      </c>
    </row>
    <row r="1220" spans="1:6" x14ac:dyDescent="0.25">
      <c r="A1220">
        <v>-111.973662</v>
      </c>
      <c r="B1220">
        <v>33.068708999999998</v>
      </c>
      <c r="C1220">
        <v>1.355</v>
      </c>
      <c r="D1220">
        <v>1.21408</v>
      </c>
      <c r="E1220">
        <v>878760737</v>
      </c>
      <c r="F1220">
        <v>120</v>
      </c>
    </row>
    <row r="1221" spans="1:6" x14ac:dyDescent="0.25">
      <c r="A1221">
        <v>-111.97366100000001</v>
      </c>
      <c r="B1221">
        <v>33.068716000000002</v>
      </c>
      <c r="C1221">
        <v>1.2749999999999999</v>
      </c>
      <c r="D1221">
        <v>1.1424000000000001</v>
      </c>
      <c r="E1221">
        <v>878760739</v>
      </c>
      <c r="F1221">
        <v>120</v>
      </c>
    </row>
    <row r="1222" spans="1:6" x14ac:dyDescent="0.25">
      <c r="A1222">
        <v>-111.973662</v>
      </c>
      <c r="B1222">
        <v>33.068724000000003</v>
      </c>
      <c r="C1222">
        <v>1.39</v>
      </c>
      <c r="D1222">
        <v>1.2454400000000001</v>
      </c>
      <c r="E1222">
        <v>878760741</v>
      </c>
      <c r="F1222">
        <v>120</v>
      </c>
    </row>
    <row r="1223" spans="1:6" x14ac:dyDescent="0.25">
      <c r="A1223">
        <v>-111.973662</v>
      </c>
      <c r="B1223">
        <v>33.068731</v>
      </c>
      <c r="C1223">
        <v>1.0349999999999999</v>
      </c>
      <c r="D1223">
        <v>0.92735999999999996</v>
      </c>
      <c r="E1223">
        <v>878760743</v>
      </c>
      <c r="F1223">
        <v>120</v>
      </c>
    </row>
    <row r="1224" spans="1:6" x14ac:dyDescent="0.25">
      <c r="A1224">
        <v>-111.97366100000001</v>
      </c>
      <c r="B1224">
        <v>33.068739000000001</v>
      </c>
      <c r="C1224">
        <v>1.55</v>
      </c>
      <c r="D1224">
        <v>1.3888</v>
      </c>
      <c r="E1224">
        <v>878760745</v>
      </c>
      <c r="F1224">
        <v>120</v>
      </c>
    </row>
    <row r="1225" spans="1:6" x14ac:dyDescent="0.25">
      <c r="A1225">
        <v>-111.97366100000001</v>
      </c>
      <c r="B1225">
        <v>33.068745999999997</v>
      </c>
      <c r="C1225">
        <v>1.39</v>
      </c>
      <c r="D1225">
        <v>1.2454400000000001</v>
      </c>
      <c r="E1225">
        <v>878760747</v>
      </c>
      <c r="F1225">
        <v>120</v>
      </c>
    </row>
    <row r="1226" spans="1:6" x14ac:dyDescent="0.25">
      <c r="A1226">
        <v>-111.97366100000001</v>
      </c>
      <c r="B1226">
        <v>33.068753999999998</v>
      </c>
      <c r="C1226">
        <v>1.26</v>
      </c>
      <c r="D1226">
        <v>1.12896</v>
      </c>
      <c r="E1226">
        <v>878760749</v>
      </c>
      <c r="F1226">
        <v>120</v>
      </c>
    </row>
    <row r="1227" spans="1:6" x14ac:dyDescent="0.25">
      <c r="A1227">
        <v>-111.973662</v>
      </c>
      <c r="B1227">
        <v>33.068762</v>
      </c>
      <c r="C1227">
        <v>1.3149999999999999</v>
      </c>
      <c r="D1227">
        <v>1.17824</v>
      </c>
      <c r="E1227">
        <v>878760751</v>
      </c>
      <c r="F1227">
        <v>120</v>
      </c>
    </row>
    <row r="1228" spans="1:6" x14ac:dyDescent="0.25">
      <c r="A1228">
        <v>-111.973662</v>
      </c>
      <c r="B1228">
        <v>33.068769000000003</v>
      </c>
      <c r="C1228">
        <v>1.2849999999999999</v>
      </c>
      <c r="D1228">
        <v>1.1513599999999999</v>
      </c>
      <c r="E1228">
        <v>878760753</v>
      </c>
      <c r="F1228">
        <v>120</v>
      </c>
    </row>
    <row r="1229" spans="1:6" x14ac:dyDescent="0.25">
      <c r="A1229">
        <v>-111.973663</v>
      </c>
      <c r="B1229">
        <v>33.068776</v>
      </c>
      <c r="C1229">
        <v>1.41</v>
      </c>
      <c r="D1229">
        <v>1.26336</v>
      </c>
      <c r="E1229">
        <v>878760755</v>
      </c>
      <c r="F1229">
        <v>120</v>
      </c>
    </row>
    <row r="1230" spans="1:6" x14ac:dyDescent="0.25">
      <c r="A1230">
        <v>-111.973662</v>
      </c>
      <c r="B1230">
        <v>33.068784000000001</v>
      </c>
      <c r="C1230">
        <v>6.5000000000000002E-2</v>
      </c>
      <c r="D1230">
        <v>5.824E-2</v>
      </c>
      <c r="E1230">
        <v>878760757</v>
      </c>
      <c r="F1230">
        <v>120</v>
      </c>
    </row>
    <row r="1231" spans="1:6" x14ac:dyDescent="0.25">
      <c r="A1231">
        <v>-111.97366100000001</v>
      </c>
      <c r="B1231">
        <v>33.068790999999997</v>
      </c>
      <c r="C1231">
        <v>5.0000000000000001E-3</v>
      </c>
      <c r="D1231">
        <v>4.4799999999999996E-3</v>
      </c>
      <c r="E1231">
        <v>878760759</v>
      </c>
      <c r="F1231">
        <v>120</v>
      </c>
    </row>
    <row r="1232" spans="1:6" x14ac:dyDescent="0.25">
      <c r="A1232">
        <v>-111.973663</v>
      </c>
      <c r="B1232">
        <v>33.068865000000002</v>
      </c>
      <c r="C1232">
        <v>8.5000000000000006E-2</v>
      </c>
      <c r="D1232">
        <v>7.6160000000000005E-2</v>
      </c>
      <c r="E1232">
        <v>878760779</v>
      </c>
      <c r="F1232">
        <v>120</v>
      </c>
    </row>
    <row r="1233" spans="1:6" x14ac:dyDescent="0.25">
      <c r="A1233">
        <v>-111.973662</v>
      </c>
      <c r="B1233">
        <v>33.068873000000004</v>
      </c>
      <c r="C1233">
        <v>0.86499999999999999</v>
      </c>
      <c r="D1233">
        <v>0.77503999999999995</v>
      </c>
      <c r="E1233">
        <v>878760781</v>
      </c>
      <c r="F1233">
        <v>120</v>
      </c>
    </row>
    <row r="1234" spans="1:6" x14ac:dyDescent="0.25">
      <c r="A1234">
        <v>-111.97366</v>
      </c>
      <c r="B1234">
        <v>33.06888</v>
      </c>
      <c r="C1234">
        <v>1.3</v>
      </c>
      <c r="D1234">
        <v>1.1648000000000001</v>
      </c>
      <c r="E1234">
        <v>878760783</v>
      </c>
      <c r="F1234">
        <v>120</v>
      </c>
    </row>
    <row r="1235" spans="1:6" x14ac:dyDescent="0.25">
      <c r="A1235">
        <v>-111.97366100000001</v>
      </c>
      <c r="B1235">
        <v>33.068888000000001</v>
      </c>
      <c r="C1235">
        <v>1.3</v>
      </c>
      <c r="D1235">
        <v>1.1648000000000001</v>
      </c>
      <c r="E1235">
        <v>878760785</v>
      </c>
      <c r="F1235">
        <v>120</v>
      </c>
    </row>
    <row r="1236" spans="1:6" x14ac:dyDescent="0.25">
      <c r="A1236">
        <v>-111.973662</v>
      </c>
      <c r="B1236">
        <v>33.068896000000002</v>
      </c>
      <c r="C1236">
        <v>1.28</v>
      </c>
      <c r="D1236">
        <v>1.1468799999999999</v>
      </c>
      <c r="E1236">
        <v>878760787</v>
      </c>
      <c r="F1236">
        <v>120</v>
      </c>
    </row>
    <row r="1237" spans="1:6" x14ac:dyDescent="0.25">
      <c r="A1237">
        <v>-111.97366100000001</v>
      </c>
      <c r="B1237">
        <v>33.068902999999999</v>
      </c>
      <c r="C1237">
        <v>1.145</v>
      </c>
      <c r="D1237">
        <v>1.0259199999999999</v>
      </c>
      <c r="E1237">
        <v>878760789</v>
      </c>
      <c r="F1237">
        <v>120</v>
      </c>
    </row>
    <row r="1238" spans="1:6" x14ac:dyDescent="0.25">
      <c r="A1238">
        <v>-111.973662</v>
      </c>
      <c r="B1238">
        <v>33.068910000000002</v>
      </c>
      <c r="C1238">
        <v>1.1100000000000001</v>
      </c>
      <c r="D1238">
        <v>0.99456</v>
      </c>
      <c r="E1238">
        <v>878760791</v>
      </c>
      <c r="F1238">
        <v>120</v>
      </c>
    </row>
    <row r="1239" spans="1:6" x14ac:dyDescent="0.25">
      <c r="A1239">
        <v>-111.973662</v>
      </c>
      <c r="B1239">
        <v>33.068916999999999</v>
      </c>
      <c r="C1239">
        <v>1.1499999999999999</v>
      </c>
      <c r="D1239">
        <v>1.0304</v>
      </c>
      <c r="E1239">
        <v>878760793</v>
      </c>
      <c r="F1239">
        <v>120</v>
      </c>
    </row>
    <row r="1240" spans="1:6" x14ac:dyDescent="0.25">
      <c r="A1240">
        <v>-111.973662</v>
      </c>
      <c r="B1240">
        <v>33.068924000000003</v>
      </c>
      <c r="C1240">
        <v>0.73499999999999999</v>
      </c>
      <c r="D1240">
        <v>0.65856000000000003</v>
      </c>
      <c r="E1240">
        <v>878760795</v>
      </c>
      <c r="F1240">
        <v>120</v>
      </c>
    </row>
    <row r="1241" spans="1:6" x14ac:dyDescent="0.25">
      <c r="A1241">
        <v>-111.973662</v>
      </c>
      <c r="B1241">
        <v>33.068930000000002</v>
      </c>
      <c r="C1241">
        <v>0.85</v>
      </c>
      <c r="D1241">
        <v>0.76160000000000005</v>
      </c>
      <c r="E1241">
        <v>878760797</v>
      </c>
      <c r="F1241">
        <v>120</v>
      </c>
    </row>
    <row r="1242" spans="1:6" x14ac:dyDescent="0.25">
      <c r="A1242">
        <v>-111.97366100000001</v>
      </c>
      <c r="B1242">
        <v>33.068938000000003</v>
      </c>
      <c r="C1242">
        <v>0.82499999999999996</v>
      </c>
      <c r="D1242">
        <v>0.73919999999999997</v>
      </c>
      <c r="E1242">
        <v>878760799</v>
      </c>
      <c r="F1242">
        <v>120</v>
      </c>
    </row>
    <row r="1243" spans="1:6" x14ac:dyDescent="0.25">
      <c r="A1243">
        <v>-111.97366100000001</v>
      </c>
      <c r="B1243">
        <v>33.068944999999999</v>
      </c>
      <c r="C1243">
        <v>0.375</v>
      </c>
      <c r="D1243">
        <v>0.33600000000000002</v>
      </c>
      <c r="E1243">
        <v>878760801</v>
      </c>
      <c r="F1243">
        <v>120</v>
      </c>
    </row>
    <row r="1244" spans="1:6" x14ac:dyDescent="0.25">
      <c r="A1244">
        <v>-111.97366100000001</v>
      </c>
      <c r="B1244">
        <v>33.068953</v>
      </c>
      <c r="C1244">
        <v>0.61499999999999999</v>
      </c>
      <c r="D1244">
        <v>0.55103999999999997</v>
      </c>
      <c r="E1244">
        <v>878760803</v>
      </c>
      <c r="F1244">
        <v>120</v>
      </c>
    </row>
    <row r="1245" spans="1:6" x14ac:dyDescent="0.25">
      <c r="A1245">
        <v>-111.97366100000001</v>
      </c>
      <c r="B1245">
        <v>33.068959999999997</v>
      </c>
      <c r="C1245">
        <v>0.59</v>
      </c>
      <c r="D1245">
        <v>0.52864</v>
      </c>
      <c r="E1245">
        <v>878760805</v>
      </c>
      <c r="F1245">
        <v>120</v>
      </c>
    </row>
    <row r="1246" spans="1:6" x14ac:dyDescent="0.25">
      <c r="A1246">
        <v>-111.97366100000001</v>
      </c>
      <c r="B1246">
        <v>33.068967000000001</v>
      </c>
      <c r="C1246">
        <v>0.59</v>
      </c>
      <c r="D1246">
        <v>0.52864</v>
      </c>
      <c r="E1246">
        <v>878760807</v>
      </c>
      <c r="F1246">
        <v>120</v>
      </c>
    </row>
    <row r="1247" spans="1:6" x14ac:dyDescent="0.25">
      <c r="A1247">
        <v>-111.97366100000001</v>
      </c>
      <c r="B1247">
        <v>33.068973999999997</v>
      </c>
      <c r="C1247">
        <v>0.57999999999999996</v>
      </c>
      <c r="D1247">
        <v>0.51968000000000003</v>
      </c>
      <c r="E1247">
        <v>878760809</v>
      </c>
      <c r="F1247">
        <v>120</v>
      </c>
    </row>
    <row r="1248" spans="1:6" x14ac:dyDescent="0.25">
      <c r="A1248">
        <v>-111.97366100000001</v>
      </c>
      <c r="B1248">
        <v>33.068981000000001</v>
      </c>
      <c r="C1248">
        <v>0.54500000000000004</v>
      </c>
      <c r="D1248">
        <v>0.48831999999999998</v>
      </c>
      <c r="E1248">
        <v>878760811</v>
      </c>
      <c r="F1248">
        <v>120</v>
      </c>
    </row>
    <row r="1249" spans="1:6" x14ac:dyDescent="0.25">
      <c r="A1249">
        <v>-111.97366100000001</v>
      </c>
      <c r="B1249">
        <v>33.068989999999999</v>
      </c>
      <c r="C1249">
        <v>0.79500000000000004</v>
      </c>
      <c r="D1249">
        <v>0.71231999999999995</v>
      </c>
      <c r="E1249">
        <v>878760813</v>
      </c>
      <c r="F1249">
        <v>120</v>
      </c>
    </row>
    <row r="1250" spans="1:6" x14ac:dyDescent="0.25">
      <c r="A1250">
        <v>-111.97366</v>
      </c>
      <c r="B1250">
        <v>33.068995999999999</v>
      </c>
      <c r="C1250">
        <v>0.73499999999999999</v>
      </c>
      <c r="D1250">
        <v>0.65856000000000003</v>
      </c>
      <c r="E1250">
        <v>878760815</v>
      </c>
      <c r="F1250">
        <v>120</v>
      </c>
    </row>
    <row r="1251" spans="1:6" x14ac:dyDescent="0.25">
      <c r="A1251">
        <v>-111.973659</v>
      </c>
      <c r="B1251">
        <v>33.069003000000002</v>
      </c>
      <c r="C1251">
        <v>0.56499999999999995</v>
      </c>
      <c r="D1251">
        <v>0.50624000000000002</v>
      </c>
      <c r="E1251">
        <v>878760817</v>
      </c>
      <c r="F1251">
        <v>120</v>
      </c>
    </row>
    <row r="1252" spans="1:6" x14ac:dyDescent="0.25">
      <c r="A1252">
        <v>-111.973659</v>
      </c>
      <c r="B1252">
        <v>33.069009999999999</v>
      </c>
      <c r="C1252">
        <v>0.56000000000000005</v>
      </c>
      <c r="D1252">
        <v>0.50175999999999998</v>
      </c>
      <c r="E1252">
        <v>878760819</v>
      </c>
      <c r="F1252">
        <v>120</v>
      </c>
    </row>
    <row r="1253" spans="1:6" x14ac:dyDescent="0.25">
      <c r="A1253">
        <v>-111.973659</v>
      </c>
      <c r="B1253">
        <v>33.069018</v>
      </c>
      <c r="C1253">
        <v>0.53500000000000003</v>
      </c>
      <c r="D1253">
        <v>0.47936000000000001</v>
      </c>
      <c r="E1253">
        <v>878760821</v>
      </c>
      <c r="F1253">
        <v>120</v>
      </c>
    </row>
    <row r="1254" spans="1:6" x14ac:dyDescent="0.25">
      <c r="A1254">
        <v>-111.973659</v>
      </c>
      <c r="B1254">
        <v>33.069023000000001</v>
      </c>
      <c r="C1254">
        <v>2.5000000000000001E-2</v>
      </c>
      <c r="D1254">
        <v>2.24E-2</v>
      </c>
      <c r="E1254">
        <v>878760823</v>
      </c>
      <c r="F1254">
        <v>120</v>
      </c>
    </row>
    <row r="1255" spans="1:6" x14ac:dyDescent="0.25">
      <c r="A1255">
        <v>-111.973657</v>
      </c>
      <c r="B1255">
        <v>33.069057999999998</v>
      </c>
      <c r="C1255">
        <v>5.0000000000000001E-3</v>
      </c>
      <c r="D1255">
        <v>4.4799999999999996E-3</v>
      </c>
      <c r="E1255">
        <v>878760839</v>
      </c>
      <c r="F1255">
        <v>120</v>
      </c>
    </row>
    <row r="1256" spans="1:6" x14ac:dyDescent="0.25">
      <c r="A1256">
        <v>-111.97367300000001</v>
      </c>
      <c r="B1256">
        <v>33.06908</v>
      </c>
      <c r="C1256">
        <v>5.0000000000000001E-3</v>
      </c>
      <c r="D1256">
        <v>4.4799999999999996E-3</v>
      </c>
      <c r="E1256">
        <v>878760845</v>
      </c>
      <c r="F1256">
        <v>120</v>
      </c>
    </row>
    <row r="1257" spans="1:6" x14ac:dyDescent="0.25">
      <c r="A1257">
        <v>-111.97370100000001</v>
      </c>
      <c r="B1257">
        <v>33.069014000000003</v>
      </c>
      <c r="C1257">
        <v>1.4999999999999999E-2</v>
      </c>
      <c r="D1257">
        <v>1.3440000000000001E-2</v>
      </c>
      <c r="E1257">
        <v>878760893</v>
      </c>
      <c r="F1257">
        <v>120</v>
      </c>
    </row>
    <row r="1258" spans="1:6" x14ac:dyDescent="0.25">
      <c r="A1258">
        <v>-111.97370100000001</v>
      </c>
      <c r="B1258">
        <v>33.069007999999997</v>
      </c>
      <c r="C1258">
        <v>0.56999999999999995</v>
      </c>
      <c r="D1258">
        <v>0.51071999999999995</v>
      </c>
      <c r="E1258">
        <v>878760895</v>
      </c>
      <c r="F1258">
        <v>120</v>
      </c>
    </row>
    <row r="1259" spans="1:6" x14ac:dyDescent="0.25">
      <c r="A1259">
        <v>-111.97370100000001</v>
      </c>
      <c r="B1259">
        <v>33.069001</v>
      </c>
      <c r="C1259">
        <v>0.79</v>
      </c>
      <c r="D1259">
        <v>0.70784000000000002</v>
      </c>
      <c r="E1259">
        <v>878760897</v>
      </c>
      <c r="F1259">
        <v>120</v>
      </c>
    </row>
    <row r="1260" spans="1:6" x14ac:dyDescent="0.25">
      <c r="A1260">
        <v>-111.973702</v>
      </c>
      <c r="B1260">
        <v>33.068994000000004</v>
      </c>
      <c r="C1260">
        <v>0.62</v>
      </c>
      <c r="D1260">
        <v>0.55552000000000001</v>
      </c>
      <c r="E1260">
        <v>878760899</v>
      </c>
      <c r="F1260">
        <v>120</v>
      </c>
    </row>
    <row r="1261" spans="1:6" x14ac:dyDescent="0.25">
      <c r="A1261">
        <v>-111.973702</v>
      </c>
      <c r="B1261">
        <v>33.068987999999997</v>
      </c>
      <c r="C1261">
        <v>0.64</v>
      </c>
      <c r="D1261">
        <v>0.57343999999999995</v>
      </c>
      <c r="E1261">
        <v>878760901</v>
      </c>
      <c r="F1261">
        <v>120</v>
      </c>
    </row>
    <row r="1262" spans="1:6" x14ac:dyDescent="0.25">
      <c r="A1262">
        <v>-111.97369999999999</v>
      </c>
      <c r="B1262">
        <v>33.068981999999998</v>
      </c>
      <c r="C1262">
        <v>0.56499999999999995</v>
      </c>
      <c r="D1262">
        <v>0.50624000000000002</v>
      </c>
      <c r="E1262">
        <v>878760903</v>
      </c>
      <c r="F1262">
        <v>120</v>
      </c>
    </row>
    <row r="1263" spans="1:6" x14ac:dyDescent="0.25">
      <c r="A1263">
        <v>-111.97369999999999</v>
      </c>
      <c r="B1263">
        <v>33.068975000000002</v>
      </c>
      <c r="C1263">
        <v>0.56000000000000005</v>
      </c>
      <c r="D1263">
        <v>0.50175999999999998</v>
      </c>
      <c r="E1263">
        <v>878760905</v>
      </c>
      <c r="F1263">
        <v>120</v>
      </c>
    </row>
    <row r="1264" spans="1:6" x14ac:dyDescent="0.25">
      <c r="A1264">
        <v>-111.97369999999999</v>
      </c>
      <c r="B1264">
        <v>33.068967999999998</v>
      </c>
      <c r="C1264">
        <v>0.70499999999999996</v>
      </c>
      <c r="D1264">
        <v>0.63168000000000002</v>
      </c>
      <c r="E1264">
        <v>878760907</v>
      </c>
      <c r="F1264">
        <v>120</v>
      </c>
    </row>
    <row r="1265" spans="1:6" x14ac:dyDescent="0.25">
      <c r="A1265">
        <v>-111.97369999999999</v>
      </c>
      <c r="B1265">
        <v>33.068959999999997</v>
      </c>
      <c r="C1265">
        <v>0.81</v>
      </c>
      <c r="D1265">
        <v>0.72575999999999996</v>
      </c>
      <c r="E1265">
        <v>878760909</v>
      </c>
      <c r="F1265">
        <v>120</v>
      </c>
    </row>
    <row r="1266" spans="1:6" x14ac:dyDescent="0.25">
      <c r="A1266">
        <v>-111.97369999999999</v>
      </c>
      <c r="B1266">
        <v>33.068952000000003</v>
      </c>
      <c r="C1266">
        <v>0.81499999999999995</v>
      </c>
      <c r="D1266">
        <v>0.73024</v>
      </c>
      <c r="E1266">
        <v>878760911</v>
      </c>
      <c r="F1266">
        <v>120</v>
      </c>
    </row>
    <row r="1267" spans="1:6" x14ac:dyDescent="0.25">
      <c r="A1267">
        <v>-111.97369999999999</v>
      </c>
      <c r="B1267">
        <v>33.068944999999999</v>
      </c>
      <c r="C1267">
        <v>0.78</v>
      </c>
      <c r="D1267">
        <v>0.69887999999999995</v>
      </c>
      <c r="E1267">
        <v>878760913</v>
      </c>
      <c r="F1267">
        <v>120</v>
      </c>
    </row>
    <row r="1268" spans="1:6" x14ac:dyDescent="0.25">
      <c r="A1268">
        <v>-111.97369999999999</v>
      </c>
      <c r="B1268">
        <v>33.068936000000001</v>
      </c>
      <c r="C1268">
        <v>0.77</v>
      </c>
      <c r="D1268">
        <v>0.68991999999999998</v>
      </c>
      <c r="E1268">
        <v>878760915</v>
      </c>
      <c r="F1268">
        <v>120</v>
      </c>
    </row>
    <row r="1269" spans="1:6" x14ac:dyDescent="0.25">
      <c r="A1269">
        <v>-111.97369999999999</v>
      </c>
      <c r="B1269">
        <v>33.068928</v>
      </c>
      <c r="C1269">
        <v>0.56000000000000005</v>
      </c>
      <c r="D1269">
        <v>0.50175999999999998</v>
      </c>
      <c r="E1269">
        <v>878760917</v>
      </c>
      <c r="F1269">
        <v>120</v>
      </c>
    </row>
    <row r="1270" spans="1:6" x14ac:dyDescent="0.25">
      <c r="A1270">
        <v>-111.97369999999999</v>
      </c>
      <c r="B1270">
        <v>33.068922000000001</v>
      </c>
      <c r="C1270">
        <v>0.625</v>
      </c>
      <c r="D1270">
        <v>0.56000000000000005</v>
      </c>
      <c r="E1270">
        <v>878760919</v>
      </c>
      <c r="F1270">
        <v>120</v>
      </c>
    </row>
    <row r="1271" spans="1:6" x14ac:dyDescent="0.25">
      <c r="A1271">
        <v>-111.97370100000001</v>
      </c>
      <c r="B1271">
        <v>33.068914999999997</v>
      </c>
      <c r="C1271">
        <v>0.69</v>
      </c>
      <c r="D1271">
        <v>0.61824000000000001</v>
      </c>
      <c r="E1271">
        <v>878760921</v>
      </c>
      <c r="F1271">
        <v>120</v>
      </c>
    </row>
    <row r="1272" spans="1:6" x14ac:dyDescent="0.25">
      <c r="A1272">
        <v>-111.97370100000001</v>
      </c>
      <c r="B1272">
        <v>33.068908</v>
      </c>
      <c r="C1272">
        <v>0.54</v>
      </c>
      <c r="D1272">
        <v>0.48383999999999999</v>
      </c>
      <c r="E1272">
        <v>878760923</v>
      </c>
      <c r="F1272">
        <v>120</v>
      </c>
    </row>
    <row r="1273" spans="1:6" x14ac:dyDescent="0.25">
      <c r="A1273">
        <v>-111.97370100000001</v>
      </c>
      <c r="B1273">
        <v>33.068900999999997</v>
      </c>
      <c r="C1273">
        <v>0.63</v>
      </c>
      <c r="D1273">
        <v>0.56447999999999998</v>
      </c>
      <c r="E1273">
        <v>878760925</v>
      </c>
      <c r="F1273">
        <v>120</v>
      </c>
    </row>
    <row r="1274" spans="1:6" x14ac:dyDescent="0.25">
      <c r="A1274">
        <v>-111.97369999999999</v>
      </c>
      <c r="B1274">
        <v>33.068893000000003</v>
      </c>
      <c r="C1274">
        <v>0.45500000000000002</v>
      </c>
      <c r="D1274">
        <v>0.40767999999999999</v>
      </c>
      <c r="E1274">
        <v>878760927</v>
      </c>
      <c r="F1274">
        <v>120</v>
      </c>
    </row>
    <row r="1275" spans="1:6" x14ac:dyDescent="0.25">
      <c r="A1275">
        <v>-111.97370100000001</v>
      </c>
      <c r="B1275">
        <v>33.068885999999999</v>
      </c>
      <c r="C1275">
        <v>0.75</v>
      </c>
      <c r="D1275">
        <v>0.67200000000000004</v>
      </c>
      <c r="E1275">
        <v>878760929</v>
      </c>
      <c r="F1275">
        <v>120</v>
      </c>
    </row>
    <row r="1276" spans="1:6" x14ac:dyDescent="0.25">
      <c r="A1276">
        <v>-111.97370100000001</v>
      </c>
      <c r="B1276">
        <v>33.068879000000003</v>
      </c>
      <c r="C1276">
        <v>0.95499999999999996</v>
      </c>
      <c r="D1276">
        <v>0.85568</v>
      </c>
      <c r="E1276">
        <v>878760931</v>
      </c>
      <c r="F1276">
        <v>120</v>
      </c>
    </row>
    <row r="1277" spans="1:6" x14ac:dyDescent="0.25">
      <c r="A1277">
        <v>-111.97370100000001</v>
      </c>
      <c r="B1277">
        <v>33.068873000000004</v>
      </c>
      <c r="C1277">
        <v>0.87</v>
      </c>
      <c r="D1277">
        <v>0.77951999999999999</v>
      </c>
      <c r="E1277">
        <v>878760933</v>
      </c>
      <c r="F1277">
        <v>120</v>
      </c>
    </row>
    <row r="1278" spans="1:6" x14ac:dyDescent="0.25">
      <c r="A1278">
        <v>-111.97370100000001</v>
      </c>
      <c r="B1278">
        <v>33.068865000000002</v>
      </c>
      <c r="C1278">
        <v>1.06</v>
      </c>
      <c r="D1278">
        <v>0.94976000000000005</v>
      </c>
      <c r="E1278">
        <v>878760935</v>
      </c>
      <c r="F1278">
        <v>120</v>
      </c>
    </row>
    <row r="1279" spans="1:6" x14ac:dyDescent="0.25">
      <c r="A1279">
        <v>-111.97370100000001</v>
      </c>
      <c r="B1279">
        <v>33.068857999999999</v>
      </c>
      <c r="C1279">
        <v>1.43</v>
      </c>
      <c r="D1279">
        <v>1.28128</v>
      </c>
      <c r="E1279">
        <v>878760937</v>
      </c>
      <c r="F1279">
        <v>120</v>
      </c>
    </row>
    <row r="1280" spans="1:6" x14ac:dyDescent="0.25">
      <c r="A1280">
        <v>-111.97370100000001</v>
      </c>
      <c r="B1280">
        <v>33.068852</v>
      </c>
      <c r="C1280">
        <v>0.2</v>
      </c>
      <c r="D1280">
        <v>0.1792</v>
      </c>
      <c r="E1280">
        <v>878760939</v>
      </c>
      <c r="F1280">
        <v>120</v>
      </c>
    </row>
    <row r="1281" spans="1:6" x14ac:dyDescent="0.25">
      <c r="A1281">
        <v>-111.97370100000001</v>
      </c>
      <c r="B1281">
        <v>33.068845000000003</v>
      </c>
      <c r="C1281">
        <v>5.0000000000000001E-3</v>
      </c>
      <c r="D1281">
        <v>4.4799999999999996E-3</v>
      </c>
      <c r="E1281">
        <v>878760941</v>
      </c>
      <c r="F1281">
        <v>120</v>
      </c>
    </row>
    <row r="1282" spans="1:6" x14ac:dyDescent="0.25">
      <c r="A1282">
        <v>-111.973703</v>
      </c>
      <c r="B1282">
        <v>33.068838</v>
      </c>
      <c r="C1282">
        <v>5.0000000000000001E-3</v>
      </c>
      <c r="D1282">
        <v>4.4799999999999996E-3</v>
      </c>
      <c r="E1282">
        <v>878760943</v>
      </c>
      <c r="F1282">
        <v>120</v>
      </c>
    </row>
    <row r="1283" spans="1:6" x14ac:dyDescent="0.25">
      <c r="A1283">
        <v>-111.97369999999999</v>
      </c>
      <c r="B1283">
        <v>33.068767999999999</v>
      </c>
      <c r="C1283">
        <v>0.125</v>
      </c>
      <c r="D1283">
        <v>0.112</v>
      </c>
      <c r="E1283">
        <v>878760963</v>
      </c>
      <c r="F1283">
        <v>120</v>
      </c>
    </row>
    <row r="1284" spans="1:6" x14ac:dyDescent="0.25">
      <c r="A1284">
        <v>-111.97370100000001</v>
      </c>
      <c r="B1284">
        <v>33.068761000000002</v>
      </c>
      <c r="C1284">
        <v>0.28000000000000003</v>
      </c>
      <c r="D1284">
        <v>0.25087999999999999</v>
      </c>
      <c r="E1284">
        <v>878760965</v>
      </c>
      <c r="F1284">
        <v>120</v>
      </c>
    </row>
    <row r="1285" spans="1:6" x14ac:dyDescent="0.25">
      <c r="A1285">
        <v>-111.973702</v>
      </c>
      <c r="B1285">
        <v>33.068753999999998</v>
      </c>
      <c r="C1285">
        <v>0.64500000000000002</v>
      </c>
      <c r="D1285">
        <v>0.57791999999999999</v>
      </c>
      <c r="E1285">
        <v>878760967</v>
      </c>
      <c r="F1285">
        <v>120</v>
      </c>
    </row>
    <row r="1286" spans="1:6" x14ac:dyDescent="0.25">
      <c r="A1286">
        <v>-111.97370100000001</v>
      </c>
      <c r="B1286">
        <v>33.068745</v>
      </c>
      <c r="C1286">
        <v>0.82</v>
      </c>
      <c r="D1286">
        <v>0.73472000000000004</v>
      </c>
      <c r="E1286">
        <v>878760969</v>
      </c>
      <c r="F1286">
        <v>120</v>
      </c>
    </row>
    <row r="1287" spans="1:6" x14ac:dyDescent="0.25">
      <c r="A1287">
        <v>-111.97370100000001</v>
      </c>
      <c r="B1287">
        <v>33.068738000000003</v>
      </c>
      <c r="C1287">
        <v>1.22</v>
      </c>
      <c r="D1287">
        <v>1.0931200000000001</v>
      </c>
      <c r="E1287">
        <v>878760971</v>
      </c>
      <c r="F1287">
        <v>120</v>
      </c>
    </row>
    <row r="1288" spans="1:6" x14ac:dyDescent="0.25">
      <c r="A1288">
        <v>-111.97370100000001</v>
      </c>
      <c r="B1288">
        <v>33.068730000000002</v>
      </c>
      <c r="C1288">
        <v>1.1000000000000001</v>
      </c>
      <c r="D1288">
        <v>0.98560000000000003</v>
      </c>
      <c r="E1288">
        <v>878760973</v>
      </c>
      <c r="F1288">
        <v>120</v>
      </c>
    </row>
    <row r="1289" spans="1:6" x14ac:dyDescent="0.25">
      <c r="A1289">
        <v>-111.97369999999999</v>
      </c>
      <c r="B1289">
        <v>33.068722000000001</v>
      </c>
      <c r="C1289">
        <v>1.0449999999999999</v>
      </c>
      <c r="D1289">
        <v>0.93632000000000004</v>
      </c>
      <c r="E1289">
        <v>878760975</v>
      </c>
      <c r="F1289">
        <v>120</v>
      </c>
    </row>
    <row r="1290" spans="1:6" x14ac:dyDescent="0.25">
      <c r="A1290">
        <v>-111.97370100000001</v>
      </c>
      <c r="B1290">
        <v>33.068714999999997</v>
      </c>
      <c r="C1290">
        <v>1.17</v>
      </c>
      <c r="D1290">
        <v>1.0483199999999999</v>
      </c>
      <c r="E1290">
        <v>878760977</v>
      </c>
      <c r="F1290">
        <v>120</v>
      </c>
    </row>
    <row r="1291" spans="1:6" x14ac:dyDescent="0.25">
      <c r="A1291">
        <v>-111.97369999999999</v>
      </c>
      <c r="B1291">
        <v>33.068707000000003</v>
      </c>
      <c r="C1291">
        <v>1.05</v>
      </c>
      <c r="D1291">
        <v>0.94079999999999997</v>
      </c>
      <c r="E1291">
        <v>878760979</v>
      </c>
      <c r="F1291">
        <v>120</v>
      </c>
    </row>
    <row r="1292" spans="1:6" x14ac:dyDescent="0.25">
      <c r="A1292">
        <v>-111.97369999999999</v>
      </c>
      <c r="B1292">
        <v>33.0687</v>
      </c>
      <c r="C1292">
        <v>1.22</v>
      </c>
      <c r="D1292">
        <v>1.0931200000000001</v>
      </c>
      <c r="E1292">
        <v>878760981</v>
      </c>
      <c r="F1292">
        <v>120</v>
      </c>
    </row>
    <row r="1293" spans="1:6" x14ac:dyDescent="0.25">
      <c r="A1293">
        <v>-111.97370100000001</v>
      </c>
      <c r="B1293">
        <v>33.068691999999999</v>
      </c>
      <c r="C1293">
        <v>0.97499999999999998</v>
      </c>
      <c r="D1293">
        <v>0.87360000000000004</v>
      </c>
      <c r="E1293">
        <v>878760983</v>
      </c>
      <c r="F1293">
        <v>120</v>
      </c>
    </row>
    <row r="1294" spans="1:6" x14ac:dyDescent="0.25">
      <c r="A1294">
        <v>-111.97369999999999</v>
      </c>
      <c r="B1294">
        <v>33.068685000000002</v>
      </c>
      <c r="C1294">
        <v>1.2350000000000001</v>
      </c>
      <c r="D1294">
        <v>1.10656</v>
      </c>
      <c r="E1294">
        <v>878760985</v>
      </c>
      <c r="F1294">
        <v>120</v>
      </c>
    </row>
    <row r="1295" spans="1:6" x14ac:dyDescent="0.25">
      <c r="A1295">
        <v>-111.97370100000001</v>
      </c>
      <c r="B1295">
        <v>33.068677000000001</v>
      </c>
      <c r="C1295">
        <v>0.94499999999999995</v>
      </c>
      <c r="D1295">
        <v>0.84672000000000003</v>
      </c>
      <c r="E1295">
        <v>878760987</v>
      </c>
      <c r="F1295">
        <v>120</v>
      </c>
    </row>
    <row r="1296" spans="1:6" x14ac:dyDescent="0.25">
      <c r="A1296">
        <v>-111.973702</v>
      </c>
      <c r="B1296">
        <v>33.068669</v>
      </c>
      <c r="C1296">
        <v>0.875</v>
      </c>
      <c r="D1296">
        <v>0.78400000000000003</v>
      </c>
      <c r="E1296">
        <v>878760989</v>
      </c>
      <c r="F1296">
        <v>120</v>
      </c>
    </row>
    <row r="1297" spans="1:6" x14ac:dyDescent="0.25">
      <c r="A1297">
        <v>-111.97369999999999</v>
      </c>
      <c r="B1297">
        <v>33.068660999999999</v>
      </c>
      <c r="C1297">
        <v>0.73</v>
      </c>
      <c r="D1297">
        <v>0.65407999999999999</v>
      </c>
      <c r="E1297">
        <v>878760991</v>
      </c>
      <c r="F1297">
        <v>120</v>
      </c>
    </row>
    <row r="1298" spans="1:6" x14ac:dyDescent="0.25">
      <c r="A1298">
        <v>-111.97370100000001</v>
      </c>
      <c r="B1298">
        <v>33.068654000000002</v>
      </c>
      <c r="C1298">
        <v>0.85499999999999998</v>
      </c>
      <c r="D1298">
        <v>0.76607999999999998</v>
      </c>
      <c r="E1298">
        <v>878760993</v>
      </c>
      <c r="F1298">
        <v>120</v>
      </c>
    </row>
    <row r="1299" spans="1:6" x14ac:dyDescent="0.25">
      <c r="A1299">
        <v>-111.97369999999999</v>
      </c>
      <c r="B1299">
        <v>33.068646000000001</v>
      </c>
      <c r="C1299">
        <v>0.95499999999999996</v>
      </c>
      <c r="D1299">
        <v>0.85568</v>
      </c>
      <c r="E1299">
        <v>878760995</v>
      </c>
      <c r="F1299">
        <v>120</v>
      </c>
    </row>
    <row r="1300" spans="1:6" x14ac:dyDescent="0.25">
      <c r="A1300">
        <v>-111.97369999999999</v>
      </c>
      <c r="B1300">
        <v>33.068638999999997</v>
      </c>
      <c r="C1300">
        <v>1.02</v>
      </c>
      <c r="D1300">
        <v>0.91391999999999995</v>
      </c>
      <c r="E1300">
        <v>878760997</v>
      </c>
      <c r="F1300">
        <v>120</v>
      </c>
    </row>
    <row r="1301" spans="1:6" x14ac:dyDescent="0.25">
      <c r="A1301">
        <v>-111.97370100000001</v>
      </c>
      <c r="B1301">
        <v>33.068631000000003</v>
      </c>
      <c r="C1301">
        <v>1.335</v>
      </c>
      <c r="D1301">
        <v>1.1961599999999999</v>
      </c>
      <c r="E1301">
        <v>878760999</v>
      </c>
      <c r="F1301">
        <v>120</v>
      </c>
    </row>
    <row r="1302" spans="1:6" x14ac:dyDescent="0.25">
      <c r="A1302">
        <v>-111.97370100000001</v>
      </c>
      <c r="B1302">
        <v>33.068623000000002</v>
      </c>
      <c r="C1302">
        <v>1.46</v>
      </c>
      <c r="D1302">
        <v>1.30816</v>
      </c>
      <c r="E1302">
        <v>878761001</v>
      </c>
      <c r="F1302">
        <v>120</v>
      </c>
    </row>
    <row r="1303" spans="1:6" x14ac:dyDescent="0.25">
      <c r="A1303">
        <v>-111.97369999999999</v>
      </c>
      <c r="B1303">
        <v>33.068615999999999</v>
      </c>
      <c r="C1303">
        <v>1.5649999999999999</v>
      </c>
      <c r="D1303">
        <v>1.4022399999999999</v>
      </c>
      <c r="E1303">
        <v>878761003</v>
      </c>
      <c r="F1303">
        <v>120</v>
      </c>
    </row>
    <row r="1304" spans="1:6" x14ac:dyDescent="0.25">
      <c r="A1304">
        <v>-111.97369999999999</v>
      </c>
      <c r="B1304">
        <v>33.068612999999999</v>
      </c>
      <c r="C1304">
        <v>0.17499999999999999</v>
      </c>
      <c r="D1304">
        <v>0.15679999999999999</v>
      </c>
      <c r="E1304">
        <v>878761005</v>
      </c>
      <c r="F1304">
        <v>120</v>
      </c>
    </row>
    <row r="1305" spans="1:6" x14ac:dyDescent="0.25">
      <c r="A1305">
        <v>-111.97369999999999</v>
      </c>
      <c r="B1305">
        <v>33.06861</v>
      </c>
      <c r="C1305">
        <v>0.03</v>
      </c>
      <c r="D1305">
        <v>2.6880000000000001E-2</v>
      </c>
      <c r="E1305">
        <v>878761013</v>
      </c>
      <c r="F1305">
        <v>120</v>
      </c>
    </row>
    <row r="1306" spans="1:6" x14ac:dyDescent="0.25">
      <c r="A1306">
        <v>-111.97369999999999</v>
      </c>
      <c r="B1306">
        <v>33.068601999999998</v>
      </c>
      <c r="C1306">
        <v>0.04</v>
      </c>
      <c r="D1306">
        <v>3.5839999999999997E-2</v>
      </c>
      <c r="E1306">
        <v>878761015</v>
      </c>
      <c r="F1306">
        <v>120</v>
      </c>
    </row>
    <row r="1307" spans="1:6" x14ac:dyDescent="0.25">
      <c r="A1307">
        <v>-111.973702</v>
      </c>
      <c r="B1307">
        <v>33.068595999999999</v>
      </c>
      <c r="C1307">
        <v>0.22500000000000001</v>
      </c>
      <c r="D1307">
        <v>0.2016</v>
      </c>
      <c r="E1307">
        <v>878761017</v>
      </c>
      <c r="F1307">
        <v>120</v>
      </c>
    </row>
    <row r="1308" spans="1:6" x14ac:dyDescent="0.25">
      <c r="A1308">
        <v>-111.973703</v>
      </c>
      <c r="B1308">
        <v>33.068587999999998</v>
      </c>
      <c r="C1308">
        <v>1.115</v>
      </c>
      <c r="D1308">
        <v>0.99904000000000004</v>
      </c>
      <c r="E1308">
        <v>878761019</v>
      </c>
      <c r="F1308">
        <v>120</v>
      </c>
    </row>
    <row r="1309" spans="1:6" x14ac:dyDescent="0.25">
      <c r="A1309">
        <v>-111.973702</v>
      </c>
      <c r="B1309">
        <v>33.068581000000002</v>
      </c>
      <c r="C1309">
        <v>1.655</v>
      </c>
      <c r="D1309">
        <v>1.48288</v>
      </c>
      <c r="E1309">
        <v>878761021</v>
      </c>
      <c r="F1309">
        <v>120</v>
      </c>
    </row>
    <row r="1310" spans="1:6" x14ac:dyDescent="0.25">
      <c r="A1310">
        <v>-111.97369999999999</v>
      </c>
      <c r="B1310">
        <v>33.068573999999998</v>
      </c>
      <c r="C1310">
        <v>1.52</v>
      </c>
      <c r="D1310">
        <v>1.36192</v>
      </c>
      <c r="E1310">
        <v>878761023</v>
      </c>
      <c r="F1310">
        <v>120</v>
      </c>
    </row>
    <row r="1311" spans="1:6" x14ac:dyDescent="0.25">
      <c r="A1311">
        <v>-111.97369999999999</v>
      </c>
      <c r="B1311">
        <v>33.068565999999997</v>
      </c>
      <c r="C1311">
        <v>1.85</v>
      </c>
      <c r="D1311">
        <v>1.6576</v>
      </c>
      <c r="E1311">
        <v>878761025</v>
      </c>
      <c r="F1311">
        <v>120</v>
      </c>
    </row>
    <row r="1312" spans="1:6" x14ac:dyDescent="0.25">
      <c r="A1312">
        <v>-111.97369999999999</v>
      </c>
      <c r="B1312">
        <v>33.068559</v>
      </c>
      <c r="C1312">
        <v>1.57</v>
      </c>
      <c r="D1312">
        <v>1.40672</v>
      </c>
      <c r="E1312">
        <v>878761027</v>
      </c>
      <c r="F1312">
        <v>120</v>
      </c>
    </row>
    <row r="1313" spans="1:6" x14ac:dyDescent="0.25">
      <c r="A1313">
        <v>-111.97369999999999</v>
      </c>
      <c r="B1313">
        <v>33.068550999999999</v>
      </c>
      <c r="C1313">
        <v>1.345</v>
      </c>
      <c r="D1313">
        <v>1.20512</v>
      </c>
      <c r="E1313">
        <v>878761029</v>
      </c>
      <c r="F1313">
        <v>120</v>
      </c>
    </row>
    <row r="1314" spans="1:6" x14ac:dyDescent="0.25">
      <c r="A1314">
        <v>-111.97370100000001</v>
      </c>
      <c r="B1314">
        <v>33.068545</v>
      </c>
      <c r="C1314">
        <v>1.47</v>
      </c>
      <c r="D1314">
        <v>1.3171200000000001</v>
      </c>
      <c r="E1314">
        <v>878761031</v>
      </c>
      <c r="F1314">
        <v>120</v>
      </c>
    </row>
    <row r="1315" spans="1:6" x14ac:dyDescent="0.25">
      <c r="A1315">
        <v>-111.97370100000001</v>
      </c>
      <c r="B1315">
        <v>33.068537999999997</v>
      </c>
      <c r="C1315">
        <v>1.365</v>
      </c>
      <c r="D1315">
        <v>1.2230399999999999</v>
      </c>
      <c r="E1315">
        <v>878761033</v>
      </c>
      <c r="F1315">
        <v>120</v>
      </c>
    </row>
    <row r="1316" spans="1:6" x14ac:dyDescent="0.25">
      <c r="A1316">
        <v>-111.97369999999999</v>
      </c>
      <c r="B1316">
        <v>33.068530000000003</v>
      </c>
      <c r="C1316">
        <v>1.2649999999999999</v>
      </c>
      <c r="D1316">
        <v>1.13344</v>
      </c>
      <c r="E1316">
        <v>878761035</v>
      </c>
      <c r="F1316">
        <v>120</v>
      </c>
    </row>
    <row r="1317" spans="1:6" x14ac:dyDescent="0.25">
      <c r="A1317">
        <v>-111.97369999999999</v>
      </c>
      <c r="B1317">
        <v>33.068522999999999</v>
      </c>
      <c r="C1317">
        <v>1</v>
      </c>
      <c r="D1317">
        <v>0.89600000000000002</v>
      </c>
      <c r="E1317">
        <v>878761037</v>
      </c>
      <c r="F1317">
        <v>120</v>
      </c>
    </row>
    <row r="1318" spans="1:6" x14ac:dyDescent="0.25">
      <c r="A1318">
        <v>-111.97369999999999</v>
      </c>
      <c r="B1318">
        <v>33.068516000000002</v>
      </c>
      <c r="C1318">
        <v>1.085</v>
      </c>
      <c r="D1318">
        <v>0.97216000000000002</v>
      </c>
      <c r="E1318">
        <v>878761039</v>
      </c>
      <c r="F1318">
        <v>120</v>
      </c>
    </row>
    <row r="1319" spans="1:6" x14ac:dyDescent="0.25">
      <c r="A1319">
        <v>-111.97369999999999</v>
      </c>
      <c r="B1319">
        <v>33.068508000000001</v>
      </c>
      <c r="C1319">
        <v>0.61499999999999999</v>
      </c>
      <c r="D1319">
        <v>0.55103999999999997</v>
      </c>
      <c r="E1319">
        <v>878761041</v>
      </c>
      <c r="F1319">
        <v>120</v>
      </c>
    </row>
    <row r="1320" spans="1:6" x14ac:dyDescent="0.25">
      <c r="A1320">
        <v>-111.97369999999999</v>
      </c>
      <c r="B1320">
        <v>33.068500999999998</v>
      </c>
      <c r="C1320">
        <v>0.67500000000000004</v>
      </c>
      <c r="D1320">
        <v>0.6048</v>
      </c>
      <c r="E1320">
        <v>878761043</v>
      </c>
      <c r="F1320">
        <v>120</v>
      </c>
    </row>
    <row r="1321" spans="1:6" x14ac:dyDescent="0.25">
      <c r="A1321">
        <v>-111.97369999999999</v>
      </c>
      <c r="B1321">
        <v>33.068494000000001</v>
      </c>
      <c r="C1321">
        <v>0.71</v>
      </c>
      <c r="D1321">
        <v>0.63615999999999995</v>
      </c>
      <c r="E1321">
        <v>878761045</v>
      </c>
      <c r="F1321">
        <v>120</v>
      </c>
    </row>
    <row r="1322" spans="1:6" x14ac:dyDescent="0.25">
      <c r="A1322">
        <v>-111.97370100000001</v>
      </c>
      <c r="B1322">
        <v>33.068486</v>
      </c>
      <c r="C1322">
        <v>0.61499999999999999</v>
      </c>
      <c r="D1322">
        <v>0.55103999999999997</v>
      </c>
      <c r="E1322">
        <v>878761047</v>
      </c>
      <c r="F1322">
        <v>120</v>
      </c>
    </row>
    <row r="1323" spans="1:6" x14ac:dyDescent="0.25">
      <c r="A1323">
        <v>-111.97369999999999</v>
      </c>
      <c r="B1323">
        <v>33.068479000000004</v>
      </c>
      <c r="C1323">
        <v>0.7</v>
      </c>
      <c r="D1323">
        <v>0.62719999999999998</v>
      </c>
      <c r="E1323">
        <v>878761049</v>
      </c>
      <c r="F1323">
        <v>120</v>
      </c>
    </row>
    <row r="1324" spans="1:6" x14ac:dyDescent="0.25">
      <c r="A1324">
        <v>-111.97370100000001</v>
      </c>
      <c r="B1324">
        <v>33.068472</v>
      </c>
      <c r="C1324">
        <v>1.1950000000000001</v>
      </c>
      <c r="D1324">
        <v>1.0707199999999999</v>
      </c>
      <c r="E1324">
        <v>878761051</v>
      </c>
      <c r="F1324">
        <v>120</v>
      </c>
    </row>
    <row r="1325" spans="1:6" x14ac:dyDescent="0.25">
      <c r="A1325">
        <v>-111.973702</v>
      </c>
      <c r="B1325">
        <v>33.068463999999999</v>
      </c>
      <c r="C1325">
        <v>1.325</v>
      </c>
      <c r="D1325">
        <v>1.1872</v>
      </c>
      <c r="E1325">
        <v>878761053</v>
      </c>
      <c r="F1325">
        <v>120</v>
      </c>
    </row>
    <row r="1326" spans="1:6" x14ac:dyDescent="0.25">
      <c r="A1326">
        <v>-111.97370100000001</v>
      </c>
      <c r="B1326">
        <v>33.068457000000002</v>
      </c>
      <c r="C1326">
        <v>1.4</v>
      </c>
      <c r="D1326">
        <v>1.2544</v>
      </c>
      <c r="E1326">
        <v>878761055</v>
      </c>
      <c r="F1326">
        <v>120</v>
      </c>
    </row>
    <row r="1327" spans="1:6" x14ac:dyDescent="0.25">
      <c r="A1327">
        <v>-111.97370100000001</v>
      </c>
      <c r="B1327">
        <v>33.068449999999999</v>
      </c>
      <c r="C1327">
        <v>1.0349999999999999</v>
      </c>
      <c r="D1327">
        <v>0.92735999999999996</v>
      </c>
      <c r="E1327">
        <v>878761057</v>
      </c>
      <c r="F1327">
        <v>120</v>
      </c>
    </row>
    <row r="1328" spans="1:6" x14ac:dyDescent="0.25">
      <c r="A1328">
        <v>-111.97370100000001</v>
      </c>
      <c r="B1328">
        <v>33.068441999999997</v>
      </c>
      <c r="C1328">
        <v>0.47499999999999998</v>
      </c>
      <c r="D1328">
        <v>0.42559999999999998</v>
      </c>
      <c r="E1328">
        <v>878761059</v>
      </c>
      <c r="F1328">
        <v>120</v>
      </c>
    </row>
    <row r="1329" spans="1:6" x14ac:dyDescent="0.25">
      <c r="A1329">
        <v>-111.97369999999999</v>
      </c>
      <c r="B1329">
        <v>33.068435000000001</v>
      </c>
      <c r="C1329">
        <v>0.01</v>
      </c>
      <c r="D1329">
        <v>8.9599999999999992E-3</v>
      </c>
      <c r="E1329">
        <v>878761061</v>
      </c>
      <c r="F1329">
        <v>120</v>
      </c>
    </row>
    <row r="1330" spans="1:6" x14ac:dyDescent="0.25">
      <c r="A1330">
        <v>-111.97370100000001</v>
      </c>
      <c r="B1330">
        <v>33.068427</v>
      </c>
      <c r="C1330">
        <v>5.0000000000000001E-3</v>
      </c>
      <c r="D1330">
        <v>4.4799999999999996E-3</v>
      </c>
      <c r="E1330">
        <v>878761063</v>
      </c>
      <c r="F1330">
        <v>120</v>
      </c>
    </row>
    <row r="1331" spans="1:6" x14ac:dyDescent="0.25">
      <c r="A1331">
        <v>-111.973702</v>
      </c>
      <c r="B1331">
        <v>33.068420000000003</v>
      </c>
      <c r="C1331">
        <v>5.0000000000000001E-3</v>
      </c>
      <c r="D1331">
        <v>4.4799999999999996E-3</v>
      </c>
      <c r="E1331">
        <v>878761065</v>
      </c>
      <c r="F1331">
        <v>120</v>
      </c>
    </row>
    <row r="1332" spans="1:6" x14ac:dyDescent="0.25">
      <c r="A1332">
        <v>-111.97369999999999</v>
      </c>
      <c r="B1332">
        <v>33.068359999999998</v>
      </c>
      <c r="C1332">
        <v>1.4999999999999999E-2</v>
      </c>
      <c r="D1332">
        <v>1.3440000000000001E-2</v>
      </c>
      <c r="E1332">
        <v>878761081</v>
      </c>
      <c r="F1332">
        <v>120</v>
      </c>
    </row>
    <row r="1333" spans="1:6" x14ac:dyDescent="0.25">
      <c r="A1333">
        <v>-111.97370100000001</v>
      </c>
      <c r="B1333">
        <v>33.068353999999999</v>
      </c>
      <c r="C1333">
        <v>0.32</v>
      </c>
      <c r="D1333">
        <v>0.28671999999999997</v>
      </c>
      <c r="E1333">
        <v>878761083</v>
      </c>
      <c r="F1333">
        <v>120</v>
      </c>
    </row>
    <row r="1334" spans="1:6" x14ac:dyDescent="0.25">
      <c r="A1334">
        <v>-111.973703</v>
      </c>
      <c r="B1334">
        <v>33.068345999999998</v>
      </c>
      <c r="C1334">
        <v>1.06</v>
      </c>
      <c r="D1334">
        <v>0.94976000000000005</v>
      </c>
      <c r="E1334">
        <v>878761085</v>
      </c>
      <c r="F1334">
        <v>120</v>
      </c>
    </row>
    <row r="1335" spans="1:6" x14ac:dyDescent="0.25">
      <c r="A1335">
        <v>-111.973704</v>
      </c>
      <c r="B1335">
        <v>33.068339000000002</v>
      </c>
      <c r="C1335">
        <v>0.88500000000000001</v>
      </c>
      <c r="D1335">
        <v>0.79296</v>
      </c>
      <c r="E1335">
        <v>878761087</v>
      </c>
      <c r="F1335">
        <v>120</v>
      </c>
    </row>
    <row r="1336" spans="1:6" x14ac:dyDescent="0.25">
      <c r="A1336">
        <v>-111.97370100000001</v>
      </c>
      <c r="B1336">
        <v>33.068331999999998</v>
      </c>
      <c r="C1336">
        <v>1.1850000000000001</v>
      </c>
      <c r="D1336">
        <v>1.06176</v>
      </c>
      <c r="E1336">
        <v>878761089</v>
      </c>
      <c r="F1336">
        <v>120</v>
      </c>
    </row>
    <row r="1337" spans="1:6" x14ac:dyDescent="0.25">
      <c r="A1337">
        <v>-111.97369999999999</v>
      </c>
      <c r="B1337">
        <v>33.068325000000002</v>
      </c>
      <c r="C1337">
        <v>0.96</v>
      </c>
      <c r="D1337">
        <v>0.86016000000000004</v>
      </c>
      <c r="E1337">
        <v>878761091</v>
      </c>
      <c r="F1337">
        <v>120</v>
      </c>
    </row>
    <row r="1338" spans="1:6" x14ac:dyDescent="0.25">
      <c r="A1338">
        <v>-111.97370100000001</v>
      </c>
      <c r="B1338">
        <v>33.068317</v>
      </c>
      <c r="C1338">
        <v>0.99</v>
      </c>
      <c r="D1338">
        <v>0.88704000000000005</v>
      </c>
      <c r="E1338">
        <v>878761093</v>
      </c>
      <c r="F1338">
        <v>120</v>
      </c>
    </row>
    <row r="1339" spans="1:6" x14ac:dyDescent="0.25">
      <c r="A1339">
        <v>-111.97370100000001</v>
      </c>
      <c r="B1339">
        <v>33.068309999999997</v>
      </c>
      <c r="C1339">
        <v>1.125</v>
      </c>
      <c r="D1339">
        <v>1.008</v>
      </c>
      <c r="E1339">
        <v>878761095</v>
      </c>
      <c r="F1339">
        <v>120</v>
      </c>
    </row>
    <row r="1340" spans="1:6" x14ac:dyDescent="0.25">
      <c r="A1340">
        <v>-111.97370100000001</v>
      </c>
      <c r="B1340">
        <v>33.068303</v>
      </c>
      <c r="C1340">
        <v>1.6</v>
      </c>
      <c r="D1340">
        <v>1.4336</v>
      </c>
      <c r="E1340">
        <v>878761097</v>
      </c>
      <c r="F1340">
        <v>120</v>
      </c>
    </row>
    <row r="1341" spans="1:6" x14ac:dyDescent="0.25">
      <c r="A1341">
        <v>-111.97370100000001</v>
      </c>
      <c r="B1341">
        <v>33.068295999999997</v>
      </c>
      <c r="C1341">
        <v>1.08</v>
      </c>
      <c r="D1341">
        <v>0.96767999999999998</v>
      </c>
      <c r="E1341">
        <v>878761099</v>
      </c>
      <c r="F1341">
        <v>120</v>
      </c>
    </row>
    <row r="1342" spans="1:6" x14ac:dyDescent="0.25">
      <c r="A1342">
        <v>-111.97369999999999</v>
      </c>
      <c r="B1342">
        <v>33.068288000000003</v>
      </c>
      <c r="C1342">
        <v>1.2350000000000001</v>
      </c>
      <c r="D1342">
        <v>1.10656</v>
      </c>
      <c r="E1342">
        <v>878761101</v>
      </c>
      <c r="F1342">
        <v>120</v>
      </c>
    </row>
    <row r="1343" spans="1:6" x14ac:dyDescent="0.25">
      <c r="A1343">
        <v>-111.97369999999999</v>
      </c>
      <c r="B1343">
        <v>33.068280999999999</v>
      </c>
      <c r="C1343">
        <v>1.33</v>
      </c>
      <c r="D1343">
        <v>1.1916800000000001</v>
      </c>
      <c r="E1343">
        <v>878761103</v>
      </c>
      <c r="F1343">
        <v>120</v>
      </c>
    </row>
    <row r="1344" spans="1:6" x14ac:dyDescent="0.25">
      <c r="A1344">
        <v>-111.97369999999999</v>
      </c>
      <c r="B1344">
        <v>33.068274000000002</v>
      </c>
      <c r="C1344">
        <v>0.84499999999999997</v>
      </c>
      <c r="D1344">
        <v>0.75712000000000002</v>
      </c>
      <c r="E1344">
        <v>878761105</v>
      </c>
      <c r="F1344">
        <v>120</v>
      </c>
    </row>
    <row r="1345" spans="1:6" x14ac:dyDescent="0.25">
      <c r="A1345">
        <v>-111.97370100000001</v>
      </c>
      <c r="B1345">
        <v>33.068266999999999</v>
      </c>
      <c r="C1345">
        <v>0.93500000000000005</v>
      </c>
      <c r="D1345">
        <v>0.83775999999999995</v>
      </c>
      <c r="E1345">
        <v>878761107</v>
      </c>
      <c r="F1345">
        <v>120</v>
      </c>
    </row>
    <row r="1346" spans="1:6" x14ac:dyDescent="0.25">
      <c r="A1346">
        <v>-111.97370100000001</v>
      </c>
      <c r="B1346">
        <v>33.068260000000002</v>
      </c>
      <c r="C1346">
        <v>0.7</v>
      </c>
      <c r="D1346">
        <v>0.62719999999999998</v>
      </c>
      <c r="E1346">
        <v>878761109</v>
      </c>
      <c r="F1346">
        <v>120</v>
      </c>
    </row>
    <row r="1347" spans="1:6" x14ac:dyDescent="0.25">
      <c r="A1347">
        <v>-111.97370100000001</v>
      </c>
      <c r="B1347">
        <v>33.068252999999999</v>
      </c>
      <c r="C1347">
        <v>0.74</v>
      </c>
      <c r="D1347">
        <v>0.66303999999999996</v>
      </c>
      <c r="E1347">
        <v>878761111</v>
      </c>
      <c r="F1347">
        <v>120</v>
      </c>
    </row>
    <row r="1348" spans="1:6" x14ac:dyDescent="0.25">
      <c r="A1348">
        <v>-111.97370100000001</v>
      </c>
      <c r="B1348">
        <v>33.068244999999997</v>
      </c>
      <c r="C1348">
        <v>0.76500000000000001</v>
      </c>
      <c r="D1348">
        <v>0.68544000000000005</v>
      </c>
      <c r="E1348">
        <v>878761113</v>
      </c>
      <c r="F1348">
        <v>120</v>
      </c>
    </row>
    <row r="1349" spans="1:6" x14ac:dyDescent="0.25">
      <c r="A1349">
        <v>-111.97370100000001</v>
      </c>
      <c r="B1349">
        <v>33.068238000000001</v>
      </c>
      <c r="C1349">
        <v>0.67</v>
      </c>
      <c r="D1349">
        <v>0.60031999999999996</v>
      </c>
      <c r="E1349">
        <v>878761115</v>
      </c>
      <c r="F1349">
        <v>120</v>
      </c>
    </row>
    <row r="1350" spans="1:6" x14ac:dyDescent="0.25">
      <c r="A1350">
        <v>-111.97370100000001</v>
      </c>
      <c r="B1350">
        <v>33.06823</v>
      </c>
      <c r="C1350">
        <v>0.87</v>
      </c>
      <c r="D1350">
        <v>0.77951999999999999</v>
      </c>
      <c r="E1350">
        <v>878761117</v>
      </c>
      <c r="F1350">
        <v>120</v>
      </c>
    </row>
    <row r="1351" spans="1:6" x14ac:dyDescent="0.25">
      <c r="A1351">
        <v>-111.97370100000001</v>
      </c>
      <c r="B1351">
        <v>33.068223000000003</v>
      </c>
      <c r="C1351">
        <v>1.0649999999999999</v>
      </c>
      <c r="D1351">
        <v>0.95423999999999998</v>
      </c>
      <c r="E1351">
        <v>878761119</v>
      </c>
      <c r="F1351">
        <v>120</v>
      </c>
    </row>
    <row r="1352" spans="1:6" x14ac:dyDescent="0.25">
      <c r="A1352">
        <v>-111.97370100000001</v>
      </c>
      <c r="B1352">
        <v>33.068216</v>
      </c>
      <c r="C1352">
        <v>1.2849999999999999</v>
      </c>
      <c r="D1352">
        <v>1.1513599999999999</v>
      </c>
      <c r="E1352">
        <v>878761121</v>
      </c>
      <c r="F1352">
        <v>120</v>
      </c>
    </row>
    <row r="1353" spans="1:6" x14ac:dyDescent="0.25">
      <c r="A1353">
        <v>-111.97370100000001</v>
      </c>
      <c r="B1353">
        <v>33.068209000000003</v>
      </c>
      <c r="C1353">
        <v>1.64</v>
      </c>
      <c r="D1353">
        <v>1.4694400000000001</v>
      </c>
      <c r="E1353">
        <v>878761123</v>
      </c>
      <c r="F1353">
        <v>120</v>
      </c>
    </row>
    <row r="1354" spans="1:6" x14ac:dyDescent="0.25">
      <c r="A1354">
        <v>-111.97370100000001</v>
      </c>
      <c r="B1354">
        <v>33.068201999999999</v>
      </c>
      <c r="C1354">
        <v>1.085</v>
      </c>
      <c r="D1354">
        <v>0.97216000000000002</v>
      </c>
      <c r="E1354">
        <v>878761125</v>
      </c>
      <c r="F1354">
        <v>120</v>
      </c>
    </row>
    <row r="1355" spans="1:6" x14ac:dyDescent="0.25">
      <c r="A1355">
        <v>-111.97370100000001</v>
      </c>
      <c r="B1355">
        <v>33.068198000000002</v>
      </c>
      <c r="C1355">
        <v>5.5E-2</v>
      </c>
      <c r="D1355">
        <v>4.9279999999999997E-2</v>
      </c>
      <c r="E1355">
        <v>878761127</v>
      </c>
      <c r="F1355">
        <v>120</v>
      </c>
    </row>
    <row r="1356" spans="1:6" x14ac:dyDescent="0.25">
      <c r="A1356">
        <v>-111.97369999999999</v>
      </c>
      <c r="B1356">
        <v>33.068198000000002</v>
      </c>
      <c r="C1356">
        <v>5.0000000000000001E-3</v>
      </c>
      <c r="D1356">
        <v>4.4799999999999996E-3</v>
      </c>
      <c r="E1356">
        <v>878761129</v>
      </c>
      <c r="F1356">
        <v>120</v>
      </c>
    </row>
    <row r="1357" spans="1:6" x14ac:dyDescent="0.25">
      <c r="A1357">
        <v>-111.97369999999999</v>
      </c>
      <c r="B1357">
        <v>33.068195000000003</v>
      </c>
      <c r="C1357">
        <v>0.04</v>
      </c>
      <c r="D1357">
        <v>3.5839999999999997E-2</v>
      </c>
      <c r="E1357">
        <v>878761133</v>
      </c>
      <c r="F1357">
        <v>120</v>
      </c>
    </row>
    <row r="1358" spans="1:6" x14ac:dyDescent="0.25">
      <c r="A1358">
        <v>-111.97369999999999</v>
      </c>
      <c r="B1358">
        <v>33.068187999999999</v>
      </c>
      <c r="C1358">
        <v>0.01</v>
      </c>
      <c r="D1358">
        <v>8.9599999999999992E-3</v>
      </c>
      <c r="E1358">
        <v>878761135</v>
      </c>
      <c r="F1358">
        <v>120</v>
      </c>
    </row>
    <row r="1359" spans="1:6" x14ac:dyDescent="0.25">
      <c r="A1359">
        <v>-111.97370100000001</v>
      </c>
      <c r="B1359">
        <v>33.068182999999998</v>
      </c>
      <c r="C1359">
        <v>0.18</v>
      </c>
      <c r="D1359">
        <v>0.16128000000000001</v>
      </c>
      <c r="E1359">
        <v>878761137</v>
      </c>
      <c r="F1359">
        <v>120</v>
      </c>
    </row>
    <row r="1360" spans="1:6" x14ac:dyDescent="0.25">
      <c r="A1360">
        <v>-111.973703</v>
      </c>
      <c r="B1360">
        <v>33.068174999999997</v>
      </c>
      <c r="C1360">
        <v>0.58499999999999996</v>
      </c>
      <c r="D1360">
        <v>0.52415999999999996</v>
      </c>
      <c r="E1360">
        <v>878761139</v>
      </c>
      <c r="F1360">
        <v>120</v>
      </c>
    </row>
    <row r="1361" spans="1:6" x14ac:dyDescent="0.25">
      <c r="A1361">
        <v>-111.973703</v>
      </c>
      <c r="B1361">
        <v>33.068168999999997</v>
      </c>
      <c r="C1361">
        <v>0.90500000000000003</v>
      </c>
      <c r="D1361">
        <v>0.81088000000000005</v>
      </c>
      <c r="E1361">
        <v>878761141</v>
      </c>
      <c r="F1361">
        <v>120</v>
      </c>
    </row>
    <row r="1362" spans="1:6" x14ac:dyDescent="0.25">
      <c r="A1362">
        <v>-111.973702</v>
      </c>
      <c r="B1362">
        <v>33.068161000000003</v>
      </c>
      <c r="C1362">
        <v>1.1850000000000001</v>
      </c>
      <c r="D1362">
        <v>1.06176</v>
      </c>
      <c r="E1362">
        <v>878761143</v>
      </c>
      <c r="F1362">
        <v>120</v>
      </c>
    </row>
    <row r="1363" spans="1:6" x14ac:dyDescent="0.25">
      <c r="A1363">
        <v>-111.97370100000001</v>
      </c>
      <c r="B1363">
        <v>33.068154</v>
      </c>
      <c r="C1363">
        <v>1.115</v>
      </c>
      <c r="D1363">
        <v>0.99904000000000004</v>
      </c>
      <c r="E1363">
        <v>878761145</v>
      </c>
      <c r="F1363">
        <v>120</v>
      </c>
    </row>
    <row r="1364" spans="1:6" x14ac:dyDescent="0.25">
      <c r="A1364">
        <v>-111.97370100000001</v>
      </c>
      <c r="B1364">
        <v>33.068147000000003</v>
      </c>
      <c r="C1364">
        <v>1.22</v>
      </c>
      <c r="D1364">
        <v>1.0931200000000001</v>
      </c>
      <c r="E1364">
        <v>878761147</v>
      </c>
      <c r="F1364">
        <v>120</v>
      </c>
    </row>
    <row r="1365" spans="1:6" x14ac:dyDescent="0.25">
      <c r="A1365">
        <v>-111.973703</v>
      </c>
      <c r="B1365">
        <v>33.06814</v>
      </c>
      <c r="C1365">
        <v>1.1599999999999999</v>
      </c>
      <c r="D1365">
        <v>1.0393600000000001</v>
      </c>
      <c r="E1365">
        <v>878761149</v>
      </c>
      <c r="F1365">
        <v>120</v>
      </c>
    </row>
    <row r="1366" spans="1:6" x14ac:dyDescent="0.25">
      <c r="A1366">
        <v>-111.973703</v>
      </c>
      <c r="B1366">
        <v>33.068134000000001</v>
      </c>
      <c r="C1366">
        <v>0.84</v>
      </c>
      <c r="D1366">
        <v>0.75263999999999998</v>
      </c>
      <c r="E1366">
        <v>878761151</v>
      </c>
      <c r="F1366">
        <v>120</v>
      </c>
    </row>
    <row r="1367" spans="1:6" x14ac:dyDescent="0.25">
      <c r="A1367">
        <v>-111.973702</v>
      </c>
      <c r="B1367">
        <v>33.068125999999999</v>
      </c>
      <c r="C1367">
        <v>1.38</v>
      </c>
      <c r="D1367">
        <v>1.23648</v>
      </c>
      <c r="E1367">
        <v>878761153</v>
      </c>
      <c r="F1367">
        <v>120</v>
      </c>
    </row>
    <row r="1368" spans="1:6" x14ac:dyDescent="0.25">
      <c r="A1368">
        <v>-111.973702</v>
      </c>
      <c r="B1368">
        <v>33.068117999999998</v>
      </c>
      <c r="C1368">
        <v>1.7450000000000001</v>
      </c>
      <c r="D1368">
        <v>1.56352</v>
      </c>
      <c r="E1368">
        <v>878761155</v>
      </c>
      <c r="F1368">
        <v>120</v>
      </c>
    </row>
    <row r="1369" spans="1:6" x14ac:dyDescent="0.25">
      <c r="A1369">
        <v>-111.973702</v>
      </c>
      <c r="B1369">
        <v>33.068111000000002</v>
      </c>
      <c r="C1369">
        <v>1.32</v>
      </c>
      <c r="D1369">
        <v>1.18272</v>
      </c>
      <c r="E1369">
        <v>878761157</v>
      </c>
      <c r="F1369">
        <v>120</v>
      </c>
    </row>
    <row r="1370" spans="1:6" x14ac:dyDescent="0.25">
      <c r="A1370">
        <v>-111.973702</v>
      </c>
      <c r="B1370">
        <v>33.068103999999998</v>
      </c>
      <c r="C1370">
        <v>0.67500000000000004</v>
      </c>
      <c r="D1370">
        <v>0.6048</v>
      </c>
      <c r="E1370">
        <v>878761159</v>
      </c>
      <c r="F1370">
        <v>120</v>
      </c>
    </row>
    <row r="1371" spans="1:6" x14ac:dyDescent="0.25">
      <c r="A1371">
        <v>-111.973703</v>
      </c>
      <c r="B1371">
        <v>33.068097000000002</v>
      </c>
      <c r="C1371">
        <v>1.115</v>
      </c>
      <c r="D1371">
        <v>0.99904000000000004</v>
      </c>
      <c r="E1371">
        <v>878761161</v>
      </c>
      <c r="F1371">
        <v>120</v>
      </c>
    </row>
    <row r="1372" spans="1:6" x14ac:dyDescent="0.25">
      <c r="A1372">
        <v>-111.973702</v>
      </c>
      <c r="B1372">
        <v>33.068089999999998</v>
      </c>
      <c r="C1372">
        <v>1.07</v>
      </c>
      <c r="D1372">
        <v>0.95872000000000002</v>
      </c>
      <c r="E1372">
        <v>878761163</v>
      </c>
      <c r="F1372">
        <v>120</v>
      </c>
    </row>
    <row r="1373" spans="1:6" x14ac:dyDescent="0.25">
      <c r="A1373">
        <v>-111.973702</v>
      </c>
      <c r="B1373">
        <v>33.068081999999997</v>
      </c>
      <c r="C1373">
        <v>0.91</v>
      </c>
      <c r="D1373">
        <v>0.81535999999999997</v>
      </c>
      <c r="E1373">
        <v>878761165</v>
      </c>
      <c r="F1373">
        <v>120</v>
      </c>
    </row>
    <row r="1374" spans="1:6" x14ac:dyDescent="0.25">
      <c r="A1374">
        <v>-111.97370100000001</v>
      </c>
      <c r="B1374">
        <v>33.068075</v>
      </c>
      <c r="C1374">
        <v>0.69</v>
      </c>
      <c r="D1374">
        <v>0.61824000000000001</v>
      </c>
      <c r="E1374">
        <v>878761167</v>
      </c>
      <c r="F1374">
        <v>120</v>
      </c>
    </row>
    <row r="1375" spans="1:6" x14ac:dyDescent="0.25">
      <c r="A1375">
        <v>-111.973702</v>
      </c>
      <c r="B1375">
        <v>33.068067999999997</v>
      </c>
      <c r="C1375">
        <v>0.81499999999999995</v>
      </c>
      <c r="D1375">
        <v>0.73024</v>
      </c>
      <c r="E1375">
        <v>878761169</v>
      </c>
      <c r="F1375">
        <v>120</v>
      </c>
    </row>
    <row r="1376" spans="1:6" x14ac:dyDescent="0.25">
      <c r="A1376">
        <v>-111.973703</v>
      </c>
      <c r="B1376">
        <v>33.068061</v>
      </c>
      <c r="C1376">
        <v>1.0449999999999999</v>
      </c>
      <c r="D1376">
        <v>0.93632000000000004</v>
      </c>
      <c r="E1376">
        <v>878761171</v>
      </c>
      <c r="F1376">
        <v>120</v>
      </c>
    </row>
    <row r="1377" spans="1:6" x14ac:dyDescent="0.25">
      <c r="A1377">
        <v>-111.973703</v>
      </c>
      <c r="B1377">
        <v>33.068052999999999</v>
      </c>
      <c r="C1377">
        <v>1.29</v>
      </c>
      <c r="D1377">
        <v>1.15584</v>
      </c>
      <c r="E1377">
        <v>878761173</v>
      </c>
      <c r="F1377">
        <v>120</v>
      </c>
    </row>
    <row r="1378" spans="1:6" x14ac:dyDescent="0.25">
      <c r="A1378">
        <v>-111.973703</v>
      </c>
      <c r="B1378">
        <v>33.068046000000002</v>
      </c>
      <c r="C1378">
        <v>1.18</v>
      </c>
      <c r="D1378">
        <v>1.05728</v>
      </c>
      <c r="E1378">
        <v>878761175</v>
      </c>
      <c r="F1378">
        <v>120</v>
      </c>
    </row>
    <row r="1379" spans="1:6" x14ac:dyDescent="0.25">
      <c r="A1379">
        <v>-111.973703</v>
      </c>
      <c r="B1379">
        <v>33.068038999999999</v>
      </c>
      <c r="C1379">
        <v>0.91500000000000004</v>
      </c>
      <c r="D1379">
        <v>0.81984000000000001</v>
      </c>
      <c r="E1379">
        <v>878761177</v>
      </c>
      <c r="F1379">
        <v>120</v>
      </c>
    </row>
    <row r="1380" spans="1:6" x14ac:dyDescent="0.25">
      <c r="A1380">
        <v>-111.973703</v>
      </c>
      <c r="B1380">
        <v>33.068030999999998</v>
      </c>
      <c r="C1380">
        <v>1.085</v>
      </c>
      <c r="D1380">
        <v>0.97216000000000002</v>
      </c>
      <c r="E1380">
        <v>878761179</v>
      </c>
      <c r="F1380">
        <v>120</v>
      </c>
    </row>
    <row r="1381" spans="1:6" x14ac:dyDescent="0.25">
      <c r="A1381">
        <v>-111.973703</v>
      </c>
      <c r="B1381">
        <v>33.068024999999999</v>
      </c>
      <c r="C1381">
        <v>0.25</v>
      </c>
      <c r="D1381">
        <v>0.224</v>
      </c>
      <c r="E1381">
        <v>878761181</v>
      </c>
      <c r="F1381">
        <v>120</v>
      </c>
    </row>
    <row r="1382" spans="1:6" x14ac:dyDescent="0.25">
      <c r="A1382">
        <v>-111.973703</v>
      </c>
      <c r="B1382">
        <v>33.068024000000001</v>
      </c>
      <c r="C1382">
        <v>5.0000000000000001E-3</v>
      </c>
      <c r="D1382">
        <v>4.4799999999999996E-3</v>
      </c>
      <c r="E1382">
        <v>878761183</v>
      </c>
      <c r="F1382">
        <v>120</v>
      </c>
    </row>
    <row r="1383" spans="1:6" x14ac:dyDescent="0.25">
      <c r="A1383">
        <v>-111.973703</v>
      </c>
      <c r="B1383">
        <v>33.068024000000001</v>
      </c>
      <c r="C1383">
        <v>5.0000000000000001E-3</v>
      </c>
      <c r="D1383">
        <v>4.4799999999999996E-3</v>
      </c>
      <c r="E1383">
        <v>878761187</v>
      </c>
      <c r="F1383">
        <v>120</v>
      </c>
    </row>
    <row r="1384" spans="1:6" x14ac:dyDescent="0.25">
      <c r="A1384">
        <v>-111.973703</v>
      </c>
      <c r="B1384">
        <v>33.068019</v>
      </c>
      <c r="C1384">
        <v>5.0000000000000001E-3</v>
      </c>
      <c r="D1384">
        <v>4.4799999999999996E-3</v>
      </c>
      <c r="E1384">
        <v>878761191</v>
      </c>
      <c r="F1384">
        <v>120</v>
      </c>
    </row>
    <row r="1385" spans="1:6" x14ac:dyDescent="0.25">
      <c r="A1385">
        <v>-111.97372900000001</v>
      </c>
      <c r="B1385">
        <v>33.067985</v>
      </c>
      <c r="C1385">
        <v>5.0000000000000001E-3</v>
      </c>
      <c r="D1385">
        <v>4.4799999999999996E-3</v>
      </c>
      <c r="E1385">
        <v>878761201</v>
      </c>
      <c r="F1385">
        <v>120</v>
      </c>
    </row>
    <row r="1386" spans="1:6" x14ac:dyDescent="0.25">
      <c r="A1386">
        <v>-111.973738</v>
      </c>
      <c r="B1386">
        <v>33.067981000000003</v>
      </c>
      <c r="C1386">
        <v>5.0000000000000001E-3</v>
      </c>
      <c r="D1386">
        <v>4.4799999999999996E-3</v>
      </c>
      <c r="E1386">
        <v>878761203</v>
      </c>
      <c r="F1386">
        <v>120</v>
      </c>
    </row>
    <row r="1387" spans="1:6" x14ac:dyDescent="0.25">
      <c r="A1387">
        <v>-111.973759</v>
      </c>
      <c r="B1387">
        <v>33.067970000000003</v>
      </c>
      <c r="C1387">
        <v>5.0000000000000001E-3</v>
      </c>
      <c r="D1387">
        <v>4.4799999999999996E-3</v>
      </c>
      <c r="E1387">
        <v>878761207</v>
      </c>
      <c r="F1387">
        <v>120</v>
      </c>
    </row>
    <row r="1388" spans="1:6" x14ac:dyDescent="0.25">
      <c r="A1388">
        <v>-111.97377299999999</v>
      </c>
      <c r="B1388">
        <v>33.067973000000002</v>
      </c>
      <c r="C1388">
        <v>5.0000000000000001E-3</v>
      </c>
      <c r="D1388">
        <v>4.4799999999999996E-3</v>
      </c>
      <c r="E1388">
        <v>878761209</v>
      </c>
      <c r="F1388">
        <v>120</v>
      </c>
    </row>
    <row r="1389" spans="1:6" x14ac:dyDescent="0.25">
      <c r="A1389">
        <v>-111.973789</v>
      </c>
      <c r="B1389">
        <v>33.068038999999999</v>
      </c>
      <c r="C1389">
        <v>2.5000000000000001E-2</v>
      </c>
      <c r="D1389">
        <v>2.24E-2</v>
      </c>
      <c r="E1389">
        <v>878761229</v>
      </c>
      <c r="F1389">
        <v>120</v>
      </c>
    </row>
    <row r="1390" spans="1:6" x14ac:dyDescent="0.25">
      <c r="A1390">
        <v>-111.97378999999999</v>
      </c>
      <c r="B1390">
        <v>33.068043000000003</v>
      </c>
      <c r="C1390">
        <v>0.40500000000000003</v>
      </c>
      <c r="D1390">
        <v>0.36287999999999998</v>
      </c>
      <c r="E1390">
        <v>878761231</v>
      </c>
      <c r="F1390">
        <v>120</v>
      </c>
    </row>
    <row r="1391" spans="1:6" x14ac:dyDescent="0.25">
      <c r="A1391">
        <v>-111.97378999999999</v>
      </c>
      <c r="B1391">
        <v>33.068047</v>
      </c>
      <c r="C1391">
        <v>1.07</v>
      </c>
      <c r="D1391">
        <v>0.95872000000000002</v>
      </c>
      <c r="E1391">
        <v>878761233</v>
      </c>
      <c r="F1391">
        <v>120</v>
      </c>
    </row>
    <row r="1392" spans="1:6" x14ac:dyDescent="0.25">
      <c r="A1392">
        <v>-111.973789</v>
      </c>
      <c r="B1392">
        <v>33.068052000000002</v>
      </c>
      <c r="C1392">
        <v>0.56999999999999995</v>
      </c>
      <c r="D1392">
        <v>0.51071999999999995</v>
      </c>
      <c r="E1392">
        <v>878761235</v>
      </c>
      <c r="F1392">
        <v>120</v>
      </c>
    </row>
    <row r="1393" spans="1:6" x14ac:dyDescent="0.25">
      <c r="A1393">
        <v>-111.973789</v>
      </c>
      <c r="B1393">
        <v>33.068055999999999</v>
      </c>
      <c r="C1393">
        <v>0.52</v>
      </c>
      <c r="D1393">
        <v>0.46592</v>
      </c>
      <c r="E1393">
        <v>878761237</v>
      </c>
      <c r="F1393">
        <v>120</v>
      </c>
    </row>
    <row r="1394" spans="1:6" x14ac:dyDescent="0.25">
      <c r="A1394">
        <v>-111.97378999999999</v>
      </c>
      <c r="B1394">
        <v>33.068060000000003</v>
      </c>
      <c r="C1394">
        <v>0.70499999999999996</v>
      </c>
      <c r="D1394">
        <v>0.63168000000000002</v>
      </c>
      <c r="E1394">
        <v>878761239</v>
      </c>
      <c r="F1394">
        <v>120</v>
      </c>
    </row>
    <row r="1395" spans="1:6" x14ac:dyDescent="0.25">
      <c r="A1395">
        <v>-111.97378999999999</v>
      </c>
      <c r="B1395">
        <v>33.068066999999999</v>
      </c>
      <c r="C1395">
        <v>0.505</v>
      </c>
      <c r="D1395">
        <v>0.45247999999999999</v>
      </c>
      <c r="E1395">
        <v>878761241</v>
      </c>
      <c r="F1395">
        <v>120</v>
      </c>
    </row>
    <row r="1396" spans="1:6" x14ac:dyDescent="0.25">
      <c r="A1396">
        <v>-111.97378999999999</v>
      </c>
      <c r="B1396">
        <v>33.068072000000001</v>
      </c>
      <c r="C1396">
        <v>0.39500000000000002</v>
      </c>
      <c r="D1396">
        <v>0.35392000000000001</v>
      </c>
      <c r="E1396">
        <v>878761243</v>
      </c>
      <c r="F1396">
        <v>120</v>
      </c>
    </row>
    <row r="1397" spans="1:6" x14ac:dyDescent="0.25">
      <c r="A1397">
        <v>-111.97378999999999</v>
      </c>
      <c r="B1397">
        <v>33.068078</v>
      </c>
      <c r="C1397">
        <v>0.35</v>
      </c>
      <c r="D1397">
        <v>0.31359999999999999</v>
      </c>
      <c r="E1397">
        <v>878761245</v>
      </c>
      <c r="F1397">
        <v>120</v>
      </c>
    </row>
    <row r="1398" spans="1:6" x14ac:dyDescent="0.25">
      <c r="A1398">
        <v>-111.97379100000001</v>
      </c>
      <c r="B1398">
        <v>33.068083999999999</v>
      </c>
      <c r="C1398">
        <v>0.61</v>
      </c>
      <c r="D1398">
        <v>0.54656000000000005</v>
      </c>
      <c r="E1398">
        <v>878761247</v>
      </c>
      <c r="F1398">
        <v>120</v>
      </c>
    </row>
    <row r="1399" spans="1:6" x14ac:dyDescent="0.25">
      <c r="A1399">
        <v>-111.97379100000001</v>
      </c>
      <c r="B1399">
        <v>33.068091000000003</v>
      </c>
      <c r="C1399">
        <v>0.91500000000000004</v>
      </c>
      <c r="D1399">
        <v>0.81984000000000001</v>
      </c>
      <c r="E1399">
        <v>878761249</v>
      </c>
      <c r="F1399">
        <v>120</v>
      </c>
    </row>
    <row r="1400" spans="1:6" x14ac:dyDescent="0.25">
      <c r="A1400">
        <v>-111.97379100000001</v>
      </c>
      <c r="B1400">
        <v>33.068097999999999</v>
      </c>
      <c r="C1400">
        <v>0.85499999999999998</v>
      </c>
      <c r="D1400">
        <v>0.76607999999999998</v>
      </c>
      <c r="E1400">
        <v>878761251</v>
      </c>
      <c r="F1400">
        <v>120</v>
      </c>
    </row>
    <row r="1401" spans="1:6" x14ac:dyDescent="0.25">
      <c r="A1401">
        <v>-111.97378999999999</v>
      </c>
      <c r="B1401">
        <v>33.068106</v>
      </c>
      <c r="C1401">
        <v>0.88</v>
      </c>
      <c r="D1401">
        <v>0.78847999999999996</v>
      </c>
      <c r="E1401">
        <v>878761253</v>
      </c>
      <c r="F1401">
        <v>120</v>
      </c>
    </row>
    <row r="1402" spans="1:6" x14ac:dyDescent="0.25">
      <c r="A1402">
        <v>-111.97378999999999</v>
      </c>
      <c r="B1402">
        <v>33.068112999999997</v>
      </c>
      <c r="C1402">
        <v>0.83499999999999996</v>
      </c>
      <c r="D1402">
        <v>0.74816000000000005</v>
      </c>
      <c r="E1402">
        <v>878761255</v>
      </c>
      <c r="F1402">
        <v>120</v>
      </c>
    </row>
    <row r="1403" spans="1:6" x14ac:dyDescent="0.25">
      <c r="A1403">
        <v>-111.973789</v>
      </c>
      <c r="B1403">
        <v>33.06812</v>
      </c>
      <c r="C1403">
        <v>0.86499999999999999</v>
      </c>
      <c r="D1403">
        <v>0.77503999999999995</v>
      </c>
      <c r="E1403">
        <v>878761257</v>
      </c>
      <c r="F1403">
        <v>120</v>
      </c>
    </row>
    <row r="1404" spans="1:6" x14ac:dyDescent="0.25">
      <c r="A1404">
        <v>-111.97378999999999</v>
      </c>
      <c r="B1404">
        <v>33.068126999999997</v>
      </c>
      <c r="C1404">
        <v>1.25</v>
      </c>
      <c r="D1404">
        <v>1.1200000000000001</v>
      </c>
      <c r="E1404">
        <v>878761259</v>
      </c>
      <c r="F1404">
        <v>120</v>
      </c>
    </row>
    <row r="1405" spans="1:6" x14ac:dyDescent="0.25">
      <c r="A1405">
        <v>-111.97378999999999</v>
      </c>
      <c r="B1405">
        <v>33.068133000000003</v>
      </c>
      <c r="C1405">
        <v>1.4850000000000001</v>
      </c>
      <c r="D1405">
        <v>1.33056</v>
      </c>
      <c r="E1405">
        <v>878761261</v>
      </c>
      <c r="F1405">
        <v>120</v>
      </c>
    </row>
    <row r="1406" spans="1:6" x14ac:dyDescent="0.25">
      <c r="A1406">
        <v>-111.97379100000001</v>
      </c>
      <c r="B1406">
        <v>33.068140999999997</v>
      </c>
      <c r="C1406">
        <v>1.1100000000000001</v>
      </c>
      <c r="D1406">
        <v>0.99456</v>
      </c>
      <c r="E1406">
        <v>878761263</v>
      </c>
      <c r="F1406">
        <v>120</v>
      </c>
    </row>
    <row r="1407" spans="1:6" x14ac:dyDescent="0.25">
      <c r="A1407">
        <v>-111.97379100000001</v>
      </c>
      <c r="B1407">
        <v>33.068148999999998</v>
      </c>
      <c r="C1407">
        <v>1.335</v>
      </c>
      <c r="D1407">
        <v>1.1961599999999999</v>
      </c>
      <c r="E1407">
        <v>878761265</v>
      </c>
      <c r="F1407">
        <v>120</v>
      </c>
    </row>
    <row r="1408" spans="1:6" x14ac:dyDescent="0.25">
      <c r="A1408">
        <v>-111.97379100000001</v>
      </c>
      <c r="B1408">
        <v>33.068156000000002</v>
      </c>
      <c r="C1408">
        <v>1.1599999999999999</v>
      </c>
      <c r="D1408">
        <v>1.0393600000000001</v>
      </c>
      <c r="E1408">
        <v>878761267</v>
      </c>
      <c r="F1408">
        <v>120</v>
      </c>
    </row>
    <row r="1409" spans="1:6" x14ac:dyDescent="0.25">
      <c r="A1409">
        <v>-111.97378999999999</v>
      </c>
      <c r="B1409">
        <v>33.068162999999998</v>
      </c>
      <c r="C1409">
        <v>1.25</v>
      </c>
      <c r="D1409">
        <v>1.1200000000000001</v>
      </c>
      <c r="E1409">
        <v>878761269</v>
      </c>
      <c r="F1409">
        <v>120</v>
      </c>
    </row>
    <row r="1410" spans="1:6" x14ac:dyDescent="0.25">
      <c r="A1410">
        <v>-111.97378999999999</v>
      </c>
      <c r="B1410">
        <v>33.068171</v>
      </c>
      <c r="C1410">
        <v>1.115</v>
      </c>
      <c r="D1410">
        <v>0.99904000000000004</v>
      </c>
      <c r="E1410">
        <v>878761271</v>
      </c>
      <c r="F1410">
        <v>120</v>
      </c>
    </row>
    <row r="1411" spans="1:6" x14ac:dyDescent="0.25">
      <c r="A1411">
        <v>-111.97378999999999</v>
      </c>
      <c r="B1411">
        <v>33.068176999999999</v>
      </c>
      <c r="C1411">
        <v>1.2350000000000001</v>
      </c>
      <c r="D1411">
        <v>1.10656</v>
      </c>
      <c r="E1411">
        <v>878761273</v>
      </c>
      <c r="F1411">
        <v>120</v>
      </c>
    </row>
    <row r="1412" spans="1:6" x14ac:dyDescent="0.25">
      <c r="A1412">
        <v>-111.97378999999999</v>
      </c>
      <c r="B1412">
        <v>33.068185</v>
      </c>
      <c r="C1412">
        <v>1.2050000000000001</v>
      </c>
      <c r="D1412">
        <v>1.07968</v>
      </c>
      <c r="E1412">
        <v>878761275</v>
      </c>
      <c r="F1412">
        <v>120</v>
      </c>
    </row>
    <row r="1413" spans="1:6" x14ac:dyDescent="0.25">
      <c r="A1413">
        <v>-111.97378999999999</v>
      </c>
      <c r="B1413">
        <v>33.068192000000003</v>
      </c>
      <c r="C1413">
        <v>0.72499999999999998</v>
      </c>
      <c r="D1413">
        <v>0.64959999999999996</v>
      </c>
      <c r="E1413">
        <v>878761277</v>
      </c>
      <c r="F1413">
        <v>120</v>
      </c>
    </row>
    <row r="1414" spans="1:6" x14ac:dyDescent="0.25">
      <c r="A1414">
        <v>-111.97378999999999</v>
      </c>
      <c r="B1414">
        <v>33.068192000000003</v>
      </c>
      <c r="C1414">
        <v>5.0000000000000001E-3</v>
      </c>
      <c r="D1414">
        <v>4.4799999999999996E-3</v>
      </c>
      <c r="E1414">
        <v>878761279</v>
      </c>
      <c r="F1414">
        <v>120</v>
      </c>
    </row>
    <row r="1415" spans="1:6" x14ac:dyDescent="0.25">
      <c r="A1415">
        <v>-111.97379100000001</v>
      </c>
      <c r="B1415">
        <v>33.068196999999998</v>
      </c>
      <c r="C1415">
        <v>5.0000000000000001E-3</v>
      </c>
      <c r="D1415">
        <v>4.4799999999999996E-3</v>
      </c>
      <c r="E1415">
        <v>878761287</v>
      </c>
      <c r="F1415">
        <v>120</v>
      </c>
    </row>
    <row r="1416" spans="1:6" x14ac:dyDescent="0.25">
      <c r="A1416">
        <v>-111.97379100000001</v>
      </c>
      <c r="B1416">
        <v>33.068204000000001</v>
      </c>
      <c r="C1416">
        <v>0.13500000000000001</v>
      </c>
      <c r="D1416">
        <v>0.12096</v>
      </c>
      <c r="E1416">
        <v>878761289</v>
      </c>
      <c r="F1416">
        <v>120</v>
      </c>
    </row>
    <row r="1417" spans="1:6" x14ac:dyDescent="0.25">
      <c r="A1417">
        <v>-111.973789</v>
      </c>
      <c r="B1417">
        <v>33.068210000000001</v>
      </c>
      <c r="C1417">
        <v>1.03</v>
      </c>
      <c r="D1417">
        <v>0.92288000000000003</v>
      </c>
      <c r="E1417">
        <v>878761291</v>
      </c>
      <c r="F1417">
        <v>120</v>
      </c>
    </row>
    <row r="1418" spans="1:6" x14ac:dyDescent="0.25">
      <c r="A1418">
        <v>-111.973788</v>
      </c>
      <c r="B1418">
        <v>33.068216999999997</v>
      </c>
      <c r="C1418">
        <v>1.79</v>
      </c>
      <c r="D1418">
        <v>1.6038399999999999</v>
      </c>
      <c r="E1418">
        <v>878761293</v>
      </c>
      <c r="F1418">
        <v>120</v>
      </c>
    </row>
    <row r="1419" spans="1:6" x14ac:dyDescent="0.25">
      <c r="A1419">
        <v>-111.97378999999999</v>
      </c>
      <c r="B1419">
        <v>33.068226000000003</v>
      </c>
      <c r="C1419">
        <v>1.405</v>
      </c>
      <c r="D1419">
        <v>1.25888</v>
      </c>
      <c r="E1419">
        <v>878761295</v>
      </c>
      <c r="F1419">
        <v>120</v>
      </c>
    </row>
    <row r="1420" spans="1:6" x14ac:dyDescent="0.25">
      <c r="A1420">
        <v>-111.97379100000001</v>
      </c>
      <c r="B1420">
        <v>33.068233999999997</v>
      </c>
      <c r="C1420">
        <v>1.6</v>
      </c>
      <c r="D1420">
        <v>1.4336</v>
      </c>
      <c r="E1420">
        <v>878761297</v>
      </c>
      <c r="F1420">
        <v>120</v>
      </c>
    </row>
    <row r="1421" spans="1:6" x14ac:dyDescent="0.25">
      <c r="A1421">
        <v>-111.97379100000001</v>
      </c>
      <c r="B1421">
        <v>33.068241</v>
      </c>
      <c r="C1421">
        <v>0.87</v>
      </c>
      <c r="D1421">
        <v>0.77951999999999999</v>
      </c>
      <c r="E1421">
        <v>878761299</v>
      </c>
      <c r="F1421">
        <v>120</v>
      </c>
    </row>
    <row r="1422" spans="1:6" x14ac:dyDescent="0.25">
      <c r="A1422">
        <v>-111.97379100000001</v>
      </c>
      <c r="B1422">
        <v>33.068249000000002</v>
      </c>
      <c r="C1422">
        <v>0.63</v>
      </c>
      <c r="D1422">
        <v>0.56447999999999998</v>
      </c>
      <c r="E1422">
        <v>878761301</v>
      </c>
      <c r="F1422">
        <v>120</v>
      </c>
    </row>
    <row r="1423" spans="1:6" x14ac:dyDescent="0.25">
      <c r="A1423">
        <v>-111.97379100000001</v>
      </c>
      <c r="B1423">
        <v>33.068255999999998</v>
      </c>
      <c r="C1423">
        <v>0.71499999999999997</v>
      </c>
      <c r="D1423">
        <v>0.64063999999999999</v>
      </c>
      <c r="E1423">
        <v>878761303</v>
      </c>
      <c r="F1423">
        <v>120</v>
      </c>
    </row>
    <row r="1424" spans="1:6" x14ac:dyDescent="0.25">
      <c r="A1424">
        <v>-111.97378999999999</v>
      </c>
      <c r="B1424">
        <v>33.068263000000002</v>
      </c>
      <c r="C1424">
        <v>0.83</v>
      </c>
      <c r="D1424">
        <v>0.74368000000000001</v>
      </c>
      <c r="E1424">
        <v>878761305</v>
      </c>
      <c r="F1424">
        <v>120</v>
      </c>
    </row>
    <row r="1425" spans="1:6" x14ac:dyDescent="0.25">
      <c r="A1425">
        <v>-111.973792</v>
      </c>
      <c r="B1425">
        <v>33.068269999999998</v>
      </c>
      <c r="C1425">
        <v>0.80500000000000005</v>
      </c>
      <c r="D1425">
        <v>0.72128000000000003</v>
      </c>
      <c r="E1425">
        <v>878761307</v>
      </c>
      <c r="F1425">
        <v>120</v>
      </c>
    </row>
    <row r="1426" spans="1:6" x14ac:dyDescent="0.25">
      <c r="A1426">
        <v>-111.97379100000001</v>
      </c>
      <c r="B1426">
        <v>33.068277999999999</v>
      </c>
      <c r="C1426">
        <v>0.97</v>
      </c>
      <c r="D1426">
        <v>0.86912</v>
      </c>
      <c r="E1426">
        <v>878761309</v>
      </c>
      <c r="F1426">
        <v>120</v>
      </c>
    </row>
    <row r="1427" spans="1:6" x14ac:dyDescent="0.25">
      <c r="A1427">
        <v>-111.97379100000001</v>
      </c>
      <c r="B1427">
        <v>33.068286000000001</v>
      </c>
      <c r="C1427">
        <v>0.86499999999999999</v>
      </c>
      <c r="D1427">
        <v>0.77503999999999995</v>
      </c>
      <c r="E1427">
        <v>878761311</v>
      </c>
      <c r="F1427">
        <v>120</v>
      </c>
    </row>
    <row r="1428" spans="1:6" x14ac:dyDescent="0.25">
      <c r="A1428">
        <v>-111.97379100000001</v>
      </c>
      <c r="B1428">
        <v>33.068292999999997</v>
      </c>
      <c r="C1428">
        <v>1.105</v>
      </c>
      <c r="D1428">
        <v>0.99007999999999996</v>
      </c>
      <c r="E1428">
        <v>878761313</v>
      </c>
      <c r="F1428">
        <v>120</v>
      </c>
    </row>
    <row r="1429" spans="1:6" x14ac:dyDescent="0.25">
      <c r="A1429">
        <v>-111.97379100000001</v>
      </c>
      <c r="B1429">
        <v>33.068300999999998</v>
      </c>
      <c r="C1429">
        <v>1.2050000000000001</v>
      </c>
      <c r="D1429">
        <v>1.07968</v>
      </c>
      <c r="E1429">
        <v>878761315</v>
      </c>
      <c r="F1429">
        <v>120</v>
      </c>
    </row>
    <row r="1430" spans="1:6" x14ac:dyDescent="0.25">
      <c r="A1430">
        <v>-111.97379100000001</v>
      </c>
      <c r="B1430">
        <v>33.068308000000002</v>
      </c>
      <c r="C1430">
        <v>1.1299999999999999</v>
      </c>
      <c r="D1430">
        <v>1.01248</v>
      </c>
      <c r="E1430">
        <v>878761317</v>
      </c>
      <c r="F1430">
        <v>120</v>
      </c>
    </row>
    <row r="1431" spans="1:6" x14ac:dyDescent="0.25">
      <c r="A1431">
        <v>-111.97379100000001</v>
      </c>
      <c r="B1431">
        <v>33.068316000000003</v>
      </c>
      <c r="C1431">
        <v>1.21</v>
      </c>
      <c r="D1431">
        <v>1.08416</v>
      </c>
      <c r="E1431">
        <v>878761319</v>
      </c>
      <c r="F1431">
        <v>120</v>
      </c>
    </row>
    <row r="1432" spans="1:6" x14ac:dyDescent="0.25">
      <c r="A1432">
        <v>-111.97379100000001</v>
      </c>
      <c r="B1432">
        <v>33.068323999999997</v>
      </c>
      <c r="C1432">
        <v>1.17</v>
      </c>
      <c r="D1432">
        <v>1.0483199999999999</v>
      </c>
      <c r="E1432">
        <v>878761321</v>
      </c>
      <c r="F1432">
        <v>120</v>
      </c>
    </row>
    <row r="1433" spans="1:6" x14ac:dyDescent="0.25">
      <c r="A1433">
        <v>-111.97379100000001</v>
      </c>
      <c r="B1433">
        <v>33.068331000000001</v>
      </c>
      <c r="C1433">
        <v>0.99</v>
      </c>
      <c r="D1433">
        <v>0.88704000000000005</v>
      </c>
      <c r="E1433">
        <v>878761323</v>
      </c>
      <c r="F1433">
        <v>120</v>
      </c>
    </row>
    <row r="1434" spans="1:6" x14ac:dyDescent="0.25">
      <c r="A1434">
        <v>-111.97379100000001</v>
      </c>
      <c r="B1434">
        <v>33.068339000000002</v>
      </c>
      <c r="C1434">
        <v>1.08</v>
      </c>
      <c r="D1434">
        <v>0.96767999999999998</v>
      </c>
      <c r="E1434">
        <v>878761325</v>
      </c>
      <c r="F1434">
        <v>120</v>
      </c>
    </row>
    <row r="1435" spans="1:6" x14ac:dyDescent="0.25">
      <c r="A1435">
        <v>-111.97379100000001</v>
      </c>
      <c r="B1435">
        <v>33.068345999999998</v>
      </c>
      <c r="C1435">
        <v>1.075</v>
      </c>
      <c r="D1435">
        <v>0.96319999999999995</v>
      </c>
      <c r="E1435">
        <v>878761327</v>
      </c>
      <c r="F1435">
        <v>120</v>
      </c>
    </row>
    <row r="1436" spans="1:6" x14ac:dyDescent="0.25">
      <c r="A1436">
        <v>-111.97378999999999</v>
      </c>
      <c r="B1436">
        <v>33.068353000000002</v>
      </c>
      <c r="C1436">
        <v>0.995</v>
      </c>
      <c r="D1436">
        <v>0.89151999999999998</v>
      </c>
      <c r="E1436">
        <v>878761329</v>
      </c>
      <c r="F1436">
        <v>120</v>
      </c>
    </row>
    <row r="1437" spans="1:6" x14ac:dyDescent="0.25">
      <c r="A1437">
        <v>-111.97379100000001</v>
      </c>
      <c r="B1437">
        <v>33.068361000000003</v>
      </c>
      <c r="C1437">
        <v>1.2549999999999999</v>
      </c>
      <c r="D1437">
        <v>1.1244799999999999</v>
      </c>
      <c r="E1437">
        <v>878761331</v>
      </c>
      <c r="F1437">
        <v>120</v>
      </c>
    </row>
    <row r="1438" spans="1:6" x14ac:dyDescent="0.25">
      <c r="A1438">
        <v>-111.97379100000001</v>
      </c>
      <c r="B1438">
        <v>33.068368999999997</v>
      </c>
      <c r="C1438">
        <v>0.45</v>
      </c>
      <c r="D1438">
        <v>0.4032</v>
      </c>
      <c r="E1438">
        <v>878761333</v>
      </c>
      <c r="F1438">
        <v>120</v>
      </c>
    </row>
    <row r="1439" spans="1:6" x14ac:dyDescent="0.25">
      <c r="A1439">
        <v>-111.97379100000001</v>
      </c>
      <c r="B1439">
        <v>33.068376999999998</v>
      </c>
      <c r="C1439">
        <v>6.5000000000000002E-2</v>
      </c>
      <c r="D1439">
        <v>5.824E-2</v>
      </c>
      <c r="E1439">
        <v>878761335</v>
      </c>
      <c r="F1439">
        <v>120</v>
      </c>
    </row>
    <row r="1440" spans="1:6" x14ac:dyDescent="0.25">
      <c r="A1440">
        <v>-111.97378999999999</v>
      </c>
      <c r="B1440">
        <v>33.068398999999999</v>
      </c>
      <c r="C1440">
        <v>5.0000000000000001E-3</v>
      </c>
      <c r="D1440">
        <v>4.4799999999999996E-3</v>
      </c>
      <c r="E1440">
        <v>878761341</v>
      </c>
      <c r="F1440">
        <v>120</v>
      </c>
    </row>
    <row r="1441" spans="1:6" x14ac:dyDescent="0.25">
      <c r="A1441">
        <v>-111.97379100000001</v>
      </c>
      <c r="B1441">
        <v>33.068454000000003</v>
      </c>
      <c r="C1441">
        <v>0.25</v>
      </c>
      <c r="D1441">
        <v>0.224</v>
      </c>
      <c r="E1441">
        <v>878761355</v>
      </c>
      <c r="F1441">
        <v>120</v>
      </c>
    </row>
    <row r="1442" spans="1:6" x14ac:dyDescent="0.25">
      <c r="A1442">
        <v>-111.973789</v>
      </c>
      <c r="B1442">
        <v>33.068460999999999</v>
      </c>
      <c r="C1442">
        <v>0.69</v>
      </c>
      <c r="D1442">
        <v>0.61824000000000001</v>
      </c>
      <c r="E1442">
        <v>878761357</v>
      </c>
      <c r="F1442">
        <v>120</v>
      </c>
    </row>
    <row r="1443" spans="1:6" x14ac:dyDescent="0.25">
      <c r="A1443">
        <v>-111.973789</v>
      </c>
      <c r="B1443">
        <v>33.068468000000003</v>
      </c>
      <c r="C1443">
        <v>1.68</v>
      </c>
      <c r="D1443">
        <v>1.50528</v>
      </c>
      <c r="E1443">
        <v>878761359</v>
      </c>
      <c r="F1443">
        <v>120</v>
      </c>
    </row>
    <row r="1444" spans="1:6" x14ac:dyDescent="0.25">
      <c r="A1444">
        <v>-111.973789</v>
      </c>
      <c r="B1444">
        <v>33.068475999999997</v>
      </c>
      <c r="C1444">
        <v>1.5</v>
      </c>
      <c r="D1444">
        <v>1.3440000000000001</v>
      </c>
      <c r="E1444">
        <v>878761361</v>
      </c>
      <c r="F1444">
        <v>120</v>
      </c>
    </row>
    <row r="1445" spans="1:6" x14ac:dyDescent="0.25">
      <c r="A1445">
        <v>-111.973792</v>
      </c>
      <c r="B1445">
        <v>33.068483000000001</v>
      </c>
      <c r="C1445">
        <v>1.4350000000000001</v>
      </c>
      <c r="D1445">
        <v>1.28576</v>
      </c>
      <c r="E1445">
        <v>878761363</v>
      </c>
      <c r="F1445">
        <v>120</v>
      </c>
    </row>
    <row r="1446" spans="1:6" x14ac:dyDescent="0.25">
      <c r="A1446">
        <v>-111.97379100000001</v>
      </c>
      <c r="B1446">
        <v>33.068491000000002</v>
      </c>
      <c r="C1446">
        <v>0.77500000000000002</v>
      </c>
      <c r="D1446">
        <v>0.69440000000000002</v>
      </c>
      <c r="E1446">
        <v>878761365</v>
      </c>
      <c r="F1446">
        <v>120</v>
      </c>
    </row>
    <row r="1447" spans="1:6" x14ac:dyDescent="0.25">
      <c r="A1447">
        <v>-111.97379100000001</v>
      </c>
      <c r="B1447">
        <v>33.0685</v>
      </c>
      <c r="C1447">
        <v>0.96</v>
      </c>
      <c r="D1447">
        <v>0.86016000000000004</v>
      </c>
      <c r="E1447">
        <v>878761367</v>
      </c>
      <c r="F1447">
        <v>120</v>
      </c>
    </row>
    <row r="1448" spans="1:6" x14ac:dyDescent="0.25">
      <c r="A1448">
        <v>-111.97378999999999</v>
      </c>
      <c r="B1448">
        <v>33.068506999999997</v>
      </c>
      <c r="C1448">
        <v>0.84499999999999997</v>
      </c>
      <c r="D1448">
        <v>0.75712000000000002</v>
      </c>
      <c r="E1448">
        <v>878761369</v>
      </c>
      <c r="F1448">
        <v>120</v>
      </c>
    </row>
    <row r="1449" spans="1:6" x14ac:dyDescent="0.25">
      <c r="A1449">
        <v>-111.97379100000001</v>
      </c>
      <c r="B1449">
        <v>33.068514</v>
      </c>
      <c r="C1449">
        <v>0.93500000000000005</v>
      </c>
      <c r="D1449">
        <v>0.83775999999999995</v>
      </c>
      <c r="E1449">
        <v>878761371</v>
      </c>
      <c r="F1449">
        <v>120</v>
      </c>
    </row>
    <row r="1450" spans="1:6" x14ac:dyDescent="0.25">
      <c r="A1450">
        <v>-111.97379100000001</v>
      </c>
      <c r="B1450">
        <v>33.068522999999999</v>
      </c>
      <c r="C1450">
        <v>0.98</v>
      </c>
      <c r="D1450">
        <v>0.87807999999999997</v>
      </c>
      <c r="E1450">
        <v>878761373</v>
      </c>
      <c r="F1450">
        <v>120</v>
      </c>
    </row>
    <row r="1451" spans="1:6" x14ac:dyDescent="0.25">
      <c r="A1451">
        <v>-111.97379100000001</v>
      </c>
      <c r="B1451">
        <v>33.068531</v>
      </c>
      <c r="C1451">
        <v>1.3049999999999999</v>
      </c>
      <c r="D1451">
        <v>1.1692800000000001</v>
      </c>
      <c r="E1451">
        <v>878761375</v>
      </c>
      <c r="F1451">
        <v>120</v>
      </c>
    </row>
    <row r="1452" spans="1:6" x14ac:dyDescent="0.25">
      <c r="A1452">
        <v>-111.97379100000001</v>
      </c>
      <c r="B1452">
        <v>33.068537999999997</v>
      </c>
      <c r="C1452">
        <v>0.92</v>
      </c>
      <c r="D1452">
        <v>0.82432000000000005</v>
      </c>
      <c r="E1452">
        <v>878761377</v>
      </c>
      <c r="F1452">
        <v>120</v>
      </c>
    </row>
    <row r="1453" spans="1:6" x14ac:dyDescent="0.25">
      <c r="A1453">
        <v>-111.97379100000001</v>
      </c>
      <c r="B1453">
        <v>33.068545</v>
      </c>
      <c r="C1453">
        <v>1.33</v>
      </c>
      <c r="D1453">
        <v>1.1916800000000001</v>
      </c>
      <c r="E1453">
        <v>878761379</v>
      </c>
      <c r="F1453">
        <v>120</v>
      </c>
    </row>
    <row r="1454" spans="1:6" x14ac:dyDescent="0.25">
      <c r="A1454">
        <v>-111.97379100000001</v>
      </c>
      <c r="B1454">
        <v>33.068553000000001</v>
      </c>
      <c r="C1454">
        <v>1.2250000000000001</v>
      </c>
      <c r="D1454">
        <v>1.0975999999999999</v>
      </c>
      <c r="E1454">
        <v>878761381</v>
      </c>
      <c r="F1454">
        <v>120</v>
      </c>
    </row>
    <row r="1455" spans="1:6" x14ac:dyDescent="0.25">
      <c r="A1455">
        <v>-111.97378999999999</v>
      </c>
      <c r="B1455">
        <v>33.068559999999998</v>
      </c>
      <c r="C1455">
        <v>1.2749999999999999</v>
      </c>
      <c r="D1455">
        <v>1.1424000000000001</v>
      </c>
      <c r="E1455">
        <v>878761383</v>
      </c>
      <c r="F1455">
        <v>120</v>
      </c>
    </row>
    <row r="1456" spans="1:6" x14ac:dyDescent="0.25">
      <c r="A1456">
        <v>-111.97378999999999</v>
      </c>
      <c r="B1456">
        <v>33.068567999999999</v>
      </c>
      <c r="C1456">
        <v>1.345</v>
      </c>
      <c r="D1456">
        <v>1.20512</v>
      </c>
      <c r="E1456">
        <v>878761385</v>
      </c>
      <c r="F1456">
        <v>120</v>
      </c>
    </row>
    <row r="1457" spans="1:6" x14ac:dyDescent="0.25">
      <c r="A1457">
        <v>-111.97378999999999</v>
      </c>
      <c r="B1457">
        <v>33.068576</v>
      </c>
      <c r="C1457">
        <v>1.355</v>
      </c>
      <c r="D1457">
        <v>1.21408</v>
      </c>
      <c r="E1457">
        <v>878761387</v>
      </c>
      <c r="F1457">
        <v>120</v>
      </c>
    </row>
    <row r="1458" spans="1:6" x14ac:dyDescent="0.25">
      <c r="A1458">
        <v>-111.97378999999999</v>
      </c>
      <c r="B1458">
        <v>33.068584000000001</v>
      </c>
      <c r="C1458">
        <v>1.37</v>
      </c>
      <c r="D1458">
        <v>1.2275199999999999</v>
      </c>
      <c r="E1458">
        <v>878761389</v>
      </c>
      <c r="F1458">
        <v>120</v>
      </c>
    </row>
    <row r="1459" spans="1:6" x14ac:dyDescent="0.25">
      <c r="A1459">
        <v>-111.97378999999999</v>
      </c>
      <c r="B1459">
        <v>33.068592000000002</v>
      </c>
      <c r="C1459">
        <v>1.27</v>
      </c>
      <c r="D1459">
        <v>1.13792</v>
      </c>
      <c r="E1459">
        <v>878761391</v>
      </c>
      <c r="F1459">
        <v>120</v>
      </c>
    </row>
    <row r="1460" spans="1:6" x14ac:dyDescent="0.25">
      <c r="A1460">
        <v>-111.97379100000001</v>
      </c>
      <c r="B1460">
        <v>33.068601000000001</v>
      </c>
      <c r="C1460">
        <v>1.41</v>
      </c>
      <c r="D1460">
        <v>1.26336</v>
      </c>
      <c r="E1460">
        <v>878761393</v>
      </c>
      <c r="F1460">
        <v>120</v>
      </c>
    </row>
    <row r="1461" spans="1:6" x14ac:dyDescent="0.25">
      <c r="A1461">
        <v>-111.97379100000001</v>
      </c>
      <c r="B1461">
        <v>33.068607999999998</v>
      </c>
      <c r="C1461">
        <v>1.405</v>
      </c>
      <c r="D1461">
        <v>1.25888</v>
      </c>
      <c r="E1461">
        <v>878761395</v>
      </c>
      <c r="F1461">
        <v>120</v>
      </c>
    </row>
    <row r="1462" spans="1:6" x14ac:dyDescent="0.25">
      <c r="A1462">
        <v>-111.97379100000001</v>
      </c>
      <c r="B1462">
        <v>33.068613999999997</v>
      </c>
      <c r="C1462">
        <v>0.1</v>
      </c>
      <c r="D1462">
        <v>8.9599999999999999E-2</v>
      </c>
      <c r="E1462">
        <v>878761397</v>
      </c>
      <c r="F1462">
        <v>120</v>
      </c>
    </row>
    <row r="1463" spans="1:6" x14ac:dyDescent="0.25">
      <c r="A1463">
        <v>-111.97378999999999</v>
      </c>
      <c r="B1463">
        <v>33.068612999999999</v>
      </c>
      <c r="C1463">
        <v>0.01</v>
      </c>
      <c r="D1463">
        <v>8.9599999999999992E-3</v>
      </c>
      <c r="E1463">
        <v>878761405</v>
      </c>
      <c r="F1463">
        <v>120</v>
      </c>
    </row>
    <row r="1464" spans="1:6" x14ac:dyDescent="0.25">
      <c r="A1464">
        <v>-111.97378999999999</v>
      </c>
      <c r="B1464">
        <v>33.068618000000001</v>
      </c>
      <c r="C1464">
        <v>5.0000000000000001E-3</v>
      </c>
      <c r="D1464">
        <v>4.4799999999999996E-3</v>
      </c>
      <c r="E1464">
        <v>878761407</v>
      </c>
      <c r="F1464">
        <v>120</v>
      </c>
    </row>
    <row r="1465" spans="1:6" x14ac:dyDescent="0.25">
      <c r="A1465">
        <v>-111.973788</v>
      </c>
      <c r="B1465">
        <v>33.068624</v>
      </c>
      <c r="C1465">
        <v>0.81499999999999995</v>
      </c>
      <c r="D1465">
        <v>0.73024</v>
      </c>
      <c r="E1465">
        <v>878761409</v>
      </c>
      <c r="F1465">
        <v>120</v>
      </c>
    </row>
    <row r="1466" spans="1:6" x14ac:dyDescent="0.25">
      <c r="A1466">
        <v>-111.973786</v>
      </c>
      <c r="B1466">
        <v>33.068629999999999</v>
      </c>
      <c r="C1466">
        <v>0.61</v>
      </c>
      <c r="D1466">
        <v>0.54656000000000005</v>
      </c>
      <c r="E1466">
        <v>878761411</v>
      </c>
      <c r="F1466">
        <v>120</v>
      </c>
    </row>
    <row r="1467" spans="1:6" x14ac:dyDescent="0.25">
      <c r="A1467">
        <v>-111.973786</v>
      </c>
      <c r="B1467">
        <v>33.068638</v>
      </c>
      <c r="C1467">
        <v>1.1299999999999999</v>
      </c>
      <c r="D1467">
        <v>1.01248</v>
      </c>
      <c r="E1467">
        <v>878761413</v>
      </c>
      <c r="F1467">
        <v>120</v>
      </c>
    </row>
    <row r="1468" spans="1:6" x14ac:dyDescent="0.25">
      <c r="A1468">
        <v>-111.973789</v>
      </c>
      <c r="B1468">
        <v>33.068646000000001</v>
      </c>
      <c r="C1468">
        <v>1.23</v>
      </c>
      <c r="D1468">
        <v>1.1020799999999999</v>
      </c>
      <c r="E1468">
        <v>878761415</v>
      </c>
      <c r="F1468">
        <v>120</v>
      </c>
    </row>
    <row r="1469" spans="1:6" x14ac:dyDescent="0.25">
      <c r="A1469">
        <v>-111.973793</v>
      </c>
      <c r="B1469">
        <v>33.068654000000002</v>
      </c>
      <c r="C1469">
        <v>1.325</v>
      </c>
      <c r="D1469">
        <v>1.1872</v>
      </c>
      <c r="E1469">
        <v>878761417</v>
      </c>
      <c r="F1469">
        <v>120</v>
      </c>
    </row>
    <row r="1470" spans="1:6" x14ac:dyDescent="0.25">
      <c r="A1470">
        <v>-111.973792</v>
      </c>
      <c r="B1470">
        <v>33.068662000000003</v>
      </c>
      <c r="C1470">
        <v>0.99</v>
      </c>
      <c r="D1470">
        <v>0.88704000000000005</v>
      </c>
      <c r="E1470">
        <v>878761419</v>
      </c>
      <c r="F1470">
        <v>120</v>
      </c>
    </row>
    <row r="1471" spans="1:6" x14ac:dyDescent="0.25">
      <c r="A1471">
        <v>-111.97378999999999</v>
      </c>
      <c r="B1471">
        <v>33.068669</v>
      </c>
      <c r="C1471">
        <v>1.03</v>
      </c>
      <c r="D1471">
        <v>0.92288000000000003</v>
      </c>
      <c r="E1471">
        <v>878761421</v>
      </c>
      <c r="F1471">
        <v>120</v>
      </c>
    </row>
    <row r="1472" spans="1:6" x14ac:dyDescent="0.25">
      <c r="A1472">
        <v>-111.973789</v>
      </c>
      <c r="B1472">
        <v>33.068676000000004</v>
      </c>
      <c r="C1472">
        <v>0.71499999999999997</v>
      </c>
      <c r="D1472">
        <v>0.64063999999999999</v>
      </c>
      <c r="E1472">
        <v>878761423</v>
      </c>
      <c r="F1472">
        <v>120</v>
      </c>
    </row>
    <row r="1473" spans="1:6" x14ac:dyDescent="0.25">
      <c r="A1473">
        <v>-111.97378999999999</v>
      </c>
      <c r="B1473">
        <v>33.068683999999998</v>
      </c>
      <c r="C1473">
        <v>0.69</v>
      </c>
      <c r="D1473">
        <v>0.61824000000000001</v>
      </c>
      <c r="E1473">
        <v>878761425</v>
      </c>
      <c r="F1473">
        <v>120</v>
      </c>
    </row>
    <row r="1474" spans="1:6" x14ac:dyDescent="0.25">
      <c r="A1474">
        <v>-111.97378999999999</v>
      </c>
      <c r="B1474">
        <v>33.068691999999999</v>
      </c>
      <c r="C1474">
        <v>0.77500000000000002</v>
      </c>
      <c r="D1474">
        <v>0.69440000000000002</v>
      </c>
      <c r="E1474">
        <v>878761427</v>
      </c>
      <c r="F1474">
        <v>120</v>
      </c>
    </row>
    <row r="1475" spans="1:6" x14ac:dyDescent="0.25">
      <c r="A1475">
        <v>-111.97378999999999</v>
      </c>
      <c r="B1475">
        <v>33.0687</v>
      </c>
      <c r="C1475">
        <v>1.0349999999999999</v>
      </c>
      <c r="D1475">
        <v>0.92735999999999996</v>
      </c>
      <c r="E1475">
        <v>878761429</v>
      </c>
      <c r="F1475">
        <v>120</v>
      </c>
    </row>
    <row r="1476" spans="1:6" x14ac:dyDescent="0.25">
      <c r="A1476">
        <v>-111.97378999999999</v>
      </c>
      <c r="B1476">
        <v>33.068708000000001</v>
      </c>
      <c r="C1476">
        <v>0.91</v>
      </c>
      <c r="D1476">
        <v>0.81535999999999997</v>
      </c>
      <c r="E1476">
        <v>878761431</v>
      </c>
      <c r="F1476">
        <v>120</v>
      </c>
    </row>
    <row r="1477" spans="1:6" x14ac:dyDescent="0.25">
      <c r="A1477">
        <v>-111.97378999999999</v>
      </c>
      <c r="B1477">
        <v>33.068716000000002</v>
      </c>
      <c r="C1477">
        <v>1.24</v>
      </c>
      <c r="D1477">
        <v>1.11104</v>
      </c>
      <c r="E1477">
        <v>878761433</v>
      </c>
      <c r="F1477">
        <v>120</v>
      </c>
    </row>
    <row r="1478" spans="1:6" x14ac:dyDescent="0.25">
      <c r="A1478">
        <v>-111.97378999999999</v>
      </c>
      <c r="B1478">
        <v>33.068724000000003</v>
      </c>
      <c r="C1478">
        <v>1.23</v>
      </c>
      <c r="D1478">
        <v>1.1020799999999999</v>
      </c>
      <c r="E1478">
        <v>878761435</v>
      </c>
      <c r="F1478">
        <v>120</v>
      </c>
    </row>
    <row r="1479" spans="1:6" x14ac:dyDescent="0.25">
      <c r="A1479">
        <v>-111.973789</v>
      </c>
      <c r="B1479">
        <v>33.068731</v>
      </c>
      <c r="C1479">
        <v>1.2050000000000001</v>
      </c>
      <c r="D1479">
        <v>1.07968</v>
      </c>
      <c r="E1479">
        <v>878761437</v>
      </c>
      <c r="F1479">
        <v>120</v>
      </c>
    </row>
    <row r="1480" spans="1:6" x14ac:dyDescent="0.25">
      <c r="A1480">
        <v>-111.973789</v>
      </c>
      <c r="B1480">
        <v>33.068739000000001</v>
      </c>
      <c r="C1480">
        <v>1.165</v>
      </c>
      <c r="D1480">
        <v>1.0438400000000001</v>
      </c>
      <c r="E1480">
        <v>878761439</v>
      </c>
      <c r="F1480">
        <v>120</v>
      </c>
    </row>
    <row r="1481" spans="1:6" x14ac:dyDescent="0.25">
      <c r="A1481">
        <v>-111.973789</v>
      </c>
      <c r="B1481">
        <v>33.068747000000002</v>
      </c>
      <c r="C1481">
        <v>1.2849999999999999</v>
      </c>
      <c r="D1481">
        <v>1.1513599999999999</v>
      </c>
      <c r="E1481">
        <v>878761441</v>
      </c>
      <c r="F1481">
        <v>120</v>
      </c>
    </row>
    <row r="1482" spans="1:6" x14ac:dyDescent="0.25">
      <c r="A1482">
        <v>-111.97378999999999</v>
      </c>
      <c r="B1482">
        <v>33.068755000000003</v>
      </c>
      <c r="C1482">
        <v>1.21</v>
      </c>
      <c r="D1482">
        <v>1.08416</v>
      </c>
      <c r="E1482">
        <v>878761443</v>
      </c>
      <c r="F1482">
        <v>120</v>
      </c>
    </row>
    <row r="1483" spans="1:6" x14ac:dyDescent="0.25">
      <c r="A1483">
        <v>-111.97378999999999</v>
      </c>
      <c r="B1483">
        <v>33.068762999999997</v>
      </c>
      <c r="C1483">
        <v>1.32</v>
      </c>
      <c r="D1483">
        <v>1.18272</v>
      </c>
      <c r="E1483">
        <v>878761445</v>
      </c>
      <c r="F1483">
        <v>120</v>
      </c>
    </row>
    <row r="1484" spans="1:6" x14ac:dyDescent="0.25">
      <c r="A1484">
        <v>-111.97378999999999</v>
      </c>
      <c r="B1484">
        <v>33.068770999999998</v>
      </c>
      <c r="C1484">
        <v>1.5049999999999999</v>
      </c>
      <c r="D1484">
        <v>1.3484799999999999</v>
      </c>
      <c r="E1484">
        <v>878761447</v>
      </c>
      <c r="F1484">
        <v>120</v>
      </c>
    </row>
    <row r="1485" spans="1:6" x14ac:dyDescent="0.25">
      <c r="A1485">
        <v>-111.973789</v>
      </c>
      <c r="B1485">
        <v>33.068778000000002</v>
      </c>
      <c r="C1485">
        <v>1.395</v>
      </c>
      <c r="D1485">
        <v>1.2499199999999999</v>
      </c>
      <c r="E1485">
        <v>878761449</v>
      </c>
      <c r="F1485">
        <v>120</v>
      </c>
    </row>
    <row r="1486" spans="1:6" x14ac:dyDescent="0.25">
      <c r="A1486">
        <v>-111.973788</v>
      </c>
      <c r="B1486">
        <v>33.068786000000003</v>
      </c>
      <c r="C1486">
        <v>0.08</v>
      </c>
      <c r="D1486">
        <v>7.1679999999999994E-2</v>
      </c>
      <c r="E1486">
        <v>878761451</v>
      </c>
      <c r="F1486">
        <v>120</v>
      </c>
    </row>
    <row r="1487" spans="1:6" x14ac:dyDescent="0.25">
      <c r="A1487">
        <v>-111.973787</v>
      </c>
      <c r="B1487">
        <v>33.068817000000003</v>
      </c>
      <c r="C1487">
        <v>5.0000000000000001E-3</v>
      </c>
      <c r="D1487">
        <v>4.4799999999999996E-3</v>
      </c>
      <c r="E1487">
        <v>878761459</v>
      </c>
      <c r="F1487">
        <v>120</v>
      </c>
    </row>
    <row r="1488" spans="1:6" x14ac:dyDescent="0.25">
      <c r="A1488">
        <v>-111.973787</v>
      </c>
      <c r="B1488">
        <v>33.068840999999999</v>
      </c>
      <c r="C1488">
        <v>5.0000000000000001E-3</v>
      </c>
      <c r="D1488">
        <v>4.4799999999999996E-3</v>
      </c>
      <c r="E1488">
        <v>878761465</v>
      </c>
      <c r="F1488">
        <v>120</v>
      </c>
    </row>
    <row r="1489" spans="1:6" x14ac:dyDescent="0.25">
      <c r="A1489">
        <v>-111.973789</v>
      </c>
      <c r="B1489">
        <v>33.068865000000002</v>
      </c>
      <c r="C1489">
        <v>2.5000000000000001E-2</v>
      </c>
      <c r="D1489">
        <v>2.24E-2</v>
      </c>
      <c r="E1489">
        <v>878761471</v>
      </c>
      <c r="F1489">
        <v>120</v>
      </c>
    </row>
    <row r="1490" spans="1:6" x14ac:dyDescent="0.25">
      <c r="A1490">
        <v>-111.973788</v>
      </c>
      <c r="B1490">
        <v>33.068873000000004</v>
      </c>
      <c r="C1490">
        <v>0.61</v>
      </c>
      <c r="D1490">
        <v>0.54656000000000005</v>
      </c>
      <c r="E1490">
        <v>878761473</v>
      </c>
      <c r="F1490">
        <v>120</v>
      </c>
    </row>
    <row r="1491" spans="1:6" x14ac:dyDescent="0.25">
      <c r="A1491">
        <v>-111.973788</v>
      </c>
      <c r="B1491">
        <v>33.06888</v>
      </c>
      <c r="C1491">
        <v>1.77</v>
      </c>
      <c r="D1491">
        <v>1.58592</v>
      </c>
      <c r="E1491">
        <v>878761475</v>
      </c>
      <c r="F1491">
        <v>120</v>
      </c>
    </row>
    <row r="1492" spans="1:6" x14ac:dyDescent="0.25">
      <c r="A1492">
        <v>-111.97378999999999</v>
      </c>
      <c r="B1492">
        <v>33.068888999999999</v>
      </c>
      <c r="C1492">
        <v>1.4850000000000001</v>
      </c>
      <c r="D1492">
        <v>1.33056</v>
      </c>
      <c r="E1492">
        <v>878761477</v>
      </c>
      <c r="F1492">
        <v>120</v>
      </c>
    </row>
    <row r="1493" spans="1:6" x14ac:dyDescent="0.25">
      <c r="A1493">
        <v>-111.97379100000001</v>
      </c>
      <c r="B1493">
        <v>33.068897</v>
      </c>
      <c r="C1493">
        <v>1.38</v>
      </c>
      <c r="D1493">
        <v>1.23648</v>
      </c>
      <c r="E1493">
        <v>878761479</v>
      </c>
      <c r="F1493">
        <v>120</v>
      </c>
    </row>
    <row r="1494" spans="1:6" x14ac:dyDescent="0.25">
      <c r="A1494">
        <v>-111.97379100000001</v>
      </c>
      <c r="B1494">
        <v>33.068904000000003</v>
      </c>
      <c r="C1494">
        <v>0.99</v>
      </c>
      <c r="D1494">
        <v>0.88704000000000005</v>
      </c>
      <c r="E1494">
        <v>878761481</v>
      </c>
      <c r="F1494">
        <v>120</v>
      </c>
    </row>
    <row r="1495" spans="1:6" x14ac:dyDescent="0.25">
      <c r="A1495">
        <v>-111.97378999999999</v>
      </c>
      <c r="B1495">
        <v>33.068913000000002</v>
      </c>
      <c r="C1495">
        <v>0.79500000000000004</v>
      </c>
      <c r="D1495">
        <v>0.71231999999999995</v>
      </c>
      <c r="E1495">
        <v>878761483</v>
      </c>
      <c r="F1495">
        <v>120</v>
      </c>
    </row>
    <row r="1496" spans="1:6" x14ac:dyDescent="0.25">
      <c r="A1496">
        <v>-111.973789</v>
      </c>
      <c r="B1496">
        <v>33.068919999999999</v>
      </c>
      <c r="C1496">
        <v>0.86499999999999999</v>
      </c>
      <c r="D1496">
        <v>0.77503999999999995</v>
      </c>
      <c r="E1496">
        <v>878761485</v>
      </c>
      <c r="F1496">
        <v>120</v>
      </c>
    </row>
    <row r="1497" spans="1:6" x14ac:dyDescent="0.25">
      <c r="A1497">
        <v>-111.973788</v>
      </c>
      <c r="B1497">
        <v>33.068927000000002</v>
      </c>
      <c r="C1497">
        <v>1.3049999999999999</v>
      </c>
      <c r="D1497">
        <v>1.1692800000000001</v>
      </c>
      <c r="E1497">
        <v>878761487</v>
      </c>
      <c r="F1497">
        <v>120</v>
      </c>
    </row>
    <row r="1498" spans="1:6" x14ac:dyDescent="0.25">
      <c r="A1498">
        <v>-111.973788</v>
      </c>
      <c r="B1498">
        <v>33.068935000000003</v>
      </c>
      <c r="C1498">
        <v>0.745</v>
      </c>
      <c r="D1498">
        <v>0.66752</v>
      </c>
      <c r="E1498">
        <v>878761489</v>
      </c>
      <c r="F1498">
        <v>120</v>
      </c>
    </row>
    <row r="1499" spans="1:6" x14ac:dyDescent="0.25">
      <c r="A1499">
        <v>-111.973789</v>
      </c>
      <c r="B1499">
        <v>33.068942999999997</v>
      </c>
      <c r="C1499">
        <v>0.95</v>
      </c>
      <c r="D1499">
        <v>0.85119999999999996</v>
      </c>
      <c r="E1499">
        <v>878761491</v>
      </c>
      <c r="F1499">
        <v>120</v>
      </c>
    </row>
    <row r="1500" spans="1:6" x14ac:dyDescent="0.25">
      <c r="A1500">
        <v>-111.973789</v>
      </c>
      <c r="B1500">
        <v>33.068950999999998</v>
      </c>
      <c r="C1500">
        <v>0.77</v>
      </c>
      <c r="D1500">
        <v>0.68991999999999998</v>
      </c>
      <c r="E1500">
        <v>878761493</v>
      </c>
      <c r="F1500">
        <v>120</v>
      </c>
    </row>
    <row r="1501" spans="1:6" x14ac:dyDescent="0.25">
      <c r="A1501">
        <v>-111.973789</v>
      </c>
      <c r="B1501">
        <v>33.068958000000002</v>
      </c>
      <c r="C1501">
        <v>0.95499999999999996</v>
      </c>
      <c r="D1501">
        <v>0.85568</v>
      </c>
      <c r="E1501">
        <v>878761495</v>
      </c>
      <c r="F1501">
        <v>120</v>
      </c>
    </row>
    <row r="1502" spans="1:6" x14ac:dyDescent="0.25">
      <c r="A1502">
        <v>-111.97378999999999</v>
      </c>
      <c r="B1502">
        <v>33.068966000000003</v>
      </c>
      <c r="C1502">
        <v>0.82499999999999996</v>
      </c>
      <c r="D1502">
        <v>0.73919999999999997</v>
      </c>
      <c r="E1502">
        <v>878761497</v>
      </c>
      <c r="F1502">
        <v>120</v>
      </c>
    </row>
    <row r="1503" spans="1:6" x14ac:dyDescent="0.25">
      <c r="A1503">
        <v>-111.973789</v>
      </c>
      <c r="B1503">
        <v>33.068973999999997</v>
      </c>
      <c r="C1503">
        <v>0.77</v>
      </c>
      <c r="D1503">
        <v>0.68991999999999998</v>
      </c>
      <c r="E1503">
        <v>878761499</v>
      </c>
      <c r="F1503">
        <v>120</v>
      </c>
    </row>
    <row r="1504" spans="1:6" x14ac:dyDescent="0.25">
      <c r="A1504">
        <v>-111.973789</v>
      </c>
      <c r="B1504">
        <v>33.068981000000001</v>
      </c>
      <c r="C1504">
        <v>1.1000000000000001</v>
      </c>
      <c r="D1504">
        <v>0.98560000000000003</v>
      </c>
      <c r="E1504">
        <v>878761501</v>
      </c>
      <c r="F1504">
        <v>120</v>
      </c>
    </row>
    <row r="1505" spans="1:6" x14ac:dyDescent="0.25">
      <c r="A1505">
        <v>-111.973789</v>
      </c>
      <c r="B1505">
        <v>33.068989999999999</v>
      </c>
      <c r="C1505">
        <v>1.1299999999999999</v>
      </c>
      <c r="D1505">
        <v>1.01248</v>
      </c>
      <c r="E1505">
        <v>878761503</v>
      </c>
      <c r="F1505">
        <v>120</v>
      </c>
    </row>
    <row r="1506" spans="1:6" x14ac:dyDescent="0.25">
      <c r="A1506">
        <v>-111.973789</v>
      </c>
      <c r="B1506">
        <v>33.068997000000003</v>
      </c>
      <c r="C1506">
        <v>0.95499999999999996</v>
      </c>
      <c r="D1506">
        <v>0.85568</v>
      </c>
      <c r="E1506">
        <v>878761505</v>
      </c>
      <c r="F1506">
        <v>120</v>
      </c>
    </row>
    <row r="1507" spans="1:6" x14ac:dyDescent="0.25">
      <c r="A1507">
        <v>-111.973789</v>
      </c>
      <c r="B1507">
        <v>33.069006000000002</v>
      </c>
      <c r="C1507">
        <v>0.9</v>
      </c>
      <c r="D1507">
        <v>0.80640000000000001</v>
      </c>
      <c r="E1507">
        <v>878761507</v>
      </c>
      <c r="F1507">
        <v>120</v>
      </c>
    </row>
    <row r="1508" spans="1:6" x14ac:dyDescent="0.25">
      <c r="A1508">
        <v>-111.973789</v>
      </c>
      <c r="B1508">
        <v>33.069014000000003</v>
      </c>
      <c r="C1508">
        <v>0.95499999999999996</v>
      </c>
      <c r="D1508">
        <v>0.85568</v>
      </c>
      <c r="E1508">
        <v>878761509</v>
      </c>
      <c r="F1508">
        <v>120</v>
      </c>
    </row>
    <row r="1509" spans="1:6" x14ac:dyDescent="0.25">
      <c r="A1509">
        <v>-111.973789</v>
      </c>
      <c r="B1509">
        <v>33.069020999999999</v>
      </c>
      <c r="C1509">
        <v>1.1850000000000001</v>
      </c>
      <c r="D1509">
        <v>1.06176</v>
      </c>
      <c r="E1509">
        <v>878761511</v>
      </c>
      <c r="F1509">
        <v>120</v>
      </c>
    </row>
    <row r="1510" spans="1:6" x14ac:dyDescent="0.25">
      <c r="A1510">
        <v>-111.973789</v>
      </c>
      <c r="B1510">
        <v>33.069028000000003</v>
      </c>
      <c r="C1510">
        <v>0.1</v>
      </c>
      <c r="D1510">
        <v>8.9599999999999999E-2</v>
      </c>
      <c r="E1510">
        <v>878761513</v>
      </c>
      <c r="F1510">
        <v>120</v>
      </c>
    </row>
    <row r="1511" spans="1:6" x14ac:dyDescent="0.25">
      <c r="A1511">
        <v>-111.973789</v>
      </c>
      <c r="B1511">
        <v>33.069028000000003</v>
      </c>
      <c r="C1511">
        <v>5.0000000000000001E-3</v>
      </c>
      <c r="D1511">
        <v>4.4799999999999996E-3</v>
      </c>
      <c r="E1511">
        <v>878761515</v>
      </c>
      <c r="F1511">
        <v>120</v>
      </c>
    </row>
    <row r="1512" spans="1:6" x14ac:dyDescent="0.25">
      <c r="A1512">
        <v>-111.973789</v>
      </c>
      <c r="B1512">
        <v>33.069034000000002</v>
      </c>
      <c r="C1512">
        <v>5.0000000000000001E-3</v>
      </c>
      <c r="D1512">
        <v>4.4799999999999996E-3</v>
      </c>
      <c r="E1512">
        <v>878761523</v>
      </c>
      <c r="F1512">
        <v>120</v>
      </c>
    </row>
    <row r="1513" spans="1:6" x14ac:dyDescent="0.25">
      <c r="A1513">
        <v>-111.973788</v>
      </c>
      <c r="B1513">
        <v>33.069043000000001</v>
      </c>
      <c r="C1513">
        <v>5.0000000000000001E-3</v>
      </c>
      <c r="D1513">
        <v>4.4799999999999996E-3</v>
      </c>
      <c r="E1513">
        <v>878761525</v>
      </c>
      <c r="F1513">
        <v>120</v>
      </c>
    </row>
    <row r="1514" spans="1:6" x14ac:dyDescent="0.25">
      <c r="A1514">
        <v>-111.973788</v>
      </c>
      <c r="B1514">
        <v>33.069051000000002</v>
      </c>
      <c r="C1514">
        <v>0.01</v>
      </c>
      <c r="D1514">
        <v>8.9599999999999992E-3</v>
      </c>
      <c r="E1514">
        <v>878761527</v>
      </c>
      <c r="F1514">
        <v>120</v>
      </c>
    </row>
    <row r="1515" spans="1:6" x14ac:dyDescent="0.25">
      <c r="A1515">
        <v>-111.973831</v>
      </c>
      <c r="B1515">
        <v>33.069031000000003</v>
      </c>
      <c r="C1515">
        <v>5.0000000000000001E-3</v>
      </c>
      <c r="D1515">
        <v>4.4799999999999996E-3</v>
      </c>
      <c r="E1515">
        <v>878761569</v>
      </c>
      <c r="F1515">
        <v>120</v>
      </c>
    </row>
    <row r="1516" spans="1:6" x14ac:dyDescent="0.25">
      <c r="A1516">
        <v>-111.973832</v>
      </c>
      <c r="B1516">
        <v>33.069025000000003</v>
      </c>
      <c r="C1516">
        <v>0.31</v>
      </c>
      <c r="D1516">
        <v>0.27776000000000001</v>
      </c>
      <c r="E1516">
        <v>878761571</v>
      </c>
      <c r="F1516">
        <v>120</v>
      </c>
    </row>
    <row r="1517" spans="1:6" x14ac:dyDescent="0.25">
      <c r="A1517">
        <v>-111.973831</v>
      </c>
      <c r="B1517">
        <v>33.069020000000002</v>
      </c>
      <c r="C1517">
        <v>0.94</v>
      </c>
      <c r="D1517">
        <v>0.84223999999999999</v>
      </c>
      <c r="E1517">
        <v>878761573</v>
      </c>
      <c r="F1517">
        <v>120</v>
      </c>
    </row>
    <row r="1518" spans="1:6" x14ac:dyDescent="0.25">
      <c r="A1518">
        <v>-111.973831</v>
      </c>
      <c r="B1518">
        <v>33.069012999999998</v>
      </c>
      <c r="C1518">
        <v>0.26</v>
      </c>
      <c r="D1518">
        <v>0.23296</v>
      </c>
      <c r="E1518">
        <v>878761575</v>
      </c>
      <c r="F1518">
        <v>120</v>
      </c>
    </row>
    <row r="1519" spans="1:6" x14ac:dyDescent="0.25">
      <c r="A1519">
        <v>-111.973832</v>
      </c>
      <c r="B1519">
        <v>33.069006000000002</v>
      </c>
      <c r="C1519">
        <v>1.385</v>
      </c>
      <c r="D1519">
        <v>1.2409600000000001</v>
      </c>
      <c r="E1519">
        <v>878761577</v>
      </c>
      <c r="F1519">
        <v>120</v>
      </c>
    </row>
    <row r="1520" spans="1:6" x14ac:dyDescent="0.25">
      <c r="A1520">
        <v>-111.973833</v>
      </c>
      <c r="B1520">
        <v>33.068998000000001</v>
      </c>
      <c r="C1520">
        <v>0.89</v>
      </c>
      <c r="D1520">
        <v>0.79744000000000004</v>
      </c>
      <c r="E1520">
        <v>878761579</v>
      </c>
      <c r="F1520">
        <v>120</v>
      </c>
    </row>
    <row r="1521" spans="1:6" x14ac:dyDescent="0.25">
      <c r="A1521">
        <v>-111.973832</v>
      </c>
      <c r="B1521">
        <v>33.068989999999999</v>
      </c>
      <c r="C1521">
        <v>0.74</v>
      </c>
      <c r="D1521">
        <v>0.66303999999999996</v>
      </c>
      <c r="E1521">
        <v>878761581</v>
      </c>
      <c r="F1521">
        <v>120</v>
      </c>
    </row>
    <row r="1522" spans="1:6" x14ac:dyDescent="0.25">
      <c r="A1522">
        <v>-111.973831</v>
      </c>
      <c r="B1522">
        <v>33.068983000000003</v>
      </c>
      <c r="C1522">
        <v>1.095</v>
      </c>
      <c r="D1522">
        <v>0.98111999999999999</v>
      </c>
      <c r="E1522">
        <v>878761583</v>
      </c>
      <c r="F1522">
        <v>120</v>
      </c>
    </row>
    <row r="1523" spans="1:6" x14ac:dyDescent="0.25">
      <c r="A1523">
        <v>-111.973831</v>
      </c>
      <c r="B1523">
        <v>33.068975000000002</v>
      </c>
      <c r="C1523">
        <v>0.67</v>
      </c>
      <c r="D1523">
        <v>0.60031999999999996</v>
      </c>
      <c r="E1523">
        <v>878761585</v>
      </c>
      <c r="F1523">
        <v>120</v>
      </c>
    </row>
    <row r="1524" spans="1:6" x14ac:dyDescent="0.25">
      <c r="A1524">
        <v>-111.973831</v>
      </c>
      <c r="B1524">
        <v>33.068967999999998</v>
      </c>
      <c r="C1524">
        <v>0.62</v>
      </c>
      <c r="D1524">
        <v>0.55552000000000001</v>
      </c>
      <c r="E1524">
        <v>878761587</v>
      </c>
      <c r="F1524">
        <v>120</v>
      </c>
    </row>
    <row r="1525" spans="1:6" x14ac:dyDescent="0.25">
      <c r="A1525">
        <v>-111.973831</v>
      </c>
      <c r="B1525">
        <v>33.068959999999997</v>
      </c>
      <c r="C1525">
        <v>0.66500000000000004</v>
      </c>
      <c r="D1525">
        <v>0.59584000000000004</v>
      </c>
      <c r="E1525">
        <v>878761589</v>
      </c>
      <c r="F1525">
        <v>120</v>
      </c>
    </row>
    <row r="1526" spans="1:6" x14ac:dyDescent="0.25">
      <c r="A1526">
        <v>-111.973832</v>
      </c>
      <c r="B1526">
        <v>33.068953</v>
      </c>
      <c r="C1526">
        <v>0.88500000000000001</v>
      </c>
      <c r="D1526">
        <v>0.79296</v>
      </c>
      <c r="E1526">
        <v>878761591</v>
      </c>
      <c r="F1526">
        <v>120</v>
      </c>
    </row>
    <row r="1527" spans="1:6" x14ac:dyDescent="0.25">
      <c r="A1527">
        <v>-111.973831</v>
      </c>
      <c r="B1527">
        <v>33.068944999999999</v>
      </c>
      <c r="C1527">
        <v>0.9</v>
      </c>
      <c r="D1527">
        <v>0.80640000000000001</v>
      </c>
      <c r="E1527">
        <v>878761593</v>
      </c>
      <c r="F1527">
        <v>120</v>
      </c>
    </row>
    <row r="1528" spans="1:6" x14ac:dyDescent="0.25">
      <c r="A1528">
        <v>-111.973831</v>
      </c>
      <c r="B1528">
        <v>33.068936999999998</v>
      </c>
      <c r="C1528">
        <v>0.63500000000000001</v>
      </c>
      <c r="D1528">
        <v>0.56896000000000002</v>
      </c>
      <c r="E1528">
        <v>878761595</v>
      </c>
      <c r="F1528">
        <v>120</v>
      </c>
    </row>
    <row r="1529" spans="1:6" x14ac:dyDescent="0.25">
      <c r="A1529">
        <v>-111.973832</v>
      </c>
      <c r="B1529">
        <v>33.068930000000002</v>
      </c>
      <c r="C1529">
        <v>0.78</v>
      </c>
      <c r="D1529">
        <v>0.69887999999999995</v>
      </c>
      <c r="E1529">
        <v>878761597</v>
      </c>
      <c r="F1529">
        <v>120</v>
      </c>
    </row>
    <row r="1530" spans="1:6" x14ac:dyDescent="0.25">
      <c r="A1530">
        <v>-111.973831</v>
      </c>
      <c r="B1530">
        <v>33.068922000000001</v>
      </c>
      <c r="C1530">
        <v>0.69</v>
      </c>
      <c r="D1530">
        <v>0.61824000000000001</v>
      </c>
      <c r="E1530">
        <v>878761599</v>
      </c>
      <c r="F1530">
        <v>120</v>
      </c>
    </row>
    <row r="1531" spans="1:6" x14ac:dyDescent="0.25">
      <c r="A1531">
        <v>-111.973831</v>
      </c>
      <c r="B1531">
        <v>33.068913999999999</v>
      </c>
      <c r="C1531">
        <v>0.51500000000000001</v>
      </c>
      <c r="D1531">
        <v>0.46144000000000002</v>
      </c>
      <c r="E1531">
        <v>878761601</v>
      </c>
      <c r="F1531">
        <v>120</v>
      </c>
    </row>
    <row r="1532" spans="1:6" x14ac:dyDescent="0.25">
      <c r="A1532">
        <v>-111.973831</v>
      </c>
      <c r="B1532">
        <v>33.068907000000003</v>
      </c>
      <c r="C1532">
        <v>0.73499999999999999</v>
      </c>
      <c r="D1532">
        <v>0.65856000000000003</v>
      </c>
      <c r="E1532">
        <v>878761603</v>
      </c>
      <c r="F1532">
        <v>120</v>
      </c>
    </row>
    <row r="1533" spans="1:6" x14ac:dyDescent="0.25">
      <c r="A1533">
        <v>-111.973831</v>
      </c>
      <c r="B1533">
        <v>33.068899000000002</v>
      </c>
      <c r="C1533">
        <v>0.88</v>
      </c>
      <c r="D1533">
        <v>0.78847999999999996</v>
      </c>
      <c r="E1533">
        <v>878761605</v>
      </c>
      <c r="F1533">
        <v>120</v>
      </c>
    </row>
    <row r="1534" spans="1:6" x14ac:dyDescent="0.25">
      <c r="A1534">
        <v>-111.973831</v>
      </c>
      <c r="B1534">
        <v>33.068891000000001</v>
      </c>
      <c r="C1534">
        <v>0.69</v>
      </c>
      <c r="D1534">
        <v>0.61824000000000001</v>
      </c>
      <c r="E1534">
        <v>878761607</v>
      </c>
      <c r="F1534">
        <v>120</v>
      </c>
    </row>
    <row r="1535" spans="1:6" x14ac:dyDescent="0.25">
      <c r="A1535">
        <v>-111.973831</v>
      </c>
      <c r="B1535">
        <v>33.068883999999997</v>
      </c>
      <c r="C1535">
        <v>0.73499999999999999</v>
      </c>
      <c r="D1535">
        <v>0.65856000000000003</v>
      </c>
      <c r="E1535">
        <v>878761609</v>
      </c>
      <c r="F1535">
        <v>120</v>
      </c>
    </row>
    <row r="1536" spans="1:6" x14ac:dyDescent="0.25">
      <c r="A1536">
        <v>-111.973831</v>
      </c>
      <c r="B1536">
        <v>33.068877000000001</v>
      </c>
      <c r="C1536">
        <v>1.105</v>
      </c>
      <c r="D1536">
        <v>0.99007999999999996</v>
      </c>
      <c r="E1536">
        <v>878761611</v>
      </c>
      <c r="F1536">
        <v>120</v>
      </c>
    </row>
    <row r="1537" spans="1:6" x14ac:dyDescent="0.25">
      <c r="A1537">
        <v>-111.973831</v>
      </c>
      <c r="B1537">
        <v>33.068868999999999</v>
      </c>
      <c r="C1537">
        <v>0.97</v>
      </c>
      <c r="D1537">
        <v>0.86912</v>
      </c>
      <c r="E1537">
        <v>878761613</v>
      </c>
      <c r="F1537">
        <v>120</v>
      </c>
    </row>
    <row r="1538" spans="1:6" x14ac:dyDescent="0.25">
      <c r="A1538">
        <v>-111.973832</v>
      </c>
      <c r="B1538">
        <v>33.068860999999998</v>
      </c>
      <c r="C1538">
        <v>1.5449999999999999</v>
      </c>
      <c r="D1538">
        <v>1.38432</v>
      </c>
      <c r="E1538">
        <v>878761615</v>
      </c>
      <c r="F1538">
        <v>120</v>
      </c>
    </row>
    <row r="1539" spans="1:6" x14ac:dyDescent="0.25">
      <c r="A1539">
        <v>-111.973832</v>
      </c>
      <c r="B1539">
        <v>33.068854999999999</v>
      </c>
      <c r="C1539">
        <v>0.46500000000000002</v>
      </c>
      <c r="D1539">
        <v>0.41664000000000001</v>
      </c>
      <c r="E1539">
        <v>878761617</v>
      </c>
      <c r="F1539">
        <v>120</v>
      </c>
    </row>
    <row r="1540" spans="1:6" x14ac:dyDescent="0.25">
      <c r="A1540">
        <v>-111.973832</v>
      </c>
      <c r="B1540">
        <v>33.068846000000001</v>
      </c>
      <c r="C1540">
        <v>5.0000000000000001E-3</v>
      </c>
      <c r="D1540">
        <v>4.4799999999999996E-3</v>
      </c>
      <c r="E1540">
        <v>878761619</v>
      </c>
      <c r="F1540">
        <v>120</v>
      </c>
    </row>
    <row r="1541" spans="1:6" x14ac:dyDescent="0.25">
      <c r="A1541">
        <v>-111.973834</v>
      </c>
      <c r="B1541">
        <v>33.068840000000002</v>
      </c>
      <c r="C1541">
        <v>5.0000000000000001E-3</v>
      </c>
      <c r="D1541">
        <v>4.4799999999999996E-3</v>
      </c>
      <c r="E1541">
        <v>878761621</v>
      </c>
      <c r="F1541">
        <v>120</v>
      </c>
    </row>
    <row r="1542" spans="1:6" x14ac:dyDescent="0.25">
      <c r="A1542">
        <v>-111.973834</v>
      </c>
      <c r="B1542">
        <v>33.068809000000002</v>
      </c>
      <c r="C1542">
        <v>5.0000000000000001E-3</v>
      </c>
      <c r="D1542">
        <v>4.4799999999999996E-3</v>
      </c>
      <c r="E1542">
        <v>878761629</v>
      </c>
      <c r="F1542">
        <v>120</v>
      </c>
    </row>
    <row r="1543" spans="1:6" x14ac:dyDescent="0.25">
      <c r="A1543">
        <v>-111.973832</v>
      </c>
      <c r="B1543">
        <v>33.068770000000001</v>
      </c>
      <c r="C1543">
        <v>0.44</v>
      </c>
      <c r="D1543">
        <v>0.39423999999999998</v>
      </c>
      <c r="E1543">
        <v>878761639</v>
      </c>
      <c r="F1543">
        <v>120</v>
      </c>
    </row>
    <row r="1544" spans="1:6" x14ac:dyDescent="0.25">
      <c r="A1544">
        <v>-111.973833</v>
      </c>
      <c r="B1544">
        <v>33.068762999999997</v>
      </c>
      <c r="C1544">
        <v>0.5</v>
      </c>
      <c r="D1544">
        <v>0.44800000000000001</v>
      </c>
      <c r="E1544">
        <v>878761641</v>
      </c>
      <c r="F1544">
        <v>120</v>
      </c>
    </row>
    <row r="1545" spans="1:6" x14ac:dyDescent="0.25">
      <c r="A1545">
        <v>-111.973833</v>
      </c>
      <c r="B1545">
        <v>33.068756</v>
      </c>
      <c r="C1545">
        <v>1.57</v>
      </c>
      <c r="D1545">
        <v>1.40672</v>
      </c>
      <c r="E1545">
        <v>878761643</v>
      </c>
      <c r="F1545">
        <v>120</v>
      </c>
    </row>
    <row r="1546" spans="1:6" x14ac:dyDescent="0.25">
      <c r="A1546">
        <v>-111.973833</v>
      </c>
      <c r="B1546">
        <v>33.068748999999997</v>
      </c>
      <c r="C1546">
        <v>1.605</v>
      </c>
      <c r="D1546">
        <v>1.43808</v>
      </c>
      <c r="E1546">
        <v>878761645</v>
      </c>
      <c r="F1546">
        <v>120</v>
      </c>
    </row>
    <row r="1547" spans="1:6" x14ac:dyDescent="0.25">
      <c r="A1547">
        <v>-111.973831</v>
      </c>
      <c r="B1547">
        <v>33.068741000000003</v>
      </c>
      <c r="C1547">
        <v>1.3049999999999999</v>
      </c>
      <c r="D1547">
        <v>1.1692800000000001</v>
      </c>
      <c r="E1547">
        <v>878761647</v>
      </c>
      <c r="F1547">
        <v>120</v>
      </c>
    </row>
    <row r="1548" spans="1:6" x14ac:dyDescent="0.25">
      <c r="A1548">
        <v>-111.973831</v>
      </c>
      <c r="B1548">
        <v>33.068733000000002</v>
      </c>
      <c r="C1548">
        <v>1.1850000000000001</v>
      </c>
      <c r="D1548">
        <v>1.06176</v>
      </c>
      <c r="E1548">
        <v>878761649</v>
      </c>
      <c r="F1548">
        <v>120</v>
      </c>
    </row>
    <row r="1549" spans="1:6" x14ac:dyDescent="0.25">
      <c r="A1549">
        <v>-111.973832</v>
      </c>
      <c r="B1549">
        <v>33.068725999999998</v>
      </c>
      <c r="C1549">
        <v>1.45</v>
      </c>
      <c r="D1549">
        <v>1.2991999999999999</v>
      </c>
      <c r="E1549">
        <v>878761651</v>
      </c>
      <c r="F1549">
        <v>120</v>
      </c>
    </row>
    <row r="1550" spans="1:6" x14ac:dyDescent="0.25">
      <c r="A1550">
        <v>-111.973832</v>
      </c>
      <c r="B1550">
        <v>33.068719000000002</v>
      </c>
      <c r="C1550">
        <v>0.69499999999999995</v>
      </c>
      <c r="D1550">
        <v>0.62272000000000005</v>
      </c>
      <c r="E1550">
        <v>878761653</v>
      </c>
      <c r="F1550">
        <v>120</v>
      </c>
    </row>
    <row r="1551" spans="1:6" x14ac:dyDescent="0.25">
      <c r="A1551">
        <v>-111.973832</v>
      </c>
      <c r="B1551">
        <v>33.068711</v>
      </c>
      <c r="C1551">
        <v>1.395</v>
      </c>
      <c r="D1551">
        <v>1.2499199999999999</v>
      </c>
      <c r="E1551">
        <v>878761655</v>
      </c>
      <c r="F1551">
        <v>120</v>
      </c>
    </row>
    <row r="1552" spans="1:6" x14ac:dyDescent="0.25">
      <c r="A1552">
        <v>-111.973832</v>
      </c>
      <c r="B1552">
        <v>33.068705000000001</v>
      </c>
      <c r="C1552">
        <v>0.97</v>
      </c>
      <c r="D1552">
        <v>0.86912</v>
      </c>
      <c r="E1552">
        <v>878761657</v>
      </c>
      <c r="F1552">
        <v>120</v>
      </c>
    </row>
    <row r="1553" spans="1:6" x14ac:dyDescent="0.25">
      <c r="A1553">
        <v>-111.973832</v>
      </c>
      <c r="B1553">
        <v>33.068697</v>
      </c>
      <c r="C1553">
        <v>1.2450000000000001</v>
      </c>
      <c r="D1553">
        <v>1.1155200000000001</v>
      </c>
      <c r="E1553">
        <v>878761659</v>
      </c>
      <c r="F1553">
        <v>120</v>
      </c>
    </row>
    <row r="1554" spans="1:6" x14ac:dyDescent="0.25">
      <c r="A1554">
        <v>-111.973832</v>
      </c>
      <c r="B1554">
        <v>33.068689999999997</v>
      </c>
      <c r="C1554">
        <v>1.0049999999999999</v>
      </c>
      <c r="D1554">
        <v>0.90047999999999995</v>
      </c>
      <c r="E1554">
        <v>878761661</v>
      </c>
      <c r="F1554">
        <v>120</v>
      </c>
    </row>
    <row r="1555" spans="1:6" x14ac:dyDescent="0.25">
      <c r="A1555">
        <v>-111.973832</v>
      </c>
      <c r="B1555">
        <v>33.068682000000003</v>
      </c>
      <c r="C1555">
        <v>0.89500000000000002</v>
      </c>
      <c r="D1555">
        <v>0.80191999999999997</v>
      </c>
      <c r="E1555">
        <v>878761663</v>
      </c>
      <c r="F1555">
        <v>120</v>
      </c>
    </row>
    <row r="1556" spans="1:6" x14ac:dyDescent="0.25">
      <c r="A1556">
        <v>-111.973832</v>
      </c>
      <c r="B1556">
        <v>33.068674999999999</v>
      </c>
      <c r="C1556">
        <v>0.92</v>
      </c>
      <c r="D1556">
        <v>0.82432000000000005</v>
      </c>
      <c r="E1556">
        <v>878761665</v>
      </c>
      <c r="F1556">
        <v>120</v>
      </c>
    </row>
    <row r="1557" spans="1:6" x14ac:dyDescent="0.25">
      <c r="A1557">
        <v>-111.973832</v>
      </c>
      <c r="B1557">
        <v>33.068666999999998</v>
      </c>
      <c r="C1557">
        <v>0.82</v>
      </c>
      <c r="D1557">
        <v>0.73472000000000004</v>
      </c>
      <c r="E1557">
        <v>878761667</v>
      </c>
      <c r="F1557">
        <v>120</v>
      </c>
    </row>
    <row r="1558" spans="1:6" x14ac:dyDescent="0.25">
      <c r="A1558">
        <v>-111.973832</v>
      </c>
      <c r="B1558">
        <v>33.068660000000001</v>
      </c>
      <c r="C1558">
        <v>1.01</v>
      </c>
      <c r="D1558">
        <v>0.90495999999999999</v>
      </c>
      <c r="E1558">
        <v>878761669</v>
      </c>
      <c r="F1558">
        <v>120</v>
      </c>
    </row>
    <row r="1559" spans="1:6" x14ac:dyDescent="0.25">
      <c r="A1559">
        <v>-111.973832</v>
      </c>
      <c r="B1559">
        <v>33.068652</v>
      </c>
      <c r="C1559">
        <v>0.88</v>
      </c>
      <c r="D1559">
        <v>0.78847999999999996</v>
      </c>
      <c r="E1559">
        <v>878761671</v>
      </c>
      <c r="F1559">
        <v>120</v>
      </c>
    </row>
    <row r="1560" spans="1:6" x14ac:dyDescent="0.25">
      <c r="A1560">
        <v>-111.973832</v>
      </c>
      <c r="B1560">
        <v>33.068644999999997</v>
      </c>
      <c r="C1560">
        <v>0.92500000000000004</v>
      </c>
      <c r="D1560">
        <v>0.82879999999999998</v>
      </c>
      <c r="E1560">
        <v>878761673</v>
      </c>
      <c r="F1560">
        <v>120</v>
      </c>
    </row>
    <row r="1561" spans="1:6" x14ac:dyDescent="0.25">
      <c r="A1561">
        <v>-111.973832</v>
      </c>
      <c r="B1561">
        <v>33.068638</v>
      </c>
      <c r="C1561">
        <v>1.2649999999999999</v>
      </c>
      <c r="D1561">
        <v>1.13344</v>
      </c>
      <c r="E1561">
        <v>878761675</v>
      </c>
      <c r="F1561">
        <v>120</v>
      </c>
    </row>
    <row r="1562" spans="1:6" x14ac:dyDescent="0.25">
      <c r="A1562">
        <v>-111.973832</v>
      </c>
      <c r="B1562">
        <v>33.068629999999999</v>
      </c>
      <c r="C1562">
        <v>1.32</v>
      </c>
      <c r="D1562">
        <v>1.18272</v>
      </c>
      <c r="E1562">
        <v>878761677</v>
      </c>
      <c r="F1562">
        <v>120</v>
      </c>
    </row>
    <row r="1563" spans="1:6" x14ac:dyDescent="0.25">
      <c r="A1563">
        <v>-111.973832</v>
      </c>
      <c r="B1563">
        <v>33.068623000000002</v>
      </c>
      <c r="C1563">
        <v>1.37</v>
      </c>
      <c r="D1563">
        <v>1.2275199999999999</v>
      </c>
      <c r="E1563">
        <v>878761679</v>
      </c>
      <c r="F1563">
        <v>120</v>
      </c>
    </row>
    <row r="1564" spans="1:6" x14ac:dyDescent="0.25">
      <c r="A1564">
        <v>-111.973832</v>
      </c>
      <c r="B1564">
        <v>33.068615000000001</v>
      </c>
      <c r="C1564">
        <v>1.2749999999999999</v>
      </c>
      <c r="D1564">
        <v>1.1424000000000001</v>
      </c>
      <c r="E1564">
        <v>878761681</v>
      </c>
      <c r="F1564">
        <v>120</v>
      </c>
    </row>
    <row r="1565" spans="1:6" x14ac:dyDescent="0.25">
      <c r="A1565">
        <v>-111.973831</v>
      </c>
      <c r="B1565">
        <v>33.068612999999999</v>
      </c>
      <c r="C1565">
        <v>0.115</v>
      </c>
      <c r="D1565">
        <v>0.10304000000000001</v>
      </c>
      <c r="E1565">
        <v>878761683</v>
      </c>
      <c r="F1565">
        <v>120</v>
      </c>
    </row>
    <row r="1566" spans="1:6" x14ac:dyDescent="0.25">
      <c r="A1566">
        <v>-111.973831</v>
      </c>
      <c r="B1566">
        <v>33.068612999999999</v>
      </c>
      <c r="C1566">
        <v>5.0000000000000001E-3</v>
      </c>
      <c r="D1566">
        <v>4.4799999999999996E-3</v>
      </c>
      <c r="E1566">
        <v>878761685</v>
      </c>
      <c r="F1566">
        <v>120</v>
      </c>
    </row>
    <row r="1567" spans="1:6" x14ac:dyDescent="0.25">
      <c r="A1567">
        <v>-111.973831</v>
      </c>
      <c r="B1567">
        <v>33.068607999999998</v>
      </c>
      <c r="C1567">
        <v>5.0000000000000001E-3</v>
      </c>
      <c r="D1567">
        <v>4.4799999999999996E-3</v>
      </c>
      <c r="E1567">
        <v>878761693</v>
      </c>
      <c r="F1567">
        <v>120</v>
      </c>
    </row>
    <row r="1568" spans="1:6" x14ac:dyDescent="0.25">
      <c r="A1568">
        <v>-111.973833</v>
      </c>
      <c r="B1568">
        <v>33.068601000000001</v>
      </c>
      <c r="C1568">
        <v>0.19</v>
      </c>
      <c r="D1568">
        <v>0.17024</v>
      </c>
      <c r="E1568">
        <v>878761695</v>
      </c>
      <c r="F1568">
        <v>120</v>
      </c>
    </row>
    <row r="1569" spans="1:6" x14ac:dyDescent="0.25">
      <c r="A1569">
        <v>-111.97383600000001</v>
      </c>
      <c r="B1569">
        <v>33.068593999999997</v>
      </c>
      <c r="C1569">
        <v>0.64</v>
      </c>
      <c r="D1569">
        <v>0.57343999999999995</v>
      </c>
      <c r="E1569">
        <v>878761697</v>
      </c>
      <c r="F1569">
        <v>120</v>
      </c>
    </row>
    <row r="1570" spans="1:6" x14ac:dyDescent="0.25">
      <c r="A1570">
        <v>-111.97383600000001</v>
      </c>
      <c r="B1570">
        <v>33.068587999999998</v>
      </c>
      <c r="C1570">
        <v>2.3650000000000002</v>
      </c>
      <c r="D1570">
        <v>2.11904</v>
      </c>
      <c r="E1570">
        <v>878761699</v>
      </c>
      <c r="F1570">
        <v>120</v>
      </c>
    </row>
    <row r="1571" spans="1:6" x14ac:dyDescent="0.25">
      <c r="A1571">
        <v>-111.97383499999999</v>
      </c>
      <c r="B1571">
        <v>33.068581000000002</v>
      </c>
      <c r="C1571">
        <v>2.69</v>
      </c>
      <c r="D1571">
        <v>2.4102399999999999</v>
      </c>
      <c r="E1571">
        <v>878761701</v>
      </c>
      <c r="F1571">
        <v>120</v>
      </c>
    </row>
    <row r="1572" spans="1:6" x14ac:dyDescent="0.25">
      <c r="A1572">
        <v>-111.973832</v>
      </c>
      <c r="B1572">
        <v>33.068573999999998</v>
      </c>
      <c r="C1572">
        <v>1.2749999999999999</v>
      </c>
      <c r="D1572">
        <v>1.1424000000000001</v>
      </c>
      <c r="E1572">
        <v>878761703</v>
      </c>
      <c r="F1572">
        <v>120</v>
      </c>
    </row>
    <row r="1573" spans="1:6" x14ac:dyDescent="0.25">
      <c r="A1573">
        <v>-111.973832</v>
      </c>
      <c r="B1573">
        <v>33.068567000000002</v>
      </c>
      <c r="C1573">
        <v>0.95499999999999996</v>
      </c>
      <c r="D1573">
        <v>0.85568</v>
      </c>
      <c r="E1573">
        <v>878761705</v>
      </c>
      <c r="F1573">
        <v>120</v>
      </c>
    </row>
    <row r="1574" spans="1:6" x14ac:dyDescent="0.25">
      <c r="A1574">
        <v>-111.973832</v>
      </c>
      <c r="B1574">
        <v>33.068559999999998</v>
      </c>
      <c r="C1574">
        <v>0.86</v>
      </c>
      <c r="D1574">
        <v>0.77056000000000002</v>
      </c>
      <c r="E1574">
        <v>878761707</v>
      </c>
      <c r="F1574">
        <v>120</v>
      </c>
    </row>
    <row r="1575" spans="1:6" x14ac:dyDescent="0.25">
      <c r="A1575">
        <v>-111.973832</v>
      </c>
      <c r="B1575">
        <v>33.068553000000001</v>
      </c>
      <c r="C1575">
        <v>1.0149999999999999</v>
      </c>
      <c r="D1575">
        <v>0.90944000000000003</v>
      </c>
      <c r="E1575">
        <v>878761709</v>
      </c>
      <c r="F1575">
        <v>120</v>
      </c>
    </row>
    <row r="1576" spans="1:6" x14ac:dyDescent="0.25">
      <c r="A1576">
        <v>-111.973833</v>
      </c>
      <c r="B1576">
        <v>33.068545999999998</v>
      </c>
      <c r="C1576">
        <v>1.155</v>
      </c>
      <c r="D1576">
        <v>1.03488</v>
      </c>
      <c r="E1576">
        <v>878761711</v>
      </c>
      <c r="F1576">
        <v>120</v>
      </c>
    </row>
    <row r="1577" spans="1:6" x14ac:dyDescent="0.25">
      <c r="A1577">
        <v>-111.973833</v>
      </c>
      <c r="B1577">
        <v>33.068539999999999</v>
      </c>
      <c r="C1577">
        <v>1.2749999999999999</v>
      </c>
      <c r="D1577">
        <v>1.1424000000000001</v>
      </c>
      <c r="E1577">
        <v>878761713</v>
      </c>
      <c r="F1577">
        <v>120</v>
      </c>
    </row>
    <row r="1578" spans="1:6" x14ac:dyDescent="0.25">
      <c r="A1578">
        <v>-111.973832</v>
      </c>
      <c r="B1578">
        <v>33.068533000000002</v>
      </c>
      <c r="C1578">
        <v>1.24</v>
      </c>
      <c r="D1578">
        <v>1.11104</v>
      </c>
      <c r="E1578">
        <v>878761715</v>
      </c>
      <c r="F1578">
        <v>120</v>
      </c>
    </row>
    <row r="1579" spans="1:6" x14ac:dyDescent="0.25">
      <c r="A1579">
        <v>-111.973833</v>
      </c>
      <c r="B1579">
        <v>33.068525999999999</v>
      </c>
      <c r="C1579">
        <v>0.8</v>
      </c>
      <c r="D1579">
        <v>0.71679999999999999</v>
      </c>
      <c r="E1579">
        <v>878761717</v>
      </c>
      <c r="F1579">
        <v>120</v>
      </c>
    </row>
    <row r="1580" spans="1:6" x14ac:dyDescent="0.25">
      <c r="A1580">
        <v>-111.973832</v>
      </c>
      <c r="B1580">
        <v>33.068517999999997</v>
      </c>
      <c r="C1580">
        <v>1.04</v>
      </c>
      <c r="D1580">
        <v>0.93184</v>
      </c>
      <c r="E1580">
        <v>878761719</v>
      </c>
      <c r="F1580">
        <v>120</v>
      </c>
    </row>
    <row r="1581" spans="1:6" x14ac:dyDescent="0.25">
      <c r="A1581">
        <v>-111.973833</v>
      </c>
      <c r="B1581">
        <v>33.068511000000001</v>
      </c>
      <c r="C1581">
        <v>0.66500000000000004</v>
      </c>
      <c r="D1581">
        <v>0.59584000000000004</v>
      </c>
      <c r="E1581">
        <v>878761721</v>
      </c>
      <c r="F1581">
        <v>120</v>
      </c>
    </row>
    <row r="1582" spans="1:6" x14ac:dyDescent="0.25">
      <c r="A1582">
        <v>-111.973832</v>
      </c>
      <c r="B1582">
        <v>33.068503</v>
      </c>
      <c r="C1582">
        <v>0.81499999999999995</v>
      </c>
      <c r="D1582">
        <v>0.73024</v>
      </c>
      <c r="E1582">
        <v>878761723</v>
      </c>
      <c r="F1582">
        <v>120</v>
      </c>
    </row>
    <row r="1583" spans="1:6" x14ac:dyDescent="0.25">
      <c r="A1583">
        <v>-111.973832</v>
      </c>
      <c r="B1583">
        <v>33.068496000000003</v>
      </c>
      <c r="C1583">
        <v>1.08</v>
      </c>
      <c r="D1583">
        <v>0.96767999999999998</v>
      </c>
      <c r="E1583">
        <v>878761725</v>
      </c>
      <c r="F1583">
        <v>120</v>
      </c>
    </row>
    <row r="1584" spans="1:6" x14ac:dyDescent="0.25">
      <c r="A1584">
        <v>-111.973832</v>
      </c>
      <c r="B1584">
        <v>33.068489999999997</v>
      </c>
      <c r="C1584">
        <v>0.57999999999999996</v>
      </c>
      <c r="D1584">
        <v>0.51968000000000003</v>
      </c>
      <c r="E1584">
        <v>878761727</v>
      </c>
      <c r="F1584">
        <v>120</v>
      </c>
    </row>
    <row r="1585" spans="1:6" x14ac:dyDescent="0.25">
      <c r="A1585">
        <v>-111.973833</v>
      </c>
      <c r="B1585">
        <v>33.068482000000003</v>
      </c>
      <c r="C1585">
        <v>0.95</v>
      </c>
      <c r="D1585">
        <v>0.85119999999999996</v>
      </c>
      <c r="E1585">
        <v>878761729</v>
      </c>
      <c r="F1585">
        <v>120</v>
      </c>
    </row>
    <row r="1586" spans="1:6" x14ac:dyDescent="0.25">
      <c r="A1586">
        <v>-111.973833</v>
      </c>
      <c r="B1586">
        <v>33.068474999999999</v>
      </c>
      <c r="C1586">
        <v>0.78500000000000003</v>
      </c>
      <c r="D1586">
        <v>0.70335999999999999</v>
      </c>
      <c r="E1586">
        <v>878761731</v>
      </c>
      <c r="F1586">
        <v>120</v>
      </c>
    </row>
    <row r="1587" spans="1:6" x14ac:dyDescent="0.25">
      <c r="A1587">
        <v>-111.973833</v>
      </c>
      <c r="B1587">
        <v>33.068468000000003</v>
      </c>
      <c r="C1587">
        <v>0.64500000000000002</v>
      </c>
      <c r="D1587">
        <v>0.57791999999999999</v>
      </c>
      <c r="E1587">
        <v>878761733</v>
      </c>
      <c r="F1587">
        <v>120</v>
      </c>
    </row>
    <row r="1588" spans="1:6" x14ac:dyDescent="0.25">
      <c r="A1588">
        <v>-111.973833</v>
      </c>
      <c r="B1588">
        <v>33.068460000000002</v>
      </c>
      <c r="C1588">
        <v>0.96</v>
      </c>
      <c r="D1588">
        <v>0.86016000000000004</v>
      </c>
      <c r="E1588">
        <v>878761735</v>
      </c>
      <c r="F1588">
        <v>120</v>
      </c>
    </row>
    <row r="1589" spans="1:6" x14ac:dyDescent="0.25">
      <c r="A1589">
        <v>-111.973833</v>
      </c>
      <c r="B1589">
        <v>33.068454000000003</v>
      </c>
      <c r="C1589">
        <v>1.24</v>
      </c>
      <c r="D1589">
        <v>1.11104</v>
      </c>
      <c r="E1589">
        <v>878761737</v>
      </c>
      <c r="F1589">
        <v>120</v>
      </c>
    </row>
    <row r="1590" spans="1:6" x14ac:dyDescent="0.25">
      <c r="A1590">
        <v>-111.973833</v>
      </c>
      <c r="B1590">
        <v>33.068446999999999</v>
      </c>
      <c r="C1590">
        <v>1.08</v>
      </c>
      <c r="D1590">
        <v>0.96767999999999998</v>
      </c>
      <c r="E1590">
        <v>878761739</v>
      </c>
      <c r="F1590">
        <v>120</v>
      </c>
    </row>
    <row r="1591" spans="1:6" x14ac:dyDescent="0.25">
      <c r="A1591">
        <v>-111.973833</v>
      </c>
      <c r="B1591">
        <v>33.068438999999998</v>
      </c>
      <c r="C1591">
        <v>7.4999999999999997E-2</v>
      </c>
      <c r="D1591">
        <v>6.7199999999999996E-2</v>
      </c>
      <c r="E1591">
        <v>878761741</v>
      </c>
      <c r="F1591">
        <v>120</v>
      </c>
    </row>
    <row r="1592" spans="1:6" x14ac:dyDescent="0.25">
      <c r="A1592">
        <v>-111.973834</v>
      </c>
      <c r="B1592">
        <v>33.068432000000001</v>
      </c>
      <c r="C1592">
        <v>0.01</v>
      </c>
      <c r="D1592">
        <v>8.9599999999999992E-3</v>
      </c>
      <c r="E1592">
        <v>878761743</v>
      </c>
      <c r="F1592">
        <v>120</v>
      </c>
    </row>
    <row r="1593" spans="1:6" x14ac:dyDescent="0.25">
      <c r="A1593">
        <v>-111.97383499999999</v>
      </c>
      <c r="B1593">
        <v>33.068424999999998</v>
      </c>
      <c r="C1593">
        <v>5.0000000000000001E-3</v>
      </c>
      <c r="D1593">
        <v>4.4799999999999996E-3</v>
      </c>
      <c r="E1593">
        <v>878761745</v>
      </c>
      <c r="F1593">
        <v>120</v>
      </c>
    </row>
    <row r="1594" spans="1:6" x14ac:dyDescent="0.25">
      <c r="A1594">
        <v>-111.973834</v>
      </c>
      <c r="B1594">
        <v>33.068382</v>
      </c>
      <c r="C1594">
        <v>5.0000000000000001E-3</v>
      </c>
      <c r="D1594">
        <v>4.4799999999999996E-3</v>
      </c>
      <c r="E1594">
        <v>878761757</v>
      </c>
      <c r="F1594">
        <v>120</v>
      </c>
    </row>
    <row r="1595" spans="1:6" x14ac:dyDescent="0.25">
      <c r="A1595">
        <v>-111.973833</v>
      </c>
      <c r="B1595">
        <v>33.068367000000002</v>
      </c>
      <c r="C1595">
        <v>0.11</v>
      </c>
      <c r="D1595">
        <v>9.8559999999999995E-2</v>
      </c>
      <c r="E1595">
        <v>878761761</v>
      </c>
      <c r="F1595">
        <v>120</v>
      </c>
    </row>
    <row r="1596" spans="1:6" x14ac:dyDescent="0.25">
      <c r="A1596">
        <v>-111.973833</v>
      </c>
      <c r="B1596">
        <v>33.068359999999998</v>
      </c>
      <c r="C1596">
        <v>0.06</v>
      </c>
      <c r="D1596">
        <v>5.3760000000000002E-2</v>
      </c>
      <c r="E1596">
        <v>878761763</v>
      </c>
      <c r="F1596">
        <v>120</v>
      </c>
    </row>
    <row r="1597" spans="1:6" x14ac:dyDescent="0.25">
      <c r="A1597">
        <v>-111.973834</v>
      </c>
      <c r="B1597">
        <v>33.068353000000002</v>
      </c>
      <c r="C1597">
        <v>0.60499999999999998</v>
      </c>
      <c r="D1597">
        <v>0.54208000000000001</v>
      </c>
      <c r="E1597">
        <v>878761765</v>
      </c>
      <c r="F1597">
        <v>120</v>
      </c>
    </row>
    <row r="1598" spans="1:6" x14ac:dyDescent="0.25">
      <c r="A1598">
        <v>-111.97383499999999</v>
      </c>
      <c r="B1598">
        <v>33.068345999999998</v>
      </c>
      <c r="C1598">
        <v>1.6950000000000001</v>
      </c>
      <c r="D1598">
        <v>1.5187200000000001</v>
      </c>
      <c r="E1598">
        <v>878761767</v>
      </c>
      <c r="F1598">
        <v>120</v>
      </c>
    </row>
    <row r="1599" spans="1:6" x14ac:dyDescent="0.25">
      <c r="A1599">
        <v>-111.97383600000001</v>
      </c>
      <c r="B1599">
        <v>33.068337999999997</v>
      </c>
      <c r="C1599">
        <v>1.7749999999999999</v>
      </c>
      <c r="D1599">
        <v>1.5904</v>
      </c>
      <c r="E1599">
        <v>878761769</v>
      </c>
      <c r="F1599">
        <v>120</v>
      </c>
    </row>
    <row r="1600" spans="1:6" x14ac:dyDescent="0.25">
      <c r="A1600">
        <v>-111.973833</v>
      </c>
      <c r="B1600">
        <v>33.068331000000001</v>
      </c>
      <c r="C1600">
        <v>1.3149999999999999</v>
      </c>
      <c r="D1600">
        <v>1.17824</v>
      </c>
      <c r="E1600">
        <v>878761771</v>
      </c>
      <c r="F1600">
        <v>120</v>
      </c>
    </row>
    <row r="1601" spans="1:6" x14ac:dyDescent="0.25">
      <c r="A1601">
        <v>-111.973833</v>
      </c>
      <c r="B1601">
        <v>33.068322999999999</v>
      </c>
      <c r="C1601">
        <v>1.38</v>
      </c>
      <c r="D1601">
        <v>1.23648</v>
      </c>
      <c r="E1601">
        <v>878761773</v>
      </c>
      <c r="F1601">
        <v>120</v>
      </c>
    </row>
    <row r="1602" spans="1:6" x14ac:dyDescent="0.25">
      <c r="A1602">
        <v>-111.973832</v>
      </c>
      <c r="B1602">
        <v>33.068316000000003</v>
      </c>
      <c r="C1602">
        <v>1.17</v>
      </c>
      <c r="D1602">
        <v>1.0483199999999999</v>
      </c>
      <c r="E1602">
        <v>878761775</v>
      </c>
      <c r="F1602">
        <v>120</v>
      </c>
    </row>
    <row r="1603" spans="1:6" x14ac:dyDescent="0.25">
      <c r="A1603">
        <v>-111.973832</v>
      </c>
      <c r="B1603">
        <v>33.068308999999999</v>
      </c>
      <c r="C1603">
        <v>1.1850000000000001</v>
      </c>
      <c r="D1603">
        <v>1.06176</v>
      </c>
      <c r="E1603">
        <v>878761777</v>
      </c>
      <c r="F1603">
        <v>120</v>
      </c>
    </row>
    <row r="1604" spans="1:6" x14ac:dyDescent="0.25">
      <c r="A1604">
        <v>-111.973833</v>
      </c>
      <c r="B1604">
        <v>33.068302000000003</v>
      </c>
      <c r="C1604">
        <v>0.97</v>
      </c>
      <c r="D1604">
        <v>0.86912</v>
      </c>
      <c r="E1604">
        <v>878761779</v>
      </c>
      <c r="F1604">
        <v>120</v>
      </c>
    </row>
    <row r="1605" spans="1:6" x14ac:dyDescent="0.25">
      <c r="A1605">
        <v>-111.973833</v>
      </c>
      <c r="B1605">
        <v>33.068294999999999</v>
      </c>
      <c r="C1605">
        <v>1.26</v>
      </c>
      <c r="D1605">
        <v>1.12896</v>
      </c>
      <c r="E1605">
        <v>878761781</v>
      </c>
      <c r="F1605">
        <v>120</v>
      </c>
    </row>
    <row r="1606" spans="1:6" x14ac:dyDescent="0.25">
      <c r="A1606">
        <v>-111.973832</v>
      </c>
      <c r="B1606">
        <v>33.068289</v>
      </c>
      <c r="C1606">
        <v>0.93500000000000005</v>
      </c>
      <c r="D1606">
        <v>0.83775999999999995</v>
      </c>
      <c r="E1606">
        <v>878761783</v>
      </c>
      <c r="F1606">
        <v>120</v>
      </c>
    </row>
    <row r="1607" spans="1:6" x14ac:dyDescent="0.25">
      <c r="A1607">
        <v>-111.973832</v>
      </c>
      <c r="B1607">
        <v>33.068280999999999</v>
      </c>
      <c r="C1607">
        <v>1.0449999999999999</v>
      </c>
      <c r="D1607">
        <v>0.93632000000000004</v>
      </c>
      <c r="E1607">
        <v>878761785</v>
      </c>
      <c r="F1607">
        <v>120</v>
      </c>
    </row>
    <row r="1608" spans="1:6" x14ac:dyDescent="0.25">
      <c r="A1608">
        <v>-111.973832</v>
      </c>
      <c r="B1608">
        <v>33.068274000000002</v>
      </c>
      <c r="C1608">
        <v>0.59499999999999997</v>
      </c>
      <c r="D1608">
        <v>0.53312000000000004</v>
      </c>
      <c r="E1608">
        <v>878761787</v>
      </c>
      <c r="F1608">
        <v>120</v>
      </c>
    </row>
    <row r="1609" spans="1:6" x14ac:dyDescent="0.25">
      <c r="A1609">
        <v>-111.973833</v>
      </c>
      <c r="B1609">
        <v>33.068266999999999</v>
      </c>
      <c r="C1609">
        <v>0.86</v>
      </c>
      <c r="D1609">
        <v>0.77056000000000002</v>
      </c>
      <c r="E1609">
        <v>878761789</v>
      </c>
      <c r="F1609">
        <v>120</v>
      </c>
    </row>
    <row r="1610" spans="1:6" x14ac:dyDescent="0.25">
      <c r="A1610">
        <v>-111.973833</v>
      </c>
      <c r="B1610">
        <v>33.068260000000002</v>
      </c>
      <c r="C1610">
        <v>1.0449999999999999</v>
      </c>
      <c r="D1610">
        <v>0.93632000000000004</v>
      </c>
      <c r="E1610">
        <v>878761791</v>
      </c>
      <c r="F1610">
        <v>120</v>
      </c>
    </row>
    <row r="1611" spans="1:6" x14ac:dyDescent="0.25">
      <c r="A1611">
        <v>-111.973833</v>
      </c>
      <c r="B1611">
        <v>33.068252999999999</v>
      </c>
      <c r="C1611">
        <v>0.74</v>
      </c>
      <c r="D1611">
        <v>0.66303999999999996</v>
      </c>
      <c r="E1611">
        <v>878761793</v>
      </c>
      <c r="F1611">
        <v>120</v>
      </c>
    </row>
    <row r="1612" spans="1:6" x14ac:dyDescent="0.25">
      <c r="A1612">
        <v>-111.973833</v>
      </c>
      <c r="B1612">
        <v>33.068246000000002</v>
      </c>
      <c r="C1612">
        <v>0.6</v>
      </c>
      <c r="D1612">
        <v>0.53759999999999997</v>
      </c>
      <c r="E1612">
        <v>878761795</v>
      </c>
      <c r="F1612">
        <v>120</v>
      </c>
    </row>
    <row r="1613" spans="1:6" x14ac:dyDescent="0.25">
      <c r="A1613">
        <v>-111.973833</v>
      </c>
      <c r="B1613">
        <v>33.068238999999998</v>
      </c>
      <c r="C1613">
        <v>0.62</v>
      </c>
      <c r="D1613">
        <v>0.55552000000000001</v>
      </c>
      <c r="E1613">
        <v>878761797</v>
      </c>
      <c r="F1613">
        <v>120</v>
      </c>
    </row>
    <row r="1614" spans="1:6" x14ac:dyDescent="0.25">
      <c r="A1614">
        <v>-111.973833</v>
      </c>
      <c r="B1614">
        <v>33.068232000000002</v>
      </c>
      <c r="C1614">
        <v>0.625</v>
      </c>
      <c r="D1614">
        <v>0.56000000000000005</v>
      </c>
      <c r="E1614">
        <v>878761799</v>
      </c>
      <c r="F1614">
        <v>120</v>
      </c>
    </row>
    <row r="1615" spans="1:6" x14ac:dyDescent="0.25">
      <c r="A1615">
        <v>-111.973833</v>
      </c>
      <c r="B1615">
        <v>33.068224999999998</v>
      </c>
      <c r="C1615">
        <v>1.29</v>
      </c>
      <c r="D1615">
        <v>1.15584</v>
      </c>
      <c r="E1615">
        <v>878761801</v>
      </c>
      <c r="F1615">
        <v>120</v>
      </c>
    </row>
    <row r="1616" spans="1:6" x14ac:dyDescent="0.25">
      <c r="A1616">
        <v>-111.973832</v>
      </c>
      <c r="B1616">
        <v>33.068218000000002</v>
      </c>
      <c r="C1616">
        <v>1.135</v>
      </c>
      <c r="D1616">
        <v>1.0169600000000001</v>
      </c>
      <c r="E1616">
        <v>878761803</v>
      </c>
      <c r="F1616">
        <v>120</v>
      </c>
    </row>
    <row r="1617" spans="1:6" x14ac:dyDescent="0.25">
      <c r="A1617">
        <v>-111.973832</v>
      </c>
      <c r="B1617">
        <v>33.068210000000001</v>
      </c>
      <c r="C1617">
        <v>1.155</v>
      </c>
      <c r="D1617">
        <v>1.03488</v>
      </c>
      <c r="E1617">
        <v>878761805</v>
      </c>
      <c r="F1617">
        <v>120</v>
      </c>
    </row>
    <row r="1618" spans="1:6" x14ac:dyDescent="0.25">
      <c r="A1618">
        <v>-111.973832</v>
      </c>
      <c r="B1618">
        <v>33.068201999999999</v>
      </c>
      <c r="C1618">
        <v>1.155</v>
      </c>
      <c r="D1618">
        <v>1.03488</v>
      </c>
      <c r="E1618">
        <v>878761807</v>
      </c>
      <c r="F1618">
        <v>120</v>
      </c>
    </row>
    <row r="1619" spans="1:6" x14ac:dyDescent="0.25">
      <c r="A1619">
        <v>-111.973832</v>
      </c>
      <c r="B1619">
        <v>33.068196</v>
      </c>
      <c r="C1619">
        <v>0.56000000000000005</v>
      </c>
      <c r="D1619">
        <v>0.50175999999999998</v>
      </c>
      <c r="E1619">
        <v>878761809</v>
      </c>
      <c r="F1619">
        <v>120</v>
      </c>
    </row>
    <row r="1620" spans="1:6" x14ac:dyDescent="0.25">
      <c r="A1620">
        <v>-111.973831</v>
      </c>
      <c r="B1620">
        <v>33.068196999999998</v>
      </c>
      <c r="C1620">
        <v>5.0000000000000001E-3</v>
      </c>
      <c r="D1620">
        <v>4.4799999999999996E-3</v>
      </c>
      <c r="E1620">
        <v>878761811</v>
      </c>
      <c r="F1620">
        <v>120</v>
      </c>
    </row>
    <row r="1621" spans="1:6" x14ac:dyDescent="0.25">
      <c r="A1621">
        <v>-111.973832</v>
      </c>
      <c r="B1621">
        <v>33.068187000000002</v>
      </c>
      <c r="C1621">
        <v>5.0000000000000001E-3</v>
      </c>
      <c r="D1621">
        <v>4.4799999999999996E-3</v>
      </c>
      <c r="E1621">
        <v>878761821</v>
      </c>
      <c r="F1621">
        <v>120</v>
      </c>
    </row>
    <row r="1622" spans="1:6" x14ac:dyDescent="0.25">
      <c r="A1622">
        <v>-111.973834</v>
      </c>
      <c r="B1622">
        <v>33.068179999999998</v>
      </c>
      <c r="C1622">
        <v>0.54500000000000004</v>
      </c>
      <c r="D1622">
        <v>0.48831999999999998</v>
      </c>
      <c r="E1622">
        <v>878761823</v>
      </c>
      <c r="F1622">
        <v>120</v>
      </c>
    </row>
    <row r="1623" spans="1:6" x14ac:dyDescent="0.25">
      <c r="A1623">
        <v>-111.973834</v>
      </c>
      <c r="B1623">
        <v>33.068173000000002</v>
      </c>
      <c r="C1623">
        <v>1.39</v>
      </c>
      <c r="D1623">
        <v>1.2454400000000001</v>
      </c>
      <c r="E1623">
        <v>878761825</v>
      </c>
      <c r="F1623">
        <v>120</v>
      </c>
    </row>
    <row r="1624" spans="1:6" x14ac:dyDescent="0.25">
      <c r="A1624">
        <v>-111.97383499999999</v>
      </c>
      <c r="B1624">
        <v>33.068165999999998</v>
      </c>
      <c r="C1624">
        <v>1.69</v>
      </c>
      <c r="D1624">
        <v>1.51424</v>
      </c>
      <c r="E1624">
        <v>878761827</v>
      </c>
      <c r="F1624">
        <v>120</v>
      </c>
    </row>
    <row r="1625" spans="1:6" x14ac:dyDescent="0.25">
      <c r="A1625">
        <v>-111.973833</v>
      </c>
      <c r="B1625">
        <v>33.068159000000001</v>
      </c>
      <c r="C1625">
        <v>1.865</v>
      </c>
      <c r="D1625">
        <v>1.6710400000000001</v>
      </c>
      <c r="E1625">
        <v>878761829</v>
      </c>
      <c r="F1625">
        <v>120</v>
      </c>
    </row>
    <row r="1626" spans="1:6" x14ac:dyDescent="0.25">
      <c r="A1626">
        <v>-111.973832</v>
      </c>
      <c r="B1626">
        <v>33.068151</v>
      </c>
      <c r="C1626">
        <v>1.095</v>
      </c>
      <c r="D1626">
        <v>0.98111999999999999</v>
      </c>
      <c r="E1626">
        <v>878761831</v>
      </c>
      <c r="F1626">
        <v>120</v>
      </c>
    </row>
    <row r="1627" spans="1:6" x14ac:dyDescent="0.25">
      <c r="A1627">
        <v>-111.973833</v>
      </c>
      <c r="B1627">
        <v>33.068142999999999</v>
      </c>
      <c r="C1627">
        <v>1.03</v>
      </c>
      <c r="D1627">
        <v>0.92288000000000003</v>
      </c>
      <c r="E1627">
        <v>878761833</v>
      </c>
      <c r="F1627">
        <v>120</v>
      </c>
    </row>
    <row r="1628" spans="1:6" x14ac:dyDescent="0.25">
      <c r="A1628">
        <v>-111.973833</v>
      </c>
      <c r="B1628">
        <v>33.068136000000003</v>
      </c>
      <c r="C1628">
        <v>0.92500000000000004</v>
      </c>
      <c r="D1628">
        <v>0.82879999999999998</v>
      </c>
      <c r="E1628">
        <v>878761835</v>
      </c>
      <c r="F1628">
        <v>120</v>
      </c>
    </row>
    <row r="1629" spans="1:6" x14ac:dyDescent="0.25">
      <c r="A1629">
        <v>-111.973833</v>
      </c>
      <c r="B1629">
        <v>33.068128999999999</v>
      </c>
      <c r="C1629">
        <v>1.1850000000000001</v>
      </c>
      <c r="D1629">
        <v>1.06176</v>
      </c>
      <c r="E1629">
        <v>878761837</v>
      </c>
      <c r="F1629">
        <v>120</v>
      </c>
    </row>
    <row r="1630" spans="1:6" x14ac:dyDescent="0.25">
      <c r="A1630">
        <v>-111.973833</v>
      </c>
      <c r="B1630">
        <v>33.068122000000002</v>
      </c>
      <c r="C1630">
        <v>0.97</v>
      </c>
      <c r="D1630">
        <v>0.86912</v>
      </c>
      <c r="E1630">
        <v>878761839</v>
      </c>
      <c r="F1630">
        <v>120</v>
      </c>
    </row>
    <row r="1631" spans="1:6" x14ac:dyDescent="0.25">
      <c r="A1631">
        <v>-111.973833</v>
      </c>
      <c r="B1631">
        <v>33.068114000000001</v>
      </c>
      <c r="C1631">
        <v>0.76500000000000001</v>
      </c>
      <c r="D1631">
        <v>0.68544000000000005</v>
      </c>
      <c r="E1631">
        <v>878761841</v>
      </c>
      <c r="F1631">
        <v>120</v>
      </c>
    </row>
    <row r="1632" spans="1:6" x14ac:dyDescent="0.25">
      <c r="A1632">
        <v>-111.973833</v>
      </c>
      <c r="B1632">
        <v>33.068106999999998</v>
      </c>
      <c r="C1632">
        <v>0.7</v>
      </c>
      <c r="D1632">
        <v>0.62719999999999998</v>
      </c>
      <c r="E1632">
        <v>878761843</v>
      </c>
      <c r="F1632">
        <v>120</v>
      </c>
    </row>
    <row r="1633" spans="1:6" x14ac:dyDescent="0.25">
      <c r="A1633">
        <v>-111.973833</v>
      </c>
      <c r="B1633">
        <v>33.068098999999997</v>
      </c>
      <c r="C1633">
        <v>0.755</v>
      </c>
      <c r="D1633">
        <v>0.67647999999999997</v>
      </c>
      <c r="E1633">
        <v>878761845</v>
      </c>
      <c r="F1633">
        <v>120</v>
      </c>
    </row>
    <row r="1634" spans="1:6" x14ac:dyDescent="0.25">
      <c r="A1634">
        <v>-111.973833</v>
      </c>
      <c r="B1634">
        <v>33.068092</v>
      </c>
      <c r="C1634">
        <v>0.495</v>
      </c>
      <c r="D1634">
        <v>0.44352000000000003</v>
      </c>
      <c r="E1634">
        <v>878761847</v>
      </c>
      <c r="F1634">
        <v>120</v>
      </c>
    </row>
    <row r="1635" spans="1:6" x14ac:dyDescent="0.25">
      <c r="A1635">
        <v>-111.973833</v>
      </c>
      <c r="B1635">
        <v>33.068083999999999</v>
      </c>
      <c r="C1635">
        <v>0.47</v>
      </c>
      <c r="D1635">
        <v>0.42111999999999999</v>
      </c>
      <c r="E1635">
        <v>878761849</v>
      </c>
      <c r="F1635">
        <v>120</v>
      </c>
    </row>
    <row r="1636" spans="1:6" x14ac:dyDescent="0.25">
      <c r="A1636">
        <v>-111.973833</v>
      </c>
      <c r="B1636">
        <v>33.068077000000002</v>
      </c>
      <c r="C1636">
        <v>0.625</v>
      </c>
      <c r="D1636">
        <v>0.56000000000000005</v>
      </c>
      <c r="E1636">
        <v>878761851</v>
      </c>
      <c r="F1636">
        <v>120</v>
      </c>
    </row>
    <row r="1637" spans="1:6" x14ac:dyDescent="0.25">
      <c r="A1637">
        <v>-111.973833</v>
      </c>
      <c r="B1637">
        <v>33.068069999999999</v>
      </c>
      <c r="C1637">
        <v>0.49</v>
      </c>
      <c r="D1637">
        <v>0.43903999999999999</v>
      </c>
      <c r="E1637">
        <v>878761853</v>
      </c>
      <c r="F1637">
        <v>120</v>
      </c>
    </row>
    <row r="1638" spans="1:6" x14ac:dyDescent="0.25">
      <c r="A1638">
        <v>-111.973834</v>
      </c>
      <c r="B1638">
        <v>33.068061999999998</v>
      </c>
      <c r="C1638">
        <v>0.61</v>
      </c>
      <c r="D1638">
        <v>0.54656000000000005</v>
      </c>
      <c r="E1638">
        <v>878761855</v>
      </c>
      <c r="F1638">
        <v>120</v>
      </c>
    </row>
    <row r="1639" spans="1:6" x14ac:dyDescent="0.25">
      <c r="A1639">
        <v>-111.973834</v>
      </c>
      <c r="B1639">
        <v>33.068055000000001</v>
      </c>
      <c r="C1639">
        <v>0.71</v>
      </c>
      <c r="D1639">
        <v>0.63615999999999995</v>
      </c>
      <c r="E1639">
        <v>878761857</v>
      </c>
      <c r="F1639">
        <v>120</v>
      </c>
    </row>
    <row r="1640" spans="1:6" x14ac:dyDescent="0.25">
      <c r="A1640">
        <v>-111.973834</v>
      </c>
      <c r="B1640">
        <v>33.068047</v>
      </c>
      <c r="C1640">
        <v>0.68500000000000005</v>
      </c>
      <c r="D1640">
        <v>0.61375999999999997</v>
      </c>
      <c r="E1640">
        <v>878761859</v>
      </c>
      <c r="F1640">
        <v>120</v>
      </c>
    </row>
    <row r="1641" spans="1:6" x14ac:dyDescent="0.25">
      <c r="A1641">
        <v>-111.97383499999999</v>
      </c>
      <c r="B1641">
        <v>33.068040000000003</v>
      </c>
      <c r="C1641">
        <v>0.80500000000000005</v>
      </c>
      <c r="D1641">
        <v>0.72128000000000003</v>
      </c>
      <c r="E1641">
        <v>878761861</v>
      </c>
      <c r="F1641">
        <v>120</v>
      </c>
    </row>
    <row r="1642" spans="1:6" x14ac:dyDescent="0.25">
      <c r="A1642">
        <v>-111.97383499999999</v>
      </c>
      <c r="B1642">
        <v>33.068033999999997</v>
      </c>
      <c r="C1642">
        <v>0.92500000000000004</v>
      </c>
      <c r="D1642">
        <v>0.82879999999999998</v>
      </c>
      <c r="E1642">
        <v>878761863</v>
      </c>
      <c r="F1642">
        <v>120</v>
      </c>
    </row>
    <row r="1643" spans="1:6" x14ac:dyDescent="0.25">
      <c r="A1643">
        <v>-111.97383499999999</v>
      </c>
      <c r="B1643">
        <v>33.068026000000003</v>
      </c>
      <c r="C1643">
        <v>7.0000000000000007E-2</v>
      </c>
      <c r="D1643">
        <v>6.2719999999999998E-2</v>
      </c>
      <c r="E1643">
        <v>878761865</v>
      </c>
      <c r="F1643">
        <v>120</v>
      </c>
    </row>
    <row r="1644" spans="1:6" x14ac:dyDescent="0.25">
      <c r="A1644">
        <v>-111.97383499999999</v>
      </c>
      <c r="B1644">
        <v>33.068019999999997</v>
      </c>
      <c r="C1644">
        <v>5.0000000000000001E-3</v>
      </c>
      <c r="D1644">
        <v>4.4799999999999996E-3</v>
      </c>
      <c r="E1644">
        <v>878761867</v>
      </c>
      <c r="F1644">
        <v>120</v>
      </c>
    </row>
    <row r="1645" spans="1:6" x14ac:dyDescent="0.25">
      <c r="A1645">
        <v>-111.97383499999999</v>
      </c>
      <c r="B1645">
        <v>33.068010000000001</v>
      </c>
      <c r="C1645">
        <v>5.0000000000000001E-3</v>
      </c>
      <c r="D1645">
        <v>4.4799999999999996E-3</v>
      </c>
      <c r="E1645">
        <v>878761875</v>
      </c>
      <c r="F1645">
        <v>120</v>
      </c>
    </row>
    <row r="1646" spans="1:6" x14ac:dyDescent="0.25">
      <c r="A1646">
        <v>-111.973854</v>
      </c>
      <c r="B1646">
        <v>33.067982000000001</v>
      </c>
      <c r="C1646">
        <v>0.44</v>
      </c>
      <c r="D1646">
        <v>0.39423999999999998</v>
      </c>
      <c r="E1646">
        <v>878761883</v>
      </c>
      <c r="F1646">
        <v>120</v>
      </c>
    </row>
    <row r="1647" spans="1:6" x14ac:dyDescent="0.25">
      <c r="A1647">
        <v>-111.973924</v>
      </c>
      <c r="B1647">
        <v>33.068007999999999</v>
      </c>
      <c r="C1647">
        <v>0.02</v>
      </c>
      <c r="D1647">
        <v>1.7919999999999998E-2</v>
      </c>
      <c r="E1647">
        <v>878761901</v>
      </c>
      <c r="F1647">
        <v>120</v>
      </c>
    </row>
    <row r="1648" spans="1:6" x14ac:dyDescent="0.25">
      <c r="A1648">
        <v>-111.973921</v>
      </c>
      <c r="B1648">
        <v>33.068046000000002</v>
      </c>
      <c r="C1648">
        <v>3.5000000000000003E-2</v>
      </c>
      <c r="D1648">
        <v>3.1359999999999999E-2</v>
      </c>
      <c r="E1648">
        <v>878761915</v>
      </c>
      <c r="F1648">
        <v>120</v>
      </c>
    </row>
    <row r="1649" spans="1:6" x14ac:dyDescent="0.25">
      <c r="A1649">
        <v>-111.97392000000001</v>
      </c>
      <c r="B1649">
        <v>33.068052000000002</v>
      </c>
      <c r="C1649">
        <v>1.05</v>
      </c>
      <c r="D1649">
        <v>0.94079999999999997</v>
      </c>
      <c r="E1649">
        <v>878761917</v>
      </c>
      <c r="F1649">
        <v>120</v>
      </c>
    </row>
    <row r="1650" spans="1:6" x14ac:dyDescent="0.25">
      <c r="A1650">
        <v>-111.97392000000001</v>
      </c>
      <c r="B1650">
        <v>33.068057000000003</v>
      </c>
      <c r="C1650">
        <v>1.335</v>
      </c>
      <c r="D1650">
        <v>1.1961599999999999</v>
      </c>
      <c r="E1650">
        <v>878761919</v>
      </c>
      <c r="F1650">
        <v>120</v>
      </c>
    </row>
    <row r="1651" spans="1:6" x14ac:dyDescent="0.25">
      <c r="A1651">
        <v>-111.973923</v>
      </c>
      <c r="B1651">
        <v>33.068064</v>
      </c>
      <c r="C1651">
        <v>0.82</v>
      </c>
      <c r="D1651">
        <v>0.73472000000000004</v>
      </c>
      <c r="E1651">
        <v>878761921</v>
      </c>
      <c r="F1651">
        <v>120</v>
      </c>
    </row>
    <row r="1652" spans="1:6" x14ac:dyDescent="0.25">
      <c r="A1652">
        <v>-111.973922</v>
      </c>
      <c r="B1652">
        <v>33.068071000000003</v>
      </c>
      <c r="C1652">
        <v>0.7</v>
      </c>
      <c r="D1652">
        <v>0.62719999999999998</v>
      </c>
      <c r="E1652">
        <v>878761923</v>
      </c>
      <c r="F1652">
        <v>120</v>
      </c>
    </row>
    <row r="1653" spans="1:6" x14ac:dyDescent="0.25">
      <c r="A1653">
        <v>-111.973922</v>
      </c>
      <c r="B1653">
        <v>33.068077000000002</v>
      </c>
      <c r="C1653">
        <v>0.75</v>
      </c>
      <c r="D1653">
        <v>0.67200000000000004</v>
      </c>
      <c r="E1653">
        <v>878761925</v>
      </c>
      <c r="F1653">
        <v>120</v>
      </c>
    </row>
    <row r="1654" spans="1:6" x14ac:dyDescent="0.25">
      <c r="A1654">
        <v>-111.973921</v>
      </c>
      <c r="B1654">
        <v>33.068083999999999</v>
      </c>
      <c r="C1654">
        <v>0.44</v>
      </c>
      <c r="D1654">
        <v>0.39423999999999998</v>
      </c>
      <c r="E1654">
        <v>878761927</v>
      </c>
      <c r="F1654">
        <v>120</v>
      </c>
    </row>
    <row r="1655" spans="1:6" x14ac:dyDescent="0.25">
      <c r="A1655">
        <v>-111.973921</v>
      </c>
      <c r="B1655">
        <v>33.068089999999998</v>
      </c>
      <c r="C1655">
        <v>0.69499999999999995</v>
      </c>
      <c r="D1655">
        <v>0.62272000000000005</v>
      </c>
      <c r="E1655">
        <v>878761929</v>
      </c>
      <c r="F1655">
        <v>120</v>
      </c>
    </row>
    <row r="1656" spans="1:6" x14ac:dyDescent="0.25">
      <c r="A1656">
        <v>-111.973921</v>
      </c>
      <c r="B1656">
        <v>33.068095</v>
      </c>
      <c r="C1656">
        <v>0.86499999999999999</v>
      </c>
      <c r="D1656">
        <v>0.77503999999999995</v>
      </c>
      <c r="E1656">
        <v>878761931</v>
      </c>
      <c r="F1656">
        <v>120</v>
      </c>
    </row>
    <row r="1657" spans="1:6" x14ac:dyDescent="0.25">
      <c r="A1657">
        <v>-111.973921</v>
      </c>
      <c r="B1657">
        <v>33.068102000000003</v>
      </c>
      <c r="C1657">
        <v>0.51</v>
      </c>
      <c r="D1657">
        <v>0.45695999999999998</v>
      </c>
      <c r="E1657">
        <v>878761933</v>
      </c>
      <c r="F1657">
        <v>120</v>
      </c>
    </row>
    <row r="1658" spans="1:6" x14ac:dyDescent="0.25">
      <c r="A1658">
        <v>-111.973922</v>
      </c>
      <c r="B1658">
        <v>33.068108000000002</v>
      </c>
      <c r="C1658">
        <v>0.88500000000000001</v>
      </c>
      <c r="D1658">
        <v>0.79296</v>
      </c>
      <c r="E1658">
        <v>878761935</v>
      </c>
      <c r="F1658">
        <v>120</v>
      </c>
    </row>
    <row r="1659" spans="1:6" x14ac:dyDescent="0.25">
      <c r="A1659">
        <v>-111.973922</v>
      </c>
      <c r="B1659">
        <v>33.068116000000003</v>
      </c>
      <c r="C1659">
        <v>0.82499999999999996</v>
      </c>
      <c r="D1659">
        <v>0.73919999999999997</v>
      </c>
      <c r="E1659">
        <v>878761937</v>
      </c>
      <c r="F1659">
        <v>120</v>
      </c>
    </row>
    <row r="1660" spans="1:6" x14ac:dyDescent="0.25">
      <c r="A1660">
        <v>-111.973922</v>
      </c>
      <c r="B1660">
        <v>33.068122000000002</v>
      </c>
      <c r="C1660">
        <v>0.83</v>
      </c>
      <c r="D1660">
        <v>0.74368000000000001</v>
      </c>
      <c r="E1660">
        <v>878761939</v>
      </c>
      <c r="F1660">
        <v>120</v>
      </c>
    </row>
    <row r="1661" spans="1:6" x14ac:dyDescent="0.25">
      <c r="A1661">
        <v>-111.973922</v>
      </c>
      <c r="B1661">
        <v>33.068128999999999</v>
      </c>
      <c r="C1661">
        <v>1.19</v>
      </c>
      <c r="D1661">
        <v>1.0662400000000001</v>
      </c>
      <c r="E1661">
        <v>878761941</v>
      </c>
      <c r="F1661">
        <v>120</v>
      </c>
    </row>
    <row r="1662" spans="1:6" x14ac:dyDescent="0.25">
      <c r="A1662">
        <v>-111.973922</v>
      </c>
      <c r="B1662">
        <v>33.068134999999998</v>
      </c>
      <c r="C1662">
        <v>0.86</v>
      </c>
      <c r="D1662">
        <v>0.77056000000000002</v>
      </c>
      <c r="E1662">
        <v>878761943</v>
      </c>
      <c r="F1662">
        <v>120</v>
      </c>
    </row>
    <row r="1663" spans="1:6" x14ac:dyDescent="0.25">
      <c r="A1663">
        <v>-111.973921</v>
      </c>
      <c r="B1663">
        <v>33.068140999999997</v>
      </c>
      <c r="C1663">
        <v>0.76</v>
      </c>
      <c r="D1663">
        <v>0.68096000000000001</v>
      </c>
      <c r="E1663">
        <v>878761945</v>
      </c>
      <c r="F1663">
        <v>120</v>
      </c>
    </row>
    <row r="1664" spans="1:6" x14ac:dyDescent="0.25">
      <c r="A1664">
        <v>-111.973922</v>
      </c>
      <c r="B1664">
        <v>33.068148000000001</v>
      </c>
      <c r="C1664">
        <v>0.94</v>
      </c>
      <c r="D1664">
        <v>0.84223999999999999</v>
      </c>
      <c r="E1664">
        <v>878761947</v>
      </c>
      <c r="F1664">
        <v>120</v>
      </c>
    </row>
    <row r="1665" spans="1:6" x14ac:dyDescent="0.25">
      <c r="A1665">
        <v>-111.973921</v>
      </c>
      <c r="B1665">
        <v>33.068156000000002</v>
      </c>
      <c r="C1665">
        <v>1.1100000000000001</v>
      </c>
      <c r="D1665">
        <v>0.99456</v>
      </c>
      <c r="E1665">
        <v>878761949</v>
      </c>
      <c r="F1665">
        <v>120</v>
      </c>
    </row>
    <row r="1666" spans="1:6" x14ac:dyDescent="0.25">
      <c r="A1666">
        <v>-111.973921</v>
      </c>
      <c r="B1666">
        <v>33.068162999999998</v>
      </c>
      <c r="C1666">
        <v>0.78500000000000003</v>
      </c>
      <c r="D1666">
        <v>0.70335999999999999</v>
      </c>
      <c r="E1666">
        <v>878761951</v>
      </c>
      <c r="F1666">
        <v>120</v>
      </c>
    </row>
    <row r="1667" spans="1:6" x14ac:dyDescent="0.25">
      <c r="A1667">
        <v>-111.973922</v>
      </c>
      <c r="B1667">
        <v>33.068171</v>
      </c>
      <c r="C1667">
        <v>1.2</v>
      </c>
      <c r="D1667">
        <v>1.0751999999999999</v>
      </c>
      <c r="E1667">
        <v>878761953</v>
      </c>
      <c r="F1667">
        <v>120</v>
      </c>
    </row>
    <row r="1668" spans="1:6" x14ac:dyDescent="0.25">
      <c r="A1668">
        <v>-111.973922</v>
      </c>
      <c r="B1668">
        <v>33.068176999999999</v>
      </c>
      <c r="C1668">
        <v>1.31</v>
      </c>
      <c r="D1668">
        <v>1.1737599999999999</v>
      </c>
      <c r="E1668">
        <v>878761955</v>
      </c>
      <c r="F1668">
        <v>120</v>
      </c>
    </row>
    <row r="1669" spans="1:6" x14ac:dyDescent="0.25">
      <c r="A1669">
        <v>-111.973922</v>
      </c>
      <c r="B1669">
        <v>33.068185</v>
      </c>
      <c r="C1669">
        <v>1.62</v>
      </c>
      <c r="D1669">
        <v>1.4515199999999999</v>
      </c>
      <c r="E1669">
        <v>878761957</v>
      </c>
      <c r="F1669">
        <v>120</v>
      </c>
    </row>
    <row r="1670" spans="1:6" x14ac:dyDescent="0.25">
      <c r="A1670">
        <v>-111.973921</v>
      </c>
      <c r="B1670">
        <v>33.068192000000003</v>
      </c>
      <c r="C1670">
        <v>1.41</v>
      </c>
      <c r="D1670">
        <v>1.26336</v>
      </c>
      <c r="E1670">
        <v>878761959</v>
      </c>
      <c r="F1670">
        <v>120</v>
      </c>
    </row>
    <row r="1671" spans="1:6" x14ac:dyDescent="0.25">
      <c r="A1671">
        <v>-111.973922</v>
      </c>
      <c r="B1671">
        <v>33.068198000000002</v>
      </c>
      <c r="C1671">
        <v>4.4999999999999998E-2</v>
      </c>
      <c r="D1671">
        <v>4.0320000000000002E-2</v>
      </c>
      <c r="E1671">
        <v>878761961</v>
      </c>
      <c r="F1671">
        <v>120</v>
      </c>
    </row>
    <row r="1672" spans="1:6" x14ac:dyDescent="0.25">
      <c r="A1672">
        <v>-111.973921</v>
      </c>
      <c r="B1672">
        <v>33.068206000000004</v>
      </c>
      <c r="C1672">
        <v>0.41</v>
      </c>
      <c r="D1672">
        <v>0.36736000000000002</v>
      </c>
      <c r="E1672">
        <v>878761973</v>
      </c>
      <c r="F1672">
        <v>120</v>
      </c>
    </row>
    <row r="1673" spans="1:6" x14ac:dyDescent="0.25">
      <c r="A1673">
        <v>-111.973919</v>
      </c>
      <c r="B1673">
        <v>33.068210999999998</v>
      </c>
      <c r="C1673">
        <v>1.05</v>
      </c>
      <c r="D1673">
        <v>0.94079999999999997</v>
      </c>
      <c r="E1673">
        <v>878761975</v>
      </c>
      <c r="F1673">
        <v>120</v>
      </c>
    </row>
    <row r="1674" spans="1:6" x14ac:dyDescent="0.25">
      <c r="A1674">
        <v>-111.97392000000001</v>
      </c>
      <c r="B1674">
        <v>33.068219999999997</v>
      </c>
      <c r="C1674">
        <v>1.1000000000000001</v>
      </c>
      <c r="D1674">
        <v>0.98560000000000003</v>
      </c>
      <c r="E1674">
        <v>878761977</v>
      </c>
      <c r="F1674">
        <v>120</v>
      </c>
    </row>
    <row r="1675" spans="1:6" x14ac:dyDescent="0.25">
      <c r="A1675">
        <v>-111.973921</v>
      </c>
      <c r="B1675">
        <v>33.068227</v>
      </c>
      <c r="C1675">
        <v>1.885</v>
      </c>
      <c r="D1675">
        <v>1.68896</v>
      </c>
      <c r="E1675">
        <v>878761979</v>
      </c>
      <c r="F1675">
        <v>120</v>
      </c>
    </row>
    <row r="1676" spans="1:6" x14ac:dyDescent="0.25">
      <c r="A1676">
        <v>-111.973923</v>
      </c>
      <c r="B1676">
        <v>33.068233999999997</v>
      </c>
      <c r="C1676">
        <v>1.2150000000000001</v>
      </c>
      <c r="D1676">
        <v>1.0886400000000001</v>
      </c>
      <c r="E1676">
        <v>878761981</v>
      </c>
      <c r="F1676">
        <v>120</v>
      </c>
    </row>
    <row r="1677" spans="1:6" x14ac:dyDescent="0.25">
      <c r="A1677">
        <v>-111.973923</v>
      </c>
      <c r="B1677">
        <v>33.068241999999998</v>
      </c>
      <c r="C1677">
        <v>0.75</v>
      </c>
      <c r="D1677">
        <v>0.67200000000000004</v>
      </c>
      <c r="E1677">
        <v>878761983</v>
      </c>
      <c r="F1677">
        <v>120</v>
      </c>
    </row>
    <row r="1678" spans="1:6" x14ac:dyDescent="0.25">
      <c r="A1678">
        <v>-111.973921</v>
      </c>
      <c r="B1678">
        <v>33.068249999999999</v>
      </c>
      <c r="C1678">
        <v>0.85</v>
      </c>
      <c r="D1678">
        <v>0.76160000000000005</v>
      </c>
      <c r="E1678">
        <v>878761985</v>
      </c>
      <c r="F1678">
        <v>120</v>
      </c>
    </row>
    <row r="1679" spans="1:6" x14ac:dyDescent="0.25">
      <c r="A1679">
        <v>-111.973921</v>
      </c>
      <c r="B1679">
        <v>33.068257000000003</v>
      </c>
      <c r="C1679">
        <v>1.2450000000000001</v>
      </c>
      <c r="D1679">
        <v>1.1155200000000001</v>
      </c>
      <c r="E1679">
        <v>878761987</v>
      </c>
      <c r="F1679">
        <v>120</v>
      </c>
    </row>
    <row r="1680" spans="1:6" x14ac:dyDescent="0.25">
      <c r="A1680">
        <v>-111.973921</v>
      </c>
      <c r="B1680">
        <v>33.068263000000002</v>
      </c>
      <c r="C1680">
        <v>1.24</v>
      </c>
      <c r="D1680">
        <v>1.11104</v>
      </c>
      <c r="E1680">
        <v>878761989</v>
      </c>
      <c r="F1680">
        <v>120</v>
      </c>
    </row>
    <row r="1681" spans="1:6" x14ac:dyDescent="0.25">
      <c r="A1681">
        <v>-111.973921</v>
      </c>
      <c r="B1681">
        <v>33.068271000000003</v>
      </c>
      <c r="C1681">
        <v>0.75</v>
      </c>
      <c r="D1681">
        <v>0.67200000000000004</v>
      </c>
      <c r="E1681">
        <v>878761991</v>
      </c>
      <c r="F1681">
        <v>120</v>
      </c>
    </row>
    <row r="1682" spans="1:6" x14ac:dyDescent="0.25">
      <c r="A1682">
        <v>-111.973921</v>
      </c>
      <c r="B1682">
        <v>33.068278999999997</v>
      </c>
      <c r="C1682">
        <v>0.71</v>
      </c>
      <c r="D1682">
        <v>0.63615999999999995</v>
      </c>
      <c r="E1682">
        <v>878761993</v>
      </c>
      <c r="F1682">
        <v>120</v>
      </c>
    </row>
    <row r="1683" spans="1:6" x14ac:dyDescent="0.25">
      <c r="A1683">
        <v>-111.973922</v>
      </c>
      <c r="B1683">
        <v>33.068286000000001</v>
      </c>
      <c r="C1683">
        <v>0.47</v>
      </c>
      <c r="D1683">
        <v>0.42111999999999999</v>
      </c>
      <c r="E1683">
        <v>878761995</v>
      </c>
      <c r="F1683">
        <v>120</v>
      </c>
    </row>
    <row r="1684" spans="1:6" x14ac:dyDescent="0.25">
      <c r="A1684">
        <v>-111.973921</v>
      </c>
      <c r="B1684">
        <v>33.068294000000002</v>
      </c>
      <c r="C1684">
        <v>0.90500000000000003</v>
      </c>
      <c r="D1684">
        <v>0.81088000000000005</v>
      </c>
      <c r="E1684">
        <v>878761997</v>
      </c>
      <c r="F1684">
        <v>120</v>
      </c>
    </row>
    <row r="1685" spans="1:6" x14ac:dyDescent="0.25">
      <c r="A1685">
        <v>-111.973921</v>
      </c>
      <c r="B1685">
        <v>33.068300999999998</v>
      </c>
      <c r="C1685">
        <v>1.1299999999999999</v>
      </c>
      <c r="D1685">
        <v>1.01248</v>
      </c>
      <c r="E1685">
        <v>878761999</v>
      </c>
      <c r="F1685">
        <v>120</v>
      </c>
    </row>
    <row r="1686" spans="1:6" x14ac:dyDescent="0.25">
      <c r="A1686">
        <v>-111.973921</v>
      </c>
      <c r="B1686">
        <v>33.068308000000002</v>
      </c>
      <c r="C1686">
        <v>0.53</v>
      </c>
      <c r="D1686">
        <v>0.47488000000000002</v>
      </c>
      <c r="E1686">
        <v>878762001</v>
      </c>
      <c r="F1686">
        <v>120</v>
      </c>
    </row>
    <row r="1687" spans="1:6" x14ac:dyDescent="0.25">
      <c r="A1687">
        <v>-111.973921</v>
      </c>
      <c r="B1687">
        <v>33.068316000000003</v>
      </c>
      <c r="C1687">
        <v>1.0249999999999999</v>
      </c>
      <c r="D1687">
        <v>0.91839999999999999</v>
      </c>
      <c r="E1687">
        <v>878762003</v>
      </c>
      <c r="F1687">
        <v>120</v>
      </c>
    </row>
    <row r="1688" spans="1:6" x14ac:dyDescent="0.25">
      <c r="A1688">
        <v>-111.973921</v>
      </c>
      <c r="B1688">
        <v>33.068323999999997</v>
      </c>
      <c r="C1688">
        <v>1.075</v>
      </c>
      <c r="D1688">
        <v>0.96319999999999995</v>
      </c>
      <c r="E1688">
        <v>878762005</v>
      </c>
      <c r="F1688">
        <v>120</v>
      </c>
    </row>
    <row r="1689" spans="1:6" x14ac:dyDescent="0.25">
      <c r="A1689">
        <v>-111.973921</v>
      </c>
      <c r="B1689">
        <v>33.068331000000001</v>
      </c>
      <c r="C1689">
        <v>0.68</v>
      </c>
      <c r="D1689">
        <v>0.60928000000000004</v>
      </c>
      <c r="E1689">
        <v>878762007</v>
      </c>
      <c r="F1689">
        <v>120</v>
      </c>
    </row>
    <row r="1690" spans="1:6" x14ac:dyDescent="0.25">
      <c r="A1690">
        <v>-111.973921</v>
      </c>
      <c r="B1690">
        <v>33.068337999999997</v>
      </c>
      <c r="C1690">
        <v>0.93500000000000005</v>
      </c>
      <c r="D1690">
        <v>0.83775999999999995</v>
      </c>
      <c r="E1690">
        <v>878762009</v>
      </c>
      <c r="F1690">
        <v>120</v>
      </c>
    </row>
    <row r="1691" spans="1:6" x14ac:dyDescent="0.25">
      <c r="A1691">
        <v>-111.973922</v>
      </c>
      <c r="B1691">
        <v>33.068345000000001</v>
      </c>
      <c r="C1691">
        <v>1.095</v>
      </c>
      <c r="D1691">
        <v>0.98111999999999999</v>
      </c>
      <c r="E1691">
        <v>878762011</v>
      </c>
      <c r="F1691">
        <v>120</v>
      </c>
    </row>
    <row r="1692" spans="1:6" x14ac:dyDescent="0.25">
      <c r="A1692">
        <v>-111.973922</v>
      </c>
      <c r="B1692">
        <v>33.068351999999997</v>
      </c>
      <c r="C1692">
        <v>1.72</v>
      </c>
      <c r="D1692">
        <v>1.54112</v>
      </c>
      <c r="E1692">
        <v>878762013</v>
      </c>
      <c r="F1692">
        <v>120</v>
      </c>
    </row>
    <row r="1693" spans="1:6" x14ac:dyDescent="0.25">
      <c r="A1693">
        <v>-111.973921</v>
      </c>
      <c r="B1693">
        <v>33.068359000000001</v>
      </c>
      <c r="C1693">
        <v>1.61</v>
      </c>
      <c r="D1693">
        <v>1.4425600000000001</v>
      </c>
      <c r="E1693">
        <v>878762015</v>
      </c>
      <c r="F1693">
        <v>120</v>
      </c>
    </row>
    <row r="1694" spans="1:6" x14ac:dyDescent="0.25">
      <c r="A1694">
        <v>-111.97392000000001</v>
      </c>
      <c r="B1694">
        <v>33.068365999999997</v>
      </c>
      <c r="C1694">
        <v>0.66</v>
      </c>
      <c r="D1694">
        <v>0.59136</v>
      </c>
      <c r="E1694">
        <v>878762017</v>
      </c>
      <c r="F1694">
        <v>120</v>
      </c>
    </row>
    <row r="1695" spans="1:6" x14ac:dyDescent="0.25">
      <c r="A1695">
        <v>-111.97392000000001</v>
      </c>
      <c r="B1695">
        <v>33.068375000000003</v>
      </c>
      <c r="C1695">
        <v>4.4999999999999998E-2</v>
      </c>
      <c r="D1695">
        <v>4.0320000000000002E-2</v>
      </c>
      <c r="E1695">
        <v>878762019</v>
      </c>
      <c r="F1695">
        <v>120</v>
      </c>
    </row>
    <row r="1696" spans="1:6" x14ac:dyDescent="0.25">
      <c r="A1696">
        <v>-111.973922</v>
      </c>
      <c r="B1696">
        <v>33.068449999999999</v>
      </c>
      <c r="C1696">
        <v>0.17</v>
      </c>
      <c r="D1696">
        <v>0.15232000000000001</v>
      </c>
      <c r="E1696">
        <v>878762039</v>
      </c>
      <c r="F1696">
        <v>120</v>
      </c>
    </row>
    <row r="1697" spans="1:6" x14ac:dyDescent="0.25">
      <c r="A1697">
        <v>-111.973921</v>
      </c>
      <c r="B1697">
        <v>33.068455</v>
      </c>
      <c r="C1697">
        <v>0.60499999999999998</v>
      </c>
      <c r="D1697">
        <v>0.54208000000000001</v>
      </c>
      <c r="E1697">
        <v>878762041</v>
      </c>
      <c r="F1697">
        <v>120</v>
      </c>
    </row>
    <row r="1698" spans="1:6" x14ac:dyDescent="0.25">
      <c r="A1698">
        <v>-111.97392000000001</v>
      </c>
      <c r="B1698">
        <v>33.068463000000001</v>
      </c>
      <c r="C1698">
        <v>0.91</v>
      </c>
      <c r="D1698">
        <v>0.81535999999999997</v>
      </c>
      <c r="E1698">
        <v>878762043</v>
      </c>
      <c r="F1698">
        <v>120</v>
      </c>
    </row>
    <row r="1699" spans="1:6" x14ac:dyDescent="0.25">
      <c r="A1699">
        <v>-111.97392000000001</v>
      </c>
      <c r="B1699">
        <v>33.068469999999998</v>
      </c>
      <c r="C1699">
        <v>1.21</v>
      </c>
      <c r="D1699">
        <v>1.08416</v>
      </c>
      <c r="E1699">
        <v>878762045</v>
      </c>
      <c r="F1699">
        <v>120</v>
      </c>
    </row>
    <row r="1700" spans="1:6" x14ac:dyDescent="0.25">
      <c r="A1700">
        <v>-111.973921</v>
      </c>
      <c r="B1700">
        <v>33.068477999999999</v>
      </c>
      <c r="C1700">
        <v>2.2650000000000001</v>
      </c>
      <c r="D1700">
        <v>2.0294400000000001</v>
      </c>
      <c r="E1700">
        <v>878762047</v>
      </c>
      <c r="F1700">
        <v>120</v>
      </c>
    </row>
    <row r="1701" spans="1:6" x14ac:dyDescent="0.25">
      <c r="A1701">
        <v>-111.973922</v>
      </c>
      <c r="B1701">
        <v>33.068486</v>
      </c>
      <c r="C1701">
        <v>1.57</v>
      </c>
      <c r="D1701">
        <v>1.40672</v>
      </c>
      <c r="E1701">
        <v>878762049</v>
      </c>
      <c r="F1701">
        <v>120</v>
      </c>
    </row>
    <row r="1702" spans="1:6" x14ac:dyDescent="0.25">
      <c r="A1702">
        <v>-111.973923</v>
      </c>
      <c r="B1702">
        <v>33.068494000000001</v>
      </c>
      <c r="C1702">
        <v>0.755</v>
      </c>
      <c r="D1702">
        <v>0.67647999999999997</v>
      </c>
      <c r="E1702">
        <v>878762051</v>
      </c>
      <c r="F1702">
        <v>120</v>
      </c>
    </row>
    <row r="1703" spans="1:6" x14ac:dyDescent="0.25">
      <c r="A1703">
        <v>-111.973922</v>
      </c>
      <c r="B1703">
        <v>33.068502000000002</v>
      </c>
      <c r="C1703">
        <v>0.70499999999999996</v>
      </c>
      <c r="D1703">
        <v>0.63168000000000002</v>
      </c>
      <c r="E1703">
        <v>878762053</v>
      </c>
      <c r="F1703">
        <v>120</v>
      </c>
    </row>
    <row r="1704" spans="1:6" x14ac:dyDescent="0.25">
      <c r="A1704">
        <v>-111.973922</v>
      </c>
      <c r="B1704">
        <v>33.068508999999999</v>
      </c>
      <c r="C1704">
        <v>1.06</v>
      </c>
      <c r="D1704">
        <v>0.94976000000000005</v>
      </c>
      <c r="E1704">
        <v>878762055</v>
      </c>
      <c r="F1704">
        <v>120</v>
      </c>
    </row>
    <row r="1705" spans="1:6" x14ac:dyDescent="0.25">
      <c r="A1705">
        <v>-111.973921</v>
      </c>
      <c r="B1705">
        <v>33.068514999999998</v>
      </c>
      <c r="C1705">
        <v>0.52</v>
      </c>
      <c r="D1705">
        <v>0.46592</v>
      </c>
      <c r="E1705">
        <v>878762057</v>
      </c>
      <c r="F1705">
        <v>120</v>
      </c>
    </row>
    <row r="1706" spans="1:6" x14ac:dyDescent="0.25">
      <c r="A1706">
        <v>-111.973921</v>
      </c>
      <c r="B1706">
        <v>33.068522999999999</v>
      </c>
      <c r="C1706">
        <v>1.385</v>
      </c>
      <c r="D1706">
        <v>1.2409600000000001</v>
      </c>
      <c r="E1706">
        <v>878762059</v>
      </c>
      <c r="F1706">
        <v>120</v>
      </c>
    </row>
    <row r="1707" spans="1:6" x14ac:dyDescent="0.25">
      <c r="A1707">
        <v>-111.973921</v>
      </c>
      <c r="B1707">
        <v>33.068530000000003</v>
      </c>
      <c r="C1707">
        <v>1.35</v>
      </c>
      <c r="D1707">
        <v>1.2096</v>
      </c>
      <c r="E1707">
        <v>878762061</v>
      </c>
      <c r="F1707">
        <v>120</v>
      </c>
    </row>
    <row r="1708" spans="1:6" x14ac:dyDescent="0.25">
      <c r="A1708">
        <v>-111.973921</v>
      </c>
      <c r="B1708">
        <v>33.068537999999997</v>
      </c>
      <c r="C1708">
        <v>0.95499999999999996</v>
      </c>
      <c r="D1708">
        <v>0.85568</v>
      </c>
      <c r="E1708">
        <v>878762063</v>
      </c>
      <c r="F1708">
        <v>120</v>
      </c>
    </row>
    <row r="1709" spans="1:6" x14ac:dyDescent="0.25">
      <c r="A1709">
        <v>-111.973921</v>
      </c>
      <c r="B1709">
        <v>33.068545</v>
      </c>
      <c r="C1709">
        <v>1.375</v>
      </c>
      <c r="D1709">
        <v>1.232</v>
      </c>
      <c r="E1709">
        <v>878762065</v>
      </c>
      <c r="F1709">
        <v>120</v>
      </c>
    </row>
    <row r="1710" spans="1:6" x14ac:dyDescent="0.25">
      <c r="A1710">
        <v>-111.973921</v>
      </c>
      <c r="B1710">
        <v>33.068553000000001</v>
      </c>
      <c r="C1710">
        <v>1.29</v>
      </c>
      <c r="D1710">
        <v>1.15584</v>
      </c>
      <c r="E1710">
        <v>878762067</v>
      </c>
      <c r="F1710">
        <v>120</v>
      </c>
    </row>
    <row r="1711" spans="1:6" x14ac:dyDescent="0.25">
      <c r="A1711">
        <v>-111.973922</v>
      </c>
      <c r="B1711">
        <v>33.068559999999998</v>
      </c>
      <c r="C1711">
        <v>1.165</v>
      </c>
      <c r="D1711">
        <v>1.0438400000000001</v>
      </c>
      <c r="E1711">
        <v>878762069</v>
      </c>
      <c r="F1711">
        <v>120</v>
      </c>
    </row>
    <row r="1712" spans="1:6" x14ac:dyDescent="0.25">
      <c r="A1712">
        <v>-111.973922</v>
      </c>
      <c r="B1712">
        <v>33.068567000000002</v>
      </c>
      <c r="C1712">
        <v>1.355</v>
      </c>
      <c r="D1712">
        <v>1.21408</v>
      </c>
      <c r="E1712">
        <v>878762071</v>
      </c>
      <c r="F1712">
        <v>120</v>
      </c>
    </row>
    <row r="1713" spans="1:6" x14ac:dyDescent="0.25">
      <c r="A1713">
        <v>-111.973922</v>
      </c>
      <c r="B1713">
        <v>33.068575000000003</v>
      </c>
      <c r="C1713">
        <v>2.0249999999999999</v>
      </c>
      <c r="D1713">
        <v>1.8144</v>
      </c>
      <c r="E1713">
        <v>878762073</v>
      </c>
      <c r="F1713">
        <v>120</v>
      </c>
    </row>
    <row r="1714" spans="1:6" x14ac:dyDescent="0.25">
      <c r="A1714">
        <v>-111.973922</v>
      </c>
      <c r="B1714">
        <v>33.068581999999999</v>
      </c>
      <c r="C1714">
        <v>1.0149999999999999</v>
      </c>
      <c r="D1714">
        <v>0.90944000000000003</v>
      </c>
      <c r="E1714">
        <v>878762075</v>
      </c>
      <c r="F1714">
        <v>120</v>
      </c>
    </row>
    <row r="1715" spans="1:6" x14ac:dyDescent="0.25">
      <c r="A1715">
        <v>-111.973922</v>
      </c>
      <c r="B1715">
        <v>33.06859</v>
      </c>
      <c r="C1715">
        <v>1.2649999999999999</v>
      </c>
      <c r="D1715">
        <v>1.13344</v>
      </c>
      <c r="E1715">
        <v>878762077</v>
      </c>
      <c r="F1715">
        <v>120</v>
      </c>
    </row>
    <row r="1716" spans="1:6" x14ac:dyDescent="0.25">
      <c r="A1716">
        <v>-111.973921</v>
      </c>
      <c r="B1716">
        <v>33.068595999999999</v>
      </c>
      <c r="C1716">
        <v>1.345</v>
      </c>
      <c r="D1716">
        <v>1.20512</v>
      </c>
      <c r="E1716">
        <v>878762079</v>
      </c>
      <c r="F1716">
        <v>120</v>
      </c>
    </row>
    <row r="1717" spans="1:6" x14ac:dyDescent="0.25">
      <c r="A1717">
        <v>-111.973921</v>
      </c>
      <c r="B1717">
        <v>33.068603000000003</v>
      </c>
      <c r="C1717">
        <v>1.2949999999999999</v>
      </c>
      <c r="D1717">
        <v>1.16032</v>
      </c>
      <c r="E1717">
        <v>878762081</v>
      </c>
      <c r="F1717">
        <v>120</v>
      </c>
    </row>
    <row r="1718" spans="1:6" x14ac:dyDescent="0.25">
      <c r="A1718">
        <v>-111.973921</v>
      </c>
      <c r="B1718">
        <v>33.06861</v>
      </c>
      <c r="C1718">
        <v>0.38500000000000001</v>
      </c>
      <c r="D1718">
        <v>0.34495999999999999</v>
      </c>
      <c r="E1718">
        <v>878762083</v>
      </c>
      <c r="F1718">
        <v>120</v>
      </c>
    </row>
    <row r="1719" spans="1:6" x14ac:dyDescent="0.25">
      <c r="A1719">
        <v>-111.973921</v>
      </c>
      <c r="B1719">
        <v>33.068612999999999</v>
      </c>
      <c r="C1719">
        <v>0.01</v>
      </c>
      <c r="D1719">
        <v>8.9599999999999992E-3</v>
      </c>
      <c r="E1719">
        <v>878762085</v>
      </c>
      <c r="F1719">
        <v>120</v>
      </c>
    </row>
    <row r="1720" spans="1:6" x14ac:dyDescent="0.25">
      <c r="A1720">
        <v>-111.973921</v>
      </c>
      <c r="B1720">
        <v>33.068618000000001</v>
      </c>
      <c r="C1720">
        <v>0.43</v>
      </c>
      <c r="D1720">
        <v>0.38528000000000001</v>
      </c>
      <c r="E1720">
        <v>878762095</v>
      </c>
      <c r="F1720">
        <v>120</v>
      </c>
    </row>
    <row r="1721" spans="1:6" x14ac:dyDescent="0.25">
      <c r="A1721">
        <v>-111.97392000000001</v>
      </c>
      <c r="B1721">
        <v>33.068623000000002</v>
      </c>
      <c r="C1721">
        <v>0.56499999999999995</v>
      </c>
      <c r="D1721">
        <v>0.50624000000000002</v>
      </c>
      <c r="E1721">
        <v>878762097</v>
      </c>
      <c r="F1721">
        <v>120</v>
      </c>
    </row>
    <row r="1722" spans="1:6" x14ac:dyDescent="0.25">
      <c r="A1722">
        <v>-111.973918</v>
      </c>
      <c r="B1722">
        <v>33.068627999999997</v>
      </c>
      <c r="C1722">
        <v>1.895</v>
      </c>
      <c r="D1722">
        <v>1.6979200000000001</v>
      </c>
      <c r="E1722">
        <v>878762099</v>
      </c>
      <c r="F1722">
        <v>120</v>
      </c>
    </row>
    <row r="1723" spans="1:6" x14ac:dyDescent="0.25">
      <c r="A1723">
        <v>-111.973918</v>
      </c>
      <c r="B1723">
        <v>33.068634000000003</v>
      </c>
      <c r="C1723">
        <v>0.97499999999999998</v>
      </c>
      <c r="D1723">
        <v>0.87360000000000004</v>
      </c>
      <c r="E1723">
        <v>878762101</v>
      </c>
      <c r="F1723">
        <v>120</v>
      </c>
    </row>
    <row r="1724" spans="1:6" x14ac:dyDescent="0.25">
      <c r="A1724">
        <v>-111.973919</v>
      </c>
      <c r="B1724">
        <v>33.068641999999997</v>
      </c>
      <c r="C1724">
        <v>0.8</v>
      </c>
      <c r="D1724">
        <v>0.71679999999999999</v>
      </c>
      <c r="E1724">
        <v>878762103</v>
      </c>
      <c r="F1724">
        <v>120</v>
      </c>
    </row>
    <row r="1725" spans="1:6" x14ac:dyDescent="0.25">
      <c r="A1725">
        <v>-111.973921</v>
      </c>
      <c r="B1725">
        <v>33.068649999999998</v>
      </c>
      <c r="C1725">
        <v>1.0549999999999999</v>
      </c>
      <c r="D1725">
        <v>0.94528000000000001</v>
      </c>
      <c r="E1725">
        <v>878762105</v>
      </c>
      <c r="F1725">
        <v>120</v>
      </c>
    </row>
    <row r="1726" spans="1:6" x14ac:dyDescent="0.25">
      <c r="A1726">
        <v>-111.973922</v>
      </c>
      <c r="B1726">
        <v>33.068657000000002</v>
      </c>
      <c r="C1726">
        <v>0.9</v>
      </c>
      <c r="D1726">
        <v>0.80640000000000001</v>
      </c>
      <c r="E1726">
        <v>878762107</v>
      </c>
      <c r="F1726">
        <v>120</v>
      </c>
    </row>
    <row r="1727" spans="1:6" x14ac:dyDescent="0.25">
      <c r="A1727">
        <v>-111.973921</v>
      </c>
      <c r="B1727">
        <v>33.068665000000003</v>
      </c>
      <c r="C1727">
        <v>0.185</v>
      </c>
      <c r="D1727">
        <v>0.16575999999999999</v>
      </c>
      <c r="E1727">
        <v>878762109</v>
      </c>
      <c r="F1727">
        <v>120</v>
      </c>
    </row>
    <row r="1728" spans="1:6" x14ac:dyDescent="0.25">
      <c r="A1728">
        <v>-111.97392000000001</v>
      </c>
      <c r="B1728">
        <v>33.068671000000002</v>
      </c>
      <c r="C1728">
        <v>0.46</v>
      </c>
      <c r="D1728">
        <v>0.41216000000000003</v>
      </c>
      <c r="E1728">
        <v>878762111</v>
      </c>
      <c r="F1728">
        <v>120</v>
      </c>
    </row>
    <row r="1729" spans="1:6" x14ac:dyDescent="0.25">
      <c r="A1729">
        <v>-111.973921</v>
      </c>
      <c r="B1729">
        <v>33.068677999999998</v>
      </c>
      <c r="C1729">
        <v>1.915</v>
      </c>
      <c r="D1729">
        <v>1.71584</v>
      </c>
      <c r="E1729">
        <v>878762113</v>
      </c>
      <c r="F1729">
        <v>120</v>
      </c>
    </row>
    <row r="1730" spans="1:6" x14ac:dyDescent="0.25">
      <c r="A1730">
        <v>-111.973921</v>
      </c>
      <c r="B1730">
        <v>33.068685000000002</v>
      </c>
      <c r="C1730">
        <v>1.55</v>
      </c>
      <c r="D1730">
        <v>1.3888</v>
      </c>
      <c r="E1730">
        <v>878762115</v>
      </c>
      <c r="F1730">
        <v>120</v>
      </c>
    </row>
    <row r="1731" spans="1:6" x14ac:dyDescent="0.25">
      <c r="A1731">
        <v>-111.973921</v>
      </c>
      <c r="B1731">
        <v>33.068691999999999</v>
      </c>
      <c r="C1731">
        <v>0.88</v>
      </c>
      <c r="D1731">
        <v>0.78847999999999996</v>
      </c>
      <c r="E1731">
        <v>878762117</v>
      </c>
      <c r="F1731">
        <v>120</v>
      </c>
    </row>
    <row r="1732" spans="1:6" x14ac:dyDescent="0.25">
      <c r="A1732">
        <v>-111.973922</v>
      </c>
      <c r="B1732">
        <v>33.068699000000002</v>
      </c>
      <c r="C1732">
        <v>1.42</v>
      </c>
      <c r="D1732">
        <v>1.2723199999999999</v>
      </c>
      <c r="E1732">
        <v>878762119</v>
      </c>
      <c r="F1732">
        <v>120</v>
      </c>
    </row>
    <row r="1733" spans="1:6" x14ac:dyDescent="0.25">
      <c r="A1733">
        <v>-111.973922</v>
      </c>
      <c r="B1733">
        <v>33.068707000000003</v>
      </c>
      <c r="C1733">
        <v>0.69499999999999995</v>
      </c>
      <c r="D1733">
        <v>0.62272000000000005</v>
      </c>
      <c r="E1733">
        <v>878762121</v>
      </c>
      <c r="F1733">
        <v>120</v>
      </c>
    </row>
    <row r="1734" spans="1:6" x14ac:dyDescent="0.25">
      <c r="A1734">
        <v>-111.973921</v>
      </c>
      <c r="B1734">
        <v>33.068714</v>
      </c>
      <c r="C1734">
        <v>1.29</v>
      </c>
      <c r="D1734">
        <v>1.15584</v>
      </c>
      <c r="E1734">
        <v>878762123</v>
      </c>
      <c r="F1734">
        <v>120</v>
      </c>
    </row>
    <row r="1735" spans="1:6" x14ac:dyDescent="0.25">
      <c r="A1735">
        <v>-111.973921</v>
      </c>
      <c r="B1735">
        <v>33.068720999999996</v>
      </c>
      <c r="C1735">
        <v>1.3</v>
      </c>
      <c r="D1735">
        <v>1.1648000000000001</v>
      </c>
      <c r="E1735">
        <v>878762125</v>
      </c>
      <c r="F1735">
        <v>120</v>
      </c>
    </row>
    <row r="1736" spans="1:6" x14ac:dyDescent="0.25">
      <c r="A1736">
        <v>-111.973921</v>
      </c>
      <c r="B1736">
        <v>33.068728</v>
      </c>
      <c r="C1736">
        <v>1.345</v>
      </c>
      <c r="D1736">
        <v>1.20512</v>
      </c>
      <c r="E1736">
        <v>878762127</v>
      </c>
      <c r="F1736">
        <v>120</v>
      </c>
    </row>
    <row r="1737" spans="1:6" x14ac:dyDescent="0.25">
      <c r="A1737">
        <v>-111.973921</v>
      </c>
      <c r="B1737">
        <v>33.068734999999997</v>
      </c>
      <c r="C1737">
        <v>1.0549999999999999</v>
      </c>
      <c r="D1737">
        <v>0.94528000000000001</v>
      </c>
      <c r="E1737">
        <v>878762129</v>
      </c>
      <c r="F1737">
        <v>120</v>
      </c>
    </row>
    <row r="1738" spans="1:6" x14ac:dyDescent="0.25">
      <c r="A1738">
        <v>-111.973921</v>
      </c>
      <c r="B1738">
        <v>33.068742999999998</v>
      </c>
      <c r="C1738">
        <v>0.99</v>
      </c>
      <c r="D1738">
        <v>0.88704000000000005</v>
      </c>
      <c r="E1738">
        <v>878762131</v>
      </c>
      <c r="F1738">
        <v>120</v>
      </c>
    </row>
    <row r="1739" spans="1:6" x14ac:dyDescent="0.25">
      <c r="A1739">
        <v>-111.97392000000001</v>
      </c>
      <c r="B1739">
        <v>33.068750999999999</v>
      </c>
      <c r="C1739">
        <v>1.115</v>
      </c>
      <c r="D1739">
        <v>0.99904000000000004</v>
      </c>
      <c r="E1739">
        <v>878762133</v>
      </c>
      <c r="F1739">
        <v>120</v>
      </c>
    </row>
    <row r="1740" spans="1:6" x14ac:dyDescent="0.25">
      <c r="A1740">
        <v>-111.97392000000001</v>
      </c>
      <c r="B1740">
        <v>33.068758000000003</v>
      </c>
      <c r="C1740">
        <v>1.615</v>
      </c>
      <c r="D1740">
        <v>1.4470400000000001</v>
      </c>
      <c r="E1740">
        <v>878762135</v>
      </c>
      <c r="F1740">
        <v>120</v>
      </c>
    </row>
    <row r="1741" spans="1:6" x14ac:dyDescent="0.25">
      <c r="A1741">
        <v>-111.97392000000001</v>
      </c>
      <c r="B1741">
        <v>33.068764999999999</v>
      </c>
      <c r="C1741">
        <v>1.44</v>
      </c>
      <c r="D1741">
        <v>1.2902400000000001</v>
      </c>
      <c r="E1741">
        <v>878762137</v>
      </c>
      <c r="F1741">
        <v>120</v>
      </c>
    </row>
    <row r="1742" spans="1:6" x14ac:dyDescent="0.25">
      <c r="A1742">
        <v>-111.97392000000001</v>
      </c>
      <c r="B1742">
        <v>33.068770999999998</v>
      </c>
      <c r="C1742">
        <v>1.56</v>
      </c>
      <c r="D1742">
        <v>1.3977599999999999</v>
      </c>
      <c r="E1742">
        <v>878762139</v>
      </c>
      <c r="F1742">
        <v>120</v>
      </c>
    </row>
    <row r="1743" spans="1:6" x14ac:dyDescent="0.25">
      <c r="A1743">
        <v>-111.97392000000001</v>
      </c>
      <c r="B1743">
        <v>33.068778999999999</v>
      </c>
      <c r="C1743">
        <v>1.5649999999999999</v>
      </c>
      <c r="D1743">
        <v>1.4022399999999999</v>
      </c>
      <c r="E1743">
        <v>878762141</v>
      </c>
      <c r="F1743">
        <v>120</v>
      </c>
    </row>
    <row r="1744" spans="1:6" x14ac:dyDescent="0.25">
      <c r="A1744">
        <v>-111.97392000000001</v>
      </c>
      <c r="B1744">
        <v>33.068786000000003</v>
      </c>
      <c r="C1744">
        <v>0.33500000000000002</v>
      </c>
      <c r="D1744">
        <v>0.30015999999999998</v>
      </c>
      <c r="E1744">
        <v>878762143</v>
      </c>
      <c r="F1744">
        <v>120</v>
      </c>
    </row>
    <row r="1745" spans="1:6" x14ac:dyDescent="0.25">
      <c r="A1745">
        <v>-111.973917</v>
      </c>
      <c r="B1745">
        <v>33.068800000000003</v>
      </c>
      <c r="C1745">
        <v>0.155</v>
      </c>
      <c r="D1745">
        <v>0.13888</v>
      </c>
      <c r="E1745">
        <v>878762147</v>
      </c>
      <c r="F1745">
        <v>120</v>
      </c>
    </row>
    <row r="1746" spans="1:6" x14ac:dyDescent="0.25">
      <c r="A1746">
        <v>-111.973917</v>
      </c>
      <c r="B1746">
        <v>33.068807999999997</v>
      </c>
      <c r="C1746">
        <v>3.5000000000000003E-2</v>
      </c>
      <c r="D1746">
        <v>3.1359999999999999E-2</v>
      </c>
      <c r="E1746">
        <v>878762149</v>
      </c>
      <c r="F1746">
        <v>120</v>
      </c>
    </row>
    <row r="1747" spans="1:6" x14ac:dyDescent="0.25">
      <c r="A1747">
        <v>-111.973918</v>
      </c>
      <c r="B1747">
        <v>33.068815000000001</v>
      </c>
      <c r="C1747">
        <v>2.5000000000000001E-2</v>
      </c>
      <c r="D1747">
        <v>2.24E-2</v>
      </c>
      <c r="E1747">
        <v>878762151</v>
      </c>
      <c r="F1747">
        <v>120</v>
      </c>
    </row>
    <row r="1748" spans="1:6" x14ac:dyDescent="0.25">
      <c r="A1748">
        <v>-111.973918</v>
      </c>
      <c r="B1748">
        <v>33.068823000000002</v>
      </c>
      <c r="C1748">
        <v>5.0000000000000001E-3</v>
      </c>
      <c r="D1748">
        <v>4.4799999999999996E-3</v>
      </c>
      <c r="E1748">
        <v>878762153</v>
      </c>
      <c r="F1748">
        <v>120</v>
      </c>
    </row>
    <row r="1749" spans="1:6" x14ac:dyDescent="0.25">
      <c r="A1749">
        <v>-111.973916</v>
      </c>
      <c r="B1749">
        <v>33.068829999999998</v>
      </c>
      <c r="C1749">
        <v>5.0000000000000001E-3</v>
      </c>
      <c r="D1749">
        <v>4.4799999999999996E-3</v>
      </c>
      <c r="E1749">
        <v>878762155</v>
      </c>
      <c r="F1749">
        <v>120</v>
      </c>
    </row>
    <row r="1750" spans="1:6" x14ac:dyDescent="0.25">
      <c r="A1750">
        <v>-111.973916</v>
      </c>
      <c r="B1750">
        <v>33.068837000000002</v>
      </c>
      <c r="C1750">
        <v>0.105</v>
      </c>
      <c r="D1750">
        <v>9.4079999999999997E-2</v>
      </c>
      <c r="E1750">
        <v>878762157</v>
      </c>
      <c r="F1750">
        <v>120</v>
      </c>
    </row>
    <row r="1751" spans="1:6" x14ac:dyDescent="0.25">
      <c r="A1751">
        <v>-111.973917</v>
      </c>
      <c r="B1751">
        <v>33.068843999999999</v>
      </c>
      <c r="C1751">
        <v>0.15</v>
      </c>
      <c r="D1751">
        <v>0.13439999999999999</v>
      </c>
      <c r="E1751">
        <v>878762159</v>
      </c>
      <c r="F1751">
        <v>120</v>
      </c>
    </row>
    <row r="1752" spans="1:6" x14ac:dyDescent="0.25">
      <c r="A1752">
        <v>-111.973919</v>
      </c>
      <c r="B1752">
        <v>33.068852</v>
      </c>
      <c r="C1752">
        <v>0.01</v>
      </c>
      <c r="D1752">
        <v>8.9599999999999992E-3</v>
      </c>
      <c r="E1752">
        <v>878762161</v>
      </c>
      <c r="F1752">
        <v>120</v>
      </c>
    </row>
    <row r="1753" spans="1:6" x14ac:dyDescent="0.25">
      <c r="A1753">
        <v>-111.97392000000001</v>
      </c>
      <c r="B1753">
        <v>33.068866</v>
      </c>
      <c r="C1753">
        <v>5.0000000000000001E-3</v>
      </c>
      <c r="D1753">
        <v>4.4799999999999996E-3</v>
      </c>
      <c r="E1753">
        <v>878762165</v>
      </c>
      <c r="F1753">
        <v>120</v>
      </c>
    </row>
    <row r="1754" spans="1:6" x14ac:dyDescent="0.25">
      <c r="A1754">
        <v>-111.973918</v>
      </c>
      <c r="B1754">
        <v>33.068871999999999</v>
      </c>
      <c r="C1754">
        <v>0.80500000000000005</v>
      </c>
      <c r="D1754">
        <v>0.72128000000000003</v>
      </c>
      <c r="E1754">
        <v>878762167</v>
      </c>
      <c r="F1754">
        <v>120</v>
      </c>
    </row>
    <row r="1755" spans="1:6" x14ac:dyDescent="0.25">
      <c r="A1755">
        <v>-111.973918</v>
      </c>
      <c r="B1755">
        <v>33.06888</v>
      </c>
      <c r="C1755">
        <v>1.4650000000000001</v>
      </c>
      <c r="D1755">
        <v>1.31264</v>
      </c>
      <c r="E1755">
        <v>878762169</v>
      </c>
      <c r="F1755">
        <v>120</v>
      </c>
    </row>
    <row r="1756" spans="1:6" x14ac:dyDescent="0.25">
      <c r="A1756">
        <v>-111.973919</v>
      </c>
      <c r="B1756">
        <v>33.068888000000001</v>
      </c>
      <c r="C1756">
        <v>1.395</v>
      </c>
      <c r="D1756">
        <v>1.2499199999999999</v>
      </c>
      <c r="E1756">
        <v>878762171</v>
      </c>
      <c r="F1756">
        <v>120</v>
      </c>
    </row>
    <row r="1757" spans="1:6" x14ac:dyDescent="0.25">
      <c r="A1757">
        <v>-111.97392000000001</v>
      </c>
      <c r="B1757">
        <v>33.068894999999998</v>
      </c>
      <c r="C1757">
        <v>1.36</v>
      </c>
      <c r="D1757">
        <v>1.2185600000000001</v>
      </c>
      <c r="E1757">
        <v>878762173</v>
      </c>
      <c r="F1757">
        <v>120</v>
      </c>
    </row>
    <row r="1758" spans="1:6" x14ac:dyDescent="0.25">
      <c r="A1758">
        <v>-111.97392000000001</v>
      </c>
      <c r="B1758">
        <v>33.068902000000001</v>
      </c>
      <c r="C1758">
        <v>0.82</v>
      </c>
      <c r="D1758">
        <v>0.73472000000000004</v>
      </c>
      <c r="E1758">
        <v>878762175</v>
      </c>
      <c r="F1758">
        <v>120</v>
      </c>
    </row>
    <row r="1759" spans="1:6" x14ac:dyDescent="0.25">
      <c r="A1759">
        <v>-111.973919</v>
      </c>
      <c r="B1759">
        <v>33.068910000000002</v>
      </c>
      <c r="C1759">
        <v>0.56999999999999995</v>
      </c>
      <c r="D1759">
        <v>0.51071999999999995</v>
      </c>
      <c r="E1759">
        <v>878762177</v>
      </c>
      <c r="F1759">
        <v>120</v>
      </c>
    </row>
    <row r="1760" spans="1:6" x14ac:dyDescent="0.25">
      <c r="A1760">
        <v>-111.973918</v>
      </c>
      <c r="B1760">
        <v>33.068916999999999</v>
      </c>
      <c r="C1760">
        <v>0.78</v>
      </c>
      <c r="D1760">
        <v>0.69887999999999995</v>
      </c>
      <c r="E1760">
        <v>878762179</v>
      </c>
      <c r="F1760">
        <v>120</v>
      </c>
    </row>
    <row r="1761" spans="1:6" x14ac:dyDescent="0.25">
      <c r="A1761">
        <v>-111.973919</v>
      </c>
      <c r="B1761">
        <v>33.068924000000003</v>
      </c>
      <c r="C1761">
        <v>0.70499999999999996</v>
      </c>
      <c r="D1761">
        <v>0.63168000000000002</v>
      </c>
      <c r="E1761">
        <v>878762181</v>
      </c>
      <c r="F1761">
        <v>120</v>
      </c>
    </row>
    <row r="1762" spans="1:6" x14ac:dyDescent="0.25">
      <c r="A1762">
        <v>-111.973918</v>
      </c>
      <c r="B1762">
        <v>33.068930999999999</v>
      </c>
      <c r="C1762">
        <v>0.77</v>
      </c>
      <c r="D1762">
        <v>0.68991999999999998</v>
      </c>
      <c r="E1762">
        <v>878762183</v>
      </c>
      <c r="F1762">
        <v>120</v>
      </c>
    </row>
    <row r="1763" spans="1:6" x14ac:dyDescent="0.25">
      <c r="A1763">
        <v>-111.973919</v>
      </c>
      <c r="B1763">
        <v>33.068939</v>
      </c>
      <c r="C1763">
        <v>0.79</v>
      </c>
      <c r="D1763">
        <v>0.70784000000000002</v>
      </c>
      <c r="E1763">
        <v>878762185</v>
      </c>
      <c r="F1763">
        <v>120</v>
      </c>
    </row>
    <row r="1764" spans="1:6" x14ac:dyDescent="0.25">
      <c r="A1764">
        <v>-111.973919</v>
      </c>
      <c r="B1764">
        <v>33.068945999999997</v>
      </c>
      <c r="C1764">
        <v>0.47499999999999998</v>
      </c>
      <c r="D1764">
        <v>0.42559999999999998</v>
      </c>
      <c r="E1764">
        <v>878762187</v>
      </c>
      <c r="F1764">
        <v>120</v>
      </c>
    </row>
    <row r="1765" spans="1:6" x14ac:dyDescent="0.25">
      <c r="A1765">
        <v>-111.97392000000001</v>
      </c>
      <c r="B1765">
        <v>33.068953</v>
      </c>
      <c r="C1765">
        <v>0.77500000000000002</v>
      </c>
      <c r="D1765">
        <v>0.69440000000000002</v>
      </c>
      <c r="E1765">
        <v>878762189</v>
      </c>
      <c r="F1765">
        <v>120</v>
      </c>
    </row>
    <row r="1766" spans="1:6" x14ac:dyDescent="0.25">
      <c r="A1766">
        <v>-111.97392000000001</v>
      </c>
      <c r="B1766">
        <v>33.068959999999997</v>
      </c>
      <c r="C1766">
        <v>0.92</v>
      </c>
      <c r="D1766">
        <v>0.82432000000000005</v>
      </c>
      <c r="E1766">
        <v>878762191</v>
      </c>
      <c r="F1766">
        <v>120</v>
      </c>
    </row>
    <row r="1767" spans="1:6" x14ac:dyDescent="0.25">
      <c r="A1767">
        <v>-111.97392000000001</v>
      </c>
      <c r="B1767">
        <v>33.068967999999998</v>
      </c>
      <c r="C1767">
        <v>0.65500000000000003</v>
      </c>
      <c r="D1767">
        <v>0.58687999999999996</v>
      </c>
      <c r="E1767">
        <v>878762193</v>
      </c>
      <c r="F1767">
        <v>120</v>
      </c>
    </row>
    <row r="1768" spans="1:6" x14ac:dyDescent="0.25">
      <c r="A1768">
        <v>-111.973919</v>
      </c>
      <c r="B1768">
        <v>33.068975000000002</v>
      </c>
      <c r="C1768">
        <v>0.66500000000000004</v>
      </c>
      <c r="D1768">
        <v>0.59584000000000004</v>
      </c>
      <c r="E1768">
        <v>878762195</v>
      </c>
      <c r="F1768">
        <v>120</v>
      </c>
    </row>
    <row r="1769" spans="1:6" x14ac:dyDescent="0.25">
      <c r="A1769">
        <v>-111.973918</v>
      </c>
      <c r="B1769">
        <v>33.068981999999998</v>
      </c>
      <c r="C1769">
        <v>0.65500000000000003</v>
      </c>
      <c r="D1769">
        <v>0.58687999999999996</v>
      </c>
      <c r="E1769">
        <v>878762197</v>
      </c>
      <c r="F1769">
        <v>120</v>
      </c>
    </row>
    <row r="1770" spans="1:6" x14ac:dyDescent="0.25">
      <c r="A1770">
        <v>-111.973919</v>
      </c>
      <c r="B1770">
        <v>33.068989999999999</v>
      </c>
      <c r="C1770">
        <v>0.65</v>
      </c>
      <c r="D1770">
        <v>0.58240000000000003</v>
      </c>
      <c r="E1770">
        <v>878762199</v>
      </c>
      <c r="F1770">
        <v>120</v>
      </c>
    </row>
    <row r="1771" spans="1:6" x14ac:dyDescent="0.25">
      <c r="A1771">
        <v>-111.973919</v>
      </c>
      <c r="B1771">
        <v>33.068997000000003</v>
      </c>
      <c r="C1771">
        <v>0.68500000000000005</v>
      </c>
      <c r="D1771">
        <v>0.61375999999999997</v>
      </c>
      <c r="E1771">
        <v>878762201</v>
      </c>
      <c r="F1771">
        <v>120</v>
      </c>
    </row>
    <row r="1772" spans="1:6" x14ac:dyDescent="0.25">
      <c r="A1772">
        <v>-111.973919</v>
      </c>
      <c r="B1772">
        <v>33.069004</v>
      </c>
      <c r="C1772">
        <v>0.45</v>
      </c>
      <c r="D1772">
        <v>0.4032</v>
      </c>
      <c r="E1772">
        <v>878762203</v>
      </c>
      <c r="F1772">
        <v>120</v>
      </c>
    </row>
    <row r="1773" spans="1:6" x14ac:dyDescent="0.25">
      <c r="A1773">
        <v>-111.973918</v>
      </c>
      <c r="B1773">
        <v>33.069011000000003</v>
      </c>
      <c r="C1773">
        <v>0.68</v>
      </c>
      <c r="D1773">
        <v>0.60928000000000004</v>
      </c>
      <c r="E1773">
        <v>878762205</v>
      </c>
      <c r="F1773">
        <v>120</v>
      </c>
    </row>
    <row r="1774" spans="1:6" x14ac:dyDescent="0.25">
      <c r="A1774">
        <v>-111.973918</v>
      </c>
      <c r="B1774">
        <v>33.069018</v>
      </c>
      <c r="C1774">
        <v>1.0349999999999999</v>
      </c>
      <c r="D1774">
        <v>0.92735999999999996</v>
      </c>
      <c r="E1774">
        <v>878762207</v>
      </c>
      <c r="F1774">
        <v>120</v>
      </c>
    </row>
    <row r="1775" spans="1:6" x14ac:dyDescent="0.25">
      <c r="A1775">
        <v>-111.973918</v>
      </c>
      <c r="B1775">
        <v>33.069025000000003</v>
      </c>
      <c r="C1775">
        <v>0.27500000000000002</v>
      </c>
      <c r="D1775">
        <v>0.24640000000000001</v>
      </c>
      <c r="E1775">
        <v>878762209</v>
      </c>
      <c r="F1775">
        <v>120</v>
      </c>
    </row>
    <row r="1776" spans="1:6" x14ac:dyDescent="0.25">
      <c r="A1776">
        <v>-111.9739</v>
      </c>
      <c r="B1776">
        <v>33.067974999999997</v>
      </c>
      <c r="C1776">
        <v>5.0000000000000001E-3</v>
      </c>
      <c r="D1776">
        <v>4.4799999999999996E-3</v>
      </c>
      <c r="E1776">
        <v>878763840</v>
      </c>
      <c r="F1776">
        <v>120</v>
      </c>
    </row>
    <row r="1777" spans="1:6" x14ac:dyDescent="0.25">
      <c r="A1777">
        <v>-111.973939</v>
      </c>
      <c r="B1777">
        <v>33.067982000000001</v>
      </c>
      <c r="C1777">
        <v>5.0000000000000001E-3</v>
      </c>
      <c r="D1777">
        <v>4.4799999999999996E-3</v>
      </c>
      <c r="E1777">
        <v>878763848</v>
      </c>
      <c r="F1777">
        <v>120</v>
      </c>
    </row>
    <row r="1778" spans="1:6" x14ac:dyDescent="0.25">
      <c r="A1778">
        <v>-111.973985</v>
      </c>
      <c r="B1778">
        <v>33.067991999999997</v>
      </c>
      <c r="C1778">
        <v>7.0000000000000007E-2</v>
      </c>
      <c r="D1778">
        <v>6.2719999999999998E-2</v>
      </c>
      <c r="E1778">
        <v>878763856</v>
      </c>
      <c r="F1778">
        <v>120</v>
      </c>
    </row>
    <row r="1779" spans="1:6" x14ac:dyDescent="0.25">
      <c r="A1779">
        <v>-111.973995</v>
      </c>
      <c r="B1779">
        <v>33.067993999999999</v>
      </c>
      <c r="C1779">
        <v>0.81499999999999995</v>
      </c>
      <c r="D1779">
        <v>0.73024</v>
      </c>
      <c r="E1779">
        <v>878763858</v>
      </c>
      <c r="F1779">
        <v>120</v>
      </c>
    </row>
    <row r="1780" spans="1:6" x14ac:dyDescent="0.25">
      <c r="A1780">
        <v>-111.97400399999999</v>
      </c>
      <c r="B1780">
        <v>33.067996000000001</v>
      </c>
      <c r="C1780">
        <v>3.4049999999999998</v>
      </c>
      <c r="D1780">
        <v>3.0508799999999998</v>
      </c>
      <c r="E1780">
        <v>878763860</v>
      </c>
      <c r="F1780">
        <v>120</v>
      </c>
    </row>
    <row r="1781" spans="1:6" x14ac:dyDescent="0.25">
      <c r="A1781">
        <v>-111.974051</v>
      </c>
      <c r="B1781">
        <v>33.068046000000002</v>
      </c>
      <c r="C1781">
        <v>5.0000000000000001E-3</v>
      </c>
      <c r="D1781">
        <v>4.4799999999999996E-3</v>
      </c>
      <c r="E1781">
        <v>878763886</v>
      </c>
      <c r="F1781">
        <v>120</v>
      </c>
    </row>
    <row r="1782" spans="1:6" x14ac:dyDescent="0.25">
      <c r="A1782">
        <v>-111.974051</v>
      </c>
      <c r="B1782">
        <v>33.068052000000002</v>
      </c>
      <c r="C1782">
        <v>5.0000000000000001E-3</v>
      </c>
      <c r="D1782">
        <v>4.4799999999999996E-3</v>
      </c>
      <c r="E1782">
        <v>878763888</v>
      </c>
      <c r="F1782">
        <v>120</v>
      </c>
    </row>
    <row r="1783" spans="1:6" x14ac:dyDescent="0.25">
      <c r="A1783">
        <v>-111.974051</v>
      </c>
      <c r="B1783">
        <v>33.068052000000002</v>
      </c>
      <c r="C1783">
        <v>0.03</v>
      </c>
      <c r="D1783">
        <v>2.6880000000000001E-2</v>
      </c>
      <c r="E1783">
        <v>878763890</v>
      </c>
      <c r="F1783">
        <v>120</v>
      </c>
    </row>
    <row r="1784" spans="1:6" x14ac:dyDescent="0.25">
      <c r="A1784">
        <v>-111.974051</v>
      </c>
      <c r="B1784">
        <v>33.068036999999997</v>
      </c>
      <c r="C1784">
        <v>0.125</v>
      </c>
      <c r="D1784">
        <v>0.112</v>
      </c>
      <c r="E1784">
        <v>878763916</v>
      </c>
      <c r="F1784">
        <v>120</v>
      </c>
    </row>
    <row r="1785" spans="1:6" x14ac:dyDescent="0.25">
      <c r="A1785">
        <v>-111.974051</v>
      </c>
      <c r="B1785">
        <v>33.068040000000003</v>
      </c>
      <c r="C1785">
        <v>9.5000000000000001E-2</v>
      </c>
      <c r="D1785">
        <v>8.5120000000000001E-2</v>
      </c>
      <c r="E1785">
        <v>878763918</v>
      </c>
      <c r="F1785">
        <v>120</v>
      </c>
    </row>
    <row r="1786" spans="1:6" x14ac:dyDescent="0.25">
      <c r="A1786">
        <v>-111.974052</v>
      </c>
      <c r="B1786">
        <v>33.068046000000002</v>
      </c>
      <c r="C1786">
        <v>0.16500000000000001</v>
      </c>
      <c r="D1786">
        <v>0.14784</v>
      </c>
      <c r="E1786">
        <v>878763920</v>
      </c>
      <c r="F1786">
        <v>120</v>
      </c>
    </row>
    <row r="1787" spans="1:6" x14ac:dyDescent="0.25">
      <c r="A1787">
        <v>-111.974051</v>
      </c>
      <c r="B1787">
        <v>33.068052999999999</v>
      </c>
      <c r="C1787">
        <v>0.76500000000000001</v>
      </c>
      <c r="D1787">
        <v>0.68544000000000005</v>
      </c>
      <c r="E1787">
        <v>878763922</v>
      </c>
      <c r="F1787">
        <v>120</v>
      </c>
    </row>
    <row r="1788" spans="1:6" x14ac:dyDescent="0.25">
      <c r="A1788">
        <v>-111.974052</v>
      </c>
      <c r="B1788">
        <v>33.068058000000001</v>
      </c>
      <c r="C1788">
        <v>0.67</v>
      </c>
      <c r="D1788">
        <v>0.60031999999999996</v>
      </c>
      <c r="E1788">
        <v>878763924</v>
      </c>
      <c r="F1788">
        <v>120</v>
      </c>
    </row>
    <row r="1789" spans="1:6" x14ac:dyDescent="0.25">
      <c r="A1789">
        <v>-111.974053</v>
      </c>
      <c r="B1789">
        <v>33.068064</v>
      </c>
      <c r="C1789">
        <v>0.64</v>
      </c>
      <c r="D1789">
        <v>0.57343999999999995</v>
      </c>
      <c r="E1789">
        <v>878763926</v>
      </c>
      <c r="F1789">
        <v>120</v>
      </c>
    </row>
    <row r="1790" spans="1:6" x14ac:dyDescent="0.25">
      <c r="A1790">
        <v>-111.974054</v>
      </c>
      <c r="B1790">
        <v>33.068072000000001</v>
      </c>
      <c r="C1790">
        <v>1.94</v>
      </c>
      <c r="D1790">
        <v>1.73824</v>
      </c>
      <c r="E1790">
        <v>878763928</v>
      </c>
      <c r="F1790">
        <v>120</v>
      </c>
    </row>
    <row r="1791" spans="1:6" x14ac:dyDescent="0.25">
      <c r="A1791">
        <v>-111.974054</v>
      </c>
      <c r="B1791">
        <v>33.068078</v>
      </c>
      <c r="C1791">
        <v>1.0900000000000001</v>
      </c>
      <c r="D1791">
        <v>0.97663999999999995</v>
      </c>
      <c r="E1791">
        <v>878763930</v>
      </c>
      <c r="F1791">
        <v>120</v>
      </c>
    </row>
    <row r="1792" spans="1:6" x14ac:dyDescent="0.25">
      <c r="A1792">
        <v>-111.97405500000001</v>
      </c>
      <c r="B1792">
        <v>33.068086000000001</v>
      </c>
      <c r="C1792">
        <v>0.81499999999999995</v>
      </c>
      <c r="D1792">
        <v>0.73024</v>
      </c>
      <c r="E1792">
        <v>878763932</v>
      </c>
      <c r="F1792">
        <v>120</v>
      </c>
    </row>
    <row r="1793" spans="1:6" x14ac:dyDescent="0.25">
      <c r="A1793">
        <v>-111.974054</v>
      </c>
      <c r="B1793">
        <v>33.068092</v>
      </c>
      <c r="C1793">
        <v>0.97499999999999998</v>
      </c>
      <c r="D1793">
        <v>0.87360000000000004</v>
      </c>
      <c r="E1793">
        <v>878763934</v>
      </c>
      <c r="F1793">
        <v>120</v>
      </c>
    </row>
    <row r="1794" spans="1:6" x14ac:dyDescent="0.25">
      <c r="A1794">
        <v>-111.974054</v>
      </c>
      <c r="B1794">
        <v>33.068100999999999</v>
      </c>
      <c r="C1794">
        <v>2.4350000000000001</v>
      </c>
      <c r="D1794">
        <v>2.1817600000000001</v>
      </c>
      <c r="E1794">
        <v>878763936</v>
      </c>
      <c r="F1794">
        <v>120</v>
      </c>
    </row>
    <row r="1795" spans="1:6" x14ac:dyDescent="0.25">
      <c r="A1795">
        <v>-111.974054</v>
      </c>
      <c r="B1795">
        <v>33.068108000000002</v>
      </c>
      <c r="C1795">
        <v>1.135</v>
      </c>
      <c r="D1795">
        <v>1.0169600000000001</v>
      </c>
      <c r="E1795">
        <v>878763938</v>
      </c>
      <c r="F1795">
        <v>120</v>
      </c>
    </row>
    <row r="1796" spans="1:6" x14ac:dyDescent="0.25">
      <c r="A1796">
        <v>-111.974054</v>
      </c>
      <c r="B1796">
        <v>33.068116000000003</v>
      </c>
      <c r="C1796">
        <v>1.05</v>
      </c>
      <c r="D1796">
        <v>0.94079999999999997</v>
      </c>
      <c r="E1796">
        <v>878763940</v>
      </c>
      <c r="F1796">
        <v>120</v>
      </c>
    </row>
    <row r="1797" spans="1:6" x14ac:dyDescent="0.25">
      <c r="A1797">
        <v>-111.974054</v>
      </c>
      <c r="B1797">
        <v>33.068123999999997</v>
      </c>
      <c r="C1797">
        <v>1.0649999999999999</v>
      </c>
      <c r="D1797">
        <v>0.95423999999999998</v>
      </c>
      <c r="E1797">
        <v>878763942</v>
      </c>
      <c r="F1797">
        <v>120</v>
      </c>
    </row>
    <row r="1798" spans="1:6" x14ac:dyDescent="0.25">
      <c r="A1798">
        <v>-111.97405500000001</v>
      </c>
      <c r="B1798">
        <v>33.068131000000001</v>
      </c>
      <c r="C1798">
        <v>1.3149999999999999</v>
      </c>
      <c r="D1798">
        <v>1.17824</v>
      </c>
      <c r="E1798">
        <v>878763944</v>
      </c>
      <c r="F1798">
        <v>120</v>
      </c>
    </row>
    <row r="1799" spans="1:6" x14ac:dyDescent="0.25">
      <c r="A1799">
        <v>-111.97405500000001</v>
      </c>
      <c r="B1799">
        <v>33.068137999999998</v>
      </c>
      <c r="C1799">
        <v>2</v>
      </c>
      <c r="D1799">
        <v>1.792</v>
      </c>
      <c r="E1799">
        <v>878763946</v>
      </c>
      <c r="F1799">
        <v>120</v>
      </c>
    </row>
    <row r="1800" spans="1:6" x14ac:dyDescent="0.25">
      <c r="A1800">
        <v>-111.97405500000001</v>
      </c>
      <c r="B1800">
        <v>33.068145999999999</v>
      </c>
      <c r="C1800">
        <v>1.97</v>
      </c>
      <c r="D1800">
        <v>1.76512</v>
      </c>
      <c r="E1800">
        <v>878763948</v>
      </c>
      <c r="F1800">
        <v>120</v>
      </c>
    </row>
    <row r="1801" spans="1:6" x14ac:dyDescent="0.25">
      <c r="A1801">
        <v>-111.97405500000001</v>
      </c>
      <c r="B1801">
        <v>33.068153000000002</v>
      </c>
      <c r="C1801">
        <v>1.89</v>
      </c>
      <c r="D1801">
        <v>1.6934400000000001</v>
      </c>
      <c r="E1801">
        <v>878763950</v>
      </c>
      <c r="F1801">
        <v>120</v>
      </c>
    </row>
    <row r="1802" spans="1:6" x14ac:dyDescent="0.25">
      <c r="A1802">
        <v>-111.97405500000001</v>
      </c>
      <c r="B1802">
        <v>33.068161000000003</v>
      </c>
      <c r="C1802">
        <v>1.31</v>
      </c>
      <c r="D1802">
        <v>1.1737599999999999</v>
      </c>
      <c r="E1802">
        <v>878763952</v>
      </c>
      <c r="F1802">
        <v>120</v>
      </c>
    </row>
    <row r="1803" spans="1:6" x14ac:dyDescent="0.25">
      <c r="A1803">
        <v>-111.97405500000001</v>
      </c>
      <c r="B1803">
        <v>33.068168999999997</v>
      </c>
      <c r="C1803">
        <v>1.5449999999999999</v>
      </c>
      <c r="D1803">
        <v>1.38432</v>
      </c>
      <c r="E1803">
        <v>878763954</v>
      </c>
      <c r="F1803">
        <v>120</v>
      </c>
    </row>
    <row r="1804" spans="1:6" x14ac:dyDescent="0.25">
      <c r="A1804">
        <v>-111.97405500000001</v>
      </c>
      <c r="B1804">
        <v>33.068176999999999</v>
      </c>
      <c r="C1804">
        <v>1.78</v>
      </c>
      <c r="D1804">
        <v>1.5948800000000001</v>
      </c>
      <c r="E1804">
        <v>878763956</v>
      </c>
      <c r="F1804">
        <v>120</v>
      </c>
    </row>
    <row r="1805" spans="1:6" x14ac:dyDescent="0.25">
      <c r="A1805">
        <v>-111.97405500000001</v>
      </c>
      <c r="B1805">
        <v>33.068185</v>
      </c>
      <c r="C1805">
        <v>1.4</v>
      </c>
      <c r="D1805">
        <v>1.2544</v>
      </c>
      <c r="E1805">
        <v>878763958</v>
      </c>
      <c r="F1805">
        <v>120</v>
      </c>
    </row>
    <row r="1806" spans="1:6" x14ac:dyDescent="0.25">
      <c r="A1806">
        <v>-111.97405500000001</v>
      </c>
      <c r="B1806">
        <v>33.068193000000001</v>
      </c>
      <c r="C1806">
        <v>1.63</v>
      </c>
      <c r="D1806">
        <v>1.46048</v>
      </c>
      <c r="E1806">
        <v>878763960</v>
      </c>
      <c r="F1806">
        <v>120</v>
      </c>
    </row>
    <row r="1807" spans="1:6" x14ac:dyDescent="0.25">
      <c r="A1807">
        <v>-111.974056</v>
      </c>
      <c r="B1807">
        <v>33.068199999999997</v>
      </c>
      <c r="C1807">
        <v>0.52500000000000002</v>
      </c>
      <c r="D1807">
        <v>0.47039999999999998</v>
      </c>
      <c r="E1807">
        <v>878763962</v>
      </c>
      <c r="F1807">
        <v>120</v>
      </c>
    </row>
    <row r="1808" spans="1:6" x14ac:dyDescent="0.25">
      <c r="A1808">
        <v>-111.974056</v>
      </c>
      <c r="B1808">
        <v>33.068207999999998</v>
      </c>
      <c r="C1808">
        <v>0.06</v>
      </c>
      <c r="D1808">
        <v>5.3760000000000002E-2</v>
      </c>
      <c r="E1808">
        <v>878763964</v>
      </c>
      <c r="F1808">
        <v>120</v>
      </c>
    </row>
    <row r="1809" spans="1:6" x14ac:dyDescent="0.25">
      <c r="A1809">
        <v>-111.974054</v>
      </c>
      <c r="B1809">
        <v>33.068213999999998</v>
      </c>
      <c r="C1809">
        <v>4.2149999999999999</v>
      </c>
      <c r="D1809">
        <v>3.77664</v>
      </c>
      <c r="E1809">
        <v>878763966</v>
      </c>
      <c r="F1809">
        <v>120</v>
      </c>
    </row>
    <row r="1810" spans="1:6" x14ac:dyDescent="0.25">
      <c r="A1810">
        <v>-111.974053</v>
      </c>
      <c r="B1810">
        <v>33.068221999999999</v>
      </c>
      <c r="C1810">
        <v>2.9049999999999998</v>
      </c>
      <c r="D1810">
        <v>2.6028799999999999</v>
      </c>
      <c r="E1810">
        <v>878763968</v>
      </c>
      <c r="F1810">
        <v>120</v>
      </c>
    </row>
    <row r="1811" spans="1:6" x14ac:dyDescent="0.25">
      <c r="A1811">
        <v>-111.974054</v>
      </c>
      <c r="B1811">
        <v>33.06823</v>
      </c>
      <c r="C1811">
        <v>1.105</v>
      </c>
      <c r="D1811">
        <v>0.99007999999999996</v>
      </c>
      <c r="E1811">
        <v>878763970</v>
      </c>
      <c r="F1811">
        <v>120</v>
      </c>
    </row>
    <row r="1812" spans="1:6" x14ac:dyDescent="0.25">
      <c r="A1812">
        <v>-111.97405500000001</v>
      </c>
      <c r="B1812">
        <v>33.068238000000001</v>
      </c>
      <c r="C1812">
        <v>1.41</v>
      </c>
      <c r="D1812">
        <v>1.26336</v>
      </c>
      <c r="E1812">
        <v>878763972</v>
      </c>
      <c r="F1812">
        <v>120</v>
      </c>
    </row>
    <row r="1813" spans="1:6" x14ac:dyDescent="0.25">
      <c r="A1813">
        <v>-111.97405500000001</v>
      </c>
      <c r="B1813">
        <v>33.068246000000002</v>
      </c>
      <c r="C1813">
        <v>1.085</v>
      </c>
      <c r="D1813">
        <v>0.97216000000000002</v>
      </c>
      <c r="E1813">
        <v>878763974</v>
      </c>
      <c r="F1813">
        <v>120</v>
      </c>
    </row>
    <row r="1814" spans="1:6" x14ac:dyDescent="0.25">
      <c r="A1814">
        <v>-111.974054</v>
      </c>
      <c r="B1814">
        <v>33.068252999999999</v>
      </c>
      <c r="C1814">
        <v>1.04</v>
      </c>
      <c r="D1814">
        <v>0.93184</v>
      </c>
      <c r="E1814">
        <v>878763976</v>
      </c>
      <c r="F1814">
        <v>120</v>
      </c>
    </row>
    <row r="1815" spans="1:6" x14ac:dyDescent="0.25">
      <c r="A1815">
        <v>-111.974054</v>
      </c>
      <c r="B1815">
        <v>33.068261</v>
      </c>
      <c r="C1815">
        <v>0.85499999999999998</v>
      </c>
      <c r="D1815">
        <v>0.76607999999999998</v>
      </c>
      <c r="E1815">
        <v>878763978</v>
      </c>
      <c r="F1815">
        <v>120</v>
      </c>
    </row>
    <row r="1816" spans="1:6" x14ac:dyDescent="0.25">
      <c r="A1816">
        <v>-111.974054</v>
      </c>
      <c r="B1816">
        <v>33.068269000000001</v>
      </c>
      <c r="C1816">
        <v>0.97</v>
      </c>
      <c r="D1816">
        <v>0.86912</v>
      </c>
      <c r="E1816">
        <v>878763980</v>
      </c>
      <c r="F1816">
        <v>120</v>
      </c>
    </row>
    <row r="1817" spans="1:6" x14ac:dyDescent="0.25">
      <c r="A1817">
        <v>-111.97405500000001</v>
      </c>
      <c r="B1817">
        <v>33.068277000000002</v>
      </c>
      <c r="C1817">
        <v>0.97499999999999998</v>
      </c>
      <c r="D1817">
        <v>0.87360000000000004</v>
      </c>
      <c r="E1817">
        <v>878763982</v>
      </c>
      <c r="F1817">
        <v>120</v>
      </c>
    </row>
    <row r="1818" spans="1:6" x14ac:dyDescent="0.25">
      <c r="A1818">
        <v>-111.97405500000001</v>
      </c>
      <c r="B1818">
        <v>33.068283999999998</v>
      </c>
      <c r="C1818">
        <v>1.4650000000000001</v>
      </c>
      <c r="D1818">
        <v>1.31264</v>
      </c>
      <c r="E1818">
        <v>878763984</v>
      </c>
      <c r="F1818">
        <v>120</v>
      </c>
    </row>
    <row r="1819" spans="1:6" x14ac:dyDescent="0.25">
      <c r="A1819">
        <v>-111.97405500000001</v>
      </c>
      <c r="B1819">
        <v>33.068292</v>
      </c>
      <c r="C1819">
        <v>0.79</v>
      </c>
      <c r="D1819">
        <v>0.70784000000000002</v>
      </c>
      <c r="E1819">
        <v>878763986</v>
      </c>
      <c r="F1819">
        <v>120</v>
      </c>
    </row>
    <row r="1820" spans="1:6" x14ac:dyDescent="0.25">
      <c r="A1820">
        <v>-111.97405500000001</v>
      </c>
      <c r="B1820">
        <v>33.068299000000003</v>
      </c>
      <c r="C1820">
        <v>1.345</v>
      </c>
      <c r="D1820">
        <v>1.20512</v>
      </c>
      <c r="E1820">
        <v>878763988</v>
      </c>
      <c r="F1820">
        <v>120</v>
      </c>
    </row>
    <row r="1821" spans="1:6" x14ac:dyDescent="0.25">
      <c r="A1821">
        <v>-111.974054</v>
      </c>
      <c r="B1821">
        <v>33.068306999999997</v>
      </c>
      <c r="C1821">
        <v>1.28</v>
      </c>
      <c r="D1821">
        <v>1.1468799999999999</v>
      </c>
      <c r="E1821">
        <v>878763990</v>
      </c>
      <c r="F1821">
        <v>120</v>
      </c>
    </row>
    <row r="1822" spans="1:6" x14ac:dyDescent="0.25">
      <c r="A1822">
        <v>-111.974054</v>
      </c>
      <c r="B1822">
        <v>33.068314999999998</v>
      </c>
      <c r="C1822">
        <v>1.41</v>
      </c>
      <c r="D1822">
        <v>1.26336</v>
      </c>
      <c r="E1822">
        <v>878763992</v>
      </c>
      <c r="F1822">
        <v>120</v>
      </c>
    </row>
    <row r="1823" spans="1:6" x14ac:dyDescent="0.25">
      <c r="A1823">
        <v>-111.974054</v>
      </c>
      <c r="B1823">
        <v>33.068322000000002</v>
      </c>
      <c r="C1823">
        <v>1.0049999999999999</v>
      </c>
      <c r="D1823">
        <v>0.90047999999999995</v>
      </c>
      <c r="E1823">
        <v>878763994</v>
      </c>
      <c r="F1823">
        <v>120</v>
      </c>
    </row>
    <row r="1824" spans="1:6" x14ac:dyDescent="0.25">
      <c r="A1824">
        <v>-111.974054</v>
      </c>
      <c r="B1824">
        <v>33.068330000000003</v>
      </c>
      <c r="C1824">
        <v>1.2250000000000001</v>
      </c>
      <c r="D1824">
        <v>1.0975999999999999</v>
      </c>
      <c r="E1824">
        <v>878763996</v>
      </c>
      <c r="F1824">
        <v>120</v>
      </c>
    </row>
    <row r="1825" spans="1:6" x14ac:dyDescent="0.25">
      <c r="A1825">
        <v>-111.974054</v>
      </c>
      <c r="B1825">
        <v>33.068337999999997</v>
      </c>
      <c r="C1825">
        <v>1.28</v>
      </c>
      <c r="D1825">
        <v>1.1468799999999999</v>
      </c>
      <c r="E1825">
        <v>878763998</v>
      </c>
      <c r="F1825">
        <v>120</v>
      </c>
    </row>
    <row r="1826" spans="1:6" x14ac:dyDescent="0.25">
      <c r="A1826">
        <v>-111.97405500000001</v>
      </c>
      <c r="B1826">
        <v>33.068345999999998</v>
      </c>
      <c r="C1826">
        <v>1.1850000000000001</v>
      </c>
      <c r="D1826">
        <v>1.06176</v>
      </c>
      <c r="E1826">
        <v>878764000</v>
      </c>
      <c r="F1826">
        <v>120</v>
      </c>
    </row>
    <row r="1827" spans="1:6" x14ac:dyDescent="0.25">
      <c r="A1827">
        <v>-111.97405500000001</v>
      </c>
      <c r="B1827">
        <v>33.068353000000002</v>
      </c>
      <c r="C1827">
        <v>1.2649999999999999</v>
      </c>
      <c r="D1827">
        <v>1.13344</v>
      </c>
      <c r="E1827">
        <v>878764002</v>
      </c>
      <c r="F1827">
        <v>120</v>
      </c>
    </row>
    <row r="1828" spans="1:6" x14ac:dyDescent="0.25">
      <c r="A1828">
        <v>-111.974054</v>
      </c>
      <c r="B1828">
        <v>33.068361000000003</v>
      </c>
      <c r="C1828">
        <v>1.22</v>
      </c>
      <c r="D1828">
        <v>1.0931200000000001</v>
      </c>
      <c r="E1828">
        <v>878764004</v>
      </c>
      <c r="F1828">
        <v>120</v>
      </c>
    </row>
    <row r="1829" spans="1:6" x14ac:dyDescent="0.25">
      <c r="A1829">
        <v>-111.974054</v>
      </c>
      <c r="B1829">
        <v>33.068368</v>
      </c>
      <c r="C1829">
        <v>0.495</v>
      </c>
      <c r="D1829">
        <v>0.44352000000000003</v>
      </c>
      <c r="E1829">
        <v>878764006</v>
      </c>
      <c r="F1829">
        <v>120</v>
      </c>
    </row>
    <row r="1830" spans="1:6" x14ac:dyDescent="0.25">
      <c r="A1830">
        <v>-111.974052</v>
      </c>
      <c r="B1830">
        <v>33.068384000000002</v>
      </c>
      <c r="C1830">
        <v>5.0000000000000001E-3</v>
      </c>
      <c r="D1830">
        <v>4.4799999999999996E-3</v>
      </c>
      <c r="E1830">
        <v>878764010</v>
      </c>
      <c r="F1830">
        <v>120</v>
      </c>
    </row>
    <row r="1831" spans="1:6" x14ac:dyDescent="0.25">
      <c r="A1831">
        <v>-111.97405500000001</v>
      </c>
      <c r="B1831">
        <v>33.068455999999998</v>
      </c>
      <c r="C1831">
        <v>3.5000000000000003E-2</v>
      </c>
      <c r="D1831">
        <v>3.1359999999999999E-2</v>
      </c>
      <c r="E1831">
        <v>878764028</v>
      </c>
      <c r="F1831">
        <v>120</v>
      </c>
    </row>
    <row r="1832" spans="1:6" x14ac:dyDescent="0.25">
      <c r="A1832">
        <v>-111.974053</v>
      </c>
      <c r="B1832">
        <v>33.068461999999997</v>
      </c>
      <c r="C1832">
        <v>1.02</v>
      </c>
      <c r="D1832">
        <v>0.91391999999999995</v>
      </c>
      <c r="E1832">
        <v>878764030</v>
      </c>
      <c r="F1832">
        <v>120</v>
      </c>
    </row>
    <row r="1833" spans="1:6" x14ac:dyDescent="0.25">
      <c r="A1833">
        <v>-111.974051</v>
      </c>
      <c r="B1833">
        <v>33.068469999999998</v>
      </c>
      <c r="C1833">
        <v>1.825</v>
      </c>
      <c r="D1833">
        <v>1.6352</v>
      </c>
      <c r="E1833">
        <v>878764032</v>
      </c>
      <c r="F1833">
        <v>120</v>
      </c>
    </row>
    <row r="1834" spans="1:6" x14ac:dyDescent="0.25">
      <c r="A1834">
        <v>-111.974053</v>
      </c>
      <c r="B1834">
        <v>33.068477999999999</v>
      </c>
      <c r="C1834">
        <v>1.17</v>
      </c>
      <c r="D1834">
        <v>1.0483199999999999</v>
      </c>
      <c r="E1834">
        <v>878764034</v>
      </c>
      <c r="F1834">
        <v>120</v>
      </c>
    </row>
    <row r="1835" spans="1:6" x14ac:dyDescent="0.25">
      <c r="A1835">
        <v>-111.974054</v>
      </c>
      <c r="B1835">
        <v>33.068485000000003</v>
      </c>
      <c r="C1835">
        <v>1.44</v>
      </c>
      <c r="D1835">
        <v>1.2902400000000001</v>
      </c>
      <c r="E1835">
        <v>878764036</v>
      </c>
      <c r="F1835">
        <v>120</v>
      </c>
    </row>
    <row r="1836" spans="1:6" x14ac:dyDescent="0.25">
      <c r="A1836">
        <v>-111.974053</v>
      </c>
      <c r="B1836">
        <v>33.068492999999997</v>
      </c>
      <c r="C1836">
        <v>1.05</v>
      </c>
      <c r="D1836">
        <v>0.94079999999999997</v>
      </c>
      <c r="E1836">
        <v>878764038</v>
      </c>
      <c r="F1836">
        <v>120</v>
      </c>
    </row>
    <row r="1837" spans="1:6" x14ac:dyDescent="0.25">
      <c r="A1837">
        <v>-111.974053</v>
      </c>
      <c r="B1837">
        <v>33.068500999999998</v>
      </c>
      <c r="C1837">
        <v>1.2</v>
      </c>
      <c r="D1837">
        <v>1.0751999999999999</v>
      </c>
      <c r="E1837">
        <v>878764040</v>
      </c>
      <c r="F1837">
        <v>120</v>
      </c>
    </row>
    <row r="1838" spans="1:6" x14ac:dyDescent="0.25">
      <c r="A1838">
        <v>-111.974053</v>
      </c>
      <c r="B1838">
        <v>33.068508000000001</v>
      </c>
      <c r="C1838">
        <v>0.79</v>
      </c>
      <c r="D1838">
        <v>0.70784000000000002</v>
      </c>
      <c r="E1838">
        <v>878764042</v>
      </c>
      <c r="F1838">
        <v>120</v>
      </c>
    </row>
    <row r="1839" spans="1:6" x14ac:dyDescent="0.25">
      <c r="A1839">
        <v>-111.974053</v>
      </c>
      <c r="B1839">
        <v>33.068514999999998</v>
      </c>
      <c r="C1839">
        <v>0.85</v>
      </c>
      <c r="D1839">
        <v>0.76160000000000005</v>
      </c>
      <c r="E1839">
        <v>878764044</v>
      </c>
      <c r="F1839">
        <v>120</v>
      </c>
    </row>
    <row r="1840" spans="1:6" x14ac:dyDescent="0.25">
      <c r="A1840">
        <v>-111.974054</v>
      </c>
      <c r="B1840">
        <v>33.068522999999999</v>
      </c>
      <c r="C1840">
        <v>1.0549999999999999</v>
      </c>
      <c r="D1840">
        <v>0.94528000000000001</v>
      </c>
      <c r="E1840">
        <v>878764046</v>
      </c>
      <c r="F1840">
        <v>120</v>
      </c>
    </row>
    <row r="1841" spans="1:6" x14ac:dyDescent="0.25">
      <c r="A1841">
        <v>-111.974053</v>
      </c>
      <c r="B1841">
        <v>33.068531</v>
      </c>
      <c r="C1841">
        <v>1.24</v>
      </c>
      <c r="D1841">
        <v>1.11104</v>
      </c>
      <c r="E1841">
        <v>878764048</v>
      </c>
      <c r="F1841">
        <v>120</v>
      </c>
    </row>
    <row r="1842" spans="1:6" x14ac:dyDescent="0.25">
      <c r="A1842">
        <v>-111.974053</v>
      </c>
      <c r="B1842">
        <v>33.068537999999997</v>
      </c>
      <c r="C1842">
        <v>0.40500000000000003</v>
      </c>
      <c r="D1842">
        <v>0.36287999999999998</v>
      </c>
      <c r="E1842">
        <v>878764050</v>
      </c>
      <c r="F1842">
        <v>120</v>
      </c>
    </row>
    <row r="1843" spans="1:6" x14ac:dyDescent="0.25">
      <c r="A1843">
        <v>-111.974054</v>
      </c>
      <c r="B1843">
        <v>33.068545999999998</v>
      </c>
      <c r="C1843">
        <v>1.6</v>
      </c>
      <c r="D1843">
        <v>1.4336</v>
      </c>
      <c r="E1843">
        <v>878764052</v>
      </c>
      <c r="F1843">
        <v>120</v>
      </c>
    </row>
    <row r="1844" spans="1:6" x14ac:dyDescent="0.25">
      <c r="A1844">
        <v>-111.974053</v>
      </c>
      <c r="B1844">
        <v>33.068555000000003</v>
      </c>
      <c r="C1844">
        <v>1.4850000000000001</v>
      </c>
      <c r="D1844">
        <v>1.33056</v>
      </c>
      <c r="E1844">
        <v>878764054</v>
      </c>
      <c r="F1844">
        <v>120</v>
      </c>
    </row>
    <row r="1845" spans="1:6" x14ac:dyDescent="0.25">
      <c r="A1845">
        <v>-111.974053</v>
      </c>
      <c r="B1845">
        <v>33.068562</v>
      </c>
      <c r="C1845">
        <v>0.77500000000000002</v>
      </c>
      <c r="D1845">
        <v>0.69440000000000002</v>
      </c>
      <c r="E1845">
        <v>878764056</v>
      </c>
      <c r="F1845">
        <v>120</v>
      </c>
    </row>
    <row r="1846" spans="1:6" x14ac:dyDescent="0.25">
      <c r="A1846">
        <v>-111.974053</v>
      </c>
      <c r="B1846">
        <v>33.068568999999997</v>
      </c>
      <c r="C1846">
        <v>1.2</v>
      </c>
      <c r="D1846">
        <v>1.0751999999999999</v>
      </c>
      <c r="E1846">
        <v>878764058</v>
      </c>
      <c r="F1846">
        <v>120</v>
      </c>
    </row>
    <row r="1847" spans="1:6" x14ac:dyDescent="0.25">
      <c r="A1847">
        <v>-111.974053</v>
      </c>
      <c r="B1847">
        <v>33.068576999999998</v>
      </c>
      <c r="C1847">
        <v>1.25</v>
      </c>
      <c r="D1847">
        <v>1.1200000000000001</v>
      </c>
      <c r="E1847">
        <v>878764060</v>
      </c>
      <c r="F1847">
        <v>120</v>
      </c>
    </row>
    <row r="1848" spans="1:6" x14ac:dyDescent="0.25">
      <c r="A1848">
        <v>-111.974053</v>
      </c>
      <c r="B1848">
        <v>33.068584000000001</v>
      </c>
      <c r="C1848">
        <v>1.36</v>
      </c>
      <c r="D1848">
        <v>1.2185600000000001</v>
      </c>
      <c r="E1848">
        <v>878764062</v>
      </c>
      <c r="F1848">
        <v>120</v>
      </c>
    </row>
    <row r="1849" spans="1:6" x14ac:dyDescent="0.25">
      <c r="A1849">
        <v>-111.974053</v>
      </c>
      <c r="B1849">
        <v>33.068592000000002</v>
      </c>
      <c r="C1849">
        <v>1.29</v>
      </c>
      <c r="D1849">
        <v>1.15584</v>
      </c>
      <c r="E1849">
        <v>878764064</v>
      </c>
      <c r="F1849">
        <v>120</v>
      </c>
    </row>
    <row r="1850" spans="1:6" x14ac:dyDescent="0.25">
      <c r="A1850">
        <v>-111.974054</v>
      </c>
      <c r="B1850">
        <v>33.068598999999999</v>
      </c>
      <c r="C1850">
        <v>1.625</v>
      </c>
      <c r="D1850">
        <v>1.456</v>
      </c>
      <c r="E1850">
        <v>878764066</v>
      </c>
      <c r="F1850">
        <v>120</v>
      </c>
    </row>
    <row r="1851" spans="1:6" x14ac:dyDescent="0.25">
      <c r="A1851">
        <v>-111.974054</v>
      </c>
      <c r="B1851">
        <v>33.068606000000003</v>
      </c>
      <c r="C1851">
        <v>1.0549999999999999</v>
      </c>
      <c r="D1851">
        <v>0.94528000000000001</v>
      </c>
      <c r="E1851">
        <v>878764068</v>
      </c>
      <c r="F1851">
        <v>120</v>
      </c>
    </row>
    <row r="1852" spans="1:6" x14ac:dyDescent="0.25">
      <c r="A1852">
        <v>-111.974054</v>
      </c>
      <c r="B1852">
        <v>33.068607999999998</v>
      </c>
      <c r="C1852">
        <v>0.08</v>
      </c>
      <c r="D1852">
        <v>7.1679999999999994E-2</v>
      </c>
      <c r="E1852">
        <v>878764070</v>
      </c>
      <c r="F1852">
        <v>120</v>
      </c>
    </row>
    <row r="1853" spans="1:6" x14ac:dyDescent="0.25">
      <c r="A1853">
        <v>-111.974053</v>
      </c>
      <c r="B1853">
        <v>33.068618000000001</v>
      </c>
      <c r="C1853">
        <v>0.02</v>
      </c>
      <c r="D1853">
        <v>1.7919999999999998E-2</v>
      </c>
      <c r="E1853">
        <v>878764078</v>
      </c>
      <c r="F1853">
        <v>120</v>
      </c>
    </row>
    <row r="1854" spans="1:6" x14ac:dyDescent="0.25">
      <c r="A1854">
        <v>-111.974051</v>
      </c>
      <c r="B1854">
        <v>33.068624</v>
      </c>
      <c r="C1854">
        <v>0.17499999999999999</v>
      </c>
      <c r="D1854">
        <v>0.15679999999999999</v>
      </c>
      <c r="E1854">
        <v>878764080</v>
      </c>
      <c r="F1854">
        <v>120</v>
      </c>
    </row>
    <row r="1855" spans="1:6" x14ac:dyDescent="0.25">
      <c r="A1855">
        <v>-111.974051</v>
      </c>
      <c r="B1855">
        <v>33.068632000000001</v>
      </c>
      <c r="C1855">
        <v>1.595</v>
      </c>
      <c r="D1855">
        <v>1.4291199999999999</v>
      </c>
      <c r="E1855">
        <v>878764082</v>
      </c>
      <c r="F1855">
        <v>120</v>
      </c>
    </row>
    <row r="1856" spans="1:6" x14ac:dyDescent="0.25">
      <c r="A1856">
        <v>-111.974052</v>
      </c>
      <c r="B1856">
        <v>33.068641</v>
      </c>
      <c r="C1856">
        <v>1.17</v>
      </c>
      <c r="D1856">
        <v>1.0483199999999999</v>
      </c>
      <c r="E1856">
        <v>878764084</v>
      </c>
      <c r="F1856">
        <v>120</v>
      </c>
    </row>
    <row r="1857" spans="1:6" x14ac:dyDescent="0.25">
      <c r="A1857">
        <v>-111.97405500000001</v>
      </c>
      <c r="B1857">
        <v>33.068649000000001</v>
      </c>
      <c r="C1857">
        <v>1.665</v>
      </c>
      <c r="D1857">
        <v>1.4918400000000001</v>
      </c>
      <c r="E1857">
        <v>878764086</v>
      </c>
      <c r="F1857">
        <v>120</v>
      </c>
    </row>
    <row r="1858" spans="1:6" x14ac:dyDescent="0.25">
      <c r="A1858">
        <v>-111.97405500000001</v>
      </c>
      <c r="B1858">
        <v>33.068657999999999</v>
      </c>
      <c r="C1858">
        <v>1.4450000000000001</v>
      </c>
      <c r="D1858">
        <v>1.2947200000000001</v>
      </c>
      <c r="E1858">
        <v>878764088</v>
      </c>
      <c r="F1858">
        <v>120</v>
      </c>
    </row>
    <row r="1859" spans="1:6" x14ac:dyDescent="0.25">
      <c r="A1859">
        <v>-111.974053</v>
      </c>
      <c r="B1859">
        <v>33.068665000000003</v>
      </c>
      <c r="C1859">
        <v>1.32</v>
      </c>
      <c r="D1859">
        <v>1.18272</v>
      </c>
      <c r="E1859">
        <v>878764090</v>
      </c>
      <c r="F1859">
        <v>120</v>
      </c>
    </row>
    <row r="1860" spans="1:6" x14ac:dyDescent="0.25">
      <c r="A1860">
        <v>-111.974053</v>
      </c>
      <c r="B1860">
        <v>33.068672999999997</v>
      </c>
      <c r="C1860">
        <v>1.115</v>
      </c>
      <c r="D1860">
        <v>0.99904000000000004</v>
      </c>
      <c r="E1860">
        <v>878764092</v>
      </c>
      <c r="F1860">
        <v>120</v>
      </c>
    </row>
    <row r="1861" spans="1:6" x14ac:dyDescent="0.25">
      <c r="A1861">
        <v>-111.974054</v>
      </c>
      <c r="B1861">
        <v>33.068680999999998</v>
      </c>
      <c r="C1861">
        <v>1.19</v>
      </c>
      <c r="D1861">
        <v>1.0662400000000001</v>
      </c>
      <c r="E1861">
        <v>878764094</v>
      </c>
      <c r="F1861">
        <v>120</v>
      </c>
    </row>
    <row r="1862" spans="1:6" x14ac:dyDescent="0.25">
      <c r="A1862">
        <v>-111.974053</v>
      </c>
      <c r="B1862">
        <v>33.068688000000002</v>
      </c>
      <c r="C1862">
        <v>0.78500000000000003</v>
      </c>
      <c r="D1862">
        <v>0.70335999999999999</v>
      </c>
      <c r="E1862">
        <v>878764096</v>
      </c>
      <c r="F1862">
        <v>120</v>
      </c>
    </row>
    <row r="1863" spans="1:6" x14ac:dyDescent="0.25">
      <c r="A1863">
        <v>-111.974054</v>
      </c>
      <c r="B1863">
        <v>33.068696000000003</v>
      </c>
      <c r="C1863">
        <v>1.085</v>
      </c>
      <c r="D1863">
        <v>0.97216000000000002</v>
      </c>
      <c r="E1863">
        <v>878764098</v>
      </c>
      <c r="F1863">
        <v>120</v>
      </c>
    </row>
    <row r="1864" spans="1:6" x14ac:dyDescent="0.25">
      <c r="A1864">
        <v>-111.974054</v>
      </c>
      <c r="B1864">
        <v>33.068702000000002</v>
      </c>
      <c r="C1864">
        <v>1</v>
      </c>
      <c r="D1864">
        <v>0.89600000000000002</v>
      </c>
      <c r="E1864">
        <v>878764100</v>
      </c>
      <c r="F1864">
        <v>120</v>
      </c>
    </row>
    <row r="1865" spans="1:6" x14ac:dyDescent="0.25">
      <c r="A1865">
        <v>-111.974054</v>
      </c>
      <c r="B1865">
        <v>33.068710000000003</v>
      </c>
      <c r="C1865">
        <v>1.175</v>
      </c>
      <c r="D1865">
        <v>1.0528</v>
      </c>
      <c r="E1865">
        <v>878764102</v>
      </c>
      <c r="F1865">
        <v>120</v>
      </c>
    </row>
    <row r="1866" spans="1:6" x14ac:dyDescent="0.25">
      <c r="A1866">
        <v>-111.974053</v>
      </c>
      <c r="B1866">
        <v>33.068717999999997</v>
      </c>
      <c r="C1866">
        <v>0.88500000000000001</v>
      </c>
      <c r="D1866">
        <v>0.79296</v>
      </c>
      <c r="E1866">
        <v>878764104</v>
      </c>
      <c r="F1866">
        <v>120</v>
      </c>
    </row>
    <row r="1867" spans="1:6" x14ac:dyDescent="0.25">
      <c r="A1867">
        <v>-111.974054</v>
      </c>
      <c r="B1867">
        <v>33.068725999999998</v>
      </c>
      <c r="C1867">
        <v>1.0349999999999999</v>
      </c>
      <c r="D1867">
        <v>0.92735999999999996</v>
      </c>
      <c r="E1867">
        <v>878764106</v>
      </c>
      <c r="F1867">
        <v>120</v>
      </c>
    </row>
    <row r="1868" spans="1:6" x14ac:dyDescent="0.25">
      <c r="A1868">
        <v>-111.974054</v>
      </c>
      <c r="B1868">
        <v>33.068733999999999</v>
      </c>
      <c r="C1868">
        <v>1.38</v>
      </c>
      <c r="D1868">
        <v>1.23648</v>
      </c>
      <c r="E1868">
        <v>878764108</v>
      </c>
      <c r="F1868">
        <v>120</v>
      </c>
    </row>
    <row r="1869" spans="1:6" x14ac:dyDescent="0.25">
      <c r="A1869">
        <v>-111.97405500000001</v>
      </c>
      <c r="B1869">
        <v>33.068741000000003</v>
      </c>
      <c r="C1869">
        <v>1.35</v>
      </c>
      <c r="D1869">
        <v>1.2096</v>
      </c>
      <c r="E1869">
        <v>878764110</v>
      </c>
      <c r="F1869">
        <v>120</v>
      </c>
    </row>
    <row r="1870" spans="1:6" x14ac:dyDescent="0.25">
      <c r="A1870">
        <v>-111.974054</v>
      </c>
      <c r="B1870">
        <v>33.068750000000001</v>
      </c>
      <c r="C1870">
        <v>1.355</v>
      </c>
      <c r="D1870">
        <v>1.21408</v>
      </c>
      <c r="E1870">
        <v>878764112</v>
      </c>
      <c r="F1870">
        <v>120</v>
      </c>
    </row>
    <row r="1871" spans="1:6" x14ac:dyDescent="0.25">
      <c r="A1871">
        <v>-111.974054</v>
      </c>
      <c r="B1871">
        <v>33.068756999999998</v>
      </c>
      <c r="C1871">
        <v>1.19</v>
      </c>
      <c r="D1871">
        <v>1.0662400000000001</v>
      </c>
      <c r="E1871">
        <v>878764114</v>
      </c>
      <c r="F1871">
        <v>120</v>
      </c>
    </row>
    <row r="1872" spans="1:6" x14ac:dyDescent="0.25">
      <c r="A1872">
        <v>-111.974053</v>
      </c>
      <c r="B1872">
        <v>33.068764999999999</v>
      </c>
      <c r="C1872">
        <v>1.2450000000000001</v>
      </c>
      <c r="D1872">
        <v>1.1155200000000001</v>
      </c>
      <c r="E1872">
        <v>878764116</v>
      </c>
      <c r="F1872">
        <v>120</v>
      </c>
    </row>
    <row r="1873" spans="1:6" x14ac:dyDescent="0.25">
      <c r="A1873">
        <v>-111.974053</v>
      </c>
      <c r="B1873">
        <v>33.068773</v>
      </c>
      <c r="C1873">
        <v>1.39</v>
      </c>
      <c r="D1873">
        <v>1.2454400000000001</v>
      </c>
      <c r="E1873">
        <v>878764118</v>
      </c>
      <c r="F1873">
        <v>120</v>
      </c>
    </row>
    <row r="1874" spans="1:6" x14ac:dyDescent="0.25">
      <c r="A1874">
        <v>-111.974052</v>
      </c>
      <c r="B1874">
        <v>33.068781000000001</v>
      </c>
      <c r="C1874">
        <v>0.83</v>
      </c>
      <c r="D1874">
        <v>0.74368000000000001</v>
      </c>
      <c r="E1874">
        <v>878764120</v>
      </c>
      <c r="F1874">
        <v>120</v>
      </c>
    </row>
    <row r="1875" spans="1:6" x14ac:dyDescent="0.25">
      <c r="A1875">
        <v>-111.974052</v>
      </c>
      <c r="B1875">
        <v>33.068787999999998</v>
      </c>
      <c r="C1875">
        <v>0.01</v>
      </c>
      <c r="D1875">
        <v>8.9599999999999992E-3</v>
      </c>
      <c r="E1875">
        <v>878764122</v>
      </c>
      <c r="F1875">
        <v>120</v>
      </c>
    </row>
    <row r="1876" spans="1:6" x14ac:dyDescent="0.25">
      <c r="A1876">
        <v>-111.974051</v>
      </c>
      <c r="B1876">
        <v>33.068843000000001</v>
      </c>
      <c r="C1876">
        <v>0.03</v>
      </c>
      <c r="D1876">
        <v>2.6880000000000001E-2</v>
      </c>
      <c r="E1876">
        <v>878764136</v>
      </c>
      <c r="F1876">
        <v>120</v>
      </c>
    </row>
    <row r="1877" spans="1:6" x14ac:dyDescent="0.25">
      <c r="A1877">
        <v>-111.974051</v>
      </c>
      <c r="B1877">
        <v>33.068859000000003</v>
      </c>
      <c r="C1877">
        <v>2.5000000000000001E-2</v>
      </c>
      <c r="D1877">
        <v>2.24E-2</v>
      </c>
      <c r="E1877">
        <v>878764140</v>
      </c>
      <c r="F1877">
        <v>120</v>
      </c>
    </row>
    <row r="1878" spans="1:6" x14ac:dyDescent="0.25">
      <c r="A1878">
        <v>-111.974052</v>
      </c>
      <c r="B1878">
        <v>33.068866</v>
      </c>
      <c r="C1878">
        <v>7.4999999999999997E-2</v>
      </c>
      <c r="D1878">
        <v>6.7199999999999996E-2</v>
      </c>
      <c r="E1878">
        <v>878764142</v>
      </c>
      <c r="F1878">
        <v>120</v>
      </c>
    </row>
    <row r="1879" spans="1:6" x14ac:dyDescent="0.25">
      <c r="A1879">
        <v>-111.974052</v>
      </c>
      <c r="B1879">
        <v>33.068873000000004</v>
      </c>
      <c r="C1879">
        <v>0.92500000000000004</v>
      </c>
      <c r="D1879">
        <v>0.82879999999999998</v>
      </c>
      <c r="E1879">
        <v>878764144</v>
      </c>
      <c r="F1879">
        <v>120</v>
      </c>
    </row>
    <row r="1880" spans="1:6" x14ac:dyDescent="0.25">
      <c r="A1880">
        <v>-111.974052</v>
      </c>
      <c r="B1880">
        <v>33.068879000000003</v>
      </c>
      <c r="C1880">
        <v>1.575</v>
      </c>
      <c r="D1880">
        <v>1.4112</v>
      </c>
      <c r="E1880">
        <v>878764146</v>
      </c>
      <c r="F1880">
        <v>120</v>
      </c>
    </row>
    <row r="1881" spans="1:6" x14ac:dyDescent="0.25">
      <c r="A1881">
        <v>-111.974053</v>
      </c>
      <c r="B1881">
        <v>33.068886999999997</v>
      </c>
      <c r="C1881">
        <v>1.77</v>
      </c>
      <c r="D1881">
        <v>1.58592</v>
      </c>
      <c r="E1881">
        <v>878764148</v>
      </c>
      <c r="F1881">
        <v>120</v>
      </c>
    </row>
    <row r="1882" spans="1:6" x14ac:dyDescent="0.25">
      <c r="A1882">
        <v>-111.974053</v>
      </c>
      <c r="B1882">
        <v>33.068893000000003</v>
      </c>
      <c r="C1882">
        <v>1.46</v>
      </c>
      <c r="D1882">
        <v>1.30816</v>
      </c>
      <c r="E1882">
        <v>878764150</v>
      </c>
      <c r="F1882">
        <v>120</v>
      </c>
    </row>
    <row r="1883" spans="1:6" x14ac:dyDescent="0.25">
      <c r="A1883">
        <v>-111.974053</v>
      </c>
      <c r="B1883">
        <v>33.068900999999997</v>
      </c>
      <c r="C1883">
        <v>0.96</v>
      </c>
      <c r="D1883">
        <v>0.86016000000000004</v>
      </c>
      <c r="E1883">
        <v>878764152</v>
      </c>
      <c r="F1883">
        <v>120</v>
      </c>
    </row>
    <row r="1884" spans="1:6" x14ac:dyDescent="0.25">
      <c r="A1884">
        <v>-111.974052</v>
      </c>
      <c r="B1884">
        <v>33.068908</v>
      </c>
      <c r="C1884">
        <v>0.79</v>
      </c>
      <c r="D1884">
        <v>0.70784000000000002</v>
      </c>
      <c r="E1884">
        <v>878764154</v>
      </c>
      <c r="F1884">
        <v>120</v>
      </c>
    </row>
    <row r="1885" spans="1:6" x14ac:dyDescent="0.25">
      <c r="A1885">
        <v>-111.974051</v>
      </c>
      <c r="B1885">
        <v>33.068914999999997</v>
      </c>
      <c r="C1885">
        <v>0.91500000000000004</v>
      </c>
      <c r="D1885">
        <v>0.81984000000000001</v>
      </c>
      <c r="E1885">
        <v>878764156</v>
      </c>
      <c r="F1885">
        <v>120</v>
      </c>
    </row>
    <row r="1886" spans="1:6" x14ac:dyDescent="0.25">
      <c r="A1886">
        <v>-111.974052</v>
      </c>
      <c r="B1886">
        <v>33.068921000000003</v>
      </c>
      <c r="C1886">
        <v>1.2250000000000001</v>
      </c>
      <c r="D1886">
        <v>1.0975999999999999</v>
      </c>
      <c r="E1886">
        <v>878764158</v>
      </c>
      <c r="F1886">
        <v>120</v>
      </c>
    </row>
    <row r="1887" spans="1:6" x14ac:dyDescent="0.25">
      <c r="A1887">
        <v>-111.974052</v>
      </c>
      <c r="B1887">
        <v>33.068928</v>
      </c>
      <c r="C1887">
        <v>0.90500000000000003</v>
      </c>
      <c r="D1887">
        <v>0.81088000000000005</v>
      </c>
      <c r="E1887">
        <v>878764160</v>
      </c>
      <c r="F1887">
        <v>120</v>
      </c>
    </row>
    <row r="1888" spans="1:6" x14ac:dyDescent="0.25">
      <c r="A1888">
        <v>-111.974053</v>
      </c>
      <c r="B1888">
        <v>33.068936000000001</v>
      </c>
      <c r="C1888">
        <v>0.79500000000000004</v>
      </c>
      <c r="D1888">
        <v>0.71231999999999995</v>
      </c>
      <c r="E1888">
        <v>878764162</v>
      </c>
      <c r="F1888">
        <v>120</v>
      </c>
    </row>
    <row r="1889" spans="1:6" x14ac:dyDescent="0.25">
      <c r="A1889">
        <v>-111.974052</v>
      </c>
      <c r="B1889">
        <v>33.068942999999997</v>
      </c>
      <c r="C1889">
        <v>0.7</v>
      </c>
      <c r="D1889">
        <v>0.62719999999999998</v>
      </c>
      <c r="E1889">
        <v>878764164</v>
      </c>
      <c r="F1889">
        <v>120</v>
      </c>
    </row>
    <row r="1890" spans="1:6" x14ac:dyDescent="0.25">
      <c r="A1890">
        <v>-111.974053</v>
      </c>
      <c r="B1890">
        <v>33.068950999999998</v>
      </c>
      <c r="C1890">
        <v>0.79</v>
      </c>
      <c r="D1890">
        <v>0.70784000000000002</v>
      </c>
      <c r="E1890">
        <v>878764166</v>
      </c>
      <c r="F1890">
        <v>120</v>
      </c>
    </row>
    <row r="1891" spans="1:6" x14ac:dyDescent="0.25">
      <c r="A1891">
        <v>-111.974052</v>
      </c>
      <c r="B1891">
        <v>33.068959</v>
      </c>
      <c r="C1891">
        <v>1.0149999999999999</v>
      </c>
      <c r="D1891">
        <v>0.90944000000000003</v>
      </c>
      <c r="E1891">
        <v>878764168</v>
      </c>
      <c r="F1891">
        <v>120</v>
      </c>
    </row>
    <row r="1892" spans="1:6" x14ac:dyDescent="0.25">
      <c r="A1892">
        <v>-111.974052</v>
      </c>
      <c r="B1892">
        <v>33.068966000000003</v>
      </c>
      <c r="C1892">
        <v>0.72499999999999998</v>
      </c>
      <c r="D1892">
        <v>0.64959999999999996</v>
      </c>
      <c r="E1892">
        <v>878764170</v>
      </c>
      <c r="F1892">
        <v>120</v>
      </c>
    </row>
    <row r="1893" spans="1:6" x14ac:dyDescent="0.25">
      <c r="A1893">
        <v>-111.974052</v>
      </c>
      <c r="B1893">
        <v>33.068973</v>
      </c>
      <c r="C1893">
        <v>0.96</v>
      </c>
      <c r="D1893">
        <v>0.86016000000000004</v>
      </c>
      <c r="E1893">
        <v>878764172</v>
      </c>
      <c r="F1893">
        <v>120</v>
      </c>
    </row>
    <row r="1894" spans="1:6" x14ac:dyDescent="0.25">
      <c r="A1894">
        <v>-111.974051</v>
      </c>
      <c r="B1894">
        <v>33.068980000000003</v>
      </c>
      <c r="C1894">
        <v>0.995</v>
      </c>
      <c r="D1894">
        <v>0.89151999999999998</v>
      </c>
      <c r="E1894">
        <v>878764174</v>
      </c>
      <c r="F1894">
        <v>120</v>
      </c>
    </row>
    <row r="1895" spans="1:6" x14ac:dyDescent="0.25">
      <c r="A1895">
        <v>-111.974052</v>
      </c>
      <c r="B1895">
        <v>33.068987</v>
      </c>
      <c r="C1895">
        <v>0.92</v>
      </c>
      <c r="D1895">
        <v>0.82432000000000005</v>
      </c>
      <c r="E1895">
        <v>878764176</v>
      </c>
      <c r="F1895">
        <v>120</v>
      </c>
    </row>
    <row r="1896" spans="1:6" x14ac:dyDescent="0.25">
      <c r="A1896">
        <v>-111.974052</v>
      </c>
      <c r="B1896">
        <v>33.068994000000004</v>
      </c>
      <c r="C1896">
        <v>1.115</v>
      </c>
      <c r="D1896">
        <v>0.99904000000000004</v>
      </c>
      <c r="E1896">
        <v>878764178</v>
      </c>
      <c r="F1896">
        <v>120</v>
      </c>
    </row>
    <row r="1897" spans="1:6" x14ac:dyDescent="0.25">
      <c r="A1897">
        <v>-111.974052</v>
      </c>
      <c r="B1897">
        <v>33.069001</v>
      </c>
      <c r="C1897">
        <v>1.0049999999999999</v>
      </c>
      <c r="D1897">
        <v>0.90047999999999995</v>
      </c>
      <c r="E1897">
        <v>878764180</v>
      </c>
      <c r="F1897">
        <v>120</v>
      </c>
    </row>
    <row r="1898" spans="1:6" x14ac:dyDescent="0.25">
      <c r="A1898">
        <v>-111.974052</v>
      </c>
      <c r="B1898">
        <v>33.069007999999997</v>
      </c>
      <c r="C1898">
        <v>1.04</v>
      </c>
      <c r="D1898">
        <v>0.93184</v>
      </c>
      <c r="E1898">
        <v>878764182</v>
      </c>
      <c r="F1898">
        <v>120</v>
      </c>
    </row>
    <row r="1899" spans="1:6" x14ac:dyDescent="0.25">
      <c r="A1899">
        <v>-111.974052</v>
      </c>
      <c r="B1899">
        <v>33.069015999999998</v>
      </c>
      <c r="C1899">
        <v>1.165</v>
      </c>
      <c r="D1899">
        <v>1.0438400000000001</v>
      </c>
      <c r="E1899">
        <v>878764184</v>
      </c>
      <c r="F1899">
        <v>120</v>
      </c>
    </row>
    <row r="1900" spans="1:6" x14ac:dyDescent="0.25">
      <c r="A1900">
        <v>-111.974052</v>
      </c>
      <c r="B1900">
        <v>33.069023000000001</v>
      </c>
      <c r="C1900">
        <v>0.38</v>
      </c>
      <c r="D1900">
        <v>0.34048</v>
      </c>
      <c r="E1900">
        <v>878764186</v>
      </c>
      <c r="F1900">
        <v>120</v>
      </c>
    </row>
    <row r="1901" spans="1:6" x14ac:dyDescent="0.25">
      <c r="A1901">
        <v>-111.974051</v>
      </c>
      <c r="B1901">
        <v>33.069031000000003</v>
      </c>
      <c r="C1901">
        <v>0.01</v>
      </c>
      <c r="D1901">
        <v>8.9599999999999992E-3</v>
      </c>
      <c r="E1901">
        <v>878764188</v>
      </c>
      <c r="F1901">
        <v>120</v>
      </c>
    </row>
    <row r="1902" spans="1:6" x14ac:dyDescent="0.25">
      <c r="A1902">
        <v>-111.974051</v>
      </c>
      <c r="B1902">
        <v>33.069076000000003</v>
      </c>
      <c r="C1902">
        <v>5.0000000000000001E-3</v>
      </c>
      <c r="D1902">
        <v>4.4799999999999996E-3</v>
      </c>
      <c r="E1902">
        <v>878764202</v>
      </c>
      <c r="F1902">
        <v>120</v>
      </c>
    </row>
    <row r="1903" spans="1:6" x14ac:dyDescent="0.25">
      <c r="A1903">
        <v>-111.97396500000001</v>
      </c>
      <c r="B1903">
        <v>33.069017000000002</v>
      </c>
      <c r="C1903">
        <v>0.28000000000000003</v>
      </c>
      <c r="D1903">
        <v>0.25087999999999999</v>
      </c>
      <c r="E1903">
        <v>878764230</v>
      </c>
      <c r="F1903">
        <v>120</v>
      </c>
    </row>
    <row r="1904" spans="1:6" x14ac:dyDescent="0.25">
      <c r="A1904">
        <v>-111.973964</v>
      </c>
      <c r="B1904">
        <v>33.069011000000003</v>
      </c>
      <c r="C1904">
        <v>0.31</v>
      </c>
      <c r="D1904">
        <v>0.27776000000000001</v>
      </c>
      <c r="E1904">
        <v>878764232</v>
      </c>
      <c r="F1904">
        <v>120</v>
      </c>
    </row>
    <row r="1905" spans="1:6" x14ac:dyDescent="0.25">
      <c r="A1905">
        <v>-111.97396500000001</v>
      </c>
      <c r="B1905">
        <v>33.069004999999997</v>
      </c>
      <c r="C1905">
        <v>1.5449999999999999</v>
      </c>
      <c r="D1905">
        <v>1.38432</v>
      </c>
      <c r="E1905">
        <v>878764234</v>
      </c>
      <c r="F1905">
        <v>120</v>
      </c>
    </row>
    <row r="1906" spans="1:6" x14ac:dyDescent="0.25">
      <c r="A1906">
        <v>-111.973966</v>
      </c>
      <c r="B1906">
        <v>33.068995000000001</v>
      </c>
      <c r="C1906">
        <v>1.44</v>
      </c>
      <c r="D1906">
        <v>1.2902400000000001</v>
      </c>
      <c r="E1906">
        <v>878764236</v>
      </c>
      <c r="F1906">
        <v>120</v>
      </c>
    </row>
    <row r="1907" spans="1:6" x14ac:dyDescent="0.25">
      <c r="A1907">
        <v>-111.973964</v>
      </c>
      <c r="B1907">
        <v>33.068987999999997</v>
      </c>
      <c r="C1907">
        <v>0.90500000000000003</v>
      </c>
      <c r="D1907">
        <v>0.81088000000000005</v>
      </c>
      <c r="E1907">
        <v>878764238</v>
      </c>
      <c r="F1907">
        <v>120</v>
      </c>
    </row>
    <row r="1908" spans="1:6" x14ac:dyDescent="0.25">
      <c r="A1908">
        <v>-111.973964</v>
      </c>
      <c r="B1908">
        <v>33.068980000000003</v>
      </c>
      <c r="C1908">
        <v>0.77500000000000002</v>
      </c>
      <c r="D1908">
        <v>0.69440000000000002</v>
      </c>
      <c r="E1908">
        <v>878764240</v>
      </c>
      <c r="F1908">
        <v>120</v>
      </c>
    </row>
    <row r="1909" spans="1:6" x14ac:dyDescent="0.25">
      <c r="A1909">
        <v>-111.973964</v>
      </c>
      <c r="B1909">
        <v>33.068972000000002</v>
      </c>
      <c r="C1909">
        <v>0.92500000000000004</v>
      </c>
      <c r="D1909">
        <v>0.82879999999999998</v>
      </c>
      <c r="E1909">
        <v>878764242</v>
      </c>
      <c r="F1909">
        <v>120</v>
      </c>
    </row>
    <row r="1910" spans="1:6" x14ac:dyDescent="0.25">
      <c r="A1910">
        <v>-111.973964</v>
      </c>
      <c r="B1910">
        <v>33.068964000000001</v>
      </c>
      <c r="C1910">
        <v>0.66500000000000004</v>
      </c>
      <c r="D1910">
        <v>0.59584000000000004</v>
      </c>
      <c r="E1910">
        <v>878764244</v>
      </c>
      <c r="F1910">
        <v>120</v>
      </c>
    </row>
    <row r="1911" spans="1:6" x14ac:dyDescent="0.25">
      <c r="A1911">
        <v>-111.97396500000001</v>
      </c>
      <c r="B1911">
        <v>33.068956999999997</v>
      </c>
      <c r="C1911">
        <v>0.875</v>
      </c>
      <c r="D1911">
        <v>0.78400000000000003</v>
      </c>
      <c r="E1911">
        <v>878764246</v>
      </c>
      <c r="F1911">
        <v>120</v>
      </c>
    </row>
    <row r="1912" spans="1:6" x14ac:dyDescent="0.25">
      <c r="A1912">
        <v>-111.973964</v>
      </c>
      <c r="B1912">
        <v>33.068949000000003</v>
      </c>
      <c r="C1912">
        <v>0.77500000000000002</v>
      </c>
      <c r="D1912">
        <v>0.69440000000000002</v>
      </c>
      <c r="E1912">
        <v>878764248</v>
      </c>
      <c r="F1912">
        <v>120</v>
      </c>
    </row>
    <row r="1913" spans="1:6" x14ac:dyDescent="0.25">
      <c r="A1913">
        <v>-111.973964</v>
      </c>
      <c r="B1913">
        <v>33.068941000000002</v>
      </c>
      <c r="C1913">
        <v>0.59499999999999997</v>
      </c>
      <c r="D1913">
        <v>0.53312000000000004</v>
      </c>
      <c r="E1913">
        <v>878764250</v>
      </c>
      <c r="F1913">
        <v>120</v>
      </c>
    </row>
    <row r="1914" spans="1:6" x14ac:dyDescent="0.25">
      <c r="A1914">
        <v>-111.973964</v>
      </c>
      <c r="B1914">
        <v>33.068933000000001</v>
      </c>
      <c r="C1914">
        <v>0.52500000000000002</v>
      </c>
      <c r="D1914">
        <v>0.47039999999999998</v>
      </c>
      <c r="E1914">
        <v>878764252</v>
      </c>
      <c r="F1914">
        <v>120</v>
      </c>
    </row>
    <row r="1915" spans="1:6" x14ac:dyDescent="0.25">
      <c r="A1915">
        <v>-111.973963</v>
      </c>
      <c r="B1915">
        <v>33.068925999999998</v>
      </c>
      <c r="C1915">
        <v>0.73</v>
      </c>
      <c r="D1915">
        <v>0.65407999999999999</v>
      </c>
      <c r="E1915">
        <v>878764254</v>
      </c>
      <c r="F1915">
        <v>120</v>
      </c>
    </row>
    <row r="1916" spans="1:6" x14ac:dyDescent="0.25">
      <c r="A1916">
        <v>-111.973963</v>
      </c>
      <c r="B1916">
        <v>33.068917999999996</v>
      </c>
      <c r="C1916">
        <v>0.65</v>
      </c>
      <c r="D1916">
        <v>0.58240000000000003</v>
      </c>
      <c r="E1916">
        <v>878764256</v>
      </c>
      <c r="F1916">
        <v>120</v>
      </c>
    </row>
    <row r="1917" spans="1:6" x14ac:dyDescent="0.25">
      <c r="A1917">
        <v>-111.973963</v>
      </c>
      <c r="B1917">
        <v>33.068910000000002</v>
      </c>
      <c r="C1917">
        <v>0.64</v>
      </c>
      <c r="D1917">
        <v>0.57343999999999995</v>
      </c>
      <c r="E1917">
        <v>878764258</v>
      </c>
      <c r="F1917">
        <v>120</v>
      </c>
    </row>
    <row r="1918" spans="1:6" x14ac:dyDescent="0.25">
      <c r="A1918">
        <v>-111.973963</v>
      </c>
      <c r="B1918">
        <v>33.068902999999999</v>
      </c>
      <c r="C1918">
        <v>0.58499999999999996</v>
      </c>
      <c r="D1918">
        <v>0.52415999999999996</v>
      </c>
      <c r="E1918">
        <v>878764260</v>
      </c>
      <c r="F1918">
        <v>120</v>
      </c>
    </row>
    <row r="1919" spans="1:6" x14ac:dyDescent="0.25">
      <c r="A1919">
        <v>-111.973963</v>
      </c>
      <c r="B1919">
        <v>33.068894999999998</v>
      </c>
      <c r="C1919">
        <v>0.78</v>
      </c>
      <c r="D1919">
        <v>0.69887999999999995</v>
      </c>
      <c r="E1919">
        <v>878764262</v>
      </c>
      <c r="F1919">
        <v>120</v>
      </c>
    </row>
    <row r="1920" spans="1:6" x14ac:dyDescent="0.25">
      <c r="A1920">
        <v>-111.973963</v>
      </c>
      <c r="B1920">
        <v>33.068888000000001</v>
      </c>
      <c r="C1920">
        <v>0.495</v>
      </c>
      <c r="D1920">
        <v>0.44352000000000003</v>
      </c>
      <c r="E1920">
        <v>878764264</v>
      </c>
      <c r="F1920">
        <v>120</v>
      </c>
    </row>
    <row r="1921" spans="1:6" x14ac:dyDescent="0.25">
      <c r="A1921">
        <v>-111.973963</v>
      </c>
      <c r="B1921">
        <v>33.06888</v>
      </c>
      <c r="C1921">
        <v>0.86</v>
      </c>
      <c r="D1921">
        <v>0.77056000000000002</v>
      </c>
      <c r="E1921">
        <v>878764266</v>
      </c>
      <c r="F1921">
        <v>120</v>
      </c>
    </row>
    <row r="1922" spans="1:6" x14ac:dyDescent="0.25">
      <c r="A1922">
        <v>-111.973963</v>
      </c>
      <c r="B1922">
        <v>33.068873000000004</v>
      </c>
      <c r="C1922">
        <v>1.22</v>
      </c>
      <c r="D1922">
        <v>1.0931200000000001</v>
      </c>
      <c r="E1922">
        <v>878764268</v>
      </c>
      <c r="F1922">
        <v>120</v>
      </c>
    </row>
    <row r="1923" spans="1:6" x14ac:dyDescent="0.25">
      <c r="A1923">
        <v>-111.973963</v>
      </c>
      <c r="B1923">
        <v>33.068866</v>
      </c>
      <c r="C1923">
        <v>1.575</v>
      </c>
      <c r="D1923">
        <v>1.4112</v>
      </c>
      <c r="E1923">
        <v>878764270</v>
      </c>
      <c r="F1923">
        <v>120</v>
      </c>
    </row>
    <row r="1924" spans="1:6" x14ac:dyDescent="0.25">
      <c r="A1924">
        <v>-111.973963</v>
      </c>
      <c r="B1924">
        <v>33.068857000000001</v>
      </c>
      <c r="C1924">
        <v>1.355</v>
      </c>
      <c r="D1924">
        <v>1.21408</v>
      </c>
      <c r="E1924">
        <v>878764272</v>
      </c>
      <c r="F1924">
        <v>120</v>
      </c>
    </row>
    <row r="1925" spans="1:6" x14ac:dyDescent="0.25">
      <c r="A1925">
        <v>-111.973963</v>
      </c>
      <c r="B1925">
        <v>33.068849999999998</v>
      </c>
      <c r="C1925">
        <v>0.5</v>
      </c>
      <c r="D1925">
        <v>0.44800000000000001</v>
      </c>
      <c r="E1925">
        <v>878764274</v>
      </c>
      <c r="F1925">
        <v>120</v>
      </c>
    </row>
    <row r="1926" spans="1:6" x14ac:dyDescent="0.25">
      <c r="A1926">
        <v>-111.973963</v>
      </c>
      <c r="B1926">
        <v>33.068843000000001</v>
      </c>
      <c r="C1926">
        <v>0.03</v>
      </c>
      <c r="D1926">
        <v>2.6880000000000001E-2</v>
      </c>
      <c r="E1926">
        <v>878764276</v>
      </c>
      <c r="F1926">
        <v>120</v>
      </c>
    </row>
    <row r="1927" spans="1:6" x14ac:dyDescent="0.25">
      <c r="A1927">
        <v>-111.97396500000001</v>
      </c>
      <c r="B1927">
        <v>33.068838</v>
      </c>
      <c r="C1927">
        <v>5.0000000000000001E-3</v>
      </c>
      <c r="D1927">
        <v>4.4799999999999996E-3</v>
      </c>
      <c r="E1927">
        <v>878764278</v>
      </c>
      <c r="F1927">
        <v>120</v>
      </c>
    </row>
    <row r="1928" spans="1:6" x14ac:dyDescent="0.25">
      <c r="A1928">
        <v>-111.973963</v>
      </c>
      <c r="B1928">
        <v>33.068775000000002</v>
      </c>
      <c r="C1928">
        <v>7.0000000000000007E-2</v>
      </c>
      <c r="D1928">
        <v>6.2719999999999998E-2</v>
      </c>
      <c r="E1928">
        <v>878764294</v>
      </c>
      <c r="F1928">
        <v>120</v>
      </c>
    </row>
    <row r="1929" spans="1:6" x14ac:dyDescent="0.25">
      <c r="A1929">
        <v>-111.973964</v>
      </c>
      <c r="B1929">
        <v>33.068767999999999</v>
      </c>
      <c r="C1929">
        <v>0.3</v>
      </c>
      <c r="D1929">
        <v>0.26879999999999998</v>
      </c>
      <c r="E1929">
        <v>878764296</v>
      </c>
      <c r="F1929">
        <v>120</v>
      </c>
    </row>
    <row r="1930" spans="1:6" x14ac:dyDescent="0.25">
      <c r="A1930">
        <v>-111.97396500000001</v>
      </c>
      <c r="B1930">
        <v>33.068759999999997</v>
      </c>
      <c r="C1930">
        <v>1.155</v>
      </c>
      <c r="D1930">
        <v>1.03488</v>
      </c>
      <c r="E1930">
        <v>878764298</v>
      </c>
      <c r="F1930">
        <v>120</v>
      </c>
    </row>
    <row r="1931" spans="1:6" x14ac:dyDescent="0.25">
      <c r="A1931">
        <v>-111.973966</v>
      </c>
      <c r="B1931">
        <v>33.068752000000003</v>
      </c>
      <c r="C1931">
        <v>1.905</v>
      </c>
      <c r="D1931">
        <v>1.70688</v>
      </c>
      <c r="E1931">
        <v>878764300</v>
      </c>
      <c r="F1931">
        <v>120</v>
      </c>
    </row>
    <row r="1932" spans="1:6" x14ac:dyDescent="0.25">
      <c r="A1932">
        <v>-111.973964</v>
      </c>
      <c r="B1932">
        <v>33.068745</v>
      </c>
      <c r="C1932">
        <v>1.37</v>
      </c>
      <c r="D1932">
        <v>1.2275199999999999</v>
      </c>
      <c r="E1932">
        <v>878764302</v>
      </c>
      <c r="F1932">
        <v>120</v>
      </c>
    </row>
    <row r="1933" spans="1:6" x14ac:dyDescent="0.25">
      <c r="A1933">
        <v>-111.973964</v>
      </c>
      <c r="B1933">
        <v>33.068738000000003</v>
      </c>
      <c r="C1933">
        <v>1.74</v>
      </c>
      <c r="D1933">
        <v>1.55904</v>
      </c>
      <c r="E1933">
        <v>878764304</v>
      </c>
      <c r="F1933">
        <v>120</v>
      </c>
    </row>
    <row r="1934" spans="1:6" x14ac:dyDescent="0.25">
      <c r="A1934">
        <v>-111.973964</v>
      </c>
      <c r="B1934">
        <v>33.068731</v>
      </c>
      <c r="C1934">
        <v>1.395</v>
      </c>
      <c r="D1934">
        <v>1.2499199999999999</v>
      </c>
      <c r="E1934">
        <v>878764306</v>
      </c>
      <c r="F1934">
        <v>120</v>
      </c>
    </row>
    <row r="1935" spans="1:6" x14ac:dyDescent="0.25">
      <c r="A1935">
        <v>-111.973963</v>
      </c>
      <c r="B1935">
        <v>33.068722999999999</v>
      </c>
      <c r="C1935">
        <v>1.345</v>
      </c>
      <c r="D1935">
        <v>1.20512</v>
      </c>
      <c r="E1935">
        <v>878764308</v>
      </c>
      <c r="F1935">
        <v>120</v>
      </c>
    </row>
    <row r="1936" spans="1:6" x14ac:dyDescent="0.25">
      <c r="A1936">
        <v>-111.973964</v>
      </c>
      <c r="B1936">
        <v>33.068714999999997</v>
      </c>
      <c r="C1936">
        <v>1.4850000000000001</v>
      </c>
      <c r="D1936">
        <v>1.33056</v>
      </c>
      <c r="E1936">
        <v>878764310</v>
      </c>
      <c r="F1936">
        <v>120</v>
      </c>
    </row>
    <row r="1937" spans="1:6" x14ac:dyDescent="0.25">
      <c r="A1937">
        <v>-111.973964</v>
      </c>
      <c r="B1937">
        <v>33.068707000000003</v>
      </c>
      <c r="C1937">
        <v>1.3</v>
      </c>
      <c r="D1937">
        <v>1.1648000000000001</v>
      </c>
      <c r="E1937">
        <v>878764312</v>
      </c>
      <c r="F1937">
        <v>120</v>
      </c>
    </row>
    <row r="1938" spans="1:6" x14ac:dyDescent="0.25">
      <c r="A1938">
        <v>-111.973964</v>
      </c>
      <c r="B1938">
        <v>33.068699000000002</v>
      </c>
      <c r="C1938">
        <v>0.97</v>
      </c>
      <c r="D1938">
        <v>0.86912</v>
      </c>
      <c r="E1938">
        <v>878764314</v>
      </c>
      <c r="F1938">
        <v>120</v>
      </c>
    </row>
    <row r="1939" spans="1:6" x14ac:dyDescent="0.25">
      <c r="A1939">
        <v>-111.97396500000001</v>
      </c>
      <c r="B1939">
        <v>33.068691999999999</v>
      </c>
      <c r="C1939">
        <v>1.4350000000000001</v>
      </c>
      <c r="D1939">
        <v>1.28576</v>
      </c>
      <c r="E1939">
        <v>878764316</v>
      </c>
      <c r="F1939">
        <v>120</v>
      </c>
    </row>
    <row r="1940" spans="1:6" x14ac:dyDescent="0.25">
      <c r="A1940">
        <v>-111.973964</v>
      </c>
      <c r="B1940">
        <v>33.068683999999998</v>
      </c>
      <c r="C1940">
        <v>0.83</v>
      </c>
      <c r="D1940">
        <v>0.74368000000000001</v>
      </c>
      <c r="E1940">
        <v>878764318</v>
      </c>
      <c r="F1940">
        <v>120</v>
      </c>
    </row>
    <row r="1941" spans="1:6" x14ac:dyDescent="0.25">
      <c r="A1941">
        <v>-111.973964</v>
      </c>
      <c r="B1941">
        <v>33.068677000000001</v>
      </c>
      <c r="C1941">
        <v>1.17</v>
      </c>
      <c r="D1941">
        <v>1.0483199999999999</v>
      </c>
      <c r="E1941">
        <v>878764320</v>
      </c>
      <c r="F1941">
        <v>120</v>
      </c>
    </row>
    <row r="1942" spans="1:6" x14ac:dyDescent="0.25">
      <c r="A1942">
        <v>-111.973964</v>
      </c>
      <c r="B1942">
        <v>33.068669</v>
      </c>
      <c r="C1942">
        <v>1.1499999999999999</v>
      </c>
      <c r="D1942">
        <v>1.0304</v>
      </c>
      <c r="E1942">
        <v>878764322</v>
      </c>
      <c r="F1942">
        <v>120</v>
      </c>
    </row>
    <row r="1943" spans="1:6" x14ac:dyDescent="0.25">
      <c r="A1943">
        <v>-111.97396500000001</v>
      </c>
      <c r="B1943">
        <v>33.068662000000003</v>
      </c>
      <c r="C1943">
        <v>0.98499999999999999</v>
      </c>
      <c r="D1943">
        <v>0.88256000000000001</v>
      </c>
      <c r="E1943">
        <v>878764324</v>
      </c>
      <c r="F1943">
        <v>120</v>
      </c>
    </row>
    <row r="1944" spans="1:6" x14ac:dyDescent="0.25">
      <c r="A1944">
        <v>-111.97396500000001</v>
      </c>
      <c r="B1944">
        <v>33.068654000000002</v>
      </c>
      <c r="C1944">
        <v>1.125</v>
      </c>
      <c r="D1944">
        <v>1.008</v>
      </c>
      <c r="E1944">
        <v>878764326</v>
      </c>
      <c r="F1944">
        <v>120</v>
      </c>
    </row>
    <row r="1945" spans="1:6" x14ac:dyDescent="0.25">
      <c r="A1945">
        <v>-111.973964</v>
      </c>
      <c r="B1945">
        <v>33.068646000000001</v>
      </c>
      <c r="C1945">
        <v>1.35</v>
      </c>
      <c r="D1945">
        <v>1.2096</v>
      </c>
      <c r="E1945">
        <v>878764328</v>
      </c>
      <c r="F1945">
        <v>120</v>
      </c>
    </row>
    <row r="1946" spans="1:6" x14ac:dyDescent="0.25">
      <c r="A1946">
        <v>-111.973964</v>
      </c>
      <c r="B1946">
        <v>33.068638</v>
      </c>
      <c r="C1946">
        <v>1.2</v>
      </c>
      <c r="D1946">
        <v>1.0751999999999999</v>
      </c>
      <c r="E1946">
        <v>878764330</v>
      </c>
      <c r="F1946">
        <v>120</v>
      </c>
    </row>
    <row r="1947" spans="1:6" x14ac:dyDescent="0.25">
      <c r="A1947">
        <v>-111.973964</v>
      </c>
      <c r="B1947">
        <v>33.068629999999999</v>
      </c>
      <c r="C1947">
        <v>1.6</v>
      </c>
      <c r="D1947">
        <v>1.4336</v>
      </c>
      <c r="E1947">
        <v>878764332</v>
      </c>
      <c r="F1947">
        <v>120</v>
      </c>
    </row>
    <row r="1948" spans="1:6" x14ac:dyDescent="0.25">
      <c r="A1948">
        <v>-111.973964</v>
      </c>
      <c r="B1948">
        <v>33.068624999999997</v>
      </c>
      <c r="C1948">
        <v>1.865</v>
      </c>
      <c r="D1948">
        <v>1.6710400000000001</v>
      </c>
      <c r="E1948">
        <v>878764334</v>
      </c>
      <c r="F1948">
        <v>120</v>
      </c>
    </row>
    <row r="1949" spans="1:6" x14ac:dyDescent="0.25">
      <c r="A1949">
        <v>-111.973964</v>
      </c>
      <c r="B1949">
        <v>33.068618000000001</v>
      </c>
      <c r="C1949">
        <v>1.5349999999999999</v>
      </c>
      <c r="D1949">
        <v>1.3753599999999999</v>
      </c>
      <c r="E1949">
        <v>878764336</v>
      </c>
      <c r="F1949">
        <v>120</v>
      </c>
    </row>
    <row r="1950" spans="1:6" x14ac:dyDescent="0.25">
      <c r="A1950">
        <v>-111.973964</v>
      </c>
      <c r="B1950">
        <v>33.06861</v>
      </c>
      <c r="C1950">
        <v>0.89500000000000002</v>
      </c>
      <c r="D1950">
        <v>0.80191999999999997</v>
      </c>
      <c r="E1950">
        <v>878764338</v>
      </c>
      <c r="F1950">
        <v>120</v>
      </c>
    </row>
    <row r="1951" spans="1:6" x14ac:dyDescent="0.25">
      <c r="A1951">
        <v>-111.973963</v>
      </c>
      <c r="B1951">
        <v>33.06861</v>
      </c>
      <c r="C1951">
        <v>4.4999999999999998E-2</v>
      </c>
      <c r="D1951">
        <v>4.0320000000000002E-2</v>
      </c>
      <c r="E1951">
        <v>878764340</v>
      </c>
      <c r="F1951">
        <v>120</v>
      </c>
    </row>
    <row r="1952" spans="1:6" x14ac:dyDescent="0.25">
      <c r="A1952">
        <v>-111.973963</v>
      </c>
      <c r="B1952">
        <v>33.068609000000002</v>
      </c>
      <c r="C1952">
        <v>5.0000000000000001E-3</v>
      </c>
      <c r="D1952">
        <v>4.4799999999999996E-3</v>
      </c>
      <c r="E1952">
        <v>878764348</v>
      </c>
      <c r="F1952">
        <v>120</v>
      </c>
    </row>
    <row r="1953" spans="1:6" x14ac:dyDescent="0.25">
      <c r="A1953">
        <v>-111.973964</v>
      </c>
      <c r="B1953">
        <v>33.068603000000003</v>
      </c>
      <c r="C1953">
        <v>0.05</v>
      </c>
      <c r="D1953">
        <v>4.48E-2</v>
      </c>
      <c r="E1953">
        <v>878764350</v>
      </c>
      <c r="F1953">
        <v>120</v>
      </c>
    </row>
    <row r="1954" spans="1:6" x14ac:dyDescent="0.25">
      <c r="A1954">
        <v>-111.973966</v>
      </c>
      <c r="B1954">
        <v>33.068595000000002</v>
      </c>
      <c r="C1954">
        <v>0.29499999999999998</v>
      </c>
      <c r="D1954">
        <v>0.26432</v>
      </c>
      <c r="E1954">
        <v>878764352</v>
      </c>
      <c r="F1954">
        <v>120</v>
      </c>
    </row>
    <row r="1955" spans="1:6" x14ac:dyDescent="0.25">
      <c r="A1955">
        <v>-111.973966</v>
      </c>
      <c r="B1955">
        <v>33.068587999999998</v>
      </c>
      <c r="C1955">
        <v>1.1200000000000001</v>
      </c>
      <c r="D1955">
        <v>1.00352</v>
      </c>
      <c r="E1955">
        <v>878764354</v>
      </c>
      <c r="F1955">
        <v>120</v>
      </c>
    </row>
    <row r="1956" spans="1:6" x14ac:dyDescent="0.25">
      <c r="A1956">
        <v>-111.973966</v>
      </c>
      <c r="B1956">
        <v>33.068581000000002</v>
      </c>
      <c r="C1956">
        <v>2.11</v>
      </c>
      <c r="D1956">
        <v>1.89056</v>
      </c>
      <c r="E1956">
        <v>878764356</v>
      </c>
      <c r="F1956">
        <v>120</v>
      </c>
    </row>
    <row r="1957" spans="1:6" x14ac:dyDescent="0.25">
      <c r="A1957">
        <v>-111.973964</v>
      </c>
      <c r="B1957">
        <v>33.068573000000001</v>
      </c>
      <c r="C1957">
        <v>2.34</v>
      </c>
      <c r="D1957">
        <v>2.0966399999999998</v>
      </c>
      <c r="E1957">
        <v>878764358</v>
      </c>
      <c r="F1957">
        <v>120</v>
      </c>
    </row>
    <row r="1958" spans="1:6" x14ac:dyDescent="0.25">
      <c r="A1958">
        <v>-111.973964</v>
      </c>
      <c r="B1958">
        <v>33.068565</v>
      </c>
      <c r="C1958">
        <v>1.7</v>
      </c>
      <c r="D1958">
        <v>1.5232000000000001</v>
      </c>
      <c r="E1958">
        <v>878764360</v>
      </c>
      <c r="F1958">
        <v>120</v>
      </c>
    </row>
    <row r="1959" spans="1:6" x14ac:dyDescent="0.25">
      <c r="A1959">
        <v>-111.973964</v>
      </c>
      <c r="B1959">
        <v>33.068556999999998</v>
      </c>
      <c r="C1959">
        <v>1.76</v>
      </c>
      <c r="D1959">
        <v>1.5769599999999999</v>
      </c>
      <c r="E1959">
        <v>878764362</v>
      </c>
      <c r="F1959">
        <v>120</v>
      </c>
    </row>
    <row r="1960" spans="1:6" x14ac:dyDescent="0.25">
      <c r="A1960">
        <v>-111.973964</v>
      </c>
      <c r="B1960">
        <v>33.068550000000002</v>
      </c>
      <c r="C1960">
        <v>1.92</v>
      </c>
      <c r="D1960">
        <v>1.7203200000000001</v>
      </c>
      <c r="E1960">
        <v>878764364</v>
      </c>
      <c r="F1960">
        <v>120</v>
      </c>
    </row>
    <row r="1961" spans="1:6" x14ac:dyDescent="0.25">
      <c r="A1961">
        <v>-111.973964</v>
      </c>
      <c r="B1961">
        <v>33.068542999999998</v>
      </c>
      <c r="C1961">
        <v>2.1850000000000001</v>
      </c>
      <c r="D1961">
        <v>1.9577599999999999</v>
      </c>
      <c r="E1961">
        <v>878764366</v>
      </c>
      <c r="F1961">
        <v>120</v>
      </c>
    </row>
    <row r="1962" spans="1:6" x14ac:dyDescent="0.25">
      <c r="A1962">
        <v>-111.973963</v>
      </c>
      <c r="B1962">
        <v>33.068536000000002</v>
      </c>
      <c r="C1962">
        <v>1.915</v>
      </c>
      <c r="D1962">
        <v>1.71584</v>
      </c>
      <c r="E1962">
        <v>878764368</v>
      </c>
      <c r="F1962">
        <v>120</v>
      </c>
    </row>
    <row r="1963" spans="1:6" x14ac:dyDescent="0.25">
      <c r="A1963">
        <v>-111.973963</v>
      </c>
      <c r="B1963">
        <v>33.068528999999998</v>
      </c>
      <c r="C1963">
        <v>1.165</v>
      </c>
      <c r="D1963">
        <v>1.0438400000000001</v>
      </c>
      <c r="E1963">
        <v>878764370</v>
      </c>
      <c r="F1963">
        <v>120</v>
      </c>
    </row>
    <row r="1964" spans="1:6" x14ac:dyDescent="0.25">
      <c r="A1964">
        <v>-111.973964</v>
      </c>
      <c r="B1964">
        <v>33.068520999999997</v>
      </c>
      <c r="C1964">
        <v>1.21</v>
      </c>
      <c r="D1964">
        <v>1.08416</v>
      </c>
      <c r="E1964">
        <v>878764372</v>
      </c>
      <c r="F1964">
        <v>120</v>
      </c>
    </row>
    <row r="1965" spans="1:6" x14ac:dyDescent="0.25">
      <c r="A1965">
        <v>-111.973964</v>
      </c>
      <c r="B1965">
        <v>33.068514</v>
      </c>
      <c r="C1965">
        <v>1.2949999999999999</v>
      </c>
      <c r="D1965">
        <v>1.16032</v>
      </c>
      <c r="E1965">
        <v>878764374</v>
      </c>
      <c r="F1965">
        <v>120</v>
      </c>
    </row>
    <row r="1966" spans="1:6" x14ac:dyDescent="0.25">
      <c r="A1966">
        <v>-111.973964</v>
      </c>
      <c r="B1966">
        <v>33.068505999999999</v>
      </c>
      <c r="C1966">
        <v>1.1599999999999999</v>
      </c>
      <c r="D1966">
        <v>1.0393600000000001</v>
      </c>
      <c r="E1966">
        <v>878764376</v>
      </c>
      <c r="F1966">
        <v>120</v>
      </c>
    </row>
    <row r="1967" spans="1:6" x14ac:dyDescent="0.25">
      <c r="A1967">
        <v>-111.973964</v>
      </c>
      <c r="B1967">
        <v>33.068499000000003</v>
      </c>
      <c r="C1967">
        <v>1.36</v>
      </c>
      <c r="D1967">
        <v>1.2185600000000001</v>
      </c>
      <c r="E1967">
        <v>878764378</v>
      </c>
      <c r="F1967">
        <v>120</v>
      </c>
    </row>
    <row r="1968" spans="1:6" x14ac:dyDescent="0.25">
      <c r="A1968">
        <v>-111.973964</v>
      </c>
      <c r="B1968">
        <v>33.068491000000002</v>
      </c>
      <c r="C1968">
        <v>1.05</v>
      </c>
      <c r="D1968">
        <v>0.94079999999999997</v>
      </c>
      <c r="E1968">
        <v>878764380</v>
      </c>
      <c r="F1968">
        <v>120</v>
      </c>
    </row>
    <row r="1969" spans="1:6" x14ac:dyDescent="0.25">
      <c r="A1969">
        <v>-111.973964</v>
      </c>
      <c r="B1969">
        <v>33.068483999999998</v>
      </c>
      <c r="C1969">
        <v>0.96499999999999997</v>
      </c>
      <c r="D1969">
        <v>0.86463999999999996</v>
      </c>
      <c r="E1969">
        <v>878764382</v>
      </c>
      <c r="F1969">
        <v>120</v>
      </c>
    </row>
    <row r="1970" spans="1:6" x14ac:dyDescent="0.25">
      <c r="A1970">
        <v>-111.97396500000001</v>
      </c>
      <c r="B1970">
        <v>33.068475999999997</v>
      </c>
      <c r="C1970">
        <v>0.89500000000000002</v>
      </c>
      <c r="D1970">
        <v>0.80191999999999997</v>
      </c>
      <c r="E1970">
        <v>878764384</v>
      </c>
      <c r="F1970">
        <v>120</v>
      </c>
    </row>
    <row r="1971" spans="1:6" x14ac:dyDescent="0.25">
      <c r="A1971">
        <v>-111.97396500000001</v>
      </c>
      <c r="B1971">
        <v>33.068469</v>
      </c>
      <c r="C1971">
        <v>1.53</v>
      </c>
      <c r="D1971">
        <v>1.3708800000000001</v>
      </c>
      <c r="E1971">
        <v>878764386</v>
      </c>
      <c r="F1971">
        <v>120</v>
      </c>
    </row>
    <row r="1972" spans="1:6" x14ac:dyDescent="0.25">
      <c r="A1972">
        <v>-111.973964</v>
      </c>
      <c r="B1972">
        <v>33.068460999999999</v>
      </c>
      <c r="C1972">
        <v>1.0900000000000001</v>
      </c>
      <c r="D1972">
        <v>0.97663999999999995</v>
      </c>
      <c r="E1972">
        <v>878764388</v>
      </c>
      <c r="F1972">
        <v>120</v>
      </c>
    </row>
    <row r="1973" spans="1:6" x14ac:dyDescent="0.25">
      <c r="A1973">
        <v>-111.97396500000001</v>
      </c>
      <c r="B1973">
        <v>33.068452999999998</v>
      </c>
      <c r="C1973">
        <v>1.97</v>
      </c>
      <c r="D1973">
        <v>1.76512</v>
      </c>
      <c r="E1973">
        <v>878764390</v>
      </c>
      <c r="F1973">
        <v>120</v>
      </c>
    </row>
    <row r="1974" spans="1:6" x14ac:dyDescent="0.25">
      <c r="A1974">
        <v>-111.973964</v>
      </c>
      <c r="B1974">
        <v>33.068444999999997</v>
      </c>
      <c r="C1974">
        <v>1.5349999999999999</v>
      </c>
      <c r="D1974">
        <v>1.3753599999999999</v>
      </c>
      <c r="E1974">
        <v>878764392</v>
      </c>
      <c r="F1974">
        <v>120</v>
      </c>
    </row>
    <row r="1975" spans="1:6" x14ac:dyDescent="0.25">
      <c r="A1975">
        <v>-111.973963</v>
      </c>
      <c r="B1975">
        <v>33.068440000000002</v>
      </c>
      <c r="C1975">
        <v>0.31</v>
      </c>
      <c r="D1975">
        <v>0.27776000000000001</v>
      </c>
      <c r="E1975">
        <v>878764394</v>
      </c>
      <c r="F1975">
        <v>120</v>
      </c>
    </row>
    <row r="1976" spans="1:6" x14ac:dyDescent="0.25">
      <c r="A1976">
        <v>-111.97396500000001</v>
      </c>
      <c r="B1976">
        <v>33.068432000000001</v>
      </c>
      <c r="C1976">
        <v>0.01</v>
      </c>
      <c r="D1976">
        <v>8.9599999999999992E-3</v>
      </c>
      <c r="E1976">
        <v>878764396</v>
      </c>
      <c r="F1976">
        <v>120</v>
      </c>
    </row>
    <row r="1977" spans="1:6" x14ac:dyDescent="0.25">
      <c r="A1977">
        <v>-111.97396500000001</v>
      </c>
      <c r="B1977">
        <v>33.068362</v>
      </c>
      <c r="C1977">
        <v>9.5000000000000001E-2</v>
      </c>
      <c r="D1977">
        <v>8.5120000000000001E-2</v>
      </c>
      <c r="E1977">
        <v>878764414</v>
      </c>
      <c r="F1977">
        <v>120</v>
      </c>
    </row>
    <row r="1978" spans="1:6" x14ac:dyDescent="0.25">
      <c r="A1978">
        <v>-111.973964</v>
      </c>
      <c r="B1978">
        <v>33.068353999999999</v>
      </c>
      <c r="C1978">
        <v>0.86499999999999999</v>
      </c>
      <c r="D1978">
        <v>0.77503999999999995</v>
      </c>
      <c r="E1978">
        <v>878764416</v>
      </c>
      <c r="F1978">
        <v>120</v>
      </c>
    </row>
    <row r="1979" spans="1:6" x14ac:dyDescent="0.25">
      <c r="A1979">
        <v>-111.973966</v>
      </c>
      <c r="B1979">
        <v>33.068345999999998</v>
      </c>
      <c r="C1979">
        <v>1.49</v>
      </c>
      <c r="D1979">
        <v>1.33504</v>
      </c>
      <c r="E1979">
        <v>878764418</v>
      </c>
      <c r="F1979">
        <v>120</v>
      </c>
    </row>
    <row r="1980" spans="1:6" x14ac:dyDescent="0.25">
      <c r="A1980">
        <v>-111.973966</v>
      </c>
      <c r="B1980">
        <v>33.068339999999999</v>
      </c>
      <c r="C1980">
        <v>1.4650000000000001</v>
      </c>
      <c r="D1980">
        <v>1.31264</v>
      </c>
      <c r="E1980">
        <v>878764420</v>
      </c>
      <c r="F1980">
        <v>120</v>
      </c>
    </row>
    <row r="1981" spans="1:6" x14ac:dyDescent="0.25">
      <c r="A1981">
        <v>-111.973966</v>
      </c>
      <c r="B1981">
        <v>33.068331000000001</v>
      </c>
      <c r="C1981">
        <v>1.7549999999999999</v>
      </c>
      <c r="D1981">
        <v>1.5724800000000001</v>
      </c>
      <c r="E1981">
        <v>878764422</v>
      </c>
      <c r="F1981">
        <v>120</v>
      </c>
    </row>
    <row r="1982" spans="1:6" x14ac:dyDescent="0.25">
      <c r="A1982">
        <v>-111.973964</v>
      </c>
      <c r="B1982">
        <v>33.068325000000002</v>
      </c>
      <c r="C1982">
        <v>1.835</v>
      </c>
      <c r="D1982">
        <v>1.6441600000000001</v>
      </c>
      <c r="E1982">
        <v>878764424</v>
      </c>
      <c r="F1982">
        <v>120</v>
      </c>
    </row>
    <row r="1983" spans="1:6" x14ac:dyDescent="0.25">
      <c r="A1983">
        <v>-111.973964</v>
      </c>
      <c r="B1983">
        <v>33.068317</v>
      </c>
      <c r="C1983">
        <v>1.57</v>
      </c>
      <c r="D1983">
        <v>1.40672</v>
      </c>
      <c r="E1983">
        <v>878764426</v>
      </c>
      <c r="F1983">
        <v>120</v>
      </c>
    </row>
    <row r="1984" spans="1:6" x14ac:dyDescent="0.25">
      <c r="A1984">
        <v>-111.973964</v>
      </c>
      <c r="B1984">
        <v>33.068308999999999</v>
      </c>
      <c r="C1984">
        <v>1.7250000000000001</v>
      </c>
      <c r="D1984">
        <v>1.5456000000000001</v>
      </c>
      <c r="E1984">
        <v>878764428</v>
      </c>
      <c r="F1984">
        <v>120</v>
      </c>
    </row>
    <row r="1985" spans="1:6" x14ac:dyDescent="0.25">
      <c r="A1985">
        <v>-111.97396500000001</v>
      </c>
      <c r="B1985">
        <v>33.068300999999998</v>
      </c>
      <c r="C1985">
        <v>1.77</v>
      </c>
      <c r="D1985">
        <v>1.58592</v>
      </c>
      <c r="E1985">
        <v>878764430</v>
      </c>
      <c r="F1985">
        <v>120</v>
      </c>
    </row>
    <row r="1986" spans="1:6" x14ac:dyDescent="0.25">
      <c r="A1986">
        <v>-111.973964</v>
      </c>
      <c r="B1986">
        <v>33.068292999999997</v>
      </c>
      <c r="C1986">
        <v>1.39</v>
      </c>
      <c r="D1986">
        <v>1.2454400000000001</v>
      </c>
      <c r="E1986">
        <v>878764432</v>
      </c>
      <c r="F1986">
        <v>120</v>
      </c>
    </row>
    <row r="1987" spans="1:6" x14ac:dyDescent="0.25">
      <c r="A1987">
        <v>-111.97396500000001</v>
      </c>
      <c r="B1987">
        <v>33.068286000000001</v>
      </c>
      <c r="C1987">
        <v>1.6</v>
      </c>
      <c r="D1987">
        <v>1.4336</v>
      </c>
      <c r="E1987">
        <v>878764434</v>
      </c>
      <c r="F1987">
        <v>120</v>
      </c>
    </row>
    <row r="1988" spans="1:6" x14ac:dyDescent="0.25">
      <c r="A1988">
        <v>-111.97396500000001</v>
      </c>
      <c r="B1988">
        <v>33.068278999999997</v>
      </c>
      <c r="C1988">
        <v>1.7250000000000001</v>
      </c>
      <c r="D1988">
        <v>1.5456000000000001</v>
      </c>
      <c r="E1988">
        <v>878764436</v>
      </c>
      <c r="F1988">
        <v>120</v>
      </c>
    </row>
    <row r="1989" spans="1:6" x14ac:dyDescent="0.25">
      <c r="A1989">
        <v>-111.97396500000001</v>
      </c>
      <c r="B1989">
        <v>33.068272</v>
      </c>
      <c r="C1989">
        <v>0.89500000000000002</v>
      </c>
      <c r="D1989">
        <v>0.80191999999999997</v>
      </c>
      <c r="E1989">
        <v>878764438</v>
      </c>
      <c r="F1989">
        <v>120</v>
      </c>
    </row>
    <row r="1990" spans="1:6" x14ac:dyDescent="0.25">
      <c r="A1990">
        <v>-111.97396500000001</v>
      </c>
      <c r="B1990">
        <v>33.068263999999999</v>
      </c>
      <c r="C1990">
        <v>1.36</v>
      </c>
      <c r="D1990">
        <v>1.2185600000000001</v>
      </c>
      <c r="E1990">
        <v>878764440</v>
      </c>
      <c r="F1990">
        <v>120</v>
      </c>
    </row>
    <row r="1991" spans="1:6" x14ac:dyDescent="0.25">
      <c r="A1991">
        <v>-111.97396500000001</v>
      </c>
      <c r="B1991">
        <v>33.068255999999998</v>
      </c>
      <c r="C1991">
        <v>0.83499999999999996</v>
      </c>
      <c r="D1991">
        <v>0.74816000000000005</v>
      </c>
      <c r="E1991">
        <v>878764442</v>
      </c>
      <c r="F1991">
        <v>120</v>
      </c>
    </row>
    <row r="1992" spans="1:6" x14ac:dyDescent="0.25">
      <c r="A1992">
        <v>-111.97396500000001</v>
      </c>
      <c r="B1992">
        <v>33.068249000000002</v>
      </c>
      <c r="C1992">
        <v>0.84499999999999997</v>
      </c>
      <c r="D1992">
        <v>0.75712000000000002</v>
      </c>
      <c r="E1992">
        <v>878764444</v>
      </c>
      <c r="F1992">
        <v>120</v>
      </c>
    </row>
    <row r="1993" spans="1:6" x14ac:dyDescent="0.25">
      <c r="A1993">
        <v>-111.973964</v>
      </c>
      <c r="B1993">
        <v>33.068241</v>
      </c>
      <c r="C1993">
        <v>1.4750000000000001</v>
      </c>
      <c r="D1993">
        <v>1.3216000000000001</v>
      </c>
      <c r="E1993">
        <v>878764446</v>
      </c>
      <c r="F1993">
        <v>120</v>
      </c>
    </row>
    <row r="1994" spans="1:6" x14ac:dyDescent="0.25">
      <c r="A1994">
        <v>-111.97396500000001</v>
      </c>
      <c r="B1994">
        <v>33.068233999999997</v>
      </c>
      <c r="C1994">
        <v>0.88500000000000001</v>
      </c>
      <c r="D1994">
        <v>0.79296</v>
      </c>
      <c r="E1994">
        <v>878764448</v>
      </c>
      <c r="F1994">
        <v>120</v>
      </c>
    </row>
    <row r="1995" spans="1:6" x14ac:dyDescent="0.25">
      <c r="A1995">
        <v>-111.97396500000001</v>
      </c>
      <c r="B1995">
        <v>33.068226000000003</v>
      </c>
      <c r="C1995">
        <v>1.57</v>
      </c>
      <c r="D1995">
        <v>1.40672</v>
      </c>
      <c r="E1995">
        <v>878764450</v>
      </c>
      <c r="F1995">
        <v>120</v>
      </c>
    </row>
    <row r="1996" spans="1:6" x14ac:dyDescent="0.25">
      <c r="A1996">
        <v>-111.97396500000001</v>
      </c>
      <c r="B1996">
        <v>33.068218999999999</v>
      </c>
      <c r="C1996">
        <v>1.83</v>
      </c>
      <c r="D1996">
        <v>1.63968</v>
      </c>
      <c r="E1996">
        <v>878764452</v>
      </c>
      <c r="F1996">
        <v>120</v>
      </c>
    </row>
    <row r="1997" spans="1:6" x14ac:dyDescent="0.25">
      <c r="A1997">
        <v>-111.97396500000001</v>
      </c>
      <c r="B1997">
        <v>33.068212000000003</v>
      </c>
      <c r="C1997">
        <v>1.7649999999999999</v>
      </c>
      <c r="D1997">
        <v>1.58144</v>
      </c>
      <c r="E1997">
        <v>878764454</v>
      </c>
      <c r="F1997">
        <v>120</v>
      </c>
    </row>
    <row r="1998" spans="1:6" x14ac:dyDescent="0.25">
      <c r="A1998">
        <v>-111.97396500000001</v>
      </c>
      <c r="B1998">
        <v>33.068204999999999</v>
      </c>
      <c r="C1998">
        <v>1.925</v>
      </c>
      <c r="D1998">
        <v>1.7248000000000001</v>
      </c>
      <c r="E1998">
        <v>878764456</v>
      </c>
      <c r="F1998">
        <v>120</v>
      </c>
    </row>
    <row r="1999" spans="1:6" x14ac:dyDescent="0.25">
      <c r="A1999">
        <v>-111.973964</v>
      </c>
      <c r="B1999">
        <v>33.068196</v>
      </c>
      <c r="C1999">
        <v>0.7</v>
      </c>
      <c r="D1999">
        <v>0.62719999999999998</v>
      </c>
      <c r="E1999">
        <v>878764458</v>
      </c>
      <c r="F1999">
        <v>120</v>
      </c>
    </row>
    <row r="2000" spans="1:6" x14ac:dyDescent="0.25">
      <c r="A2000">
        <v>-111.973963</v>
      </c>
      <c r="B2000">
        <v>33.068193999999998</v>
      </c>
      <c r="C2000">
        <v>0.14000000000000001</v>
      </c>
      <c r="D2000">
        <v>0.12544</v>
      </c>
      <c r="E2000">
        <v>878764460</v>
      </c>
      <c r="F2000">
        <v>120</v>
      </c>
    </row>
    <row r="2001" spans="1:6" x14ac:dyDescent="0.25">
      <c r="A2001">
        <v>-111.97396500000001</v>
      </c>
      <c r="B2001">
        <v>33.068185</v>
      </c>
      <c r="C2001">
        <v>0.01</v>
      </c>
      <c r="D2001">
        <v>8.9599999999999992E-3</v>
      </c>
      <c r="E2001">
        <v>878764472</v>
      </c>
      <c r="F2001">
        <v>120</v>
      </c>
    </row>
    <row r="2002" spans="1:6" x14ac:dyDescent="0.25">
      <c r="A2002">
        <v>-111.973968</v>
      </c>
      <c r="B2002">
        <v>33.068179000000001</v>
      </c>
      <c r="C2002">
        <v>0.80500000000000005</v>
      </c>
      <c r="D2002">
        <v>0.72128000000000003</v>
      </c>
      <c r="E2002">
        <v>878764474</v>
      </c>
      <c r="F2002">
        <v>120</v>
      </c>
    </row>
    <row r="2003" spans="1:6" x14ac:dyDescent="0.25">
      <c r="A2003">
        <v>-111.973967</v>
      </c>
      <c r="B2003">
        <v>33.068173000000002</v>
      </c>
      <c r="C2003">
        <v>1.61</v>
      </c>
      <c r="D2003">
        <v>1.4425600000000001</v>
      </c>
      <c r="E2003">
        <v>878764476</v>
      </c>
      <c r="F2003">
        <v>120</v>
      </c>
    </row>
    <row r="2004" spans="1:6" x14ac:dyDescent="0.25">
      <c r="A2004">
        <v>-111.973967</v>
      </c>
      <c r="B2004">
        <v>33.068165</v>
      </c>
      <c r="C2004">
        <v>1.4450000000000001</v>
      </c>
      <c r="D2004">
        <v>1.2947200000000001</v>
      </c>
      <c r="E2004">
        <v>878764478</v>
      </c>
      <c r="F2004">
        <v>120</v>
      </c>
    </row>
    <row r="2005" spans="1:6" x14ac:dyDescent="0.25">
      <c r="A2005">
        <v>-111.97396500000001</v>
      </c>
      <c r="B2005">
        <v>33.068159000000001</v>
      </c>
      <c r="C2005">
        <v>1.395</v>
      </c>
      <c r="D2005">
        <v>1.2499199999999999</v>
      </c>
      <c r="E2005">
        <v>878764480</v>
      </c>
      <c r="F2005">
        <v>120</v>
      </c>
    </row>
    <row r="2006" spans="1:6" x14ac:dyDescent="0.25">
      <c r="A2006">
        <v>-111.97396500000001</v>
      </c>
      <c r="B2006">
        <v>33.068151999999998</v>
      </c>
      <c r="C2006">
        <v>1.155</v>
      </c>
      <c r="D2006">
        <v>1.03488</v>
      </c>
      <c r="E2006">
        <v>878764482</v>
      </c>
      <c r="F2006">
        <v>120</v>
      </c>
    </row>
    <row r="2007" spans="1:6" x14ac:dyDescent="0.25">
      <c r="A2007">
        <v>-111.97396500000001</v>
      </c>
      <c r="B2007">
        <v>33.068143999999997</v>
      </c>
      <c r="C2007">
        <v>1.175</v>
      </c>
      <c r="D2007">
        <v>1.0528</v>
      </c>
      <c r="E2007">
        <v>878764484</v>
      </c>
      <c r="F2007">
        <v>120</v>
      </c>
    </row>
    <row r="2008" spans="1:6" x14ac:dyDescent="0.25">
      <c r="A2008">
        <v>-111.97396500000001</v>
      </c>
      <c r="B2008">
        <v>33.068137999999998</v>
      </c>
      <c r="C2008">
        <v>1.365</v>
      </c>
      <c r="D2008">
        <v>1.2230399999999999</v>
      </c>
      <c r="E2008">
        <v>878764486</v>
      </c>
      <c r="F2008">
        <v>120</v>
      </c>
    </row>
    <row r="2009" spans="1:6" x14ac:dyDescent="0.25">
      <c r="A2009">
        <v>-111.973966</v>
      </c>
      <c r="B2009">
        <v>33.068129999999996</v>
      </c>
      <c r="C2009">
        <v>1.925</v>
      </c>
      <c r="D2009">
        <v>1.7248000000000001</v>
      </c>
      <c r="E2009">
        <v>878764488</v>
      </c>
      <c r="F2009">
        <v>120</v>
      </c>
    </row>
    <row r="2010" spans="1:6" x14ac:dyDescent="0.25">
      <c r="A2010">
        <v>-111.973966</v>
      </c>
      <c r="B2010">
        <v>33.068123</v>
      </c>
      <c r="C2010">
        <v>1.77</v>
      </c>
      <c r="D2010">
        <v>1.58592</v>
      </c>
      <c r="E2010">
        <v>878764490</v>
      </c>
      <c r="F2010">
        <v>120</v>
      </c>
    </row>
    <row r="2011" spans="1:6" x14ac:dyDescent="0.25">
      <c r="A2011">
        <v>-111.973966</v>
      </c>
      <c r="B2011">
        <v>33.068114999999999</v>
      </c>
      <c r="C2011">
        <v>1.74</v>
      </c>
      <c r="D2011">
        <v>1.55904</v>
      </c>
      <c r="E2011">
        <v>878764492</v>
      </c>
      <c r="F2011">
        <v>120</v>
      </c>
    </row>
    <row r="2012" spans="1:6" x14ac:dyDescent="0.25">
      <c r="A2012">
        <v>-111.97396500000001</v>
      </c>
      <c r="B2012">
        <v>33.068108000000002</v>
      </c>
      <c r="C2012">
        <v>1.43</v>
      </c>
      <c r="D2012">
        <v>1.28128</v>
      </c>
      <c r="E2012">
        <v>878764494</v>
      </c>
      <c r="F2012">
        <v>120</v>
      </c>
    </row>
    <row r="2013" spans="1:6" x14ac:dyDescent="0.25">
      <c r="A2013">
        <v>-111.97396500000001</v>
      </c>
      <c r="B2013">
        <v>33.068100999999999</v>
      </c>
      <c r="C2013">
        <v>1.365</v>
      </c>
      <c r="D2013">
        <v>1.2230399999999999</v>
      </c>
      <c r="E2013">
        <v>878764496</v>
      </c>
      <c r="F2013">
        <v>120</v>
      </c>
    </row>
    <row r="2014" spans="1:6" x14ac:dyDescent="0.25">
      <c r="A2014">
        <v>-111.97396500000001</v>
      </c>
      <c r="B2014">
        <v>33.068094000000002</v>
      </c>
      <c r="C2014">
        <v>1.27</v>
      </c>
      <c r="D2014">
        <v>1.13792</v>
      </c>
      <c r="E2014">
        <v>878764498</v>
      </c>
      <c r="F2014">
        <v>120</v>
      </c>
    </row>
    <row r="2015" spans="1:6" x14ac:dyDescent="0.25">
      <c r="A2015">
        <v>-111.97396500000001</v>
      </c>
      <c r="B2015">
        <v>33.068086000000001</v>
      </c>
      <c r="C2015">
        <v>0.88500000000000001</v>
      </c>
      <c r="D2015">
        <v>0.79296</v>
      </c>
      <c r="E2015">
        <v>878764500</v>
      </c>
      <c r="F2015">
        <v>120</v>
      </c>
    </row>
    <row r="2016" spans="1:6" x14ac:dyDescent="0.25">
      <c r="A2016">
        <v>-111.973964</v>
      </c>
      <c r="B2016">
        <v>33.068078999999997</v>
      </c>
      <c r="C2016">
        <v>0.83</v>
      </c>
      <c r="D2016">
        <v>0.74368000000000001</v>
      </c>
      <c r="E2016">
        <v>878764502</v>
      </c>
      <c r="F2016">
        <v>120</v>
      </c>
    </row>
    <row r="2017" spans="1:6" x14ac:dyDescent="0.25">
      <c r="A2017">
        <v>-111.97396500000001</v>
      </c>
      <c r="B2017">
        <v>33.068072000000001</v>
      </c>
      <c r="C2017">
        <v>0.84499999999999997</v>
      </c>
      <c r="D2017">
        <v>0.75712000000000002</v>
      </c>
      <c r="E2017">
        <v>878764504</v>
      </c>
      <c r="F2017">
        <v>120</v>
      </c>
    </row>
    <row r="2018" spans="1:6" x14ac:dyDescent="0.25">
      <c r="A2018">
        <v>-111.97396500000001</v>
      </c>
      <c r="B2018">
        <v>33.068064</v>
      </c>
      <c r="C2018">
        <v>0.95499999999999996</v>
      </c>
      <c r="D2018">
        <v>0.85568</v>
      </c>
      <c r="E2018">
        <v>878764506</v>
      </c>
      <c r="F2018">
        <v>120</v>
      </c>
    </row>
    <row r="2019" spans="1:6" x14ac:dyDescent="0.25">
      <c r="A2019">
        <v>-111.973966</v>
      </c>
      <c r="B2019">
        <v>33.068057000000003</v>
      </c>
      <c r="C2019">
        <v>1.04</v>
      </c>
      <c r="D2019">
        <v>0.93184</v>
      </c>
      <c r="E2019">
        <v>878764508</v>
      </c>
      <c r="F2019">
        <v>120</v>
      </c>
    </row>
    <row r="2020" spans="1:6" x14ac:dyDescent="0.25">
      <c r="A2020">
        <v>-111.973966</v>
      </c>
      <c r="B2020">
        <v>33.068049000000002</v>
      </c>
      <c r="C2020">
        <v>1.1100000000000001</v>
      </c>
      <c r="D2020">
        <v>0.99456</v>
      </c>
      <c r="E2020">
        <v>878764510</v>
      </c>
      <c r="F2020">
        <v>120</v>
      </c>
    </row>
    <row r="2021" spans="1:6" x14ac:dyDescent="0.25">
      <c r="A2021">
        <v>-111.973966</v>
      </c>
      <c r="B2021">
        <v>33.068043000000003</v>
      </c>
      <c r="C2021">
        <v>1.615</v>
      </c>
      <c r="D2021">
        <v>1.4470400000000001</v>
      </c>
      <c r="E2021">
        <v>878764512</v>
      </c>
      <c r="F2021">
        <v>120</v>
      </c>
    </row>
    <row r="2022" spans="1:6" x14ac:dyDescent="0.25">
      <c r="A2022">
        <v>-111.973967</v>
      </c>
      <c r="B2022">
        <v>33.068033999999997</v>
      </c>
      <c r="C2022">
        <v>1.9550000000000001</v>
      </c>
      <c r="D2022">
        <v>1.7516799999999999</v>
      </c>
      <c r="E2022">
        <v>878764514</v>
      </c>
      <c r="F2022">
        <v>120</v>
      </c>
    </row>
    <row r="2023" spans="1:6" x14ac:dyDescent="0.25">
      <c r="A2023">
        <v>-111.973966</v>
      </c>
      <c r="B2023">
        <v>33.068026000000003</v>
      </c>
      <c r="C2023">
        <v>0.83499999999999996</v>
      </c>
      <c r="D2023">
        <v>0.74816000000000005</v>
      </c>
      <c r="E2023">
        <v>878764516</v>
      </c>
      <c r="F2023">
        <v>120</v>
      </c>
    </row>
    <row r="2024" spans="1:6" x14ac:dyDescent="0.25">
      <c r="A2024">
        <v>-111.973966</v>
      </c>
      <c r="B2024">
        <v>33.068019999999997</v>
      </c>
      <c r="C2024">
        <v>0.02</v>
      </c>
      <c r="D2024">
        <v>1.7919999999999998E-2</v>
      </c>
      <c r="E2024">
        <v>878764518</v>
      </c>
      <c r="F2024">
        <v>120</v>
      </c>
    </row>
    <row r="2025" spans="1:6" x14ac:dyDescent="0.25">
      <c r="A2025">
        <v>-111.973967</v>
      </c>
      <c r="B2025">
        <v>33.068015000000003</v>
      </c>
      <c r="C2025">
        <v>0.01</v>
      </c>
      <c r="D2025">
        <v>8.9599999999999992E-3</v>
      </c>
      <c r="E2025">
        <v>878764528</v>
      </c>
      <c r="F2025">
        <v>120</v>
      </c>
    </row>
    <row r="2026" spans="1:6" x14ac:dyDescent="0.25">
      <c r="A2026">
        <v>-111.97397100000001</v>
      </c>
      <c r="B2026">
        <v>33.068004999999999</v>
      </c>
      <c r="C2026">
        <v>7.4999999999999997E-2</v>
      </c>
      <c r="D2026">
        <v>6.7199999999999996E-2</v>
      </c>
      <c r="E2026">
        <v>878764530</v>
      </c>
      <c r="F2026">
        <v>120</v>
      </c>
    </row>
    <row r="2027" spans="1:6" x14ac:dyDescent="0.25">
      <c r="A2027">
        <v>-111.97398099999999</v>
      </c>
      <c r="B2027">
        <v>33.068002</v>
      </c>
      <c r="C2027">
        <v>0.36499999999999999</v>
      </c>
      <c r="D2027">
        <v>0.32704</v>
      </c>
      <c r="E2027">
        <v>878764532</v>
      </c>
      <c r="F2027">
        <v>120</v>
      </c>
    </row>
    <row r="2028" spans="1:6" x14ac:dyDescent="0.25">
      <c r="A2028">
        <v>-111.973991</v>
      </c>
      <c r="B2028">
        <v>33.067995000000003</v>
      </c>
      <c r="C2028">
        <v>0.05</v>
      </c>
      <c r="D2028">
        <v>4.48E-2</v>
      </c>
      <c r="E2028">
        <v>878764534</v>
      </c>
      <c r="F2028">
        <v>120</v>
      </c>
    </row>
    <row r="2029" spans="1:6" x14ac:dyDescent="0.25">
      <c r="A2029">
        <v>-111.974019</v>
      </c>
      <c r="B2029">
        <v>33.067996000000001</v>
      </c>
      <c r="C2029">
        <v>5.0000000000000001E-3</v>
      </c>
      <c r="D2029">
        <v>4.4799999999999996E-3</v>
      </c>
      <c r="E2029">
        <v>878764538</v>
      </c>
      <c r="F2029">
        <v>120</v>
      </c>
    </row>
    <row r="2030" spans="1:6" x14ac:dyDescent="0.25">
      <c r="A2030">
        <v>-111.974031</v>
      </c>
      <c r="B2030">
        <v>33.067996999999998</v>
      </c>
      <c r="C2030">
        <v>0.36499999999999999</v>
      </c>
      <c r="D2030">
        <v>0.32704</v>
      </c>
      <c r="E2030">
        <v>878764540</v>
      </c>
      <c r="F2030">
        <v>120</v>
      </c>
    </row>
    <row r="2031" spans="1:6" x14ac:dyDescent="0.25">
      <c r="A2031">
        <v>-111.97413299999999</v>
      </c>
      <c r="B2031">
        <v>33.067973000000002</v>
      </c>
      <c r="C2031">
        <v>0.02</v>
      </c>
      <c r="D2031">
        <v>1.7919999999999998E-2</v>
      </c>
      <c r="E2031">
        <v>878764556</v>
      </c>
      <c r="F2031">
        <v>120</v>
      </c>
    </row>
    <row r="2032" spans="1:6" x14ac:dyDescent="0.25">
      <c r="A2032">
        <v>-111.97418399999999</v>
      </c>
      <c r="B2032">
        <v>33.068044</v>
      </c>
      <c r="C2032">
        <v>0.46500000000000002</v>
      </c>
      <c r="D2032">
        <v>0.41664000000000001</v>
      </c>
      <c r="E2032">
        <v>878764578</v>
      </c>
      <c r="F2032">
        <v>120</v>
      </c>
    </row>
    <row r="2033" spans="1:6" x14ac:dyDescent="0.25">
      <c r="A2033">
        <v>-111.97418399999999</v>
      </c>
      <c r="B2033">
        <v>33.068049999999999</v>
      </c>
      <c r="C2033">
        <v>1.575</v>
      </c>
      <c r="D2033">
        <v>1.4112</v>
      </c>
      <c r="E2033">
        <v>878764580</v>
      </c>
      <c r="F2033">
        <v>120</v>
      </c>
    </row>
    <row r="2034" spans="1:6" x14ac:dyDescent="0.25">
      <c r="A2034">
        <v>-111.97418399999999</v>
      </c>
      <c r="B2034">
        <v>33.068055999999999</v>
      </c>
      <c r="C2034">
        <v>1.7250000000000001</v>
      </c>
      <c r="D2034">
        <v>1.5456000000000001</v>
      </c>
      <c r="E2034">
        <v>878764582</v>
      </c>
      <c r="F2034">
        <v>120</v>
      </c>
    </row>
    <row r="2035" spans="1:6" x14ac:dyDescent="0.25">
      <c r="A2035">
        <v>-111.97418500000001</v>
      </c>
      <c r="B2035">
        <v>33.068063000000002</v>
      </c>
      <c r="C2035">
        <v>1.115</v>
      </c>
      <c r="D2035">
        <v>0.99904000000000004</v>
      </c>
      <c r="E2035">
        <v>878764584</v>
      </c>
      <c r="F2035">
        <v>120</v>
      </c>
    </row>
    <row r="2036" spans="1:6" x14ac:dyDescent="0.25">
      <c r="A2036">
        <v>-111.97418500000001</v>
      </c>
      <c r="B2036">
        <v>33.068072000000001</v>
      </c>
      <c r="C2036">
        <v>1.425</v>
      </c>
      <c r="D2036">
        <v>1.2767999999999999</v>
      </c>
      <c r="E2036">
        <v>878764586</v>
      </c>
      <c r="F2036">
        <v>120</v>
      </c>
    </row>
    <row r="2037" spans="1:6" x14ac:dyDescent="0.25">
      <c r="A2037">
        <v>-111.97418500000001</v>
      </c>
      <c r="B2037">
        <v>33.068080000000002</v>
      </c>
      <c r="C2037">
        <v>1.04</v>
      </c>
      <c r="D2037">
        <v>0.93184</v>
      </c>
      <c r="E2037">
        <v>878764588</v>
      </c>
      <c r="F2037">
        <v>120</v>
      </c>
    </row>
    <row r="2038" spans="1:6" x14ac:dyDescent="0.25">
      <c r="A2038">
        <v>-111.97418500000001</v>
      </c>
      <c r="B2038">
        <v>33.068088000000003</v>
      </c>
      <c r="C2038">
        <v>0.91</v>
      </c>
      <c r="D2038">
        <v>0.81535999999999997</v>
      </c>
      <c r="E2038">
        <v>878764590</v>
      </c>
      <c r="F2038">
        <v>120</v>
      </c>
    </row>
    <row r="2039" spans="1:6" x14ac:dyDescent="0.25">
      <c r="A2039">
        <v>-111.97418500000001</v>
      </c>
      <c r="B2039">
        <v>33.068095</v>
      </c>
      <c r="C2039">
        <v>0.85499999999999998</v>
      </c>
      <c r="D2039">
        <v>0.76607999999999998</v>
      </c>
      <c r="E2039">
        <v>878764592</v>
      </c>
      <c r="F2039">
        <v>120</v>
      </c>
    </row>
    <row r="2040" spans="1:6" x14ac:dyDescent="0.25">
      <c r="A2040">
        <v>-111.974186</v>
      </c>
      <c r="B2040">
        <v>33.068102000000003</v>
      </c>
      <c r="C2040">
        <v>0.98</v>
      </c>
      <c r="D2040">
        <v>0.87807999999999997</v>
      </c>
      <c r="E2040">
        <v>878764594</v>
      </c>
      <c r="F2040">
        <v>120</v>
      </c>
    </row>
    <row r="2041" spans="1:6" x14ac:dyDescent="0.25">
      <c r="A2041">
        <v>-111.97418500000001</v>
      </c>
      <c r="B2041">
        <v>33.068108000000002</v>
      </c>
      <c r="C2041">
        <v>0.68500000000000005</v>
      </c>
      <c r="D2041">
        <v>0.61375999999999997</v>
      </c>
      <c r="E2041">
        <v>878764596</v>
      </c>
      <c r="F2041">
        <v>120</v>
      </c>
    </row>
    <row r="2042" spans="1:6" x14ac:dyDescent="0.25">
      <c r="A2042">
        <v>-111.97418500000001</v>
      </c>
      <c r="B2042">
        <v>33.068114999999999</v>
      </c>
      <c r="C2042">
        <v>1.0349999999999999</v>
      </c>
      <c r="D2042">
        <v>0.92735999999999996</v>
      </c>
      <c r="E2042">
        <v>878764598</v>
      </c>
      <c r="F2042">
        <v>120</v>
      </c>
    </row>
    <row r="2043" spans="1:6" x14ac:dyDescent="0.25">
      <c r="A2043">
        <v>-111.97418500000001</v>
      </c>
      <c r="B2043">
        <v>33.068123</v>
      </c>
      <c r="C2043">
        <v>0.625</v>
      </c>
      <c r="D2043">
        <v>0.56000000000000005</v>
      </c>
      <c r="E2043">
        <v>878764600</v>
      </c>
      <c r="F2043">
        <v>120</v>
      </c>
    </row>
    <row r="2044" spans="1:6" x14ac:dyDescent="0.25">
      <c r="A2044">
        <v>-111.97418500000001</v>
      </c>
      <c r="B2044">
        <v>33.068129999999996</v>
      </c>
      <c r="C2044">
        <v>1.58</v>
      </c>
      <c r="D2044">
        <v>1.41568</v>
      </c>
      <c r="E2044">
        <v>878764602</v>
      </c>
      <c r="F2044">
        <v>120</v>
      </c>
    </row>
    <row r="2045" spans="1:6" x14ac:dyDescent="0.25">
      <c r="A2045">
        <v>-111.97418500000001</v>
      </c>
      <c r="B2045">
        <v>33.068137</v>
      </c>
      <c r="C2045">
        <v>1.35</v>
      </c>
      <c r="D2045">
        <v>1.2096</v>
      </c>
      <c r="E2045">
        <v>878764604</v>
      </c>
      <c r="F2045">
        <v>120</v>
      </c>
    </row>
    <row r="2046" spans="1:6" x14ac:dyDescent="0.25">
      <c r="A2046">
        <v>-111.97418500000001</v>
      </c>
      <c r="B2046">
        <v>33.068143999999997</v>
      </c>
      <c r="C2046">
        <v>1.21</v>
      </c>
      <c r="D2046">
        <v>1.08416</v>
      </c>
      <c r="E2046">
        <v>878764606</v>
      </c>
      <c r="F2046">
        <v>120</v>
      </c>
    </row>
    <row r="2047" spans="1:6" x14ac:dyDescent="0.25">
      <c r="A2047">
        <v>-111.974186</v>
      </c>
      <c r="B2047">
        <v>33.068151</v>
      </c>
      <c r="C2047">
        <v>1.615</v>
      </c>
      <c r="D2047">
        <v>1.4470400000000001</v>
      </c>
      <c r="E2047">
        <v>878764608</v>
      </c>
      <c r="F2047">
        <v>120</v>
      </c>
    </row>
    <row r="2048" spans="1:6" x14ac:dyDescent="0.25">
      <c r="A2048">
        <v>-111.97418500000001</v>
      </c>
      <c r="B2048">
        <v>33.068157999999997</v>
      </c>
      <c r="C2048">
        <v>1.29</v>
      </c>
      <c r="D2048">
        <v>1.15584</v>
      </c>
      <c r="E2048">
        <v>878764610</v>
      </c>
      <c r="F2048">
        <v>120</v>
      </c>
    </row>
    <row r="2049" spans="1:6" x14ac:dyDescent="0.25">
      <c r="A2049">
        <v>-111.97418500000001</v>
      </c>
      <c r="B2049">
        <v>33.068165999999998</v>
      </c>
      <c r="C2049">
        <v>1.43</v>
      </c>
      <c r="D2049">
        <v>1.28128</v>
      </c>
      <c r="E2049">
        <v>878764612</v>
      </c>
      <c r="F2049">
        <v>120</v>
      </c>
    </row>
    <row r="2050" spans="1:6" x14ac:dyDescent="0.25">
      <c r="A2050">
        <v>-111.97418500000001</v>
      </c>
      <c r="B2050">
        <v>33.068173999999999</v>
      </c>
      <c r="C2050">
        <v>1.4450000000000001</v>
      </c>
      <c r="D2050">
        <v>1.2947200000000001</v>
      </c>
      <c r="E2050">
        <v>878764614</v>
      </c>
      <c r="F2050">
        <v>120</v>
      </c>
    </row>
    <row r="2051" spans="1:6" x14ac:dyDescent="0.25">
      <c r="A2051">
        <v>-111.97418500000001</v>
      </c>
      <c r="B2051">
        <v>33.068181000000003</v>
      </c>
      <c r="C2051">
        <v>1.625</v>
      </c>
      <c r="D2051">
        <v>1.456</v>
      </c>
      <c r="E2051">
        <v>878764616</v>
      </c>
      <c r="F2051">
        <v>120</v>
      </c>
    </row>
    <row r="2052" spans="1:6" x14ac:dyDescent="0.25">
      <c r="A2052">
        <v>-111.97418500000001</v>
      </c>
      <c r="B2052">
        <v>33.068187999999999</v>
      </c>
      <c r="C2052">
        <v>2.16</v>
      </c>
      <c r="D2052">
        <v>1.93536</v>
      </c>
      <c r="E2052">
        <v>878764618</v>
      </c>
      <c r="F2052">
        <v>120</v>
      </c>
    </row>
    <row r="2053" spans="1:6" x14ac:dyDescent="0.25">
      <c r="A2053">
        <v>-111.97418500000001</v>
      </c>
      <c r="B2053">
        <v>33.068196</v>
      </c>
      <c r="C2053">
        <v>1.635</v>
      </c>
      <c r="D2053">
        <v>1.46496</v>
      </c>
      <c r="E2053">
        <v>878764620</v>
      </c>
      <c r="F2053">
        <v>120</v>
      </c>
    </row>
    <row r="2054" spans="1:6" x14ac:dyDescent="0.25">
      <c r="A2054">
        <v>-111.97418500000001</v>
      </c>
      <c r="B2054">
        <v>33.068196</v>
      </c>
      <c r="C2054">
        <v>0.6</v>
      </c>
      <c r="D2054">
        <v>0.53759999999999997</v>
      </c>
      <c r="E2054">
        <v>878764622</v>
      </c>
      <c r="F2054">
        <v>120</v>
      </c>
    </row>
    <row r="2055" spans="1:6" x14ac:dyDescent="0.25">
      <c r="A2055">
        <v>-111.97418500000001</v>
      </c>
      <c r="B2055">
        <v>33.068201999999999</v>
      </c>
      <c r="C2055">
        <v>5.0000000000000001E-3</v>
      </c>
      <c r="D2055">
        <v>4.4799999999999996E-3</v>
      </c>
      <c r="E2055">
        <v>878764630</v>
      </c>
      <c r="F2055">
        <v>120</v>
      </c>
    </row>
    <row r="2056" spans="1:6" x14ac:dyDescent="0.25">
      <c r="A2056">
        <v>-111.97418500000001</v>
      </c>
      <c r="B2056">
        <v>33.068207999999998</v>
      </c>
      <c r="C2056">
        <v>0.04</v>
      </c>
      <c r="D2056">
        <v>3.5839999999999997E-2</v>
      </c>
      <c r="E2056">
        <v>878764632</v>
      </c>
      <c r="F2056">
        <v>120</v>
      </c>
    </row>
    <row r="2057" spans="1:6" x14ac:dyDescent="0.25">
      <c r="A2057">
        <v>-111.974181</v>
      </c>
      <c r="B2057">
        <v>33.068213</v>
      </c>
      <c r="C2057">
        <v>0.8</v>
      </c>
      <c r="D2057">
        <v>0.71679999999999999</v>
      </c>
      <c r="E2057">
        <v>878764634</v>
      </c>
      <c r="F2057">
        <v>120</v>
      </c>
    </row>
    <row r="2058" spans="1:6" x14ac:dyDescent="0.25">
      <c r="A2058">
        <v>-111.97418</v>
      </c>
      <c r="B2058">
        <v>33.068219999999997</v>
      </c>
      <c r="C2058">
        <v>1.4</v>
      </c>
      <c r="D2058">
        <v>1.2544</v>
      </c>
      <c r="E2058">
        <v>878764636</v>
      </c>
      <c r="F2058">
        <v>120</v>
      </c>
    </row>
    <row r="2059" spans="1:6" x14ac:dyDescent="0.25">
      <c r="A2059">
        <v>-111.974182</v>
      </c>
      <c r="B2059">
        <v>33.068227999999998</v>
      </c>
      <c r="C2059">
        <v>1.1299999999999999</v>
      </c>
      <c r="D2059">
        <v>1.01248</v>
      </c>
      <c r="E2059">
        <v>878764638</v>
      </c>
      <c r="F2059">
        <v>120</v>
      </c>
    </row>
    <row r="2060" spans="1:6" x14ac:dyDescent="0.25">
      <c r="A2060">
        <v>-111.974183</v>
      </c>
      <c r="B2060">
        <v>33.068235000000001</v>
      </c>
      <c r="C2060">
        <v>1.79</v>
      </c>
      <c r="D2060">
        <v>1.6038399999999999</v>
      </c>
      <c r="E2060">
        <v>878764640</v>
      </c>
      <c r="F2060">
        <v>120</v>
      </c>
    </row>
    <row r="2061" spans="1:6" x14ac:dyDescent="0.25">
      <c r="A2061">
        <v>-111.974183</v>
      </c>
      <c r="B2061">
        <v>33.068243000000002</v>
      </c>
      <c r="C2061">
        <v>0.94499999999999995</v>
      </c>
      <c r="D2061">
        <v>0.84672000000000003</v>
      </c>
      <c r="E2061">
        <v>878764642</v>
      </c>
      <c r="F2061">
        <v>120</v>
      </c>
    </row>
    <row r="2062" spans="1:6" x14ac:dyDescent="0.25">
      <c r="A2062">
        <v>-111.974183</v>
      </c>
      <c r="B2062">
        <v>33.068249999999999</v>
      </c>
      <c r="C2062">
        <v>0.85</v>
      </c>
      <c r="D2062">
        <v>0.76160000000000005</v>
      </c>
      <c r="E2062">
        <v>878764644</v>
      </c>
      <c r="F2062">
        <v>120</v>
      </c>
    </row>
    <row r="2063" spans="1:6" x14ac:dyDescent="0.25">
      <c r="A2063">
        <v>-111.974183</v>
      </c>
      <c r="B2063">
        <v>33.068258</v>
      </c>
      <c r="C2063">
        <v>0.87</v>
      </c>
      <c r="D2063">
        <v>0.77951999999999999</v>
      </c>
      <c r="E2063">
        <v>878764646</v>
      </c>
      <c r="F2063">
        <v>120</v>
      </c>
    </row>
    <row r="2064" spans="1:6" x14ac:dyDescent="0.25">
      <c r="A2064">
        <v>-111.97418399999999</v>
      </c>
      <c r="B2064">
        <v>33.068264999999997</v>
      </c>
      <c r="C2064">
        <v>1.865</v>
      </c>
      <c r="D2064">
        <v>1.6710400000000001</v>
      </c>
      <c r="E2064">
        <v>878764648</v>
      </c>
      <c r="F2064">
        <v>120</v>
      </c>
    </row>
    <row r="2065" spans="1:6" x14ac:dyDescent="0.25">
      <c r="A2065">
        <v>-111.97418399999999</v>
      </c>
      <c r="B2065">
        <v>33.068272</v>
      </c>
      <c r="C2065">
        <v>2</v>
      </c>
      <c r="D2065">
        <v>1.792</v>
      </c>
      <c r="E2065">
        <v>878764650</v>
      </c>
      <c r="F2065">
        <v>120</v>
      </c>
    </row>
    <row r="2066" spans="1:6" x14ac:dyDescent="0.25">
      <c r="A2066">
        <v>-111.974183</v>
      </c>
      <c r="B2066">
        <v>33.068280000000001</v>
      </c>
      <c r="C2066">
        <v>0.73499999999999999</v>
      </c>
      <c r="D2066">
        <v>0.65856000000000003</v>
      </c>
      <c r="E2066">
        <v>878764652</v>
      </c>
      <c r="F2066">
        <v>120</v>
      </c>
    </row>
    <row r="2067" spans="1:6" x14ac:dyDescent="0.25">
      <c r="A2067">
        <v>-111.97418399999999</v>
      </c>
      <c r="B2067">
        <v>33.068286999999998</v>
      </c>
      <c r="C2067">
        <v>0.63</v>
      </c>
      <c r="D2067">
        <v>0.56447999999999998</v>
      </c>
      <c r="E2067">
        <v>878764654</v>
      </c>
      <c r="F2067">
        <v>120</v>
      </c>
    </row>
    <row r="2068" spans="1:6" x14ac:dyDescent="0.25">
      <c r="A2068">
        <v>-111.97418399999999</v>
      </c>
      <c r="B2068">
        <v>33.068294999999999</v>
      </c>
      <c r="C2068">
        <v>0.95</v>
      </c>
      <c r="D2068">
        <v>0.85119999999999996</v>
      </c>
      <c r="E2068">
        <v>878764656</v>
      </c>
      <c r="F2068">
        <v>120</v>
      </c>
    </row>
    <row r="2069" spans="1:6" x14ac:dyDescent="0.25">
      <c r="A2069">
        <v>-111.97418399999999</v>
      </c>
      <c r="B2069">
        <v>33.068302000000003</v>
      </c>
      <c r="C2069">
        <v>0.97499999999999998</v>
      </c>
      <c r="D2069">
        <v>0.87360000000000004</v>
      </c>
      <c r="E2069">
        <v>878764658</v>
      </c>
      <c r="F2069">
        <v>120</v>
      </c>
    </row>
    <row r="2070" spans="1:6" x14ac:dyDescent="0.25">
      <c r="A2070">
        <v>-111.974183</v>
      </c>
      <c r="B2070">
        <v>33.068309999999997</v>
      </c>
      <c r="C2070">
        <v>1.01</v>
      </c>
      <c r="D2070">
        <v>0.90495999999999999</v>
      </c>
      <c r="E2070">
        <v>878764660</v>
      </c>
      <c r="F2070">
        <v>120</v>
      </c>
    </row>
    <row r="2071" spans="1:6" x14ac:dyDescent="0.25">
      <c r="A2071">
        <v>-111.974183</v>
      </c>
      <c r="B2071">
        <v>33.068317</v>
      </c>
      <c r="C2071">
        <v>1.125</v>
      </c>
      <c r="D2071">
        <v>1.008</v>
      </c>
      <c r="E2071">
        <v>878764662</v>
      </c>
      <c r="F2071">
        <v>120</v>
      </c>
    </row>
    <row r="2072" spans="1:6" x14ac:dyDescent="0.25">
      <c r="A2072">
        <v>-111.974183</v>
      </c>
      <c r="B2072">
        <v>33.068325000000002</v>
      </c>
      <c r="C2072">
        <v>1.94</v>
      </c>
      <c r="D2072">
        <v>1.73824</v>
      </c>
      <c r="E2072">
        <v>878764664</v>
      </c>
      <c r="F2072">
        <v>120</v>
      </c>
    </row>
    <row r="2073" spans="1:6" x14ac:dyDescent="0.25">
      <c r="A2073">
        <v>-111.974183</v>
      </c>
      <c r="B2073">
        <v>33.068331999999998</v>
      </c>
      <c r="C2073">
        <v>1.625</v>
      </c>
      <c r="D2073">
        <v>1.456</v>
      </c>
      <c r="E2073">
        <v>878764666</v>
      </c>
      <c r="F2073">
        <v>120</v>
      </c>
    </row>
    <row r="2074" spans="1:6" x14ac:dyDescent="0.25">
      <c r="A2074">
        <v>-111.974183</v>
      </c>
      <c r="B2074">
        <v>33.068339000000002</v>
      </c>
      <c r="C2074">
        <v>1.1499999999999999</v>
      </c>
      <c r="D2074">
        <v>1.0304</v>
      </c>
      <c r="E2074">
        <v>878764668</v>
      </c>
      <c r="F2074">
        <v>120</v>
      </c>
    </row>
    <row r="2075" spans="1:6" x14ac:dyDescent="0.25">
      <c r="A2075">
        <v>-111.974183</v>
      </c>
      <c r="B2075">
        <v>33.068345999999998</v>
      </c>
      <c r="C2075">
        <v>1.08</v>
      </c>
      <c r="D2075">
        <v>0.96767999999999998</v>
      </c>
      <c r="E2075">
        <v>878764670</v>
      </c>
      <c r="F2075">
        <v>120</v>
      </c>
    </row>
    <row r="2076" spans="1:6" x14ac:dyDescent="0.25">
      <c r="A2076">
        <v>-111.974183</v>
      </c>
      <c r="B2076">
        <v>33.068353999999999</v>
      </c>
      <c r="C2076">
        <v>1.4550000000000001</v>
      </c>
      <c r="D2076">
        <v>1.3036799999999999</v>
      </c>
      <c r="E2076">
        <v>878764672</v>
      </c>
      <c r="F2076">
        <v>120</v>
      </c>
    </row>
    <row r="2077" spans="1:6" x14ac:dyDescent="0.25">
      <c r="A2077">
        <v>-111.974183</v>
      </c>
      <c r="B2077">
        <v>33.068361000000003</v>
      </c>
      <c r="C2077">
        <v>1.875</v>
      </c>
      <c r="D2077">
        <v>1.68</v>
      </c>
      <c r="E2077">
        <v>878764674</v>
      </c>
      <c r="F2077">
        <v>120</v>
      </c>
    </row>
    <row r="2078" spans="1:6" x14ac:dyDescent="0.25">
      <c r="A2078">
        <v>-111.974183</v>
      </c>
      <c r="B2078">
        <v>33.068368</v>
      </c>
      <c r="C2078">
        <v>1.82</v>
      </c>
      <c r="D2078">
        <v>1.6307199999999999</v>
      </c>
      <c r="E2078">
        <v>878764676</v>
      </c>
      <c r="F2078">
        <v>120</v>
      </c>
    </row>
    <row r="2079" spans="1:6" x14ac:dyDescent="0.25">
      <c r="A2079">
        <v>-111.974183</v>
      </c>
      <c r="B2079">
        <v>33.068376000000001</v>
      </c>
      <c r="C2079">
        <v>0.375</v>
      </c>
      <c r="D2079">
        <v>0.33600000000000002</v>
      </c>
      <c r="E2079">
        <v>878764678</v>
      </c>
      <c r="F2079">
        <v>120</v>
      </c>
    </row>
    <row r="2080" spans="1:6" x14ac:dyDescent="0.25">
      <c r="A2080">
        <v>-111.97418</v>
      </c>
      <c r="B2080">
        <v>33.068382999999997</v>
      </c>
      <c r="C2080">
        <v>0.06</v>
      </c>
      <c r="D2080">
        <v>5.3760000000000002E-2</v>
      </c>
      <c r="E2080">
        <v>878764680</v>
      </c>
      <c r="F2080">
        <v>120</v>
      </c>
    </row>
    <row r="2081" spans="1:6" x14ac:dyDescent="0.25">
      <c r="A2081">
        <v>-111.974181</v>
      </c>
      <c r="B2081">
        <v>33.068396999999997</v>
      </c>
      <c r="C2081">
        <v>5.0000000000000001E-3</v>
      </c>
      <c r="D2081">
        <v>4.4799999999999996E-3</v>
      </c>
      <c r="E2081">
        <v>878764684</v>
      </c>
      <c r="F2081">
        <v>120</v>
      </c>
    </row>
    <row r="2082" spans="1:6" x14ac:dyDescent="0.25">
      <c r="A2082">
        <v>-111.97418500000001</v>
      </c>
      <c r="B2082">
        <v>33.068452000000001</v>
      </c>
      <c r="C2082">
        <v>1.4999999999999999E-2</v>
      </c>
      <c r="D2082">
        <v>1.3440000000000001E-2</v>
      </c>
      <c r="E2082">
        <v>878764698</v>
      </c>
      <c r="F2082">
        <v>120</v>
      </c>
    </row>
    <row r="2083" spans="1:6" x14ac:dyDescent="0.25">
      <c r="A2083">
        <v>-111.97418399999999</v>
      </c>
      <c r="B2083">
        <v>33.068458999999997</v>
      </c>
      <c r="C2083">
        <v>0.20499999999999999</v>
      </c>
      <c r="D2083">
        <v>0.18368000000000001</v>
      </c>
      <c r="E2083">
        <v>878764700</v>
      </c>
      <c r="F2083">
        <v>120</v>
      </c>
    </row>
    <row r="2084" spans="1:6" x14ac:dyDescent="0.25">
      <c r="A2084">
        <v>-111.974183</v>
      </c>
      <c r="B2084">
        <v>33.068466000000001</v>
      </c>
      <c r="C2084">
        <v>1.4450000000000001</v>
      </c>
      <c r="D2084">
        <v>1.2947200000000001</v>
      </c>
      <c r="E2084">
        <v>878764702</v>
      </c>
      <c r="F2084">
        <v>120</v>
      </c>
    </row>
    <row r="2085" spans="1:6" x14ac:dyDescent="0.25">
      <c r="A2085">
        <v>-111.974183</v>
      </c>
      <c r="B2085">
        <v>33.068474000000002</v>
      </c>
      <c r="C2085">
        <v>1.35</v>
      </c>
      <c r="D2085">
        <v>1.2096</v>
      </c>
      <c r="E2085">
        <v>878764704</v>
      </c>
      <c r="F2085">
        <v>120</v>
      </c>
    </row>
    <row r="2086" spans="1:6" x14ac:dyDescent="0.25">
      <c r="A2086">
        <v>-111.974183</v>
      </c>
      <c r="B2086">
        <v>33.068480999999998</v>
      </c>
      <c r="C2086">
        <v>1.4550000000000001</v>
      </c>
      <c r="D2086">
        <v>1.3036799999999999</v>
      </c>
      <c r="E2086">
        <v>878764706</v>
      </c>
      <c r="F2086">
        <v>120</v>
      </c>
    </row>
    <row r="2087" spans="1:6" x14ac:dyDescent="0.25">
      <c r="A2087">
        <v>-111.974183</v>
      </c>
      <c r="B2087">
        <v>33.068488000000002</v>
      </c>
      <c r="C2087">
        <v>0.84499999999999997</v>
      </c>
      <c r="D2087">
        <v>0.75712000000000002</v>
      </c>
      <c r="E2087">
        <v>878764708</v>
      </c>
      <c r="F2087">
        <v>120</v>
      </c>
    </row>
    <row r="2088" spans="1:6" x14ac:dyDescent="0.25">
      <c r="A2088">
        <v>-111.97418399999999</v>
      </c>
      <c r="B2088">
        <v>33.068496000000003</v>
      </c>
      <c r="C2088">
        <v>0.88</v>
      </c>
      <c r="D2088">
        <v>0.78847999999999996</v>
      </c>
      <c r="E2088">
        <v>878764710</v>
      </c>
      <c r="F2088">
        <v>120</v>
      </c>
    </row>
    <row r="2089" spans="1:6" x14ac:dyDescent="0.25">
      <c r="A2089">
        <v>-111.97418399999999</v>
      </c>
      <c r="B2089">
        <v>33.068503999999997</v>
      </c>
      <c r="C2089">
        <v>0.82499999999999996</v>
      </c>
      <c r="D2089">
        <v>0.73919999999999997</v>
      </c>
      <c r="E2089">
        <v>878764712</v>
      </c>
      <c r="F2089">
        <v>120</v>
      </c>
    </row>
    <row r="2090" spans="1:6" x14ac:dyDescent="0.25">
      <c r="A2090">
        <v>-111.974183</v>
      </c>
      <c r="B2090">
        <v>33.068511000000001</v>
      </c>
      <c r="C2090">
        <v>0.89</v>
      </c>
      <c r="D2090">
        <v>0.79744000000000004</v>
      </c>
      <c r="E2090">
        <v>878764714</v>
      </c>
      <c r="F2090">
        <v>120</v>
      </c>
    </row>
    <row r="2091" spans="1:6" x14ac:dyDescent="0.25">
      <c r="A2091">
        <v>-111.974183</v>
      </c>
      <c r="B2091">
        <v>33.068519000000002</v>
      </c>
      <c r="C2091">
        <v>0.99</v>
      </c>
      <c r="D2091">
        <v>0.88704000000000005</v>
      </c>
      <c r="E2091">
        <v>878764716</v>
      </c>
      <c r="F2091">
        <v>120</v>
      </c>
    </row>
    <row r="2092" spans="1:6" x14ac:dyDescent="0.25">
      <c r="A2092">
        <v>-111.974183</v>
      </c>
      <c r="B2092">
        <v>33.068525000000001</v>
      </c>
      <c r="C2092">
        <v>1.03</v>
      </c>
      <c r="D2092">
        <v>0.92288000000000003</v>
      </c>
      <c r="E2092">
        <v>878764718</v>
      </c>
      <c r="F2092">
        <v>120</v>
      </c>
    </row>
    <row r="2093" spans="1:6" x14ac:dyDescent="0.25">
      <c r="A2093">
        <v>-111.974183</v>
      </c>
      <c r="B2093">
        <v>33.068531999999998</v>
      </c>
      <c r="C2093">
        <v>1.355</v>
      </c>
      <c r="D2093">
        <v>1.21408</v>
      </c>
      <c r="E2093">
        <v>878764720</v>
      </c>
      <c r="F2093">
        <v>120</v>
      </c>
    </row>
    <row r="2094" spans="1:6" x14ac:dyDescent="0.25">
      <c r="A2094">
        <v>-111.974183</v>
      </c>
      <c r="B2094">
        <v>33.068539999999999</v>
      </c>
      <c r="C2094">
        <v>1.1200000000000001</v>
      </c>
      <c r="D2094">
        <v>1.00352</v>
      </c>
      <c r="E2094">
        <v>878764722</v>
      </c>
      <c r="F2094">
        <v>120</v>
      </c>
    </row>
    <row r="2095" spans="1:6" x14ac:dyDescent="0.25">
      <c r="A2095">
        <v>-111.974183</v>
      </c>
      <c r="B2095">
        <v>33.068548</v>
      </c>
      <c r="C2095">
        <v>1.375</v>
      </c>
      <c r="D2095">
        <v>1.232</v>
      </c>
      <c r="E2095">
        <v>878764724</v>
      </c>
      <c r="F2095">
        <v>120</v>
      </c>
    </row>
    <row r="2096" spans="1:6" x14ac:dyDescent="0.25">
      <c r="A2096">
        <v>-111.974183</v>
      </c>
      <c r="B2096">
        <v>33.068555000000003</v>
      </c>
      <c r="C2096">
        <v>1.3049999999999999</v>
      </c>
      <c r="D2096">
        <v>1.1692800000000001</v>
      </c>
      <c r="E2096">
        <v>878764726</v>
      </c>
      <c r="F2096">
        <v>120</v>
      </c>
    </row>
    <row r="2097" spans="1:6" x14ac:dyDescent="0.25">
      <c r="A2097">
        <v>-111.97418399999999</v>
      </c>
      <c r="B2097">
        <v>33.068562999999997</v>
      </c>
      <c r="C2097">
        <v>1.45</v>
      </c>
      <c r="D2097">
        <v>1.2991999999999999</v>
      </c>
      <c r="E2097">
        <v>878764728</v>
      </c>
      <c r="F2097">
        <v>120</v>
      </c>
    </row>
    <row r="2098" spans="1:6" x14ac:dyDescent="0.25">
      <c r="A2098">
        <v>-111.97418399999999</v>
      </c>
      <c r="B2098">
        <v>33.068570000000001</v>
      </c>
      <c r="C2098">
        <v>1.4750000000000001</v>
      </c>
      <c r="D2098">
        <v>1.3216000000000001</v>
      </c>
      <c r="E2098">
        <v>878764730</v>
      </c>
      <c r="F2098">
        <v>120</v>
      </c>
    </row>
    <row r="2099" spans="1:6" x14ac:dyDescent="0.25">
      <c r="A2099">
        <v>-111.974183</v>
      </c>
      <c r="B2099">
        <v>33.068576999999998</v>
      </c>
      <c r="C2099">
        <v>1.5549999999999999</v>
      </c>
      <c r="D2099">
        <v>1.3932800000000001</v>
      </c>
      <c r="E2099">
        <v>878764732</v>
      </c>
      <c r="F2099">
        <v>120</v>
      </c>
    </row>
    <row r="2100" spans="1:6" x14ac:dyDescent="0.25">
      <c r="A2100">
        <v>-111.974183</v>
      </c>
      <c r="B2100">
        <v>33.068584000000001</v>
      </c>
      <c r="C2100">
        <v>1.7849999999999999</v>
      </c>
      <c r="D2100">
        <v>1.5993599999999999</v>
      </c>
      <c r="E2100">
        <v>878764734</v>
      </c>
      <c r="F2100">
        <v>120</v>
      </c>
    </row>
    <row r="2101" spans="1:6" x14ac:dyDescent="0.25">
      <c r="A2101">
        <v>-111.974183</v>
      </c>
      <c r="B2101">
        <v>33.068590999999998</v>
      </c>
      <c r="C2101">
        <v>1.63</v>
      </c>
      <c r="D2101">
        <v>1.46048</v>
      </c>
      <c r="E2101">
        <v>878764736</v>
      </c>
      <c r="F2101">
        <v>120</v>
      </c>
    </row>
    <row r="2102" spans="1:6" x14ac:dyDescent="0.25">
      <c r="A2102">
        <v>-111.974183</v>
      </c>
      <c r="B2102">
        <v>33.068598000000001</v>
      </c>
      <c r="C2102">
        <v>1.4650000000000001</v>
      </c>
      <c r="D2102">
        <v>1.31264</v>
      </c>
      <c r="E2102">
        <v>878764738</v>
      </c>
      <c r="F2102">
        <v>120</v>
      </c>
    </row>
    <row r="2103" spans="1:6" x14ac:dyDescent="0.25">
      <c r="A2103">
        <v>-111.97418399999999</v>
      </c>
      <c r="B2103">
        <v>33.068606000000003</v>
      </c>
      <c r="C2103">
        <v>1.365</v>
      </c>
      <c r="D2103">
        <v>1.2230399999999999</v>
      </c>
      <c r="E2103">
        <v>878764740</v>
      </c>
      <c r="F2103">
        <v>120</v>
      </c>
    </row>
    <row r="2104" spans="1:6" x14ac:dyDescent="0.25">
      <c r="A2104">
        <v>-111.974183</v>
      </c>
      <c r="B2104">
        <v>33.06861</v>
      </c>
      <c r="C2104">
        <v>0.37</v>
      </c>
      <c r="D2104">
        <v>0.33151999999999998</v>
      </c>
      <c r="E2104">
        <v>878764742</v>
      </c>
      <c r="F2104">
        <v>120</v>
      </c>
    </row>
    <row r="2105" spans="1:6" x14ac:dyDescent="0.25">
      <c r="A2105">
        <v>-111.974183</v>
      </c>
      <c r="B2105">
        <v>33.068609000000002</v>
      </c>
      <c r="C2105">
        <v>5.0000000000000001E-3</v>
      </c>
      <c r="D2105">
        <v>4.4799999999999996E-3</v>
      </c>
      <c r="E2105">
        <v>878764744</v>
      </c>
      <c r="F2105">
        <v>120</v>
      </c>
    </row>
    <row r="2106" spans="1:6" x14ac:dyDescent="0.25">
      <c r="A2106">
        <v>-111.974183</v>
      </c>
      <c r="B2106">
        <v>33.068615999999999</v>
      </c>
      <c r="C2106">
        <v>8.5000000000000006E-2</v>
      </c>
      <c r="D2106">
        <v>7.6160000000000005E-2</v>
      </c>
      <c r="E2106">
        <v>878764752</v>
      </c>
      <c r="F2106">
        <v>120</v>
      </c>
    </row>
    <row r="2107" spans="1:6" x14ac:dyDescent="0.25">
      <c r="A2107">
        <v>-111.974181</v>
      </c>
      <c r="B2107">
        <v>33.068624</v>
      </c>
      <c r="C2107">
        <v>0.115</v>
      </c>
      <c r="D2107">
        <v>0.10304000000000001</v>
      </c>
      <c r="E2107">
        <v>878764754</v>
      </c>
      <c r="F2107">
        <v>120</v>
      </c>
    </row>
    <row r="2108" spans="1:6" x14ac:dyDescent="0.25">
      <c r="A2108">
        <v>-111.974181</v>
      </c>
      <c r="B2108">
        <v>33.068631000000003</v>
      </c>
      <c r="C2108">
        <v>1.0049999999999999</v>
      </c>
      <c r="D2108">
        <v>0.90047999999999995</v>
      </c>
      <c r="E2108">
        <v>878764756</v>
      </c>
      <c r="F2108">
        <v>120</v>
      </c>
    </row>
    <row r="2109" spans="1:6" x14ac:dyDescent="0.25">
      <c r="A2109">
        <v>-111.974181</v>
      </c>
      <c r="B2109">
        <v>33.068638</v>
      </c>
      <c r="C2109">
        <v>1.39</v>
      </c>
      <c r="D2109">
        <v>1.2454400000000001</v>
      </c>
      <c r="E2109">
        <v>878764758</v>
      </c>
      <c r="F2109">
        <v>120</v>
      </c>
    </row>
    <row r="2110" spans="1:6" x14ac:dyDescent="0.25">
      <c r="A2110">
        <v>-111.974182</v>
      </c>
      <c r="B2110">
        <v>33.068646000000001</v>
      </c>
      <c r="C2110">
        <v>1.595</v>
      </c>
      <c r="D2110">
        <v>1.4291199999999999</v>
      </c>
      <c r="E2110">
        <v>878764760</v>
      </c>
      <c r="F2110">
        <v>120</v>
      </c>
    </row>
    <row r="2111" spans="1:6" x14ac:dyDescent="0.25">
      <c r="A2111">
        <v>-111.974183</v>
      </c>
      <c r="B2111">
        <v>33.068652</v>
      </c>
      <c r="C2111">
        <v>1.4350000000000001</v>
      </c>
      <c r="D2111">
        <v>1.28576</v>
      </c>
      <c r="E2111">
        <v>878764762</v>
      </c>
      <c r="F2111">
        <v>120</v>
      </c>
    </row>
    <row r="2112" spans="1:6" x14ac:dyDescent="0.25">
      <c r="A2112">
        <v>-111.974182</v>
      </c>
      <c r="B2112">
        <v>33.068660999999999</v>
      </c>
      <c r="C2112">
        <v>1.1499999999999999</v>
      </c>
      <c r="D2112">
        <v>1.0304</v>
      </c>
      <c r="E2112">
        <v>878764764</v>
      </c>
      <c r="F2112">
        <v>120</v>
      </c>
    </row>
    <row r="2113" spans="1:6" x14ac:dyDescent="0.25">
      <c r="A2113">
        <v>-111.974183</v>
      </c>
      <c r="B2113">
        <v>33.068668000000002</v>
      </c>
      <c r="C2113">
        <v>1.2649999999999999</v>
      </c>
      <c r="D2113">
        <v>1.13344</v>
      </c>
      <c r="E2113">
        <v>878764766</v>
      </c>
      <c r="F2113">
        <v>120</v>
      </c>
    </row>
    <row r="2114" spans="1:6" x14ac:dyDescent="0.25">
      <c r="A2114">
        <v>-111.974183</v>
      </c>
      <c r="B2114">
        <v>33.068674999999999</v>
      </c>
      <c r="C2114">
        <v>1.85</v>
      </c>
      <c r="D2114">
        <v>1.6576</v>
      </c>
      <c r="E2114">
        <v>878764768</v>
      </c>
      <c r="F2114">
        <v>120</v>
      </c>
    </row>
    <row r="2115" spans="1:6" x14ac:dyDescent="0.25">
      <c r="A2115">
        <v>-111.974183</v>
      </c>
      <c r="B2115">
        <v>33.068682000000003</v>
      </c>
      <c r="C2115">
        <v>1.81</v>
      </c>
      <c r="D2115">
        <v>1.6217600000000001</v>
      </c>
      <c r="E2115">
        <v>878764770</v>
      </c>
      <c r="F2115">
        <v>120</v>
      </c>
    </row>
    <row r="2116" spans="1:6" x14ac:dyDescent="0.25">
      <c r="A2116">
        <v>-111.974183</v>
      </c>
      <c r="B2116">
        <v>33.068689999999997</v>
      </c>
      <c r="C2116">
        <v>0.97</v>
      </c>
      <c r="D2116">
        <v>0.86912</v>
      </c>
      <c r="E2116">
        <v>878764772</v>
      </c>
      <c r="F2116">
        <v>120</v>
      </c>
    </row>
    <row r="2117" spans="1:6" x14ac:dyDescent="0.25">
      <c r="A2117">
        <v>-111.974183</v>
      </c>
      <c r="B2117">
        <v>33.068697</v>
      </c>
      <c r="C2117">
        <v>1.58</v>
      </c>
      <c r="D2117">
        <v>1.41568</v>
      </c>
      <c r="E2117">
        <v>878764774</v>
      </c>
      <c r="F2117">
        <v>120</v>
      </c>
    </row>
    <row r="2118" spans="1:6" x14ac:dyDescent="0.25">
      <c r="A2118">
        <v>-111.974183</v>
      </c>
      <c r="B2118">
        <v>33.068705000000001</v>
      </c>
      <c r="C2118">
        <v>0.92</v>
      </c>
      <c r="D2118">
        <v>0.82432000000000005</v>
      </c>
      <c r="E2118">
        <v>878764776</v>
      </c>
      <c r="F2118">
        <v>120</v>
      </c>
    </row>
    <row r="2119" spans="1:6" x14ac:dyDescent="0.25">
      <c r="A2119">
        <v>-111.974183</v>
      </c>
      <c r="B2119">
        <v>33.068711999999998</v>
      </c>
      <c r="C2119">
        <v>1.43</v>
      </c>
      <c r="D2119">
        <v>1.28128</v>
      </c>
      <c r="E2119">
        <v>878764778</v>
      </c>
      <c r="F2119">
        <v>120</v>
      </c>
    </row>
    <row r="2120" spans="1:6" x14ac:dyDescent="0.25">
      <c r="A2120">
        <v>-111.974183</v>
      </c>
      <c r="B2120">
        <v>33.068719999999999</v>
      </c>
      <c r="C2120">
        <v>1.79</v>
      </c>
      <c r="D2120">
        <v>1.6038399999999999</v>
      </c>
      <c r="E2120">
        <v>878764780</v>
      </c>
      <c r="F2120">
        <v>120</v>
      </c>
    </row>
    <row r="2121" spans="1:6" x14ac:dyDescent="0.25">
      <c r="A2121">
        <v>-111.974183</v>
      </c>
      <c r="B2121">
        <v>33.068727000000003</v>
      </c>
      <c r="C2121">
        <v>1.44</v>
      </c>
      <c r="D2121">
        <v>1.2902400000000001</v>
      </c>
      <c r="E2121">
        <v>878764782</v>
      </c>
      <c r="F2121">
        <v>120</v>
      </c>
    </row>
    <row r="2122" spans="1:6" x14ac:dyDescent="0.25">
      <c r="A2122">
        <v>-111.974183</v>
      </c>
      <c r="B2122">
        <v>33.068733999999999</v>
      </c>
      <c r="C2122">
        <v>1.625</v>
      </c>
      <c r="D2122">
        <v>1.456</v>
      </c>
      <c r="E2122">
        <v>878764784</v>
      </c>
      <c r="F2122">
        <v>120</v>
      </c>
    </row>
    <row r="2123" spans="1:6" x14ac:dyDescent="0.25">
      <c r="A2123">
        <v>-111.974183</v>
      </c>
      <c r="B2123">
        <v>33.068741000000003</v>
      </c>
      <c r="C2123">
        <v>1.43</v>
      </c>
      <c r="D2123">
        <v>1.28128</v>
      </c>
      <c r="E2123">
        <v>878764786</v>
      </c>
      <c r="F2123">
        <v>120</v>
      </c>
    </row>
    <row r="2124" spans="1:6" x14ac:dyDescent="0.25">
      <c r="A2124">
        <v>-111.974182</v>
      </c>
      <c r="B2124">
        <v>33.068747999999999</v>
      </c>
      <c r="C2124">
        <v>1.595</v>
      </c>
      <c r="D2124">
        <v>1.4291199999999999</v>
      </c>
      <c r="E2124">
        <v>878764788</v>
      </c>
      <c r="F2124">
        <v>120</v>
      </c>
    </row>
    <row r="2125" spans="1:6" x14ac:dyDescent="0.25">
      <c r="A2125">
        <v>-111.974183</v>
      </c>
      <c r="B2125">
        <v>33.068755000000003</v>
      </c>
      <c r="C2125">
        <v>1.5249999999999999</v>
      </c>
      <c r="D2125">
        <v>1.3664000000000001</v>
      </c>
      <c r="E2125">
        <v>878764790</v>
      </c>
      <c r="F2125">
        <v>120</v>
      </c>
    </row>
    <row r="2126" spans="1:6" x14ac:dyDescent="0.25">
      <c r="A2126">
        <v>-111.974183</v>
      </c>
      <c r="B2126">
        <v>33.068762999999997</v>
      </c>
      <c r="C2126">
        <v>1.8049999999999999</v>
      </c>
      <c r="D2126">
        <v>1.6172800000000001</v>
      </c>
      <c r="E2126">
        <v>878764792</v>
      </c>
      <c r="F2126">
        <v>120</v>
      </c>
    </row>
    <row r="2127" spans="1:6" x14ac:dyDescent="0.25">
      <c r="A2127">
        <v>-111.974181</v>
      </c>
      <c r="B2127">
        <v>33.068769000000003</v>
      </c>
      <c r="C2127">
        <v>1.5249999999999999</v>
      </c>
      <c r="D2127">
        <v>1.3664000000000001</v>
      </c>
      <c r="E2127">
        <v>878764794</v>
      </c>
      <c r="F2127">
        <v>120</v>
      </c>
    </row>
    <row r="2128" spans="1:6" x14ac:dyDescent="0.25">
      <c r="A2128">
        <v>-111.974181</v>
      </c>
      <c r="B2128">
        <v>33.068776999999997</v>
      </c>
      <c r="C2128">
        <v>1.44</v>
      </c>
      <c r="D2128">
        <v>1.2902400000000001</v>
      </c>
      <c r="E2128">
        <v>878764796</v>
      </c>
      <c r="F2128">
        <v>120</v>
      </c>
    </row>
    <row r="2129" spans="1:6" x14ac:dyDescent="0.25">
      <c r="A2129">
        <v>-111.974181</v>
      </c>
      <c r="B2129">
        <v>33.068784000000001</v>
      </c>
      <c r="C2129">
        <v>5.5E-2</v>
      </c>
      <c r="D2129">
        <v>4.9279999999999997E-2</v>
      </c>
      <c r="E2129">
        <v>878764798</v>
      </c>
      <c r="F2129">
        <v>120</v>
      </c>
    </row>
    <row r="2130" spans="1:6" x14ac:dyDescent="0.25">
      <c r="A2130">
        <v>-111.974181</v>
      </c>
      <c r="B2130">
        <v>33.068790999999997</v>
      </c>
      <c r="C2130">
        <v>0.01</v>
      </c>
      <c r="D2130">
        <v>8.9599999999999992E-3</v>
      </c>
      <c r="E2130">
        <v>878764800</v>
      </c>
      <c r="F2130">
        <v>120</v>
      </c>
    </row>
    <row r="2131" spans="1:6" x14ac:dyDescent="0.25">
      <c r="A2131">
        <v>-111.97417799999999</v>
      </c>
      <c r="B2131">
        <v>33.068806000000002</v>
      </c>
      <c r="C2131">
        <v>1.4999999999999999E-2</v>
      </c>
      <c r="D2131">
        <v>1.3440000000000001E-2</v>
      </c>
      <c r="E2131">
        <v>878764804</v>
      </c>
      <c r="F2131">
        <v>120</v>
      </c>
    </row>
    <row r="2132" spans="1:6" x14ac:dyDescent="0.25">
      <c r="A2132">
        <v>-111.974182</v>
      </c>
      <c r="B2132">
        <v>33.068866999999997</v>
      </c>
      <c r="C2132">
        <v>7.0000000000000007E-2</v>
      </c>
      <c r="D2132">
        <v>6.2719999999999998E-2</v>
      </c>
      <c r="E2132">
        <v>878764820</v>
      </c>
      <c r="F2132">
        <v>120</v>
      </c>
    </row>
    <row r="2133" spans="1:6" x14ac:dyDescent="0.25">
      <c r="A2133">
        <v>-111.974181</v>
      </c>
      <c r="B2133">
        <v>33.068874000000001</v>
      </c>
      <c r="C2133">
        <v>0.61</v>
      </c>
      <c r="D2133">
        <v>0.54656000000000005</v>
      </c>
      <c r="E2133">
        <v>878764822</v>
      </c>
      <c r="F2133">
        <v>120</v>
      </c>
    </row>
    <row r="2134" spans="1:6" x14ac:dyDescent="0.25">
      <c r="A2134">
        <v>-111.974181</v>
      </c>
      <c r="B2134">
        <v>33.068882000000002</v>
      </c>
      <c r="C2134">
        <v>1.53</v>
      </c>
      <c r="D2134">
        <v>1.3708800000000001</v>
      </c>
      <c r="E2134">
        <v>878764824</v>
      </c>
      <c r="F2134">
        <v>120</v>
      </c>
    </row>
    <row r="2135" spans="1:6" x14ac:dyDescent="0.25">
      <c r="A2135">
        <v>-111.974183</v>
      </c>
      <c r="B2135">
        <v>33.068888999999999</v>
      </c>
      <c r="C2135">
        <v>1.175</v>
      </c>
      <c r="D2135">
        <v>1.0528</v>
      </c>
      <c r="E2135">
        <v>878764826</v>
      </c>
      <c r="F2135">
        <v>120</v>
      </c>
    </row>
    <row r="2136" spans="1:6" x14ac:dyDescent="0.25">
      <c r="A2136">
        <v>-111.974183</v>
      </c>
      <c r="B2136">
        <v>33.068896000000002</v>
      </c>
      <c r="C2136">
        <v>1.0549999999999999</v>
      </c>
      <c r="D2136">
        <v>0.94528000000000001</v>
      </c>
      <c r="E2136">
        <v>878764828</v>
      </c>
      <c r="F2136">
        <v>120</v>
      </c>
    </row>
    <row r="2137" spans="1:6" x14ac:dyDescent="0.25">
      <c r="A2137">
        <v>-111.974181</v>
      </c>
      <c r="B2137">
        <v>33.068902999999999</v>
      </c>
      <c r="C2137">
        <v>0.98</v>
      </c>
      <c r="D2137">
        <v>0.87807999999999997</v>
      </c>
      <c r="E2137">
        <v>878764830</v>
      </c>
      <c r="F2137">
        <v>120</v>
      </c>
    </row>
    <row r="2138" spans="1:6" x14ac:dyDescent="0.25">
      <c r="A2138">
        <v>-111.974181</v>
      </c>
      <c r="B2138">
        <v>33.068910000000002</v>
      </c>
      <c r="C2138">
        <v>0.94</v>
      </c>
      <c r="D2138">
        <v>0.84223999999999999</v>
      </c>
      <c r="E2138">
        <v>878764832</v>
      </c>
      <c r="F2138">
        <v>120</v>
      </c>
    </row>
    <row r="2139" spans="1:6" x14ac:dyDescent="0.25">
      <c r="A2139">
        <v>-111.974181</v>
      </c>
      <c r="B2139">
        <v>33.068917999999996</v>
      </c>
      <c r="C2139">
        <v>0.83</v>
      </c>
      <c r="D2139">
        <v>0.74368000000000001</v>
      </c>
      <c r="E2139">
        <v>878764834</v>
      </c>
      <c r="F2139">
        <v>120</v>
      </c>
    </row>
    <row r="2140" spans="1:6" x14ac:dyDescent="0.25">
      <c r="A2140">
        <v>-111.974182</v>
      </c>
      <c r="B2140">
        <v>33.068925</v>
      </c>
      <c r="C2140">
        <v>0.68500000000000005</v>
      </c>
      <c r="D2140">
        <v>0.61375999999999997</v>
      </c>
      <c r="E2140">
        <v>878764836</v>
      </c>
      <c r="F2140">
        <v>120</v>
      </c>
    </row>
    <row r="2141" spans="1:6" x14ac:dyDescent="0.25">
      <c r="A2141">
        <v>-111.974181</v>
      </c>
      <c r="B2141">
        <v>33.068931999999997</v>
      </c>
      <c r="C2141">
        <v>0.57999999999999996</v>
      </c>
      <c r="D2141">
        <v>0.51968000000000003</v>
      </c>
      <c r="E2141">
        <v>878764838</v>
      </c>
      <c r="F2141">
        <v>120</v>
      </c>
    </row>
    <row r="2142" spans="1:6" x14ac:dyDescent="0.25">
      <c r="A2142">
        <v>-111.974181</v>
      </c>
      <c r="B2142">
        <v>33.068939999999998</v>
      </c>
      <c r="C2142">
        <v>1.0349999999999999</v>
      </c>
      <c r="D2142">
        <v>0.92735999999999996</v>
      </c>
      <c r="E2142">
        <v>878764840</v>
      </c>
      <c r="F2142">
        <v>120</v>
      </c>
    </row>
    <row r="2143" spans="1:6" x14ac:dyDescent="0.25">
      <c r="A2143">
        <v>-111.974181</v>
      </c>
      <c r="B2143">
        <v>33.068947000000001</v>
      </c>
      <c r="C2143">
        <v>0.65500000000000003</v>
      </c>
      <c r="D2143">
        <v>0.58687999999999996</v>
      </c>
      <c r="E2143">
        <v>878764842</v>
      </c>
      <c r="F2143">
        <v>120</v>
      </c>
    </row>
    <row r="2144" spans="1:6" x14ac:dyDescent="0.25">
      <c r="A2144">
        <v>-111.974182</v>
      </c>
      <c r="B2144">
        <v>33.068955000000003</v>
      </c>
      <c r="C2144">
        <v>0.79</v>
      </c>
      <c r="D2144">
        <v>0.70784000000000002</v>
      </c>
      <c r="E2144">
        <v>878764844</v>
      </c>
      <c r="F2144">
        <v>120</v>
      </c>
    </row>
    <row r="2145" spans="1:6" x14ac:dyDescent="0.25">
      <c r="A2145">
        <v>-111.974182</v>
      </c>
      <c r="B2145">
        <v>33.068962999999997</v>
      </c>
      <c r="C2145">
        <v>1.06</v>
      </c>
      <c r="D2145">
        <v>0.94976000000000005</v>
      </c>
      <c r="E2145">
        <v>878764846</v>
      </c>
      <c r="F2145">
        <v>120</v>
      </c>
    </row>
    <row r="2146" spans="1:6" x14ac:dyDescent="0.25">
      <c r="A2146">
        <v>-111.974182</v>
      </c>
      <c r="B2146">
        <v>33.06897</v>
      </c>
      <c r="C2146">
        <v>1.08</v>
      </c>
      <c r="D2146">
        <v>0.96767999999999998</v>
      </c>
      <c r="E2146">
        <v>878764848</v>
      </c>
      <c r="F2146">
        <v>120</v>
      </c>
    </row>
    <row r="2147" spans="1:6" x14ac:dyDescent="0.25">
      <c r="A2147">
        <v>-111.974181</v>
      </c>
      <c r="B2147">
        <v>33.068978000000001</v>
      </c>
      <c r="C2147">
        <v>0.99</v>
      </c>
      <c r="D2147">
        <v>0.88704000000000005</v>
      </c>
      <c r="E2147">
        <v>878764850</v>
      </c>
      <c r="F2147">
        <v>120</v>
      </c>
    </row>
    <row r="2148" spans="1:6" x14ac:dyDescent="0.25">
      <c r="A2148">
        <v>-111.974181</v>
      </c>
      <c r="B2148">
        <v>33.068984999999998</v>
      </c>
      <c r="C2148">
        <v>0.97499999999999998</v>
      </c>
      <c r="D2148">
        <v>0.87360000000000004</v>
      </c>
      <c r="E2148">
        <v>878764852</v>
      </c>
      <c r="F2148">
        <v>120</v>
      </c>
    </row>
    <row r="2149" spans="1:6" x14ac:dyDescent="0.25">
      <c r="A2149">
        <v>-111.974181</v>
      </c>
      <c r="B2149">
        <v>33.068990999999997</v>
      </c>
      <c r="C2149">
        <v>0.96</v>
      </c>
      <c r="D2149">
        <v>0.86016000000000004</v>
      </c>
      <c r="E2149">
        <v>878764854</v>
      </c>
      <c r="F2149">
        <v>120</v>
      </c>
    </row>
    <row r="2150" spans="1:6" x14ac:dyDescent="0.25">
      <c r="A2150">
        <v>-111.974181</v>
      </c>
      <c r="B2150">
        <v>33.068998000000001</v>
      </c>
      <c r="C2150">
        <v>0.995</v>
      </c>
      <c r="D2150">
        <v>0.89151999999999998</v>
      </c>
      <c r="E2150">
        <v>878764856</v>
      </c>
      <c r="F2150">
        <v>120</v>
      </c>
    </row>
    <row r="2151" spans="1:6" x14ac:dyDescent="0.25">
      <c r="A2151">
        <v>-111.974181</v>
      </c>
      <c r="B2151">
        <v>33.069004999999997</v>
      </c>
      <c r="C2151">
        <v>0.82</v>
      </c>
      <c r="D2151">
        <v>0.73472000000000004</v>
      </c>
      <c r="E2151">
        <v>878764858</v>
      </c>
      <c r="F2151">
        <v>120</v>
      </c>
    </row>
    <row r="2152" spans="1:6" x14ac:dyDescent="0.25">
      <c r="A2152">
        <v>-111.974181</v>
      </c>
      <c r="B2152">
        <v>33.069012999999998</v>
      </c>
      <c r="C2152">
        <v>1.0349999999999999</v>
      </c>
      <c r="D2152">
        <v>0.92735999999999996</v>
      </c>
      <c r="E2152">
        <v>878764860</v>
      </c>
      <c r="F2152">
        <v>120</v>
      </c>
    </row>
    <row r="2153" spans="1:6" x14ac:dyDescent="0.25">
      <c r="A2153">
        <v>-111.97418</v>
      </c>
      <c r="B2153">
        <v>33.069020000000002</v>
      </c>
      <c r="C2153">
        <v>1.3149999999999999</v>
      </c>
      <c r="D2153">
        <v>1.17824</v>
      </c>
      <c r="E2153">
        <v>878764862</v>
      </c>
      <c r="F2153">
        <v>120</v>
      </c>
    </row>
    <row r="2154" spans="1:6" x14ac:dyDescent="0.25">
      <c r="A2154">
        <v>-111.97418</v>
      </c>
      <c r="B2154">
        <v>33.069026999999998</v>
      </c>
      <c r="C2154">
        <v>0.06</v>
      </c>
      <c r="D2154">
        <v>5.3760000000000002E-2</v>
      </c>
      <c r="E2154">
        <v>878764864</v>
      </c>
      <c r="F2154">
        <v>120</v>
      </c>
    </row>
    <row r="2155" spans="1:6" x14ac:dyDescent="0.25">
      <c r="A2155">
        <v>-111.97418</v>
      </c>
      <c r="B2155">
        <v>33.069032999999997</v>
      </c>
      <c r="C2155">
        <v>5.0000000000000001E-3</v>
      </c>
      <c r="D2155">
        <v>4.4799999999999996E-3</v>
      </c>
      <c r="E2155">
        <v>878764866</v>
      </c>
      <c r="F2155">
        <v>120</v>
      </c>
    </row>
    <row r="2156" spans="1:6" x14ac:dyDescent="0.25">
      <c r="A2156">
        <v>-111.97417900000001</v>
      </c>
      <c r="B2156">
        <v>33.069043999999998</v>
      </c>
      <c r="C2156">
        <v>5.0000000000000001E-3</v>
      </c>
      <c r="D2156">
        <v>4.4799999999999996E-3</v>
      </c>
      <c r="E2156">
        <v>878764874</v>
      </c>
      <c r="F2156">
        <v>120</v>
      </c>
    </row>
    <row r="2157" spans="1:6" x14ac:dyDescent="0.25">
      <c r="A2157">
        <v>-111.97409399999999</v>
      </c>
      <c r="B2157">
        <v>33.069015999999998</v>
      </c>
      <c r="C2157">
        <v>2.355</v>
      </c>
      <c r="D2157">
        <v>2.11008</v>
      </c>
      <c r="E2157">
        <v>878764904</v>
      </c>
      <c r="F2157">
        <v>120</v>
      </c>
    </row>
    <row r="2158" spans="1:6" x14ac:dyDescent="0.25">
      <c r="A2158">
        <v>-111.974093</v>
      </c>
      <c r="B2158">
        <v>33.069007999999997</v>
      </c>
      <c r="C2158">
        <v>0.28000000000000003</v>
      </c>
      <c r="D2158">
        <v>0.25087999999999999</v>
      </c>
      <c r="E2158">
        <v>878764906</v>
      </c>
      <c r="F2158">
        <v>120</v>
      </c>
    </row>
    <row r="2159" spans="1:6" x14ac:dyDescent="0.25">
      <c r="A2159">
        <v>-111.97409500000001</v>
      </c>
      <c r="B2159">
        <v>33.069001</v>
      </c>
      <c r="C2159">
        <v>1.0649999999999999</v>
      </c>
      <c r="D2159">
        <v>0.95423999999999998</v>
      </c>
      <c r="E2159">
        <v>878764908</v>
      </c>
      <c r="F2159">
        <v>120</v>
      </c>
    </row>
    <row r="2160" spans="1:6" x14ac:dyDescent="0.25">
      <c r="A2160">
        <v>-111.97409399999999</v>
      </c>
      <c r="B2160">
        <v>33.068995000000001</v>
      </c>
      <c r="C2160">
        <v>0.88500000000000001</v>
      </c>
      <c r="D2160">
        <v>0.79296</v>
      </c>
      <c r="E2160">
        <v>878764910</v>
      </c>
      <c r="F2160">
        <v>120</v>
      </c>
    </row>
    <row r="2161" spans="1:6" x14ac:dyDescent="0.25">
      <c r="A2161">
        <v>-111.974092</v>
      </c>
      <c r="B2161">
        <v>33.068987999999997</v>
      </c>
      <c r="C2161">
        <v>0.56000000000000005</v>
      </c>
      <c r="D2161">
        <v>0.50175999999999998</v>
      </c>
      <c r="E2161">
        <v>878764912</v>
      </c>
      <c r="F2161">
        <v>120</v>
      </c>
    </row>
    <row r="2162" spans="1:6" x14ac:dyDescent="0.25">
      <c r="A2162">
        <v>-111.974092</v>
      </c>
      <c r="B2162">
        <v>33.068980000000003</v>
      </c>
      <c r="C2162">
        <v>0.625</v>
      </c>
      <c r="D2162">
        <v>0.56000000000000005</v>
      </c>
      <c r="E2162">
        <v>878764914</v>
      </c>
      <c r="F2162">
        <v>120</v>
      </c>
    </row>
    <row r="2163" spans="1:6" x14ac:dyDescent="0.25">
      <c r="A2163">
        <v>-111.974091</v>
      </c>
      <c r="B2163">
        <v>33.068973</v>
      </c>
      <c r="C2163">
        <v>0.65</v>
      </c>
      <c r="D2163">
        <v>0.58240000000000003</v>
      </c>
      <c r="E2163">
        <v>878764916</v>
      </c>
      <c r="F2163">
        <v>120</v>
      </c>
    </row>
    <row r="2164" spans="1:6" x14ac:dyDescent="0.25">
      <c r="A2164">
        <v>-111.974092</v>
      </c>
      <c r="B2164">
        <v>33.068964000000001</v>
      </c>
      <c r="C2164">
        <v>0.93500000000000005</v>
      </c>
      <c r="D2164">
        <v>0.83775999999999995</v>
      </c>
      <c r="E2164">
        <v>878764918</v>
      </c>
      <c r="F2164">
        <v>120</v>
      </c>
    </row>
    <row r="2165" spans="1:6" x14ac:dyDescent="0.25">
      <c r="A2165">
        <v>-111.974092</v>
      </c>
      <c r="B2165">
        <v>33.068956</v>
      </c>
      <c r="C2165">
        <v>1.02</v>
      </c>
      <c r="D2165">
        <v>0.91391999999999995</v>
      </c>
      <c r="E2165">
        <v>878764920</v>
      </c>
      <c r="F2165">
        <v>120</v>
      </c>
    </row>
    <row r="2166" spans="1:6" x14ac:dyDescent="0.25">
      <c r="A2166">
        <v>-111.974092</v>
      </c>
      <c r="B2166">
        <v>33.068949000000003</v>
      </c>
      <c r="C2166">
        <v>0.66500000000000004</v>
      </c>
      <c r="D2166">
        <v>0.59584000000000004</v>
      </c>
      <c r="E2166">
        <v>878764922</v>
      </c>
      <c r="F2166">
        <v>120</v>
      </c>
    </row>
    <row r="2167" spans="1:6" x14ac:dyDescent="0.25">
      <c r="A2167">
        <v>-111.974092</v>
      </c>
      <c r="B2167">
        <v>33.068941000000002</v>
      </c>
      <c r="C2167">
        <v>0.6</v>
      </c>
      <c r="D2167">
        <v>0.53759999999999997</v>
      </c>
      <c r="E2167">
        <v>878764924</v>
      </c>
      <c r="F2167">
        <v>120</v>
      </c>
    </row>
    <row r="2168" spans="1:6" x14ac:dyDescent="0.25">
      <c r="A2168">
        <v>-111.974092</v>
      </c>
      <c r="B2168">
        <v>33.068933000000001</v>
      </c>
      <c r="C2168">
        <v>0.54500000000000004</v>
      </c>
      <c r="D2168">
        <v>0.48831999999999998</v>
      </c>
      <c r="E2168">
        <v>878764926</v>
      </c>
      <c r="F2168">
        <v>120</v>
      </c>
    </row>
    <row r="2169" spans="1:6" x14ac:dyDescent="0.25">
      <c r="A2169">
        <v>-111.974092</v>
      </c>
      <c r="B2169">
        <v>33.068925999999998</v>
      </c>
      <c r="C2169">
        <v>0.8</v>
      </c>
      <c r="D2169">
        <v>0.71679999999999999</v>
      </c>
      <c r="E2169">
        <v>878764928</v>
      </c>
      <c r="F2169">
        <v>120</v>
      </c>
    </row>
    <row r="2170" spans="1:6" x14ac:dyDescent="0.25">
      <c r="A2170">
        <v>-111.974093</v>
      </c>
      <c r="B2170">
        <v>33.068917999999996</v>
      </c>
      <c r="C2170">
        <v>0.69</v>
      </c>
      <c r="D2170">
        <v>0.61824000000000001</v>
      </c>
      <c r="E2170">
        <v>878764930</v>
      </c>
      <c r="F2170">
        <v>120</v>
      </c>
    </row>
    <row r="2171" spans="1:6" x14ac:dyDescent="0.25">
      <c r="A2171">
        <v>-111.974093</v>
      </c>
      <c r="B2171">
        <v>33.068910000000002</v>
      </c>
      <c r="C2171">
        <v>0.83</v>
      </c>
      <c r="D2171">
        <v>0.74368000000000001</v>
      </c>
      <c r="E2171">
        <v>878764932</v>
      </c>
      <c r="F2171">
        <v>120</v>
      </c>
    </row>
    <row r="2172" spans="1:6" x14ac:dyDescent="0.25">
      <c r="A2172">
        <v>-111.974092</v>
      </c>
      <c r="B2172">
        <v>33.068902999999999</v>
      </c>
      <c r="C2172">
        <v>0.97499999999999998</v>
      </c>
      <c r="D2172">
        <v>0.87360000000000004</v>
      </c>
      <c r="E2172">
        <v>878764934</v>
      </c>
      <c r="F2172">
        <v>120</v>
      </c>
    </row>
    <row r="2173" spans="1:6" x14ac:dyDescent="0.25">
      <c r="A2173">
        <v>-111.974093</v>
      </c>
      <c r="B2173">
        <v>33.068894999999998</v>
      </c>
      <c r="C2173">
        <v>1.24</v>
      </c>
      <c r="D2173">
        <v>1.11104</v>
      </c>
      <c r="E2173">
        <v>878764936</v>
      </c>
      <c r="F2173">
        <v>120</v>
      </c>
    </row>
    <row r="2174" spans="1:6" x14ac:dyDescent="0.25">
      <c r="A2174">
        <v>-111.974093</v>
      </c>
      <c r="B2174">
        <v>33.068886999999997</v>
      </c>
      <c r="C2174">
        <v>0.76</v>
      </c>
      <c r="D2174">
        <v>0.68096000000000001</v>
      </c>
      <c r="E2174">
        <v>878764938</v>
      </c>
      <c r="F2174">
        <v>120</v>
      </c>
    </row>
    <row r="2175" spans="1:6" x14ac:dyDescent="0.25">
      <c r="A2175">
        <v>-111.974093</v>
      </c>
      <c r="B2175">
        <v>33.068877999999998</v>
      </c>
      <c r="C2175">
        <v>1</v>
      </c>
      <c r="D2175">
        <v>0.89600000000000002</v>
      </c>
      <c r="E2175">
        <v>878764940</v>
      </c>
      <c r="F2175">
        <v>120</v>
      </c>
    </row>
    <row r="2176" spans="1:6" x14ac:dyDescent="0.25">
      <c r="A2176">
        <v>-111.974093</v>
      </c>
      <c r="B2176">
        <v>33.068871000000001</v>
      </c>
      <c r="C2176">
        <v>0.89500000000000002</v>
      </c>
      <c r="D2176">
        <v>0.80191999999999997</v>
      </c>
      <c r="E2176">
        <v>878764942</v>
      </c>
      <c r="F2176">
        <v>120</v>
      </c>
    </row>
    <row r="2177" spans="1:6" x14ac:dyDescent="0.25">
      <c r="A2177">
        <v>-111.974093</v>
      </c>
      <c r="B2177">
        <v>33.068863999999998</v>
      </c>
      <c r="C2177">
        <v>1.2</v>
      </c>
      <c r="D2177">
        <v>1.0751999999999999</v>
      </c>
      <c r="E2177">
        <v>878764944</v>
      </c>
      <c r="F2177">
        <v>120</v>
      </c>
    </row>
    <row r="2178" spans="1:6" x14ac:dyDescent="0.25">
      <c r="A2178">
        <v>-111.974093</v>
      </c>
      <c r="B2178">
        <v>33.068855999999997</v>
      </c>
      <c r="C2178">
        <v>1.44</v>
      </c>
      <c r="D2178">
        <v>1.2902400000000001</v>
      </c>
      <c r="E2178">
        <v>878764946</v>
      </c>
      <c r="F2178">
        <v>120</v>
      </c>
    </row>
    <row r="2179" spans="1:6" x14ac:dyDescent="0.25">
      <c r="A2179">
        <v>-111.974093</v>
      </c>
      <c r="B2179">
        <v>33.068848000000003</v>
      </c>
      <c r="C2179">
        <v>0.03</v>
      </c>
      <c r="D2179">
        <v>2.6880000000000001E-2</v>
      </c>
      <c r="E2179">
        <v>878764948</v>
      </c>
      <c r="F2179">
        <v>120</v>
      </c>
    </row>
    <row r="2180" spans="1:6" x14ac:dyDescent="0.25">
      <c r="A2180">
        <v>-111.97409399999999</v>
      </c>
      <c r="B2180">
        <v>33.068840999999999</v>
      </c>
      <c r="C2180">
        <v>0.01</v>
      </c>
      <c r="D2180">
        <v>8.9599999999999992E-3</v>
      </c>
      <c r="E2180">
        <v>878764950</v>
      </c>
      <c r="F2180">
        <v>120</v>
      </c>
    </row>
    <row r="2181" spans="1:6" x14ac:dyDescent="0.25">
      <c r="A2181">
        <v>-111.974092</v>
      </c>
      <c r="B2181">
        <v>33.068769000000003</v>
      </c>
      <c r="C2181">
        <v>0.01</v>
      </c>
      <c r="D2181">
        <v>8.9599999999999992E-3</v>
      </c>
      <c r="E2181">
        <v>878764968</v>
      </c>
      <c r="F2181">
        <v>120</v>
      </c>
    </row>
    <row r="2182" spans="1:6" x14ac:dyDescent="0.25">
      <c r="A2182">
        <v>-111.97409399999999</v>
      </c>
      <c r="B2182">
        <v>33.068762999999997</v>
      </c>
      <c r="C2182">
        <v>0.26</v>
      </c>
      <c r="D2182">
        <v>0.23296</v>
      </c>
      <c r="E2182">
        <v>878764970</v>
      </c>
      <c r="F2182">
        <v>120</v>
      </c>
    </row>
    <row r="2183" spans="1:6" x14ac:dyDescent="0.25">
      <c r="A2183">
        <v>-111.97409500000001</v>
      </c>
      <c r="B2183">
        <v>33.068756</v>
      </c>
      <c r="C2183">
        <v>1.1200000000000001</v>
      </c>
      <c r="D2183">
        <v>1.00352</v>
      </c>
      <c r="E2183">
        <v>878764972</v>
      </c>
      <c r="F2183">
        <v>120</v>
      </c>
    </row>
    <row r="2184" spans="1:6" x14ac:dyDescent="0.25">
      <c r="A2184">
        <v>-111.974093</v>
      </c>
      <c r="B2184">
        <v>33.068747999999999</v>
      </c>
      <c r="C2184">
        <v>0.84</v>
      </c>
      <c r="D2184">
        <v>0.75263999999999998</v>
      </c>
      <c r="E2184">
        <v>878764974</v>
      </c>
      <c r="F2184">
        <v>120</v>
      </c>
    </row>
    <row r="2185" spans="1:6" x14ac:dyDescent="0.25">
      <c r="A2185">
        <v>-111.974093</v>
      </c>
      <c r="B2185">
        <v>33.068739999999998</v>
      </c>
      <c r="C2185">
        <v>0.56999999999999995</v>
      </c>
      <c r="D2185">
        <v>0.51071999999999995</v>
      </c>
      <c r="E2185">
        <v>878764976</v>
      </c>
      <c r="F2185">
        <v>120</v>
      </c>
    </row>
    <row r="2186" spans="1:6" x14ac:dyDescent="0.25">
      <c r="A2186">
        <v>-111.974093</v>
      </c>
      <c r="B2186">
        <v>33.068731</v>
      </c>
      <c r="C2186">
        <v>1.01</v>
      </c>
      <c r="D2186">
        <v>0.90495999999999999</v>
      </c>
      <c r="E2186">
        <v>878764978</v>
      </c>
      <c r="F2186">
        <v>120</v>
      </c>
    </row>
    <row r="2187" spans="1:6" x14ac:dyDescent="0.25">
      <c r="A2187">
        <v>-111.974093</v>
      </c>
      <c r="B2187">
        <v>33.068722999999999</v>
      </c>
      <c r="C2187">
        <v>1.26</v>
      </c>
      <c r="D2187">
        <v>1.12896</v>
      </c>
      <c r="E2187">
        <v>878764980</v>
      </c>
      <c r="F2187">
        <v>120</v>
      </c>
    </row>
    <row r="2188" spans="1:6" x14ac:dyDescent="0.25">
      <c r="A2188">
        <v>-111.974093</v>
      </c>
      <c r="B2188">
        <v>33.068716000000002</v>
      </c>
      <c r="C2188">
        <v>1.0349999999999999</v>
      </c>
      <c r="D2188">
        <v>0.92735999999999996</v>
      </c>
      <c r="E2188">
        <v>878764982</v>
      </c>
      <c r="F2188">
        <v>120</v>
      </c>
    </row>
    <row r="2189" spans="1:6" x14ac:dyDescent="0.25">
      <c r="A2189">
        <v>-111.974093</v>
      </c>
      <c r="B2189">
        <v>33.068708999999998</v>
      </c>
      <c r="C2189">
        <v>1.2549999999999999</v>
      </c>
      <c r="D2189">
        <v>1.1244799999999999</v>
      </c>
      <c r="E2189">
        <v>878764984</v>
      </c>
      <c r="F2189">
        <v>120</v>
      </c>
    </row>
    <row r="2190" spans="1:6" x14ac:dyDescent="0.25">
      <c r="A2190">
        <v>-111.974093</v>
      </c>
      <c r="B2190">
        <v>33.068700999999997</v>
      </c>
      <c r="C2190">
        <v>1.53</v>
      </c>
      <c r="D2190">
        <v>1.3708800000000001</v>
      </c>
      <c r="E2190">
        <v>878764986</v>
      </c>
      <c r="F2190">
        <v>120</v>
      </c>
    </row>
    <row r="2191" spans="1:6" x14ac:dyDescent="0.25">
      <c r="A2191">
        <v>-111.974093</v>
      </c>
      <c r="B2191">
        <v>33.068693000000003</v>
      </c>
      <c r="C2191">
        <v>1.2549999999999999</v>
      </c>
      <c r="D2191">
        <v>1.1244799999999999</v>
      </c>
      <c r="E2191">
        <v>878764988</v>
      </c>
      <c r="F2191">
        <v>120</v>
      </c>
    </row>
    <row r="2192" spans="1:6" x14ac:dyDescent="0.25">
      <c r="A2192">
        <v>-111.974093</v>
      </c>
      <c r="B2192">
        <v>33.068685000000002</v>
      </c>
      <c r="C2192">
        <v>0.72499999999999998</v>
      </c>
      <c r="D2192">
        <v>0.64959999999999996</v>
      </c>
      <c r="E2192">
        <v>878764990</v>
      </c>
      <c r="F2192">
        <v>120</v>
      </c>
    </row>
    <row r="2193" spans="1:6" x14ac:dyDescent="0.25">
      <c r="A2193">
        <v>-111.97409399999999</v>
      </c>
      <c r="B2193">
        <v>33.068677000000001</v>
      </c>
      <c r="C2193">
        <v>1.58</v>
      </c>
      <c r="D2193">
        <v>1.41568</v>
      </c>
      <c r="E2193">
        <v>878764992</v>
      </c>
      <c r="F2193">
        <v>120</v>
      </c>
    </row>
    <row r="2194" spans="1:6" x14ac:dyDescent="0.25">
      <c r="A2194">
        <v>-111.974093</v>
      </c>
      <c r="B2194">
        <v>33.068669</v>
      </c>
      <c r="C2194">
        <v>1.1100000000000001</v>
      </c>
      <c r="D2194">
        <v>0.99456</v>
      </c>
      <c r="E2194">
        <v>878764994</v>
      </c>
      <c r="F2194">
        <v>120</v>
      </c>
    </row>
    <row r="2195" spans="1:6" x14ac:dyDescent="0.25">
      <c r="A2195">
        <v>-111.974093</v>
      </c>
      <c r="B2195">
        <v>33.068662000000003</v>
      </c>
      <c r="C2195">
        <v>1.075</v>
      </c>
      <c r="D2195">
        <v>0.96319999999999995</v>
      </c>
      <c r="E2195">
        <v>878764996</v>
      </c>
      <c r="F2195">
        <v>120</v>
      </c>
    </row>
    <row r="2196" spans="1:6" x14ac:dyDescent="0.25">
      <c r="A2196">
        <v>-111.974093</v>
      </c>
      <c r="B2196">
        <v>33.068655</v>
      </c>
      <c r="C2196">
        <v>0.97499999999999998</v>
      </c>
      <c r="D2196">
        <v>0.87360000000000004</v>
      </c>
      <c r="E2196">
        <v>878764998</v>
      </c>
      <c r="F2196">
        <v>120</v>
      </c>
    </row>
    <row r="2197" spans="1:6" x14ac:dyDescent="0.25">
      <c r="A2197">
        <v>-111.97409399999999</v>
      </c>
      <c r="B2197">
        <v>33.068646000000001</v>
      </c>
      <c r="C2197">
        <v>1.33</v>
      </c>
      <c r="D2197">
        <v>1.1916800000000001</v>
      </c>
      <c r="E2197">
        <v>878765000</v>
      </c>
      <c r="F2197">
        <v>120</v>
      </c>
    </row>
    <row r="2198" spans="1:6" x14ac:dyDescent="0.25">
      <c r="A2198">
        <v>-111.97409399999999</v>
      </c>
      <c r="B2198">
        <v>33.068638</v>
      </c>
      <c r="C2198">
        <v>1.0449999999999999</v>
      </c>
      <c r="D2198">
        <v>0.93632000000000004</v>
      </c>
      <c r="E2198">
        <v>878765002</v>
      </c>
      <c r="F2198">
        <v>120</v>
      </c>
    </row>
    <row r="2199" spans="1:6" x14ac:dyDescent="0.25">
      <c r="A2199">
        <v>-111.974093</v>
      </c>
      <c r="B2199">
        <v>33.068631000000003</v>
      </c>
      <c r="C2199">
        <v>1.1499999999999999</v>
      </c>
      <c r="D2199">
        <v>1.0304</v>
      </c>
      <c r="E2199">
        <v>878765004</v>
      </c>
      <c r="F2199">
        <v>120</v>
      </c>
    </row>
    <row r="2200" spans="1:6" x14ac:dyDescent="0.25">
      <c r="A2200">
        <v>-111.974092</v>
      </c>
      <c r="B2200">
        <v>33.068624</v>
      </c>
      <c r="C2200">
        <v>0.64</v>
      </c>
      <c r="D2200">
        <v>0.57343999999999995</v>
      </c>
      <c r="E2200">
        <v>878765006</v>
      </c>
      <c r="F2200">
        <v>120</v>
      </c>
    </row>
    <row r="2201" spans="1:6" x14ac:dyDescent="0.25">
      <c r="A2201">
        <v>-111.974093</v>
      </c>
      <c r="B2201">
        <v>33.068617000000003</v>
      </c>
      <c r="C2201">
        <v>1.325</v>
      </c>
      <c r="D2201">
        <v>1.1872</v>
      </c>
      <c r="E2201">
        <v>878765008</v>
      </c>
      <c r="F2201">
        <v>120</v>
      </c>
    </row>
    <row r="2202" spans="1:6" x14ac:dyDescent="0.25">
      <c r="A2202">
        <v>-111.97409399999999</v>
      </c>
      <c r="B2202">
        <v>33.06861</v>
      </c>
      <c r="C2202">
        <v>0.27</v>
      </c>
      <c r="D2202">
        <v>0.24192</v>
      </c>
      <c r="E2202">
        <v>878765010</v>
      </c>
      <c r="F2202">
        <v>120</v>
      </c>
    </row>
    <row r="2203" spans="1:6" x14ac:dyDescent="0.25">
      <c r="A2203">
        <v>-111.97409500000001</v>
      </c>
      <c r="B2203">
        <v>33.068598999999999</v>
      </c>
      <c r="C2203">
        <v>2.5000000000000001E-2</v>
      </c>
      <c r="D2203">
        <v>2.24E-2</v>
      </c>
      <c r="E2203">
        <v>878765024</v>
      </c>
      <c r="F2203">
        <v>120</v>
      </c>
    </row>
    <row r="2204" spans="1:6" x14ac:dyDescent="0.25">
      <c r="A2204">
        <v>-111.974096</v>
      </c>
      <c r="B2204">
        <v>33.068593999999997</v>
      </c>
      <c r="C2204">
        <v>0.255</v>
      </c>
      <c r="D2204">
        <v>0.22847999999999999</v>
      </c>
      <c r="E2204">
        <v>878765026</v>
      </c>
      <c r="F2204">
        <v>120</v>
      </c>
    </row>
    <row r="2205" spans="1:6" x14ac:dyDescent="0.25">
      <c r="A2205">
        <v>-111.974096</v>
      </c>
      <c r="B2205">
        <v>33.068587999999998</v>
      </c>
      <c r="C2205">
        <v>0.41</v>
      </c>
      <c r="D2205">
        <v>0.36736000000000002</v>
      </c>
      <c r="E2205">
        <v>878765028</v>
      </c>
      <c r="F2205">
        <v>120</v>
      </c>
    </row>
    <row r="2206" spans="1:6" x14ac:dyDescent="0.25">
      <c r="A2206">
        <v>-111.974096</v>
      </c>
      <c r="B2206">
        <v>33.068579999999997</v>
      </c>
      <c r="C2206">
        <v>1.1200000000000001</v>
      </c>
      <c r="D2206">
        <v>1.00352</v>
      </c>
      <c r="E2206">
        <v>878765030</v>
      </c>
      <c r="F2206">
        <v>120</v>
      </c>
    </row>
    <row r="2207" spans="1:6" x14ac:dyDescent="0.25">
      <c r="A2207">
        <v>-111.97409399999999</v>
      </c>
      <c r="B2207">
        <v>33.068572000000003</v>
      </c>
      <c r="C2207">
        <v>1.2549999999999999</v>
      </c>
      <c r="D2207">
        <v>1.1244799999999999</v>
      </c>
      <c r="E2207">
        <v>878765032</v>
      </c>
      <c r="F2207">
        <v>120</v>
      </c>
    </row>
    <row r="2208" spans="1:6" x14ac:dyDescent="0.25">
      <c r="A2208">
        <v>-111.974093</v>
      </c>
      <c r="B2208">
        <v>33.068564000000002</v>
      </c>
      <c r="C2208">
        <v>1.2150000000000001</v>
      </c>
      <c r="D2208">
        <v>1.0886400000000001</v>
      </c>
      <c r="E2208">
        <v>878765034</v>
      </c>
      <c r="F2208">
        <v>120</v>
      </c>
    </row>
    <row r="2209" spans="1:6" x14ac:dyDescent="0.25">
      <c r="A2209">
        <v>-111.97409399999999</v>
      </c>
      <c r="B2209">
        <v>33.068555000000003</v>
      </c>
      <c r="C2209">
        <v>1.01</v>
      </c>
      <c r="D2209">
        <v>0.90495999999999999</v>
      </c>
      <c r="E2209">
        <v>878765036</v>
      </c>
      <c r="F2209">
        <v>120</v>
      </c>
    </row>
    <row r="2210" spans="1:6" x14ac:dyDescent="0.25">
      <c r="A2210">
        <v>-111.974093</v>
      </c>
      <c r="B2210">
        <v>33.068548999999997</v>
      </c>
      <c r="C2210">
        <v>0.86499999999999999</v>
      </c>
      <c r="D2210">
        <v>0.77503999999999995</v>
      </c>
      <c r="E2210">
        <v>878765038</v>
      </c>
      <c r="F2210">
        <v>120</v>
      </c>
    </row>
    <row r="2211" spans="1:6" x14ac:dyDescent="0.25">
      <c r="A2211">
        <v>-111.97409399999999</v>
      </c>
      <c r="B2211">
        <v>33.068542999999998</v>
      </c>
      <c r="C2211">
        <v>0.94</v>
      </c>
      <c r="D2211">
        <v>0.84223999999999999</v>
      </c>
      <c r="E2211">
        <v>878765040</v>
      </c>
      <c r="F2211">
        <v>120</v>
      </c>
    </row>
    <row r="2212" spans="1:6" x14ac:dyDescent="0.25">
      <c r="A2212">
        <v>-111.974093</v>
      </c>
      <c r="B2212">
        <v>33.068534999999997</v>
      </c>
      <c r="C2212">
        <v>1.04</v>
      </c>
      <c r="D2212">
        <v>0.93184</v>
      </c>
      <c r="E2212">
        <v>878765042</v>
      </c>
      <c r="F2212">
        <v>120</v>
      </c>
    </row>
    <row r="2213" spans="1:6" x14ac:dyDescent="0.25">
      <c r="A2213">
        <v>-111.974093</v>
      </c>
      <c r="B2213">
        <v>33.068527000000003</v>
      </c>
      <c r="C2213">
        <v>1.22</v>
      </c>
      <c r="D2213">
        <v>1.0931200000000001</v>
      </c>
      <c r="E2213">
        <v>878765044</v>
      </c>
      <c r="F2213">
        <v>120</v>
      </c>
    </row>
    <row r="2214" spans="1:6" x14ac:dyDescent="0.25">
      <c r="A2214">
        <v>-111.974093</v>
      </c>
      <c r="B2214">
        <v>33.068519000000002</v>
      </c>
      <c r="C2214">
        <v>0.86499999999999999</v>
      </c>
      <c r="D2214">
        <v>0.77503999999999995</v>
      </c>
      <c r="E2214">
        <v>878765046</v>
      </c>
      <c r="F2214">
        <v>120</v>
      </c>
    </row>
    <row r="2215" spans="1:6" x14ac:dyDescent="0.25">
      <c r="A2215">
        <v>-111.974093</v>
      </c>
      <c r="B2215">
        <v>33.068511999999998</v>
      </c>
      <c r="C2215">
        <v>1.385</v>
      </c>
      <c r="D2215">
        <v>1.2409600000000001</v>
      </c>
      <c r="E2215">
        <v>878765048</v>
      </c>
      <c r="F2215">
        <v>120</v>
      </c>
    </row>
    <row r="2216" spans="1:6" x14ac:dyDescent="0.25">
      <c r="A2216">
        <v>-111.974093</v>
      </c>
      <c r="B2216">
        <v>33.068505000000002</v>
      </c>
      <c r="C2216">
        <v>1.2649999999999999</v>
      </c>
      <c r="D2216">
        <v>1.13344</v>
      </c>
      <c r="E2216">
        <v>878765050</v>
      </c>
      <c r="F2216">
        <v>120</v>
      </c>
    </row>
    <row r="2217" spans="1:6" x14ac:dyDescent="0.25">
      <c r="A2217">
        <v>-111.974093</v>
      </c>
      <c r="B2217">
        <v>33.068497999999998</v>
      </c>
      <c r="C2217">
        <v>0.78500000000000003</v>
      </c>
      <c r="D2217">
        <v>0.70335999999999999</v>
      </c>
      <c r="E2217">
        <v>878765052</v>
      </c>
      <c r="F2217">
        <v>120</v>
      </c>
    </row>
    <row r="2218" spans="1:6" x14ac:dyDescent="0.25">
      <c r="A2218">
        <v>-111.97409399999999</v>
      </c>
      <c r="B2218">
        <v>33.068491000000002</v>
      </c>
      <c r="C2218">
        <v>1.31</v>
      </c>
      <c r="D2218">
        <v>1.1737599999999999</v>
      </c>
      <c r="E2218">
        <v>878765054</v>
      </c>
      <c r="F2218">
        <v>120</v>
      </c>
    </row>
    <row r="2219" spans="1:6" x14ac:dyDescent="0.25">
      <c r="A2219">
        <v>-111.97409399999999</v>
      </c>
      <c r="B2219">
        <v>33.068483000000001</v>
      </c>
      <c r="C2219">
        <v>1.25</v>
      </c>
      <c r="D2219">
        <v>1.1200000000000001</v>
      </c>
      <c r="E2219">
        <v>878765056</v>
      </c>
      <c r="F2219">
        <v>120</v>
      </c>
    </row>
    <row r="2220" spans="1:6" x14ac:dyDescent="0.25">
      <c r="A2220">
        <v>-111.974093</v>
      </c>
      <c r="B2220">
        <v>33.068474999999999</v>
      </c>
      <c r="C2220">
        <v>1.48</v>
      </c>
      <c r="D2220">
        <v>1.3260799999999999</v>
      </c>
      <c r="E2220">
        <v>878765058</v>
      </c>
      <c r="F2220">
        <v>120</v>
      </c>
    </row>
    <row r="2221" spans="1:6" x14ac:dyDescent="0.25">
      <c r="A2221">
        <v>-111.974093</v>
      </c>
      <c r="B2221">
        <v>33.068468000000003</v>
      </c>
      <c r="C2221">
        <v>1.365</v>
      </c>
      <c r="D2221">
        <v>1.2230399999999999</v>
      </c>
      <c r="E2221">
        <v>878765060</v>
      </c>
      <c r="F2221">
        <v>120</v>
      </c>
    </row>
    <row r="2222" spans="1:6" x14ac:dyDescent="0.25">
      <c r="A2222">
        <v>-111.974093</v>
      </c>
      <c r="B2222">
        <v>33.068460000000002</v>
      </c>
      <c r="C2222">
        <v>1.0549999999999999</v>
      </c>
      <c r="D2222">
        <v>0.94528000000000001</v>
      </c>
      <c r="E2222">
        <v>878765062</v>
      </c>
      <c r="F2222">
        <v>120</v>
      </c>
    </row>
    <row r="2223" spans="1:6" x14ac:dyDescent="0.25">
      <c r="A2223">
        <v>-111.974093</v>
      </c>
      <c r="B2223">
        <v>33.068455</v>
      </c>
      <c r="C2223">
        <v>1.0549999999999999</v>
      </c>
      <c r="D2223">
        <v>0.94528000000000001</v>
      </c>
      <c r="E2223">
        <v>878765064</v>
      </c>
      <c r="F2223">
        <v>120</v>
      </c>
    </row>
    <row r="2224" spans="1:6" x14ac:dyDescent="0.25">
      <c r="A2224">
        <v>-111.97409399999999</v>
      </c>
      <c r="B2224">
        <v>33.068447999999997</v>
      </c>
      <c r="C2224">
        <v>3.53</v>
      </c>
      <c r="D2224">
        <v>3.1628799999999999</v>
      </c>
      <c r="E2224">
        <v>878765066</v>
      </c>
      <c r="F2224">
        <v>120</v>
      </c>
    </row>
    <row r="2225" spans="1:6" x14ac:dyDescent="0.25">
      <c r="A2225">
        <v>-111.97409500000001</v>
      </c>
      <c r="B2225">
        <v>33.068441</v>
      </c>
      <c r="C2225">
        <v>2.5000000000000001E-2</v>
      </c>
      <c r="D2225">
        <v>2.24E-2</v>
      </c>
      <c r="E2225">
        <v>878765068</v>
      </c>
      <c r="F2225">
        <v>120</v>
      </c>
    </row>
    <row r="2226" spans="1:6" x14ac:dyDescent="0.25">
      <c r="A2226">
        <v>-111.97409500000001</v>
      </c>
      <c r="B2226">
        <v>33.068398000000002</v>
      </c>
      <c r="C2226">
        <v>5.0000000000000001E-3</v>
      </c>
      <c r="D2226">
        <v>4.4799999999999996E-3</v>
      </c>
      <c r="E2226">
        <v>878765080</v>
      </c>
      <c r="F2226">
        <v>120</v>
      </c>
    </row>
    <row r="2227" spans="1:6" x14ac:dyDescent="0.25">
      <c r="A2227">
        <v>-111.97409500000001</v>
      </c>
      <c r="B2227">
        <v>33.068361000000003</v>
      </c>
      <c r="C2227">
        <v>5.0000000000000001E-3</v>
      </c>
      <c r="D2227">
        <v>4.4799999999999996E-3</v>
      </c>
      <c r="E2227">
        <v>878765090</v>
      </c>
      <c r="F2227">
        <v>120</v>
      </c>
    </row>
    <row r="2228" spans="1:6" x14ac:dyDescent="0.25">
      <c r="A2228">
        <v>-111.97409500000001</v>
      </c>
      <c r="B2228">
        <v>33.068353999999999</v>
      </c>
      <c r="C2228">
        <v>0.47</v>
      </c>
      <c r="D2228">
        <v>0.42111999999999999</v>
      </c>
      <c r="E2228">
        <v>878765092</v>
      </c>
      <c r="F2228">
        <v>120</v>
      </c>
    </row>
    <row r="2229" spans="1:6" x14ac:dyDescent="0.25">
      <c r="A2229">
        <v>-111.974096</v>
      </c>
      <c r="B2229">
        <v>33.068347000000003</v>
      </c>
      <c r="C2229">
        <v>1.345</v>
      </c>
      <c r="D2229">
        <v>1.20512</v>
      </c>
      <c r="E2229">
        <v>878765094</v>
      </c>
      <c r="F2229">
        <v>120</v>
      </c>
    </row>
    <row r="2230" spans="1:6" x14ac:dyDescent="0.25">
      <c r="A2230">
        <v>-111.974096</v>
      </c>
      <c r="B2230">
        <v>33.068339000000002</v>
      </c>
      <c r="C2230">
        <v>1.33</v>
      </c>
      <c r="D2230">
        <v>1.1916800000000001</v>
      </c>
      <c r="E2230">
        <v>878765096</v>
      </c>
      <c r="F2230">
        <v>120</v>
      </c>
    </row>
    <row r="2231" spans="1:6" x14ac:dyDescent="0.25">
      <c r="A2231">
        <v>-111.974093</v>
      </c>
      <c r="B2231">
        <v>33.068331999999998</v>
      </c>
      <c r="C2231">
        <v>0.83499999999999996</v>
      </c>
      <c r="D2231">
        <v>0.74816000000000005</v>
      </c>
      <c r="E2231">
        <v>878765098</v>
      </c>
      <c r="F2231">
        <v>120</v>
      </c>
    </row>
    <row r="2232" spans="1:6" x14ac:dyDescent="0.25">
      <c r="A2232">
        <v>-111.974093</v>
      </c>
      <c r="B2232">
        <v>33.068325000000002</v>
      </c>
      <c r="C2232">
        <v>0.88500000000000001</v>
      </c>
      <c r="D2232">
        <v>0.79296</v>
      </c>
      <c r="E2232">
        <v>878765100</v>
      </c>
      <c r="F2232">
        <v>120</v>
      </c>
    </row>
    <row r="2233" spans="1:6" x14ac:dyDescent="0.25">
      <c r="A2233">
        <v>-111.974093</v>
      </c>
      <c r="B2233">
        <v>33.068317</v>
      </c>
      <c r="C2233">
        <v>0.82499999999999996</v>
      </c>
      <c r="D2233">
        <v>0.73919999999999997</v>
      </c>
      <c r="E2233">
        <v>878765102</v>
      </c>
      <c r="F2233">
        <v>120</v>
      </c>
    </row>
    <row r="2234" spans="1:6" x14ac:dyDescent="0.25">
      <c r="A2234">
        <v>-111.974093</v>
      </c>
      <c r="B2234">
        <v>33.068309999999997</v>
      </c>
      <c r="C2234">
        <v>0.995</v>
      </c>
      <c r="D2234">
        <v>0.89151999999999998</v>
      </c>
      <c r="E2234">
        <v>878765104</v>
      </c>
      <c r="F2234">
        <v>120</v>
      </c>
    </row>
    <row r="2235" spans="1:6" x14ac:dyDescent="0.25">
      <c r="A2235">
        <v>-111.97409399999999</v>
      </c>
      <c r="B2235">
        <v>33.068303999999998</v>
      </c>
      <c r="C2235">
        <v>1.2649999999999999</v>
      </c>
      <c r="D2235">
        <v>1.13344</v>
      </c>
      <c r="E2235">
        <v>878765106</v>
      </c>
      <c r="F2235">
        <v>120</v>
      </c>
    </row>
    <row r="2236" spans="1:6" x14ac:dyDescent="0.25">
      <c r="A2236">
        <v>-111.97409399999999</v>
      </c>
      <c r="B2236">
        <v>33.068295999999997</v>
      </c>
      <c r="C2236">
        <v>0.91</v>
      </c>
      <c r="D2236">
        <v>0.81535999999999997</v>
      </c>
      <c r="E2236">
        <v>878765108</v>
      </c>
      <c r="F2236">
        <v>120</v>
      </c>
    </row>
    <row r="2237" spans="1:6" x14ac:dyDescent="0.25">
      <c r="A2237">
        <v>-111.974093</v>
      </c>
      <c r="B2237">
        <v>33.068288000000003</v>
      </c>
      <c r="C2237">
        <v>0.89500000000000002</v>
      </c>
      <c r="D2237">
        <v>0.80191999999999997</v>
      </c>
      <c r="E2237">
        <v>878765110</v>
      </c>
      <c r="F2237">
        <v>120</v>
      </c>
    </row>
    <row r="2238" spans="1:6" x14ac:dyDescent="0.25">
      <c r="A2238">
        <v>-111.974093</v>
      </c>
      <c r="B2238">
        <v>33.068280999999999</v>
      </c>
      <c r="C2238">
        <v>1.415</v>
      </c>
      <c r="D2238">
        <v>1.2678400000000001</v>
      </c>
      <c r="E2238">
        <v>878765112</v>
      </c>
      <c r="F2238">
        <v>120</v>
      </c>
    </row>
    <row r="2239" spans="1:6" x14ac:dyDescent="0.25">
      <c r="A2239">
        <v>-111.974093</v>
      </c>
      <c r="B2239">
        <v>33.068274000000002</v>
      </c>
      <c r="C2239">
        <v>0.62</v>
      </c>
      <c r="D2239">
        <v>0.55552000000000001</v>
      </c>
      <c r="E2239">
        <v>878765114</v>
      </c>
      <c r="F2239">
        <v>120</v>
      </c>
    </row>
    <row r="2240" spans="1:6" x14ac:dyDescent="0.25">
      <c r="A2240">
        <v>-111.974093</v>
      </c>
      <c r="B2240">
        <v>33.068268000000003</v>
      </c>
      <c r="C2240">
        <v>1.97</v>
      </c>
      <c r="D2240">
        <v>1.76512</v>
      </c>
      <c r="E2240">
        <v>878765116</v>
      </c>
      <c r="F2240">
        <v>120</v>
      </c>
    </row>
    <row r="2241" spans="1:6" x14ac:dyDescent="0.25">
      <c r="A2241">
        <v>-111.974093</v>
      </c>
      <c r="B2241">
        <v>33.068260000000002</v>
      </c>
      <c r="C2241">
        <v>0.4</v>
      </c>
      <c r="D2241">
        <v>0.3584</v>
      </c>
      <c r="E2241">
        <v>878765118</v>
      </c>
      <c r="F2241">
        <v>120</v>
      </c>
    </row>
    <row r="2242" spans="1:6" x14ac:dyDescent="0.25">
      <c r="A2242">
        <v>-111.974093</v>
      </c>
      <c r="B2242">
        <v>33.068250999999997</v>
      </c>
      <c r="C2242">
        <v>0.63</v>
      </c>
      <c r="D2242">
        <v>0.56447999999999998</v>
      </c>
      <c r="E2242">
        <v>878765120</v>
      </c>
      <c r="F2242">
        <v>120</v>
      </c>
    </row>
    <row r="2243" spans="1:6" x14ac:dyDescent="0.25">
      <c r="A2243">
        <v>-111.974093</v>
      </c>
      <c r="B2243">
        <v>33.068241999999998</v>
      </c>
      <c r="C2243">
        <v>0.85</v>
      </c>
      <c r="D2243">
        <v>0.76160000000000005</v>
      </c>
      <c r="E2243">
        <v>878765122</v>
      </c>
      <c r="F2243">
        <v>120</v>
      </c>
    </row>
    <row r="2244" spans="1:6" x14ac:dyDescent="0.25">
      <c r="A2244">
        <v>-111.974093</v>
      </c>
      <c r="B2244">
        <v>33.068233999999997</v>
      </c>
      <c r="C2244">
        <v>0.96</v>
      </c>
      <c r="D2244">
        <v>0.86016000000000004</v>
      </c>
      <c r="E2244">
        <v>878765124</v>
      </c>
      <c r="F2244">
        <v>120</v>
      </c>
    </row>
    <row r="2245" spans="1:6" x14ac:dyDescent="0.25">
      <c r="A2245">
        <v>-111.974093</v>
      </c>
      <c r="B2245">
        <v>33.068226000000003</v>
      </c>
      <c r="C2245">
        <v>0.98</v>
      </c>
      <c r="D2245">
        <v>0.87807999999999997</v>
      </c>
      <c r="E2245">
        <v>878765126</v>
      </c>
      <c r="F2245">
        <v>120</v>
      </c>
    </row>
    <row r="2246" spans="1:6" x14ac:dyDescent="0.25">
      <c r="A2246">
        <v>-111.974093</v>
      </c>
      <c r="B2246">
        <v>33.068219999999997</v>
      </c>
      <c r="C2246">
        <v>1.3</v>
      </c>
      <c r="D2246">
        <v>1.1648000000000001</v>
      </c>
      <c r="E2246">
        <v>878765128</v>
      </c>
      <c r="F2246">
        <v>120</v>
      </c>
    </row>
    <row r="2247" spans="1:6" x14ac:dyDescent="0.25">
      <c r="A2247">
        <v>-111.974093</v>
      </c>
      <c r="B2247">
        <v>33.068213</v>
      </c>
      <c r="C2247">
        <v>0.96499999999999997</v>
      </c>
      <c r="D2247">
        <v>0.86463999999999996</v>
      </c>
      <c r="E2247">
        <v>878765130</v>
      </c>
      <c r="F2247">
        <v>120</v>
      </c>
    </row>
    <row r="2248" spans="1:6" x14ac:dyDescent="0.25">
      <c r="A2248">
        <v>-111.974093</v>
      </c>
      <c r="B2248">
        <v>33.068204000000001</v>
      </c>
      <c r="C2248">
        <v>1.3049999999999999</v>
      </c>
      <c r="D2248">
        <v>1.1692800000000001</v>
      </c>
      <c r="E2248">
        <v>878765132</v>
      </c>
      <c r="F2248">
        <v>120</v>
      </c>
    </row>
    <row r="2249" spans="1:6" x14ac:dyDescent="0.25">
      <c r="A2249">
        <v>-111.974093</v>
      </c>
      <c r="B2249">
        <v>33.068196999999998</v>
      </c>
      <c r="C2249">
        <v>0.89500000000000002</v>
      </c>
      <c r="D2249">
        <v>0.80191999999999997</v>
      </c>
      <c r="E2249">
        <v>878765134</v>
      </c>
      <c r="F2249">
        <v>120</v>
      </c>
    </row>
    <row r="2250" spans="1:6" x14ac:dyDescent="0.25">
      <c r="A2250">
        <v>-111.97409399999999</v>
      </c>
      <c r="B2250">
        <v>33.068182999999998</v>
      </c>
      <c r="C2250">
        <v>0.01</v>
      </c>
      <c r="D2250">
        <v>8.9599999999999992E-3</v>
      </c>
      <c r="E2250">
        <v>878765144</v>
      </c>
      <c r="F2250">
        <v>120</v>
      </c>
    </row>
    <row r="2251" spans="1:6" x14ac:dyDescent="0.25">
      <c r="A2251">
        <v>-111.97409500000001</v>
      </c>
      <c r="B2251">
        <v>33.068176999999999</v>
      </c>
      <c r="C2251">
        <v>0.37</v>
      </c>
      <c r="D2251">
        <v>0.33151999999999998</v>
      </c>
      <c r="E2251">
        <v>878765146</v>
      </c>
      <c r="F2251">
        <v>120</v>
      </c>
    </row>
    <row r="2252" spans="1:6" x14ac:dyDescent="0.25">
      <c r="A2252">
        <v>-111.974096</v>
      </c>
      <c r="B2252">
        <v>33.068171</v>
      </c>
      <c r="C2252">
        <v>1.4850000000000001</v>
      </c>
      <c r="D2252">
        <v>1.33056</v>
      </c>
      <c r="E2252">
        <v>878765148</v>
      </c>
      <c r="F2252">
        <v>120</v>
      </c>
    </row>
    <row r="2253" spans="1:6" x14ac:dyDescent="0.25">
      <c r="A2253">
        <v>-111.97409399999999</v>
      </c>
      <c r="B2253">
        <v>33.068162000000001</v>
      </c>
      <c r="C2253">
        <v>1.17</v>
      </c>
      <c r="D2253">
        <v>1.0483199999999999</v>
      </c>
      <c r="E2253">
        <v>878765150</v>
      </c>
      <c r="F2253">
        <v>120</v>
      </c>
    </row>
    <row r="2254" spans="1:6" x14ac:dyDescent="0.25">
      <c r="A2254">
        <v>-111.97409399999999</v>
      </c>
      <c r="B2254">
        <v>33.068154999999997</v>
      </c>
      <c r="C2254">
        <v>1.37</v>
      </c>
      <c r="D2254">
        <v>1.2275199999999999</v>
      </c>
      <c r="E2254">
        <v>878765152</v>
      </c>
      <c r="F2254">
        <v>120</v>
      </c>
    </row>
    <row r="2255" spans="1:6" x14ac:dyDescent="0.25">
      <c r="A2255">
        <v>-111.97409399999999</v>
      </c>
      <c r="B2255">
        <v>33.068148000000001</v>
      </c>
      <c r="C2255">
        <v>0.97</v>
      </c>
      <c r="D2255">
        <v>0.86912</v>
      </c>
      <c r="E2255">
        <v>878765154</v>
      </c>
      <c r="F2255">
        <v>120</v>
      </c>
    </row>
    <row r="2256" spans="1:6" x14ac:dyDescent="0.25">
      <c r="A2256">
        <v>-111.97409500000001</v>
      </c>
      <c r="B2256">
        <v>33.068139000000002</v>
      </c>
      <c r="C2256">
        <v>0.94</v>
      </c>
      <c r="D2256">
        <v>0.84223999999999999</v>
      </c>
      <c r="E2256">
        <v>878765156</v>
      </c>
      <c r="F2256">
        <v>120</v>
      </c>
    </row>
    <row r="2257" spans="1:6" x14ac:dyDescent="0.25">
      <c r="A2257">
        <v>-111.97409500000001</v>
      </c>
      <c r="B2257">
        <v>33.068134000000001</v>
      </c>
      <c r="C2257">
        <v>1.05</v>
      </c>
      <c r="D2257">
        <v>0.94079999999999997</v>
      </c>
      <c r="E2257">
        <v>878765158</v>
      </c>
      <c r="F2257">
        <v>120</v>
      </c>
    </row>
    <row r="2258" spans="1:6" x14ac:dyDescent="0.25">
      <c r="A2258">
        <v>-111.97409500000001</v>
      </c>
      <c r="B2258">
        <v>33.068125999999999</v>
      </c>
      <c r="C2258">
        <v>1.1499999999999999</v>
      </c>
      <c r="D2258">
        <v>1.0304</v>
      </c>
      <c r="E2258">
        <v>878765160</v>
      </c>
      <c r="F2258">
        <v>120</v>
      </c>
    </row>
    <row r="2259" spans="1:6" x14ac:dyDescent="0.25">
      <c r="A2259">
        <v>-111.974096</v>
      </c>
      <c r="B2259">
        <v>33.068117000000001</v>
      </c>
      <c r="C2259">
        <v>0.93</v>
      </c>
      <c r="D2259">
        <v>0.83328000000000002</v>
      </c>
      <c r="E2259">
        <v>878765162</v>
      </c>
      <c r="F2259">
        <v>120</v>
      </c>
    </row>
    <row r="2260" spans="1:6" x14ac:dyDescent="0.25">
      <c r="A2260">
        <v>-111.97409500000001</v>
      </c>
      <c r="B2260">
        <v>33.068109999999997</v>
      </c>
      <c r="C2260">
        <v>0.84499999999999997</v>
      </c>
      <c r="D2260">
        <v>0.75712000000000002</v>
      </c>
      <c r="E2260">
        <v>878765164</v>
      </c>
      <c r="F2260">
        <v>120</v>
      </c>
    </row>
    <row r="2261" spans="1:6" x14ac:dyDescent="0.25">
      <c r="A2261">
        <v>-111.97409500000001</v>
      </c>
      <c r="B2261">
        <v>33.068102000000003</v>
      </c>
      <c r="C2261">
        <v>1.26</v>
      </c>
      <c r="D2261">
        <v>1.12896</v>
      </c>
      <c r="E2261">
        <v>878765166</v>
      </c>
      <c r="F2261">
        <v>120</v>
      </c>
    </row>
    <row r="2262" spans="1:6" x14ac:dyDescent="0.25">
      <c r="A2262">
        <v>-111.974096</v>
      </c>
      <c r="B2262">
        <v>33.068092999999998</v>
      </c>
      <c r="C2262">
        <v>1.405</v>
      </c>
      <c r="D2262">
        <v>1.25888</v>
      </c>
      <c r="E2262">
        <v>878765168</v>
      </c>
      <c r="F2262">
        <v>120</v>
      </c>
    </row>
    <row r="2263" spans="1:6" x14ac:dyDescent="0.25">
      <c r="A2263">
        <v>-111.974096</v>
      </c>
      <c r="B2263">
        <v>33.068086000000001</v>
      </c>
      <c r="C2263">
        <v>1.155</v>
      </c>
      <c r="D2263">
        <v>1.03488</v>
      </c>
      <c r="E2263">
        <v>878765170</v>
      </c>
      <c r="F2263">
        <v>120</v>
      </c>
    </row>
    <row r="2264" spans="1:6" x14ac:dyDescent="0.25">
      <c r="A2264">
        <v>-111.974096</v>
      </c>
      <c r="B2264">
        <v>33.068077000000002</v>
      </c>
      <c r="C2264">
        <v>1.1299999999999999</v>
      </c>
      <c r="D2264">
        <v>1.01248</v>
      </c>
      <c r="E2264">
        <v>878765172</v>
      </c>
      <c r="F2264">
        <v>120</v>
      </c>
    </row>
    <row r="2265" spans="1:6" x14ac:dyDescent="0.25">
      <c r="A2265">
        <v>-111.974096</v>
      </c>
      <c r="B2265">
        <v>33.068069999999999</v>
      </c>
      <c r="C2265">
        <v>1.2949999999999999</v>
      </c>
      <c r="D2265">
        <v>1.16032</v>
      </c>
      <c r="E2265">
        <v>878765174</v>
      </c>
      <c r="F2265">
        <v>120</v>
      </c>
    </row>
    <row r="2266" spans="1:6" x14ac:dyDescent="0.25">
      <c r="A2266">
        <v>-111.974096</v>
      </c>
      <c r="B2266">
        <v>33.068061999999998</v>
      </c>
      <c r="C2266">
        <v>1.1100000000000001</v>
      </c>
      <c r="D2266">
        <v>0.99456</v>
      </c>
      <c r="E2266">
        <v>878765176</v>
      </c>
      <c r="F2266">
        <v>120</v>
      </c>
    </row>
    <row r="2267" spans="1:6" x14ac:dyDescent="0.25">
      <c r="A2267">
        <v>-111.97409500000001</v>
      </c>
      <c r="B2267">
        <v>33.068053999999997</v>
      </c>
      <c r="C2267">
        <v>1.3049999999999999</v>
      </c>
      <c r="D2267">
        <v>1.1692800000000001</v>
      </c>
      <c r="E2267">
        <v>878765178</v>
      </c>
      <c r="F2267">
        <v>120</v>
      </c>
    </row>
    <row r="2268" spans="1:6" x14ac:dyDescent="0.25">
      <c r="A2268">
        <v>-111.97409500000001</v>
      </c>
      <c r="B2268">
        <v>33.068047</v>
      </c>
      <c r="C2268">
        <v>1.135</v>
      </c>
      <c r="D2268">
        <v>1.0169600000000001</v>
      </c>
      <c r="E2268">
        <v>878765180</v>
      </c>
      <c r="F2268">
        <v>120</v>
      </c>
    </row>
    <row r="2269" spans="1:6" x14ac:dyDescent="0.25">
      <c r="A2269">
        <v>-111.97409500000001</v>
      </c>
      <c r="B2269">
        <v>33.068038999999999</v>
      </c>
      <c r="C2269">
        <v>1.08</v>
      </c>
      <c r="D2269">
        <v>0.96767999999999998</v>
      </c>
      <c r="E2269">
        <v>878765182</v>
      </c>
      <c r="F2269">
        <v>120</v>
      </c>
    </row>
    <row r="2270" spans="1:6" x14ac:dyDescent="0.25">
      <c r="A2270">
        <v>-111.97409500000001</v>
      </c>
      <c r="B2270">
        <v>33.068030999999998</v>
      </c>
      <c r="C2270">
        <v>0.97499999999999998</v>
      </c>
      <c r="D2270">
        <v>0.87360000000000004</v>
      </c>
      <c r="E2270">
        <v>878765184</v>
      </c>
      <c r="F2270">
        <v>120</v>
      </c>
    </row>
    <row r="2271" spans="1:6" x14ac:dyDescent="0.25">
      <c r="A2271">
        <v>-111.97409500000001</v>
      </c>
      <c r="B2271">
        <v>33.068024999999999</v>
      </c>
      <c r="C2271">
        <v>5.0000000000000001E-3</v>
      </c>
      <c r="D2271">
        <v>4.4799999999999996E-3</v>
      </c>
      <c r="E2271">
        <v>878765186</v>
      </c>
      <c r="F2271">
        <v>120</v>
      </c>
    </row>
    <row r="2272" spans="1:6" x14ac:dyDescent="0.25">
      <c r="A2272">
        <v>-111.974225</v>
      </c>
      <c r="B2272">
        <v>33.068044</v>
      </c>
      <c r="C2272">
        <v>5.0000000000000001E-3</v>
      </c>
      <c r="D2272">
        <v>4.4799999999999996E-3</v>
      </c>
      <c r="E2272">
        <v>878765242</v>
      </c>
      <c r="F2272">
        <v>120</v>
      </c>
    </row>
    <row r="2273" spans="1:6" x14ac:dyDescent="0.25">
      <c r="A2273">
        <v>-111.974226</v>
      </c>
      <c r="B2273">
        <v>33.068049999999999</v>
      </c>
      <c r="C2273">
        <v>0.98</v>
      </c>
      <c r="D2273">
        <v>0.87807999999999997</v>
      </c>
      <c r="E2273">
        <v>878765244</v>
      </c>
      <c r="F2273">
        <v>120</v>
      </c>
    </row>
    <row r="2274" spans="1:6" x14ac:dyDescent="0.25">
      <c r="A2274">
        <v>-111.974227</v>
      </c>
      <c r="B2274">
        <v>33.068055000000001</v>
      </c>
      <c r="C2274">
        <v>1.0549999999999999</v>
      </c>
      <c r="D2274">
        <v>0.94528000000000001</v>
      </c>
      <c r="E2274">
        <v>878765246</v>
      </c>
      <c r="F2274">
        <v>120</v>
      </c>
    </row>
    <row r="2275" spans="1:6" x14ac:dyDescent="0.25">
      <c r="A2275">
        <v>-111.974227</v>
      </c>
      <c r="B2275">
        <v>33.068061</v>
      </c>
      <c r="C2275">
        <v>0.92500000000000004</v>
      </c>
      <c r="D2275">
        <v>0.82879999999999998</v>
      </c>
      <c r="E2275">
        <v>878765248</v>
      </c>
      <c r="F2275">
        <v>120</v>
      </c>
    </row>
    <row r="2276" spans="1:6" x14ac:dyDescent="0.25">
      <c r="A2276">
        <v>-111.974226</v>
      </c>
      <c r="B2276">
        <v>33.068067999999997</v>
      </c>
      <c r="C2276">
        <v>0.91</v>
      </c>
      <c r="D2276">
        <v>0.81535999999999997</v>
      </c>
      <c r="E2276">
        <v>878765250</v>
      </c>
      <c r="F2276">
        <v>120</v>
      </c>
    </row>
    <row r="2277" spans="1:6" x14ac:dyDescent="0.25">
      <c r="A2277">
        <v>-111.974226</v>
      </c>
      <c r="B2277">
        <v>33.068074000000003</v>
      </c>
      <c r="C2277">
        <v>0.94499999999999995</v>
      </c>
      <c r="D2277">
        <v>0.84672000000000003</v>
      </c>
      <c r="E2277">
        <v>878765252</v>
      </c>
      <c r="F2277">
        <v>120</v>
      </c>
    </row>
    <row r="2278" spans="1:6" x14ac:dyDescent="0.25">
      <c r="A2278">
        <v>-111.974226</v>
      </c>
      <c r="B2278">
        <v>33.068080000000002</v>
      </c>
      <c r="C2278">
        <v>0.96</v>
      </c>
      <c r="D2278">
        <v>0.86016000000000004</v>
      </c>
      <c r="E2278">
        <v>878765254</v>
      </c>
      <c r="F2278">
        <v>120</v>
      </c>
    </row>
    <row r="2279" spans="1:6" x14ac:dyDescent="0.25">
      <c r="A2279">
        <v>-111.974226</v>
      </c>
      <c r="B2279">
        <v>33.068088000000003</v>
      </c>
      <c r="C2279">
        <v>0.74</v>
      </c>
      <c r="D2279">
        <v>0.66303999999999996</v>
      </c>
      <c r="E2279">
        <v>878765256</v>
      </c>
      <c r="F2279">
        <v>120</v>
      </c>
    </row>
    <row r="2280" spans="1:6" x14ac:dyDescent="0.25">
      <c r="A2280">
        <v>-111.974226</v>
      </c>
      <c r="B2280">
        <v>33.068095</v>
      </c>
      <c r="C2280">
        <v>0.95</v>
      </c>
      <c r="D2280">
        <v>0.85119999999999996</v>
      </c>
      <c r="E2280">
        <v>878765258</v>
      </c>
      <c r="F2280">
        <v>120</v>
      </c>
    </row>
    <row r="2281" spans="1:6" x14ac:dyDescent="0.25">
      <c r="A2281">
        <v>-111.974226</v>
      </c>
      <c r="B2281">
        <v>33.068103000000001</v>
      </c>
      <c r="C2281">
        <v>0.79</v>
      </c>
      <c r="D2281">
        <v>0.70784000000000002</v>
      </c>
      <c r="E2281">
        <v>878765260</v>
      </c>
      <c r="F2281">
        <v>120</v>
      </c>
    </row>
    <row r="2282" spans="1:6" x14ac:dyDescent="0.25">
      <c r="A2282">
        <v>-111.974226</v>
      </c>
      <c r="B2282">
        <v>33.068109999999997</v>
      </c>
      <c r="C2282">
        <v>0.995</v>
      </c>
      <c r="D2282">
        <v>0.89151999999999998</v>
      </c>
      <c r="E2282">
        <v>878765262</v>
      </c>
      <c r="F2282">
        <v>120</v>
      </c>
    </row>
    <row r="2283" spans="1:6" x14ac:dyDescent="0.25">
      <c r="A2283">
        <v>-111.974226</v>
      </c>
      <c r="B2283">
        <v>33.068116000000003</v>
      </c>
      <c r="C2283">
        <v>1.08</v>
      </c>
      <c r="D2283">
        <v>0.96767999999999998</v>
      </c>
      <c r="E2283">
        <v>878765264</v>
      </c>
      <c r="F2283">
        <v>120</v>
      </c>
    </row>
    <row r="2284" spans="1:6" x14ac:dyDescent="0.25">
      <c r="A2284">
        <v>-111.974226</v>
      </c>
      <c r="B2284">
        <v>33.068123999999997</v>
      </c>
      <c r="C2284">
        <v>0.93</v>
      </c>
      <c r="D2284">
        <v>0.83328000000000002</v>
      </c>
      <c r="E2284">
        <v>878765266</v>
      </c>
      <c r="F2284">
        <v>120</v>
      </c>
    </row>
    <row r="2285" spans="1:6" x14ac:dyDescent="0.25">
      <c r="A2285">
        <v>-111.974225</v>
      </c>
      <c r="B2285">
        <v>33.068131000000001</v>
      </c>
      <c r="C2285">
        <v>1.1950000000000001</v>
      </c>
      <c r="D2285">
        <v>1.0707199999999999</v>
      </c>
      <c r="E2285">
        <v>878765268</v>
      </c>
      <c r="F2285">
        <v>120</v>
      </c>
    </row>
    <row r="2286" spans="1:6" x14ac:dyDescent="0.25">
      <c r="A2286">
        <v>-111.974226</v>
      </c>
      <c r="B2286">
        <v>33.068139000000002</v>
      </c>
      <c r="C2286">
        <v>0.97</v>
      </c>
      <c r="D2286">
        <v>0.86912</v>
      </c>
      <c r="E2286">
        <v>878765270</v>
      </c>
      <c r="F2286">
        <v>120</v>
      </c>
    </row>
    <row r="2287" spans="1:6" x14ac:dyDescent="0.25">
      <c r="A2287">
        <v>-111.974226</v>
      </c>
      <c r="B2287">
        <v>33.068145999999999</v>
      </c>
      <c r="C2287">
        <v>1.395</v>
      </c>
      <c r="D2287">
        <v>1.2499199999999999</v>
      </c>
      <c r="E2287">
        <v>878765272</v>
      </c>
      <c r="F2287">
        <v>120</v>
      </c>
    </row>
    <row r="2288" spans="1:6" x14ac:dyDescent="0.25">
      <c r="A2288">
        <v>-111.974226</v>
      </c>
      <c r="B2288">
        <v>33.068154</v>
      </c>
      <c r="C2288">
        <v>1.62</v>
      </c>
      <c r="D2288">
        <v>1.4515199999999999</v>
      </c>
      <c r="E2288">
        <v>878765274</v>
      </c>
      <c r="F2288">
        <v>120</v>
      </c>
    </row>
    <row r="2289" spans="1:6" x14ac:dyDescent="0.25">
      <c r="A2289">
        <v>-111.974226</v>
      </c>
      <c r="B2289">
        <v>33.068161000000003</v>
      </c>
      <c r="C2289">
        <v>1.0449999999999999</v>
      </c>
      <c r="D2289">
        <v>0.93632000000000004</v>
      </c>
      <c r="E2289">
        <v>878765276</v>
      </c>
      <c r="F2289">
        <v>120</v>
      </c>
    </row>
    <row r="2290" spans="1:6" x14ac:dyDescent="0.25">
      <c r="A2290">
        <v>-111.974226</v>
      </c>
      <c r="B2290">
        <v>33.068168999999997</v>
      </c>
      <c r="C2290">
        <v>1.02</v>
      </c>
      <c r="D2290">
        <v>0.91391999999999995</v>
      </c>
      <c r="E2290">
        <v>878765278</v>
      </c>
      <c r="F2290">
        <v>120</v>
      </c>
    </row>
    <row r="2291" spans="1:6" x14ac:dyDescent="0.25">
      <c r="A2291">
        <v>-111.974226</v>
      </c>
      <c r="B2291">
        <v>33.068176999999999</v>
      </c>
      <c r="C2291">
        <v>0.88500000000000001</v>
      </c>
      <c r="D2291">
        <v>0.79296</v>
      </c>
      <c r="E2291">
        <v>878765280</v>
      </c>
      <c r="F2291">
        <v>120</v>
      </c>
    </row>
    <row r="2292" spans="1:6" x14ac:dyDescent="0.25">
      <c r="A2292">
        <v>-111.974226</v>
      </c>
      <c r="B2292">
        <v>33.068182</v>
      </c>
      <c r="C2292">
        <v>1.3149999999999999</v>
      </c>
      <c r="D2292">
        <v>1.17824</v>
      </c>
      <c r="E2292">
        <v>878765282</v>
      </c>
      <c r="F2292">
        <v>120</v>
      </c>
    </row>
    <row r="2293" spans="1:6" x14ac:dyDescent="0.25">
      <c r="A2293">
        <v>-111.974226</v>
      </c>
      <c r="B2293">
        <v>33.068190999999999</v>
      </c>
      <c r="C2293">
        <v>1.0149999999999999</v>
      </c>
      <c r="D2293">
        <v>0.90944000000000003</v>
      </c>
      <c r="E2293">
        <v>878765284</v>
      </c>
      <c r="F2293">
        <v>120</v>
      </c>
    </row>
    <row r="2294" spans="1:6" x14ac:dyDescent="0.25">
      <c r="A2294">
        <v>-111.974226</v>
      </c>
      <c r="B2294">
        <v>33.068198000000002</v>
      </c>
      <c r="C2294">
        <v>4.4999999999999998E-2</v>
      </c>
      <c r="D2294">
        <v>4.0320000000000002E-2</v>
      </c>
      <c r="E2294">
        <v>878765286</v>
      </c>
      <c r="F2294">
        <v>120</v>
      </c>
    </row>
    <row r="2295" spans="1:6" x14ac:dyDescent="0.25">
      <c r="A2295">
        <v>-111.974227</v>
      </c>
      <c r="B2295">
        <v>33.068204999999999</v>
      </c>
      <c r="C2295">
        <v>0.01</v>
      </c>
      <c r="D2295">
        <v>8.9599999999999992E-3</v>
      </c>
      <c r="E2295">
        <v>878765300</v>
      </c>
      <c r="F2295">
        <v>120</v>
      </c>
    </row>
    <row r="2296" spans="1:6" x14ac:dyDescent="0.25">
      <c r="A2296">
        <v>-111.974228</v>
      </c>
      <c r="B2296">
        <v>33.068210999999998</v>
      </c>
      <c r="C2296">
        <v>0.13</v>
      </c>
      <c r="D2296">
        <v>0.11648</v>
      </c>
      <c r="E2296">
        <v>878765302</v>
      </c>
      <c r="F2296">
        <v>120</v>
      </c>
    </row>
    <row r="2297" spans="1:6" x14ac:dyDescent="0.25">
      <c r="A2297">
        <v>-111.974228</v>
      </c>
      <c r="B2297">
        <v>33.068218000000002</v>
      </c>
      <c r="C2297">
        <v>0.80500000000000005</v>
      </c>
      <c r="D2297">
        <v>0.72128000000000003</v>
      </c>
      <c r="E2297">
        <v>878765304</v>
      </c>
      <c r="F2297">
        <v>120</v>
      </c>
    </row>
    <row r="2298" spans="1:6" x14ac:dyDescent="0.25">
      <c r="A2298">
        <v>-111.974228</v>
      </c>
      <c r="B2298">
        <v>33.068226000000003</v>
      </c>
      <c r="C2298">
        <v>1.365</v>
      </c>
      <c r="D2298">
        <v>1.2230399999999999</v>
      </c>
      <c r="E2298">
        <v>878765306</v>
      </c>
      <c r="F2298">
        <v>120</v>
      </c>
    </row>
    <row r="2299" spans="1:6" x14ac:dyDescent="0.25">
      <c r="A2299">
        <v>-111.974225</v>
      </c>
      <c r="B2299">
        <v>33.068233999999997</v>
      </c>
      <c r="C2299">
        <v>1.47</v>
      </c>
      <c r="D2299">
        <v>1.3171200000000001</v>
      </c>
      <c r="E2299">
        <v>878765308</v>
      </c>
      <c r="F2299">
        <v>120</v>
      </c>
    </row>
    <row r="2300" spans="1:6" x14ac:dyDescent="0.25">
      <c r="A2300">
        <v>-111.974225</v>
      </c>
      <c r="B2300">
        <v>33.068241999999998</v>
      </c>
      <c r="C2300">
        <v>1</v>
      </c>
      <c r="D2300">
        <v>0.89600000000000002</v>
      </c>
      <c r="E2300">
        <v>878765310</v>
      </c>
      <c r="F2300">
        <v>120</v>
      </c>
    </row>
    <row r="2301" spans="1:6" x14ac:dyDescent="0.25">
      <c r="A2301">
        <v>-111.974226</v>
      </c>
      <c r="B2301">
        <v>33.068249000000002</v>
      </c>
      <c r="C2301">
        <v>1.0149999999999999</v>
      </c>
      <c r="D2301">
        <v>0.90944000000000003</v>
      </c>
      <c r="E2301">
        <v>878765312</v>
      </c>
      <c r="F2301">
        <v>120</v>
      </c>
    </row>
    <row r="2302" spans="1:6" x14ac:dyDescent="0.25">
      <c r="A2302">
        <v>-111.974226</v>
      </c>
      <c r="B2302">
        <v>33.068255999999998</v>
      </c>
      <c r="C2302">
        <v>1.03</v>
      </c>
      <c r="D2302">
        <v>0.92288000000000003</v>
      </c>
      <c r="E2302">
        <v>878765314</v>
      </c>
      <c r="F2302">
        <v>120</v>
      </c>
    </row>
    <row r="2303" spans="1:6" x14ac:dyDescent="0.25">
      <c r="A2303">
        <v>-111.974226</v>
      </c>
      <c r="B2303">
        <v>33.068263999999999</v>
      </c>
      <c r="C2303">
        <v>0.91500000000000004</v>
      </c>
      <c r="D2303">
        <v>0.81984000000000001</v>
      </c>
      <c r="E2303">
        <v>878765316</v>
      </c>
      <c r="F2303">
        <v>120</v>
      </c>
    </row>
    <row r="2304" spans="1:6" x14ac:dyDescent="0.25">
      <c r="A2304">
        <v>-111.974226</v>
      </c>
      <c r="B2304">
        <v>33.068271000000003</v>
      </c>
      <c r="C2304">
        <v>0.89</v>
      </c>
      <c r="D2304">
        <v>0.79744000000000004</v>
      </c>
      <c r="E2304">
        <v>878765318</v>
      </c>
      <c r="F2304">
        <v>120</v>
      </c>
    </row>
    <row r="2305" spans="1:6" x14ac:dyDescent="0.25">
      <c r="A2305">
        <v>-111.974227</v>
      </c>
      <c r="B2305">
        <v>33.068278999999997</v>
      </c>
      <c r="C2305">
        <v>1.0049999999999999</v>
      </c>
      <c r="D2305">
        <v>0.90047999999999995</v>
      </c>
      <c r="E2305">
        <v>878765320</v>
      </c>
      <c r="F2305">
        <v>120</v>
      </c>
    </row>
    <row r="2306" spans="1:6" x14ac:dyDescent="0.25">
      <c r="A2306">
        <v>-111.974226</v>
      </c>
      <c r="B2306">
        <v>33.068286000000001</v>
      </c>
      <c r="C2306">
        <v>0.79500000000000004</v>
      </c>
      <c r="D2306">
        <v>0.71231999999999995</v>
      </c>
      <c r="E2306">
        <v>878765322</v>
      </c>
      <c r="F2306">
        <v>120</v>
      </c>
    </row>
    <row r="2307" spans="1:6" x14ac:dyDescent="0.25">
      <c r="A2307">
        <v>-111.974226</v>
      </c>
      <c r="B2307">
        <v>33.068294000000002</v>
      </c>
      <c r="C2307">
        <v>1.135</v>
      </c>
      <c r="D2307">
        <v>1.0169600000000001</v>
      </c>
      <c r="E2307">
        <v>878765324</v>
      </c>
      <c r="F2307">
        <v>120</v>
      </c>
    </row>
    <row r="2308" spans="1:6" x14ac:dyDescent="0.25">
      <c r="A2308">
        <v>-111.974226</v>
      </c>
      <c r="B2308">
        <v>33.068302000000003</v>
      </c>
      <c r="C2308">
        <v>1.155</v>
      </c>
      <c r="D2308">
        <v>1.03488</v>
      </c>
      <c r="E2308">
        <v>878765326</v>
      </c>
      <c r="F2308">
        <v>120</v>
      </c>
    </row>
    <row r="2309" spans="1:6" x14ac:dyDescent="0.25">
      <c r="A2309">
        <v>-111.974226</v>
      </c>
      <c r="B2309">
        <v>33.068309999999997</v>
      </c>
      <c r="C2309">
        <v>1.2749999999999999</v>
      </c>
      <c r="D2309">
        <v>1.1424000000000001</v>
      </c>
      <c r="E2309">
        <v>878765328</v>
      </c>
      <c r="F2309">
        <v>120</v>
      </c>
    </row>
    <row r="2310" spans="1:6" x14ac:dyDescent="0.25">
      <c r="A2310">
        <v>-111.974226</v>
      </c>
      <c r="B2310">
        <v>33.068317</v>
      </c>
      <c r="C2310">
        <v>1.2250000000000001</v>
      </c>
      <c r="D2310">
        <v>1.0975999999999999</v>
      </c>
      <c r="E2310">
        <v>878765330</v>
      </c>
      <c r="F2310">
        <v>120</v>
      </c>
    </row>
    <row r="2311" spans="1:6" x14ac:dyDescent="0.25">
      <c r="A2311">
        <v>-111.974226</v>
      </c>
      <c r="B2311">
        <v>33.068325000000002</v>
      </c>
      <c r="C2311">
        <v>1.22</v>
      </c>
      <c r="D2311">
        <v>1.0931200000000001</v>
      </c>
      <c r="E2311">
        <v>878765332</v>
      </c>
      <c r="F2311">
        <v>120</v>
      </c>
    </row>
    <row r="2312" spans="1:6" x14ac:dyDescent="0.25">
      <c r="A2312">
        <v>-111.974226</v>
      </c>
      <c r="B2312">
        <v>33.068331999999998</v>
      </c>
      <c r="C2312">
        <v>1.32</v>
      </c>
      <c r="D2312">
        <v>1.18272</v>
      </c>
      <c r="E2312">
        <v>878765334</v>
      </c>
      <c r="F2312">
        <v>120</v>
      </c>
    </row>
    <row r="2313" spans="1:6" x14ac:dyDescent="0.25">
      <c r="A2313">
        <v>-111.974226</v>
      </c>
      <c r="B2313">
        <v>33.068339999999999</v>
      </c>
      <c r="C2313">
        <v>1.2849999999999999</v>
      </c>
      <c r="D2313">
        <v>1.1513599999999999</v>
      </c>
      <c r="E2313">
        <v>878765336</v>
      </c>
      <c r="F2313">
        <v>120</v>
      </c>
    </row>
    <row r="2314" spans="1:6" x14ac:dyDescent="0.25">
      <c r="A2314">
        <v>-111.974226</v>
      </c>
      <c r="B2314">
        <v>33.068347000000003</v>
      </c>
      <c r="C2314">
        <v>1.2949999999999999</v>
      </c>
      <c r="D2314">
        <v>1.16032</v>
      </c>
      <c r="E2314">
        <v>878765338</v>
      </c>
      <c r="F2314">
        <v>120</v>
      </c>
    </row>
    <row r="2315" spans="1:6" x14ac:dyDescent="0.25">
      <c r="A2315">
        <v>-111.974226</v>
      </c>
      <c r="B2315">
        <v>33.068353999999999</v>
      </c>
      <c r="C2315">
        <v>1.35</v>
      </c>
      <c r="D2315">
        <v>1.2096</v>
      </c>
      <c r="E2315">
        <v>878765340</v>
      </c>
      <c r="F2315">
        <v>120</v>
      </c>
    </row>
    <row r="2316" spans="1:6" x14ac:dyDescent="0.25">
      <c r="A2316">
        <v>-111.974226</v>
      </c>
      <c r="B2316">
        <v>33.068362</v>
      </c>
      <c r="C2316">
        <v>1.41</v>
      </c>
      <c r="D2316">
        <v>1.26336</v>
      </c>
      <c r="E2316">
        <v>878765342</v>
      </c>
      <c r="F2316">
        <v>120</v>
      </c>
    </row>
    <row r="2317" spans="1:6" x14ac:dyDescent="0.25">
      <c r="A2317">
        <v>-111.974227</v>
      </c>
      <c r="B2317">
        <v>33.068368999999997</v>
      </c>
      <c r="C2317">
        <v>0.33</v>
      </c>
      <c r="D2317">
        <v>0.29568</v>
      </c>
      <c r="E2317">
        <v>878765344</v>
      </c>
      <c r="F2317">
        <v>120</v>
      </c>
    </row>
    <row r="2318" spans="1:6" x14ac:dyDescent="0.25">
      <c r="A2318">
        <v>-111.974227</v>
      </c>
      <c r="B2318">
        <v>33.068376999999998</v>
      </c>
      <c r="C2318">
        <v>0.01</v>
      </c>
      <c r="D2318">
        <v>8.9599999999999992E-3</v>
      </c>
      <c r="E2318">
        <v>878765346</v>
      </c>
      <c r="F2318">
        <v>120</v>
      </c>
    </row>
    <row r="2319" spans="1:6" x14ac:dyDescent="0.25">
      <c r="A2319">
        <v>-111.974227</v>
      </c>
      <c r="B2319">
        <v>33.068424</v>
      </c>
      <c r="C2319">
        <v>5.0000000000000001E-3</v>
      </c>
      <c r="D2319">
        <v>4.4799999999999996E-3</v>
      </c>
      <c r="E2319">
        <v>878765358</v>
      </c>
      <c r="F2319">
        <v>120</v>
      </c>
    </row>
    <row r="2320" spans="1:6" x14ac:dyDescent="0.25">
      <c r="A2320">
        <v>-111.974227</v>
      </c>
      <c r="B2320">
        <v>33.068455</v>
      </c>
      <c r="C2320">
        <v>0.26500000000000001</v>
      </c>
      <c r="D2320">
        <v>0.23744000000000001</v>
      </c>
      <c r="E2320">
        <v>878765366</v>
      </c>
      <c r="F2320">
        <v>120</v>
      </c>
    </row>
    <row r="2321" spans="1:6" x14ac:dyDescent="0.25">
      <c r="A2321">
        <v>-111.974227</v>
      </c>
      <c r="B2321">
        <v>33.068463000000001</v>
      </c>
      <c r="C2321">
        <v>1.3049999999999999</v>
      </c>
      <c r="D2321">
        <v>1.1692800000000001</v>
      </c>
      <c r="E2321">
        <v>878765368</v>
      </c>
      <c r="F2321">
        <v>120</v>
      </c>
    </row>
    <row r="2322" spans="1:6" x14ac:dyDescent="0.25">
      <c r="A2322">
        <v>-111.974227</v>
      </c>
      <c r="B2322">
        <v>33.068471000000002</v>
      </c>
      <c r="C2322">
        <v>1.42</v>
      </c>
      <c r="D2322">
        <v>1.2723199999999999</v>
      </c>
      <c r="E2322">
        <v>878765370</v>
      </c>
      <c r="F2322">
        <v>120</v>
      </c>
    </row>
    <row r="2323" spans="1:6" x14ac:dyDescent="0.25">
      <c r="A2323">
        <v>-111.974226</v>
      </c>
      <c r="B2323">
        <v>33.068477999999999</v>
      </c>
      <c r="C2323">
        <v>1.385</v>
      </c>
      <c r="D2323">
        <v>1.2409600000000001</v>
      </c>
      <c r="E2323">
        <v>878765372</v>
      </c>
      <c r="F2323">
        <v>120</v>
      </c>
    </row>
    <row r="2324" spans="1:6" x14ac:dyDescent="0.25">
      <c r="A2324">
        <v>-111.974227</v>
      </c>
      <c r="B2324">
        <v>33.068486</v>
      </c>
      <c r="C2324">
        <v>1.26</v>
      </c>
      <c r="D2324">
        <v>1.12896</v>
      </c>
      <c r="E2324">
        <v>878765374</v>
      </c>
      <c r="F2324">
        <v>120</v>
      </c>
    </row>
    <row r="2325" spans="1:6" x14ac:dyDescent="0.25">
      <c r="A2325">
        <v>-111.974226</v>
      </c>
      <c r="B2325">
        <v>33.068494000000001</v>
      </c>
      <c r="C2325">
        <v>1.2</v>
      </c>
      <c r="D2325">
        <v>1.0751999999999999</v>
      </c>
      <c r="E2325">
        <v>878765376</v>
      </c>
      <c r="F2325">
        <v>120</v>
      </c>
    </row>
    <row r="2326" spans="1:6" x14ac:dyDescent="0.25">
      <c r="A2326">
        <v>-111.974226</v>
      </c>
      <c r="B2326">
        <v>33.068502000000002</v>
      </c>
      <c r="C2326">
        <v>1.4350000000000001</v>
      </c>
      <c r="D2326">
        <v>1.28576</v>
      </c>
      <c r="E2326">
        <v>878765378</v>
      </c>
      <c r="F2326">
        <v>120</v>
      </c>
    </row>
    <row r="2327" spans="1:6" x14ac:dyDescent="0.25">
      <c r="A2327">
        <v>-111.974226</v>
      </c>
      <c r="B2327">
        <v>33.068510000000003</v>
      </c>
      <c r="C2327">
        <v>0.90500000000000003</v>
      </c>
      <c r="D2327">
        <v>0.81088000000000005</v>
      </c>
      <c r="E2327">
        <v>878765380</v>
      </c>
      <c r="F2327">
        <v>120</v>
      </c>
    </row>
    <row r="2328" spans="1:6" x14ac:dyDescent="0.25">
      <c r="A2328">
        <v>-111.974226</v>
      </c>
      <c r="B2328">
        <v>33.068517999999997</v>
      </c>
      <c r="C2328">
        <v>1.085</v>
      </c>
      <c r="D2328">
        <v>0.97216000000000002</v>
      </c>
      <c r="E2328">
        <v>878765382</v>
      </c>
      <c r="F2328">
        <v>120</v>
      </c>
    </row>
    <row r="2329" spans="1:6" x14ac:dyDescent="0.25">
      <c r="A2329">
        <v>-111.974226</v>
      </c>
      <c r="B2329">
        <v>33.068525999999999</v>
      </c>
      <c r="C2329">
        <v>1.31</v>
      </c>
      <c r="D2329">
        <v>1.1737599999999999</v>
      </c>
      <c r="E2329">
        <v>878765384</v>
      </c>
      <c r="F2329">
        <v>120</v>
      </c>
    </row>
    <row r="2330" spans="1:6" x14ac:dyDescent="0.25">
      <c r="A2330">
        <v>-111.974226</v>
      </c>
      <c r="B2330">
        <v>33.068534</v>
      </c>
      <c r="C2330">
        <v>0.97499999999999998</v>
      </c>
      <c r="D2330">
        <v>0.87360000000000004</v>
      </c>
      <c r="E2330">
        <v>878765386</v>
      </c>
      <c r="F2330">
        <v>120</v>
      </c>
    </row>
    <row r="2331" spans="1:6" x14ac:dyDescent="0.25">
      <c r="A2331">
        <v>-111.974226</v>
      </c>
      <c r="B2331">
        <v>33.068541000000003</v>
      </c>
      <c r="C2331">
        <v>1.42</v>
      </c>
      <c r="D2331">
        <v>1.2723199999999999</v>
      </c>
      <c r="E2331">
        <v>878765388</v>
      </c>
      <c r="F2331">
        <v>120</v>
      </c>
    </row>
    <row r="2332" spans="1:6" x14ac:dyDescent="0.25">
      <c r="A2332">
        <v>-111.974226</v>
      </c>
      <c r="B2332">
        <v>33.068550000000002</v>
      </c>
      <c r="C2332">
        <v>1.4550000000000001</v>
      </c>
      <c r="D2332">
        <v>1.3036799999999999</v>
      </c>
      <c r="E2332">
        <v>878765390</v>
      </c>
      <c r="F2332">
        <v>120</v>
      </c>
    </row>
    <row r="2333" spans="1:6" x14ac:dyDescent="0.25">
      <c r="A2333">
        <v>-111.974226</v>
      </c>
      <c r="B2333">
        <v>33.068556000000001</v>
      </c>
      <c r="C2333">
        <v>1.355</v>
      </c>
      <c r="D2333">
        <v>1.21408</v>
      </c>
      <c r="E2333">
        <v>878765392</v>
      </c>
      <c r="F2333">
        <v>120</v>
      </c>
    </row>
    <row r="2334" spans="1:6" x14ac:dyDescent="0.25">
      <c r="A2334">
        <v>-111.974227</v>
      </c>
      <c r="B2334">
        <v>33.068564000000002</v>
      </c>
      <c r="C2334">
        <v>1.325</v>
      </c>
      <c r="D2334">
        <v>1.1872</v>
      </c>
      <c r="E2334">
        <v>878765394</v>
      </c>
      <c r="F2334">
        <v>120</v>
      </c>
    </row>
    <row r="2335" spans="1:6" x14ac:dyDescent="0.25">
      <c r="A2335">
        <v>-111.974226</v>
      </c>
      <c r="B2335">
        <v>33.068572000000003</v>
      </c>
      <c r="C2335">
        <v>1.46</v>
      </c>
      <c r="D2335">
        <v>1.30816</v>
      </c>
      <c r="E2335">
        <v>878765396</v>
      </c>
      <c r="F2335">
        <v>120</v>
      </c>
    </row>
    <row r="2336" spans="1:6" x14ac:dyDescent="0.25">
      <c r="A2336">
        <v>-111.974226</v>
      </c>
      <c r="B2336">
        <v>33.068579999999997</v>
      </c>
      <c r="C2336">
        <v>1.39</v>
      </c>
      <c r="D2336">
        <v>1.2454400000000001</v>
      </c>
      <c r="E2336">
        <v>878765398</v>
      </c>
      <c r="F2336">
        <v>120</v>
      </c>
    </row>
    <row r="2337" spans="1:6" x14ac:dyDescent="0.25">
      <c r="A2337">
        <v>-111.974226</v>
      </c>
      <c r="B2337">
        <v>33.068587000000001</v>
      </c>
      <c r="C2337">
        <v>1.4550000000000001</v>
      </c>
      <c r="D2337">
        <v>1.3036799999999999</v>
      </c>
      <c r="E2337">
        <v>878765400</v>
      </c>
      <c r="F2337">
        <v>120</v>
      </c>
    </row>
    <row r="2338" spans="1:6" x14ac:dyDescent="0.25">
      <c r="A2338">
        <v>-111.974226</v>
      </c>
      <c r="B2338">
        <v>33.068595000000002</v>
      </c>
      <c r="C2338">
        <v>1.38</v>
      </c>
      <c r="D2338">
        <v>1.23648</v>
      </c>
      <c r="E2338">
        <v>878765402</v>
      </c>
      <c r="F2338">
        <v>120</v>
      </c>
    </row>
    <row r="2339" spans="1:6" x14ac:dyDescent="0.25">
      <c r="A2339">
        <v>-111.974226</v>
      </c>
      <c r="B2339">
        <v>33.068603000000003</v>
      </c>
      <c r="C2339">
        <v>1.52</v>
      </c>
      <c r="D2339">
        <v>1.36192</v>
      </c>
      <c r="E2339">
        <v>878765404</v>
      </c>
      <c r="F2339">
        <v>120</v>
      </c>
    </row>
    <row r="2340" spans="1:6" x14ac:dyDescent="0.25">
      <c r="A2340">
        <v>-111.974226</v>
      </c>
      <c r="B2340">
        <v>33.068609000000002</v>
      </c>
      <c r="C2340">
        <v>8.5000000000000006E-2</v>
      </c>
      <c r="D2340">
        <v>7.6160000000000005E-2</v>
      </c>
      <c r="E2340">
        <v>878765406</v>
      </c>
      <c r="F2340">
        <v>120</v>
      </c>
    </row>
    <row r="2341" spans="1:6" x14ac:dyDescent="0.25">
      <c r="A2341">
        <v>-111.974226</v>
      </c>
      <c r="B2341">
        <v>33.06861</v>
      </c>
      <c r="C2341">
        <v>0.01</v>
      </c>
      <c r="D2341">
        <v>8.9599999999999992E-3</v>
      </c>
      <c r="E2341">
        <v>878765416</v>
      </c>
      <c r="F2341">
        <v>120</v>
      </c>
    </row>
    <row r="2342" spans="1:6" x14ac:dyDescent="0.25">
      <c r="A2342">
        <v>-111.974227</v>
      </c>
      <c r="B2342">
        <v>33.068615999999999</v>
      </c>
      <c r="C2342">
        <v>5.0000000000000001E-3</v>
      </c>
      <c r="D2342">
        <v>4.4799999999999996E-3</v>
      </c>
      <c r="E2342">
        <v>878765418</v>
      </c>
      <c r="F2342">
        <v>120</v>
      </c>
    </row>
    <row r="2343" spans="1:6" x14ac:dyDescent="0.25">
      <c r="A2343">
        <v>-111.97422899999999</v>
      </c>
      <c r="B2343">
        <v>33.068621999999998</v>
      </c>
      <c r="C2343">
        <v>0.08</v>
      </c>
      <c r="D2343">
        <v>7.1679999999999994E-2</v>
      </c>
      <c r="E2343">
        <v>878765420</v>
      </c>
      <c r="F2343">
        <v>120</v>
      </c>
    </row>
    <row r="2344" spans="1:6" x14ac:dyDescent="0.25">
      <c r="A2344">
        <v>-111.974227</v>
      </c>
      <c r="B2344">
        <v>33.068629999999999</v>
      </c>
      <c r="C2344">
        <v>0.47</v>
      </c>
      <c r="D2344">
        <v>0.42111999999999999</v>
      </c>
      <c r="E2344">
        <v>878765422</v>
      </c>
      <c r="F2344">
        <v>120</v>
      </c>
    </row>
    <row r="2345" spans="1:6" x14ac:dyDescent="0.25">
      <c r="A2345">
        <v>-111.974227</v>
      </c>
      <c r="B2345">
        <v>33.068637000000003</v>
      </c>
      <c r="C2345">
        <v>1.25</v>
      </c>
      <c r="D2345">
        <v>1.1200000000000001</v>
      </c>
      <c r="E2345">
        <v>878765424</v>
      </c>
      <c r="F2345">
        <v>120</v>
      </c>
    </row>
    <row r="2346" spans="1:6" x14ac:dyDescent="0.25">
      <c r="A2346">
        <v>-111.974226</v>
      </c>
      <c r="B2346">
        <v>33.068644999999997</v>
      </c>
      <c r="C2346">
        <v>1.68</v>
      </c>
      <c r="D2346">
        <v>1.50528</v>
      </c>
      <c r="E2346">
        <v>878765426</v>
      </c>
      <c r="F2346">
        <v>120</v>
      </c>
    </row>
    <row r="2347" spans="1:6" x14ac:dyDescent="0.25">
      <c r="A2347">
        <v>-111.974225</v>
      </c>
      <c r="B2347">
        <v>33.068652999999998</v>
      </c>
      <c r="C2347">
        <v>1.345</v>
      </c>
      <c r="D2347">
        <v>1.20512</v>
      </c>
      <c r="E2347">
        <v>878765428</v>
      </c>
      <c r="F2347">
        <v>120</v>
      </c>
    </row>
    <row r="2348" spans="1:6" x14ac:dyDescent="0.25">
      <c r="A2348">
        <v>-111.974226</v>
      </c>
      <c r="B2348">
        <v>33.068660999999999</v>
      </c>
      <c r="C2348">
        <v>1.075</v>
      </c>
      <c r="D2348">
        <v>0.96319999999999995</v>
      </c>
      <c r="E2348">
        <v>878765430</v>
      </c>
      <c r="F2348">
        <v>120</v>
      </c>
    </row>
    <row r="2349" spans="1:6" x14ac:dyDescent="0.25">
      <c r="A2349">
        <v>-111.974226</v>
      </c>
      <c r="B2349">
        <v>33.068669999999997</v>
      </c>
      <c r="C2349">
        <v>1.155</v>
      </c>
      <c r="D2349">
        <v>1.03488</v>
      </c>
      <c r="E2349">
        <v>878765432</v>
      </c>
      <c r="F2349">
        <v>120</v>
      </c>
    </row>
    <row r="2350" spans="1:6" x14ac:dyDescent="0.25">
      <c r="A2350">
        <v>-111.974226</v>
      </c>
      <c r="B2350">
        <v>33.068677000000001</v>
      </c>
      <c r="C2350">
        <v>1.145</v>
      </c>
      <c r="D2350">
        <v>1.0259199999999999</v>
      </c>
      <c r="E2350">
        <v>878765434</v>
      </c>
      <c r="F2350">
        <v>120</v>
      </c>
    </row>
    <row r="2351" spans="1:6" x14ac:dyDescent="0.25">
      <c r="A2351">
        <v>-111.974225</v>
      </c>
      <c r="B2351">
        <v>33.068685000000002</v>
      </c>
      <c r="C2351">
        <v>0.86</v>
      </c>
      <c r="D2351">
        <v>0.77056000000000002</v>
      </c>
      <c r="E2351">
        <v>878765436</v>
      </c>
      <c r="F2351">
        <v>120</v>
      </c>
    </row>
    <row r="2352" spans="1:6" x14ac:dyDescent="0.25">
      <c r="A2352">
        <v>-111.974225</v>
      </c>
      <c r="B2352">
        <v>33.068691999999999</v>
      </c>
      <c r="C2352">
        <v>1.0449999999999999</v>
      </c>
      <c r="D2352">
        <v>0.93632000000000004</v>
      </c>
      <c r="E2352">
        <v>878765438</v>
      </c>
      <c r="F2352">
        <v>120</v>
      </c>
    </row>
    <row r="2353" spans="1:6" x14ac:dyDescent="0.25">
      <c r="A2353">
        <v>-111.974225</v>
      </c>
      <c r="B2353">
        <v>33.0687</v>
      </c>
      <c r="C2353">
        <v>0.86</v>
      </c>
      <c r="D2353">
        <v>0.77056000000000002</v>
      </c>
      <c r="E2353">
        <v>878765440</v>
      </c>
      <c r="F2353">
        <v>120</v>
      </c>
    </row>
    <row r="2354" spans="1:6" x14ac:dyDescent="0.25">
      <c r="A2354">
        <v>-111.974226</v>
      </c>
      <c r="B2354">
        <v>33.068708000000001</v>
      </c>
      <c r="C2354">
        <v>1.1000000000000001</v>
      </c>
      <c r="D2354">
        <v>0.98560000000000003</v>
      </c>
      <c r="E2354">
        <v>878765442</v>
      </c>
      <c r="F2354">
        <v>120</v>
      </c>
    </row>
    <row r="2355" spans="1:6" x14ac:dyDescent="0.25">
      <c r="A2355">
        <v>-111.974225</v>
      </c>
      <c r="B2355">
        <v>33.068716000000002</v>
      </c>
      <c r="C2355">
        <v>1.1000000000000001</v>
      </c>
      <c r="D2355">
        <v>0.98560000000000003</v>
      </c>
      <c r="E2355">
        <v>878765444</v>
      </c>
      <c r="F2355">
        <v>120</v>
      </c>
    </row>
    <row r="2356" spans="1:6" x14ac:dyDescent="0.25">
      <c r="A2356">
        <v>-111.974226</v>
      </c>
      <c r="B2356">
        <v>33.068724000000003</v>
      </c>
      <c r="C2356">
        <v>1.1599999999999999</v>
      </c>
      <c r="D2356">
        <v>1.0393600000000001</v>
      </c>
      <c r="E2356">
        <v>878765446</v>
      </c>
      <c r="F2356">
        <v>120</v>
      </c>
    </row>
    <row r="2357" spans="1:6" x14ac:dyDescent="0.25">
      <c r="A2357">
        <v>-111.974226</v>
      </c>
      <c r="B2357">
        <v>33.068731</v>
      </c>
      <c r="C2357">
        <v>1.23</v>
      </c>
      <c r="D2357">
        <v>1.1020799999999999</v>
      </c>
      <c r="E2357">
        <v>878765448</v>
      </c>
      <c r="F2357">
        <v>120</v>
      </c>
    </row>
    <row r="2358" spans="1:6" x14ac:dyDescent="0.25">
      <c r="A2358">
        <v>-111.974225</v>
      </c>
      <c r="B2358">
        <v>33.068739000000001</v>
      </c>
      <c r="C2358">
        <v>1.37</v>
      </c>
      <c r="D2358">
        <v>1.2275199999999999</v>
      </c>
      <c r="E2358">
        <v>878765450</v>
      </c>
      <c r="F2358">
        <v>120</v>
      </c>
    </row>
    <row r="2359" spans="1:6" x14ac:dyDescent="0.25">
      <c r="A2359">
        <v>-111.974225</v>
      </c>
      <c r="B2359">
        <v>33.068747000000002</v>
      </c>
      <c r="C2359">
        <v>1.2150000000000001</v>
      </c>
      <c r="D2359">
        <v>1.0886400000000001</v>
      </c>
      <c r="E2359">
        <v>878765452</v>
      </c>
      <c r="F2359">
        <v>120</v>
      </c>
    </row>
    <row r="2360" spans="1:6" x14ac:dyDescent="0.25">
      <c r="A2360">
        <v>-111.974226</v>
      </c>
      <c r="B2360">
        <v>33.068756</v>
      </c>
      <c r="C2360">
        <v>1.155</v>
      </c>
      <c r="D2360">
        <v>1.03488</v>
      </c>
      <c r="E2360">
        <v>878765454</v>
      </c>
      <c r="F2360">
        <v>120</v>
      </c>
    </row>
    <row r="2361" spans="1:6" x14ac:dyDescent="0.25">
      <c r="A2361">
        <v>-111.974226</v>
      </c>
      <c r="B2361">
        <v>33.068764000000002</v>
      </c>
      <c r="C2361">
        <v>1.105</v>
      </c>
      <c r="D2361">
        <v>0.99007999999999996</v>
      </c>
      <c r="E2361">
        <v>878765456</v>
      </c>
      <c r="F2361">
        <v>120</v>
      </c>
    </row>
    <row r="2362" spans="1:6" x14ac:dyDescent="0.25">
      <c r="A2362">
        <v>-111.974226</v>
      </c>
      <c r="B2362">
        <v>33.068770999999998</v>
      </c>
      <c r="C2362">
        <v>0.98499999999999999</v>
      </c>
      <c r="D2362">
        <v>0.88256000000000001</v>
      </c>
      <c r="E2362">
        <v>878765458</v>
      </c>
      <c r="F2362">
        <v>120</v>
      </c>
    </row>
    <row r="2363" spans="1:6" x14ac:dyDescent="0.25">
      <c r="A2363">
        <v>-111.974226</v>
      </c>
      <c r="B2363">
        <v>33.068779999999997</v>
      </c>
      <c r="C2363">
        <v>1.03</v>
      </c>
      <c r="D2363">
        <v>0.92288000000000003</v>
      </c>
      <c r="E2363">
        <v>878765460</v>
      </c>
      <c r="F2363">
        <v>120</v>
      </c>
    </row>
    <row r="2364" spans="1:6" x14ac:dyDescent="0.25">
      <c r="A2364">
        <v>-111.974225</v>
      </c>
      <c r="B2364">
        <v>33.068787999999998</v>
      </c>
      <c r="C2364">
        <v>0.02</v>
      </c>
      <c r="D2364">
        <v>1.7919999999999998E-2</v>
      </c>
      <c r="E2364">
        <v>878765462</v>
      </c>
      <c r="F2364">
        <v>120</v>
      </c>
    </row>
    <row r="2365" spans="1:6" x14ac:dyDescent="0.25">
      <c r="A2365">
        <v>-111.974228</v>
      </c>
      <c r="B2365">
        <v>33.068795999999999</v>
      </c>
      <c r="C2365">
        <v>5.0000000000000001E-3</v>
      </c>
      <c r="D2365">
        <v>4.4799999999999996E-3</v>
      </c>
      <c r="E2365">
        <v>878765464</v>
      </c>
      <c r="F2365">
        <v>120</v>
      </c>
    </row>
    <row r="2366" spans="1:6" x14ac:dyDescent="0.25">
      <c r="A2366">
        <v>-111.974226</v>
      </c>
      <c r="B2366">
        <v>33.068812000000001</v>
      </c>
      <c r="C2366">
        <v>0.01</v>
      </c>
      <c r="D2366">
        <v>8.9599999999999992E-3</v>
      </c>
      <c r="E2366">
        <v>878765468</v>
      </c>
      <c r="F2366">
        <v>120</v>
      </c>
    </row>
    <row r="2367" spans="1:6" x14ac:dyDescent="0.25">
      <c r="A2367">
        <v>-111.974227</v>
      </c>
      <c r="B2367">
        <v>33.068860000000001</v>
      </c>
      <c r="C2367">
        <v>5.5E-2</v>
      </c>
      <c r="D2367">
        <v>4.9279999999999997E-2</v>
      </c>
      <c r="E2367">
        <v>878765480</v>
      </c>
      <c r="F2367">
        <v>120</v>
      </c>
    </row>
    <row r="2368" spans="1:6" x14ac:dyDescent="0.25">
      <c r="A2368">
        <v>-111.974227</v>
      </c>
      <c r="B2368">
        <v>33.068868999999999</v>
      </c>
      <c r="C2368">
        <v>1.4999999999999999E-2</v>
      </c>
      <c r="D2368">
        <v>1.3440000000000001E-2</v>
      </c>
      <c r="E2368">
        <v>878765482</v>
      </c>
      <c r="F2368">
        <v>120</v>
      </c>
    </row>
    <row r="2369" spans="1:6" x14ac:dyDescent="0.25">
      <c r="A2369">
        <v>-111.974227</v>
      </c>
      <c r="B2369">
        <v>33.068876000000003</v>
      </c>
      <c r="C2369">
        <v>0.82499999999999996</v>
      </c>
      <c r="D2369">
        <v>0.73919999999999997</v>
      </c>
      <c r="E2369">
        <v>878765484</v>
      </c>
      <c r="F2369">
        <v>120</v>
      </c>
    </row>
    <row r="2370" spans="1:6" x14ac:dyDescent="0.25">
      <c r="A2370">
        <v>-111.974227</v>
      </c>
      <c r="B2370">
        <v>33.068883</v>
      </c>
      <c r="C2370">
        <v>1.415</v>
      </c>
      <c r="D2370">
        <v>1.2678400000000001</v>
      </c>
      <c r="E2370">
        <v>878765486</v>
      </c>
      <c r="F2370">
        <v>120</v>
      </c>
    </row>
    <row r="2371" spans="1:6" x14ac:dyDescent="0.25">
      <c r="A2371">
        <v>-111.974226</v>
      </c>
      <c r="B2371">
        <v>33.068891000000001</v>
      </c>
      <c r="C2371">
        <v>1.1000000000000001</v>
      </c>
      <c r="D2371">
        <v>0.98560000000000003</v>
      </c>
      <c r="E2371">
        <v>878765488</v>
      </c>
      <c r="F2371">
        <v>120</v>
      </c>
    </row>
    <row r="2372" spans="1:6" x14ac:dyDescent="0.25">
      <c r="A2372">
        <v>-111.974225</v>
      </c>
      <c r="B2372">
        <v>33.068897999999997</v>
      </c>
      <c r="C2372">
        <v>1.0149999999999999</v>
      </c>
      <c r="D2372">
        <v>0.90944000000000003</v>
      </c>
      <c r="E2372">
        <v>878765490</v>
      </c>
      <c r="F2372">
        <v>120</v>
      </c>
    </row>
    <row r="2373" spans="1:6" x14ac:dyDescent="0.25">
      <c r="A2373">
        <v>-111.974225</v>
      </c>
      <c r="B2373">
        <v>33.068905999999998</v>
      </c>
      <c r="C2373">
        <v>1.1000000000000001</v>
      </c>
      <c r="D2373">
        <v>0.98560000000000003</v>
      </c>
      <c r="E2373">
        <v>878765492</v>
      </c>
      <c r="F2373">
        <v>120</v>
      </c>
    </row>
    <row r="2374" spans="1:6" x14ac:dyDescent="0.25">
      <c r="A2374">
        <v>-111.974226</v>
      </c>
      <c r="B2374">
        <v>33.068913999999999</v>
      </c>
      <c r="C2374">
        <v>0.84499999999999997</v>
      </c>
      <c r="D2374">
        <v>0.75712000000000002</v>
      </c>
      <c r="E2374">
        <v>878765494</v>
      </c>
      <c r="F2374">
        <v>120</v>
      </c>
    </row>
    <row r="2375" spans="1:6" x14ac:dyDescent="0.25">
      <c r="A2375">
        <v>-111.974226</v>
      </c>
      <c r="B2375">
        <v>33.068921000000003</v>
      </c>
      <c r="C2375">
        <v>1.0449999999999999</v>
      </c>
      <c r="D2375">
        <v>0.93632000000000004</v>
      </c>
      <c r="E2375">
        <v>878765496</v>
      </c>
      <c r="F2375">
        <v>120</v>
      </c>
    </row>
    <row r="2376" spans="1:6" x14ac:dyDescent="0.25">
      <c r="A2376">
        <v>-111.974226</v>
      </c>
      <c r="B2376">
        <v>33.068930000000002</v>
      </c>
      <c r="C2376">
        <v>0.67</v>
      </c>
      <c r="D2376">
        <v>0.60031999999999996</v>
      </c>
      <c r="E2376">
        <v>878765498</v>
      </c>
      <c r="F2376">
        <v>120</v>
      </c>
    </row>
    <row r="2377" spans="1:6" x14ac:dyDescent="0.25">
      <c r="A2377">
        <v>-111.974225</v>
      </c>
      <c r="B2377">
        <v>33.068936000000001</v>
      </c>
      <c r="C2377">
        <v>0.88</v>
      </c>
      <c r="D2377">
        <v>0.78847999999999996</v>
      </c>
      <c r="E2377">
        <v>878765500</v>
      </c>
      <c r="F2377">
        <v>120</v>
      </c>
    </row>
    <row r="2378" spans="1:6" x14ac:dyDescent="0.25">
      <c r="A2378">
        <v>-111.974226</v>
      </c>
      <c r="B2378">
        <v>33.068944999999999</v>
      </c>
      <c r="C2378">
        <v>0.81</v>
      </c>
      <c r="D2378">
        <v>0.72575999999999996</v>
      </c>
      <c r="E2378">
        <v>878765502</v>
      </c>
      <c r="F2378">
        <v>120</v>
      </c>
    </row>
    <row r="2379" spans="1:6" x14ac:dyDescent="0.25">
      <c r="A2379">
        <v>-111.974225</v>
      </c>
      <c r="B2379">
        <v>33.068952000000003</v>
      </c>
      <c r="C2379">
        <v>0.88500000000000001</v>
      </c>
      <c r="D2379">
        <v>0.79296</v>
      </c>
      <c r="E2379">
        <v>878765504</v>
      </c>
      <c r="F2379">
        <v>120</v>
      </c>
    </row>
    <row r="2380" spans="1:6" x14ac:dyDescent="0.25">
      <c r="A2380">
        <v>-111.974225</v>
      </c>
      <c r="B2380">
        <v>33.068959999999997</v>
      </c>
      <c r="C2380">
        <v>0.92500000000000004</v>
      </c>
      <c r="D2380">
        <v>0.82879999999999998</v>
      </c>
      <c r="E2380">
        <v>878765506</v>
      </c>
      <c r="F2380">
        <v>120</v>
      </c>
    </row>
    <row r="2381" spans="1:6" x14ac:dyDescent="0.25">
      <c r="A2381">
        <v>-111.974225</v>
      </c>
      <c r="B2381">
        <v>33.068967999999998</v>
      </c>
      <c r="C2381">
        <v>0.85499999999999998</v>
      </c>
      <c r="D2381">
        <v>0.76607999999999998</v>
      </c>
      <c r="E2381">
        <v>878765508</v>
      </c>
      <c r="F2381">
        <v>120</v>
      </c>
    </row>
    <row r="2382" spans="1:6" x14ac:dyDescent="0.25">
      <c r="A2382">
        <v>-111.974226</v>
      </c>
      <c r="B2382">
        <v>33.068975999999999</v>
      </c>
      <c r="C2382">
        <v>0.875</v>
      </c>
      <c r="D2382">
        <v>0.78400000000000003</v>
      </c>
      <c r="E2382">
        <v>878765510</v>
      </c>
      <c r="F2382">
        <v>120</v>
      </c>
    </row>
    <row r="2383" spans="1:6" x14ac:dyDescent="0.25">
      <c r="A2383">
        <v>-111.974226</v>
      </c>
      <c r="B2383">
        <v>33.068984</v>
      </c>
      <c r="C2383">
        <v>1.1000000000000001</v>
      </c>
      <c r="D2383">
        <v>0.98560000000000003</v>
      </c>
      <c r="E2383">
        <v>878765512</v>
      </c>
      <c r="F2383">
        <v>120</v>
      </c>
    </row>
    <row r="2384" spans="1:6" x14ac:dyDescent="0.25">
      <c r="A2384">
        <v>-111.974225</v>
      </c>
      <c r="B2384">
        <v>33.068990999999997</v>
      </c>
      <c r="C2384">
        <v>1.105</v>
      </c>
      <c r="D2384">
        <v>0.99007999999999996</v>
      </c>
      <c r="E2384">
        <v>878765514</v>
      </c>
      <c r="F2384">
        <v>120</v>
      </c>
    </row>
    <row r="2385" spans="1:6" x14ac:dyDescent="0.25">
      <c r="A2385">
        <v>-111.974225</v>
      </c>
      <c r="B2385">
        <v>33.068998000000001</v>
      </c>
      <c r="C2385">
        <v>0.89500000000000002</v>
      </c>
      <c r="D2385">
        <v>0.80191999999999997</v>
      </c>
      <c r="E2385">
        <v>878765516</v>
      </c>
      <c r="F2385">
        <v>120</v>
      </c>
    </row>
    <row r="2386" spans="1:6" x14ac:dyDescent="0.25">
      <c r="A2386">
        <v>-111.97422400000001</v>
      </c>
      <c r="B2386">
        <v>33.069004999999997</v>
      </c>
      <c r="C2386">
        <v>0.98499999999999999</v>
      </c>
      <c r="D2386">
        <v>0.88256000000000001</v>
      </c>
      <c r="E2386">
        <v>878765518</v>
      </c>
      <c r="F2386">
        <v>120</v>
      </c>
    </row>
    <row r="2387" spans="1:6" x14ac:dyDescent="0.25">
      <c r="A2387">
        <v>-111.97422400000001</v>
      </c>
      <c r="B2387">
        <v>33.069011000000003</v>
      </c>
      <c r="C2387">
        <v>0.86499999999999999</v>
      </c>
      <c r="D2387">
        <v>0.77503999999999995</v>
      </c>
      <c r="E2387">
        <v>878765520</v>
      </c>
      <c r="F2387">
        <v>120</v>
      </c>
    </row>
    <row r="2388" spans="1:6" x14ac:dyDescent="0.25">
      <c r="A2388">
        <v>-111.974225</v>
      </c>
      <c r="B2388">
        <v>33.069018999999997</v>
      </c>
      <c r="C2388">
        <v>1.135</v>
      </c>
      <c r="D2388">
        <v>1.0169600000000001</v>
      </c>
      <c r="E2388">
        <v>878765522</v>
      </c>
      <c r="F2388">
        <v>120</v>
      </c>
    </row>
    <row r="2389" spans="1:6" x14ac:dyDescent="0.25">
      <c r="A2389">
        <v>-111.974225</v>
      </c>
      <c r="B2389">
        <v>33.069026999999998</v>
      </c>
      <c r="C2389">
        <v>0.33</v>
      </c>
      <c r="D2389">
        <v>0.29568</v>
      </c>
      <c r="E2389">
        <v>878765524</v>
      </c>
      <c r="F2389">
        <v>120</v>
      </c>
    </row>
    <row r="2390" spans="1:6" x14ac:dyDescent="0.25">
      <c r="A2390">
        <v>-111.974226</v>
      </c>
      <c r="B2390">
        <v>33.069032999999997</v>
      </c>
      <c r="C2390">
        <v>2.5000000000000001E-2</v>
      </c>
      <c r="D2390">
        <v>2.24E-2</v>
      </c>
      <c r="E2390">
        <v>878765526</v>
      </c>
      <c r="F2390">
        <v>120</v>
      </c>
    </row>
    <row r="2391" spans="1:6" x14ac:dyDescent="0.25">
      <c r="A2391">
        <v>-111.974295</v>
      </c>
      <c r="B2391">
        <v>33.069074999999998</v>
      </c>
      <c r="C2391">
        <v>5.0000000000000001E-3</v>
      </c>
      <c r="D2391">
        <v>4.4799999999999996E-3</v>
      </c>
      <c r="E2391">
        <v>878765554</v>
      </c>
      <c r="F2391">
        <v>120</v>
      </c>
    </row>
    <row r="2392" spans="1:6" x14ac:dyDescent="0.25">
      <c r="A2392">
        <v>-111.97430900000001</v>
      </c>
      <c r="B2392">
        <v>33.069020000000002</v>
      </c>
      <c r="C2392">
        <v>0.01</v>
      </c>
      <c r="D2392">
        <v>8.9599999999999992E-3</v>
      </c>
      <c r="E2392">
        <v>878765568</v>
      </c>
      <c r="F2392">
        <v>120</v>
      </c>
    </row>
    <row r="2393" spans="1:6" x14ac:dyDescent="0.25">
      <c r="A2393">
        <v>-111.97431</v>
      </c>
      <c r="B2393">
        <v>33.069012999999998</v>
      </c>
      <c r="C2393">
        <v>4.4999999999999998E-2</v>
      </c>
      <c r="D2393">
        <v>4.0320000000000002E-2</v>
      </c>
      <c r="E2393">
        <v>878765570</v>
      </c>
      <c r="F2393">
        <v>120</v>
      </c>
    </row>
    <row r="2394" spans="1:6" x14ac:dyDescent="0.25">
      <c r="A2394">
        <v>-111.97430900000001</v>
      </c>
      <c r="B2394">
        <v>33.069004999999997</v>
      </c>
      <c r="C2394">
        <v>0.99</v>
      </c>
      <c r="D2394">
        <v>0.88704000000000005</v>
      </c>
      <c r="E2394">
        <v>878765572</v>
      </c>
      <c r="F2394">
        <v>120</v>
      </c>
    </row>
    <row r="2395" spans="1:6" x14ac:dyDescent="0.25">
      <c r="A2395">
        <v>-111.97431</v>
      </c>
      <c r="B2395">
        <v>33.068997000000003</v>
      </c>
      <c r="C2395">
        <v>1.415</v>
      </c>
      <c r="D2395">
        <v>1.2678400000000001</v>
      </c>
      <c r="E2395">
        <v>878765574</v>
      </c>
      <c r="F2395">
        <v>120</v>
      </c>
    </row>
    <row r="2396" spans="1:6" x14ac:dyDescent="0.25">
      <c r="A2396">
        <v>-111.974311</v>
      </c>
      <c r="B2396">
        <v>33.068989999999999</v>
      </c>
      <c r="C2396">
        <v>1.155</v>
      </c>
      <c r="D2396">
        <v>1.03488</v>
      </c>
      <c r="E2396">
        <v>878765576</v>
      </c>
      <c r="F2396">
        <v>120</v>
      </c>
    </row>
    <row r="2397" spans="1:6" x14ac:dyDescent="0.25">
      <c r="A2397">
        <v>-111.974311</v>
      </c>
      <c r="B2397">
        <v>33.068981999999998</v>
      </c>
      <c r="C2397">
        <v>1.56</v>
      </c>
      <c r="D2397">
        <v>1.3977599999999999</v>
      </c>
      <c r="E2397">
        <v>878765578</v>
      </c>
      <c r="F2397">
        <v>120</v>
      </c>
    </row>
    <row r="2398" spans="1:6" x14ac:dyDescent="0.25">
      <c r="A2398">
        <v>-111.974311</v>
      </c>
      <c r="B2398">
        <v>33.068975000000002</v>
      </c>
      <c r="C2398">
        <v>1.335</v>
      </c>
      <c r="D2398">
        <v>1.1961599999999999</v>
      </c>
      <c r="E2398">
        <v>878765580</v>
      </c>
      <c r="F2398">
        <v>120</v>
      </c>
    </row>
    <row r="2399" spans="1:6" x14ac:dyDescent="0.25">
      <c r="A2399">
        <v>-111.974311</v>
      </c>
      <c r="B2399">
        <v>33.068967000000001</v>
      </c>
      <c r="C2399">
        <v>1.4750000000000001</v>
      </c>
      <c r="D2399">
        <v>1.3216000000000001</v>
      </c>
      <c r="E2399">
        <v>878765582</v>
      </c>
      <c r="F2399">
        <v>120</v>
      </c>
    </row>
    <row r="2400" spans="1:6" x14ac:dyDescent="0.25">
      <c r="A2400">
        <v>-111.97431</v>
      </c>
      <c r="B2400">
        <v>33.068961000000002</v>
      </c>
      <c r="C2400">
        <v>1.45</v>
      </c>
      <c r="D2400">
        <v>1.2991999999999999</v>
      </c>
      <c r="E2400">
        <v>878765584</v>
      </c>
      <c r="F2400">
        <v>120</v>
      </c>
    </row>
    <row r="2401" spans="1:6" x14ac:dyDescent="0.25">
      <c r="A2401">
        <v>-111.97431</v>
      </c>
      <c r="B2401">
        <v>33.068953</v>
      </c>
      <c r="C2401">
        <v>1.575</v>
      </c>
      <c r="D2401">
        <v>1.4112</v>
      </c>
      <c r="E2401">
        <v>878765586</v>
      </c>
      <c r="F2401">
        <v>120</v>
      </c>
    </row>
    <row r="2402" spans="1:6" x14ac:dyDescent="0.25">
      <c r="A2402">
        <v>-111.97431</v>
      </c>
      <c r="B2402">
        <v>33.068944999999999</v>
      </c>
      <c r="C2402">
        <v>1.145</v>
      </c>
      <c r="D2402">
        <v>1.0259199999999999</v>
      </c>
      <c r="E2402">
        <v>878765588</v>
      </c>
      <c r="F2402">
        <v>120</v>
      </c>
    </row>
    <row r="2403" spans="1:6" x14ac:dyDescent="0.25">
      <c r="A2403">
        <v>-111.974311</v>
      </c>
      <c r="B2403">
        <v>33.068938000000003</v>
      </c>
      <c r="C2403">
        <v>0.78500000000000003</v>
      </c>
      <c r="D2403">
        <v>0.70335999999999999</v>
      </c>
      <c r="E2403">
        <v>878765590</v>
      </c>
      <c r="F2403">
        <v>120</v>
      </c>
    </row>
    <row r="2404" spans="1:6" x14ac:dyDescent="0.25">
      <c r="A2404">
        <v>-111.974311</v>
      </c>
      <c r="B2404">
        <v>33.068930999999999</v>
      </c>
      <c r="C2404">
        <v>0.61499999999999999</v>
      </c>
      <c r="D2404">
        <v>0.55103999999999997</v>
      </c>
      <c r="E2404">
        <v>878765592</v>
      </c>
      <c r="F2404">
        <v>120</v>
      </c>
    </row>
    <row r="2405" spans="1:6" x14ac:dyDescent="0.25">
      <c r="A2405">
        <v>-111.974311</v>
      </c>
      <c r="B2405">
        <v>33.068922999999998</v>
      </c>
      <c r="C2405">
        <v>0.72</v>
      </c>
      <c r="D2405">
        <v>0.64512000000000003</v>
      </c>
      <c r="E2405">
        <v>878765594</v>
      </c>
      <c r="F2405">
        <v>120</v>
      </c>
    </row>
    <row r="2406" spans="1:6" x14ac:dyDescent="0.25">
      <c r="A2406">
        <v>-111.974311</v>
      </c>
      <c r="B2406">
        <v>33.068916000000002</v>
      </c>
      <c r="C2406">
        <v>1.0649999999999999</v>
      </c>
      <c r="D2406">
        <v>0.95423999999999998</v>
      </c>
      <c r="E2406">
        <v>878765596</v>
      </c>
      <c r="F2406">
        <v>120</v>
      </c>
    </row>
    <row r="2407" spans="1:6" x14ac:dyDescent="0.25">
      <c r="A2407">
        <v>-111.97431</v>
      </c>
      <c r="B2407">
        <v>33.068908</v>
      </c>
      <c r="C2407">
        <v>1.17</v>
      </c>
      <c r="D2407">
        <v>1.0483199999999999</v>
      </c>
      <c r="E2407">
        <v>878765598</v>
      </c>
      <c r="F2407">
        <v>120</v>
      </c>
    </row>
    <row r="2408" spans="1:6" x14ac:dyDescent="0.25">
      <c r="A2408">
        <v>-111.974311</v>
      </c>
      <c r="B2408">
        <v>33.068899999999999</v>
      </c>
      <c r="C2408">
        <v>1.175</v>
      </c>
      <c r="D2408">
        <v>1.0528</v>
      </c>
      <c r="E2408">
        <v>878765600</v>
      </c>
      <c r="F2408">
        <v>120</v>
      </c>
    </row>
    <row r="2409" spans="1:6" x14ac:dyDescent="0.25">
      <c r="A2409">
        <v>-111.974311</v>
      </c>
      <c r="B2409">
        <v>33.068893000000003</v>
      </c>
      <c r="C2409">
        <v>1.5549999999999999</v>
      </c>
      <c r="D2409">
        <v>1.3932800000000001</v>
      </c>
      <c r="E2409">
        <v>878765602</v>
      </c>
      <c r="F2409">
        <v>120</v>
      </c>
    </row>
    <row r="2410" spans="1:6" x14ac:dyDescent="0.25">
      <c r="A2410">
        <v>-111.974311</v>
      </c>
      <c r="B2410">
        <v>33.068885000000002</v>
      </c>
      <c r="C2410">
        <v>1.34</v>
      </c>
      <c r="D2410">
        <v>1.2006399999999999</v>
      </c>
      <c r="E2410">
        <v>878765604</v>
      </c>
      <c r="F2410">
        <v>120</v>
      </c>
    </row>
    <row r="2411" spans="1:6" x14ac:dyDescent="0.25">
      <c r="A2411">
        <v>-111.97431</v>
      </c>
      <c r="B2411">
        <v>33.068877999999998</v>
      </c>
      <c r="C2411">
        <v>1.4550000000000001</v>
      </c>
      <c r="D2411">
        <v>1.3036799999999999</v>
      </c>
      <c r="E2411">
        <v>878765606</v>
      </c>
      <c r="F2411">
        <v>120</v>
      </c>
    </row>
    <row r="2412" spans="1:6" x14ac:dyDescent="0.25">
      <c r="A2412">
        <v>-111.974311</v>
      </c>
      <c r="B2412">
        <v>33.068869999999997</v>
      </c>
      <c r="C2412">
        <v>1.68</v>
      </c>
      <c r="D2412">
        <v>1.50528</v>
      </c>
      <c r="E2412">
        <v>878765608</v>
      </c>
      <c r="F2412">
        <v>120</v>
      </c>
    </row>
    <row r="2413" spans="1:6" x14ac:dyDescent="0.25">
      <c r="A2413">
        <v>-111.974311</v>
      </c>
      <c r="B2413">
        <v>33.068862000000003</v>
      </c>
      <c r="C2413">
        <v>1.5249999999999999</v>
      </c>
      <c r="D2413">
        <v>1.3664000000000001</v>
      </c>
      <c r="E2413">
        <v>878765610</v>
      </c>
      <c r="F2413">
        <v>120</v>
      </c>
    </row>
    <row r="2414" spans="1:6" x14ac:dyDescent="0.25">
      <c r="A2414">
        <v>-111.97431</v>
      </c>
      <c r="B2414">
        <v>33.068854999999999</v>
      </c>
      <c r="C2414">
        <v>2.17</v>
      </c>
      <c r="D2414">
        <v>1.94432</v>
      </c>
      <c r="E2414">
        <v>878765612</v>
      </c>
      <c r="F2414">
        <v>120</v>
      </c>
    </row>
    <row r="2415" spans="1:6" x14ac:dyDescent="0.25">
      <c r="A2415">
        <v>-111.974311</v>
      </c>
      <c r="B2415">
        <v>33.068848000000003</v>
      </c>
      <c r="C2415">
        <v>0.215</v>
      </c>
      <c r="D2415">
        <v>0.19264000000000001</v>
      </c>
      <c r="E2415">
        <v>878765614</v>
      </c>
      <c r="F2415">
        <v>120</v>
      </c>
    </row>
    <row r="2416" spans="1:6" x14ac:dyDescent="0.25">
      <c r="A2416">
        <v>-111.97431</v>
      </c>
      <c r="B2416">
        <v>33.068840999999999</v>
      </c>
      <c r="C2416">
        <v>1.4999999999999999E-2</v>
      </c>
      <c r="D2416">
        <v>1.3440000000000001E-2</v>
      </c>
      <c r="E2416">
        <v>878765616</v>
      </c>
      <c r="F2416">
        <v>120</v>
      </c>
    </row>
    <row r="2417" spans="1:6" x14ac:dyDescent="0.25">
      <c r="A2417">
        <v>-111.97431</v>
      </c>
      <c r="B2417">
        <v>33.068834000000003</v>
      </c>
      <c r="C2417">
        <v>0.01</v>
      </c>
      <c r="D2417">
        <v>8.9599999999999992E-3</v>
      </c>
      <c r="E2417">
        <v>878765618</v>
      </c>
      <c r="F2417">
        <v>120</v>
      </c>
    </row>
    <row r="2418" spans="1:6" x14ac:dyDescent="0.25">
      <c r="A2418">
        <v>-111.97430900000001</v>
      </c>
      <c r="B2418">
        <v>33.068818</v>
      </c>
      <c r="C2418">
        <v>5.0000000000000001E-3</v>
      </c>
      <c r="D2418">
        <v>4.4799999999999996E-3</v>
      </c>
      <c r="E2418">
        <v>878765622</v>
      </c>
      <c r="F2418">
        <v>120</v>
      </c>
    </row>
    <row r="2419" spans="1:6" x14ac:dyDescent="0.25">
      <c r="A2419">
        <v>-111.97430799999999</v>
      </c>
      <c r="B2419">
        <v>33.068809000000002</v>
      </c>
      <c r="C2419">
        <v>5.0000000000000001E-3</v>
      </c>
      <c r="D2419">
        <v>4.4799999999999996E-3</v>
      </c>
      <c r="E2419">
        <v>878765624</v>
      </c>
      <c r="F2419">
        <v>120</v>
      </c>
    </row>
    <row r="2420" spans="1:6" x14ac:dyDescent="0.25">
      <c r="A2420">
        <v>-111.97430900000001</v>
      </c>
      <c r="B2420">
        <v>33.068801999999998</v>
      </c>
      <c r="C2420">
        <v>5.0000000000000001E-3</v>
      </c>
      <c r="D2420">
        <v>4.4799999999999996E-3</v>
      </c>
      <c r="E2420">
        <v>878765626</v>
      </c>
      <c r="F2420">
        <v>120</v>
      </c>
    </row>
    <row r="2421" spans="1:6" x14ac:dyDescent="0.25">
      <c r="A2421">
        <v>-111.974311</v>
      </c>
      <c r="B2421">
        <v>33.068770999999998</v>
      </c>
      <c r="C2421">
        <v>0.03</v>
      </c>
      <c r="D2421">
        <v>2.6880000000000001E-2</v>
      </c>
      <c r="E2421">
        <v>878765634</v>
      </c>
      <c r="F2421">
        <v>120</v>
      </c>
    </row>
    <row r="2422" spans="1:6" x14ac:dyDescent="0.25">
      <c r="A2422">
        <v>-111.974311</v>
      </c>
      <c r="B2422">
        <v>33.068762999999997</v>
      </c>
      <c r="C2422">
        <v>0.72499999999999998</v>
      </c>
      <c r="D2422">
        <v>0.64959999999999996</v>
      </c>
      <c r="E2422">
        <v>878765636</v>
      </c>
      <c r="F2422">
        <v>120</v>
      </c>
    </row>
    <row r="2423" spans="1:6" x14ac:dyDescent="0.25">
      <c r="A2423">
        <v>-111.97431</v>
      </c>
      <c r="B2423">
        <v>33.068755000000003</v>
      </c>
      <c r="C2423">
        <v>2.46</v>
      </c>
      <c r="D2423">
        <v>2.2041599999999999</v>
      </c>
      <c r="E2423">
        <v>878765638</v>
      </c>
      <c r="F2423">
        <v>120</v>
      </c>
    </row>
    <row r="2424" spans="1:6" x14ac:dyDescent="0.25">
      <c r="A2424">
        <v>-111.97431</v>
      </c>
      <c r="B2424">
        <v>33.068747999999999</v>
      </c>
      <c r="C2424">
        <v>1.6950000000000001</v>
      </c>
      <c r="D2424">
        <v>1.5187200000000001</v>
      </c>
      <c r="E2424">
        <v>878765640</v>
      </c>
      <c r="F2424">
        <v>120</v>
      </c>
    </row>
    <row r="2425" spans="1:6" x14ac:dyDescent="0.25">
      <c r="A2425">
        <v>-111.974311</v>
      </c>
      <c r="B2425">
        <v>33.068739999999998</v>
      </c>
      <c r="C2425">
        <v>1.4950000000000001</v>
      </c>
      <c r="D2425">
        <v>1.33952</v>
      </c>
      <c r="E2425">
        <v>878765642</v>
      </c>
      <c r="F2425">
        <v>120</v>
      </c>
    </row>
    <row r="2426" spans="1:6" x14ac:dyDescent="0.25">
      <c r="A2426">
        <v>-111.974311</v>
      </c>
      <c r="B2426">
        <v>33.068733000000002</v>
      </c>
      <c r="C2426">
        <v>1.56</v>
      </c>
      <c r="D2426">
        <v>1.3977599999999999</v>
      </c>
      <c r="E2426">
        <v>878765644</v>
      </c>
      <c r="F2426">
        <v>120</v>
      </c>
    </row>
    <row r="2427" spans="1:6" x14ac:dyDescent="0.25">
      <c r="A2427">
        <v>-111.974311</v>
      </c>
      <c r="B2427">
        <v>33.068725000000001</v>
      </c>
      <c r="C2427">
        <v>1.915</v>
      </c>
      <c r="D2427">
        <v>1.71584</v>
      </c>
      <c r="E2427">
        <v>878765646</v>
      </c>
      <c r="F2427">
        <v>120</v>
      </c>
    </row>
    <row r="2428" spans="1:6" x14ac:dyDescent="0.25">
      <c r="A2428">
        <v>-111.974311</v>
      </c>
      <c r="B2428">
        <v>33.068716999999999</v>
      </c>
      <c r="C2428">
        <v>1.5449999999999999</v>
      </c>
      <c r="D2428">
        <v>1.38432</v>
      </c>
      <c r="E2428">
        <v>878765648</v>
      </c>
      <c r="F2428">
        <v>120</v>
      </c>
    </row>
    <row r="2429" spans="1:6" x14ac:dyDescent="0.25">
      <c r="A2429">
        <v>-111.974311</v>
      </c>
      <c r="B2429">
        <v>33.068708999999998</v>
      </c>
      <c r="C2429">
        <v>2.06</v>
      </c>
      <c r="D2429">
        <v>1.8457600000000001</v>
      </c>
      <c r="E2429">
        <v>878765650</v>
      </c>
      <c r="F2429">
        <v>120</v>
      </c>
    </row>
    <row r="2430" spans="1:6" x14ac:dyDescent="0.25">
      <c r="A2430">
        <v>-111.974311</v>
      </c>
      <c r="B2430">
        <v>33.068702000000002</v>
      </c>
      <c r="C2430">
        <v>1.55</v>
      </c>
      <c r="D2430">
        <v>1.3888</v>
      </c>
      <c r="E2430">
        <v>878765652</v>
      </c>
      <c r="F2430">
        <v>120</v>
      </c>
    </row>
    <row r="2431" spans="1:6" x14ac:dyDescent="0.25">
      <c r="A2431">
        <v>-111.974311</v>
      </c>
      <c r="B2431">
        <v>33.068694999999998</v>
      </c>
      <c r="C2431">
        <v>1.53</v>
      </c>
      <c r="D2431">
        <v>1.3708800000000001</v>
      </c>
      <c r="E2431">
        <v>878765654</v>
      </c>
      <c r="F2431">
        <v>120</v>
      </c>
    </row>
    <row r="2432" spans="1:6" x14ac:dyDescent="0.25">
      <c r="A2432">
        <v>-111.974311</v>
      </c>
      <c r="B2432">
        <v>33.068686999999997</v>
      </c>
      <c r="C2432">
        <v>0.84499999999999997</v>
      </c>
      <c r="D2432">
        <v>0.75712000000000002</v>
      </c>
      <c r="E2432">
        <v>878765656</v>
      </c>
      <c r="F2432">
        <v>120</v>
      </c>
    </row>
    <row r="2433" spans="1:6" x14ac:dyDescent="0.25">
      <c r="A2433">
        <v>-111.974311</v>
      </c>
      <c r="B2433">
        <v>33.068679000000003</v>
      </c>
      <c r="C2433">
        <v>1.0249999999999999</v>
      </c>
      <c r="D2433">
        <v>0.91839999999999999</v>
      </c>
      <c r="E2433">
        <v>878765658</v>
      </c>
      <c r="F2433">
        <v>120</v>
      </c>
    </row>
    <row r="2434" spans="1:6" x14ac:dyDescent="0.25">
      <c r="A2434">
        <v>-111.974311</v>
      </c>
      <c r="B2434">
        <v>33.068671999999999</v>
      </c>
      <c r="C2434">
        <v>1.2350000000000001</v>
      </c>
      <c r="D2434">
        <v>1.10656</v>
      </c>
      <c r="E2434">
        <v>878765660</v>
      </c>
      <c r="F2434">
        <v>120</v>
      </c>
    </row>
    <row r="2435" spans="1:6" x14ac:dyDescent="0.25">
      <c r="A2435">
        <v>-111.974311</v>
      </c>
      <c r="B2435">
        <v>33.068663999999998</v>
      </c>
      <c r="C2435">
        <v>1.1599999999999999</v>
      </c>
      <c r="D2435">
        <v>1.0393600000000001</v>
      </c>
      <c r="E2435">
        <v>878765662</v>
      </c>
      <c r="F2435">
        <v>120</v>
      </c>
    </row>
    <row r="2436" spans="1:6" x14ac:dyDescent="0.25">
      <c r="A2436">
        <v>-111.974312</v>
      </c>
      <c r="B2436">
        <v>33.068655999999997</v>
      </c>
      <c r="C2436">
        <v>0.91500000000000004</v>
      </c>
      <c r="D2436">
        <v>0.81984000000000001</v>
      </c>
      <c r="E2436">
        <v>878765664</v>
      </c>
      <c r="F2436">
        <v>120</v>
      </c>
    </row>
    <row r="2437" spans="1:6" x14ac:dyDescent="0.25">
      <c r="A2437">
        <v>-111.974311</v>
      </c>
      <c r="B2437">
        <v>33.068648000000003</v>
      </c>
      <c r="C2437">
        <v>0.92</v>
      </c>
      <c r="D2437">
        <v>0.82432000000000005</v>
      </c>
      <c r="E2437">
        <v>878765666</v>
      </c>
      <c r="F2437">
        <v>120</v>
      </c>
    </row>
    <row r="2438" spans="1:6" x14ac:dyDescent="0.25">
      <c r="A2438">
        <v>-111.974311</v>
      </c>
      <c r="B2438">
        <v>33.068640000000002</v>
      </c>
      <c r="C2438">
        <v>0.96</v>
      </c>
      <c r="D2438">
        <v>0.86016000000000004</v>
      </c>
      <c r="E2438">
        <v>878765668</v>
      </c>
      <c r="F2438">
        <v>120</v>
      </c>
    </row>
    <row r="2439" spans="1:6" x14ac:dyDescent="0.25">
      <c r="A2439">
        <v>-111.974311</v>
      </c>
      <c r="B2439">
        <v>33.068634000000003</v>
      </c>
      <c r="C2439">
        <v>1.55</v>
      </c>
      <c r="D2439">
        <v>1.3888</v>
      </c>
      <c r="E2439">
        <v>878765670</v>
      </c>
      <c r="F2439">
        <v>120</v>
      </c>
    </row>
    <row r="2440" spans="1:6" x14ac:dyDescent="0.25">
      <c r="A2440">
        <v>-111.974312</v>
      </c>
      <c r="B2440">
        <v>33.068626000000002</v>
      </c>
      <c r="C2440">
        <v>1.5249999999999999</v>
      </c>
      <c r="D2440">
        <v>1.3664000000000001</v>
      </c>
      <c r="E2440">
        <v>878765672</v>
      </c>
      <c r="F2440">
        <v>120</v>
      </c>
    </row>
    <row r="2441" spans="1:6" x14ac:dyDescent="0.25">
      <c r="A2441">
        <v>-111.974313</v>
      </c>
      <c r="B2441">
        <v>33.068618000000001</v>
      </c>
      <c r="C2441">
        <v>1.9</v>
      </c>
      <c r="D2441">
        <v>1.7023999999999999</v>
      </c>
      <c r="E2441">
        <v>878765674</v>
      </c>
      <c r="F2441">
        <v>120</v>
      </c>
    </row>
    <row r="2442" spans="1:6" x14ac:dyDescent="0.25">
      <c r="A2442">
        <v>-111.974313</v>
      </c>
      <c r="B2442">
        <v>33.06861</v>
      </c>
      <c r="C2442">
        <v>1.1000000000000001</v>
      </c>
      <c r="D2442">
        <v>0.98560000000000003</v>
      </c>
      <c r="E2442">
        <v>878765676</v>
      </c>
      <c r="F2442">
        <v>120</v>
      </c>
    </row>
    <row r="2443" spans="1:6" x14ac:dyDescent="0.25">
      <c r="A2443">
        <v>-111.974313</v>
      </c>
      <c r="B2443">
        <v>33.068610999999997</v>
      </c>
      <c r="C2443">
        <v>1.4999999999999999E-2</v>
      </c>
      <c r="D2443">
        <v>1.3440000000000001E-2</v>
      </c>
      <c r="E2443">
        <v>878765678</v>
      </c>
      <c r="F2443">
        <v>120</v>
      </c>
    </row>
    <row r="2444" spans="1:6" x14ac:dyDescent="0.25">
      <c r="A2444">
        <v>-111.974312</v>
      </c>
      <c r="B2444">
        <v>33.068609000000002</v>
      </c>
      <c r="C2444">
        <v>5.0000000000000001E-3</v>
      </c>
      <c r="D2444">
        <v>4.4799999999999996E-3</v>
      </c>
      <c r="E2444">
        <v>878765686</v>
      </c>
      <c r="F2444">
        <v>120</v>
      </c>
    </row>
    <row r="2445" spans="1:6" x14ac:dyDescent="0.25">
      <c r="A2445">
        <v>-111.974311</v>
      </c>
      <c r="B2445">
        <v>33.068601999999998</v>
      </c>
      <c r="C2445">
        <v>0.02</v>
      </c>
      <c r="D2445">
        <v>1.7919999999999998E-2</v>
      </c>
      <c r="E2445">
        <v>878765688</v>
      </c>
      <c r="F2445">
        <v>120</v>
      </c>
    </row>
    <row r="2446" spans="1:6" x14ac:dyDescent="0.25">
      <c r="A2446">
        <v>-111.97431</v>
      </c>
      <c r="B2446">
        <v>33.068596999999997</v>
      </c>
      <c r="C2446">
        <v>0.06</v>
      </c>
      <c r="D2446">
        <v>5.3760000000000002E-2</v>
      </c>
      <c r="E2446">
        <v>878765690</v>
      </c>
      <c r="F2446">
        <v>120</v>
      </c>
    </row>
    <row r="2447" spans="1:6" x14ac:dyDescent="0.25">
      <c r="A2447">
        <v>-111.97431</v>
      </c>
      <c r="B2447">
        <v>33.068590999999998</v>
      </c>
      <c r="C2447">
        <v>0.44</v>
      </c>
      <c r="D2447">
        <v>0.39423999999999998</v>
      </c>
      <c r="E2447">
        <v>878765692</v>
      </c>
      <c r="F2447">
        <v>120</v>
      </c>
    </row>
    <row r="2448" spans="1:6" x14ac:dyDescent="0.25">
      <c r="A2448">
        <v>-111.97431</v>
      </c>
      <c r="B2448">
        <v>33.068584999999999</v>
      </c>
      <c r="C2448">
        <v>1.595</v>
      </c>
      <c r="D2448">
        <v>1.4291199999999999</v>
      </c>
      <c r="E2448">
        <v>878765694</v>
      </c>
      <c r="F2448">
        <v>120</v>
      </c>
    </row>
    <row r="2449" spans="1:6" x14ac:dyDescent="0.25">
      <c r="A2449">
        <v>-111.974312</v>
      </c>
      <c r="B2449">
        <v>33.068576</v>
      </c>
      <c r="C2449">
        <v>2.02</v>
      </c>
      <c r="D2449">
        <v>1.80992</v>
      </c>
      <c r="E2449">
        <v>878765696</v>
      </c>
      <c r="F2449">
        <v>120</v>
      </c>
    </row>
    <row r="2450" spans="1:6" x14ac:dyDescent="0.25">
      <c r="A2450">
        <v>-111.974313</v>
      </c>
      <c r="B2450">
        <v>33.068567999999999</v>
      </c>
      <c r="C2450">
        <v>1.635</v>
      </c>
      <c r="D2450">
        <v>1.46496</v>
      </c>
      <c r="E2450">
        <v>878765698</v>
      </c>
      <c r="F2450">
        <v>120</v>
      </c>
    </row>
    <row r="2451" spans="1:6" x14ac:dyDescent="0.25">
      <c r="A2451">
        <v>-111.974313</v>
      </c>
      <c r="B2451">
        <v>33.068561000000003</v>
      </c>
      <c r="C2451">
        <v>1.3049999999999999</v>
      </c>
      <c r="D2451">
        <v>1.1692800000000001</v>
      </c>
      <c r="E2451">
        <v>878765700</v>
      </c>
      <c r="F2451">
        <v>120</v>
      </c>
    </row>
    <row r="2452" spans="1:6" x14ac:dyDescent="0.25">
      <c r="A2452">
        <v>-111.974312</v>
      </c>
      <c r="B2452">
        <v>33.068553999999999</v>
      </c>
      <c r="C2452">
        <v>1.94</v>
      </c>
      <c r="D2452">
        <v>1.73824</v>
      </c>
      <c r="E2452">
        <v>878765702</v>
      </c>
      <c r="F2452">
        <v>120</v>
      </c>
    </row>
    <row r="2453" spans="1:6" x14ac:dyDescent="0.25">
      <c r="A2453">
        <v>-111.974312</v>
      </c>
      <c r="B2453">
        <v>33.068545999999998</v>
      </c>
      <c r="C2453">
        <v>2.0049999999999999</v>
      </c>
      <c r="D2453">
        <v>1.7964800000000001</v>
      </c>
      <c r="E2453">
        <v>878765704</v>
      </c>
      <c r="F2453">
        <v>120</v>
      </c>
    </row>
    <row r="2454" spans="1:6" x14ac:dyDescent="0.25">
      <c r="A2454">
        <v>-111.974313</v>
      </c>
      <c r="B2454">
        <v>33.068539999999999</v>
      </c>
      <c r="C2454">
        <v>1.905</v>
      </c>
      <c r="D2454">
        <v>1.70688</v>
      </c>
      <c r="E2454">
        <v>878765706</v>
      </c>
      <c r="F2454">
        <v>120</v>
      </c>
    </row>
    <row r="2455" spans="1:6" x14ac:dyDescent="0.25">
      <c r="A2455">
        <v>-111.974312</v>
      </c>
      <c r="B2455">
        <v>33.068531999999998</v>
      </c>
      <c r="C2455">
        <v>1.72</v>
      </c>
      <c r="D2455">
        <v>1.54112</v>
      </c>
      <c r="E2455">
        <v>878765708</v>
      </c>
      <c r="F2455">
        <v>120</v>
      </c>
    </row>
    <row r="2456" spans="1:6" x14ac:dyDescent="0.25">
      <c r="A2456">
        <v>-111.974312</v>
      </c>
      <c r="B2456">
        <v>33.068523999999996</v>
      </c>
      <c r="C2456">
        <v>1.905</v>
      </c>
      <c r="D2456">
        <v>1.70688</v>
      </c>
      <c r="E2456">
        <v>878765710</v>
      </c>
      <c r="F2456">
        <v>120</v>
      </c>
    </row>
    <row r="2457" spans="1:6" x14ac:dyDescent="0.25">
      <c r="A2457">
        <v>-111.974312</v>
      </c>
      <c r="B2457">
        <v>33.068516000000002</v>
      </c>
      <c r="C2457">
        <v>1.1299999999999999</v>
      </c>
      <c r="D2457">
        <v>1.01248</v>
      </c>
      <c r="E2457">
        <v>878765712</v>
      </c>
      <c r="F2457">
        <v>120</v>
      </c>
    </row>
    <row r="2458" spans="1:6" x14ac:dyDescent="0.25">
      <c r="A2458">
        <v>-111.974312</v>
      </c>
      <c r="B2458">
        <v>33.068508999999999</v>
      </c>
      <c r="C2458">
        <v>1.365</v>
      </c>
      <c r="D2458">
        <v>1.2230399999999999</v>
      </c>
      <c r="E2458">
        <v>878765714</v>
      </c>
      <c r="F2458">
        <v>120</v>
      </c>
    </row>
    <row r="2459" spans="1:6" x14ac:dyDescent="0.25">
      <c r="A2459">
        <v>-111.974312</v>
      </c>
      <c r="B2459">
        <v>33.068500999999998</v>
      </c>
      <c r="C2459">
        <v>1.4750000000000001</v>
      </c>
      <c r="D2459">
        <v>1.3216000000000001</v>
      </c>
      <c r="E2459">
        <v>878765716</v>
      </c>
      <c r="F2459">
        <v>120</v>
      </c>
    </row>
    <row r="2460" spans="1:6" x14ac:dyDescent="0.25">
      <c r="A2460">
        <v>-111.974313</v>
      </c>
      <c r="B2460">
        <v>33.068492999999997</v>
      </c>
      <c r="C2460">
        <v>1.73</v>
      </c>
      <c r="D2460">
        <v>1.5500799999999999</v>
      </c>
      <c r="E2460">
        <v>878765718</v>
      </c>
      <c r="F2460">
        <v>120</v>
      </c>
    </row>
    <row r="2461" spans="1:6" x14ac:dyDescent="0.25">
      <c r="A2461">
        <v>-111.974312</v>
      </c>
      <c r="B2461">
        <v>33.068486</v>
      </c>
      <c r="C2461">
        <v>1.3149999999999999</v>
      </c>
      <c r="D2461">
        <v>1.17824</v>
      </c>
      <c r="E2461">
        <v>878765720</v>
      </c>
      <c r="F2461">
        <v>120</v>
      </c>
    </row>
    <row r="2462" spans="1:6" x14ac:dyDescent="0.25">
      <c r="A2462">
        <v>-111.974312</v>
      </c>
      <c r="B2462">
        <v>33.068477000000001</v>
      </c>
      <c r="C2462">
        <v>1.44</v>
      </c>
      <c r="D2462">
        <v>1.2902400000000001</v>
      </c>
      <c r="E2462">
        <v>878765722</v>
      </c>
      <c r="F2462">
        <v>120</v>
      </c>
    </row>
    <row r="2463" spans="1:6" x14ac:dyDescent="0.25">
      <c r="A2463">
        <v>-111.974312</v>
      </c>
      <c r="B2463">
        <v>33.068469</v>
      </c>
      <c r="C2463">
        <v>1.71</v>
      </c>
      <c r="D2463">
        <v>1.53216</v>
      </c>
      <c r="E2463">
        <v>878765724</v>
      </c>
      <c r="F2463">
        <v>120</v>
      </c>
    </row>
    <row r="2464" spans="1:6" x14ac:dyDescent="0.25">
      <c r="A2464">
        <v>-111.974313</v>
      </c>
      <c r="B2464">
        <v>33.068460999999999</v>
      </c>
      <c r="C2464">
        <v>1.51</v>
      </c>
      <c r="D2464">
        <v>1.3529599999999999</v>
      </c>
      <c r="E2464">
        <v>878765726</v>
      </c>
      <c r="F2464">
        <v>120</v>
      </c>
    </row>
    <row r="2465" spans="1:6" x14ac:dyDescent="0.25">
      <c r="A2465">
        <v>-111.974313</v>
      </c>
      <c r="B2465">
        <v>33.068455</v>
      </c>
      <c r="C2465">
        <v>1.76</v>
      </c>
      <c r="D2465">
        <v>1.5769599999999999</v>
      </c>
      <c r="E2465">
        <v>878765728</v>
      </c>
      <c r="F2465">
        <v>120</v>
      </c>
    </row>
    <row r="2466" spans="1:6" x14ac:dyDescent="0.25">
      <c r="A2466">
        <v>-111.974312</v>
      </c>
      <c r="B2466">
        <v>33.068446999999999</v>
      </c>
      <c r="C2466">
        <v>1.57</v>
      </c>
      <c r="D2466">
        <v>1.40672</v>
      </c>
      <c r="E2466">
        <v>878765730</v>
      </c>
      <c r="F2466">
        <v>120</v>
      </c>
    </row>
    <row r="2467" spans="1:6" x14ac:dyDescent="0.25">
      <c r="A2467">
        <v>-111.974312</v>
      </c>
      <c r="B2467">
        <v>33.068438</v>
      </c>
      <c r="C2467">
        <v>0.23</v>
      </c>
      <c r="D2467">
        <v>0.20608000000000001</v>
      </c>
      <c r="E2467">
        <v>878765732</v>
      </c>
      <c r="F2467">
        <v>120</v>
      </c>
    </row>
    <row r="2468" spans="1:6" x14ac:dyDescent="0.25">
      <c r="A2468">
        <v>-111.974312</v>
      </c>
      <c r="B2468">
        <v>33.068430999999997</v>
      </c>
      <c r="C2468">
        <v>0.01</v>
      </c>
      <c r="D2468">
        <v>8.9599999999999992E-3</v>
      </c>
      <c r="E2468">
        <v>878765734</v>
      </c>
      <c r="F2468">
        <v>120</v>
      </c>
    </row>
    <row r="2469" spans="1:6" x14ac:dyDescent="0.25">
      <c r="A2469">
        <v>-111.97431</v>
      </c>
      <c r="B2469">
        <v>33.068424</v>
      </c>
      <c r="C2469">
        <v>5.0000000000000001E-3</v>
      </c>
      <c r="D2469">
        <v>4.4799999999999996E-3</v>
      </c>
      <c r="E2469">
        <v>878765736</v>
      </c>
      <c r="F2469">
        <v>120</v>
      </c>
    </row>
    <row r="2470" spans="1:6" x14ac:dyDescent="0.25">
      <c r="A2470">
        <v>-111.97430900000001</v>
      </c>
      <c r="B2470">
        <v>33.068390999999998</v>
      </c>
      <c r="C2470">
        <v>5.0000000000000001E-3</v>
      </c>
      <c r="D2470">
        <v>4.4799999999999996E-3</v>
      </c>
      <c r="E2470">
        <v>878765744</v>
      </c>
      <c r="F2470">
        <v>120</v>
      </c>
    </row>
    <row r="2471" spans="1:6" x14ac:dyDescent="0.25">
      <c r="A2471">
        <v>-111.97430799999999</v>
      </c>
      <c r="B2471">
        <v>33.068376000000001</v>
      </c>
      <c r="C2471">
        <v>0.01</v>
      </c>
      <c r="D2471">
        <v>8.9599999999999992E-3</v>
      </c>
      <c r="E2471">
        <v>878765748</v>
      </c>
      <c r="F2471">
        <v>120</v>
      </c>
    </row>
    <row r="2472" spans="1:6" x14ac:dyDescent="0.25">
      <c r="A2472">
        <v>-111.97431</v>
      </c>
      <c r="B2472">
        <v>33.068368</v>
      </c>
      <c r="C2472">
        <v>5.0000000000000001E-3</v>
      </c>
      <c r="D2472">
        <v>4.4799999999999996E-3</v>
      </c>
      <c r="E2472">
        <v>878765750</v>
      </c>
      <c r="F2472">
        <v>120</v>
      </c>
    </row>
    <row r="2473" spans="1:6" x14ac:dyDescent="0.25">
      <c r="A2473">
        <v>-111.974311</v>
      </c>
      <c r="B2473">
        <v>33.068359999999998</v>
      </c>
      <c r="C2473">
        <v>2.5000000000000001E-2</v>
      </c>
      <c r="D2473">
        <v>2.24E-2</v>
      </c>
      <c r="E2473">
        <v>878765752</v>
      </c>
      <c r="F2473">
        <v>120</v>
      </c>
    </row>
    <row r="2474" spans="1:6" x14ac:dyDescent="0.25">
      <c r="A2474">
        <v>-111.97431</v>
      </c>
      <c r="B2474">
        <v>33.068353999999999</v>
      </c>
      <c r="C2474">
        <v>0.16</v>
      </c>
      <c r="D2474">
        <v>0.14335999999999999</v>
      </c>
      <c r="E2474">
        <v>878765754</v>
      </c>
      <c r="F2474">
        <v>120</v>
      </c>
    </row>
    <row r="2475" spans="1:6" x14ac:dyDescent="0.25">
      <c r="A2475">
        <v>-111.97431</v>
      </c>
      <c r="B2475">
        <v>33.068373000000001</v>
      </c>
      <c r="C2475">
        <v>0.16500000000000001</v>
      </c>
      <c r="D2475">
        <v>0.14784</v>
      </c>
      <c r="E2475">
        <v>878765770</v>
      </c>
      <c r="F2475">
        <v>120</v>
      </c>
    </row>
    <row r="2476" spans="1:6" x14ac:dyDescent="0.25">
      <c r="A2476">
        <v>-111.974312</v>
      </c>
      <c r="B2476">
        <v>33.068365999999997</v>
      </c>
      <c r="C2476">
        <v>0.67500000000000004</v>
      </c>
      <c r="D2476">
        <v>0.6048</v>
      </c>
      <c r="E2476">
        <v>878765772</v>
      </c>
      <c r="F2476">
        <v>120</v>
      </c>
    </row>
    <row r="2477" spans="1:6" x14ac:dyDescent="0.25">
      <c r="A2477">
        <v>-111.974311</v>
      </c>
      <c r="B2477">
        <v>33.068359000000001</v>
      </c>
      <c r="C2477">
        <v>0.1</v>
      </c>
      <c r="D2477">
        <v>8.9599999999999999E-2</v>
      </c>
      <c r="E2477">
        <v>878765774</v>
      </c>
      <c r="F2477">
        <v>120</v>
      </c>
    </row>
    <row r="2478" spans="1:6" x14ac:dyDescent="0.25">
      <c r="A2478">
        <v>-111.974311</v>
      </c>
      <c r="B2478">
        <v>33.068353000000002</v>
      </c>
      <c r="C2478">
        <v>0.125</v>
      </c>
      <c r="D2478">
        <v>0.112</v>
      </c>
      <c r="E2478">
        <v>878765776</v>
      </c>
      <c r="F2478">
        <v>120</v>
      </c>
    </row>
    <row r="2479" spans="1:6" x14ac:dyDescent="0.25">
      <c r="A2479">
        <v>-111.97431</v>
      </c>
      <c r="B2479">
        <v>33.068348</v>
      </c>
      <c r="C2479">
        <v>0.40500000000000003</v>
      </c>
      <c r="D2479">
        <v>0.36287999999999998</v>
      </c>
      <c r="E2479">
        <v>878765778</v>
      </c>
      <c r="F2479">
        <v>120</v>
      </c>
    </row>
    <row r="2480" spans="1:6" x14ac:dyDescent="0.25">
      <c r="A2480">
        <v>-111.97431</v>
      </c>
      <c r="B2480">
        <v>33.068340999999997</v>
      </c>
      <c r="C2480">
        <v>0.995</v>
      </c>
      <c r="D2480">
        <v>0.89151999999999998</v>
      </c>
      <c r="E2480">
        <v>878765780</v>
      </c>
      <c r="F2480">
        <v>120</v>
      </c>
    </row>
    <row r="2481" spans="1:6" x14ac:dyDescent="0.25">
      <c r="A2481">
        <v>-111.974311</v>
      </c>
      <c r="B2481">
        <v>33.068334</v>
      </c>
      <c r="C2481">
        <v>2.1949999999999998</v>
      </c>
      <c r="D2481">
        <v>1.96672</v>
      </c>
      <c r="E2481">
        <v>878765782</v>
      </c>
      <c r="F2481">
        <v>120</v>
      </c>
    </row>
    <row r="2482" spans="1:6" x14ac:dyDescent="0.25">
      <c r="A2482">
        <v>-111.974312</v>
      </c>
      <c r="B2482">
        <v>33.068325999999999</v>
      </c>
      <c r="C2482">
        <v>1.69</v>
      </c>
      <c r="D2482">
        <v>1.51424</v>
      </c>
      <c r="E2482">
        <v>878765784</v>
      </c>
      <c r="F2482">
        <v>120</v>
      </c>
    </row>
    <row r="2483" spans="1:6" x14ac:dyDescent="0.25">
      <c r="A2483">
        <v>-111.974311</v>
      </c>
      <c r="B2483">
        <v>33.068317</v>
      </c>
      <c r="C2483">
        <v>1.46</v>
      </c>
      <c r="D2483">
        <v>1.30816</v>
      </c>
      <c r="E2483">
        <v>878765786</v>
      </c>
      <c r="F2483">
        <v>120</v>
      </c>
    </row>
    <row r="2484" spans="1:6" x14ac:dyDescent="0.25">
      <c r="A2484">
        <v>-111.974311</v>
      </c>
      <c r="B2484">
        <v>33.068308999999999</v>
      </c>
      <c r="C2484">
        <v>1.5</v>
      </c>
      <c r="D2484">
        <v>1.3440000000000001</v>
      </c>
      <c r="E2484">
        <v>878765788</v>
      </c>
      <c r="F2484">
        <v>120</v>
      </c>
    </row>
    <row r="2485" spans="1:6" x14ac:dyDescent="0.25">
      <c r="A2485">
        <v>-111.97431</v>
      </c>
      <c r="B2485">
        <v>33.068303</v>
      </c>
      <c r="C2485">
        <v>1.865</v>
      </c>
      <c r="D2485">
        <v>1.6710400000000001</v>
      </c>
      <c r="E2485">
        <v>878765790</v>
      </c>
      <c r="F2485">
        <v>120</v>
      </c>
    </row>
    <row r="2486" spans="1:6" x14ac:dyDescent="0.25">
      <c r="A2486">
        <v>-111.97431</v>
      </c>
      <c r="B2486">
        <v>33.068294999999999</v>
      </c>
      <c r="C2486">
        <v>1.79</v>
      </c>
      <c r="D2486">
        <v>1.6038399999999999</v>
      </c>
      <c r="E2486">
        <v>878765792</v>
      </c>
      <c r="F2486">
        <v>120</v>
      </c>
    </row>
    <row r="2487" spans="1:6" x14ac:dyDescent="0.25">
      <c r="A2487">
        <v>-111.974311</v>
      </c>
      <c r="B2487">
        <v>33.068288000000003</v>
      </c>
      <c r="C2487">
        <v>1.59</v>
      </c>
      <c r="D2487">
        <v>1.4246399999999999</v>
      </c>
      <c r="E2487">
        <v>878765794</v>
      </c>
      <c r="F2487">
        <v>120</v>
      </c>
    </row>
    <row r="2488" spans="1:6" x14ac:dyDescent="0.25">
      <c r="A2488">
        <v>-111.974311</v>
      </c>
      <c r="B2488">
        <v>33.068280000000001</v>
      </c>
      <c r="C2488">
        <v>2.04</v>
      </c>
      <c r="D2488">
        <v>1.8278399999999999</v>
      </c>
      <c r="E2488">
        <v>878765796</v>
      </c>
      <c r="F2488">
        <v>120</v>
      </c>
    </row>
    <row r="2489" spans="1:6" x14ac:dyDescent="0.25">
      <c r="A2489">
        <v>-111.974311</v>
      </c>
      <c r="B2489">
        <v>33.068272999999998</v>
      </c>
      <c r="C2489">
        <v>1.04</v>
      </c>
      <c r="D2489">
        <v>0.93184</v>
      </c>
      <c r="E2489">
        <v>878765798</v>
      </c>
      <c r="F2489">
        <v>120</v>
      </c>
    </row>
    <row r="2490" spans="1:6" x14ac:dyDescent="0.25">
      <c r="A2490">
        <v>-111.974311</v>
      </c>
      <c r="B2490">
        <v>33.068266000000001</v>
      </c>
      <c r="C2490">
        <v>1.31</v>
      </c>
      <c r="D2490">
        <v>1.1737599999999999</v>
      </c>
      <c r="E2490">
        <v>878765800</v>
      </c>
      <c r="F2490">
        <v>120</v>
      </c>
    </row>
    <row r="2491" spans="1:6" x14ac:dyDescent="0.25">
      <c r="A2491">
        <v>-111.974311</v>
      </c>
      <c r="B2491">
        <v>33.068258999999998</v>
      </c>
      <c r="C2491">
        <v>1.1399999999999999</v>
      </c>
      <c r="D2491">
        <v>1.0214399999999999</v>
      </c>
      <c r="E2491">
        <v>878765802</v>
      </c>
      <c r="F2491">
        <v>120</v>
      </c>
    </row>
    <row r="2492" spans="1:6" x14ac:dyDescent="0.25">
      <c r="A2492">
        <v>-111.974311</v>
      </c>
      <c r="B2492">
        <v>33.068252000000001</v>
      </c>
      <c r="C2492">
        <v>1.425</v>
      </c>
      <c r="D2492">
        <v>1.2767999999999999</v>
      </c>
      <c r="E2492">
        <v>878765804</v>
      </c>
      <c r="F2492">
        <v>120</v>
      </c>
    </row>
    <row r="2493" spans="1:6" x14ac:dyDescent="0.25">
      <c r="A2493">
        <v>-111.974312</v>
      </c>
      <c r="B2493">
        <v>33.068244</v>
      </c>
      <c r="C2493">
        <v>1.0549999999999999</v>
      </c>
      <c r="D2493">
        <v>0.94528000000000001</v>
      </c>
      <c r="E2493">
        <v>878765806</v>
      </c>
      <c r="F2493">
        <v>120</v>
      </c>
    </row>
    <row r="2494" spans="1:6" x14ac:dyDescent="0.25">
      <c r="A2494">
        <v>-111.974311</v>
      </c>
      <c r="B2494">
        <v>33.068235999999999</v>
      </c>
      <c r="C2494">
        <v>1.405</v>
      </c>
      <c r="D2494">
        <v>1.25888</v>
      </c>
      <c r="E2494">
        <v>878765808</v>
      </c>
      <c r="F2494">
        <v>120</v>
      </c>
    </row>
    <row r="2495" spans="1:6" x14ac:dyDescent="0.25">
      <c r="A2495">
        <v>-111.974311</v>
      </c>
      <c r="B2495">
        <v>33.068227999999998</v>
      </c>
      <c r="C2495">
        <v>1.74</v>
      </c>
      <c r="D2495">
        <v>1.55904</v>
      </c>
      <c r="E2495">
        <v>878765810</v>
      </c>
      <c r="F2495">
        <v>120</v>
      </c>
    </row>
    <row r="2496" spans="1:6" x14ac:dyDescent="0.25">
      <c r="A2496">
        <v>-111.974311</v>
      </c>
      <c r="B2496">
        <v>33.068221000000001</v>
      </c>
      <c r="C2496">
        <v>1.7450000000000001</v>
      </c>
      <c r="D2496">
        <v>1.56352</v>
      </c>
      <c r="E2496">
        <v>878765812</v>
      </c>
      <c r="F2496">
        <v>120</v>
      </c>
    </row>
    <row r="2497" spans="1:6" x14ac:dyDescent="0.25">
      <c r="A2497">
        <v>-111.974311</v>
      </c>
      <c r="B2497">
        <v>33.068213999999998</v>
      </c>
      <c r="C2497">
        <v>1.93</v>
      </c>
      <c r="D2497">
        <v>1.7292799999999999</v>
      </c>
      <c r="E2497">
        <v>878765814</v>
      </c>
      <c r="F2497">
        <v>120</v>
      </c>
    </row>
    <row r="2498" spans="1:6" x14ac:dyDescent="0.25">
      <c r="A2498">
        <v>-111.974312</v>
      </c>
      <c r="B2498">
        <v>33.068207000000001</v>
      </c>
      <c r="C2498">
        <v>1.7450000000000001</v>
      </c>
      <c r="D2498">
        <v>1.56352</v>
      </c>
      <c r="E2498">
        <v>878765816</v>
      </c>
      <c r="F2498">
        <v>120</v>
      </c>
    </row>
    <row r="2499" spans="1:6" x14ac:dyDescent="0.25">
      <c r="A2499">
        <v>-111.974312</v>
      </c>
      <c r="B2499">
        <v>33.068199999999997</v>
      </c>
      <c r="C2499">
        <v>2.0150000000000001</v>
      </c>
      <c r="D2499">
        <v>1.8054399999999999</v>
      </c>
      <c r="E2499">
        <v>878765818</v>
      </c>
      <c r="F2499">
        <v>120</v>
      </c>
    </row>
    <row r="2500" spans="1:6" x14ac:dyDescent="0.25">
      <c r="A2500">
        <v>-111.974312</v>
      </c>
      <c r="B2500">
        <v>33.068195000000003</v>
      </c>
      <c r="C2500">
        <v>0.3</v>
      </c>
      <c r="D2500">
        <v>0.26879999999999998</v>
      </c>
      <c r="E2500">
        <v>878765820</v>
      </c>
      <c r="F2500">
        <v>120</v>
      </c>
    </row>
    <row r="2501" spans="1:6" x14ac:dyDescent="0.25">
      <c r="A2501">
        <v>-111.974312</v>
      </c>
      <c r="B2501">
        <v>33.068195000000003</v>
      </c>
      <c r="C2501">
        <v>5.0000000000000001E-3</v>
      </c>
      <c r="D2501">
        <v>4.4799999999999996E-3</v>
      </c>
      <c r="E2501">
        <v>878765822</v>
      </c>
      <c r="F2501">
        <v>120</v>
      </c>
    </row>
    <row r="2502" spans="1:6" x14ac:dyDescent="0.25">
      <c r="A2502">
        <v>-111.97431</v>
      </c>
      <c r="B2502">
        <v>33.068182</v>
      </c>
      <c r="C2502">
        <v>0.115</v>
      </c>
      <c r="D2502">
        <v>0.10304000000000001</v>
      </c>
      <c r="E2502">
        <v>878765832</v>
      </c>
      <c r="F2502">
        <v>120</v>
      </c>
    </row>
    <row r="2503" spans="1:6" x14ac:dyDescent="0.25">
      <c r="A2503">
        <v>-111.97430799999999</v>
      </c>
      <c r="B2503">
        <v>33.068176999999999</v>
      </c>
      <c r="C2503">
        <v>0.9</v>
      </c>
      <c r="D2503">
        <v>0.80640000000000001</v>
      </c>
      <c r="E2503">
        <v>878765834</v>
      </c>
      <c r="F2503">
        <v>120</v>
      </c>
    </row>
    <row r="2504" spans="1:6" x14ac:dyDescent="0.25">
      <c r="A2504">
        <v>-111.97431</v>
      </c>
      <c r="B2504">
        <v>33.068168999999997</v>
      </c>
      <c r="C2504">
        <v>2.4049999999999998</v>
      </c>
      <c r="D2504">
        <v>2.1548799999999999</v>
      </c>
      <c r="E2504">
        <v>878765836</v>
      </c>
      <c r="F2504">
        <v>120</v>
      </c>
    </row>
    <row r="2505" spans="1:6" x14ac:dyDescent="0.25">
      <c r="A2505">
        <v>-111.974312</v>
      </c>
      <c r="B2505">
        <v>33.068161000000003</v>
      </c>
      <c r="C2505">
        <v>1.9</v>
      </c>
      <c r="D2505">
        <v>1.7023999999999999</v>
      </c>
      <c r="E2505">
        <v>878765838</v>
      </c>
      <c r="F2505">
        <v>120</v>
      </c>
    </row>
    <row r="2506" spans="1:6" x14ac:dyDescent="0.25">
      <c r="A2506">
        <v>-111.974313</v>
      </c>
      <c r="B2506">
        <v>33.068154</v>
      </c>
      <c r="C2506">
        <v>0.98499999999999999</v>
      </c>
      <c r="D2506">
        <v>0.88256000000000001</v>
      </c>
      <c r="E2506">
        <v>878765840</v>
      </c>
      <c r="F2506">
        <v>120</v>
      </c>
    </row>
    <row r="2507" spans="1:6" x14ac:dyDescent="0.25">
      <c r="A2507">
        <v>-111.974313</v>
      </c>
      <c r="B2507">
        <v>33.068145999999999</v>
      </c>
      <c r="C2507">
        <v>1.56</v>
      </c>
      <c r="D2507">
        <v>1.3977599999999999</v>
      </c>
      <c r="E2507">
        <v>878765842</v>
      </c>
      <c r="F2507">
        <v>120</v>
      </c>
    </row>
    <row r="2508" spans="1:6" x14ac:dyDescent="0.25">
      <c r="A2508">
        <v>-111.974312</v>
      </c>
      <c r="B2508">
        <v>33.068137999999998</v>
      </c>
      <c r="C2508">
        <v>1.35</v>
      </c>
      <c r="D2508">
        <v>1.2096</v>
      </c>
      <c r="E2508">
        <v>878765844</v>
      </c>
      <c r="F2508">
        <v>120</v>
      </c>
    </row>
    <row r="2509" spans="1:6" x14ac:dyDescent="0.25">
      <c r="A2509">
        <v>-111.974312</v>
      </c>
      <c r="B2509">
        <v>33.068131000000001</v>
      </c>
      <c r="C2509">
        <v>1.9</v>
      </c>
      <c r="D2509">
        <v>1.7023999999999999</v>
      </c>
      <c r="E2509">
        <v>878765846</v>
      </c>
      <c r="F2509">
        <v>120</v>
      </c>
    </row>
    <row r="2510" spans="1:6" x14ac:dyDescent="0.25">
      <c r="A2510">
        <v>-111.974311</v>
      </c>
      <c r="B2510">
        <v>33.068122000000002</v>
      </c>
      <c r="C2510">
        <v>1.7250000000000001</v>
      </c>
      <c r="D2510">
        <v>1.5456000000000001</v>
      </c>
      <c r="E2510">
        <v>878765848</v>
      </c>
      <c r="F2510">
        <v>120</v>
      </c>
    </row>
    <row r="2511" spans="1:6" x14ac:dyDescent="0.25">
      <c r="A2511">
        <v>-111.974311</v>
      </c>
      <c r="B2511">
        <v>33.068116000000003</v>
      </c>
      <c r="C2511">
        <v>1.71</v>
      </c>
      <c r="D2511">
        <v>1.53216</v>
      </c>
      <c r="E2511">
        <v>878765850</v>
      </c>
      <c r="F2511">
        <v>120</v>
      </c>
    </row>
    <row r="2512" spans="1:6" x14ac:dyDescent="0.25">
      <c r="A2512">
        <v>-111.974311</v>
      </c>
      <c r="B2512">
        <v>33.068108000000002</v>
      </c>
      <c r="C2512">
        <v>1.73</v>
      </c>
      <c r="D2512">
        <v>1.5500799999999999</v>
      </c>
      <c r="E2512">
        <v>878765852</v>
      </c>
      <c r="F2512">
        <v>120</v>
      </c>
    </row>
    <row r="2513" spans="1:6" x14ac:dyDescent="0.25">
      <c r="A2513">
        <v>-111.974312</v>
      </c>
      <c r="B2513">
        <v>33.068100000000001</v>
      </c>
      <c r="C2513">
        <v>0.65</v>
      </c>
      <c r="D2513">
        <v>0.58240000000000003</v>
      </c>
      <c r="E2513">
        <v>878765854</v>
      </c>
      <c r="F2513">
        <v>120</v>
      </c>
    </row>
    <row r="2514" spans="1:6" x14ac:dyDescent="0.25">
      <c r="A2514">
        <v>-111.974312</v>
      </c>
      <c r="B2514">
        <v>33.068092</v>
      </c>
      <c r="C2514">
        <v>0.96</v>
      </c>
      <c r="D2514">
        <v>0.86016000000000004</v>
      </c>
      <c r="E2514">
        <v>878765856</v>
      </c>
      <c r="F2514">
        <v>120</v>
      </c>
    </row>
    <row r="2515" spans="1:6" x14ac:dyDescent="0.25">
      <c r="A2515">
        <v>-111.974312</v>
      </c>
      <c r="B2515">
        <v>33.068085000000004</v>
      </c>
      <c r="C2515">
        <v>1.825</v>
      </c>
      <c r="D2515">
        <v>1.6352</v>
      </c>
      <c r="E2515">
        <v>878765858</v>
      </c>
      <c r="F2515">
        <v>120</v>
      </c>
    </row>
    <row r="2516" spans="1:6" x14ac:dyDescent="0.25">
      <c r="A2516">
        <v>-111.974312</v>
      </c>
      <c r="B2516">
        <v>33.068077000000002</v>
      </c>
      <c r="C2516">
        <v>1.29</v>
      </c>
      <c r="D2516">
        <v>1.15584</v>
      </c>
      <c r="E2516">
        <v>878765860</v>
      </c>
      <c r="F2516">
        <v>120</v>
      </c>
    </row>
    <row r="2517" spans="1:6" x14ac:dyDescent="0.25">
      <c r="A2517">
        <v>-111.974312</v>
      </c>
      <c r="B2517">
        <v>33.068069999999999</v>
      </c>
      <c r="C2517">
        <v>0.98</v>
      </c>
      <c r="D2517">
        <v>0.87807999999999997</v>
      </c>
      <c r="E2517">
        <v>878765862</v>
      </c>
      <c r="F2517">
        <v>120</v>
      </c>
    </row>
    <row r="2518" spans="1:6" x14ac:dyDescent="0.25">
      <c r="A2518">
        <v>-111.974312</v>
      </c>
      <c r="B2518">
        <v>33.068061999999998</v>
      </c>
      <c r="C2518">
        <v>1.2350000000000001</v>
      </c>
      <c r="D2518">
        <v>1.10656</v>
      </c>
      <c r="E2518">
        <v>878765864</v>
      </c>
      <c r="F2518">
        <v>120</v>
      </c>
    </row>
    <row r="2519" spans="1:6" x14ac:dyDescent="0.25">
      <c r="A2519">
        <v>-111.974312</v>
      </c>
      <c r="B2519">
        <v>33.068053999999997</v>
      </c>
      <c r="C2519">
        <v>1.4</v>
      </c>
      <c r="D2519">
        <v>1.2544</v>
      </c>
      <c r="E2519">
        <v>878765866</v>
      </c>
      <c r="F2519">
        <v>120</v>
      </c>
    </row>
    <row r="2520" spans="1:6" x14ac:dyDescent="0.25">
      <c r="A2520">
        <v>-111.974312</v>
      </c>
      <c r="B2520">
        <v>33.068046000000002</v>
      </c>
      <c r="C2520">
        <v>1.1200000000000001</v>
      </c>
      <c r="D2520">
        <v>1.00352</v>
      </c>
      <c r="E2520">
        <v>878765868</v>
      </c>
      <c r="F2520">
        <v>120</v>
      </c>
    </row>
    <row r="2521" spans="1:6" x14ac:dyDescent="0.25">
      <c r="A2521">
        <v>-111.974313</v>
      </c>
      <c r="B2521">
        <v>33.068038000000001</v>
      </c>
      <c r="C2521">
        <v>1.7549999999999999</v>
      </c>
      <c r="D2521">
        <v>1.5724800000000001</v>
      </c>
      <c r="E2521">
        <v>878765870</v>
      </c>
      <c r="F2521">
        <v>120</v>
      </c>
    </row>
    <row r="2522" spans="1:6" x14ac:dyDescent="0.25">
      <c r="A2522">
        <v>-111.974312</v>
      </c>
      <c r="B2522">
        <v>33.068030999999998</v>
      </c>
      <c r="C2522">
        <v>1.43</v>
      </c>
      <c r="D2522">
        <v>1.28128</v>
      </c>
      <c r="E2522">
        <v>878765872</v>
      </c>
      <c r="F2522">
        <v>120</v>
      </c>
    </row>
    <row r="2523" spans="1:6" x14ac:dyDescent="0.25">
      <c r="A2523">
        <v>-111.974311</v>
      </c>
      <c r="B2523">
        <v>33.068022999999997</v>
      </c>
      <c r="C2523">
        <v>0.13</v>
      </c>
      <c r="D2523">
        <v>0.11648</v>
      </c>
      <c r="E2523">
        <v>878765874</v>
      </c>
      <c r="F2523">
        <v>120</v>
      </c>
    </row>
    <row r="2524" spans="1:6" x14ac:dyDescent="0.25">
      <c r="A2524">
        <v>-111.974311</v>
      </c>
      <c r="B2524">
        <v>33.068022999999997</v>
      </c>
      <c r="C2524">
        <v>5.0000000000000001E-3</v>
      </c>
      <c r="D2524">
        <v>4.4799999999999996E-3</v>
      </c>
      <c r="E2524">
        <v>878765876</v>
      </c>
      <c r="F2524">
        <v>120</v>
      </c>
    </row>
    <row r="2525" spans="1:6" x14ac:dyDescent="0.25">
      <c r="A2525">
        <v>-111.974311</v>
      </c>
      <c r="B2525">
        <v>33.068024000000001</v>
      </c>
      <c r="C2525">
        <v>5.0000000000000001E-3</v>
      </c>
      <c r="D2525">
        <v>4.4799999999999996E-3</v>
      </c>
      <c r="E2525">
        <v>878765878</v>
      </c>
      <c r="F2525">
        <v>120</v>
      </c>
    </row>
    <row r="2526" spans="1:6" x14ac:dyDescent="0.25">
      <c r="A2526">
        <v>-111.97431</v>
      </c>
      <c r="B2526">
        <v>33.068009000000004</v>
      </c>
      <c r="C2526">
        <v>5.0000000000000001E-3</v>
      </c>
      <c r="D2526">
        <v>4.4799999999999996E-3</v>
      </c>
      <c r="E2526">
        <v>878765888</v>
      </c>
      <c r="F2526">
        <v>120</v>
      </c>
    </row>
    <row r="2527" spans="1:6" x14ac:dyDescent="0.25">
      <c r="A2527">
        <v>-111.974312</v>
      </c>
      <c r="B2527">
        <v>33.067999999999998</v>
      </c>
      <c r="C2527">
        <v>5.0000000000000001E-3</v>
      </c>
      <c r="D2527">
        <v>4.4799999999999996E-3</v>
      </c>
      <c r="E2527">
        <v>878765890</v>
      </c>
      <c r="F2527">
        <v>120</v>
      </c>
    </row>
    <row r="2528" spans="1:6" x14ac:dyDescent="0.25">
      <c r="A2528">
        <v>-111.974328</v>
      </c>
      <c r="B2528">
        <v>33.067985</v>
      </c>
      <c r="C2528">
        <v>5.0000000000000001E-3</v>
      </c>
      <c r="D2528">
        <v>4.4799999999999996E-3</v>
      </c>
      <c r="E2528">
        <v>878765894</v>
      </c>
      <c r="F2528">
        <v>120</v>
      </c>
    </row>
    <row r="2529" spans="1:6" x14ac:dyDescent="0.25">
      <c r="A2529">
        <v>-111.97436399999999</v>
      </c>
      <c r="B2529">
        <v>33.067971</v>
      </c>
      <c r="C2529">
        <v>5.0000000000000001E-3</v>
      </c>
      <c r="D2529">
        <v>4.4799999999999996E-3</v>
      </c>
      <c r="E2529">
        <v>878765900</v>
      </c>
      <c r="F2529">
        <v>120</v>
      </c>
    </row>
    <row r="2530" spans="1:6" x14ac:dyDescent="0.25">
      <c r="A2530">
        <v>-111.97435400000001</v>
      </c>
      <c r="B2530">
        <v>33.068043000000003</v>
      </c>
      <c r="C2530">
        <v>0.125</v>
      </c>
      <c r="D2530">
        <v>0.112</v>
      </c>
      <c r="E2530">
        <v>878765944</v>
      </c>
      <c r="F2530">
        <v>120</v>
      </c>
    </row>
    <row r="2531" spans="1:6" x14ac:dyDescent="0.25">
      <c r="A2531">
        <v>-111.97435400000001</v>
      </c>
      <c r="B2531">
        <v>33.068047999999997</v>
      </c>
      <c r="C2531">
        <v>0.81</v>
      </c>
      <c r="D2531">
        <v>0.72575999999999996</v>
      </c>
      <c r="E2531">
        <v>878765946</v>
      </c>
      <c r="F2531">
        <v>120</v>
      </c>
    </row>
    <row r="2532" spans="1:6" x14ac:dyDescent="0.25">
      <c r="A2532">
        <v>-111.974356</v>
      </c>
      <c r="B2532">
        <v>33.068052999999999</v>
      </c>
      <c r="C2532">
        <v>1.075</v>
      </c>
      <c r="D2532">
        <v>0.96319999999999995</v>
      </c>
      <c r="E2532">
        <v>878765948</v>
      </c>
      <c r="F2532">
        <v>120</v>
      </c>
    </row>
    <row r="2533" spans="1:6" x14ac:dyDescent="0.25">
      <c r="A2533">
        <v>-111.974357</v>
      </c>
      <c r="B2533">
        <v>33.068058999999998</v>
      </c>
      <c r="C2533">
        <v>0.73499999999999999</v>
      </c>
      <c r="D2533">
        <v>0.65856000000000003</v>
      </c>
      <c r="E2533">
        <v>878765950</v>
      </c>
      <c r="F2533">
        <v>120</v>
      </c>
    </row>
    <row r="2534" spans="1:6" x14ac:dyDescent="0.25">
      <c r="A2534">
        <v>-111.974356</v>
      </c>
      <c r="B2534">
        <v>33.068066000000002</v>
      </c>
      <c r="C2534">
        <v>1.1299999999999999</v>
      </c>
      <c r="D2534">
        <v>1.01248</v>
      </c>
      <c r="E2534">
        <v>878765952</v>
      </c>
      <c r="F2534">
        <v>120</v>
      </c>
    </row>
    <row r="2535" spans="1:6" x14ac:dyDescent="0.25">
      <c r="A2535">
        <v>-111.974356</v>
      </c>
      <c r="B2535">
        <v>33.068072000000001</v>
      </c>
      <c r="C2535">
        <v>0.64</v>
      </c>
      <c r="D2535">
        <v>0.57343999999999995</v>
      </c>
      <c r="E2535">
        <v>878765954</v>
      </c>
      <c r="F2535">
        <v>120</v>
      </c>
    </row>
    <row r="2536" spans="1:6" x14ac:dyDescent="0.25">
      <c r="A2536">
        <v>-111.97435400000001</v>
      </c>
      <c r="B2536">
        <v>33.068078999999997</v>
      </c>
      <c r="C2536">
        <v>0.52500000000000002</v>
      </c>
      <c r="D2536">
        <v>0.47039999999999998</v>
      </c>
      <c r="E2536">
        <v>878765956</v>
      </c>
      <c r="F2536">
        <v>120</v>
      </c>
    </row>
    <row r="2537" spans="1:6" x14ac:dyDescent="0.25">
      <c r="A2537">
        <v>-111.974355</v>
      </c>
      <c r="B2537">
        <v>33.068085000000004</v>
      </c>
      <c r="C2537">
        <v>0.77500000000000002</v>
      </c>
      <c r="D2537">
        <v>0.69440000000000002</v>
      </c>
      <c r="E2537">
        <v>878765958</v>
      </c>
      <c r="F2537">
        <v>120</v>
      </c>
    </row>
    <row r="2538" spans="1:6" x14ac:dyDescent="0.25">
      <c r="A2538">
        <v>-111.974355</v>
      </c>
      <c r="B2538">
        <v>33.068092</v>
      </c>
      <c r="C2538">
        <v>0.82</v>
      </c>
      <c r="D2538">
        <v>0.73472000000000004</v>
      </c>
      <c r="E2538">
        <v>878765960</v>
      </c>
      <c r="F2538">
        <v>120</v>
      </c>
    </row>
    <row r="2539" spans="1:6" x14ac:dyDescent="0.25">
      <c r="A2539">
        <v>-111.97435400000001</v>
      </c>
      <c r="B2539">
        <v>33.068100000000001</v>
      </c>
      <c r="C2539">
        <v>0.98499999999999999</v>
      </c>
      <c r="D2539">
        <v>0.88256000000000001</v>
      </c>
      <c r="E2539">
        <v>878765962</v>
      </c>
      <c r="F2539">
        <v>120</v>
      </c>
    </row>
    <row r="2540" spans="1:6" x14ac:dyDescent="0.25">
      <c r="A2540">
        <v>-111.974355</v>
      </c>
      <c r="B2540">
        <v>33.068106999999998</v>
      </c>
      <c r="C2540">
        <v>1.07</v>
      </c>
      <c r="D2540">
        <v>0.95872000000000002</v>
      </c>
      <c r="E2540">
        <v>878765964</v>
      </c>
      <c r="F2540">
        <v>120</v>
      </c>
    </row>
    <row r="2541" spans="1:6" x14ac:dyDescent="0.25">
      <c r="A2541">
        <v>-111.974355</v>
      </c>
      <c r="B2541">
        <v>33.068114000000001</v>
      </c>
      <c r="C2541">
        <v>1.365</v>
      </c>
      <c r="D2541">
        <v>1.2230399999999999</v>
      </c>
      <c r="E2541">
        <v>878765966</v>
      </c>
      <c r="F2541">
        <v>120</v>
      </c>
    </row>
    <row r="2542" spans="1:6" x14ac:dyDescent="0.25">
      <c r="A2542">
        <v>-111.97435400000001</v>
      </c>
      <c r="B2542">
        <v>33.068120999999998</v>
      </c>
      <c r="C2542">
        <v>0.64500000000000002</v>
      </c>
      <c r="D2542">
        <v>0.57791999999999999</v>
      </c>
      <c r="E2542">
        <v>878765968</v>
      </c>
      <c r="F2542">
        <v>120</v>
      </c>
    </row>
    <row r="2543" spans="1:6" x14ac:dyDescent="0.25">
      <c r="A2543">
        <v>-111.97435400000001</v>
      </c>
      <c r="B2543">
        <v>33.068128000000002</v>
      </c>
      <c r="C2543">
        <v>1.325</v>
      </c>
      <c r="D2543">
        <v>1.1872</v>
      </c>
      <c r="E2543">
        <v>878765970</v>
      </c>
      <c r="F2543">
        <v>120</v>
      </c>
    </row>
    <row r="2544" spans="1:6" x14ac:dyDescent="0.25">
      <c r="A2544">
        <v>-111.97435400000001</v>
      </c>
      <c r="B2544">
        <v>33.068134999999998</v>
      </c>
      <c r="C2544">
        <v>1.375</v>
      </c>
      <c r="D2544">
        <v>1.232</v>
      </c>
      <c r="E2544">
        <v>878765972</v>
      </c>
      <c r="F2544">
        <v>120</v>
      </c>
    </row>
    <row r="2545" spans="1:6" x14ac:dyDescent="0.25">
      <c r="A2545">
        <v>-111.97435400000001</v>
      </c>
      <c r="B2545">
        <v>33.068142999999999</v>
      </c>
      <c r="C2545">
        <v>1.635</v>
      </c>
      <c r="D2545">
        <v>1.46496</v>
      </c>
      <c r="E2545">
        <v>878765974</v>
      </c>
      <c r="F2545">
        <v>120</v>
      </c>
    </row>
    <row r="2546" spans="1:6" x14ac:dyDescent="0.25">
      <c r="A2546">
        <v>-111.97435400000001</v>
      </c>
      <c r="B2546">
        <v>33.068150000000003</v>
      </c>
      <c r="C2546">
        <v>1.4950000000000001</v>
      </c>
      <c r="D2546">
        <v>1.33952</v>
      </c>
      <c r="E2546">
        <v>878765976</v>
      </c>
      <c r="F2546">
        <v>120</v>
      </c>
    </row>
    <row r="2547" spans="1:6" x14ac:dyDescent="0.25">
      <c r="A2547">
        <v>-111.97435400000001</v>
      </c>
      <c r="B2547">
        <v>33.068157999999997</v>
      </c>
      <c r="C2547">
        <v>1.18</v>
      </c>
      <c r="D2547">
        <v>1.05728</v>
      </c>
      <c r="E2547">
        <v>878765978</v>
      </c>
      <c r="F2547">
        <v>120</v>
      </c>
    </row>
    <row r="2548" spans="1:6" x14ac:dyDescent="0.25">
      <c r="A2548">
        <v>-111.97435400000001</v>
      </c>
      <c r="B2548">
        <v>33.068165</v>
      </c>
      <c r="C2548">
        <v>1.37</v>
      </c>
      <c r="D2548">
        <v>1.2275199999999999</v>
      </c>
      <c r="E2548">
        <v>878765980</v>
      </c>
      <c r="F2548">
        <v>120</v>
      </c>
    </row>
    <row r="2549" spans="1:6" x14ac:dyDescent="0.25">
      <c r="A2549">
        <v>-111.97435400000001</v>
      </c>
      <c r="B2549">
        <v>33.068171999999997</v>
      </c>
      <c r="C2549">
        <v>1.4</v>
      </c>
      <c r="D2549">
        <v>1.2544</v>
      </c>
      <c r="E2549">
        <v>878765982</v>
      </c>
      <c r="F2549">
        <v>120</v>
      </c>
    </row>
    <row r="2550" spans="1:6" x14ac:dyDescent="0.25">
      <c r="A2550">
        <v>-111.97435400000001</v>
      </c>
      <c r="B2550">
        <v>33.068179999999998</v>
      </c>
      <c r="C2550">
        <v>0.66</v>
      </c>
      <c r="D2550">
        <v>0.59136</v>
      </c>
      <c r="E2550">
        <v>878765984</v>
      </c>
      <c r="F2550">
        <v>120</v>
      </c>
    </row>
    <row r="2551" spans="1:6" x14ac:dyDescent="0.25">
      <c r="A2551">
        <v>-111.97435299999999</v>
      </c>
      <c r="B2551">
        <v>33.068187000000002</v>
      </c>
      <c r="C2551">
        <v>1.29</v>
      </c>
      <c r="D2551">
        <v>1.15584</v>
      </c>
      <c r="E2551">
        <v>878765986</v>
      </c>
      <c r="F2551">
        <v>120</v>
      </c>
    </row>
    <row r="2552" spans="1:6" x14ac:dyDescent="0.25">
      <c r="A2552">
        <v>-111.97435299999999</v>
      </c>
      <c r="B2552">
        <v>33.068195000000003</v>
      </c>
      <c r="C2552">
        <v>0.39500000000000002</v>
      </c>
      <c r="D2552">
        <v>0.35392000000000001</v>
      </c>
      <c r="E2552">
        <v>878765988</v>
      </c>
      <c r="F2552">
        <v>120</v>
      </c>
    </row>
    <row r="2553" spans="1:6" x14ac:dyDescent="0.25">
      <c r="A2553">
        <v>-111.97435400000001</v>
      </c>
      <c r="B2553">
        <v>33.068196999999998</v>
      </c>
      <c r="C2553">
        <v>0.01</v>
      </c>
      <c r="D2553">
        <v>8.9599999999999992E-3</v>
      </c>
      <c r="E2553">
        <v>878765990</v>
      </c>
      <c r="F2553">
        <v>120</v>
      </c>
    </row>
    <row r="2554" spans="1:6" x14ac:dyDescent="0.25">
      <c r="A2554">
        <v>-111.97435299999999</v>
      </c>
      <c r="B2554">
        <v>33.068204000000001</v>
      </c>
      <c r="C2554">
        <v>0.32500000000000001</v>
      </c>
      <c r="D2554">
        <v>0.29120000000000001</v>
      </c>
      <c r="E2554">
        <v>878765998</v>
      </c>
      <c r="F2554">
        <v>120</v>
      </c>
    </row>
    <row r="2555" spans="1:6" x14ac:dyDescent="0.25">
      <c r="A2555">
        <v>-111.974355</v>
      </c>
      <c r="B2555">
        <v>33.068210999999998</v>
      </c>
      <c r="C2555">
        <v>0.28000000000000003</v>
      </c>
      <c r="D2555">
        <v>0.25087999999999999</v>
      </c>
      <c r="E2555">
        <v>878766000</v>
      </c>
      <c r="F2555">
        <v>120</v>
      </c>
    </row>
    <row r="2556" spans="1:6" x14ac:dyDescent="0.25">
      <c r="A2556">
        <v>-111.974355</v>
      </c>
      <c r="B2556">
        <v>33.068218999999999</v>
      </c>
      <c r="C2556">
        <v>0.56499999999999995</v>
      </c>
      <c r="D2556">
        <v>0.50624000000000002</v>
      </c>
      <c r="E2556">
        <v>878766002</v>
      </c>
      <c r="F2556">
        <v>120</v>
      </c>
    </row>
    <row r="2557" spans="1:6" x14ac:dyDescent="0.25">
      <c r="A2557">
        <v>-111.974355</v>
      </c>
      <c r="B2557">
        <v>33.068227</v>
      </c>
      <c r="C2557">
        <v>1.08</v>
      </c>
      <c r="D2557">
        <v>0.96767999999999998</v>
      </c>
      <c r="E2557">
        <v>878766004</v>
      </c>
      <c r="F2557">
        <v>120</v>
      </c>
    </row>
    <row r="2558" spans="1:6" x14ac:dyDescent="0.25">
      <c r="A2558">
        <v>-111.974352</v>
      </c>
      <c r="B2558">
        <v>33.068235000000001</v>
      </c>
      <c r="C2558">
        <v>0.81499999999999995</v>
      </c>
      <c r="D2558">
        <v>0.73024</v>
      </c>
      <c r="E2558">
        <v>878766006</v>
      </c>
      <c r="F2558">
        <v>120</v>
      </c>
    </row>
    <row r="2559" spans="1:6" x14ac:dyDescent="0.25">
      <c r="A2559">
        <v>-111.97435299999999</v>
      </c>
      <c r="B2559">
        <v>33.068243000000002</v>
      </c>
      <c r="C2559">
        <v>1.1000000000000001</v>
      </c>
      <c r="D2559">
        <v>0.98560000000000003</v>
      </c>
      <c r="E2559">
        <v>878766008</v>
      </c>
      <c r="F2559">
        <v>120</v>
      </c>
    </row>
    <row r="2560" spans="1:6" x14ac:dyDescent="0.25">
      <c r="A2560">
        <v>-111.974352</v>
      </c>
      <c r="B2560">
        <v>33.068249999999999</v>
      </c>
      <c r="C2560">
        <v>0.92500000000000004</v>
      </c>
      <c r="D2560">
        <v>0.82879999999999998</v>
      </c>
      <c r="E2560">
        <v>878766010</v>
      </c>
      <c r="F2560">
        <v>120</v>
      </c>
    </row>
    <row r="2561" spans="1:6" x14ac:dyDescent="0.25">
      <c r="A2561">
        <v>-111.974352</v>
      </c>
      <c r="B2561">
        <v>33.068257000000003</v>
      </c>
      <c r="C2561">
        <v>0.68500000000000005</v>
      </c>
      <c r="D2561">
        <v>0.61375999999999997</v>
      </c>
      <c r="E2561">
        <v>878766012</v>
      </c>
      <c r="F2561">
        <v>120</v>
      </c>
    </row>
    <row r="2562" spans="1:6" x14ac:dyDescent="0.25">
      <c r="A2562">
        <v>-111.97435299999999</v>
      </c>
      <c r="B2562">
        <v>33.068264999999997</v>
      </c>
      <c r="C2562">
        <v>1.17</v>
      </c>
      <c r="D2562">
        <v>1.0483199999999999</v>
      </c>
      <c r="E2562">
        <v>878766014</v>
      </c>
      <c r="F2562">
        <v>120</v>
      </c>
    </row>
    <row r="2563" spans="1:6" x14ac:dyDescent="0.25">
      <c r="A2563">
        <v>-111.97435299999999</v>
      </c>
      <c r="B2563">
        <v>33.068272999999998</v>
      </c>
      <c r="C2563">
        <v>0.61499999999999999</v>
      </c>
      <c r="D2563">
        <v>0.55103999999999997</v>
      </c>
      <c r="E2563">
        <v>878766016</v>
      </c>
      <c r="F2563">
        <v>120</v>
      </c>
    </row>
    <row r="2564" spans="1:6" x14ac:dyDescent="0.25">
      <c r="A2564">
        <v>-111.97435400000001</v>
      </c>
      <c r="B2564">
        <v>33.068280999999999</v>
      </c>
      <c r="C2564">
        <v>0.83</v>
      </c>
      <c r="D2564">
        <v>0.74368000000000001</v>
      </c>
      <c r="E2564">
        <v>878766018</v>
      </c>
      <c r="F2564">
        <v>120</v>
      </c>
    </row>
    <row r="2565" spans="1:6" x14ac:dyDescent="0.25">
      <c r="A2565">
        <v>-111.97435299999999</v>
      </c>
      <c r="B2565">
        <v>33.068289</v>
      </c>
      <c r="C2565">
        <v>0.77500000000000002</v>
      </c>
      <c r="D2565">
        <v>0.69440000000000002</v>
      </c>
      <c r="E2565">
        <v>878766020</v>
      </c>
      <c r="F2565">
        <v>120</v>
      </c>
    </row>
    <row r="2566" spans="1:6" x14ac:dyDescent="0.25">
      <c r="A2566">
        <v>-111.97435299999999</v>
      </c>
      <c r="B2566">
        <v>33.068297000000001</v>
      </c>
      <c r="C2566">
        <v>1.365</v>
      </c>
      <c r="D2566">
        <v>1.2230399999999999</v>
      </c>
      <c r="E2566">
        <v>878766022</v>
      </c>
      <c r="F2566">
        <v>120</v>
      </c>
    </row>
    <row r="2567" spans="1:6" x14ac:dyDescent="0.25">
      <c r="A2567">
        <v>-111.97435299999999</v>
      </c>
      <c r="B2567">
        <v>33.068305000000002</v>
      </c>
      <c r="C2567">
        <v>1.0149999999999999</v>
      </c>
      <c r="D2567">
        <v>0.90944000000000003</v>
      </c>
      <c r="E2567">
        <v>878766024</v>
      </c>
      <c r="F2567">
        <v>120</v>
      </c>
    </row>
    <row r="2568" spans="1:6" x14ac:dyDescent="0.25">
      <c r="A2568">
        <v>-111.97435299999999</v>
      </c>
      <c r="B2568">
        <v>33.068313000000003</v>
      </c>
      <c r="C2568">
        <v>0.93500000000000005</v>
      </c>
      <c r="D2568">
        <v>0.83775999999999995</v>
      </c>
      <c r="E2568">
        <v>878766026</v>
      </c>
      <c r="F2568">
        <v>120</v>
      </c>
    </row>
    <row r="2569" spans="1:6" x14ac:dyDescent="0.25">
      <c r="A2569">
        <v>-111.97435299999999</v>
      </c>
      <c r="B2569">
        <v>33.068320999999997</v>
      </c>
      <c r="C2569">
        <v>1.41</v>
      </c>
      <c r="D2569">
        <v>1.26336</v>
      </c>
      <c r="E2569">
        <v>878766028</v>
      </c>
      <c r="F2569">
        <v>120</v>
      </c>
    </row>
    <row r="2570" spans="1:6" x14ac:dyDescent="0.25">
      <c r="A2570">
        <v>-111.97435299999999</v>
      </c>
      <c r="B2570">
        <v>33.068328999999999</v>
      </c>
      <c r="C2570">
        <v>1.0049999999999999</v>
      </c>
      <c r="D2570">
        <v>0.90047999999999995</v>
      </c>
      <c r="E2570">
        <v>878766030</v>
      </c>
      <c r="F2570">
        <v>120</v>
      </c>
    </row>
    <row r="2571" spans="1:6" x14ac:dyDescent="0.25">
      <c r="A2571">
        <v>-111.97435299999999</v>
      </c>
      <c r="B2571">
        <v>33.068337</v>
      </c>
      <c r="C2571">
        <v>1.2</v>
      </c>
      <c r="D2571">
        <v>1.0751999999999999</v>
      </c>
      <c r="E2571">
        <v>878766032</v>
      </c>
      <c r="F2571">
        <v>120</v>
      </c>
    </row>
    <row r="2572" spans="1:6" x14ac:dyDescent="0.25">
      <c r="A2572">
        <v>-111.97435299999999</v>
      </c>
      <c r="B2572">
        <v>33.068345000000001</v>
      </c>
      <c r="C2572">
        <v>1.3049999999999999</v>
      </c>
      <c r="D2572">
        <v>1.1692800000000001</v>
      </c>
      <c r="E2572">
        <v>878766034</v>
      </c>
      <c r="F2572">
        <v>120</v>
      </c>
    </row>
    <row r="2573" spans="1:6" x14ac:dyDescent="0.25">
      <c r="A2573">
        <v>-111.97435299999999</v>
      </c>
      <c r="B2573">
        <v>33.068353000000002</v>
      </c>
      <c r="C2573">
        <v>0.83499999999999996</v>
      </c>
      <c r="D2573">
        <v>0.74816000000000005</v>
      </c>
      <c r="E2573">
        <v>878766036</v>
      </c>
      <c r="F2573">
        <v>120</v>
      </c>
    </row>
    <row r="2574" spans="1:6" x14ac:dyDescent="0.25">
      <c r="A2574">
        <v>-111.97435299999999</v>
      </c>
      <c r="B2574">
        <v>33.068361000000003</v>
      </c>
      <c r="C2574">
        <v>1.1299999999999999</v>
      </c>
      <c r="D2574">
        <v>1.01248</v>
      </c>
      <c r="E2574">
        <v>878766038</v>
      </c>
      <c r="F2574">
        <v>120</v>
      </c>
    </row>
    <row r="2575" spans="1:6" x14ac:dyDescent="0.25">
      <c r="A2575">
        <v>-111.97435299999999</v>
      </c>
      <c r="B2575">
        <v>33.068368999999997</v>
      </c>
      <c r="C2575">
        <v>0.40500000000000003</v>
      </c>
      <c r="D2575">
        <v>0.36287999999999998</v>
      </c>
      <c r="E2575">
        <v>878766040</v>
      </c>
      <c r="F2575">
        <v>120</v>
      </c>
    </row>
    <row r="2576" spans="1:6" x14ac:dyDescent="0.25">
      <c r="A2576">
        <v>-111.97435299999999</v>
      </c>
      <c r="B2576">
        <v>33.068376999999998</v>
      </c>
      <c r="C2576">
        <v>5.0000000000000001E-3</v>
      </c>
      <c r="D2576">
        <v>4.4799999999999996E-3</v>
      </c>
      <c r="E2576">
        <v>878766042</v>
      </c>
      <c r="F2576">
        <v>120</v>
      </c>
    </row>
    <row r="2577" spans="1:6" x14ac:dyDescent="0.25">
      <c r="A2577">
        <v>-111.974357</v>
      </c>
      <c r="B2577">
        <v>33.068384000000002</v>
      </c>
      <c r="C2577">
        <v>0.01</v>
      </c>
      <c r="D2577">
        <v>8.9599999999999992E-3</v>
      </c>
      <c r="E2577">
        <v>878766044</v>
      </c>
      <c r="F2577">
        <v>120</v>
      </c>
    </row>
    <row r="2578" spans="1:6" x14ac:dyDescent="0.25">
      <c r="A2578">
        <v>-111.97435400000001</v>
      </c>
      <c r="B2578">
        <v>33.068449999999999</v>
      </c>
      <c r="C2578">
        <v>0.19</v>
      </c>
      <c r="D2578">
        <v>0.17024</v>
      </c>
      <c r="E2578">
        <v>878766060</v>
      </c>
      <c r="F2578">
        <v>120</v>
      </c>
    </row>
    <row r="2579" spans="1:6" x14ac:dyDescent="0.25">
      <c r="A2579">
        <v>-111.97435299999999</v>
      </c>
      <c r="B2579">
        <v>33.068457000000002</v>
      </c>
      <c r="C2579">
        <v>0.44500000000000001</v>
      </c>
      <c r="D2579">
        <v>0.39872000000000002</v>
      </c>
      <c r="E2579">
        <v>878766062</v>
      </c>
      <c r="F2579">
        <v>120</v>
      </c>
    </row>
    <row r="2580" spans="1:6" x14ac:dyDescent="0.25">
      <c r="A2580">
        <v>-111.974355</v>
      </c>
      <c r="B2580">
        <v>33.068463999999999</v>
      </c>
      <c r="C2580">
        <v>1.38</v>
      </c>
      <c r="D2580">
        <v>1.23648</v>
      </c>
      <c r="E2580">
        <v>878766064</v>
      </c>
      <c r="F2580">
        <v>120</v>
      </c>
    </row>
    <row r="2581" spans="1:6" x14ac:dyDescent="0.25">
      <c r="A2581">
        <v>-111.974355</v>
      </c>
      <c r="B2581">
        <v>33.068472</v>
      </c>
      <c r="C2581">
        <v>1.45</v>
      </c>
      <c r="D2581">
        <v>1.2991999999999999</v>
      </c>
      <c r="E2581">
        <v>878766066</v>
      </c>
      <c r="F2581">
        <v>120</v>
      </c>
    </row>
    <row r="2582" spans="1:6" x14ac:dyDescent="0.25">
      <c r="A2582">
        <v>-111.97435299999999</v>
      </c>
      <c r="B2582">
        <v>33.068480000000001</v>
      </c>
      <c r="C2582">
        <v>1.2250000000000001</v>
      </c>
      <c r="D2582">
        <v>1.0975999999999999</v>
      </c>
      <c r="E2582">
        <v>878766068</v>
      </c>
      <c r="F2582">
        <v>120</v>
      </c>
    </row>
    <row r="2583" spans="1:6" x14ac:dyDescent="0.25">
      <c r="A2583">
        <v>-111.97435299999999</v>
      </c>
      <c r="B2583">
        <v>33.068488000000002</v>
      </c>
      <c r="C2583">
        <v>0.91</v>
      </c>
      <c r="D2583">
        <v>0.81535999999999997</v>
      </c>
      <c r="E2583">
        <v>878766070</v>
      </c>
      <c r="F2583">
        <v>120</v>
      </c>
    </row>
    <row r="2584" spans="1:6" x14ac:dyDescent="0.25">
      <c r="A2584">
        <v>-111.97435299999999</v>
      </c>
      <c r="B2584">
        <v>33.068496000000003</v>
      </c>
      <c r="C2584">
        <v>1.4550000000000001</v>
      </c>
      <c r="D2584">
        <v>1.3036799999999999</v>
      </c>
      <c r="E2584">
        <v>878766072</v>
      </c>
      <c r="F2584">
        <v>120</v>
      </c>
    </row>
    <row r="2585" spans="1:6" x14ac:dyDescent="0.25">
      <c r="A2585">
        <v>-111.974352</v>
      </c>
      <c r="B2585">
        <v>33.068503999999997</v>
      </c>
      <c r="C2585">
        <v>0.91500000000000004</v>
      </c>
      <c r="D2585">
        <v>0.81984000000000001</v>
      </c>
      <c r="E2585">
        <v>878766074</v>
      </c>
      <c r="F2585">
        <v>120</v>
      </c>
    </row>
    <row r="2586" spans="1:6" x14ac:dyDescent="0.25">
      <c r="A2586">
        <v>-111.974352</v>
      </c>
      <c r="B2586">
        <v>33.068511999999998</v>
      </c>
      <c r="C2586">
        <v>1.0449999999999999</v>
      </c>
      <c r="D2586">
        <v>0.93632000000000004</v>
      </c>
      <c r="E2586">
        <v>878766076</v>
      </c>
      <c r="F2586">
        <v>120</v>
      </c>
    </row>
    <row r="2587" spans="1:6" x14ac:dyDescent="0.25">
      <c r="A2587">
        <v>-111.974352</v>
      </c>
      <c r="B2587">
        <v>33.068519000000002</v>
      </c>
      <c r="C2587">
        <v>1.2849999999999999</v>
      </c>
      <c r="D2587">
        <v>1.1513599999999999</v>
      </c>
      <c r="E2587">
        <v>878766078</v>
      </c>
      <c r="F2587">
        <v>120</v>
      </c>
    </row>
    <row r="2588" spans="1:6" x14ac:dyDescent="0.25">
      <c r="A2588">
        <v>-111.974352</v>
      </c>
      <c r="B2588">
        <v>33.068527000000003</v>
      </c>
      <c r="C2588">
        <v>1.2949999999999999</v>
      </c>
      <c r="D2588">
        <v>1.16032</v>
      </c>
      <c r="E2588">
        <v>878766080</v>
      </c>
      <c r="F2588">
        <v>120</v>
      </c>
    </row>
    <row r="2589" spans="1:6" x14ac:dyDescent="0.25">
      <c r="A2589">
        <v>-111.974351</v>
      </c>
      <c r="B2589">
        <v>33.068534</v>
      </c>
      <c r="C2589">
        <v>0.91500000000000004</v>
      </c>
      <c r="D2589">
        <v>0.81984000000000001</v>
      </c>
      <c r="E2589">
        <v>878766082</v>
      </c>
      <c r="F2589">
        <v>120</v>
      </c>
    </row>
    <row r="2590" spans="1:6" x14ac:dyDescent="0.25">
      <c r="A2590">
        <v>-111.974352</v>
      </c>
      <c r="B2590">
        <v>33.068542000000001</v>
      </c>
      <c r="C2590">
        <v>1.385</v>
      </c>
      <c r="D2590">
        <v>1.2409600000000001</v>
      </c>
      <c r="E2590">
        <v>878766084</v>
      </c>
      <c r="F2590">
        <v>120</v>
      </c>
    </row>
    <row r="2591" spans="1:6" x14ac:dyDescent="0.25">
      <c r="A2591">
        <v>-111.974352</v>
      </c>
      <c r="B2591">
        <v>33.068550000000002</v>
      </c>
      <c r="C2591">
        <v>1.42</v>
      </c>
      <c r="D2591">
        <v>1.2723199999999999</v>
      </c>
      <c r="E2591">
        <v>878766086</v>
      </c>
      <c r="F2591">
        <v>120</v>
      </c>
    </row>
    <row r="2592" spans="1:6" x14ac:dyDescent="0.25">
      <c r="A2592">
        <v>-111.97435299999999</v>
      </c>
      <c r="B2592">
        <v>33.068559</v>
      </c>
      <c r="C2592">
        <v>1.66</v>
      </c>
      <c r="D2592">
        <v>1.48736</v>
      </c>
      <c r="E2592">
        <v>878766088</v>
      </c>
      <c r="F2592">
        <v>120</v>
      </c>
    </row>
    <row r="2593" spans="1:6" x14ac:dyDescent="0.25">
      <c r="A2593">
        <v>-111.974352</v>
      </c>
      <c r="B2593">
        <v>33.068567000000002</v>
      </c>
      <c r="C2593">
        <v>1.7050000000000001</v>
      </c>
      <c r="D2593">
        <v>1.5276799999999999</v>
      </c>
      <c r="E2593">
        <v>878766090</v>
      </c>
      <c r="F2593">
        <v>120</v>
      </c>
    </row>
    <row r="2594" spans="1:6" x14ac:dyDescent="0.25">
      <c r="A2594">
        <v>-111.974352</v>
      </c>
      <c r="B2594">
        <v>33.068573999999998</v>
      </c>
      <c r="C2594">
        <v>1.3049999999999999</v>
      </c>
      <c r="D2594">
        <v>1.1692800000000001</v>
      </c>
      <c r="E2594">
        <v>878766092</v>
      </c>
      <c r="F2594">
        <v>120</v>
      </c>
    </row>
    <row r="2595" spans="1:6" x14ac:dyDescent="0.25">
      <c r="A2595">
        <v>-111.974352</v>
      </c>
      <c r="B2595">
        <v>33.068581999999999</v>
      </c>
      <c r="C2595">
        <v>1.615</v>
      </c>
      <c r="D2595">
        <v>1.4470400000000001</v>
      </c>
      <c r="E2595">
        <v>878766094</v>
      </c>
      <c r="F2595">
        <v>120</v>
      </c>
    </row>
    <row r="2596" spans="1:6" x14ac:dyDescent="0.25">
      <c r="A2596">
        <v>-111.974352</v>
      </c>
      <c r="B2596">
        <v>33.06859</v>
      </c>
      <c r="C2596">
        <v>1.625</v>
      </c>
      <c r="D2596">
        <v>1.456</v>
      </c>
      <c r="E2596">
        <v>878766096</v>
      </c>
      <c r="F2596">
        <v>120</v>
      </c>
    </row>
    <row r="2597" spans="1:6" x14ac:dyDescent="0.25">
      <c r="A2597">
        <v>-111.974352</v>
      </c>
      <c r="B2597">
        <v>33.068596999999997</v>
      </c>
      <c r="C2597">
        <v>1.29</v>
      </c>
      <c r="D2597">
        <v>1.15584</v>
      </c>
      <c r="E2597">
        <v>878766098</v>
      </c>
      <c r="F2597">
        <v>120</v>
      </c>
    </row>
    <row r="2598" spans="1:6" x14ac:dyDescent="0.25">
      <c r="A2598">
        <v>-111.974352</v>
      </c>
      <c r="B2598">
        <v>33.068604999999998</v>
      </c>
      <c r="C2598">
        <v>1.44</v>
      </c>
      <c r="D2598">
        <v>1.2902400000000001</v>
      </c>
      <c r="E2598">
        <v>878766100</v>
      </c>
      <c r="F2598">
        <v>120</v>
      </c>
    </row>
    <row r="2599" spans="1:6" x14ac:dyDescent="0.25">
      <c r="A2599">
        <v>-111.974352</v>
      </c>
      <c r="B2599">
        <v>33.06861</v>
      </c>
      <c r="C2599">
        <v>0.02</v>
      </c>
      <c r="D2599">
        <v>1.7919999999999998E-2</v>
      </c>
      <c r="E2599">
        <v>878766102</v>
      </c>
      <c r="F2599">
        <v>120</v>
      </c>
    </row>
    <row r="2600" spans="1:6" x14ac:dyDescent="0.25">
      <c r="A2600">
        <v>-111.974352</v>
      </c>
      <c r="B2600">
        <v>33.068612999999999</v>
      </c>
      <c r="C2600">
        <v>5.0000000000000001E-3</v>
      </c>
      <c r="D2600">
        <v>4.4799999999999996E-3</v>
      </c>
      <c r="E2600">
        <v>878766108</v>
      </c>
      <c r="F2600">
        <v>120</v>
      </c>
    </row>
    <row r="2601" spans="1:6" x14ac:dyDescent="0.25">
      <c r="A2601">
        <v>-111.974352</v>
      </c>
      <c r="B2601">
        <v>33.068620000000003</v>
      </c>
      <c r="C2601">
        <v>0.13</v>
      </c>
      <c r="D2601">
        <v>0.11648</v>
      </c>
      <c r="E2601">
        <v>878766110</v>
      </c>
      <c r="F2601">
        <v>120</v>
      </c>
    </row>
    <row r="2602" spans="1:6" x14ac:dyDescent="0.25">
      <c r="A2602">
        <v>-111.97435400000001</v>
      </c>
      <c r="B2602">
        <v>33.068624999999997</v>
      </c>
      <c r="C2602">
        <v>0.1</v>
      </c>
      <c r="D2602">
        <v>8.9599999999999999E-2</v>
      </c>
      <c r="E2602">
        <v>878766112</v>
      </c>
      <c r="F2602">
        <v>120</v>
      </c>
    </row>
    <row r="2603" spans="1:6" x14ac:dyDescent="0.25">
      <c r="A2603">
        <v>-111.97435400000001</v>
      </c>
      <c r="B2603">
        <v>33.068631000000003</v>
      </c>
      <c r="C2603">
        <v>0.8</v>
      </c>
      <c r="D2603">
        <v>0.71679999999999999</v>
      </c>
      <c r="E2603">
        <v>878766114</v>
      </c>
      <c r="F2603">
        <v>120</v>
      </c>
    </row>
    <row r="2604" spans="1:6" x14ac:dyDescent="0.25">
      <c r="A2604">
        <v>-111.97435400000001</v>
      </c>
      <c r="B2604">
        <v>33.068638</v>
      </c>
      <c r="C2604">
        <v>1.405</v>
      </c>
      <c r="D2604">
        <v>1.25888</v>
      </c>
      <c r="E2604">
        <v>878766116</v>
      </c>
      <c r="F2604">
        <v>120</v>
      </c>
    </row>
    <row r="2605" spans="1:6" x14ac:dyDescent="0.25">
      <c r="A2605">
        <v>-111.974352</v>
      </c>
      <c r="B2605">
        <v>33.068646999999999</v>
      </c>
      <c r="C2605">
        <v>1.675</v>
      </c>
      <c r="D2605">
        <v>1.5007999999999999</v>
      </c>
      <c r="E2605">
        <v>878766118</v>
      </c>
      <c r="F2605">
        <v>120</v>
      </c>
    </row>
    <row r="2606" spans="1:6" x14ac:dyDescent="0.25">
      <c r="A2606">
        <v>-111.974352</v>
      </c>
      <c r="B2606">
        <v>33.068655</v>
      </c>
      <c r="C2606">
        <v>1.095</v>
      </c>
      <c r="D2606">
        <v>0.98111999999999999</v>
      </c>
      <c r="E2606">
        <v>878766120</v>
      </c>
      <c r="F2606">
        <v>120</v>
      </c>
    </row>
    <row r="2607" spans="1:6" x14ac:dyDescent="0.25">
      <c r="A2607">
        <v>-111.974352</v>
      </c>
      <c r="B2607">
        <v>33.068663999999998</v>
      </c>
      <c r="C2607">
        <v>1.0649999999999999</v>
      </c>
      <c r="D2607">
        <v>0.95423999999999998</v>
      </c>
      <c r="E2607">
        <v>878766122</v>
      </c>
      <c r="F2607">
        <v>120</v>
      </c>
    </row>
    <row r="2608" spans="1:6" x14ac:dyDescent="0.25">
      <c r="A2608">
        <v>-111.974352</v>
      </c>
      <c r="B2608">
        <v>33.068671000000002</v>
      </c>
      <c r="C2608">
        <v>1.325</v>
      </c>
      <c r="D2608">
        <v>1.1872</v>
      </c>
      <c r="E2608">
        <v>878766124</v>
      </c>
      <c r="F2608">
        <v>120</v>
      </c>
    </row>
    <row r="2609" spans="1:6" x14ac:dyDescent="0.25">
      <c r="A2609">
        <v>-111.974352</v>
      </c>
      <c r="B2609">
        <v>33.068677999999998</v>
      </c>
      <c r="C2609">
        <v>0.67500000000000004</v>
      </c>
      <c r="D2609">
        <v>0.6048</v>
      </c>
      <c r="E2609">
        <v>878766126</v>
      </c>
      <c r="F2609">
        <v>120</v>
      </c>
    </row>
    <row r="2610" spans="1:6" x14ac:dyDescent="0.25">
      <c r="A2610">
        <v>-111.974352</v>
      </c>
      <c r="B2610">
        <v>33.068686</v>
      </c>
      <c r="C2610">
        <v>1.05</v>
      </c>
      <c r="D2610">
        <v>0.94079999999999997</v>
      </c>
      <c r="E2610">
        <v>878766128</v>
      </c>
      <c r="F2610">
        <v>120</v>
      </c>
    </row>
    <row r="2611" spans="1:6" x14ac:dyDescent="0.25">
      <c r="A2611">
        <v>-111.974352</v>
      </c>
      <c r="B2611">
        <v>33.068694000000001</v>
      </c>
      <c r="C2611">
        <v>1.31</v>
      </c>
      <c r="D2611">
        <v>1.1737599999999999</v>
      </c>
      <c r="E2611">
        <v>878766130</v>
      </c>
      <c r="F2611">
        <v>120</v>
      </c>
    </row>
    <row r="2612" spans="1:6" x14ac:dyDescent="0.25">
      <c r="A2612">
        <v>-111.97435299999999</v>
      </c>
      <c r="B2612">
        <v>33.068702999999999</v>
      </c>
      <c r="C2612">
        <v>0.43</v>
      </c>
      <c r="D2612">
        <v>0.38528000000000001</v>
      </c>
      <c r="E2612">
        <v>878766132</v>
      </c>
      <c r="F2612">
        <v>120</v>
      </c>
    </row>
    <row r="2613" spans="1:6" x14ac:dyDescent="0.25">
      <c r="A2613">
        <v>-111.97435299999999</v>
      </c>
      <c r="B2613">
        <v>33.068711</v>
      </c>
      <c r="C2613">
        <v>1.29</v>
      </c>
      <c r="D2613">
        <v>1.15584</v>
      </c>
      <c r="E2613">
        <v>878766134</v>
      </c>
      <c r="F2613">
        <v>120</v>
      </c>
    </row>
    <row r="2614" spans="1:6" x14ac:dyDescent="0.25">
      <c r="A2614">
        <v>-111.974352</v>
      </c>
      <c r="B2614">
        <v>33.068719000000002</v>
      </c>
      <c r="C2614">
        <v>1.3</v>
      </c>
      <c r="D2614">
        <v>1.1648000000000001</v>
      </c>
      <c r="E2614">
        <v>878766136</v>
      </c>
      <c r="F2614">
        <v>120</v>
      </c>
    </row>
    <row r="2615" spans="1:6" x14ac:dyDescent="0.25">
      <c r="A2615">
        <v>-111.974351</v>
      </c>
      <c r="B2615">
        <v>33.068727000000003</v>
      </c>
      <c r="C2615">
        <v>0.86</v>
      </c>
      <c r="D2615">
        <v>0.77056000000000002</v>
      </c>
      <c r="E2615">
        <v>878766138</v>
      </c>
      <c r="F2615">
        <v>120</v>
      </c>
    </row>
    <row r="2616" spans="1:6" x14ac:dyDescent="0.25">
      <c r="A2616">
        <v>-111.974351</v>
      </c>
      <c r="B2616">
        <v>33.068734999999997</v>
      </c>
      <c r="C2616">
        <v>1.0549999999999999</v>
      </c>
      <c r="D2616">
        <v>0.94528000000000001</v>
      </c>
      <c r="E2616">
        <v>878766140</v>
      </c>
      <c r="F2616">
        <v>120</v>
      </c>
    </row>
    <row r="2617" spans="1:6" x14ac:dyDescent="0.25">
      <c r="A2617">
        <v>-111.974351</v>
      </c>
      <c r="B2617">
        <v>33.068742</v>
      </c>
      <c r="C2617">
        <v>1.48</v>
      </c>
      <c r="D2617">
        <v>1.3260799999999999</v>
      </c>
      <c r="E2617">
        <v>878766142</v>
      </c>
      <c r="F2617">
        <v>120</v>
      </c>
    </row>
    <row r="2618" spans="1:6" x14ac:dyDescent="0.25">
      <c r="A2618">
        <v>-111.974352</v>
      </c>
      <c r="B2618">
        <v>33.068750000000001</v>
      </c>
      <c r="C2618">
        <v>1.2849999999999999</v>
      </c>
      <c r="D2618">
        <v>1.1513599999999999</v>
      </c>
      <c r="E2618">
        <v>878766144</v>
      </c>
      <c r="F2618">
        <v>120</v>
      </c>
    </row>
    <row r="2619" spans="1:6" x14ac:dyDescent="0.25">
      <c r="A2619">
        <v>-111.974352</v>
      </c>
      <c r="B2619">
        <v>33.068758000000003</v>
      </c>
      <c r="C2619">
        <v>1.1299999999999999</v>
      </c>
      <c r="D2619">
        <v>1.01248</v>
      </c>
      <c r="E2619">
        <v>878766146</v>
      </c>
      <c r="F2619">
        <v>120</v>
      </c>
    </row>
    <row r="2620" spans="1:6" x14ac:dyDescent="0.25">
      <c r="A2620">
        <v>-111.974352</v>
      </c>
      <c r="B2620">
        <v>33.068765999999997</v>
      </c>
      <c r="C2620">
        <v>1.385</v>
      </c>
      <c r="D2620">
        <v>1.2409600000000001</v>
      </c>
      <c r="E2620">
        <v>878766148</v>
      </c>
      <c r="F2620">
        <v>120</v>
      </c>
    </row>
    <row r="2621" spans="1:6" x14ac:dyDescent="0.25">
      <c r="A2621">
        <v>-111.97435299999999</v>
      </c>
      <c r="B2621">
        <v>33.068775000000002</v>
      </c>
      <c r="C2621">
        <v>1.67</v>
      </c>
      <c r="D2621">
        <v>1.4963200000000001</v>
      </c>
      <c r="E2621">
        <v>878766150</v>
      </c>
      <c r="F2621">
        <v>120</v>
      </c>
    </row>
    <row r="2622" spans="1:6" x14ac:dyDescent="0.25">
      <c r="A2622">
        <v>-111.974352</v>
      </c>
      <c r="B2622">
        <v>33.068781999999999</v>
      </c>
      <c r="C2622">
        <v>0.17</v>
      </c>
      <c r="D2622">
        <v>0.15232000000000001</v>
      </c>
      <c r="E2622">
        <v>878766152</v>
      </c>
      <c r="F2622">
        <v>120</v>
      </c>
    </row>
    <row r="2623" spans="1:6" x14ac:dyDescent="0.25">
      <c r="A2623">
        <v>-111.97440400000001</v>
      </c>
      <c r="B2623">
        <v>33.068845000000003</v>
      </c>
      <c r="C2623">
        <v>5.0000000000000001E-3</v>
      </c>
      <c r="D2623">
        <v>4.4799999999999996E-3</v>
      </c>
      <c r="E2623">
        <v>878766178</v>
      </c>
      <c r="F2623">
        <v>120</v>
      </c>
    </row>
    <row r="2624" spans="1:6" x14ac:dyDescent="0.25">
      <c r="A2624">
        <v>-111.97442599999999</v>
      </c>
      <c r="B2624">
        <v>33.068832999999998</v>
      </c>
      <c r="C2624">
        <v>0.01</v>
      </c>
      <c r="D2624">
        <v>8.9599999999999992E-3</v>
      </c>
      <c r="E2624">
        <v>878766182</v>
      </c>
      <c r="F2624">
        <v>120</v>
      </c>
    </row>
    <row r="2625" spans="1:6" x14ac:dyDescent="0.25">
      <c r="A2625">
        <v>-111.974439</v>
      </c>
      <c r="B2625">
        <v>33.068770999999998</v>
      </c>
      <c r="C2625">
        <v>6.5000000000000002E-2</v>
      </c>
      <c r="D2625">
        <v>5.824E-2</v>
      </c>
      <c r="E2625">
        <v>878766198</v>
      </c>
      <c r="F2625">
        <v>120</v>
      </c>
    </row>
    <row r="2626" spans="1:6" x14ac:dyDescent="0.25">
      <c r="A2626">
        <v>-111.974439</v>
      </c>
      <c r="B2626">
        <v>33.068765999999997</v>
      </c>
      <c r="C2626">
        <v>0.12</v>
      </c>
      <c r="D2626">
        <v>0.10752</v>
      </c>
      <c r="E2626">
        <v>878766200</v>
      </c>
      <c r="F2626">
        <v>120</v>
      </c>
    </row>
    <row r="2627" spans="1:6" x14ac:dyDescent="0.25">
      <c r="A2627">
        <v>-111.97443800000001</v>
      </c>
      <c r="B2627">
        <v>33.068759999999997</v>
      </c>
      <c r="C2627">
        <v>0.95499999999999996</v>
      </c>
      <c r="D2627">
        <v>0.85568</v>
      </c>
      <c r="E2627">
        <v>878766202</v>
      </c>
      <c r="F2627">
        <v>120</v>
      </c>
    </row>
    <row r="2628" spans="1:6" x14ac:dyDescent="0.25">
      <c r="A2628">
        <v>-111.97443800000001</v>
      </c>
      <c r="B2628">
        <v>33.068753000000001</v>
      </c>
      <c r="C2628">
        <v>1.59</v>
      </c>
      <c r="D2628">
        <v>1.4246399999999999</v>
      </c>
      <c r="E2628">
        <v>878766204</v>
      </c>
      <c r="F2628">
        <v>120</v>
      </c>
    </row>
    <row r="2629" spans="1:6" x14ac:dyDescent="0.25">
      <c r="A2629">
        <v>-111.974439</v>
      </c>
      <c r="B2629">
        <v>33.068744000000002</v>
      </c>
      <c r="C2629">
        <v>1.325</v>
      </c>
      <c r="D2629">
        <v>1.1872</v>
      </c>
      <c r="E2629">
        <v>878766206</v>
      </c>
      <c r="F2629">
        <v>120</v>
      </c>
    </row>
    <row r="2630" spans="1:6" x14ac:dyDescent="0.25">
      <c r="A2630">
        <v>-111.97444</v>
      </c>
      <c r="B2630">
        <v>33.068738000000003</v>
      </c>
      <c r="C2630">
        <v>1.28</v>
      </c>
      <c r="D2630">
        <v>1.1468799999999999</v>
      </c>
      <c r="E2630">
        <v>878766208</v>
      </c>
      <c r="F2630">
        <v>120</v>
      </c>
    </row>
    <row r="2631" spans="1:6" x14ac:dyDescent="0.25">
      <c r="A2631">
        <v>-111.974441</v>
      </c>
      <c r="B2631">
        <v>33.068731</v>
      </c>
      <c r="C2631">
        <v>0.92</v>
      </c>
      <c r="D2631">
        <v>0.82432000000000005</v>
      </c>
      <c r="E2631">
        <v>878766210</v>
      </c>
      <c r="F2631">
        <v>120</v>
      </c>
    </row>
    <row r="2632" spans="1:6" x14ac:dyDescent="0.25">
      <c r="A2632">
        <v>-111.974441</v>
      </c>
      <c r="B2632">
        <v>33.068724000000003</v>
      </c>
      <c r="C2632">
        <v>2.0150000000000001</v>
      </c>
      <c r="D2632">
        <v>1.8054399999999999</v>
      </c>
      <c r="E2632">
        <v>878766212</v>
      </c>
      <c r="F2632">
        <v>120</v>
      </c>
    </row>
    <row r="2633" spans="1:6" x14ac:dyDescent="0.25">
      <c r="A2633">
        <v>-111.974441</v>
      </c>
      <c r="B2633">
        <v>33.068717999999997</v>
      </c>
      <c r="C2633">
        <v>1.45</v>
      </c>
      <c r="D2633">
        <v>1.2991999999999999</v>
      </c>
      <c r="E2633">
        <v>878766214</v>
      </c>
      <c r="F2633">
        <v>120</v>
      </c>
    </row>
    <row r="2634" spans="1:6" x14ac:dyDescent="0.25">
      <c r="A2634">
        <v>-111.974441</v>
      </c>
      <c r="B2634">
        <v>33.068711</v>
      </c>
      <c r="C2634">
        <v>1.28</v>
      </c>
      <c r="D2634">
        <v>1.1468799999999999</v>
      </c>
      <c r="E2634">
        <v>878766216</v>
      </c>
      <c r="F2634">
        <v>120</v>
      </c>
    </row>
    <row r="2635" spans="1:6" x14ac:dyDescent="0.25">
      <c r="A2635">
        <v>-111.974442</v>
      </c>
      <c r="B2635">
        <v>33.068703999999997</v>
      </c>
      <c r="C2635">
        <v>1.2949999999999999</v>
      </c>
      <c r="D2635">
        <v>1.16032</v>
      </c>
      <c r="E2635">
        <v>878766218</v>
      </c>
      <c r="F2635">
        <v>120</v>
      </c>
    </row>
    <row r="2636" spans="1:6" x14ac:dyDescent="0.25">
      <c r="A2636">
        <v>-111.974442</v>
      </c>
      <c r="B2636">
        <v>33.068696000000003</v>
      </c>
      <c r="C2636">
        <v>0.91500000000000004</v>
      </c>
      <c r="D2636">
        <v>0.81984000000000001</v>
      </c>
      <c r="E2636">
        <v>878766220</v>
      </c>
      <c r="F2636">
        <v>120</v>
      </c>
    </row>
    <row r="2637" spans="1:6" x14ac:dyDescent="0.25">
      <c r="A2637">
        <v>-111.974442</v>
      </c>
      <c r="B2637">
        <v>33.068688000000002</v>
      </c>
      <c r="C2637">
        <v>1.23</v>
      </c>
      <c r="D2637">
        <v>1.1020799999999999</v>
      </c>
      <c r="E2637">
        <v>878766222</v>
      </c>
      <c r="F2637">
        <v>120</v>
      </c>
    </row>
    <row r="2638" spans="1:6" x14ac:dyDescent="0.25">
      <c r="A2638">
        <v>-111.974442</v>
      </c>
      <c r="B2638">
        <v>33.068680000000001</v>
      </c>
      <c r="C2638">
        <v>0.77</v>
      </c>
      <c r="D2638">
        <v>0.68991999999999998</v>
      </c>
      <c r="E2638">
        <v>878766224</v>
      </c>
      <c r="F2638">
        <v>120</v>
      </c>
    </row>
    <row r="2639" spans="1:6" x14ac:dyDescent="0.25">
      <c r="A2639">
        <v>-111.974442</v>
      </c>
      <c r="B2639">
        <v>33.068671999999999</v>
      </c>
      <c r="C2639">
        <v>1.2849999999999999</v>
      </c>
      <c r="D2639">
        <v>1.1513599999999999</v>
      </c>
      <c r="E2639">
        <v>878766226</v>
      </c>
      <c r="F2639">
        <v>120</v>
      </c>
    </row>
    <row r="2640" spans="1:6" x14ac:dyDescent="0.25">
      <c r="A2640">
        <v>-111.974442</v>
      </c>
      <c r="B2640">
        <v>33.068665000000003</v>
      </c>
      <c r="C2640">
        <v>1.125</v>
      </c>
      <c r="D2640">
        <v>1.008</v>
      </c>
      <c r="E2640">
        <v>878766228</v>
      </c>
      <c r="F2640">
        <v>120</v>
      </c>
    </row>
    <row r="2641" spans="1:6" x14ac:dyDescent="0.25">
      <c r="A2641">
        <v>-111.974442</v>
      </c>
      <c r="B2641">
        <v>33.068657999999999</v>
      </c>
      <c r="C2641">
        <v>0.93</v>
      </c>
      <c r="D2641">
        <v>0.83328000000000002</v>
      </c>
      <c r="E2641">
        <v>878766230</v>
      </c>
      <c r="F2641">
        <v>120</v>
      </c>
    </row>
    <row r="2642" spans="1:6" x14ac:dyDescent="0.25">
      <c r="A2642">
        <v>-111.974441</v>
      </c>
      <c r="B2642">
        <v>33.068651000000003</v>
      </c>
      <c r="C2642">
        <v>1.0349999999999999</v>
      </c>
      <c r="D2642">
        <v>0.92735999999999996</v>
      </c>
      <c r="E2642">
        <v>878766232</v>
      </c>
      <c r="F2642">
        <v>120</v>
      </c>
    </row>
    <row r="2643" spans="1:6" x14ac:dyDescent="0.25">
      <c r="A2643">
        <v>-111.974442</v>
      </c>
      <c r="B2643">
        <v>33.068643000000002</v>
      </c>
      <c r="C2643">
        <v>1.405</v>
      </c>
      <c r="D2643">
        <v>1.25888</v>
      </c>
      <c r="E2643">
        <v>878766234</v>
      </c>
      <c r="F2643">
        <v>120</v>
      </c>
    </row>
    <row r="2644" spans="1:6" x14ac:dyDescent="0.25">
      <c r="A2644">
        <v>-111.974441</v>
      </c>
      <c r="B2644">
        <v>33.068635999999998</v>
      </c>
      <c r="C2644">
        <v>1.47</v>
      </c>
      <c r="D2644">
        <v>1.3171200000000001</v>
      </c>
      <c r="E2644">
        <v>878766236</v>
      </c>
      <c r="F2644">
        <v>120</v>
      </c>
    </row>
    <row r="2645" spans="1:6" x14ac:dyDescent="0.25">
      <c r="A2645">
        <v>-111.974442</v>
      </c>
      <c r="B2645">
        <v>33.068627999999997</v>
      </c>
      <c r="C2645">
        <v>1.4550000000000001</v>
      </c>
      <c r="D2645">
        <v>1.3036799999999999</v>
      </c>
      <c r="E2645">
        <v>878766238</v>
      </c>
      <c r="F2645">
        <v>120</v>
      </c>
    </row>
    <row r="2646" spans="1:6" x14ac:dyDescent="0.25">
      <c r="A2646">
        <v>-111.974441</v>
      </c>
      <c r="B2646">
        <v>33.068620000000003</v>
      </c>
      <c r="C2646">
        <v>1.4650000000000001</v>
      </c>
      <c r="D2646">
        <v>1.31264</v>
      </c>
      <c r="E2646">
        <v>878766240</v>
      </c>
      <c r="F2646">
        <v>120</v>
      </c>
    </row>
    <row r="2647" spans="1:6" x14ac:dyDescent="0.25">
      <c r="A2647">
        <v>-111.974441</v>
      </c>
      <c r="B2647">
        <v>33.068617000000003</v>
      </c>
      <c r="C2647">
        <v>0.17499999999999999</v>
      </c>
      <c r="D2647">
        <v>0.15679999999999999</v>
      </c>
      <c r="E2647">
        <v>878766242</v>
      </c>
      <c r="F2647">
        <v>120</v>
      </c>
    </row>
    <row r="2648" spans="1:6" x14ac:dyDescent="0.25">
      <c r="A2648">
        <v>-111.974441</v>
      </c>
      <c r="B2648">
        <v>33.068617000000003</v>
      </c>
      <c r="C2648">
        <v>5.0000000000000001E-3</v>
      </c>
      <c r="D2648">
        <v>4.4799999999999996E-3</v>
      </c>
      <c r="E2648">
        <v>878766244</v>
      </c>
      <c r="F2648">
        <v>120</v>
      </c>
    </row>
    <row r="2649" spans="1:6" x14ac:dyDescent="0.25">
      <c r="A2649">
        <v>-111.974442</v>
      </c>
      <c r="B2649">
        <v>33.06861</v>
      </c>
      <c r="C2649">
        <v>0.05</v>
      </c>
      <c r="D2649">
        <v>4.48E-2</v>
      </c>
      <c r="E2649">
        <v>878766252</v>
      </c>
      <c r="F2649">
        <v>120</v>
      </c>
    </row>
    <row r="2650" spans="1:6" x14ac:dyDescent="0.25">
      <c r="A2650">
        <v>-111.97444</v>
      </c>
      <c r="B2650">
        <v>33.068604000000001</v>
      </c>
      <c r="C2650">
        <v>0.15</v>
      </c>
      <c r="D2650">
        <v>0.13439999999999999</v>
      </c>
      <c r="E2650">
        <v>878766254</v>
      </c>
      <c r="F2650">
        <v>120</v>
      </c>
    </row>
    <row r="2651" spans="1:6" x14ac:dyDescent="0.25">
      <c r="A2651">
        <v>-111.974439</v>
      </c>
      <c r="B2651">
        <v>33.068596999999997</v>
      </c>
      <c r="C2651">
        <v>0.38</v>
      </c>
      <c r="D2651">
        <v>0.34048</v>
      </c>
      <c r="E2651">
        <v>878766256</v>
      </c>
      <c r="F2651">
        <v>120</v>
      </c>
    </row>
    <row r="2652" spans="1:6" x14ac:dyDescent="0.25">
      <c r="A2652">
        <v>-111.97444</v>
      </c>
      <c r="B2652">
        <v>33.068589000000003</v>
      </c>
      <c r="C2652">
        <v>1.4350000000000001</v>
      </c>
      <c r="D2652">
        <v>1.28576</v>
      </c>
      <c r="E2652">
        <v>878766258</v>
      </c>
      <c r="F2652">
        <v>120</v>
      </c>
    </row>
    <row r="2653" spans="1:6" x14ac:dyDescent="0.25">
      <c r="A2653">
        <v>-111.974442</v>
      </c>
      <c r="B2653">
        <v>33.068581000000002</v>
      </c>
      <c r="C2653">
        <v>1.7949999999999999</v>
      </c>
      <c r="D2653">
        <v>1.60832</v>
      </c>
      <c r="E2653">
        <v>878766260</v>
      </c>
      <c r="F2653">
        <v>120</v>
      </c>
    </row>
    <row r="2654" spans="1:6" x14ac:dyDescent="0.25">
      <c r="A2654">
        <v>-111.97444299999999</v>
      </c>
      <c r="B2654">
        <v>33.068572000000003</v>
      </c>
      <c r="C2654">
        <v>1.7150000000000001</v>
      </c>
      <c r="D2654">
        <v>1.53664</v>
      </c>
      <c r="E2654">
        <v>878766262</v>
      </c>
      <c r="F2654">
        <v>120</v>
      </c>
    </row>
    <row r="2655" spans="1:6" x14ac:dyDescent="0.25">
      <c r="A2655">
        <v>-111.97444299999999</v>
      </c>
      <c r="B2655">
        <v>33.068562999999997</v>
      </c>
      <c r="C2655">
        <v>1.665</v>
      </c>
      <c r="D2655">
        <v>1.4918400000000001</v>
      </c>
      <c r="E2655">
        <v>878766264</v>
      </c>
      <c r="F2655">
        <v>120</v>
      </c>
    </row>
    <row r="2656" spans="1:6" x14ac:dyDescent="0.25">
      <c r="A2656">
        <v>-111.97444299999999</v>
      </c>
      <c r="B2656">
        <v>33.068555000000003</v>
      </c>
      <c r="C2656">
        <v>1.67</v>
      </c>
      <c r="D2656">
        <v>1.4963200000000001</v>
      </c>
      <c r="E2656">
        <v>878766266</v>
      </c>
      <c r="F2656">
        <v>120</v>
      </c>
    </row>
    <row r="2657" spans="1:6" x14ac:dyDescent="0.25">
      <c r="A2657">
        <v>-111.974442</v>
      </c>
      <c r="B2657">
        <v>33.068547000000002</v>
      </c>
      <c r="C2657">
        <v>1.575</v>
      </c>
      <c r="D2657">
        <v>1.4112</v>
      </c>
      <c r="E2657">
        <v>878766268</v>
      </c>
      <c r="F2657">
        <v>120</v>
      </c>
    </row>
    <row r="2658" spans="1:6" x14ac:dyDescent="0.25">
      <c r="A2658">
        <v>-111.974442</v>
      </c>
      <c r="B2658">
        <v>33.068539000000001</v>
      </c>
      <c r="C2658">
        <v>1.395</v>
      </c>
      <c r="D2658">
        <v>1.2499199999999999</v>
      </c>
      <c r="E2658">
        <v>878766270</v>
      </c>
      <c r="F2658">
        <v>120</v>
      </c>
    </row>
    <row r="2659" spans="1:6" x14ac:dyDescent="0.25">
      <c r="A2659">
        <v>-111.974442</v>
      </c>
      <c r="B2659">
        <v>33.068531</v>
      </c>
      <c r="C2659">
        <v>1.45</v>
      </c>
      <c r="D2659">
        <v>1.2991999999999999</v>
      </c>
      <c r="E2659">
        <v>878766272</v>
      </c>
      <c r="F2659">
        <v>120</v>
      </c>
    </row>
    <row r="2660" spans="1:6" x14ac:dyDescent="0.25">
      <c r="A2660">
        <v>-111.974442</v>
      </c>
      <c r="B2660">
        <v>33.068523999999996</v>
      </c>
      <c r="C2660">
        <v>1.0249999999999999</v>
      </c>
      <c r="D2660">
        <v>0.91839999999999999</v>
      </c>
      <c r="E2660">
        <v>878766274</v>
      </c>
      <c r="F2660">
        <v>120</v>
      </c>
    </row>
    <row r="2661" spans="1:6" x14ac:dyDescent="0.25">
      <c r="A2661">
        <v>-111.974442</v>
      </c>
      <c r="B2661">
        <v>33.068517</v>
      </c>
      <c r="C2661">
        <v>1.155</v>
      </c>
      <c r="D2661">
        <v>1.03488</v>
      </c>
      <c r="E2661">
        <v>878766276</v>
      </c>
      <c r="F2661">
        <v>120</v>
      </c>
    </row>
    <row r="2662" spans="1:6" x14ac:dyDescent="0.25">
      <c r="A2662">
        <v>-111.974442</v>
      </c>
      <c r="B2662">
        <v>33.068508000000001</v>
      </c>
      <c r="C2662">
        <v>1.03</v>
      </c>
      <c r="D2662">
        <v>0.92288000000000003</v>
      </c>
      <c r="E2662">
        <v>878766278</v>
      </c>
      <c r="F2662">
        <v>120</v>
      </c>
    </row>
    <row r="2663" spans="1:6" x14ac:dyDescent="0.25">
      <c r="A2663">
        <v>-111.97444299999999</v>
      </c>
      <c r="B2663">
        <v>33.068500999999998</v>
      </c>
      <c r="C2663">
        <v>1.0549999999999999</v>
      </c>
      <c r="D2663">
        <v>0.94528000000000001</v>
      </c>
      <c r="E2663">
        <v>878766280</v>
      </c>
      <c r="F2663">
        <v>120</v>
      </c>
    </row>
    <row r="2664" spans="1:6" x14ac:dyDescent="0.25">
      <c r="A2664">
        <v>-111.97444299999999</v>
      </c>
      <c r="B2664">
        <v>33.068492999999997</v>
      </c>
      <c r="C2664">
        <v>1.1499999999999999</v>
      </c>
      <c r="D2664">
        <v>1.0304</v>
      </c>
      <c r="E2664">
        <v>878766282</v>
      </c>
      <c r="F2664">
        <v>120</v>
      </c>
    </row>
    <row r="2665" spans="1:6" x14ac:dyDescent="0.25">
      <c r="A2665">
        <v>-111.97444400000001</v>
      </c>
      <c r="B2665">
        <v>33.068486</v>
      </c>
      <c r="C2665">
        <v>1.075</v>
      </c>
      <c r="D2665">
        <v>0.96319999999999995</v>
      </c>
      <c r="E2665">
        <v>878766284</v>
      </c>
      <c r="F2665">
        <v>120</v>
      </c>
    </row>
    <row r="2666" spans="1:6" x14ac:dyDescent="0.25">
      <c r="A2666">
        <v>-111.97444299999999</v>
      </c>
      <c r="B2666">
        <v>33.068477999999999</v>
      </c>
      <c r="C2666">
        <v>1.4650000000000001</v>
      </c>
      <c r="D2666">
        <v>1.31264</v>
      </c>
      <c r="E2666">
        <v>878766286</v>
      </c>
      <c r="F2666">
        <v>120</v>
      </c>
    </row>
    <row r="2667" spans="1:6" x14ac:dyDescent="0.25">
      <c r="A2667">
        <v>-111.97444299999999</v>
      </c>
      <c r="B2667">
        <v>33.068471000000002</v>
      </c>
      <c r="C2667">
        <v>1.3149999999999999</v>
      </c>
      <c r="D2667">
        <v>1.17824</v>
      </c>
      <c r="E2667">
        <v>878766288</v>
      </c>
      <c r="F2667">
        <v>120</v>
      </c>
    </row>
    <row r="2668" spans="1:6" x14ac:dyDescent="0.25">
      <c r="A2668">
        <v>-111.97444299999999</v>
      </c>
      <c r="B2668">
        <v>33.068463999999999</v>
      </c>
      <c r="C2668">
        <v>1.335</v>
      </c>
      <c r="D2668">
        <v>1.1961599999999999</v>
      </c>
      <c r="E2668">
        <v>878766290</v>
      </c>
      <c r="F2668">
        <v>120</v>
      </c>
    </row>
    <row r="2669" spans="1:6" x14ac:dyDescent="0.25">
      <c r="A2669">
        <v>-111.97444299999999</v>
      </c>
      <c r="B2669">
        <v>33.068455999999998</v>
      </c>
      <c r="C2669">
        <v>1.29</v>
      </c>
      <c r="D2669">
        <v>1.15584</v>
      </c>
      <c r="E2669">
        <v>878766292</v>
      </c>
      <c r="F2669">
        <v>120</v>
      </c>
    </row>
    <row r="2670" spans="1:6" x14ac:dyDescent="0.25">
      <c r="A2670">
        <v>-111.974442</v>
      </c>
      <c r="B2670">
        <v>33.068447999999997</v>
      </c>
      <c r="C2670">
        <v>0.7</v>
      </c>
      <c r="D2670">
        <v>0.62719999999999998</v>
      </c>
      <c r="E2670">
        <v>878766294</v>
      </c>
      <c r="F2670">
        <v>120</v>
      </c>
    </row>
    <row r="2671" spans="1:6" x14ac:dyDescent="0.25">
      <c r="A2671">
        <v>-111.974442</v>
      </c>
      <c r="B2671">
        <v>33.068440000000002</v>
      </c>
      <c r="C2671">
        <v>5.0000000000000001E-3</v>
      </c>
      <c r="D2671">
        <v>4.4799999999999996E-3</v>
      </c>
      <c r="E2671">
        <v>878766296</v>
      </c>
      <c r="F2671">
        <v>120</v>
      </c>
    </row>
    <row r="2672" spans="1:6" x14ac:dyDescent="0.25">
      <c r="A2672">
        <v>-111.974439</v>
      </c>
      <c r="B2672">
        <v>33.068432999999999</v>
      </c>
      <c r="C2672">
        <v>0.01</v>
      </c>
      <c r="D2672">
        <v>8.9599999999999992E-3</v>
      </c>
      <c r="E2672">
        <v>878766298</v>
      </c>
      <c r="F2672">
        <v>120</v>
      </c>
    </row>
    <row r="2673" spans="1:6" x14ac:dyDescent="0.25">
      <c r="A2673">
        <v>-111.974441</v>
      </c>
      <c r="B2673">
        <v>33.068407999999998</v>
      </c>
      <c r="C2673">
        <v>5.0000000000000001E-3</v>
      </c>
      <c r="D2673">
        <v>4.4799999999999996E-3</v>
      </c>
      <c r="E2673">
        <v>878766304</v>
      </c>
      <c r="F2673">
        <v>120</v>
      </c>
    </row>
    <row r="2674" spans="1:6" x14ac:dyDescent="0.25">
      <c r="A2674">
        <v>-111.97443800000001</v>
      </c>
      <c r="B2674">
        <v>33.068393</v>
      </c>
      <c r="C2674">
        <v>5.0000000000000001E-3</v>
      </c>
      <c r="D2674">
        <v>4.4799999999999996E-3</v>
      </c>
      <c r="E2674">
        <v>878766308</v>
      </c>
      <c r="F2674">
        <v>120</v>
      </c>
    </row>
    <row r="2675" spans="1:6" x14ac:dyDescent="0.25">
      <c r="A2675">
        <v>-111.974442</v>
      </c>
      <c r="B2675">
        <v>33.068368</v>
      </c>
      <c r="C2675">
        <v>0.38500000000000001</v>
      </c>
      <c r="D2675">
        <v>0.34495999999999999</v>
      </c>
      <c r="E2675">
        <v>878766314</v>
      </c>
      <c r="F2675">
        <v>120</v>
      </c>
    </row>
    <row r="2676" spans="1:6" x14ac:dyDescent="0.25">
      <c r="A2676">
        <v>-111.974441</v>
      </c>
      <c r="B2676">
        <v>33.068359999999998</v>
      </c>
      <c r="C2676">
        <v>0.28999999999999998</v>
      </c>
      <c r="D2676">
        <v>0.25984000000000002</v>
      </c>
      <c r="E2676">
        <v>878766316</v>
      </c>
      <c r="F2676">
        <v>120</v>
      </c>
    </row>
    <row r="2677" spans="1:6" x14ac:dyDescent="0.25">
      <c r="A2677">
        <v>-111.974441</v>
      </c>
      <c r="B2677">
        <v>33.068351999999997</v>
      </c>
      <c r="C2677">
        <v>1.19</v>
      </c>
      <c r="D2677">
        <v>1.0662400000000001</v>
      </c>
      <c r="E2677">
        <v>878766318</v>
      </c>
      <c r="F2677">
        <v>120</v>
      </c>
    </row>
    <row r="2678" spans="1:6" x14ac:dyDescent="0.25">
      <c r="A2678">
        <v>-111.974442</v>
      </c>
      <c r="B2678">
        <v>33.068344000000003</v>
      </c>
      <c r="C2678">
        <v>1.325</v>
      </c>
      <c r="D2678">
        <v>1.1872</v>
      </c>
      <c r="E2678">
        <v>878766320</v>
      </c>
      <c r="F2678">
        <v>120</v>
      </c>
    </row>
    <row r="2679" spans="1:6" x14ac:dyDescent="0.25">
      <c r="A2679">
        <v>-111.97444299999999</v>
      </c>
      <c r="B2679">
        <v>33.068336000000002</v>
      </c>
      <c r="C2679">
        <v>1.105</v>
      </c>
      <c r="D2679">
        <v>0.99007999999999996</v>
      </c>
      <c r="E2679">
        <v>878766322</v>
      </c>
      <c r="F2679">
        <v>120</v>
      </c>
    </row>
    <row r="2680" spans="1:6" x14ac:dyDescent="0.25">
      <c r="A2680">
        <v>-111.97444299999999</v>
      </c>
      <c r="B2680">
        <v>33.068328000000001</v>
      </c>
      <c r="C2680">
        <v>1.05</v>
      </c>
      <c r="D2680">
        <v>0.94079999999999997</v>
      </c>
      <c r="E2680">
        <v>878766324</v>
      </c>
      <c r="F2680">
        <v>120</v>
      </c>
    </row>
    <row r="2681" spans="1:6" x14ac:dyDescent="0.25">
      <c r="A2681">
        <v>-111.97444299999999</v>
      </c>
      <c r="B2681">
        <v>33.06832</v>
      </c>
      <c r="C2681">
        <v>1.27</v>
      </c>
      <c r="D2681">
        <v>1.13792</v>
      </c>
      <c r="E2681">
        <v>878766326</v>
      </c>
      <c r="F2681">
        <v>120</v>
      </c>
    </row>
    <row r="2682" spans="1:6" x14ac:dyDescent="0.25">
      <c r="A2682">
        <v>-111.97444400000001</v>
      </c>
      <c r="B2682">
        <v>33.068311999999999</v>
      </c>
      <c r="C2682">
        <v>0.72499999999999998</v>
      </c>
      <c r="D2682">
        <v>0.64959999999999996</v>
      </c>
      <c r="E2682">
        <v>878766328</v>
      </c>
      <c r="F2682">
        <v>120</v>
      </c>
    </row>
    <row r="2683" spans="1:6" x14ac:dyDescent="0.25">
      <c r="A2683">
        <v>-111.97444400000001</v>
      </c>
      <c r="B2683">
        <v>33.068303999999998</v>
      </c>
      <c r="C2683">
        <v>1.1599999999999999</v>
      </c>
      <c r="D2683">
        <v>1.0393600000000001</v>
      </c>
      <c r="E2683">
        <v>878766330</v>
      </c>
      <c r="F2683">
        <v>120</v>
      </c>
    </row>
    <row r="2684" spans="1:6" x14ac:dyDescent="0.25">
      <c r="A2684">
        <v>-111.97444299999999</v>
      </c>
      <c r="B2684">
        <v>33.068295999999997</v>
      </c>
      <c r="C2684">
        <v>1.125</v>
      </c>
      <c r="D2684">
        <v>1.008</v>
      </c>
      <c r="E2684">
        <v>878766332</v>
      </c>
      <c r="F2684">
        <v>120</v>
      </c>
    </row>
    <row r="2685" spans="1:6" x14ac:dyDescent="0.25">
      <c r="A2685">
        <v>-111.97444299999999</v>
      </c>
      <c r="B2685">
        <v>33.068289</v>
      </c>
      <c r="C2685">
        <v>1.2350000000000001</v>
      </c>
      <c r="D2685">
        <v>1.10656</v>
      </c>
      <c r="E2685">
        <v>878766334</v>
      </c>
      <c r="F2685">
        <v>120</v>
      </c>
    </row>
    <row r="2686" spans="1:6" x14ac:dyDescent="0.25">
      <c r="A2686">
        <v>-111.97444299999999</v>
      </c>
      <c r="B2686">
        <v>33.068282000000004</v>
      </c>
      <c r="C2686">
        <v>0.90500000000000003</v>
      </c>
      <c r="D2686">
        <v>0.81088000000000005</v>
      </c>
      <c r="E2686">
        <v>878766336</v>
      </c>
      <c r="F2686">
        <v>120</v>
      </c>
    </row>
    <row r="2687" spans="1:6" x14ac:dyDescent="0.25">
      <c r="A2687">
        <v>-111.97444299999999</v>
      </c>
      <c r="B2687">
        <v>33.068274000000002</v>
      </c>
      <c r="C2687">
        <v>0.97</v>
      </c>
      <c r="D2687">
        <v>0.86912</v>
      </c>
      <c r="E2687">
        <v>878766338</v>
      </c>
      <c r="F2687">
        <v>120</v>
      </c>
    </row>
    <row r="2688" spans="1:6" x14ac:dyDescent="0.25">
      <c r="A2688">
        <v>-111.97444400000001</v>
      </c>
      <c r="B2688">
        <v>33.068266000000001</v>
      </c>
      <c r="C2688">
        <v>0.61</v>
      </c>
      <c r="D2688">
        <v>0.54656000000000005</v>
      </c>
      <c r="E2688">
        <v>878766340</v>
      </c>
      <c r="F2688">
        <v>120</v>
      </c>
    </row>
    <row r="2689" spans="1:6" x14ac:dyDescent="0.25">
      <c r="A2689">
        <v>-111.97444299999999</v>
      </c>
      <c r="B2689">
        <v>33.068258</v>
      </c>
      <c r="C2689">
        <v>1.05</v>
      </c>
      <c r="D2689">
        <v>0.94079999999999997</v>
      </c>
      <c r="E2689">
        <v>878766342</v>
      </c>
      <c r="F2689">
        <v>120</v>
      </c>
    </row>
    <row r="2690" spans="1:6" x14ac:dyDescent="0.25">
      <c r="A2690">
        <v>-111.97444400000001</v>
      </c>
      <c r="B2690">
        <v>33.068249999999999</v>
      </c>
      <c r="C2690">
        <v>0.77</v>
      </c>
      <c r="D2690">
        <v>0.68991999999999998</v>
      </c>
      <c r="E2690">
        <v>878766344</v>
      </c>
      <c r="F2690">
        <v>120</v>
      </c>
    </row>
    <row r="2691" spans="1:6" x14ac:dyDescent="0.25">
      <c r="A2691">
        <v>-111.97444400000001</v>
      </c>
      <c r="B2691">
        <v>33.068243000000002</v>
      </c>
      <c r="C2691">
        <v>0.96499999999999997</v>
      </c>
      <c r="D2691">
        <v>0.86463999999999996</v>
      </c>
      <c r="E2691">
        <v>878766346</v>
      </c>
      <c r="F2691">
        <v>120</v>
      </c>
    </row>
    <row r="2692" spans="1:6" x14ac:dyDescent="0.25">
      <c r="A2692">
        <v>-111.97444299999999</v>
      </c>
      <c r="B2692">
        <v>33.068235000000001</v>
      </c>
      <c r="C2692">
        <v>0.90500000000000003</v>
      </c>
      <c r="D2692">
        <v>0.81088000000000005</v>
      </c>
      <c r="E2692">
        <v>878766348</v>
      </c>
      <c r="F2692">
        <v>120</v>
      </c>
    </row>
    <row r="2693" spans="1:6" x14ac:dyDescent="0.25">
      <c r="A2693">
        <v>-111.97444400000001</v>
      </c>
      <c r="B2693">
        <v>33.068227999999998</v>
      </c>
      <c r="C2693">
        <v>0.97499999999999998</v>
      </c>
      <c r="D2693">
        <v>0.87360000000000004</v>
      </c>
      <c r="E2693">
        <v>878766350</v>
      </c>
      <c r="F2693">
        <v>120</v>
      </c>
    </row>
    <row r="2694" spans="1:6" x14ac:dyDescent="0.25">
      <c r="A2694">
        <v>-111.97444400000001</v>
      </c>
      <c r="B2694">
        <v>33.068221000000001</v>
      </c>
      <c r="C2694">
        <v>0.96499999999999997</v>
      </c>
      <c r="D2694">
        <v>0.86463999999999996</v>
      </c>
      <c r="E2694">
        <v>878766352</v>
      </c>
      <c r="F2694">
        <v>120</v>
      </c>
    </row>
    <row r="2695" spans="1:6" x14ac:dyDescent="0.25">
      <c r="A2695">
        <v>-111.97444400000001</v>
      </c>
      <c r="B2695">
        <v>33.068213</v>
      </c>
      <c r="C2695">
        <v>1.1850000000000001</v>
      </c>
      <c r="D2695">
        <v>1.06176</v>
      </c>
      <c r="E2695">
        <v>878766354</v>
      </c>
      <c r="F2695">
        <v>120</v>
      </c>
    </row>
    <row r="2696" spans="1:6" x14ac:dyDescent="0.25">
      <c r="A2696">
        <v>-111.97444400000001</v>
      </c>
      <c r="B2696">
        <v>33.068207999999998</v>
      </c>
      <c r="C2696">
        <v>0.53500000000000003</v>
      </c>
      <c r="D2696">
        <v>0.47936000000000001</v>
      </c>
      <c r="E2696">
        <v>878766356</v>
      </c>
      <c r="F2696">
        <v>120</v>
      </c>
    </row>
    <row r="2697" spans="1:6" x14ac:dyDescent="0.25">
      <c r="A2697">
        <v>-111.97444</v>
      </c>
      <c r="B2697">
        <v>33.068196</v>
      </c>
      <c r="C2697">
        <v>5.0000000000000001E-3</v>
      </c>
      <c r="D2697">
        <v>4.4799999999999996E-3</v>
      </c>
      <c r="E2697">
        <v>878766364</v>
      </c>
      <c r="F2697">
        <v>120</v>
      </c>
    </row>
    <row r="2698" spans="1:6" x14ac:dyDescent="0.25">
      <c r="A2698">
        <v>-111.974441</v>
      </c>
      <c r="B2698">
        <v>33.068190999999999</v>
      </c>
      <c r="C2698">
        <v>0.22</v>
      </c>
      <c r="D2698">
        <v>0.19711999999999999</v>
      </c>
      <c r="E2698">
        <v>878766366</v>
      </c>
      <c r="F2698">
        <v>120</v>
      </c>
    </row>
    <row r="2699" spans="1:6" x14ac:dyDescent="0.25">
      <c r="A2699">
        <v>-111.97444</v>
      </c>
      <c r="B2699">
        <v>33.068185999999997</v>
      </c>
      <c r="C2699">
        <v>0.41</v>
      </c>
      <c r="D2699">
        <v>0.36736000000000002</v>
      </c>
      <c r="E2699">
        <v>878766368</v>
      </c>
      <c r="F2699">
        <v>120</v>
      </c>
    </row>
    <row r="2700" spans="1:6" x14ac:dyDescent="0.25">
      <c r="A2700">
        <v>-111.974442</v>
      </c>
      <c r="B2700">
        <v>33.068179999999998</v>
      </c>
      <c r="C2700">
        <v>1.415</v>
      </c>
      <c r="D2700">
        <v>1.2678400000000001</v>
      </c>
      <c r="E2700">
        <v>878766370</v>
      </c>
      <c r="F2700">
        <v>120</v>
      </c>
    </row>
    <row r="2701" spans="1:6" x14ac:dyDescent="0.25">
      <c r="A2701">
        <v>-111.97444400000001</v>
      </c>
      <c r="B2701">
        <v>33.068171</v>
      </c>
      <c r="C2701">
        <v>1.595</v>
      </c>
      <c r="D2701">
        <v>1.4291199999999999</v>
      </c>
      <c r="E2701">
        <v>878766372</v>
      </c>
      <c r="F2701">
        <v>120</v>
      </c>
    </row>
    <row r="2702" spans="1:6" x14ac:dyDescent="0.25">
      <c r="A2702">
        <v>-111.974446</v>
      </c>
      <c r="B2702">
        <v>33.068162999999998</v>
      </c>
      <c r="C2702">
        <v>1.46</v>
      </c>
      <c r="D2702">
        <v>1.30816</v>
      </c>
      <c r="E2702">
        <v>878766374</v>
      </c>
      <c r="F2702">
        <v>120</v>
      </c>
    </row>
    <row r="2703" spans="1:6" x14ac:dyDescent="0.25">
      <c r="A2703">
        <v>-111.974445</v>
      </c>
      <c r="B2703">
        <v>33.068154999999997</v>
      </c>
      <c r="C2703">
        <v>0.85</v>
      </c>
      <c r="D2703">
        <v>0.76160000000000005</v>
      </c>
      <c r="E2703">
        <v>878766376</v>
      </c>
      <c r="F2703">
        <v>120</v>
      </c>
    </row>
    <row r="2704" spans="1:6" x14ac:dyDescent="0.25">
      <c r="A2704">
        <v>-111.974445</v>
      </c>
      <c r="B2704">
        <v>33.068147000000003</v>
      </c>
      <c r="C2704">
        <v>1.4650000000000001</v>
      </c>
      <c r="D2704">
        <v>1.31264</v>
      </c>
      <c r="E2704">
        <v>878766378</v>
      </c>
      <c r="F2704">
        <v>120</v>
      </c>
    </row>
    <row r="2705" spans="1:6" x14ac:dyDescent="0.25">
      <c r="A2705">
        <v>-111.974445</v>
      </c>
      <c r="B2705">
        <v>33.06814</v>
      </c>
      <c r="C2705">
        <v>1.77</v>
      </c>
      <c r="D2705">
        <v>1.58592</v>
      </c>
      <c r="E2705">
        <v>878766380</v>
      </c>
      <c r="F2705">
        <v>120</v>
      </c>
    </row>
    <row r="2706" spans="1:6" x14ac:dyDescent="0.25">
      <c r="A2706">
        <v>-111.974445</v>
      </c>
      <c r="B2706">
        <v>33.068131999999999</v>
      </c>
      <c r="C2706">
        <v>1.52</v>
      </c>
      <c r="D2706">
        <v>1.36192</v>
      </c>
      <c r="E2706">
        <v>878766382</v>
      </c>
      <c r="F2706">
        <v>120</v>
      </c>
    </row>
    <row r="2707" spans="1:6" x14ac:dyDescent="0.25">
      <c r="A2707">
        <v>-111.974445</v>
      </c>
      <c r="B2707">
        <v>33.068125000000002</v>
      </c>
      <c r="C2707">
        <v>1.53</v>
      </c>
      <c r="D2707">
        <v>1.3708800000000001</v>
      </c>
      <c r="E2707">
        <v>878766384</v>
      </c>
      <c r="F2707">
        <v>120</v>
      </c>
    </row>
    <row r="2708" spans="1:6" x14ac:dyDescent="0.25">
      <c r="A2708">
        <v>-111.974445</v>
      </c>
      <c r="B2708">
        <v>33.068116000000003</v>
      </c>
      <c r="C2708">
        <v>0.98499999999999999</v>
      </c>
      <c r="D2708">
        <v>0.88256000000000001</v>
      </c>
      <c r="E2708">
        <v>878766386</v>
      </c>
      <c r="F2708">
        <v>120</v>
      </c>
    </row>
    <row r="2709" spans="1:6" x14ac:dyDescent="0.25">
      <c r="A2709">
        <v>-111.974445</v>
      </c>
      <c r="B2709">
        <v>33.068108000000002</v>
      </c>
      <c r="C2709">
        <v>0.96</v>
      </c>
      <c r="D2709">
        <v>0.86016000000000004</v>
      </c>
      <c r="E2709">
        <v>878766388</v>
      </c>
      <c r="F2709">
        <v>120</v>
      </c>
    </row>
    <row r="2710" spans="1:6" x14ac:dyDescent="0.25">
      <c r="A2710">
        <v>-111.974445</v>
      </c>
      <c r="B2710">
        <v>33.068100000000001</v>
      </c>
      <c r="C2710">
        <v>1.06</v>
      </c>
      <c r="D2710">
        <v>0.94976000000000005</v>
      </c>
      <c r="E2710">
        <v>878766390</v>
      </c>
      <c r="F2710">
        <v>120</v>
      </c>
    </row>
    <row r="2711" spans="1:6" x14ac:dyDescent="0.25">
      <c r="A2711">
        <v>-111.974445</v>
      </c>
      <c r="B2711">
        <v>33.068092999999998</v>
      </c>
      <c r="C2711">
        <v>1.0900000000000001</v>
      </c>
      <c r="D2711">
        <v>0.97663999999999995</v>
      </c>
      <c r="E2711">
        <v>878766392</v>
      </c>
      <c r="F2711">
        <v>120</v>
      </c>
    </row>
    <row r="2712" spans="1:6" x14ac:dyDescent="0.25">
      <c r="A2712">
        <v>-111.974445</v>
      </c>
      <c r="B2712">
        <v>33.068083999999999</v>
      </c>
      <c r="C2712">
        <v>0.83</v>
      </c>
      <c r="D2712">
        <v>0.74368000000000001</v>
      </c>
      <c r="E2712">
        <v>878766394</v>
      </c>
      <c r="F2712">
        <v>120</v>
      </c>
    </row>
    <row r="2713" spans="1:6" x14ac:dyDescent="0.25">
      <c r="A2713">
        <v>-111.974445</v>
      </c>
      <c r="B2713">
        <v>33.068075999999998</v>
      </c>
      <c r="C2713">
        <v>0.78</v>
      </c>
      <c r="D2713">
        <v>0.69887999999999995</v>
      </c>
      <c r="E2713">
        <v>878766396</v>
      </c>
      <c r="F2713">
        <v>120</v>
      </c>
    </row>
    <row r="2714" spans="1:6" x14ac:dyDescent="0.25">
      <c r="A2714">
        <v>-111.974445</v>
      </c>
      <c r="B2714">
        <v>33.068067999999997</v>
      </c>
      <c r="C2714">
        <v>1.1299999999999999</v>
      </c>
      <c r="D2714">
        <v>1.01248</v>
      </c>
      <c r="E2714">
        <v>878766398</v>
      </c>
      <c r="F2714">
        <v>120</v>
      </c>
    </row>
    <row r="2715" spans="1:6" x14ac:dyDescent="0.25">
      <c r="A2715">
        <v>-111.974445</v>
      </c>
      <c r="B2715">
        <v>33.068060000000003</v>
      </c>
      <c r="C2715">
        <v>1.1000000000000001</v>
      </c>
      <c r="D2715">
        <v>0.98560000000000003</v>
      </c>
      <c r="E2715">
        <v>878766400</v>
      </c>
      <c r="F2715">
        <v>120</v>
      </c>
    </row>
    <row r="2716" spans="1:6" x14ac:dyDescent="0.25">
      <c r="A2716">
        <v>-111.974445</v>
      </c>
      <c r="B2716">
        <v>33.068052000000002</v>
      </c>
      <c r="C2716">
        <v>0.84499999999999997</v>
      </c>
      <c r="D2716">
        <v>0.75712000000000002</v>
      </c>
      <c r="E2716">
        <v>878766402</v>
      </c>
      <c r="F2716">
        <v>120</v>
      </c>
    </row>
    <row r="2717" spans="1:6" x14ac:dyDescent="0.25">
      <c r="A2717">
        <v>-111.974445</v>
      </c>
      <c r="B2717">
        <v>33.068043000000003</v>
      </c>
      <c r="C2717">
        <v>0.90500000000000003</v>
      </c>
      <c r="D2717">
        <v>0.81088000000000005</v>
      </c>
      <c r="E2717">
        <v>878766404</v>
      </c>
      <c r="F2717">
        <v>120</v>
      </c>
    </row>
    <row r="2718" spans="1:6" x14ac:dyDescent="0.25">
      <c r="A2718">
        <v>-111.97444400000001</v>
      </c>
      <c r="B2718">
        <v>33.068035999999999</v>
      </c>
      <c r="C2718">
        <v>0.90500000000000003</v>
      </c>
      <c r="D2718">
        <v>0.81088000000000005</v>
      </c>
      <c r="E2718">
        <v>878766406</v>
      </c>
      <c r="F2718">
        <v>120</v>
      </c>
    </row>
    <row r="2719" spans="1:6" x14ac:dyDescent="0.25">
      <c r="A2719">
        <v>-111.97444400000001</v>
      </c>
      <c r="B2719">
        <v>33.06803</v>
      </c>
      <c r="C2719">
        <v>0.02</v>
      </c>
      <c r="D2719">
        <v>1.7919999999999998E-2</v>
      </c>
      <c r="E2719">
        <v>878766408</v>
      </c>
      <c r="F2719">
        <v>120</v>
      </c>
    </row>
    <row r="2720" spans="1:6" x14ac:dyDescent="0.25">
      <c r="A2720">
        <v>-111.97444299999999</v>
      </c>
      <c r="B2720">
        <v>33.068019999999997</v>
      </c>
      <c r="C2720">
        <v>5.0000000000000001E-3</v>
      </c>
      <c r="D2720">
        <v>4.4799999999999996E-3</v>
      </c>
      <c r="E2720">
        <v>878766418</v>
      </c>
      <c r="F2720">
        <v>120</v>
      </c>
    </row>
    <row r="2721" spans="1:6" x14ac:dyDescent="0.25">
      <c r="A2721">
        <v>-111.97444299999999</v>
      </c>
      <c r="B2721">
        <v>33.068007999999999</v>
      </c>
      <c r="C2721">
        <v>5.0000000000000001E-3</v>
      </c>
      <c r="D2721">
        <v>4.4799999999999996E-3</v>
      </c>
      <c r="E2721">
        <v>878766420</v>
      </c>
      <c r="F2721">
        <v>120</v>
      </c>
    </row>
    <row r="2722" spans="1:6" x14ac:dyDescent="0.25">
      <c r="A2722">
        <v>-111.974445</v>
      </c>
      <c r="B2722">
        <v>33.067995000000003</v>
      </c>
      <c r="C2722">
        <v>5.0000000000000001E-3</v>
      </c>
      <c r="D2722">
        <v>4.4799999999999996E-3</v>
      </c>
      <c r="E2722">
        <v>878766422</v>
      </c>
      <c r="F2722">
        <v>120</v>
      </c>
    </row>
    <row r="2723" spans="1:6" x14ac:dyDescent="0.25">
      <c r="A2723">
        <v>-111.974456</v>
      </c>
      <c r="B2723">
        <v>33.067987000000002</v>
      </c>
      <c r="C2723">
        <v>5.0000000000000001E-3</v>
      </c>
      <c r="D2723">
        <v>4.4799999999999996E-3</v>
      </c>
      <c r="E2723">
        <v>878766424</v>
      </c>
      <c r="F2723">
        <v>120</v>
      </c>
    </row>
    <row r="2724" spans="1:6" x14ac:dyDescent="0.25">
      <c r="A2724">
        <v>-111.97448900000001</v>
      </c>
      <c r="B2724">
        <v>33.068049999999999</v>
      </c>
      <c r="C2724">
        <v>0.22</v>
      </c>
      <c r="D2724">
        <v>0.19711999999999999</v>
      </c>
      <c r="E2724">
        <v>878766450</v>
      </c>
      <c r="F2724">
        <v>120</v>
      </c>
    </row>
    <row r="2725" spans="1:6" x14ac:dyDescent="0.25">
      <c r="A2725">
        <v>-111.97449</v>
      </c>
      <c r="B2725">
        <v>33.068055999999999</v>
      </c>
      <c r="C2725">
        <v>0.61499999999999999</v>
      </c>
      <c r="D2725">
        <v>0.55103999999999997</v>
      </c>
      <c r="E2725">
        <v>878766452</v>
      </c>
      <c r="F2725">
        <v>120</v>
      </c>
    </row>
    <row r="2726" spans="1:6" x14ac:dyDescent="0.25">
      <c r="A2726">
        <v>-111.97448900000001</v>
      </c>
      <c r="B2726">
        <v>33.068061</v>
      </c>
      <c r="C2726">
        <v>0.6</v>
      </c>
      <c r="D2726">
        <v>0.53759999999999997</v>
      </c>
      <c r="E2726">
        <v>878766454</v>
      </c>
      <c r="F2726">
        <v>120</v>
      </c>
    </row>
    <row r="2727" spans="1:6" x14ac:dyDescent="0.25">
      <c r="A2727">
        <v>-111.974487</v>
      </c>
      <c r="B2727">
        <v>33.068066999999999</v>
      </c>
      <c r="C2727">
        <v>0.92500000000000004</v>
      </c>
      <c r="D2727">
        <v>0.82879999999999998</v>
      </c>
      <c r="E2727">
        <v>878766456</v>
      </c>
      <c r="F2727">
        <v>120</v>
      </c>
    </row>
    <row r="2728" spans="1:6" x14ac:dyDescent="0.25">
      <c r="A2728">
        <v>-111.974487</v>
      </c>
      <c r="B2728">
        <v>33.068075</v>
      </c>
      <c r="C2728">
        <v>0.70499999999999996</v>
      </c>
      <c r="D2728">
        <v>0.63168000000000002</v>
      </c>
      <c r="E2728">
        <v>878766458</v>
      </c>
      <c r="F2728">
        <v>120</v>
      </c>
    </row>
    <row r="2729" spans="1:6" x14ac:dyDescent="0.25">
      <c r="A2729">
        <v>-111.974486</v>
      </c>
      <c r="B2729">
        <v>33.068083000000001</v>
      </c>
      <c r="C2729">
        <v>0.79</v>
      </c>
      <c r="D2729">
        <v>0.70784000000000002</v>
      </c>
      <c r="E2729">
        <v>878766460</v>
      </c>
      <c r="F2729">
        <v>120</v>
      </c>
    </row>
    <row r="2730" spans="1:6" x14ac:dyDescent="0.25">
      <c r="A2730">
        <v>-111.974486</v>
      </c>
      <c r="B2730">
        <v>33.068091000000003</v>
      </c>
      <c r="C2730">
        <v>0.95499999999999996</v>
      </c>
      <c r="D2730">
        <v>0.85568</v>
      </c>
      <c r="E2730">
        <v>878766462</v>
      </c>
      <c r="F2730">
        <v>120</v>
      </c>
    </row>
    <row r="2731" spans="1:6" x14ac:dyDescent="0.25">
      <c r="A2731">
        <v>-111.974487</v>
      </c>
      <c r="B2731">
        <v>33.068098999999997</v>
      </c>
      <c r="C2731">
        <v>0.95499999999999996</v>
      </c>
      <c r="D2731">
        <v>0.85568</v>
      </c>
      <c r="E2731">
        <v>878766464</v>
      </c>
      <c r="F2731">
        <v>120</v>
      </c>
    </row>
    <row r="2732" spans="1:6" x14ac:dyDescent="0.25">
      <c r="A2732">
        <v>-111.974486</v>
      </c>
      <c r="B2732">
        <v>33.068108000000002</v>
      </c>
      <c r="C2732">
        <v>0.76</v>
      </c>
      <c r="D2732">
        <v>0.68096000000000001</v>
      </c>
      <c r="E2732">
        <v>878766466</v>
      </c>
      <c r="F2732">
        <v>120</v>
      </c>
    </row>
    <row r="2733" spans="1:6" x14ac:dyDescent="0.25">
      <c r="A2733">
        <v>-111.974487</v>
      </c>
      <c r="B2733">
        <v>33.068114999999999</v>
      </c>
      <c r="C2733">
        <v>1.17</v>
      </c>
      <c r="D2733">
        <v>1.0483199999999999</v>
      </c>
      <c r="E2733">
        <v>878766468</v>
      </c>
      <c r="F2733">
        <v>120</v>
      </c>
    </row>
    <row r="2734" spans="1:6" x14ac:dyDescent="0.25">
      <c r="A2734">
        <v>-111.974487</v>
      </c>
      <c r="B2734">
        <v>33.068123</v>
      </c>
      <c r="C2734">
        <v>0.80500000000000005</v>
      </c>
      <c r="D2734">
        <v>0.72128000000000003</v>
      </c>
      <c r="E2734">
        <v>878766470</v>
      </c>
      <c r="F2734">
        <v>120</v>
      </c>
    </row>
    <row r="2735" spans="1:6" x14ac:dyDescent="0.25">
      <c r="A2735">
        <v>-111.974486</v>
      </c>
      <c r="B2735">
        <v>33.068131000000001</v>
      </c>
      <c r="C2735">
        <v>0.84</v>
      </c>
      <c r="D2735">
        <v>0.75263999999999998</v>
      </c>
      <c r="E2735">
        <v>878766472</v>
      </c>
      <c r="F2735">
        <v>120</v>
      </c>
    </row>
    <row r="2736" spans="1:6" x14ac:dyDescent="0.25">
      <c r="A2736">
        <v>-111.974486</v>
      </c>
      <c r="B2736">
        <v>33.068139000000002</v>
      </c>
      <c r="C2736">
        <v>1.1599999999999999</v>
      </c>
      <c r="D2736">
        <v>1.0393600000000001</v>
      </c>
      <c r="E2736">
        <v>878766474</v>
      </c>
      <c r="F2736">
        <v>120</v>
      </c>
    </row>
    <row r="2737" spans="1:6" x14ac:dyDescent="0.25">
      <c r="A2737">
        <v>-111.974486</v>
      </c>
      <c r="B2737">
        <v>33.068147000000003</v>
      </c>
      <c r="C2737">
        <v>1.22</v>
      </c>
      <c r="D2737">
        <v>1.0931200000000001</v>
      </c>
      <c r="E2737">
        <v>878766476</v>
      </c>
      <c r="F2737">
        <v>120</v>
      </c>
    </row>
    <row r="2738" spans="1:6" x14ac:dyDescent="0.25">
      <c r="A2738">
        <v>-111.974486</v>
      </c>
      <c r="B2738">
        <v>33.068154999999997</v>
      </c>
      <c r="C2738">
        <v>1.1599999999999999</v>
      </c>
      <c r="D2738">
        <v>1.0393600000000001</v>
      </c>
      <c r="E2738">
        <v>878766478</v>
      </c>
      <c r="F2738">
        <v>120</v>
      </c>
    </row>
    <row r="2739" spans="1:6" x14ac:dyDescent="0.25">
      <c r="A2739">
        <v>-111.974486</v>
      </c>
      <c r="B2739">
        <v>33.068162999999998</v>
      </c>
      <c r="C2739">
        <v>1.0449999999999999</v>
      </c>
      <c r="D2739">
        <v>0.93632000000000004</v>
      </c>
      <c r="E2739">
        <v>878766480</v>
      </c>
      <c r="F2739">
        <v>120</v>
      </c>
    </row>
    <row r="2740" spans="1:6" x14ac:dyDescent="0.25">
      <c r="A2740">
        <v>-111.974486</v>
      </c>
      <c r="B2740">
        <v>33.068171</v>
      </c>
      <c r="C2740">
        <v>1.0349999999999999</v>
      </c>
      <c r="D2740">
        <v>0.92735999999999996</v>
      </c>
      <c r="E2740">
        <v>878766482</v>
      </c>
      <c r="F2740">
        <v>120</v>
      </c>
    </row>
    <row r="2741" spans="1:6" x14ac:dyDescent="0.25">
      <c r="A2741">
        <v>-111.974486</v>
      </c>
      <c r="B2741">
        <v>33.068179999999998</v>
      </c>
      <c r="C2741">
        <v>1.0349999999999999</v>
      </c>
      <c r="D2741">
        <v>0.92735999999999996</v>
      </c>
      <c r="E2741">
        <v>878766484</v>
      </c>
      <c r="F2741">
        <v>120</v>
      </c>
    </row>
    <row r="2742" spans="1:6" x14ac:dyDescent="0.25">
      <c r="A2742">
        <v>-111.974486</v>
      </c>
      <c r="B2742">
        <v>33.068187000000002</v>
      </c>
      <c r="C2742">
        <v>1.335</v>
      </c>
      <c r="D2742">
        <v>1.1961599999999999</v>
      </c>
      <c r="E2742">
        <v>878766486</v>
      </c>
      <c r="F2742">
        <v>120</v>
      </c>
    </row>
    <row r="2743" spans="1:6" x14ac:dyDescent="0.25">
      <c r="A2743">
        <v>-111.974486</v>
      </c>
      <c r="B2743">
        <v>33.068195000000003</v>
      </c>
      <c r="C2743">
        <v>0.67</v>
      </c>
      <c r="D2743">
        <v>0.60031999999999996</v>
      </c>
      <c r="E2743">
        <v>878766488</v>
      </c>
      <c r="F2743">
        <v>120</v>
      </c>
    </row>
    <row r="2744" spans="1:6" x14ac:dyDescent="0.25">
      <c r="A2744">
        <v>-111.974486</v>
      </c>
      <c r="B2744">
        <v>33.068210000000001</v>
      </c>
      <c r="C2744">
        <v>0.17499999999999999</v>
      </c>
      <c r="D2744">
        <v>0.15679999999999999</v>
      </c>
      <c r="E2744">
        <v>878766500</v>
      </c>
      <c r="F2744">
        <v>120</v>
      </c>
    </row>
    <row r="2745" spans="1:6" x14ac:dyDescent="0.25">
      <c r="A2745">
        <v>-111.97448799999999</v>
      </c>
      <c r="B2745">
        <v>33.068216</v>
      </c>
      <c r="C2745">
        <v>0.46</v>
      </c>
      <c r="D2745">
        <v>0.41216000000000003</v>
      </c>
      <c r="E2745">
        <v>878766502</v>
      </c>
      <c r="F2745">
        <v>120</v>
      </c>
    </row>
    <row r="2746" spans="1:6" x14ac:dyDescent="0.25">
      <c r="A2746">
        <v>-111.97448799999999</v>
      </c>
      <c r="B2746">
        <v>33.068224999999998</v>
      </c>
      <c r="C2746">
        <v>1.7250000000000001</v>
      </c>
      <c r="D2746">
        <v>1.5456000000000001</v>
      </c>
      <c r="E2746">
        <v>878766504</v>
      </c>
      <c r="F2746">
        <v>120</v>
      </c>
    </row>
    <row r="2747" spans="1:6" x14ac:dyDescent="0.25">
      <c r="A2747">
        <v>-111.974486</v>
      </c>
      <c r="B2747">
        <v>33.068233999999997</v>
      </c>
      <c r="C2747">
        <v>1.56</v>
      </c>
      <c r="D2747">
        <v>1.3977599999999999</v>
      </c>
      <c r="E2747">
        <v>878766506</v>
      </c>
      <c r="F2747">
        <v>120</v>
      </c>
    </row>
    <row r="2748" spans="1:6" x14ac:dyDescent="0.25">
      <c r="A2748">
        <v>-111.974485</v>
      </c>
      <c r="B2748">
        <v>33.068243000000002</v>
      </c>
      <c r="C2748">
        <v>1.1950000000000001</v>
      </c>
      <c r="D2748">
        <v>1.0707199999999999</v>
      </c>
      <c r="E2748">
        <v>878766508</v>
      </c>
      <c r="F2748">
        <v>120</v>
      </c>
    </row>
    <row r="2749" spans="1:6" x14ac:dyDescent="0.25">
      <c r="A2749">
        <v>-111.974485</v>
      </c>
      <c r="B2749">
        <v>33.068250999999997</v>
      </c>
      <c r="C2749">
        <v>0.94499999999999995</v>
      </c>
      <c r="D2749">
        <v>0.84672000000000003</v>
      </c>
      <c r="E2749">
        <v>878766510</v>
      </c>
      <c r="F2749">
        <v>120</v>
      </c>
    </row>
    <row r="2750" spans="1:6" x14ac:dyDescent="0.25">
      <c r="A2750">
        <v>-111.974486</v>
      </c>
      <c r="B2750">
        <v>33.068258999999998</v>
      </c>
      <c r="C2750">
        <v>1.355</v>
      </c>
      <c r="D2750">
        <v>1.21408</v>
      </c>
      <c r="E2750">
        <v>878766512</v>
      </c>
      <c r="F2750">
        <v>120</v>
      </c>
    </row>
    <row r="2751" spans="1:6" x14ac:dyDescent="0.25">
      <c r="A2751">
        <v>-111.974486</v>
      </c>
      <c r="B2751">
        <v>33.068266000000001</v>
      </c>
      <c r="C2751">
        <v>1.0249999999999999</v>
      </c>
      <c r="D2751">
        <v>0.91839999999999999</v>
      </c>
      <c r="E2751">
        <v>878766514</v>
      </c>
      <c r="F2751">
        <v>120</v>
      </c>
    </row>
    <row r="2752" spans="1:6" x14ac:dyDescent="0.25">
      <c r="A2752">
        <v>-111.974486</v>
      </c>
      <c r="B2752">
        <v>33.068274000000002</v>
      </c>
      <c r="C2752">
        <v>0.86499999999999999</v>
      </c>
      <c r="D2752">
        <v>0.77503999999999995</v>
      </c>
      <c r="E2752">
        <v>878766516</v>
      </c>
      <c r="F2752">
        <v>120</v>
      </c>
    </row>
    <row r="2753" spans="1:6" x14ac:dyDescent="0.25">
      <c r="A2753">
        <v>-111.974485</v>
      </c>
      <c r="B2753">
        <v>33.068282000000004</v>
      </c>
      <c r="C2753">
        <v>1.395</v>
      </c>
      <c r="D2753">
        <v>1.2499199999999999</v>
      </c>
      <c r="E2753">
        <v>878766518</v>
      </c>
      <c r="F2753">
        <v>120</v>
      </c>
    </row>
    <row r="2754" spans="1:6" x14ac:dyDescent="0.25">
      <c r="A2754">
        <v>-111.974485</v>
      </c>
      <c r="B2754">
        <v>33.068289999999998</v>
      </c>
      <c r="C2754">
        <v>0.79500000000000004</v>
      </c>
      <c r="D2754">
        <v>0.71231999999999995</v>
      </c>
      <c r="E2754">
        <v>878766520</v>
      </c>
      <c r="F2754">
        <v>120</v>
      </c>
    </row>
    <row r="2755" spans="1:6" x14ac:dyDescent="0.25">
      <c r="A2755">
        <v>-111.974485</v>
      </c>
      <c r="B2755">
        <v>33.068297000000001</v>
      </c>
      <c r="C2755">
        <v>1.1399999999999999</v>
      </c>
      <c r="D2755">
        <v>1.0214399999999999</v>
      </c>
      <c r="E2755">
        <v>878766522</v>
      </c>
      <c r="F2755">
        <v>120</v>
      </c>
    </row>
    <row r="2756" spans="1:6" x14ac:dyDescent="0.25">
      <c r="A2756">
        <v>-111.974486</v>
      </c>
      <c r="B2756">
        <v>33.068305000000002</v>
      </c>
      <c r="C2756">
        <v>1.08</v>
      </c>
      <c r="D2756">
        <v>0.96767999999999998</v>
      </c>
      <c r="E2756">
        <v>878766524</v>
      </c>
      <c r="F2756">
        <v>120</v>
      </c>
    </row>
    <row r="2757" spans="1:6" x14ac:dyDescent="0.25">
      <c r="A2757">
        <v>-111.974486</v>
      </c>
      <c r="B2757">
        <v>33.068314000000001</v>
      </c>
      <c r="C2757">
        <v>1.1399999999999999</v>
      </c>
      <c r="D2757">
        <v>1.0214399999999999</v>
      </c>
      <c r="E2757">
        <v>878766526</v>
      </c>
      <c r="F2757">
        <v>120</v>
      </c>
    </row>
    <row r="2758" spans="1:6" x14ac:dyDescent="0.25">
      <c r="A2758">
        <v>-111.974486</v>
      </c>
      <c r="B2758">
        <v>33.068322000000002</v>
      </c>
      <c r="C2758">
        <v>1.355</v>
      </c>
      <c r="D2758">
        <v>1.21408</v>
      </c>
      <c r="E2758">
        <v>878766528</v>
      </c>
      <c r="F2758">
        <v>120</v>
      </c>
    </row>
    <row r="2759" spans="1:6" x14ac:dyDescent="0.25">
      <c r="A2759">
        <v>-111.974486</v>
      </c>
      <c r="B2759">
        <v>33.068330000000003</v>
      </c>
      <c r="C2759">
        <v>1.28</v>
      </c>
      <c r="D2759">
        <v>1.1468799999999999</v>
      </c>
      <c r="E2759">
        <v>878766530</v>
      </c>
      <c r="F2759">
        <v>120</v>
      </c>
    </row>
    <row r="2760" spans="1:6" x14ac:dyDescent="0.25">
      <c r="A2760">
        <v>-111.974485</v>
      </c>
      <c r="B2760">
        <v>33.068337</v>
      </c>
      <c r="C2760">
        <v>1.47</v>
      </c>
      <c r="D2760">
        <v>1.3171200000000001</v>
      </c>
      <c r="E2760">
        <v>878766532</v>
      </c>
      <c r="F2760">
        <v>120</v>
      </c>
    </row>
    <row r="2761" spans="1:6" x14ac:dyDescent="0.25">
      <c r="A2761">
        <v>-111.974485</v>
      </c>
      <c r="B2761">
        <v>33.068345000000001</v>
      </c>
      <c r="C2761">
        <v>0.96</v>
      </c>
      <c r="D2761">
        <v>0.86016000000000004</v>
      </c>
      <c r="E2761">
        <v>878766534</v>
      </c>
      <c r="F2761">
        <v>120</v>
      </c>
    </row>
    <row r="2762" spans="1:6" x14ac:dyDescent="0.25">
      <c r="A2762">
        <v>-111.974485</v>
      </c>
      <c r="B2762">
        <v>33.068351999999997</v>
      </c>
      <c r="C2762">
        <v>1.395</v>
      </c>
      <c r="D2762">
        <v>1.2499199999999999</v>
      </c>
      <c r="E2762">
        <v>878766536</v>
      </c>
      <c r="F2762">
        <v>120</v>
      </c>
    </row>
    <row r="2763" spans="1:6" x14ac:dyDescent="0.25">
      <c r="A2763">
        <v>-111.974485</v>
      </c>
      <c r="B2763">
        <v>33.068361000000003</v>
      </c>
      <c r="C2763">
        <v>1.27</v>
      </c>
      <c r="D2763">
        <v>1.13792</v>
      </c>
      <c r="E2763">
        <v>878766538</v>
      </c>
      <c r="F2763">
        <v>120</v>
      </c>
    </row>
    <row r="2764" spans="1:6" x14ac:dyDescent="0.25">
      <c r="A2764">
        <v>-111.974484</v>
      </c>
      <c r="B2764">
        <v>33.068368</v>
      </c>
      <c r="C2764">
        <v>0.28000000000000003</v>
      </c>
      <c r="D2764">
        <v>0.25087999999999999</v>
      </c>
      <c r="E2764">
        <v>878766540</v>
      </c>
      <c r="F2764">
        <v>120</v>
      </c>
    </row>
    <row r="2765" spans="1:6" x14ac:dyDescent="0.25">
      <c r="A2765">
        <v>-111.974485</v>
      </c>
      <c r="B2765">
        <v>33.068376000000001</v>
      </c>
      <c r="C2765">
        <v>0.01</v>
      </c>
      <c r="D2765">
        <v>8.9599999999999992E-3</v>
      </c>
      <c r="E2765">
        <v>878766542</v>
      </c>
      <c r="F2765">
        <v>120</v>
      </c>
    </row>
    <row r="2766" spans="1:6" x14ac:dyDescent="0.25">
      <c r="A2766">
        <v>-111.974487</v>
      </c>
      <c r="B2766">
        <v>33.068384000000002</v>
      </c>
      <c r="C2766">
        <v>1.4999999999999999E-2</v>
      </c>
      <c r="D2766">
        <v>1.3440000000000001E-2</v>
      </c>
      <c r="E2766">
        <v>878766544</v>
      </c>
      <c r="F2766">
        <v>120</v>
      </c>
    </row>
    <row r="2767" spans="1:6" x14ac:dyDescent="0.25">
      <c r="A2767">
        <v>-111.974485</v>
      </c>
      <c r="B2767">
        <v>33.068449000000001</v>
      </c>
      <c r="C2767">
        <v>5.0000000000000001E-3</v>
      </c>
      <c r="D2767">
        <v>4.4799999999999996E-3</v>
      </c>
      <c r="E2767">
        <v>878766560</v>
      </c>
      <c r="F2767">
        <v>120</v>
      </c>
    </row>
    <row r="2768" spans="1:6" x14ac:dyDescent="0.25">
      <c r="A2768">
        <v>-111.974485</v>
      </c>
      <c r="B2768">
        <v>33.068455999999998</v>
      </c>
      <c r="C2768">
        <v>0.32</v>
      </c>
      <c r="D2768">
        <v>0.28671999999999997</v>
      </c>
      <c r="E2768">
        <v>878766562</v>
      </c>
      <c r="F2768">
        <v>120</v>
      </c>
    </row>
    <row r="2769" spans="1:6" x14ac:dyDescent="0.25">
      <c r="A2769">
        <v>-111.974486</v>
      </c>
      <c r="B2769">
        <v>33.068465000000003</v>
      </c>
      <c r="C2769">
        <v>1.21</v>
      </c>
      <c r="D2769">
        <v>1.08416</v>
      </c>
      <c r="E2769">
        <v>878766564</v>
      </c>
      <c r="F2769">
        <v>120</v>
      </c>
    </row>
    <row r="2770" spans="1:6" x14ac:dyDescent="0.25">
      <c r="A2770">
        <v>-111.974486</v>
      </c>
      <c r="B2770">
        <v>33.068472</v>
      </c>
      <c r="C2770">
        <v>1.135</v>
      </c>
      <c r="D2770">
        <v>1.0169600000000001</v>
      </c>
      <c r="E2770">
        <v>878766566</v>
      </c>
      <c r="F2770">
        <v>120</v>
      </c>
    </row>
    <row r="2771" spans="1:6" x14ac:dyDescent="0.25">
      <c r="A2771">
        <v>-111.974485</v>
      </c>
      <c r="B2771">
        <v>33.068480000000001</v>
      </c>
      <c r="C2771">
        <v>1.1950000000000001</v>
      </c>
      <c r="D2771">
        <v>1.0707199999999999</v>
      </c>
      <c r="E2771">
        <v>878766568</v>
      </c>
      <c r="F2771">
        <v>120</v>
      </c>
    </row>
    <row r="2772" spans="1:6" x14ac:dyDescent="0.25">
      <c r="A2772">
        <v>-111.974485</v>
      </c>
      <c r="B2772">
        <v>33.068488000000002</v>
      </c>
      <c r="C2772">
        <v>0.55500000000000005</v>
      </c>
      <c r="D2772">
        <v>0.49728</v>
      </c>
      <c r="E2772">
        <v>878766570</v>
      </c>
      <c r="F2772">
        <v>120</v>
      </c>
    </row>
    <row r="2773" spans="1:6" x14ac:dyDescent="0.25">
      <c r="A2773">
        <v>-111.974485</v>
      </c>
      <c r="B2773">
        <v>33.068496000000003</v>
      </c>
      <c r="C2773">
        <v>0.85499999999999998</v>
      </c>
      <c r="D2773">
        <v>0.76607999999999998</v>
      </c>
      <c r="E2773">
        <v>878766572</v>
      </c>
      <c r="F2773">
        <v>120</v>
      </c>
    </row>
    <row r="2774" spans="1:6" x14ac:dyDescent="0.25">
      <c r="A2774">
        <v>-111.974484</v>
      </c>
      <c r="B2774">
        <v>33.068505000000002</v>
      </c>
      <c r="C2774">
        <v>0.94</v>
      </c>
      <c r="D2774">
        <v>0.84223999999999999</v>
      </c>
      <c r="E2774">
        <v>878766574</v>
      </c>
      <c r="F2774">
        <v>120</v>
      </c>
    </row>
    <row r="2775" spans="1:6" x14ac:dyDescent="0.25">
      <c r="A2775">
        <v>-111.974484</v>
      </c>
      <c r="B2775">
        <v>33.068511999999998</v>
      </c>
      <c r="C2775">
        <v>0.95499999999999996</v>
      </c>
      <c r="D2775">
        <v>0.85568</v>
      </c>
      <c r="E2775">
        <v>878766576</v>
      </c>
      <c r="F2775">
        <v>120</v>
      </c>
    </row>
    <row r="2776" spans="1:6" x14ac:dyDescent="0.25">
      <c r="A2776">
        <v>-111.974485</v>
      </c>
      <c r="B2776">
        <v>33.068519999999999</v>
      </c>
      <c r="C2776">
        <v>0.94</v>
      </c>
      <c r="D2776">
        <v>0.84223999999999999</v>
      </c>
      <c r="E2776">
        <v>878766578</v>
      </c>
      <c r="F2776">
        <v>120</v>
      </c>
    </row>
    <row r="2777" spans="1:6" x14ac:dyDescent="0.25">
      <c r="A2777">
        <v>-111.974485</v>
      </c>
      <c r="B2777">
        <v>33.068528000000001</v>
      </c>
      <c r="C2777">
        <v>1.145</v>
      </c>
      <c r="D2777">
        <v>1.0259199999999999</v>
      </c>
      <c r="E2777">
        <v>878766580</v>
      </c>
      <c r="F2777">
        <v>120</v>
      </c>
    </row>
    <row r="2778" spans="1:6" x14ac:dyDescent="0.25">
      <c r="A2778">
        <v>-111.974485</v>
      </c>
      <c r="B2778">
        <v>33.068534999999997</v>
      </c>
      <c r="C2778">
        <v>0.75</v>
      </c>
      <c r="D2778">
        <v>0.67200000000000004</v>
      </c>
      <c r="E2778">
        <v>878766582</v>
      </c>
      <c r="F2778">
        <v>120</v>
      </c>
    </row>
    <row r="2779" spans="1:6" x14ac:dyDescent="0.25">
      <c r="A2779">
        <v>-111.974485</v>
      </c>
      <c r="B2779">
        <v>33.068542999999998</v>
      </c>
      <c r="C2779">
        <v>0.97499999999999998</v>
      </c>
      <c r="D2779">
        <v>0.87360000000000004</v>
      </c>
      <c r="E2779">
        <v>878766584</v>
      </c>
      <c r="F2779">
        <v>120</v>
      </c>
    </row>
    <row r="2780" spans="1:6" x14ac:dyDescent="0.25">
      <c r="A2780">
        <v>-111.974485</v>
      </c>
      <c r="B2780">
        <v>33.068550999999999</v>
      </c>
      <c r="C2780">
        <v>1.19</v>
      </c>
      <c r="D2780">
        <v>1.0662400000000001</v>
      </c>
      <c r="E2780">
        <v>878766586</v>
      </c>
      <c r="F2780">
        <v>120</v>
      </c>
    </row>
    <row r="2781" spans="1:6" x14ac:dyDescent="0.25">
      <c r="A2781">
        <v>-111.974485</v>
      </c>
      <c r="B2781">
        <v>33.068559</v>
      </c>
      <c r="C2781">
        <v>1.18</v>
      </c>
      <c r="D2781">
        <v>1.05728</v>
      </c>
      <c r="E2781">
        <v>878766588</v>
      </c>
      <c r="F2781">
        <v>120</v>
      </c>
    </row>
    <row r="2782" spans="1:6" x14ac:dyDescent="0.25">
      <c r="A2782">
        <v>-111.974485</v>
      </c>
      <c r="B2782">
        <v>33.068567999999999</v>
      </c>
      <c r="C2782">
        <v>1.365</v>
      </c>
      <c r="D2782">
        <v>1.2230399999999999</v>
      </c>
      <c r="E2782">
        <v>878766590</v>
      </c>
      <c r="F2782">
        <v>120</v>
      </c>
    </row>
    <row r="2783" spans="1:6" x14ac:dyDescent="0.25">
      <c r="A2783">
        <v>-111.974485</v>
      </c>
      <c r="B2783">
        <v>33.068576</v>
      </c>
      <c r="C2783">
        <v>1.1000000000000001</v>
      </c>
      <c r="D2783">
        <v>0.98560000000000003</v>
      </c>
      <c r="E2783">
        <v>878766592</v>
      </c>
      <c r="F2783">
        <v>120</v>
      </c>
    </row>
    <row r="2784" spans="1:6" x14ac:dyDescent="0.25">
      <c r="A2784">
        <v>-111.974485</v>
      </c>
      <c r="B2784">
        <v>33.068582999999997</v>
      </c>
      <c r="C2784">
        <v>1.2350000000000001</v>
      </c>
      <c r="D2784">
        <v>1.10656</v>
      </c>
      <c r="E2784">
        <v>878766594</v>
      </c>
      <c r="F2784">
        <v>120</v>
      </c>
    </row>
    <row r="2785" spans="1:6" x14ac:dyDescent="0.25">
      <c r="A2785">
        <v>-111.974485</v>
      </c>
      <c r="B2785">
        <v>33.068590999999998</v>
      </c>
      <c r="C2785">
        <v>1.83</v>
      </c>
      <c r="D2785">
        <v>1.63968</v>
      </c>
      <c r="E2785">
        <v>878766596</v>
      </c>
      <c r="F2785">
        <v>120</v>
      </c>
    </row>
    <row r="2786" spans="1:6" x14ac:dyDescent="0.25">
      <c r="A2786">
        <v>-111.974485</v>
      </c>
      <c r="B2786">
        <v>33.068598999999999</v>
      </c>
      <c r="C2786">
        <v>1.49</v>
      </c>
      <c r="D2786">
        <v>1.33504</v>
      </c>
      <c r="E2786">
        <v>878766598</v>
      </c>
      <c r="F2786">
        <v>120</v>
      </c>
    </row>
    <row r="2787" spans="1:6" x14ac:dyDescent="0.25">
      <c r="A2787">
        <v>-111.974484</v>
      </c>
      <c r="B2787">
        <v>33.068607</v>
      </c>
      <c r="C2787">
        <v>1.51</v>
      </c>
      <c r="D2787">
        <v>1.3529599999999999</v>
      </c>
      <c r="E2787">
        <v>878766600</v>
      </c>
      <c r="F2787">
        <v>120</v>
      </c>
    </row>
    <row r="2788" spans="1:6" x14ac:dyDescent="0.25">
      <c r="A2788">
        <v>-111.974484</v>
      </c>
      <c r="B2788">
        <v>33.068612000000002</v>
      </c>
      <c r="C2788">
        <v>7.4999999999999997E-2</v>
      </c>
      <c r="D2788">
        <v>6.7199999999999996E-2</v>
      </c>
      <c r="E2788">
        <v>878766602</v>
      </c>
      <c r="F2788">
        <v>120</v>
      </c>
    </row>
    <row r="2789" spans="1:6" x14ac:dyDescent="0.25">
      <c r="A2789">
        <v>-111.97448300000001</v>
      </c>
      <c r="B2789">
        <v>33.068618999999998</v>
      </c>
      <c r="C2789">
        <v>0.05</v>
      </c>
      <c r="D2789">
        <v>4.48E-2</v>
      </c>
      <c r="E2789">
        <v>878766614</v>
      </c>
      <c r="F2789">
        <v>120</v>
      </c>
    </row>
    <row r="2790" spans="1:6" x14ac:dyDescent="0.25">
      <c r="A2790">
        <v>-111.974486</v>
      </c>
      <c r="B2790">
        <v>33.068624999999997</v>
      </c>
      <c r="C2790">
        <v>0.09</v>
      </c>
      <c r="D2790">
        <v>8.0640000000000003E-2</v>
      </c>
      <c r="E2790">
        <v>878766616</v>
      </c>
      <c r="F2790">
        <v>120</v>
      </c>
    </row>
    <row r="2791" spans="1:6" x14ac:dyDescent="0.25">
      <c r="A2791">
        <v>-111.974486</v>
      </c>
      <c r="B2791">
        <v>33.068634000000003</v>
      </c>
      <c r="C2791">
        <v>1.38</v>
      </c>
      <c r="D2791">
        <v>1.23648</v>
      </c>
      <c r="E2791">
        <v>878766618</v>
      </c>
      <c r="F2791">
        <v>120</v>
      </c>
    </row>
    <row r="2792" spans="1:6" x14ac:dyDescent="0.25">
      <c r="A2792">
        <v>-111.974485</v>
      </c>
      <c r="B2792">
        <v>33.068643999999999</v>
      </c>
      <c r="C2792">
        <v>1.8049999999999999</v>
      </c>
      <c r="D2792">
        <v>1.6172800000000001</v>
      </c>
      <c r="E2792">
        <v>878766620</v>
      </c>
      <c r="F2792">
        <v>120</v>
      </c>
    </row>
    <row r="2793" spans="1:6" x14ac:dyDescent="0.25">
      <c r="A2793">
        <v>-111.97448300000001</v>
      </c>
      <c r="B2793">
        <v>33.068652999999998</v>
      </c>
      <c r="C2793">
        <v>1.97</v>
      </c>
      <c r="D2793">
        <v>1.76512</v>
      </c>
      <c r="E2793">
        <v>878766622</v>
      </c>
      <c r="F2793">
        <v>120</v>
      </c>
    </row>
    <row r="2794" spans="1:6" x14ac:dyDescent="0.25">
      <c r="A2794">
        <v>-111.974484</v>
      </c>
      <c r="B2794">
        <v>33.068660000000001</v>
      </c>
      <c r="C2794">
        <v>1.73</v>
      </c>
      <c r="D2794">
        <v>1.5500799999999999</v>
      </c>
      <c r="E2794">
        <v>878766624</v>
      </c>
      <c r="F2794">
        <v>120</v>
      </c>
    </row>
    <row r="2795" spans="1:6" x14ac:dyDescent="0.25">
      <c r="A2795">
        <v>-111.974484</v>
      </c>
      <c r="B2795">
        <v>33.068668000000002</v>
      </c>
      <c r="C2795">
        <v>1.45</v>
      </c>
      <c r="D2795">
        <v>1.2991999999999999</v>
      </c>
      <c r="E2795">
        <v>878766626</v>
      </c>
      <c r="F2795">
        <v>120</v>
      </c>
    </row>
    <row r="2796" spans="1:6" x14ac:dyDescent="0.25">
      <c r="A2796">
        <v>-111.974485</v>
      </c>
      <c r="B2796">
        <v>33.068674999999999</v>
      </c>
      <c r="C2796">
        <v>1.655</v>
      </c>
      <c r="D2796">
        <v>1.48288</v>
      </c>
      <c r="E2796">
        <v>878766628</v>
      </c>
      <c r="F2796">
        <v>120</v>
      </c>
    </row>
    <row r="2797" spans="1:6" x14ac:dyDescent="0.25">
      <c r="A2797">
        <v>-111.974485</v>
      </c>
      <c r="B2797">
        <v>33.068683</v>
      </c>
      <c r="C2797">
        <v>1.4450000000000001</v>
      </c>
      <c r="D2797">
        <v>1.2947200000000001</v>
      </c>
      <c r="E2797">
        <v>878766630</v>
      </c>
      <c r="F2797">
        <v>120</v>
      </c>
    </row>
    <row r="2798" spans="1:6" x14ac:dyDescent="0.25">
      <c r="A2798">
        <v>-111.974484</v>
      </c>
      <c r="B2798">
        <v>33.068691000000001</v>
      </c>
      <c r="C2798">
        <v>1.375</v>
      </c>
      <c r="D2798">
        <v>1.232</v>
      </c>
      <c r="E2798">
        <v>878766632</v>
      </c>
      <c r="F2798">
        <v>120</v>
      </c>
    </row>
    <row r="2799" spans="1:6" x14ac:dyDescent="0.25">
      <c r="A2799">
        <v>-111.974484</v>
      </c>
      <c r="B2799">
        <v>33.068699000000002</v>
      </c>
      <c r="C2799">
        <v>1.395</v>
      </c>
      <c r="D2799">
        <v>1.2499199999999999</v>
      </c>
      <c r="E2799">
        <v>878766634</v>
      </c>
      <c r="F2799">
        <v>120</v>
      </c>
    </row>
    <row r="2800" spans="1:6" x14ac:dyDescent="0.25">
      <c r="A2800">
        <v>-111.974484</v>
      </c>
      <c r="B2800">
        <v>33.068707000000003</v>
      </c>
      <c r="C2800">
        <v>1.04</v>
      </c>
      <c r="D2800">
        <v>0.93184</v>
      </c>
      <c r="E2800">
        <v>878766636</v>
      </c>
      <c r="F2800">
        <v>120</v>
      </c>
    </row>
    <row r="2801" spans="1:6" x14ac:dyDescent="0.25">
      <c r="A2801">
        <v>-111.97448300000001</v>
      </c>
      <c r="B2801">
        <v>33.068714</v>
      </c>
      <c r="C2801">
        <v>1.4550000000000001</v>
      </c>
      <c r="D2801">
        <v>1.3036799999999999</v>
      </c>
      <c r="E2801">
        <v>878766638</v>
      </c>
      <c r="F2801">
        <v>120</v>
      </c>
    </row>
    <row r="2802" spans="1:6" x14ac:dyDescent="0.25">
      <c r="A2802">
        <v>-111.97448300000001</v>
      </c>
      <c r="B2802">
        <v>33.068722000000001</v>
      </c>
      <c r="C2802">
        <v>1.375</v>
      </c>
      <c r="D2802">
        <v>1.232</v>
      </c>
      <c r="E2802">
        <v>878766640</v>
      </c>
      <c r="F2802">
        <v>120</v>
      </c>
    </row>
    <row r="2803" spans="1:6" x14ac:dyDescent="0.25">
      <c r="A2803">
        <v>-111.974484</v>
      </c>
      <c r="B2803">
        <v>33.068730000000002</v>
      </c>
      <c r="C2803">
        <v>1.675</v>
      </c>
      <c r="D2803">
        <v>1.5007999999999999</v>
      </c>
      <c r="E2803">
        <v>878766642</v>
      </c>
      <c r="F2803">
        <v>120</v>
      </c>
    </row>
    <row r="2804" spans="1:6" x14ac:dyDescent="0.25">
      <c r="A2804">
        <v>-111.974484</v>
      </c>
      <c r="B2804">
        <v>33.068739000000001</v>
      </c>
      <c r="C2804">
        <v>1.64</v>
      </c>
      <c r="D2804">
        <v>1.4694400000000001</v>
      </c>
      <c r="E2804">
        <v>878766644</v>
      </c>
      <c r="F2804">
        <v>120</v>
      </c>
    </row>
    <row r="2805" spans="1:6" x14ac:dyDescent="0.25">
      <c r="A2805">
        <v>-111.974484</v>
      </c>
      <c r="B2805">
        <v>33.068745999999997</v>
      </c>
      <c r="C2805">
        <v>1.85</v>
      </c>
      <c r="D2805">
        <v>1.6576</v>
      </c>
      <c r="E2805">
        <v>878766646</v>
      </c>
      <c r="F2805">
        <v>120</v>
      </c>
    </row>
    <row r="2806" spans="1:6" x14ac:dyDescent="0.25">
      <c r="A2806">
        <v>-111.974484</v>
      </c>
      <c r="B2806">
        <v>33.068753999999998</v>
      </c>
      <c r="C2806">
        <v>1.91</v>
      </c>
      <c r="D2806">
        <v>1.71136</v>
      </c>
      <c r="E2806">
        <v>878766648</v>
      </c>
      <c r="F2806">
        <v>120</v>
      </c>
    </row>
    <row r="2807" spans="1:6" x14ac:dyDescent="0.25">
      <c r="A2807">
        <v>-111.974484</v>
      </c>
      <c r="B2807">
        <v>33.068762</v>
      </c>
      <c r="C2807">
        <v>1.77</v>
      </c>
      <c r="D2807">
        <v>1.58592</v>
      </c>
      <c r="E2807">
        <v>878766650</v>
      </c>
      <c r="F2807">
        <v>120</v>
      </c>
    </row>
    <row r="2808" spans="1:6" x14ac:dyDescent="0.25">
      <c r="A2808">
        <v>-111.97448300000001</v>
      </c>
      <c r="B2808">
        <v>33.068769000000003</v>
      </c>
      <c r="C2808">
        <v>1.37</v>
      </c>
      <c r="D2808">
        <v>1.2275199999999999</v>
      </c>
      <c r="E2808">
        <v>878766652</v>
      </c>
      <c r="F2808">
        <v>120</v>
      </c>
    </row>
    <row r="2809" spans="1:6" x14ac:dyDescent="0.25">
      <c r="A2809">
        <v>-111.974484</v>
      </c>
      <c r="B2809">
        <v>33.068778000000002</v>
      </c>
      <c r="C2809">
        <v>1.395</v>
      </c>
      <c r="D2809">
        <v>1.2499199999999999</v>
      </c>
      <c r="E2809">
        <v>878766654</v>
      </c>
      <c r="F2809">
        <v>120</v>
      </c>
    </row>
    <row r="2810" spans="1:6" x14ac:dyDescent="0.25">
      <c r="A2810">
        <v>-111.974484</v>
      </c>
      <c r="B2810">
        <v>33.068786000000003</v>
      </c>
      <c r="C2810">
        <v>0.16</v>
      </c>
      <c r="D2810">
        <v>0.14335999999999999</v>
      </c>
      <c r="E2810">
        <v>878766656</v>
      </c>
      <c r="F2810">
        <v>120</v>
      </c>
    </row>
    <row r="2811" spans="1:6" x14ac:dyDescent="0.25">
      <c r="A2811">
        <v>-111.974485</v>
      </c>
      <c r="B2811">
        <v>33.068792999999999</v>
      </c>
      <c r="C2811">
        <v>0.02</v>
      </c>
      <c r="D2811">
        <v>1.7919999999999998E-2</v>
      </c>
      <c r="E2811">
        <v>878766658</v>
      </c>
      <c r="F2811">
        <v>120</v>
      </c>
    </row>
    <row r="2812" spans="1:6" x14ac:dyDescent="0.25">
      <c r="A2812">
        <v>-111.97448300000001</v>
      </c>
      <c r="B2812">
        <v>33.068832999999998</v>
      </c>
      <c r="C2812">
        <v>5.0000000000000001E-3</v>
      </c>
      <c r="D2812">
        <v>4.4799999999999996E-3</v>
      </c>
      <c r="E2812">
        <v>878766668</v>
      </c>
      <c r="F2812">
        <v>120</v>
      </c>
    </row>
    <row r="2813" spans="1:6" x14ac:dyDescent="0.25">
      <c r="A2813">
        <v>-111.97448300000001</v>
      </c>
      <c r="B2813">
        <v>33.068848000000003</v>
      </c>
      <c r="C2813">
        <v>5.0000000000000001E-3</v>
      </c>
      <c r="D2813">
        <v>4.4799999999999996E-3</v>
      </c>
      <c r="E2813">
        <v>878766672</v>
      </c>
      <c r="F2813">
        <v>120</v>
      </c>
    </row>
    <row r="2814" spans="1:6" x14ac:dyDescent="0.25">
      <c r="A2814">
        <v>-111.97448300000001</v>
      </c>
      <c r="B2814">
        <v>33.068863</v>
      </c>
      <c r="C2814">
        <v>0.125</v>
      </c>
      <c r="D2814">
        <v>0.112</v>
      </c>
      <c r="E2814">
        <v>878766676</v>
      </c>
      <c r="F2814">
        <v>120</v>
      </c>
    </row>
    <row r="2815" spans="1:6" x14ac:dyDescent="0.25">
      <c r="A2815">
        <v>-111.97448300000001</v>
      </c>
      <c r="B2815">
        <v>33.068871000000001</v>
      </c>
      <c r="C2815">
        <v>0.08</v>
      </c>
      <c r="D2815">
        <v>7.1679999999999994E-2</v>
      </c>
      <c r="E2815">
        <v>878766678</v>
      </c>
      <c r="F2815">
        <v>120</v>
      </c>
    </row>
    <row r="2816" spans="1:6" x14ac:dyDescent="0.25">
      <c r="A2816">
        <v>-111.97448300000001</v>
      </c>
      <c r="B2816">
        <v>33.06888</v>
      </c>
      <c r="C2816">
        <v>1.81</v>
      </c>
      <c r="D2816">
        <v>1.6217600000000001</v>
      </c>
      <c r="E2816">
        <v>878766680</v>
      </c>
      <c r="F2816">
        <v>120</v>
      </c>
    </row>
    <row r="2817" spans="1:6" x14ac:dyDescent="0.25">
      <c r="A2817">
        <v>-111.97448300000001</v>
      </c>
      <c r="B2817">
        <v>33.068886999999997</v>
      </c>
      <c r="C2817">
        <v>1.855</v>
      </c>
      <c r="D2817">
        <v>1.66208</v>
      </c>
      <c r="E2817">
        <v>878766682</v>
      </c>
      <c r="F2817">
        <v>120</v>
      </c>
    </row>
    <row r="2818" spans="1:6" x14ac:dyDescent="0.25">
      <c r="A2818">
        <v>-111.974481</v>
      </c>
      <c r="B2818">
        <v>33.068894999999998</v>
      </c>
      <c r="C2818">
        <v>1.62</v>
      </c>
      <c r="D2818">
        <v>1.4515199999999999</v>
      </c>
      <c r="E2818">
        <v>878766684</v>
      </c>
      <c r="F2818">
        <v>120</v>
      </c>
    </row>
    <row r="2819" spans="1:6" x14ac:dyDescent="0.25">
      <c r="A2819">
        <v>-111.97448199999999</v>
      </c>
      <c r="B2819">
        <v>33.068902999999999</v>
      </c>
      <c r="C2819">
        <v>1.18</v>
      </c>
      <c r="D2819">
        <v>1.05728</v>
      </c>
      <c r="E2819">
        <v>878766686</v>
      </c>
      <c r="F2819">
        <v>120</v>
      </c>
    </row>
    <row r="2820" spans="1:6" x14ac:dyDescent="0.25">
      <c r="A2820">
        <v>-111.97448199999999</v>
      </c>
      <c r="B2820">
        <v>33.068911</v>
      </c>
      <c r="C2820">
        <v>1.2</v>
      </c>
      <c r="D2820">
        <v>1.0751999999999999</v>
      </c>
      <c r="E2820">
        <v>878766688</v>
      </c>
      <c r="F2820">
        <v>120</v>
      </c>
    </row>
    <row r="2821" spans="1:6" x14ac:dyDescent="0.25">
      <c r="A2821">
        <v>-111.974481</v>
      </c>
      <c r="B2821">
        <v>33.068919000000001</v>
      </c>
      <c r="C2821">
        <v>1.05</v>
      </c>
      <c r="D2821">
        <v>0.94079999999999997</v>
      </c>
      <c r="E2821">
        <v>878766690</v>
      </c>
      <c r="F2821">
        <v>120</v>
      </c>
    </row>
    <row r="2822" spans="1:6" x14ac:dyDescent="0.25">
      <c r="A2822">
        <v>-111.97448199999999</v>
      </c>
      <c r="B2822">
        <v>33.068928</v>
      </c>
      <c r="C2822">
        <v>0.93</v>
      </c>
      <c r="D2822">
        <v>0.83328000000000002</v>
      </c>
      <c r="E2822">
        <v>878766692</v>
      </c>
      <c r="F2822">
        <v>120</v>
      </c>
    </row>
    <row r="2823" spans="1:6" x14ac:dyDescent="0.25">
      <c r="A2823">
        <v>-111.97448199999999</v>
      </c>
      <c r="B2823">
        <v>33.068936000000001</v>
      </c>
      <c r="C2823">
        <v>0.97</v>
      </c>
      <c r="D2823">
        <v>0.86912</v>
      </c>
      <c r="E2823">
        <v>878766694</v>
      </c>
      <c r="F2823">
        <v>120</v>
      </c>
    </row>
    <row r="2824" spans="1:6" x14ac:dyDescent="0.25">
      <c r="A2824">
        <v>-111.97448199999999</v>
      </c>
      <c r="B2824">
        <v>33.068942999999997</v>
      </c>
      <c r="C2824">
        <v>0.76</v>
      </c>
      <c r="D2824">
        <v>0.68096000000000001</v>
      </c>
      <c r="E2824">
        <v>878766696</v>
      </c>
      <c r="F2824">
        <v>120</v>
      </c>
    </row>
    <row r="2825" spans="1:6" x14ac:dyDescent="0.25">
      <c r="A2825">
        <v>-111.97448199999999</v>
      </c>
      <c r="B2825">
        <v>33.068950000000001</v>
      </c>
      <c r="C2825">
        <v>0.89500000000000002</v>
      </c>
      <c r="D2825">
        <v>0.80191999999999997</v>
      </c>
      <c r="E2825">
        <v>878766698</v>
      </c>
      <c r="F2825">
        <v>120</v>
      </c>
    </row>
    <row r="2826" spans="1:6" x14ac:dyDescent="0.25">
      <c r="A2826">
        <v>-111.97448199999999</v>
      </c>
      <c r="B2826">
        <v>33.068956999999997</v>
      </c>
      <c r="C2826">
        <v>1.345</v>
      </c>
      <c r="D2826">
        <v>1.20512</v>
      </c>
      <c r="E2826">
        <v>878766700</v>
      </c>
      <c r="F2826">
        <v>120</v>
      </c>
    </row>
    <row r="2827" spans="1:6" x14ac:dyDescent="0.25">
      <c r="A2827">
        <v>-111.97448199999999</v>
      </c>
      <c r="B2827">
        <v>33.068964999999999</v>
      </c>
      <c r="C2827">
        <v>1.0049999999999999</v>
      </c>
      <c r="D2827">
        <v>0.90047999999999995</v>
      </c>
      <c r="E2827">
        <v>878766702</v>
      </c>
      <c r="F2827">
        <v>120</v>
      </c>
    </row>
    <row r="2828" spans="1:6" x14ac:dyDescent="0.25">
      <c r="A2828">
        <v>-111.97448300000001</v>
      </c>
      <c r="B2828">
        <v>33.068972000000002</v>
      </c>
      <c r="C2828">
        <v>1.57</v>
      </c>
      <c r="D2828">
        <v>1.40672</v>
      </c>
      <c r="E2828">
        <v>878766704</v>
      </c>
      <c r="F2828">
        <v>120</v>
      </c>
    </row>
    <row r="2829" spans="1:6" x14ac:dyDescent="0.25">
      <c r="A2829">
        <v>-111.97448300000001</v>
      </c>
      <c r="B2829">
        <v>33.068980000000003</v>
      </c>
      <c r="C2829">
        <v>0.79</v>
      </c>
      <c r="D2829">
        <v>0.70784000000000002</v>
      </c>
      <c r="E2829">
        <v>878766706</v>
      </c>
      <c r="F2829">
        <v>120</v>
      </c>
    </row>
    <row r="2830" spans="1:6" x14ac:dyDescent="0.25">
      <c r="A2830">
        <v>-111.97448300000001</v>
      </c>
      <c r="B2830">
        <v>33.068987</v>
      </c>
      <c r="C2830">
        <v>0.875</v>
      </c>
      <c r="D2830">
        <v>0.78400000000000003</v>
      </c>
      <c r="E2830">
        <v>878766708</v>
      </c>
      <c r="F2830">
        <v>120</v>
      </c>
    </row>
    <row r="2831" spans="1:6" x14ac:dyDescent="0.25">
      <c r="A2831">
        <v>-111.97448300000001</v>
      </c>
      <c r="B2831">
        <v>33.068995000000001</v>
      </c>
      <c r="C2831">
        <v>0.67500000000000004</v>
      </c>
      <c r="D2831">
        <v>0.6048</v>
      </c>
      <c r="E2831">
        <v>878766710</v>
      </c>
      <c r="F2831">
        <v>120</v>
      </c>
    </row>
    <row r="2832" spans="1:6" x14ac:dyDescent="0.25">
      <c r="A2832">
        <v>-111.97448300000001</v>
      </c>
      <c r="B2832">
        <v>33.069003000000002</v>
      </c>
      <c r="C2832">
        <v>0.91500000000000004</v>
      </c>
      <c r="D2832">
        <v>0.81984000000000001</v>
      </c>
      <c r="E2832">
        <v>878766712</v>
      </c>
      <c r="F2832">
        <v>120</v>
      </c>
    </row>
    <row r="2833" spans="1:6" x14ac:dyDescent="0.25">
      <c r="A2833">
        <v>-111.97448300000001</v>
      </c>
      <c r="B2833">
        <v>33.069009999999999</v>
      </c>
      <c r="C2833">
        <v>0.96499999999999997</v>
      </c>
      <c r="D2833">
        <v>0.86463999999999996</v>
      </c>
      <c r="E2833">
        <v>878766714</v>
      </c>
      <c r="F2833">
        <v>120</v>
      </c>
    </row>
    <row r="2834" spans="1:6" x14ac:dyDescent="0.25">
      <c r="A2834">
        <v>-111.97448199999999</v>
      </c>
      <c r="B2834">
        <v>33.069018</v>
      </c>
      <c r="C2834">
        <v>0.73</v>
      </c>
      <c r="D2834">
        <v>0.65407999999999999</v>
      </c>
      <c r="E2834">
        <v>878766716</v>
      </c>
      <c r="F2834">
        <v>120</v>
      </c>
    </row>
    <row r="2835" spans="1:6" x14ac:dyDescent="0.25">
      <c r="A2835">
        <v>-111.97448199999999</v>
      </c>
      <c r="B2835">
        <v>33.069025000000003</v>
      </c>
      <c r="C2835">
        <v>0.83</v>
      </c>
      <c r="D2835">
        <v>0.74368000000000001</v>
      </c>
      <c r="E2835">
        <v>878766718</v>
      </c>
      <c r="F2835">
        <v>120</v>
      </c>
    </row>
    <row r="2836" spans="1:6" x14ac:dyDescent="0.25">
      <c r="A2836">
        <v>-111.97448199999999</v>
      </c>
      <c r="B2836">
        <v>33.069032999999997</v>
      </c>
      <c r="C2836">
        <v>0.06</v>
      </c>
      <c r="D2836">
        <v>5.3760000000000002E-2</v>
      </c>
      <c r="E2836">
        <v>878766720</v>
      </c>
      <c r="F2836">
        <v>120</v>
      </c>
    </row>
    <row r="2837" spans="1:6" x14ac:dyDescent="0.25">
      <c r="A2837">
        <v>-111.97448300000001</v>
      </c>
      <c r="B2837">
        <v>33.069038999999997</v>
      </c>
      <c r="C2837">
        <v>1.4999999999999999E-2</v>
      </c>
      <c r="D2837">
        <v>1.3440000000000001E-2</v>
      </c>
      <c r="E2837">
        <v>878766722</v>
      </c>
      <c r="F2837">
        <v>120</v>
      </c>
    </row>
    <row r="2838" spans="1:6" x14ac:dyDescent="0.25">
      <c r="A2838">
        <v>-111.974485</v>
      </c>
      <c r="B2838">
        <v>33.069045000000003</v>
      </c>
      <c r="C2838">
        <v>5.0000000000000001E-3</v>
      </c>
      <c r="D2838">
        <v>4.4799999999999996E-3</v>
      </c>
      <c r="E2838">
        <v>878766730</v>
      </c>
      <c r="F2838">
        <v>120</v>
      </c>
    </row>
    <row r="2839" spans="1:6" x14ac:dyDescent="0.25">
      <c r="A2839">
        <v>-111.97448300000001</v>
      </c>
      <c r="B2839">
        <v>33.069057000000001</v>
      </c>
      <c r="C2839">
        <v>5.0000000000000001E-3</v>
      </c>
      <c r="D2839">
        <v>4.4799999999999996E-3</v>
      </c>
      <c r="E2839">
        <v>878766732</v>
      </c>
      <c r="F2839">
        <v>120</v>
      </c>
    </row>
    <row r="2840" spans="1:6" x14ac:dyDescent="0.25">
      <c r="A2840">
        <v>-111.974485</v>
      </c>
      <c r="B2840">
        <v>33.069068000000001</v>
      </c>
      <c r="C2840">
        <v>5.0000000000000001E-3</v>
      </c>
      <c r="D2840">
        <v>4.4799999999999996E-3</v>
      </c>
      <c r="E2840">
        <v>878766734</v>
      </c>
      <c r="F2840">
        <v>120</v>
      </c>
    </row>
    <row r="2841" spans="1:6" x14ac:dyDescent="0.25">
      <c r="A2841">
        <v>-111.974491</v>
      </c>
      <c r="B2841">
        <v>33.069077999999998</v>
      </c>
      <c r="C2841">
        <v>5.0000000000000001E-3</v>
      </c>
      <c r="D2841">
        <v>4.4799999999999996E-3</v>
      </c>
      <c r="E2841">
        <v>878766736</v>
      </c>
      <c r="F2841">
        <v>120</v>
      </c>
    </row>
    <row r="2842" spans="1:6" x14ac:dyDescent="0.25">
      <c r="A2842">
        <v>-111.974503</v>
      </c>
      <c r="B2842">
        <v>33.069085999999999</v>
      </c>
      <c r="C2842">
        <v>5.0000000000000001E-3</v>
      </c>
      <c r="D2842">
        <v>4.4799999999999996E-3</v>
      </c>
      <c r="E2842">
        <v>878766738</v>
      </c>
      <c r="F2842">
        <v>120</v>
      </c>
    </row>
    <row r="2843" spans="1:6" x14ac:dyDescent="0.25">
      <c r="A2843">
        <v>-111.974519</v>
      </c>
      <c r="B2843">
        <v>33.069088000000001</v>
      </c>
      <c r="C2843">
        <v>5.0000000000000001E-3</v>
      </c>
      <c r="D2843">
        <v>4.4799999999999996E-3</v>
      </c>
      <c r="E2843">
        <v>878766740</v>
      </c>
      <c r="F2843">
        <v>120</v>
      </c>
    </row>
    <row r="2844" spans="1:6" x14ac:dyDescent="0.25">
      <c r="A2844">
        <v>-111.974563</v>
      </c>
      <c r="B2844">
        <v>33.069080999999997</v>
      </c>
      <c r="C2844">
        <v>5.0000000000000001E-3</v>
      </c>
      <c r="D2844">
        <v>4.4799999999999996E-3</v>
      </c>
      <c r="E2844">
        <v>878766746</v>
      </c>
      <c r="F2844">
        <v>120</v>
      </c>
    </row>
    <row r="2845" spans="1:6" x14ac:dyDescent="0.25">
      <c r="A2845">
        <v>-111.97457</v>
      </c>
      <c r="B2845">
        <v>33.069025000000003</v>
      </c>
      <c r="C2845">
        <v>0.23499999999999999</v>
      </c>
      <c r="D2845">
        <v>0.21056</v>
      </c>
      <c r="E2845">
        <v>878766760</v>
      </c>
      <c r="F2845">
        <v>120</v>
      </c>
    </row>
    <row r="2846" spans="1:6" x14ac:dyDescent="0.25">
      <c r="A2846">
        <v>-111.97457</v>
      </c>
      <c r="B2846">
        <v>33.069018</v>
      </c>
      <c r="C2846">
        <v>0.255</v>
      </c>
      <c r="D2846">
        <v>0.22847999999999999</v>
      </c>
      <c r="E2846">
        <v>878766762</v>
      </c>
      <c r="F2846">
        <v>120</v>
      </c>
    </row>
    <row r="2847" spans="1:6" x14ac:dyDescent="0.25">
      <c r="A2847">
        <v>-111.974569</v>
      </c>
      <c r="B2847">
        <v>33.069009999999999</v>
      </c>
      <c r="C2847">
        <v>1.19</v>
      </c>
      <c r="D2847">
        <v>1.0662400000000001</v>
      </c>
      <c r="E2847">
        <v>878766764</v>
      </c>
      <c r="F2847">
        <v>120</v>
      </c>
    </row>
    <row r="2848" spans="1:6" x14ac:dyDescent="0.25">
      <c r="A2848">
        <v>-111.974568</v>
      </c>
      <c r="B2848">
        <v>33.069001999999998</v>
      </c>
      <c r="C2848">
        <v>0.68500000000000005</v>
      </c>
      <c r="D2848">
        <v>0.61375999999999997</v>
      </c>
      <c r="E2848">
        <v>878766766</v>
      </c>
      <c r="F2848">
        <v>120</v>
      </c>
    </row>
    <row r="2849" spans="1:6" x14ac:dyDescent="0.25">
      <c r="A2849">
        <v>-111.974571</v>
      </c>
      <c r="B2849">
        <v>33.068994000000004</v>
      </c>
      <c r="C2849">
        <v>0.65</v>
      </c>
      <c r="D2849">
        <v>0.58240000000000003</v>
      </c>
      <c r="E2849">
        <v>878766768</v>
      </c>
      <c r="F2849">
        <v>120</v>
      </c>
    </row>
    <row r="2850" spans="1:6" x14ac:dyDescent="0.25">
      <c r="A2850">
        <v>-111.97457</v>
      </c>
      <c r="B2850">
        <v>33.068986000000002</v>
      </c>
      <c r="C2850">
        <v>0.57499999999999996</v>
      </c>
      <c r="D2850">
        <v>0.51519999999999999</v>
      </c>
      <c r="E2850">
        <v>878766770</v>
      </c>
      <c r="F2850">
        <v>120</v>
      </c>
    </row>
    <row r="2851" spans="1:6" x14ac:dyDescent="0.25">
      <c r="A2851">
        <v>-111.97457</v>
      </c>
      <c r="B2851">
        <v>33.068978000000001</v>
      </c>
      <c r="C2851">
        <v>0.78</v>
      </c>
      <c r="D2851">
        <v>0.69887999999999995</v>
      </c>
      <c r="E2851">
        <v>878766772</v>
      </c>
      <c r="F2851">
        <v>120</v>
      </c>
    </row>
    <row r="2852" spans="1:6" x14ac:dyDescent="0.25">
      <c r="A2852">
        <v>-111.974569</v>
      </c>
      <c r="B2852">
        <v>33.068969000000003</v>
      </c>
      <c r="C2852">
        <v>0.64</v>
      </c>
      <c r="D2852">
        <v>0.57343999999999995</v>
      </c>
      <c r="E2852">
        <v>878766774</v>
      </c>
      <c r="F2852">
        <v>120</v>
      </c>
    </row>
    <row r="2853" spans="1:6" x14ac:dyDescent="0.25">
      <c r="A2853">
        <v>-111.974569</v>
      </c>
      <c r="B2853">
        <v>33.068959999999997</v>
      </c>
      <c r="C2853">
        <v>0.58499999999999996</v>
      </c>
      <c r="D2853">
        <v>0.52415999999999996</v>
      </c>
      <c r="E2853">
        <v>878766776</v>
      </c>
      <c r="F2853">
        <v>120</v>
      </c>
    </row>
    <row r="2854" spans="1:6" x14ac:dyDescent="0.25">
      <c r="A2854">
        <v>-111.97457</v>
      </c>
      <c r="B2854">
        <v>33.068953</v>
      </c>
      <c r="C2854">
        <v>0.47</v>
      </c>
      <c r="D2854">
        <v>0.42111999999999999</v>
      </c>
      <c r="E2854">
        <v>878766778</v>
      </c>
      <c r="F2854">
        <v>120</v>
      </c>
    </row>
    <row r="2855" spans="1:6" x14ac:dyDescent="0.25">
      <c r="A2855">
        <v>-111.97457</v>
      </c>
      <c r="B2855">
        <v>33.068945999999997</v>
      </c>
      <c r="C2855">
        <v>0.81499999999999995</v>
      </c>
      <c r="D2855">
        <v>0.73024</v>
      </c>
      <c r="E2855">
        <v>878766780</v>
      </c>
      <c r="F2855">
        <v>120</v>
      </c>
    </row>
    <row r="2856" spans="1:6" x14ac:dyDescent="0.25">
      <c r="A2856">
        <v>-111.97457</v>
      </c>
      <c r="B2856">
        <v>33.068938000000003</v>
      </c>
      <c r="C2856">
        <v>0.54</v>
      </c>
      <c r="D2856">
        <v>0.48383999999999999</v>
      </c>
      <c r="E2856">
        <v>878766782</v>
      </c>
      <c r="F2856">
        <v>120</v>
      </c>
    </row>
    <row r="2857" spans="1:6" x14ac:dyDescent="0.25">
      <c r="A2857">
        <v>-111.97457</v>
      </c>
      <c r="B2857">
        <v>33.068930999999999</v>
      </c>
      <c r="C2857">
        <v>0.74</v>
      </c>
      <c r="D2857">
        <v>0.66303999999999996</v>
      </c>
      <c r="E2857">
        <v>878766784</v>
      </c>
      <c r="F2857">
        <v>120</v>
      </c>
    </row>
    <row r="2858" spans="1:6" x14ac:dyDescent="0.25">
      <c r="A2858">
        <v>-111.97457</v>
      </c>
      <c r="B2858">
        <v>33.068922999999998</v>
      </c>
      <c r="C2858">
        <v>0.52</v>
      </c>
      <c r="D2858">
        <v>0.46592</v>
      </c>
      <c r="E2858">
        <v>878766786</v>
      </c>
      <c r="F2858">
        <v>120</v>
      </c>
    </row>
    <row r="2859" spans="1:6" x14ac:dyDescent="0.25">
      <c r="A2859">
        <v>-111.97457</v>
      </c>
      <c r="B2859">
        <v>33.068914999999997</v>
      </c>
      <c r="C2859">
        <v>0.69</v>
      </c>
      <c r="D2859">
        <v>0.61824000000000001</v>
      </c>
      <c r="E2859">
        <v>878766788</v>
      </c>
      <c r="F2859">
        <v>120</v>
      </c>
    </row>
    <row r="2860" spans="1:6" x14ac:dyDescent="0.25">
      <c r="A2860">
        <v>-111.974569</v>
      </c>
      <c r="B2860">
        <v>33.068908</v>
      </c>
      <c r="C2860">
        <v>0.66</v>
      </c>
      <c r="D2860">
        <v>0.59136</v>
      </c>
      <c r="E2860">
        <v>878766790</v>
      </c>
      <c r="F2860">
        <v>120</v>
      </c>
    </row>
    <row r="2861" spans="1:6" x14ac:dyDescent="0.25">
      <c r="A2861">
        <v>-111.974569</v>
      </c>
      <c r="B2861">
        <v>33.068900999999997</v>
      </c>
      <c r="C2861">
        <v>0.82499999999999996</v>
      </c>
      <c r="D2861">
        <v>0.73919999999999997</v>
      </c>
      <c r="E2861">
        <v>878766792</v>
      </c>
      <c r="F2861">
        <v>120</v>
      </c>
    </row>
    <row r="2862" spans="1:6" x14ac:dyDescent="0.25">
      <c r="A2862">
        <v>-111.97457</v>
      </c>
      <c r="B2862">
        <v>33.068893000000003</v>
      </c>
      <c r="C2862">
        <v>0.73499999999999999</v>
      </c>
      <c r="D2862">
        <v>0.65856000000000003</v>
      </c>
      <c r="E2862">
        <v>878766794</v>
      </c>
      <c r="F2862">
        <v>120</v>
      </c>
    </row>
    <row r="2863" spans="1:6" x14ac:dyDescent="0.25">
      <c r="A2863">
        <v>-111.97457</v>
      </c>
      <c r="B2863">
        <v>33.068885000000002</v>
      </c>
      <c r="C2863">
        <v>0.94</v>
      </c>
      <c r="D2863">
        <v>0.84223999999999999</v>
      </c>
      <c r="E2863">
        <v>878766796</v>
      </c>
      <c r="F2863">
        <v>120</v>
      </c>
    </row>
    <row r="2864" spans="1:6" x14ac:dyDescent="0.25">
      <c r="A2864">
        <v>-111.97457</v>
      </c>
      <c r="B2864">
        <v>33.068877999999998</v>
      </c>
      <c r="C2864">
        <v>1.1399999999999999</v>
      </c>
      <c r="D2864">
        <v>1.0214399999999999</v>
      </c>
      <c r="E2864">
        <v>878766798</v>
      </c>
      <c r="F2864">
        <v>120</v>
      </c>
    </row>
    <row r="2865" spans="1:6" x14ac:dyDescent="0.25">
      <c r="A2865">
        <v>-111.974571</v>
      </c>
      <c r="B2865">
        <v>33.068869999999997</v>
      </c>
      <c r="C2865">
        <v>1.1299999999999999</v>
      </c>
      <c r="D2865">
        <v>1.01248</v>
      </c>
      <c r="E2865">
        <v>878766800</v>
      </c>
      <c r="F2865">
        <v>120</v>
      </c>
    </row>
    <row r="2866" spans="1:6" x14ac:dyDescent="0.25">
      <c r="A2866">
        <v>-111.974571</v>
      </c>
      <c r="B2866">
        <v>33.068863</v>
      </c>
      <c r="C2866">
        <v>1.5049999999999999</v>
      </c>
      <c r="D2866">
        <v>1.3484799999999999</v>
      </c>
      <c r="E2866">
        <v>878766802</v>
      </c>
      <c r="F2866">
        <v>120</v>
      </c>
    </row>
    <row r="2867" spans="1:6" x14ac:dyDescent="0.25">
      <c r="A2867">
        <v>-111.974571</v>
      </c>
      <c r="B2867">
        <v>33.068857000000001</v>
      </c>
      <c r="C2867">
        <v>0.91500000000000004</v>
      </c>
      <c r="D2867">
        <v>0.81984000000000001</v>
      </c>
      <c r="E2867">
        <v>878766804</v>
      </c>
      <c r="F2867">
        <v>120</v>
      </c>
    </row>
    <row r="2868" spans="1:6" x14ac:dyDescent="0.25">
      <c r="A2868">
        <v>-111.97457</v>
      </c>
      <c r="B2868">
        <v>33.068849</v>
      </c>
      <c r="C2868">
        <v>2.5000000000000001E-2</v>
      </c>
      <c r="D2868">
        <v>2.24E-2</v>
      </c>
      <c r="E2868">
        <v>878766806</v>
      </c>
      <c r="F2868">
        <v>120</v>
      </c>
    </row>
    <row r="2869" spans="1:6" x14ac:dyDescent="0.25">
      <c r="A2869">
        <v>-111.97457</v>
      </c>
      <c r="B2869">
        <v>33.068841999999997</v>
      </c>
      <c r="C2869">
        <v>5.0000000000000001E-3</v>
      </c>
      <c r="D2869">
        <v>4.4799999999999996E-3</v>
      </c>
      <c r="E2869">
        <v>878766808</v>
      </c>
      <c r="F2869">
        <v>120</v>
      </c>
    </row>
    <row r="2870" spans="1:6" x14ac:dyDescent="0.25">
      <c r="A2870">
        <v>-111.974571</v>
      </c>
      <c r="B2870">
        <v>33.068770999999998</v>
      </c>
      <c r="C2870">
        <v>0.34</v>
      </c>
      <c r="D2870">
        <v>0.30464000000000002</v>
      </c>
      <c r="E2870">
        <v>878766826</v>
      </c>
      <c r="F2870">
        <v>120</v>
      </c>
    </row>
    <row r="2871" spans="1:6" x14ac:dyDescent="0.25">
      <c r="A2871">
        <v>-111.974571</v>
      </c>
      <c r="B2871">
        <v>33.068764000000002</v>
      </c>
      <c r="C2871">
        <v>1.4450000000000001</v>
      </c>
      <c r="D2871">
        <v>1.2947200000000001</v>
      </c>
      <c r="E2871">
        <v>878766828</v>
      </c>
      <c r="F2871">
        <v>120</v>
      </c>
    </row>
    <row r="2872" spans="1:6" x14ac:dyDescent="0.25">
      <c r="A2872">
        <v>-111.974571</v>
      </c>
      <c r="B2872">
        <v>33.068756</v>
      </c>
      <c r="C2872">
        <v>1.53</v>
      </c>
      <c r="D2872">
        <v>1.3708800000000001</v>
      </c>
      <c r="E2872">
        <v>878766830</v>
      </c>
      <c r="F2872">
        <v>120</v>
      </c>
    </row>
    <row r="2873" spans="1:6" x14ac:dyDescent="0.25">
      <c r="A2873">
        <v>-111.97457300000001</v>
      </c>
      <c r="B2873">
        <v>33.068747999999999</v>
      </c>
      <c r="C2873">
        <v>1.665</v>
      </c>
      <c r="D2873">
        <v>1.4918400000000001</v>
      </c>
      <c r="E2873">
        <v>878766832</v>
      </c>
      <c r="F2873">
        <v>120</v>
      </c>
    </row>
    <row r="2874" spans="1:6" x14ac:dyDescent="0.25">
      <c r="A2874">
        <v>-111.97457300000001</v>
      </c>
      <c r="B2874">
        <v>33.068739999999998</v>
      </c>
      <c r="C2874">
        <v>1.3</v>
      </c>
      <c r="D2874">
        <v>1.1648000000000001</v>
      </c>
      <c r="E2874">
        <v>878766834</v>
      </c>
      <c r="F2874">
        <v>120</v>
      </c>
    </row>
    <row r="2875" spans="1:6" x14ac:dyDescent="0.25">
      <c r="A2875">
        <v>-111.97457300000001</v>
      </c>
      <c r="B2875">
        <v>33.068731999999997</v>
      </c>
      <c r="C2875">
        <v>1.7150000000000001</v>
      </c>
      <c r="D2875">
        <v>1.53664</v>
      </c>
      <c r="E2875">
        <v>878766836</v>
      </c>
      <c r="F2875">
        <v>120</v>
      </c>
    </row>
    <row r="2876" spans="1:6" x14ac:dyDescent="0.25">
      <c r="A2876">
        <v>-111.97457300000001</v>
      </c>
      <c r="B2876">
        <v>33.068725000000001</v>
      </c>
      <c r="C2876">
        <v>1.79</v>
      </c>
      <c r="D2876">
        <v>1.6038399999999999</v>
      </c>
      <c r="E2876">
        <v>878766838</v>
      </c>
      <c r="F2876">
        <v>120</v>
      </c>
    </row>
    <row r="2877" spans="1:6" x14ac:dyDescent="0.25">
      <c r="A2877">
        <v>-111.97457300000001</v>
      </c>
      <c r="B2877">
        <v>33.068717999999997</v>
      </c>
      <c r="C2877">
        <v>1.835</v>
      </c>
      <c r="D2877">
        <v>1.6441600000000001</v>
      </c>
      <c r="E2877">
        <v>878766840</v>
      </c>
      <c r="F2877">
        <v>120</v>
      </c>
    </row>
    <row r="2878" spans="1:6" x14ac:dyDescent="0.25">
      <c r="A2878">
        <v>-111.97457300000001</v>
      </c>
      <c r="B2878">
        <v>33.068710000000003</v>
      </c>
      <c r="C2878">
        <v>1.43</v>
      </c>
      <c r="D2878">
        <v>1.28128</v>
      </c>
      <c r="E2878">
        <v>878766842</v>
      </c>
      <c r="F2878">
        <v>120</v>
      </c>
    </row>
    <row r="2879" spans="1:6" x14ac:dyDescent="0.25">
      <c r="A2879">
        <v>-111.97457300000001</v>
      </c>
      <c r="B2879">
        <v>33.068702000000002</v>
      </c>
      <c r="C2879">
        <v>1.675</v>
      </c>
      <c r="D2879">
        <v>1.5007999999999999</v>
      </c>
      <c r="E2879">
        <v>878766844</v>
      </c>
      <c r="F2879">
        <v>120</v>
      </c>
    </row>
    <row r="2880" spans="1:6" x14ac:dyDescent="0.25">
      <c r="A2880">
        <v>-111.97457300000001</v>
      </c>
      <c r="B2880">
        <v>33.068694000000001</v>
      </c>
      <c r="C2880">
        <v>1.4350000000000001</v>
      </c>
      <c r="D2880">
        <v>1.28576</v>
      </c>
      <c r="E2880">
        <v>878766846</v>
      </c>
      <c r="F2880">
        <v>120</v>
      </c>
    </row>
    <row r="2881" spans="1:6" x14ac:dyDescent="0.25">
      <c r="A2881">
        <v>-111.97457300000001</v>
      </c>
      <c r="B2881">
        <v>33.068686</v>
      </c>
      <c r="C2881">
        <v>1.66</v>
      </c>
      <c r="D2881">
        <v>1.48736</v>
      </c>
      <c r="E2881">
        <v>878766848</v>
      </c>
      <c r="F2881">
        <v>120</v>
      </c>
    </row>
    <row r="2882" spans="1:6" x14ac:dyDescent="0.25">
      <c r="A2882">
        <v>-111.97457199999999</v>
      </c>
      <c r="B2882">
        <v>33.068679000000003</v>
      </c>
      <c r="C2882">
        <v>1.06</v>
      </c>
      <c r="D2882">
        <v>0.94976000000000005</v>
      </c>
      <c r="E2882">
        <v>878766850</v>
      </c>
      <c r="F2882">
        <v>120</v>
      </c>
    </row>
    <row r="2883" spans="1:6" x14ac:dyDescent="0.25">
      <c r="A2883">
        <v>-111.97457300000001</v>
      </c>
      <c r="B2883">
        <v>33.068671000000002</v>
      </c>
      <c r="C2883">
        <v>1.2849999999999999</v>
      </c>
      <c r="D2883">
        <v>1.1513599999999999</v>
      </c>
      <c r="E2883">
        <v>878766852</v>
      </c>
      <c r="F2883">
        <v>120</v>
      </c>
    </row>
    <row r="2884" spans="1:6" x14ac:dyDescent="0.25">
      <c r="A2884">
        <v>-111.97457300000001</v>
      </c>
      <c r="B2884">
        <v>33.068663999999998</v>
      </c>
      <c r="C2884">
        <v>0.96</v>
      </c>
      <c r="D2884">
        <v>0.86016000000000004</v>
      </c>
      <c r="E2884">
        <v>878766854</v>
      </c>
      <c r="F2884">
        <v>120</v>
      </c>
    </row>
    <row r="2885" spans="1:6" x14ac:dyDescent="0.25">
      <c r="A2885">
        <v>-111.97457199999999</v>
      </c>
      <c r="B2885">
        <v>33.068655999999997</v>
      </c>
      <c r="C2885">
        <v>1.415</v>
      </c>
      <c r="D2885">
        <v>1.2678400000000001</v>
      </c>
      <c r="E2885">
        <v>878766856</v>
      </c>
      <c r="F2885">
        <v>120</v>
      </c>
    </row>
    <row r="2886" spans="1:6" x14ac:dyDescent="0.25">
      <c r="A2886">
        <v>-111.97457199999999</v>
      </c>
      <c r="B2886">
        <v>33.068648000000003</v>
      </c>
      <c r="C2886">
        <v>1.3049999999999999</v>
      </c>
      <c r="D2886">
        <v>1.1692800000000001</v>
      </c>
      <c r="E2886">
        <v>878766858</v>
      </c>
      <c r="F2886">
        <v>120</v>
      </c>
    </row>
    <row r="2887" spans="1:6" x14ac:dyDescent="0.25">
      <c r="A2887">
        <v>-111.97457199999999</v>
      </c>
      <c r="B2887">
        <v>33.068641</v>
      </c>
      <c r="C2887">
        <v>1.595</v>
      </c>
      <c r="D2887">
        <v>1.4291199999999999</v>
      </c>
      <c r="E2887">
        <v>878766860</v>
      </c>
      <c r="F2887">
        <v>120</v>
      </c>
    </row>
    <row r="2888" spans="1:6" x14ac:dyDescent="0.25">
      <c r="A2888">
        <v>-111.97457199999999</v>
      </c>
      <c r="B2888">
        <v>33.068634000000003</v>
      </c>
      <c r="C2888">
        <v>1.4750000000000001</v>
      </c>
      <c r="D2888">
        <v>1.3216000000000001</v>
      </c>
      <c r="E2888">
        <v>878766862</v>
      </c>
      <c r="F2888">
        <v>120</v>
      </c>
    </row>
    <row r="2889" spans="1:6" x14ac:dyDescent="0.25">
      <c r="A2889">
        <v>-111.97457199999999</v>
      </c>
      <c r="B2889">
        <v>33.068626000000002</v>
      </c>
      <c r="C2889">
        <v>1.34</v>
      </c>
      <c r="D2889">
        <v>1.2006399999999999</v>
      </c>
      <c r="E2889">
        <v>878766864</v>
      </c>
      <c r="F2889">
        <v>120</v>
      </c>
    </row>
    <row r="2890" spans="1:6" x14ac:dyDescent="0.25">
      <c r="A2890">
        <v>-111.97457300000001</v>
      </c>
      <c r="B2890">
        <v>33.068618999999998</v>
      </c>
      <c r="C2890">
        <v>1.06</v>
      </c>
      <c r="D2890">
        <v>0.94976000000000005</v>
      </c>
      <c r="E2890">
        <v>878766866</v>
      </c>
      <c r="F2890">
        <v>120</v>
      </c>
    </row>
    <row r="2891" spans="1:6" x14ac:dyDescent="0.25">
      <c r="A2891">
        <v>-111.97457300000001</v>
      </c>
      <c r="B2891">
        <v>33.068615999999999</v>
      </c>
      <c r="C2891">
        <v>7.4999999999999997E-2</v>
      </c>
      <c r="D2891">
        <v>6.7199999999999996E-2</v>
      </c>
      <c r="E2891">
        <v>878766868</v>
      </c>
      <c r="F2891">
        <v>120</v>
      </c>
    </row>
    <row r="2892" spans="1:6" x14ac:dyDescent="0.25">
      <c r="A2892">
        <v>-111.97457300000001</v>
      </c>
      <c r="B2892">
        <v>33.068615999999999</v>
      </c>
      <c r="C2892">
        <v>5.0000000000000001E-3</v>
      </c>
      <c r="D2892">
        <v>4.4799999999999996E-3</v>
      </c>
      <c r="E2892">
        <v>878766874</v>
      </c>
      <c r="F2892">
        <v>120</v>
      </c>
    </row>
    <row r="2893" spans="1:6" x14ac:dyDescent="0.25">
      <c r="A2893">
        <v>-111.97457300000001</v>
      </c>
      <c r="B2893">
        <v>33.068612000000002</v>
      </c>
      <c r="C2893">
        <v>2.5000000000000001E-2</v>
      </c>
      <c r="D2893">
        <v>2.24E-2</v>
      </c>
      <c r="E2893">
        <v>878766878</v>
      </c>
      <c r="F2893">
        <v>120</v>
      </c>
    </row>
    <row r="2894" spans="1:6" x14ac:dyDescent="0.25">
      <c r="A2894">
        <v>-111.97457199999999</v>
      </c>
      <c r="B2894">
        <v>33.068604000000001</v>
      </c>
      <c r="C2894">
        <v>0.06</v>
      </c>
      <c r="D2894">
        <v>5.3760000000000002E-2</v>
      </c>
      <c r="E2894">
        <v>878766880</v>
      </c>
      <c r="F2894">
        <v>120</v>
      </c>
    </row>
    <row r="2895" spans="1:6" x14ac:dyDescent="0.25">
      <c r="A2895">
        <v>-111.974571</v>
      </c>
      <c r="B2895">
        <v>33.068595999999999</v>
      </c>
      <c r="C2895">
        <v>0.22</v>
      </c>
      <c r="D2895">
        <v>0.19711999999999999</v>
      </c>
      <c r="E2895">
        <v>878766882</v>
      </c>
      <c r="F2895">
        <v>120</v>
      </c>
    </row>
    <row r="2896" spans="1:6" x14ac:dyDescent="0.25">
      <c r="A2896">
        <v>-111.974571</v>
      </c>
      <c r="B2896">
        <v>33.068587999999998</v>
      </c>
      <c r="C2896">
        <v>1.365</v>
      </c>
      <c r="D2896">
        <v>1.2230399999999999</v>
      </c>
      <c r="E2896">
        <v>878766884</v>
      </c>
      <c r="F2896">
        <v>120</v>
      </c>
    </row>
    <row r="2897" spans="1:6" x14ac:dyDescent="0.25">
      <c r="A2897">
        <v>-111.97457300000001</v>
      </c>
      <c r="B2897">
        <v>33.068579999999997</v>
      </c>
      <c r="C2897">
        <v>1.74</v>
      </c>
      <c r="D2897">
        <v>1.55904</v>
      </c>
      <c r="E2897">
        <v>878766886</v>
      </c>
      <c r="F2897">
        <v>120</v>
      </c>
    </row>
    <row r="2898" spans="1:6" x14ac:dyDescent="0.25">
      <c r="A2898">
        <v>-111.974574</v>
      </c>
      <c r="B2898">
        <v>33.068570999999999</v>
      </c>
      <c r="C2898">
        <v>2.13</v>
      </c>
      <c r="D2898">
        <v>1.90848</v>
      </c>
      <c r="E2898">
        <v>878766888</v>
      </c>
      <c r="F2898">
        <v>120</v>
      </c>
    </row>
    <row r="2899" spans="1:6" x14ac:dyDescent="0.25">
      <c r="A2899">
        <v>-111.97457300000001</v>
      </c>
      <c r="B2899">
        <v>33.068562999999997</v>
      </c>
      <c r="C2899">
        <v>1.31</v>
      </c>
      <c r="D2899">
        <v>1.1737599999999999</v>
      </c>
      <c r="E2899">
        <v>878766890</v>
      </c>
      <c r="F2899">
        <v>120</v>
      </c>
    </row>
    <row r="2900" spans="1:6" x14ac:dyDescent="0.25">
      <c r="A2900">
        <v>-111.97457300000001</v>
      </c>
      <c r="B2900">
        <v>33.068555000000003</v>
      </c>
      <c r="C2900">
        <v>1.2649999999999999</v>
      </c>
      <c r="D2900">
        <v>1.13344</v>
      </c>
      <c r="E2900">
        <v>878766892</v>
      </c>
      <c r="F2900">
        <v>120</v>
      </c>
    </row>
    <row r="2901" spans="1:6" x14ac:dyDescent="0.25">
      <c r="A2901">
        <v>-111.97457300000001</v>
      </c>
      <c r="B2901">
        <v>33.068548</v>
      </c>
      <c r="C2901">
        <v>1.37</v>
      </c>
      <c r="D2901">
        <v>1.2275199999999999</v>
      </c>
      <c r="E2901">
        <v>878766894</v>
      </c>
      <c r="F2901">
        <v>120</v>
      </c>
    </row>
    <row r="2902" spans="1:6" x14ac:dyDescent="0.25">
      <c r="A2902">
        <v>-111.97457300000001</v>
      </c>
      <c r="B2902">
        <v>33.068539000000001</v>
      </c>
      <c r="C2902">
        <v>0.52500000000000002</v>
      </c>
      <c r="D2902">
        <v>0.47039999999999998</v>
      </c>
      <c r="E2902">
        <v>878766896</v>
      </c>
      <c r="F2902">
        <v>120</v>
      </c>
    </row>
    <row r="2903" spans="1:6" x14ac:dyDescent="0.25">
      <c r="A2903">
        <v>-111.97457300000001</v>
      </c>
      <c r="B2903">
        <v>33.068531</v>
      </c>
      <c r="C2903">
        <v>1.3049999999999999</v>
      </c>
      <c r="D2903">
        <v>1.1692800000000001</v>
      </c>
      <c r="E2903">
        <v>878766898</v>
      </c>
      <c r="F2903">
        <v>120</v>
      </c>
    </row>
    <row r="2904" spans="1:6" x14ac:dyDescent="0.25">
      <c r="A2904">
        <v>-111.97457199999999</v>
      </c>
      <c r="B2904">
        <v>33.068522999999999</v>
      </c>
      <c r="C2904">
        <v>0.56000000000000005</v>
      </c>
      <c r="D2904">
        <v>0.50175999999999998</v>
      </c>
      <c r="E2904">
        <v>878766900</v>
      </c>
      <c r="F2904">
        <v>120</v>
      </c>
    </row>
    <row r="2905" spans="1:6" x14ac:dyDescent="0.25">
      <c r="A2905">
        <v>-111.97457300000001</v>
      </c>
      <c r="B2905">
        <v>33.068516000000002</v>
      </c>
      <c r="C2905">
        <v>1.0249999999999999</v>
      </c>
      <c r="D2905">
        <v>0.91839999999999999</v>
      </c>
      <c r="E2905">
        <v>878766902</v>
      </c>
      <c r="F2905">
        <v>120</v>
      </c>
    </row>
    <row r="2906" spans="1:6" x14ac:dyDescent="0.25">
      <c r="A2906">
        <v>-111.97457300000001</v>
      </c>
      <c r="B2906">
        <v>33.068508000000001</v>
      </c>
      <c r="C2906">
        <v>0.89</v>
      </c>
      <c r="D2906">
        <v>0.79744000000000004</v>
      </c>
      <c r="E2906">
        <v>878766904</v>
      </c>
      <c r="F2906">
        <v>120</v>
      </c>
    </row>
    <row r="2907" spans="1:6" x14ac:dyDescent="0.25">
      <c r="A2907">
        <v>-111.97457300000001</v>
      </c>
      <c r="B2907">
        <v>33.0685</v>
      </c>
      <c r="C2907">
        <v>0.77500000000000002</v>
      </c>
      <c r="D2907">
        <v>0.69440000000000002</v>
      </c>
      <c r="E2907">
        <v>878766906</v>
      </c>
      <c r="F2907">
        <v>120</v>
      </c>
    </row>
    <row r="2908" spans="1:6" x14ac:dyDescent="0.25">
      <c r="A2908">
        <v>-111.97457300000001</v>
      </c>
      <c r="B2908">
        <v>33.068492999999997</v>
      </c>
      <c r="C2908">
        <v>0.62</v>
      </c>
      <c r="D2908">
        <v>0.55552000000000001</v>
      </c>
      <c r="E2908">
        <v>878766908</v>
      </c>
      <c r="F2908">
        <v>120</v>
      </c>
    </row>
    <row r="2909" spans="1:6" x14ac:dyDescent="0.25">
      <c r="A2909">
        <v>-111.97457300000001</v>
      </c>
      <c r="B2909">
        <v>33.068486</v>
      </c>
      <c r="C2909">
        <v>0.79500000000000004</v>
      </c>
      <c r="D2909">
        <v>0.71231999999999995</v>
      </c>
      <c r="E2909">
        <v>878766910</v>
      </c>
      <c r="F2909">
        <v>120</v>
      </c>
    </row>
    <row r="2910" spans="1:6" x14ac:dyDescent="0.25">
      <c r="A2910">
        <v>-111.97457300000001</v>
      </c>
      <c r="B2910">
        <v>33.068477999999999</v>
      </c>
      <c r="C2910">
        <v>0.88500000000000001</v>
      </c>
      <c r="D2910">
        <v>0.79296</v>
      </c>
      <c r="E2910">
        <v>878766912</v>
      </c>
      <c r="F2910">
        <v>120</v>
      </c>
    </row>
    <row r="2911" spans="1:6" x14ac:dyDescent="0.25">
      <c r="A2911">
        <v>-111.97457300000001</v>
      </c>
      <c r="B2911">
        <v>33.068469999999998</v>
      </c>
      <c r="C2911">
        <v>1.34</v>
      </c>
      <c r="D2911">
        <v>1.2006399999999999</v>
      </c>
      <c r="E2911">
        <v>878766914</v>
      </c>
      <c r="F2911">
        <v>120</v>
      </c>
    </row>
    <row r="2912" spans="1:6" x14ac:dyDescent="0.25">
      <c r="A2912">
        <v>-111.97457300000001</v>
      </c>
      <c r="B2912">
        <v>33.068463000000001</v>
      </c>
      <c r="C2912">
        <v>1.1299999999999999</v>
      </c>
      <c r="D2912">
        <v>1.01248</v>
      </c>
      <c r="E2912">
        <v>878766916</v>
      </c>
      <c r="F2912">
        <v>120</v>
      </c>
    </row>
    <row r="2913" spans="1:6" x14ac:dyDescent="0.25">
      <c r="A2913">
        <v>-111.97457300000001</v>
      </c>
      <c r="B2913">
        <v>33.068454000000003</v>
      </c>
      <c r="C2913">
        <v>0.94</v>
      </c>
      <c r="D2913">
        <v>0.84223999999999999</v>
      </c>
      <c r="E2913">
        <v>878766918</v>
      </c>
      <c r="F2913">
        <v>120</v>
      </c>
    </row>
    <row r="2914" spans="1:6" x14ac:dyDescent="0.25">
      <c r="A2914">
        <v>-111.97457199999999</v>
      </c>
      <c r="B2914">
        <v>33.068446999999999</v>
      </c>
      <c r="C2914">
        <v>0.68</v>
      </c>
      <c r="D2914">
        <v>0.60928000000000004</v>
      </c>
      <c r="E2914">
        <v>878766920</v>
      </c>
      <c r="F2914">
        <v>120</v>
      </c>
    </row>
    <row r="2915" spans="1:6" x14ac:dyDescent="0.25">
      <c r="A2915">
        <v>-111.974571</v>
      </c>
      <c r="B2915">
        <v>33.068440000000002</v>
      </c>
      <c r="C2915">
        <v>1.4999999999999999E-2</v>
      </c>
      <c r="D2915">
        <v>1.3440000000000001E-2</v>
      </c>
      <c r="E2915">
        <v>878766922</v>
      </c>
      <c r="F2915">
        <v>120</v>
      </c>
    </row>
    <row r="2916" spans="1:6" x14ac:dyDescent="0.25">
      <c r="A2916">
        <v>-111.97457</v>
      </c>
      <c r="B2916">
        <v>33.068432999999999</v>
      </c>
      <c r="C2916">
        <v>5.0000000000000001E-3</v>
      </c>
      <c r="D2916">
        <v>4.4799999999999996E-3</v>
      </c>
      <c r="E2916">
        <v>878766924</v>
      </c>
      <c r="F2916">
        <v>120</v>
      </c>
    </row>
    <row r="2917" spans="1:6" x14ac:dyDescent="0.25">
      <c r="A2917">
        <v>-111.974571</v>
      </c>
      <c r="B2917">
        <v>33.068410999999998</v>
      </c>
      <c r="C2917">
        <v>5.0000000000000001E-3</v>
      </c>
      <c r="D2917">
        <v>4.4799999999999996E-3</v>
      </c>
      <c r="E2917">
        <v>878766930</v>
      </c>
      <c r="F2917">
        <v>120</v>
      </c>
    </row>
    <row r="2918" spans="1:6" x14ac:dyDescent="0.25">
      <c r="A2918">
        <v>-111.974574</v>
      </c>
      <c r="B2918">
        <v>33.068365999999997</v>
      </c>
      <c r="C2918">
        <v>5.0000000000000001E-3</v>
      </c>
      <c r="D2918">
        <v>4.4799999999999996E-3</v>
      </c>
      <c r="E2918">
        <v>878766942</v>
      </c>
      <c r="F2918">
        <v>120</v>
      </c>
    </row>
    <row r="2919" spans="1:6" x14ac:dyDescent="0.25">
      <c r="A2919">
        <v>-111.974574</v>
      </c>
      <c r="B2919">
        <v>33.068359000000001</v>
      </c>
      <c r="C2919">
        <v>0.36</v>
      </c>
      <c r="D2919">
        <v>0.32256000000000001</v>
      </c>
      <c r="E2919">
        <v>878766944</v>
      </c>
      <c r="F2919">
        <v>120</v>
      </c>
    </row>
    <row r="2920" spans="1:6" x14ac:dyDescent="0.25">
      <c r="A2920">
        <v>-111.97457199999999</v>
      </c>
      <c r="B2920">
        <v>33.068351</v>
      </c>
      <c r="C2920">
        <v>2.1749999999999998</v>
      </c>
      <c r="D2920">
        <v>1.9488000000000001</v>
      </c>
      <c r="E2920">
        <v>878766946</v>
      </c>
      <c r="F2920">
        <v>120</v>
      </c>
    </row>
    <row r="2921" spans="1:6" x14ac:dyDescent="0.25">
      <c r="A2921">
        <v>-111.97457300000001</v>
      </c>
      <c r="B2921">
        <v>33.068342999999999</v>
      </c>
      <c r="C2921">
        <v>1.18</v>
      </c>
      <c r="D2921">
        <v>1.05728</v>
      </c>
      <c r="E2921">
        <v>878766948</v>
      </c>
      <c r="F2921">
        <v>120</v>
      </c>
    </row>
    <row r="2922" spans="1:6" x14ac:dyDescent="0.25">
      <c r="A2922">
        <v>-111.974575</v>
      </c>
      <c r="B2922">
        <v>33.068336000000002</v>
      </c>
      <c r="C2922">
        <v>1.385</v>
      </c>
      <c r="D2922">
        <v>1.2409600000000001</v>
      </c>
      <c r="E2922">
        <v>878766950</v>
      </c>
      <c r="F2922">
        <v>120</v>
      </c>
    </row>
    <row r="2923" spans="1:6" x14ac:dyDescent="0.25">
      <c r="A2923">
        <v>-111.97457300000001</v>
      </c>
      <c r="B2923">
        <v>33.068328000000001</v>
      </c>
      <c r="C2923">
        <v>1.2250000000000001</v>
      </c>
      <c r="D2923">
        <v>1.0975999999999999</v>
      </c>
      <c r="E2923">
        <v>878766952</v>
      </c>
      <c r="F2923">
        <v>120</v>
      </c>
    </row>
    <row r="2924" spans="1:6" x14ac:dyDescent="0.25">
      <c r="A2924">
        <v>-111.974574</v>
      </c>
      <c r="B2924">
        <v>33.06832</v>
      </c>
      <c r="C2924">
        <v>1.355</v>
      </c>
      <c r="D2924">
        <v>1.21408</v>
      </c>
      <c r="E2924">
        <v>878766954</v>
      </c>
      <c r="F2924">
        <v>120</v>
      </c>
    </row>
    <row r="2925" spans="1:6" x14ac:dyDescent="0.25">
      <c r="A2925">
        <v>-111.97457300000001</v>
      </c>
      <c r="B2925">
        <v>33.068313000000003</v>
      </c>
      <c r="C2925">
        <v>1.31</v>
      </c>
      <c r="D2925">
        <v>1.1737599999999999</v>
      </c>
      <c r="E2925">
        <v>878766956</v>
      </c>
      <c r="F2925">
        <v>120</v>
      </c>
    </row>
    <row r="2926" spans="1:6" x14ac:dyDescent="0.25">
      <c r="A2926">
        <v>-111.97457300000001</v>
      </c>
      <c r="B2926">
        <v>33.068306</v>
      </c>
      <c r="C2926">
        <v>1.0449999999999999</v>
      </c>
      <c r="D2926">
        <v>0.93632000000000004</v>
      </c>
      <c r="E2926">
        <v>878766958</v>
      </c>
      <c r="F2926">
        <v>120</v>
      </c>
    </row>
    <row r="2927" spans="1:6" x14ac:dyDescent="0.25">
      <c r="A2927">
        <v>-111.97457300000001</v>
      </c>
      <c r="B2927">
        <v>33.068297999999999</v>
      </c>
      <c r="C2927">
        <v>1.21</v>
      </c>
      <c r="D2927">
        <v>1.08416</v>
      </c>
      <c r="E2927">
        <v>878766960</v>
      </c>
      <c r="F2927">
        <v>120</v>
      </c>
    </row>
    <row r="2928" spans="1:6" x14ac:dyDescent="0.25">
      <c r="A2928">
        <v>-111.97457300000001</v>
      </c>
      <c r="B2928">
        <v>33.068289999999998</v>
      </c>
      <c r="C2928">
        <v>2.02</v>
      </c>
      <c r="D2928">
        <v>1.80992</v>
      </c>
      <c r="E2928">
        <v>878766962</v>
      </c>
      <c r="F2928">
        <v>120</v>
      </c>
    </row>
    <row r="2929" spans="1:6" x14ac:dyDescent="0.25">
      <c r="A2929">
        <v>-111.97457300000001</v>
      </c>
      <c r="B2929">
        <v>33.068283000000001</v>
      </c>
      <c r="C2929">
        <v>0.69499999999999995</v>
      </c>
      <c r="D2929">
        <v>0.62272000000000005</v>
      </c>
      <c r="E2929">
        <v>878766964</v>
      </c>
      <c r="F2929">
        <v>120</v>
      </c>
    </row>
    <row r="2930" spans="1:6" x14ac:dyDescent="0.25">
      <c r="A2930">
        <v>-111.97457300000001</v>
      </c>
      <c r="B2930">
        <v>33.068275</v>
      </c>
      <c r="C2930">
        <v>0.85499999999999998</v>
      </c>
      <c r="D2930">
        <v>0.76607999999999998</v>
      </c>
      <c r="E2930">
        <v>878766966</v>
      </c>
      <c r="F2930">
        <v>120</v>
      </c>
    </row>
    <row r="2931" spans="1:6" x14ac:dyDescent="0.25">
      <c r="A2931">
        <v>-111.97457300000001</v>
      </c>
      <c r="B2931">
        <v>33.068266999999999</v>
      </c>
      <c r="C2931">
        <v>0.92500000000000004</v>
      </c>
      <c r="D2931">
        <v>0.82879999999999998</v>
      </c>
      <c r="E2931">
        <v>878766968</v>
      </c>
      <c r="F2931">
        <v>120</v>
      </c>
    </row>
    <row r="2932" spans="1:6" x14ac:dyDescent="0.25">
      <c r="A2932">
        <v>-111.97457300000001</v>
      </c>
      <c r="B2932">
        <v>33.068260000000002</v>
      </c>
      <c r="C2932">
        <v>1.095</v>
      </c>
      <c r="D2932">
        <v>0.98111999999999999</v>
      </c>
      <c r="E2932">
        <v>878766970</v>
      </c>
      <c r="F2932">
        <v>120</v>
      </c>
    </row>
    <row r="2933" spans="1:6" x14ac:dyDescent="0.25">
      <c r="A2933">
        <v>-111.97457300000001</v>
      </c>
      <c r="B2933">
        <v>33.068252000000001</v>
      </c>
      <c r="C2933">
        <v>1.165</v>
      </c>
      <c r="D2933">
        <v>1.0438400000000001</v>
      </c>
      <c r="E2933">
        <v>878766972</v>
      </c>
      <c r="F2933">
        <v>120</v>
      </c>
    </row>
    <row r="2934" spans="1:6" x14ac:dyDescent="0.25">
      <c r="A2934">
        <v>-111.97457300000001</v>
      </c>
      <c r="B2934">
        <v>33.068244</v>
      </c>
      <c r="C2934">
        <v>1.03</v>
      </c>
      <c r="D2934">
        <v>0.92288000000000003</v>
      </c>
      <c r="E2934">
        <v>878766974</v>
      </c>
      <c r="F2934">
        <v>120</v>
      </c>
    </row>
    <row r="2935" spans="1:6" x14ac:dyDescent="0.25">
      <c r="A2935">
        <v>-111.97457300000001</v>
      </c>
      <c r="B2935">
        <v>33.068235999999999</v>
      </c>
      <c r="C2935">
        <v>1.095</v>
      </c>
      <c r="D2935">
        <v>0.98111999999999999</v>
      </c>
      <c r="E2935">
        <v>878766976</v>
      </c>
      <c r="F2935">
        <v>120</v>
      </c>
    </row>
    <row r="2936" spans="1:6" x14ac:dyDescent="0.25">
      <c r="A2936">
        <v>-111.974574</v>
      </c>
      <c r="B2936">
        <v>33.068229000000002</v>
      </c>
      <c r="C2936">
        <v>1.385</v>
      </c>
      <c r="D2936">
        <v>1.2409600000000001</v>
      </c>
      <c r="E2936">
        <v>878766978</v>
      </c>
      <c r="F2936">
        <v>120</v>
      </c>
    </row>
    <row r="2937" spans="1:6" x14ac:dyDescent="0.25">
      <c r="A2937">
        <v>-111.97457300000001</v>
      </c>
      <c r="B2937">
        <v>33.068221000000001</v>
      </c>
      <c r="C2937">
        <v>1.17</v>
      </c>
      <c r="D2937">
        <v>1.0483199999999999</v>
      </c>
      <c r="E2937">
        <v>878766980</v>
      </c>
      <c r="F2937">
        <v>120</v>
      </c>
    </row>
    <row r="2938" spans="1:6" x14ac:dyDescent="0.25">
      <c r="A2938">
        <v>-111.97457300000001</v>
      </c>
      <c r="B2938">
        <v>33.068213</v>
      </c>
      <c r="C2938">
        <v>1.375</v>
      </c>
      <c r="D2938">
        <v>1.232</v>
      </c>
      <c r="E2938">
        <v>878766982</v>
      </c>
      <c r="F2938">
        <v>120</v>
      </c>
    </row>
    <row r="2939" spans="1:6" x14ac:dyDescent="0.25">
      <c r="A2939">
        <v>-111.974574</v>
      </c>
      <c r="B2939">
        <v>33.068206000000004</v>
      </c>
      <c r="C2939">
        <v>0.68500000000000005</v>
      </c>
      <c r="D2939">
        <v>0.61375999999999997</v>
      </c>
      <c r="E2939">
        <v>878766984</v>
      </c>
      <c r="F2939">
        <v>120</v>
      </c>
    </row>
    <row r="2940" spans="1:6" x14ac:dyDescent="0.25">
      <c r="A2940">
        <v>-111.97457300000001</v>
      </c>
      <c r="B2940">
        <v>33.068204999999999</v>
      </c>
      <c r="C2940">
        <v>5.0000000000000001E-3</v>
      </c>
      <c r="D2940">
        <v>4.4799999999999996E-3</v>
      </c>
      <c r="E2940">
        <v>878766986</v>
      </c>
      <c r="F2940">
        <v>120</v>
      </c>
    </row>
    <row r="2941" spans="1:6" x14ac:dyDescent="0.25">
      <c r="A2941">
        <v>-111.97457300000001</v>
      </c>
      <c r="B2941">
        <v>33.068202999999997</v>
      </c>
      <c r="C2941">
        <v>5.0000000000000001E-3</v>
      </c>
      <c r="D2941">
        <v>4.4799999999999996E-3</v>
      </c>
      <c r="E2941">
        <v>878766992</v>
      </c>
      <c r="F2941">
        <v>120</v>
      </c>
    </row>
    <row r="2942" spans="1:6" x14ac:dyDescent="0.25">
      <c r="A2942">
        <v>-111.97457300000001</v>
      </c>
      <c r="B2942">
        <v>33.068198000000002</v>
      </c>
      <c r="C2942">
        <v>0.01</v>
      </c>
      <c r="D2942">
        <v>8.9599999999999992E-3</v>
      </c>
      <c r="E2942">
        <v>878766994</v>
      </c>
      <c r="F2942">
        <v>120</v>
      </c>
    </row>
    <row r="2943" spans="1:6" x14ac:dyDescent="0.25">
      <c r="A2943">
        <v>-111.97457199999999</v>
      </c>
      <c r="B2943">
        <v>33.068193000000001</v>
      </c>
      <c r="C2943">
        <v>0.245</v>
      </c>
      <c r="D2943">
        <v>0.21951999999999999</v>
      </c>
      <c r="E2943">
        <v>878766996</v>
      </c>
      <c r="F2943">
        <v>120</v>
      </c>
    </row>
    <row r="2944" spans="1:6" x14ac:dyDescent="0.25">
      <c r="A2944">
        <v>-111.974571</v>
      </c>
      <c r="B2944">
        <v>33.068187999999999</v>
      </c>
      <c r="C2944">
        <v>0.86</v>
      </c>
      <c r="D2944">
        <v>0.77056000000000002</v>
      </c>
      <c r="E2944">
        <v>878766998</v>
      </c>
      <c r="F2944">
        <v>120</v>
      </c>
    </row>
    <row r="2945" spans="1:6" x14ac:dyDescent="0.25">
      <c r="A2945">
        <v>-111.974571</v>
      </c>
      <c r="B2945">
        <v>33.068179000000001</v>
      </c>
      <c r="C2945">
        <v>1.48</v>
      </c>
      <c r="D2945">
        <v>1.3260799999999999</v>
      </c>
      <c r="E2945">
        <v>878767000</v>
      </c>
      <c r="F2945">
        <v>120</v>
      </c>
    </row>
    <row r="2946" spans="1:6" x14ac:dyDescent="0.25">
      <c r="A2946">
        <v>-111.974575</v>
      </c>
      <c r="B2946">
        <v>33.068170000000002</v>
      </c>
      <c r="C2946">
        <v>1.4450000000000001</v>
      </c>
      <c r="D2946">
        <v>1.2947200000000001</v>
      </c>
      <c r="E2946">
        <v>878767002</v>
      </c>
      <c r="F2946">
        <v>120</v>
      </c>
    </row>
    <row r="2947" spans="1:6" x14ac:dyDescent="0.25">
      <c r="A2947">
        <v>-111.974575</v>
      </c>
      <c r="B2947">
        <v>33.068162000000001</v>
      </c>
      <c r="C2947">
        <v>0.95</v>
      </c>
      <c r="D2947">
        <v>0.85119999999999996</v>
      </c>
      <c r="E2947">
        <v>878767004</v>
      </c>
      <c r="F2947">
        <v>120</v>
      </c>
    </row>
    <row r="2948" spans="1:6" x14ac:dyDescent="0.25">
      <c r="A2948">
        <v>-111.974574</v>
      </c>
      <c r="B2948">
        <v>33.068154</v>
      </c>
      <c r="C2948">
        <v>0.88</v>
      </c>
      <c r="D2948">
        <v>0.78847999999999996</v>
      </c>
      <c r="E2948">
        <v>878767006</v>
      </c>
      <c r="F2948">
        <v>120</v>
      </c>
    </row>
    <row r="2949" spans="1:6" x14ac:dyDescent="0.25">
      <c r="A2949">
        <v>-111.974574</v>
      </c>
      <c r="B2949">
        <v>33.068145999999999</v>
      </c>
      <c r="C2949">
        <v>0.77</v>
      </c>
      <c r="D2949">
        <v>0.68991999999999998</v>
      </c>
      <c r="E2949">
        <v>878767008</v>
      </c>
      <c r="F2949">
        <v>120</v>
      </c>
    </row>
    <row r="2950" spans="1:6" x14ac:dyDescent="0.25">
      <c r="A2950">
        <v>-111.974574</v>
      </c>
      <c r="B2950">
        <v>33.068139000000002</v>
      </c>
      <c r="C2950">
        <v>0.97499999999999998</v>
      </c>
      <c r="D2950">
        <v>0.87360000000000004</v>
      </c>
      <c r="E2950">
        <v>878767010</v>
      </c>
      <c r="F2950">
        <v>120</v>
      </c>
    </row>
    <row r="2951" spans="1:6" x14ac:dyDescent="0.25">
      <c r="A2951">
        <v>-111.974574</v>
      </c>
      <c r="B2951">
        <v>33.068131000000001</v>
      </c>
      <c r="C2951">
        <v>0.81</v>
      </c>
      <c r="D2951">
        <v>0.72575999999999996</v>
      </c>
      <c r="E2951">
        <v>878767012</v>
      </c>
      <c r="F2951">
        <v>120</v>
      </c>
    </row>
    <row r="2952" spans="1:6" x14ac:dyDescent="0.25">
      <c r="A2952">
        <v>-111.974574</v>
      </c>
      <c r="B2952">
        <v>33.068123</v>
      </c>
      <c r="C2952">
        <v>0.95499999999999996</v>
      </c>
      <c r="D2952">
        <v>0.85568</v>
      </c>
      <c r="E2952">
        <v>878767014</v>
      </c>
      <c r="F2952">
        <v>120</v>
      </c>
    </row>
    <row r="2953" spans="1:6" x14ac:dyDescent="0.25">
      <c r="A2953">
        <v>-111.974574</v>
      </c>
      <c r="B2953">
        <v>33.068116000000003</v>
      </c>
      <c r="C2953">
        <v>0.35499999999999998</v>
      </c>
      <c r="D2953">
        <v>0.31807999999999997</v>
      </c>
      <c r="E2953">
        <v>878767016</v>
      </c>
      <c r="F2953">
        <v>120</v>
      </c>
    </row>
    <row r="2954" spans="1:6" x14ac:dyDescent="0.25">
      <c r="A2954">
        <v>-111.974574</v>
      </c>
      <c r="B2954">
        <v>33.068108000000002</v>
      </c>
      <c r="C2954">
        <v>0.6</v>
      </c>
      <c r="D2954">
        <v>0.53759999999999997</v>
      </c>
      <c r="E2954">
        <v>878767018</v>
      </c>
      <c r="F2954">
        <v>120</v>
      </c>
    </row>
    <row r="2955" spans="1:6" x14ac:dyDescent="0.25">
      <c r="A2955">
        <v>-111.974574</v>
      </c>
      <c r="B2955">
        <v>33.068100000000001</v>
      </c>
      <c r="C2955">
        <v>0.78</v>
      </c>
      <c r="D2955">
        <v>0.69887999999999995</v>
      </c>
      <c r="E2955">
        <v>878767020</v>
      </c>
      <c r="F2955">
        <v>120</v>
      </c>
    </row>
    <row r="2956" spans="1:6" x14ac:dyDescent="0.25">
      <c r="A2956">
        <v>-111.974574</v>
      </c>
      <c r="B2956">
        <v>33.068092</v>
      </c>
      <c r="C2956">
        <v>0.185</v>
      </c>
      <c r="D2956">
        <v>0.16575999999999999</v>
      </c>
      <c r="E2956">
        <v>878767022</v>
      </c>
      <c r="F2956">
        <v>120</v>
      </c>
    </row>
    <row r="2957" spans="1:6" x14ac:dyDescent="0.25">
      <c r="A2957">
        <v>-111.974574</v>
      </c>
      <c r="B2957">
        <v>33.068085000000004</v>
      </c>
      <c r="C2957">
        <v>0.38500000000000001</v>
      </c>
      <c r="D2957">
        <v>0.34495999999999999</v>
      </c>
      <c r="E2957">
        <v>878767024</v>
      </c>
      <c r="F2957">
        <v>120</v>
      </c>
    </row>
    <row r="2958" spans="1:6" x14ac:dyDescent="0.25">
      <c r="A2958">
        <v>-111.974574</v>
      </c>
      <c r="B2958">
        <v>33.068077000000002</v>
      </c>
      <c r="C2958">
        <v>0.56999999999999995</v>
      </c>
      <c r="D2958">
        <v>0.51071999999999995</v>
      </c>
      <c r="E2958">
        <v>878767026</v>
      </c>
      <c r="F2958">
        <v>120</v>
      </c>
    </row>
    <row r="2959" spans="1:6" x14ac:dyDescent="0.25">
      <c r="A2959">
        <v>-111.974574</v>
      </c>
      <c r="B2959">
        <v>33.068069999999999</v>
      </c>
      <c r="C2959">
        <v>0.54</v>
      </c>
      <c r="D2959">
        <v>0.48383999999999999</v>
      </c>
      <c r="E2959">
        <v>878767028</v>
      </c>
      <c r="F2959">
        <v>120</v>
      </c>
    </row>
    <row r="2960" spans="1:6" x14ac:dyDescent="0.25">
      <c r="A2960">
        <v>-111.974574</v>
      </c>
      <c r="B2960">
        <v>33.068061</v>
      </c>
      <c r="C2960">
        <v>0.59</v>
      </c>
      <c r="D2960">
        <v>0.52864</v>
      </c>
      <c r="E2960">
        <v>878767030</v>
      </c>
      <c r="F2960">
        <v>120</v>
      </c>
    </row>
    <row r="2961" spans="1:6" x14ac:dyDescent="0.25">
      <c r="A2961">
        <v>-111.974574</v>
      </c>
      <c r="B2961">
        <v>33.068052999999999</v>
      </c>
      <c r="C2961">
        <v>0.625</v>
      </c>
      <c r="D2961">
        <v>0.56000000000000005</v>
      </c>
      <c r="E2961">
        <v>878767032</v>
      </c>
      <c r="F2961">
        <v>120</v>
      </c>
    </row>
    <row r="2962" spans="1:6" x14ac:dyDescent="0.25">
      <c r="A2962">
        <v>-111.974574</v>
      </c>
      <c r="B2962">
        <v>33.068044999999998</v>
      </c>
      <c r="C2962">
        <v>0.93</v>
      </c>
      <c r="D2962">
        <v>0.83328000000000002</v>
      </c>
      <c r="E2962">
        <v>878767034</v>
      </c>
      <c r="F2962">
        <v>120</v>
      </c>
    </row>
    <row r="2963" spans="1:6" x14ac:dyDescent="0.25">
      <c r="A2963">
        <v>-111.974574</v>
      </c>
      <c r="B2963">
        <v>33.068038000000001</v>
      </c>
      <c r="C2963">
        <v>0.15</v>
      </c>
      <c r="D2963">
        <v>0.13439999999999999</v>
      </c>
      <c r="E2963">
        <v>878767036</v>
      </c>
      <c r="F2963">
        <v>120</v>
      </c>
    </row>
    <row r="2964" spans="1:6" x14ac:dyDescent="0.25">
      <c r="A2964">
        <v>-111.974574</v>
      </c>
      <c r="B2964">
        <v>33.068030999999998</v>
      </c>
      <c r="C2964">
        <v>5.0000000000000001E-3</v>
      </c>
      <c r="D2964">
        <v>4.4799999999999996E-3</v>
      </c>
      <c r="E2964">
        <v>878767038</v>
      </c>
      <c r="F2964">
        <v>120</v>
      </c>
    </row>
    <row r="2965" spans="1:6" x14ac:dyDescent="0.25">
      <c r="A2965">
        <v>-111.97457300000001</v>
      </c>
      <c r="B2965">
        <v>33.067998000000003</v>
      </c>
      <c r="C2965">
        <v>5.0000000000000001E-3</v>
      </c>
      <c r="D2965">
        <v>4.4799999999999996E-3</v>
      </c>
      <c r="E2965">
        <v>878767052</v>
      </c>
      <c r="F2965">
        <v>120</v>
      </c>
    </row>
    <row r="2966" spans="1:6" x14ac:dyDescent="0.25">
      <c r="A2966">
        <v>-111.974591</v>
      </c>
      <c r="B2966">
        <v>33.067979999999999</v>
      </c>
      <c r="C2966">
        <v>5.0000000000000001E-3</v>
      </c>
      <c r="D2966">
        <v>4.4799999999999996E-3</v>
      </c>
      <c r="E2966">
        <v>878767056</v>
      </c>
      <c r="F2966">
        <v>120</v>
      </c>
    </row>
    <row r="2967" spans="1:6" x14ac:dyDescent="0.25">
      <c r="A2967">
        <v>-111.974603</v>
      </c>
      <c r="B2967">
        <v>33.067971</v>
      </c>
      <c r="C2967">
        <v>5.0000000000000001E-3</v>
      </c>
      <c r="D2967">
        <v>4.4799999999999996E-3</v>
      </c>
      <c r="E2967">
        <v>878767058</v>
      </c>
      <c r="F2967">
        <v>120</v>
      </c>
    </row>
    <row r="2968" spans="1:6" x14ac:dyDescent="0.25">
      <c r="A2968">
        <v>-111.974638</v>
      </c>
      <c r="B2968">
        <v>33.067982999999998</v>
      </c>
      <c r="C2968">
        <v>0.01</v>
      </c>
      <c r="D2968">
        <v>8.9599999999999992E-3</v>
      </c>
      <c r="E2968">
        <v>878767062</v>
      </c>
      <c r="F2968">
        <v>120</v>
      </c>
    </row>
    <row r="2969" spans="1:6" x14ac:dyDescent="0.25">
      <c r="A2969">
        <v>-111.97463999999999</v>
      </c>
      <c r="B2969">
        <v>33.067995000000003</v>
      </c>
      <c r="C2969">
        <v>5.0000000000000001E-3</v>
      </c>
      <c r="D2969">
        <v>4.4799999999999996E-3</v>
      </c>
      <c r="E2969">
        <v>878767064</v>
      </c>
      <c r="F2969">
        <v>120</v>
      </c>
    </row>
    <row r="2970" spans="1:6" x14ac:dyDescent="0.25">
      <c r="A2970">
        <v>-111.97461800000001</v>
      </c>
      <c r="B2970">
        <v>33.068044999999998</v>
      </c>
      <c r="C2970">
        <v>0.02</v>
      </c>
      <c r="D2970">
        <v>1.7919999999999998E-2</v>
      </c>
      <c r="E2970">
        <v>878767078</v>
      </c>
      <c r="F2970">
        <v>120</v>
      </c>
    </row>
    <row r="2971" spans="1:6" x14ac:dyDescent="0.25">
      <c r="A2971">
        <v>-111.974619</v>
      </c>
      <c r="B2971">
        <v>33.068052999999999</v>
      </c>
      <c r="C2971">
        <v>0.71499999999999997</v>
      </c>
      <c r="D2971">
        <v>0.64063999999999999</v>
      </c>
      <c r="E2971">
        <v>878767080</v>
      </c>
      <c r="F2971">
        <v>120</v>
      </c>
    </row>
    <row r="2972" spans="1:6" x14ac:dyDescent="0.25">
      <c r="A2972">
        <v>-111.974619</v>
      </c>
      <c r="B2972">
        <v>33.068060000000003</v>
      </c>
      <c r="C2972">
        <v>0.40500000000000003</v>
      </c>
      <c r="D2972">
        <v>0.36287999999999998</v>
      </c>
      <c r="E2972">
        <v>878767082</v>
      </c>
      <c r="F2972">
        <v>120</v>
      </c>
    </row>
    <row r="2973" spans="1:6" x14ac:dyDescent="0.25">
      <c r="A2973">
        <v>-111.97461800000001</v>
      </c>
      <c r="B2973">
        <v>33.068064</v>
      </c>
      <c r="C2973">
        <v>0.52</v>
      </c>
      <c r="D2973">
        <v>0.46592</v>
      </c>
      <c r="E2973">
        <v>878767084</v>
      </c>
      <c r="F2973">
        <v>120</v>
      </c>
    </row>
    <row r="2974" spans="1:6" x14ac:dyDescent="0.25">
      <c r="A2974">
        <v>-111.97461699999999</v>
      </c>
      <c r="B2974">
        <v>33.068071000000003</v>
      </c>
      <c r="C2974">
        <v>0.53500000000000003</v>
      </c>
      <c r="D2974">
        <v>0.47936000000000001</v>
      </c>
      <c r="E2974">
        <v>878767086</v>
      </c>
      <c r="F2974">
        <v>120</v>
      </c>
    </row>
    <row r="2975" spans="1:6" x14ac:dyDescent="0.25">
      <c r="A2975">
        <v>-111.97461699999999</v>
      </c>
      <c r="B2975">
        <v>33.068078999999997</v>
      </c>
      <c r="C2975">
        <v>0.61499999999999999</v>
      </c>
      <c r="D2975">
        <v>0.55103999999999997</v>
      </c>
      <c r="E2975">
        <v>878767088</v>
      </c>
      <c r="F2975">
        <v>120</v>
      </c>
    </row>
    <row r="2976" spans="1:6" x14ac:dyDescent="0.25">
      <c r="A2976">
        <v>-111.97461699999999</v>
      </c>
      <c r="B2976">
        <v>33.068088000000003</v>
      </c>
      <c r="C2976">
        <v>0.34499999999999997</v>
      </c>
      <c r="D2976">
        <v>0.30912000000000001</v>
      </c>
      <c r="E2976">
        <v>878767090</v>
      </c>
      <c r="F2976">
        <v>120</v>
      </c>
    </row>
    <row r="2977" spans="1:6" x14ac:dyDescent="0.25">
      <c r="A2977">
        <v>-111.974616</v>
      </c>
      <c r="B2977">
        <v>33.068097000000002</v>
      </c>
      <c r="C2977">
        <v>0.63500000000000001</v>
      </c>
      <c r="D2977">
        <v>0.56896000000000002</v>
      </c>
      <c r="E2977">
        <v>878767092</v>
      </c>
      <c r="F2977">
        <v>120</v>
      </c>
    </row>
    <row r="2978" spans="1:6" x14ac:dyDescent="0.25">
      <c r="A2978">
        <v>-111.97461699999999</v>
      </c>
      <c r="B2978">
        <v>33.068106</v>
      </c>
      <c r="C2978">
        <v>0.65</v>
      </c>
      <c r="D2978">
        <v>0.58240000000000003</v>
      </c>
      <c r="E2978">
        <v>878767094</v>
      </c>
      <c r="F2978">
        <v>120</v>
      </c>
    </row>
    <row r="2979" spans="1:6" x14ac:dyDescent="0.25">
      <c r="A2979">
        <v>-111.97461699999999</v>
      </c>
      <c r="B2979">
        <v>33.068114000000001</v>
      </c>
      <c r="C2979">
        <v>0.75</v>
      </c>
      <c r="D2979">
        <v>0.67200000000000004</v>
      </c>
      <c r="E2979">
        <v>878767096</v>
      </c>
      <c r="F2979">
        <v>120</v>
      </c>
    </row>
    <row r="2980" spans="1:6" x14ac:dyDescent="0.25">
      <c r="A2980">
        <v>-111.97461699999999</v>
      </c>
      <c r="B2980">
        <v>33.068123</v>
      </c>
      <c r="C2980">
        <v>0.62</v>
      </c>
      <c r="D2980">
        <v>0.55552000000000001</v>
      </c>
      <c r="E2980">
        <v>878767098</v>
      </c>
      <c r="F2980">
        <v>120</v>
      </c>
    </row>
    <row r="2981" spans="1:6" x14ac:dyDescent="0.25">
      <c r="A2981">
        <v>-111.97461699999999</v>
      </c>
      <c r="B2981">
        <v>33.068131000000001</v>
      </c>
      <c r="C2981">
        <v>1.02</v>
      </c>
      <c r="D2981">
        <v>0.91391999999999995</v>
      </c>
      <c r="E2981">
        <v>878767100</v>
      </c>
      <c r="F2981">
        <v>120</v>
      </c>
    </row>
    <row r="2982" spans="1:6" x14ac:dyDescent="0.25">
      <c r="A2982">
        <v>-111.974616</v>
      </c>
      <c r="B2982">
        <v>33.068139000000002</v>
      </c>
      <c r="C2982">
        <v>1.1299999999999999</v>
      </c>
      <c r="D2982">
        <v>1.01248</v>
      </c>
      <c r="E2982">
        <v>878767102</v>
      </c>
      <c r="F2982">
        <v>120</v>
      </c>
    </row>
    <row r="2983" spans="1:6" x14ac:dyDescent="0.25">
      <c r="A2983">
        <v>-111.974616</v>
      </c>
      <c r="B2983">
        <v>33.068145999999999</v>
      </c>
      <c r="C2983">
        <v>1.0900000000000001</v>
      </c>
      <c r="D2983">
        <v>0.97663999999999995</v>
      </c>
      <c r="E2983">
        <v>878767104</v>
      </c>
      <c r="F2983">
        <v>120</v>
      </c>
    </row>
    <row r="2984" spans="1:6" x14ac:dyDescent="0.25">
      <c r="A2984">
        <v>-111.974616</v>
      </c>
      <c r="B2984">
        <v>33.068154</v>
      </c>
      <c r="C2984">
        <v>1.02</v>
      </c>
      <c r="D2984">
        <v>0.91391999999999995</v>
      </c>
      <c r="E2984">
        <v>878767106</v>
      </c>
      <c r="F2984">
        <v>120</v>
      </c>
    </row>
    <row r="2985" spans="1:6" x14ac:dyDescent="0.25">
      <c r="A2985">
        <v>-111.974616</v>
      </c>
      <c r="B2985">
        <v>33.068162000000001</v>
      </c>
      <c r="C2985">
        <v>0.91</v>
      </c>
      <c r="D2985">
        <v>0.81535999999999997</v>
      </c>
      <c r="E2985">
        <v>878767108</v>
      </c>
      <c r="F2985">
        <v>120</v>
      </c>
    </row>
    <row r="2986" spans="1:6" x14ac:dyDescent="0.25">
      <c r="A2986">
        <v>-111.974616</v>
      </c>
      <c r="B2986">
        <v>33.068170000000002</v>
      </c>
      <c r="C2986">
        <v>0.98</v>
      </c>
      <c r="D2986">
        <v>0.87807999999999997</v>
      </c>
      <c r="E2986">
        <v>878767110</v>
      </c>
      <c r="F2986">
        <v>120</v>
      </c>
    </row>
    <row r="2987" spans="1:6" x14ac:dyDescent="0.25">
      <c r="A2987">
        <v>-111.974616</v>
      </c>
      <c r="B2987">
        <v>33.068178000000003</v>
      </c>
      <c r="C2987">
        <v>1.05</v>
      </c>
      <c r="D2987">
        <v>0.94079999999999997</v>
      </c>
      <c r="E2987">
        <v>878767112</v>
      </c>
      <c r="F2987">
        <v>120</v>
      </c>
    </row>
    <row r="2988" spans="1:6" x14ac:dyDescent="0.25">
      <c r="A2988">
        <v>-111.974616</v>
      </c>
      <c r="B2988">
        <v>33.068185</v>
      </c>
      <c r="C2988">
        <v>1.0549999999999999</v>
      </c>
      <c r="D2988">
        <v>0.94528000000000001</v>
      </c>
      <c r="E2988">
        <v>878767114</v>
      </c>
      <c r="F2988">
        <v>120</v>
      </c>
    </row>
    <row r="2989" spans="1:6" x14ac:dyDescent="0.25">
      <c r="A2989">
        <v>-111.974615</v>
      </c>
      <c r="B2989">
        <v>33.068193000000001</v>
      </c>
      <c r="C2989">
        <v>1.2050000000000001</v>
      </c>
      <c r="D2989">
        <v>1.07968</v>
      </c>
      <c r="E2989">
        <v>878767116</v>
      </c>
      <c r="F2989">
        <v>120</v>
      </c>
    </row>
    <row r="2990" spans="1:6" x14ac:dyDescent="0.25">
      <c r="A2990">
        <v>-111.974616</v>
      </c>
      <c r="B2990">
        <v>33.068199</v>
      </c>
      <c r="C2990">
        <v>0.22500000000000001</v>
      </c>
      <c r="D2990">
        <v>0.2016</v>
      </c>
      <c r="E2990">
        <v>878767118</v>
      </c>
      <c r="F2990">
        <v>120</v>
      </c>
    </row>
    <row r="2991" spans="1:6" x14ac:dyDescent="0.25">
      <c r="A2991">
        <v>-111.974615</v>
      </c>
      <c r="B2991">
        <v>33.068198000000002</v>
      </c>
      <c r="C2991">
        <v>5.0000000000000001E-3</v>
      </c>
      <c r="D2991">
        <v>4.4799999999999996E-3</v>
      </c>
      <c r="E2991">
        <v>878767120</v>
      </c>
      <c r="F2991">
        <v>120</v>
      </c>
    </row>
    <row r="2992" spans="1:6" x14ac:dyDescent="0.25">
      <c r="A2992">
        <v>-111.974616</v>
      </c>
      <c r="B2992">
        <v>33.068201000000002</v>
      </c>
      <c r="C2992">
        <v>0.01</v>
      </c>
      <c r="D2992">
        <v>8.9599999999999992E-3</v>
      </c>
      <c r="E2992">
        <v>878767126</v>
      </c>
      <c r="F2992">
        <v>120</v>
      </c>
    </row>
    <row r="2993" spans="1:6" x14ac:dyDescent="0.25">
      <c r="A2993">
        <v>-111.974616</v>
      </c>
      <c r="B2993">
        <v>33.068207999999998</v>
      </c>
      <c r="C2993">
        <v>5.5E-2</v>
      </c>
      <c r="D2993">
        <v>4.9279999999999997E-2</v>
      </c>
      <c r="E2993">
        <v>878767128</v>
      </c>
      <c r="F2993">
        <v>120</v>
      </c>
    </row>
    <row r="2994" spans="1:6" x14ac:dyDescent="0.25">
      <c r="A2994">
        <v>-111.97461800000001</v>
      </c>
      <c r="B2994">
        <v>33.068216</v>
      </c>
      <c r="C2994">
        <v>0.26</v>
      </c>
      <c r="D2994">
        <v>0.23296</v>
      </c>
      <c r="E2994">
        <v>878767130</v>
      </c>
      <c r="F2994">
        <v>120</v>
      </c>
    </row>
    <row r="2995" spans="1:6" x14ac:dyDescent="0.25">
      <c r="A2995">
        <v>-111.97461800000001</v>
      </c>
      <c r="B2995">
        <v>33.068223000000003</v>
      </c>
      <c r="C2995">
        <v>1.49</v>
      </c>
      <c r="D2995">
        <v>1.33504</v>
      </c>
      <c r="E2995">
        <v>878767132</v>
      </c>
      <c r="F2995">
        <v>120</v>
      </c>
    </row>
    <row r="2996" spans="1:6" x14ac:dyDescent="0.25">
      <c r="A2996">
        <v>-111.97461699999999</v>
      </c>
      <c r="B2996">
        <v>33.068232000000002</v>
      </c>
      <c r="C2996">
        <v>1.8049999999999999</v>
      </c>
      <c r="D2996">
        <v>1.6172800000000001</v>
      </c>
      <c r="E2996">
        <v>878767134</v>
      </c>
      <c r="F2996">
        <v>120</v>
      </c>
    </row>
    <row r="2997" spans="1:6" x14ac:dyDescent="0.25">
      <c r="A2997">
        <v>-111.974615</v>
      </c>
      <c r="B2997">
        <v>33.068240000000003</v>
      </c>
      <c r="C2997">
        <v>1.44</v>
      </c>
      <c r="D2997">
        <v>1.2902400000000001</v>
      </c>
      <c r="E2997">
        <v>878767136</v>
      </c>
      <c r="F2997">
        <v>120</v>
      </c>
    </row>
    <row r="2998" spans="1:6" x14ac:dyDescent="0.25">
      <c r="A2998">
        <v>-111.974615</v>
      </c>
      <c r="B2998">
        <v>33.068247</v>
      </c>
      <c r="C2998">
        <v>1.0349999999999999</v>
      </c>
      <c r="D2998">
        <v>0.92735999999999996</v>
      </c>
      <c r="E2998">
        <v>878767138</v>
      </c>
      <c r="F2998">
        <v>120</v>
      </c>
    </row>
    <row r="2999" spans="1:6" x14ac:dyDescent="0.25">
      <c r="A2999">
        <v>-111.974615</v>
      </c>
      <c r="B2999">
        <v>33.068255000000001</v>
      </c>
      <c r="C2999">
        <v>0.87</v>
      </c>
      <c r="D2999">
        <v>0.77951999999999999</v>
      </c>
      <c r="E2999">
        <v>878767140</v>
      </c>
      <c r="F2999">
        <v>120</v>
      </c>
    </row>
    <row r="3000" spans="1:6" x14ac:dyDescent="0.25">
      <c r="A3000">
        <v>-111.974615</v>
      </c>
      <c r="B3000">
        <v>33.068263000000002</v>
      </c>
      <c r="C3000">
        <v>1.06</v>
      </c>
      <c r="D3000">
        <v>0.94976000000000005</v>
      </c>
      <c r="E3000">
        <v>878767142</v>
      </c>
      <c r="F3000">
        <v>120</v>
      </c>
    </row>
    <row r="3001" spans="1:6" x14ac:dyDescent="0.25">
      <c r="A3001">
        <v>-111.974615</v>
      </c>
      <c r="B3001">
        <v>33.068269999999998</v>
      </c>
      <c r="C3001">
        <v>1.03</v>
      </c>
      <c r="D3001">
        <v>0.92288000000000003</v>
      </c>
      <c r="E3001">
        <v>878767144</v>
      </c>
      <c r="F3001">
        <v>120</v>
      </c>
    </row>
    <row r="3002" spans="1:6" x14ac:dyDescent="0.25">
      <c r="A3002">
        <v>-111.974615</v>
      </c>
      <c r="B3002">
        <v>33.068277999999999</v>
      </c>
      <c r="C3002">
        <v>1.095</v>
      </c>
      <c r="D3002">
        <v>0.98111999999999999</v>
      </c>
      <c r="E3002">
        <v>878767146</v>
      </c>
      <c r="F3002">
        <v>120</v>
      </c>
    </row>
    <row r="3003" spans="1:6" x14ac:dyDescent="0.25">
      <c r="A3003">
        <v>-111.974615</v>
      </c>
      <c r="B3003">
        <v>33.068286000000001</v>
      </c>
      <c r="C3003">
        <v>1.28</v>
      </c>
      <c r="D3003">
        <v>1.1468799999999999</v>
      </c>
      <c r="E3003">
        <v>878767148</v>
      </c>
      <c r="F3003">
        <v>120</v>
      </c>
    </row>
    <row r="3004" spans="1:6" x14ac:dyDescent="0.25">
      <c r="A3004">
        <v>-111.974615</v>
      </c>
      <c r="B3004">
        <v>33.068292999999997</v>
      </c>
      <c r="C3004">
        <v>0.87</v>
      </c>
      <c r="D3004">
        <v>0.77951999999999999</v>
      </c>
      <c r="E3004">
        <v>878767150</v>
      </c>
      <c r="F3004">
        <v>120</v>
      </c>
    </row>
    <row r="3005" spans="1:6" x14ac:dyDescent="0.25">
      <c r="A3005">
        <v>-111.974615</v>
      </c>
      <c r="B3005">
        <v>33.068300000000001</v>
      </c>
      <c r="C3005">
        <v>1.47</v>
      </c>
      <c r="D3005">
        <v>1.3171200000000001</v>
      </c>
      <c r="E3005">
        <v>878767152</v>
      </c>
      <c r="F3005">
        <v>120</v>
      </c>
    </row>
    <row r="3006" spans="1:6" x14ac:dyDescent="0.25">
      <c r="A3006">
        <v>-111.974615</v>
      </c>
      <c r="B3006">
        <v>33.068308000000002</v>
      </c>
      <c r="C3006">
        <v>1.1100000000000001</v>
      </c>
      <c r="D3006">
        <v>0.99456</v>
      </c>
      <c r="E3006">
        <v>878767154</v>
      </c>
      <c r="F3006">
        <v>120</v>
      </c>
    </row>
    <row r="3007" spans="1:6" x14ac:dyDescent="0.25">
      <c r="A3007">
        <v>-111.974615</v>
      </c>
      <c r="B3007">
        <v>33.068316000000003</v>
      </c>
      <c r="C3007">
        <v>1.18</v>
      </c>
      <c r="D3007">
        <v>1.05728</v>
      </c>
      <c r="E3007">
        <v>878767156</v>
      </c>
      <c r="F3007">
        <v>120</v>
      </c>
    </row>
    <row r="3008" spans="1:6" x14ac:dyDescent="0.25">
      <c r="A3008">
        <v>-111.974615</v>
      </c>
      <c r="B3008">
        <v>33.068323999999997</v>
      </c>
      <c r="C3008">
        <v>1.355</v>
      </c>
      <c r="D3008">
        <v>1.21408</v>
      </c>
      <c r="E3008">
        <v>878767158</v>
      </c>
      <c r="F3008">
        <v>120</v>
      </c>
    </row>
    <row r="3009" spans="1:6" x14ac:dyDescent="0.25">
      <c r="A3009">
        <v>-111.974615</v>
      </c>
      <c r="B3009">
        <v>33.068331000000001</v>
      </c>
      <c r="C3009">
        <v>1.165</v>
      </c>
      <c r="D3009">
        <v>1.0438400000000001</v>
      </c>
      <c r="E3009">
        <v>878767160</v>
      </c>
      <c r="F3009">
        <v>120</v>
      </c>
    </row>
    <row r="3010" spans="1:6" x14ac:dyDescent="0.25">
      <c r="A3010">
        <v>-111.974615</v>
      </c>
      <c r="B3010">
        <v>33.068339000000002</v>
      </c>
      <c r="C3010">
        <v>1.375</v>
      </c>
      <c r="D3010">
        <v>1.232</v>
      </c>
      <c r="E3010">
        <v>878767162</v>
      </c>
      <c r="F3010">
        <v>120</v>
      </c>
    </row>
    <row r="3011" spans="1:6" x14ac:dyDescent="0.25">
      <c r="A3011">
        <v>-111.974615</v>
      </c>
      <c r="B3011">
        <v>33.068347000000003</v>
      </c>
      <c r="C3011">
        <v>1.36</v>
      </c>
      <c r="D3011">
        <v>1.2185600000000001</v>
      </c>
      <c r="E3011">
        <v>878767164</v>
      </c>
      <c r="F3011">
        <v>120</v>
      </c>
    </row>
    <row r="3012" spans="1:6" x14ac:dyDescent="0.25">
      <c r="A3012">
        <v>-111.974615</v>
      </c>
      <c r="B3012">
        <v>33.068354999999997</v>
      </c>
      <c r="C3012">
        <v>1.35</v>
      </c>
      <c r="D3012">
        <v>1.2096</v>
      </c>
      <c r="E3012">
        <v>878767166</v>
      </c>
      <c r="F3012">
        <v>120</v>
      </c>
    </row>
    <row r="3013" spans="1:6" x14ac:dyDescent="0.25">
      <c r="A3013">
        <v>-111.974615</v>
      </c>
      <c r="B3013">
        <v>33.068361000000003</v>
      </c>
      <c r="C3013">
        <v>1.37</v>
      </c>
      <c r="D3013">
        <v>1.2275199999999999</v>
      </c>
      <c r="E3013">
        <v>878767168</v>
      </c>
      <c r="F3013">
        <v>120</v>
      </c>
    </row>
    <row r="3014" spans="1:6" x14ac:dyDescent="0.25">
      <c r="A3014">
        <v>-111.974615</v>
      </c>
      <c r="B3014">
        <v>33.068368999999997</v>
      </c>
      <c r="C3014">
        <v>0.61</v>
      </c>
      <c r="D3014">
        <v>0.54656000000000005</v>
      </c>
      <c r="E3014">
        <v>878767170</v>
      </c>
      <c r="F3014">
        <v>120</v>
      </c>
    </row>
    <row r="3015" spans="1:6" x14ac:dyDescent="0.25">
      <c r="A3015">
        <v>-111.974616</v>
      </c>
      <c r="B3015">
        <v>33.068378000000003</v>
      </c>
      <c r="C3015">
        <v>0.03</v>
      </c>
      <c r="D3015">
        <v>2.6880000000000001E-2</v>
      </c>
      <c r="E3015">
        <v>878767172</v>
      </c>
      <c r="F3015">
        <v>120</v>
      </c>
    </row>
    <row r="3016" spans="1:6" x14ac:dyDescent="0.25">
      <c r="A3016">
        <v>-111.974619</v>
      </c>
      <c r="B3016">
        <v>33.068384999999999</v>
      </c>
      <c r="C3016">
        <v>0.01</v>
      </c>
      <c r="D3016">
        <v>8.9599999999999992E-3</v>
      </c>
      <c r="E3016">
        <v>878767174</v>
      </c>
      <c r="F3016">
        <v>120</v>
      </c>
    </row>
    <row r="3017" spans="1:6" x14ac:dyDescent="0.25">
      <c r="A3017">
        <v>-111.974616</v>
      </c>
      <c r="B3017">
        <v>33.06841</v>
      </c>
      <c r="C3017">
        <v>5.0000000000000001E-3</v>
      </c>
      <c r="D3017">
        <v>4.4799999999999996E-3</v>
      </c>
      <c r="E3017">
        <v>878767180</v>
      </c>
      <c r="F3017">
        <v>120</v>
      </c>
    </row>
    <row r="3018" spans="1:6" x14ac:dyDescent="0.25">
      <c r="A3018">
        <v>-111.974614</v>
      </c>
      <c r="B3018">
        <v>33.068441</v>
      </c>
      <c r="C3018">
        <v>5.0000000000000001E-3</v>
      </c>
      <c r="D3018">
        <v>4.4799999999999996E-3</v>
      </c>
      <c r="E3018">
        <v>878767188</v>
      </c>
      <c r="F3018">
        <v>120</v>
      </c>
    </row>
    <row r="3019" spans="1:6" x14ac:dyDescent="0.25">
      <c r="A3019">
        <v>-111.974614</v>
      </c>
      <c r="B3019">
        <v>33.068449999999999</v>
      </c>
      <c r="C3019">
        <v>0.185</v>
      </c>
      <c r="D3019">
        <v>0.16575999999999999</v>
      </c>
      <c r="E3019">
        <v>878767190</v>
      </c>
      <c r="F3019">
        <v>120</v>
      </c>
    </row>
    <row r="3020" spans="1:6" x14ac:dyDescent="0.25">
      <c r="A3020">
        <v>-111.974614</v>
      </c>
      <c r="B3020">
        <v>33.068457000000002</v>
      </c>
      <c r="C3020">
        <v>0.23499999999999999</v>
      </c>
      <c r="D3020">
        <v>0.21056</v>
      </c>
      <c r="E3020">
        <v>878767192</v>
      </c>
      <c r="F3020">
        <v>120</v>
      </c>
    </row>
    <row r="3021" spans="1:6" x14ac:dyDescent="0.25">
      <c r="A3021">
        <v>-111.974616</v>
      </c>
      <c r="B3021">
        <v>33.068461999999997</v>
      </c>
      <c r="C3021">
        <v>1.2949999999999999</v>
      </c>
      <c r="D3021">
        <v>1.16032</v>
      </c>
      <c r="E3021">
        <v>878767194</v>
      </c>
      <c r="F3021">
        <v>120</v>
      </c>
    </row>
    <row r="3022" spans="1:6" x14ac:dyDescent="0.25">
      <c r="A3022">
        <v>-111.974616</v>
      </c>
      <c r="B3022">
        <v>33.068469999999998</v>
      </c>
      <c r="C3022">
        <v>1.56</v>
      </c>
      <c r="D3022">
        <v>1.3977599999999999</v>
      </c>
      <c r="E3022">
        <v>878767196</v>
      </c>
      <c r="F3022">
        <v>120</v>
      </c>
    </row>
    <row r="3023" spans="1:6" x14ac:dyDescent="0.25">
      <c r="A3023">
        <v>-111.97461699999999</v>
      </c>
      <c r="B3023">
        <v>33.068477000000001</v>
      </c>
      <c r="C3023">
        <v>0.88</v>
      </c>
      <c r="D3023">
        <v>0.78847999999999996</v>
      </c>
      <c r="E3023">
        <v>878767198</v>
      </c>
      <c r="F3023">
        <v>120</v>
      </c>
    </row>
    <row r="3024" spans="1:6" x14ac:dyDescent="0.25">
      <c r="A3024">
        <v>-111.974616</v>
      </c>
      <c r="B3024">
        <v>33.068485000000003</v>
      </c>
      <c r="C3024">
        <v>0.93500000000000005</v>
      </c>
      <c r="D3024">
        <v>0.83775999999999995</v>
      </c>
      <c r="E3024">
        <v>878767200</v>
      </c>
      <c r="F3024">
        <v>120</v>
      </c>
    </row>
    <row r="3025" spans="1:6" x14ac:dyDescent="0.25">
      <c r="A3025">
        <v>-111.974615</v>
      </c>
      <c r="B3025">
        <v>33.068492999999997</v>
      </c>
      <c r="C3025">
        <v>0.8</v>
      </c>
      <c r="D3025">
        <v>0.71679999999999999</v>
      </c>
      <c r="E3025">
        <v>878767202</v>
      </c>
      <c r="F3025">
        <v>120</v>
      </c>
    </row>
    <row r="3026" spans="1:6" x14ac:dyDescent="0.25">
      <c r="A3026">
        <v>-111.974615</v>
      </c>
      <c r="B3026">
        <v>33.068500999999998</v>
      </c>
      <c r="C3026">
        <v>0.85499999999999998</v>
      </c>
      <c r="D3026">
        <v>0.76607999999999998</v>
      </c>
      <c r="E3026">
        <v>878767204</v>
      </c>
      <c r="F3026">
        <v>120</v>
      </c>
    </row>
    <row r="3027" spans="1:6" x14ac:dyDescent="0.25">
      <c r="A3027">
        <v>-111.974615</v>
      </c>
      <c r="B3027">
        <v>33.068508999999999</v>
      </c>
      <c r="C3027">
        <v>1.52</v>
      </c>
      <c r="D3027">
        <v>1.36192</v>
      </c>
      <c r="E3027">
        <v>878767206</v>
      </c>
      <c r="F3027">
        <v>120</v>
      </c>
    </row>
    <row r="3028" spans="1:6" x14ac:dyDescent="0.25">
      <c r="A3028">
        <v>-111.974614</v>
      </c>
      <c r="B3028">
        <v>33.068517</v>
      </c>
      <c r="C3028">
        <v>1.175</v>
      </c>
      <c r="D3028">
        <v>1.0528</v>
      </c>
      <c r="E3028">
        <v>878767208</v>
      </c>
      <c r="F3028">
        <v>120</v>
      </c>
    </row>
    <row r="3029" spans="1:6" x14ac:dyDescent="0.25">
      <c r="A3029">
        <v>-111.974615</v>
      </c>
      <c r="B3029">
        <v>33.068525000000001</v>
      </c>
      <c r="C3029">
        <v>0.43</v>
      </c>
      <c r="D3029">
        <v>0.38528000000000001</v>
      </c>
      <c r="E3029">
        <v>878767210</v>
      </c>
      <c r="F3029">
        <v>120</v>
      </c>
    </row>
    <row r="3030" spans="1:6" x14ac:dyDescent="0.25">
      <c r="A3030">
        <v>-111.974615</v>
      </c>
      <c r="B3030">
        <v>33.068531</v>
      </c>
      <c r="C3030">
        <v>0.745</v>
      </c>
      <c r="D3030">
        <v>0.66752</v>
      </c>
      <c r="E3030">
        <v>878767212</v>
      </c>
      <c r="F3030">
        <v>120</v>
      </c>
    </row>
    <row r="3031" spans="1:6" x14ac:dyDescent="0.25">
      <c r="A3031">
        <v>-111.974616</v>
      </c>
      <c r="B3031">
        <v>33.068539999999999</v>
      </c>
      <c r="C3031">
        <v>0.44</v>
      </c>
      <c r="D3031">
        <v>0.39423999999999998</v>
      </c>
      <c r="E3031">
        <v>878767214</v>
      </c>
      <c r="F3031">
        <v>120</v>
      </c>
    </row>
    <row r="3032" spans="1:6" x14ac:dyDescent="0.25">
      <c r="A3032">
        <v>-111.974615</v>
      </c>
      <c r="B3032">
        <v>33.068547000000002</v>
      </c>
      <c r="C3032">
        <v>0.95499999999999996</v>
      </c>
      <c r="D3032">
        <v>0.85568</v>
      </c>
      <c r="E3032">
        <v>878767216</v>
      </c>
      <c r="F3032">
        <v>120</v>
      </c>
    </row>
    <row r="3033" spans="1:6" x14ac:dyDescent="0.25">
      <c r="A3033">
        <v>-111.974615</v>
      </c>
      <c r="B3033">
        <v>33.068555000000003</v>
      </c>
      <c r="C3033">
        <v>1.3149999999999999</v>
      </c>
      <c r="D3033">
        <v>1.17824</v>
      </c>
      <c r="E3033">
        <v>878767218</v>
      </c>
      <c r="F3033">
        <v>120</v>
      </c>
    </row>
    <row r="3034" spans="1:6" x14ac:dyDescent="0.25">
      <c r="A3034">
        <v>-111.974615</v>
      </c>
      <c r="B3034">
        <v>33.068562999999997</v>
      </c>
      <c r="C3034">
        <v>0.71</v>
      </c>
      <c r="D3034">
        <v>0.63615999999999995</v>
      </c>
      <c r="E3034">
        <v>878767220</v>
      </c>
      <c r="F3034">
        <v>120</v>
      </c>
    </row>
    <row r="3035" spans="1:6" x14ac:dyDescent="0.25">
      <c r="A3035">
        <v>-111.974614</v>
      </c>
      <c r="B3035">
        <v>33.068570999999999</v>
      </c>
      <c r="C3035">
        <v>1.5</v>
      </c>
      <c r="D3035">
        <v>1.3440000000000001</v>
      </c>
      <c r="E3035">
        <v>878767222</v>
      </c>
      <c r="F3035">
        <v>120</v>
      </c>
    </row>
    <row r="3036" spans="1:6" x14ac:dyDescent="0.25">
      <c r="A3036">
        <v>-111.974615</v>
      </c>
      <c r="B3036">
        <v>33.068578000000002</v>
      </c>
      <c r="C3036">
        <v>1.345</v>
      </c>
      <c r="D3036">
        <v>1.20512</v>
      </c>
      <c r="E3036">
        <v>878767224</v>
      </c>
      <c r="F3036">
        <v>120</v>
      </c>
    </row>
    <row r="3037" spans="1:6" x14ac:dyDescent="0.25">
      <c r="A3037">
        <v>-111.974614</v>
      </c>
      <c r="B3037">
        <v>33.068586000000003</v>
      </c>
      <c r="C3037">
        <v>1.36</v>
      </c>
      <c r="D3037">
        <v>1.2185600000000001</v>
      </c>
      <c r="E3037">
        <v>878767226</v>
      </c>
      <c r="F3037">
        <v>120</v>
      </c>
    </row>
    <row r="3038" spans="1:6" x14ac:dyDescent="0.25">
      <c r="A3038">
        <v>-111.974615</v>
      </c>
      <c r="B3038">
        <v>33.068593999999997</v>
      </c>
      <c r="C3038">
        <v>1.36</v>
      </c>
      <c r="D3038">
        <v>1.2185600000000001</v>
      </c>
      <c r="E3038">
        <v>878767228</v>
      </c>
      <c r="F3038">
        <v>120</v>
      </c>
    </row>
    <row r="3039" spans="1:6" x14ac:dyDescent="0.25">
      <c r="A3039">
        <v>-111.974615</v>
      </c>
      <c r="B3039">
        <v>33.068601999999998</v>
      </c>
      <c r="C3039">
        <v>1.1950000000000001</v>
      </c>
      <c r="D3039">
        <v>1.0707199999999999</v>
      </c>
      <c r="E3039">
        <v>878767230</v>
      </c>
      <c r="F3039">
        <v>120</v>
      </c>
    </row>
    <row r="3040" spans="1:6" x14ac:dyDescent="0.25">
      <c r="A3040">
        <v>-111.974615</v>
      </c>
      <c r="B3040">
        <v>33.06861</v>
      </c>
      <c r="C3040">
        <v>0.32</v>
      </c>
      <c r="D3040">
        <v>0.28671999999999997</v>
      </c>
      <c r="E3040">
        <v>878767232</v>
      </c>
      <c r="F3040">
        <v>120</v>
      </c>
    </row>
    <row r="3041" spans="1:6" x14ac:dyDescent="0.25">
      <c r="A3041">
        <v>-111.97461300000001</v>
      </c>
      <c r="B3041">
        <v>33.068618000000001</v>
      </c>
      <c r="C3041">
        <v>0.51</v>
      </c>
      <c r="D3041">
        <v>0.45695999999999998</v>
      </c>
      <c r="E3041">
        <v>878767244</v>
      </c>
      <c r="F3041">
        <v>120</v>
      </c>
    </row>
    <row r="3042" spans="1:6" x14ac:dyDescent="0.25">
      <c r="A3042">
        <v>-111.974615</v>
      </c>
      <c r="B3042">
        <v>33.068624</v>
      </c>
      <c r="C3042">
        <v>0.27500000000000002</v>
      </c>
      <c r="D3042">
        <v>0.24640000000000001</v>
      </c>
      <c r="E3042">
        <v>878767246</v>
      </c>
      <c r="F3042">
        <v>120</v>
      </c>
    </row>
    <row r="3043" spans="1:6" x14ac:dyDescent="0.25">
      <c r="A3043">
        <v>-111.974616</v>
      </c>
      <c r="B3043">
        <v>33.068632000000001</v>
      </c>
      <c r="C3043">
        <v>0.65</v>
      </c>
      <c r="D3043">
        <v>0.58240000000000003</v>
      </c>
      <c r="E3043">
        <v>878767248</v>
      </c>
      <c r="F3043">
        <v>120</v>
      </c>
    </row>
    <row r="3044" spans="1:6" x14ac:dyDescent="0.25">
      <c r="A3044">
        <v>-111.974616</v>
      </c>
      <c r="B3044">
        <v>33.068641</v>
      </c>
      <c r="C3044">
        <v>1.95</v>
      </c>
      <c r="D3044">
        <v>1.7472000000000001</v>
      </c>
      <c r="E3044">
        <v>878767250</v>
      </c>
      <c r="F3044">
        <v>120</v>
      </c>
    </row>
    <row r="3045" spans="1:6" x14ac:dyDescent="0.25">
      <c r="A3045">
        <v>-111.974614</v>
      </c>
      <c r="B3045">
        <v>33.068649000000001</v>
      </c>
      <c r="C3045">
        <v>1.29</v>
      </c>
      <c r="D3045">
        <v>1.15584</v>
      </c>
      <c r="E3045">
        <v>878767252</v>
      </c>
      <c r="F3045">
        <v>120</v>
      </c>
    </row>
    <row r="3046" spans="1:6" x14ac:dyDescent="0.25">
      <c r="A3046">
        <v>-111.974614</v>
      </c>
      <c r="B3046">
        <v>33.068657999999999</v>
      </c>
      <c r="C3046">
        <v>0.93</v>
      </c>
      <c r="D3046">
        <v>0.83328000000000002</v>
      </c>
      <c r="E3046">
        <v>878767254</v>
      </c>
      <c r="F3046">
        <v>120</v>
      </c>
    </row>
    <row r="3047" spans="1:6" x14ac:dyDescent="0.25">
      <c r="A3047">
        <v>-111.974614</v>
      </c>
      <c r="B3047">
        <v>33.068666</v>
      </c>
      <c r="C3047">
        <v>1.095</v>
      </c>
      <c r="D3047">
        <v>0.98111999999999999</v>
      </c>
      <c r="E3047">
        <v>878767256</v>
      </c>
      <c r="F3047">
        <v>120</v>
      </c>
    </row>
    <row r="3048" spans="1:6" x14ac:dyDescent="0.25">
      <c r="A3048">
        <v>-111.974615</v>
      </c>
      <c r="B3048">
        <v>33.068674999999999</v>
      </c>
      <c r="C3048">
        <v>1.25</v>
      </c>
      <c r="D3048">
        <v>1.1200000000000001</v>
      </c>
      <c r="E3048">
        <v>878767258</v>
      </c>
      <c r="F3048">
        <v>120</v>
      </c>
    </row>
    <row r="3049" spans="1:6" x14ac:dyDescent="0.25">
      <c r="A3049">
        <v>-111.974614</v>
      </c>
      <c r="B3049">
        <v>33.068680000000001</v>
      </c>
      <c r="C3049">
        <v>1.05</v>
      </c>
      <c r="D3049">
        <v>0.94079999999999997</v>
      </c>
      <c r="E3049">
        <v>878767260</v>
      </c>
      <c r="F3049">
        <v>120</v>
      </c>
    </row>
    <row r="3050" spans="1:6" x14ac:dyDescent="0.25">
      <c r="A3050">
        <v>-111.974614</v>
      </c>
      <c r="B3050">
        <v>33.068686999999997</v>
      </c>
      <c r="C3050">
        <v>1.0449999999999999</v>
      </c>
      <c r="D3050">
        <v>0.93632000000000004</v>
      </c>
      <c r="E3050">
        <v>878767262</v>
      </c>
      <c r="F3050">
        <v>120</v>
      </c>
    </row>
    <row r="3051" spans="1:6" x14ac:dyDescent="0.25">
      <c r="A3051">
        <v>-111.974615</v>
      </c>
      <c r="B3051">
        <v>33.068696000000003</v>
      </c>
      <c r="C3051">
        <v>1.42</v>
      </c>
      <c r="D3051">
        <v>1.2723199999999999</v>
      </c>
      <c r="E3051">
        <v>878767264</v>
      </c>
      <c r="F3051">
        <v>120</v>
      </c>
    </row>
    <row r="3052" spans="1:6" x14ac:dyDescent="0.25">
      <c r="A3052">
        <v>-111.974615</v>
      </c>
      <c r="B3052">
        <v>33.068705000000001</v>
      </c>
      <c r="C3052">
        <v>1.01</v>
      </c>
      <c r="D3052">
        <v>0.90495999999999999</v>
      </c>
      <c r="E3052">
        <v>878767266</v>
      </c>
      <c r="F3052">
        <v>120</v>
      </c>
    </row>
    <row r="3053" spans="1:6" x14ac:dyDescent="0.25">
      <c r="A3053">
        <v>-111.974615</v>
      </c>
      <c r="B3053">
        <v>33.068716000000002</v>
      </c>
      <c r="C3053">
        <v>1.36</v>
      </c>
      <c r="D3053">
        <v>1.2185600000000001</v>
      </c>
      <c r="E3053">
        <v>878767268</v>
      </c>
      <c r="F3053">
        <v>120</v>
      </c>
    </row>
    <row r="3054" spans="1:6" x14ac:dyDescent="0.25">
      <c r="A3054">
        <v>-111.974615</v>
      </c>
      <c r="B3054">
        <v>33.068722000000001</v>
      </c>
      <c r="C3054">
        <v>1.585</v>
      </c>
      <c r="D3054">
        <v>1.4201600000000001</v>
      </c>
      <c r="E3054">
        <v>878767270</v>
      </c>
      <c r="F3054">
        <v>120</v>
      </c>
    </row>
    <row r="3055" spans="1:6" x14ac:dyDescent="0.25">
      <c r="A3055">
        <v>-111.974614</v>
      </c>
      <c r="B3055">
        <v>33.068728999999998</v>
      </c>
      <c r="C3055">
        <v>1.22</v>
      </c>
      <c r="D3055">
        <v>1.0931200000000001</v>
      </c>
      <c r="E3055">
        <v>878767272</v>
      </c>
      <c r="F3055">
        <v>120</v>
      </c>
    </row>
    <row r="3056" spans="1:6" x14ac:dyDescent="0.25">
      <c r="A3056">
        <v>-111.974615</v>
      </c>
      <c r="B3056">
        <v>33.068738000000003</v>
      </c>
      <c r="C3056">
        <v>1.29</v>
      </c>
      <c r="D3056">
        <v>1.15584</v>
      </c>
      <c r="E3056">
        <v>878767274</v>
      </c>
      <c r="F3056">
        <v>120</v>
      </c>
    </row>
    <row r="3057" spans="1:6" x14ac:dyDescent="0.25">
      <c r="A3057">
        <v>-111.974614</v>
      </c>
      <c r="B3057">
        <v>33.068745999999997</v>
      </c>
      <c r="C3057">
        <v>1.31</v>
      </c>
      <c r="D3057">
        <v>1.1737599999999999</v>
      </c>
      <c r="E3057">
        <v>878767276</v>
      </c>
      <c r="F3057">
        <v>120</v>
      </c>
    </row>
    <row r="3058" spans="1:6" x14ac:dyDescent="0.25">
      <c r="A3058">
        <v>-111.974615</v>
      </c>
      <c r="B3058">
        <v>33.068755000000003</v>
      </c>
      <c r="C3058">
        <v>1.34</v>
      </c>
      <c r="D3058">
        <v>1.2006399999999999</v>
      </c>
      <c r="E3058">
        <v>878767278</v>
      </c>
      <c r="F3058">
        <v>120</v>
      </c>
    </row>
    <row r="3059" spans="1:6" x14ac:dyDescent="0.25">
      <c r="A3059">
        <v>-111.974615</v>
      </c>
      <c r="B3059">
        <v>33.068762999999997</v>
      </c>
      <c r="C3059">
        <v>1.335</v>
      </c>
      <c r="D3059">
        <v>1.1961599999999999</v>
      </c>
      <c r="E3059">
        <v>878767280</v>
      </c>
      <c r="F3059">
        <v>120</v>
      </c>
    </row>
    <row r="3060" spans="1:6" x14ac:dyDescent="0.25">
      <c r="A3060">
        <v>-111.974615</v>
      </c>
      <c r="B3060">
        <v>33.068770999999998</v>
      </c>
      <c r="C3060">
        <v>1.71</v>
      </c>
      <c r="D3060">
        <v>1.53216</v>
      </c>
      <c r="E3060">
        <v>878767282</v>
      </c>
      <c r="F3060">
        <v>120</v>
      </c>
    </row>
    <row r="3061" spans="1:6" x14ac:dyDescent="0.25">
      <c r="A3061">
        <v>-111.974615</v>
      </c>
      <c r="B3061">
        <v>33.068779999999997</v>
      </c>
      <c r="C3061">
        <v>1.105</v>
      </c>
      <c r="D3061">
        <v>0.99007999999999996</v>
      </c>
      <c r="E3061">
        <v>878767284</v>
      </c>
      <c r="F3061">
        <v>120</v>
      </c>
    </row>
    <row r="3062" spans="1:6" x14ac:dyDescent="0.25">
      <c r="A3062">
        <v>-111.974614</v>
      </c>
      <c r="B3062">
        <v>33.068789000000002</v>
      </c>
      <c r="C3062">
        <v>0.03</v>
      </c>
      <c r="D3062">
        <v>2.6880000000000001E-2</v>
      </c>
      <c r="E3062">
        <v>878767286</v>
      </c>
      <c r="F3062">
        <v>120</v>
      </c>
    </row>
    <row r="3063" spans="1:6" x14ac:dyDescent="0.25">
      <c r="A3063">
        <v>-111.974615</v>
      </c>
      <c r="B3063">
        <v>33.068798000000001</v>
      </c>
      <c r="C3063">
        <v>5.0000000000000001E-3</v>
      </c>
      <c r="D3063">
        <v>4.4799999999999996E-3</v>
      </c>
      <c r="E3063">
        <v>878767288</v>
      </c>
      <c r="F3063">
        <v>120</v>
      </c>
    </row>
    <row r="3064" spans="1:6" x14ac:dyDescent="0.25">
      <c r="A3064">
        <v>-111.974616</v>
      </c>
      <c r="B3064">
        <v>33.068807999999997</v>
      </c>
      <c r="C3064">
        <v>1.4999999999999999E-2</v>
      </c>
      <c r="D3064">
        <v>1.3440000000000001E-2</v>
      </c>
      <c r="E3064">
        <v>878767298</v>
      </c>
      <c r="F3064">
        <v>120</v>
      </c>
    </row>
    <row r="3065" spans="1:6" x14ac:dyDescent="0.25">
      <c r="A3065">
        <v>-111.974615</v>
      </c>
      <c r="B3065">
        <v>33.068820000000002</v>
      </c>
      <c r="C3065">
        <v>1.4999999999999999E-2</v>
      </c>
      <c r="D3065">
        <v>1.3440000000000001E-2</v>
      </c>
      <c r="E3065">
        <v>878767300</v>
      </c>
      <c r="F3065">
        <v>120</v>
      </c>
    </row>
    <row r="3066" spans="1:6" x14ac:dyDescent="0.25">
      <c r="A3066">
        <v>-111.974683</v>
      </c>
      <c r="B3066">
        <v>33.068849999999998</v>
      </c>
      <c r="C3066">
        <v>0.01</v>
      </c>
      <c r="D3066">
        <v>8.9599999999999992E-3</v>
      </c>
      <c r="E3066">
        <v>878767314</v>
      </c>
      <c r="F3066">
        <v>120</v>
      </c>
    </row>
    <row r="3067" spans="1:6" x14ac:dyDescent="0.25">
      <c r="A3067">
        <v>-111.9747</v>
      </c>
      <c r="B3067">
        <v>33.068776</v>
      </c>
      <c r="C3067">
        <v>3.5000000000000003E-2</v>
      </c>
      <c r="D3067">
        <v>3.1359999999999999E-2</v>
      </c>
      <c r="E3067">
        <v>878767330</v>
      </c>
      <c r="F3067">
        <v>120</v>
      </c>
    </row>
    <row r="3068" spans="1:6" x14ac:dyDescent="0.25">
      <c r="A3068">
        <v>-111.9747</v>
      </c>
      <c r="B3068">
        <v>33.068767999999999</v>
      </c>
      <c r="C3068">
        <v>0.215</v>
      </c>
      <c r="D3068">
        <v>0.19264000000000001</v>
      </c>
      <c r="E3068">
        <v>878767332</v>
      </c>
      <c r="F3068">
        <v>120</v>
      </c>
    </row>
    <row r="3069" spans="1:6" x14ac:dyDescent="0.25">
      <c r="A3069">
        <v>-111.974698</v>
      </c>
      <c r="B3069">
        <v>33.068761000000002</v>
      </c>
      <c r="C3069">
        <v>0.95499999999999996</v>
      </c>
      <c r="D3069">
        <v>0.85568</v>
      </c>
      <c r="E3069">
        <v>878767334</v>
      </c>
      <c r="F3069">
        <v>120</v>
      </c>
    </row>
    <row r="3070" spans="1:6" x14ac:dyDescent="0.25">
      <c r="A3070">
        <v>-111.974699</v>
      </c>
      <c r="B3070">
        <v>33.068753999999998</v>
      </c>
      <c r="C3070">
        <v>1.97</v>
      </c>
      <c r="D3070">
        <v>1.76512</v>
      </c>
      <c r="E3070">
        <v>878767336</v>
      </c>
      <c r="F3070">
        <v>120</v>
      </c>
    </row>
    <row r="3071" spans="1:6" x14ac:dyDescent="0.25">
      <c r="A3071">
        <v>-111.974701</v>
      </c>
      <c r="B3071">
        <v>33.068745999999997</v>
      </c>
      <c r="C3071">
        <v>2.5</v>
      </c>
      <c r="D3071">
        <v>2.2400000000000002</v>
      </c>
      <c r="E3071">
        <v>878767338</v>
      </c>
      <c r="F3071">
        <v>120</v>
      </c>
    </row>
    <row r="3072" spans="1:6" x14ac:dyDescent="0.25">
      <c r="A3072">
        <v>-111.9747</v>
      </c>
      <c r="B3072">
        <v>33.068738000000003</v>
      </c>
      <c r="C3072">
        <v>1.4450000000000001</v>
      </c>
      <c r="D3072">
        <v>1.2947200000000001</v>
      </c>
      <c r="E3072">
        <v>878767340</v>
      </c>
      <c r="F3072">
        <v>120</v>
      </c>
    </row>
    <row r="3073" spans="1:6" x14ac:dyDescent="0.25">
      <c r="A3073">
        <v>-111.9747</v>
      </c>
      <c r="B3073">
        <v>33.068730000000002</v>
      </c>
      <c r="C3073">
        <v>2.0550000000000002</v>
      </c>
      <c r="D3073">
        <v>1.84128</v>
      </c>
      <c r="E3073">
        <v>878767342</v>
      </c>
      <c r="F3073">
        <v>120</v>
      </c>
    </row>
    <row r="3074" spans="1:6" x14ac:dyDescent="0.25">
      <c r="A3074">
        <v>-111.974701</v>
      </c>
      <c r="B3074">
        <v>33.068722999999999</v>
      </c>
      <c r="C3074">
        <v>1.88</v>
      </c>
      <c r="D3074">
        <v>1.68448</v>
      </c>
      <c r="E3074">
        <v>878767344</v>
      </c>
      <c r="F3074">
        <v>120</v>
      </c>
    </row>
    <row r="3075" spans="1:6" x14ac:dyDescent="0.25">
      <c r="A3075">
        <v>-111.97470199999999</v>
      </c>
      <c r="B3075">
        <v>33.068717999999997</v>
      </c>
      <c r="C3075">
        <v>1.7649999999999999</v>
      </c>
      <c r="D3075">
        <v>1.58144</v>
      </c>
      <c r="E3075">
        <v>878767346</v>
      </c>
      <c r="F3075">
        <v>120</v>
      </c>
    </row>
    <row r="3076" spans="1:6" x14ac:dyDescent="0.25">
      <c r="A3076">
        <v>-111.97470300000001</v>
      </c>
      <c r="B3076">
        <v>33.068711</v>
      </c>
      <c r="C3076">
        <v>2.0099999999999998</v>
      </c>
      <c r="D3076">
        <v>1.8009599999999999</v>
      </c>
      <c r="E3076">
        <v>878767348</v>
      </c>
      <c r="F3076">
        <v>120</v>
      </c>
    </row>
    <row r="3077" spans="1:6" x14ac:dyDescent="0.25">
      <c r="A3077">
        <v>-111.97470300000001</v>
      </c>
      <c r="B3077">
        <v>33.068703999999997</v>
      </c>
      <c r="C3077">
        <v>1.51</v>
      </c>
      <c r="D3077">
        <v>1.3529599999999999</v>
      </c>
      <c r="E3077">
        <v>878767350</v>
      </c>
      <c r="F3077">
        <v>120</v>
      </c>
    </row>
    <row r="3078" spans="1:6" x14ac:dyDescent="0.25">
      <c r="A3078">
        <v>-111.97470300000001</v>
      </c>
      <c r="B3078">
        <v>33.068696000000003</v>
      </c>
      <c r="C3078">
        <v>2.12</v>
      </c>
      <c r="D3078">
        <v>1.8995200000000001</v>
      </c>
      <c r="E3078">
        <v>878767352</v>
      </c>
      <c r="F3078">
        <v>120</v>
      </c>
    </row>
    <row r="3079" spans="1:6" x14ac:dyDescent="0.25">
      <c r="A3079">
        <v>-111.97470300000001</v>
      </c>
      <c r="B3079">
        <v>33.068688999999999</v>
      </c>
      <c r="C3079">
        <v>1.41</v>
      </c>
      <c r="D3079">
        <v>1.26336</v>
      </c>
      <c r="E3079">
        <v>878767354</v>
      </c>
      <c r="F3079">
        <v>120</v>
      </c>
    </row>
    <row r="3080" spans="1:6" x14ac:dyDescent="0.25">
      <c r="A3080">
        <v>-111.97470300000001</v>
      </c>
      <c r="B3080">
        <v>33.068680999999998</v>
      </c>
      <c r="C3080">
        <v>1.54</v>
      </c>
      <c r="D3080">
        <v>1.37984</v>
      </c>
      <c r="E3080">
        <v>878767356</v>
      </c>
      <c r="F3080">
        <v>120</v>
      </c>
    </row>
    <row r="3081" spans="1:6" x14ac:dyDescent="0.25">
      <c r="A3081">
        <v>-111.97470199999999</v>
      </c>
      <c r="B3081">
        <v>33.068672999999997</v>
      </c>
      <c r="C3081">
        <v>1.7250000000000001</v>
      </c>
      <c r="D3081">
        <v>1.5456000000000001</v>
      </c>
      <c r="E3081">
        <v>878767358</v>
      </c>
      <c r="F3081">
        <v>120</v>
      </c>
    </row>
    <row r="3082" spans="1:6" x14ac:dyDescent="0.25">
      <c r="A3082">
        <v>-111.97470300000001</v>
      </c>
      <c r="B3082">
        <v>33.068665000000003</v>
      </c>
      <c r="C3082">
        <v>1.925</v>
      </c>
      <c r="D3082">
        <v>1.7248000000000001</v>
      </c>
      <c r="E3082">
        <v>878767360</v>
      </c>
      <c r="F3082">
        <v>120</v>
      </c>
    </row>
    <row r="3083" spans="1:6" x14ac:dyDescent="0.25">
      <c r="A3083">
        <v>-111.97470300000001</v>
      </c>
      <c r="B3083">
        <v>33.068657000000002</v>
      </c>
      <c r="C3083">
        <v>1.5249999999999999</v>
      </c>
      <c r="D3083">
        <v>1.3664000000000001</v>
      </c>
      <c r="E3083">
        <v>878767362</v>
      </c>
      <c r="F3083">
        <v>120</v>
      </c>
    </row>
    <row r="3084" spans="1:6" x14ac:dyDescent="0.25">
      <c r="A3084">
        <v>-111.97470300000001</v>
      </c>
      <c r="B3084">
        <v>33.068649000000001</v>
      </c>
      <c r="C3084">
        <v>1.46</v>
      </c>
      <c r="D3084">
        <v>1.30816</v>
      </c>
      <c r="E3084">
        <v>878767364</v>
      </c>
      <c r="F3084">
        <v>120</v>
      </c>
    </row>
    <row r="3085" spans="1:6" x14ac:dyDescent="0.25">
      <c r="A3085">
        <v>-111.974704</v>
      </c>
      <c r="B3085">
        <v>33.068641</v>
      </c>
      <c r="C3085">
        <v>1.89</v>
      </c>
      <c r="D3085">
        <v>1.6934400000000001</v>
      </c>
      <c r="E3085">
        <v>878767366</v>
      </c>
      <c r="F3085">
        <v>120</v>
      </c>
    </row>
    <row r="3086" spans="1:6" x14ac:dyDescent="0.25">
      <c r="A3086">
        <v>-111.974705</v>
      </c>
      <c r="B3086">
        <v>33.068634000000003</v>
      </c>
      <c r="C3086">
        <v>1.44</v>
      </c>
      <c r="D3086">
        <v>1.2902400000000001</v>
      </c>
      <c r="E3086">
        <v>878767368</v>
      </c>
      <c r="F3086">
        <v>120</v>
      </c>
    </row>
    <row r="3087" spans="1:6" x14ac:dyDescent="0.25">
      <c r="A3087">
        <v>-111.974705</v>
      </c>
      <c r="B3087">
        <v>33.068626000000002</v>
      </c>
      <c r="C3087">
        <v>1.72</v>
      </c>
      <c r="D3087">
        <v>1.54112</v>
      </c>
      <c r="E3087">
        <v>878767370</v>
      </c>
      <c r="F3087">
        <v>120</v>
      </c>
    </row>
    <row r="3088" spans="1:6" x14ac:dyDescent="0.25">
      <c r="A3088">
        <v>-111.974705</v>
      </c>
      <c r="B3088">
        <v>33.068618000000001</v>
      </c>
      <c r="C3088">
        <v>1.5649999999999999</v>
      </c>
      <c r="D3088">
        <v>1.4022399999999999</v>
      </c>
      <c r="E3088">
        <v>878767372</v>
      </c>
      <c r="F3088">
        <v>120</v>
      </c>
    </row>
    <row r="3089" spans="1:6" x14ac:dyDescent="0.25">
      <c r="A3089">
        <v>-111.974706</v>
      </c>
      <c r="B3089">
        <v>33.068617000000003</v>
      </c>
      <c r="C3089">
        <v>2.5000000000000001E-2</v>
      </c>
      <c r="D3089">
        <v>2.24E-2</v>
      </c>
      <c r="E3089">
        <v>878767374</v>
      </c>
      <c r="F3089">
        <v>120</v>
      </c>
    </row>
    <row r="3090" spans="1:6" x14ac:dyDescent="0.25">
      <c r="A3090">
        <v>-111.974705</v>
      </c>
      <c r="B3090">
        <v>33.068617000000003</v>
      </c>
      <c r="C3090">
        <v>5.0000000000000001E-3</v>
      </c>
      <c r="D3090">
        <v>4.4799999999999996E-3</v>
      </c>
      <c r="E3090">
        <v>878767376</v>
      </c>
      <c r="F3090">
        <v>120</v>
      </c>
    </row>
    <row r="3091" spans="1:6" x14ac:dyDescent="0.25">
      <c r="A3091">
        <v>-111.974706</v>
      </c>
      <c r="B3091">
        <v>33.068615000000001</v>
      </c>
      <c r="C3091">
        <v>5.0000000000000001E-3</v>
      </c>
      <c r="D3091">
        <v>4.4799999999999996E-3</v>
      </c>
      <c r="E3091">
        <v>878767382</v>
      </c>
      <c r="F3091">
        <v>120</v>
      </c>
    </row>
    <row r="3092" spans="1:6" x14ac:dyDescent="0.25">
      <c r="A3092">
        <v>-111.974704</v>
      </c>
      <c r="B3092">
        <v>33.068607999999998</v>
      </c>
      <c r="C3092">
        <v>0.04</v>
      </c>
      <c r="D3092">
        <v>3.5839999999999997E-2</v>
      </c>
      <c r="E3092">
        <v>878767384</v>
      </c>
      <c r="F3092">
        <v>120</v>
      </c>
    </row>
    <row r="3093" spans="1:6" x14ac:dyDescent="0.25">
      <c r="A3093">
        <v>-111.97470300000001</v>
      </c>
      <c r="B3093">
        <v>33.068601999999998</v>
      </c>
      <c r="C3093">
        <v>0.31</v>
      </c>
      <c r="D3093">
        <v>0.27776000000000001</v>
      </c>
      <c r="E3093">
        <v>878767386</v>
      </c>
      <c r="F3093">
        <v>120</v>
      </c>
    </row>
    <row r="3094" spans="1:6" x14ac:dyDescent="0.25">
      <c r="A3094">
        <v>-111.97470300000001</v>
      </c>
      <c r="B3094">
        <v>33.068593999999997</v>
      </c>
      <c r="C3094">
        <v>1.33</v>
      </c>
      <c r="D3094">
        <v>1.1916800000000001</v>
      </c>
      <c r="E3094">
        <v>878767388</v>
      </c>
      <c r="F3094">
        <v>120</v>
      </c>
    </row>
    <row r="3095" spans="1:6" x14ac:dyDescent="0.25">
      <c r="A3095">
        <v>-111.974704</v>
      </c>
      <c r="B3095">
        <v>33.068587999999998</v>
      </c>
      <c r="C3095">
        <v>1.63</v>
      </c>
      <c r="D3095">
        <v>1.46048</v>
      </c>
      <c r="E3095">
        <v>878767390</v>
      </c>
      <c r="F3095">
        <v>120</v>
      </c>
    </row>
    <row r="3096" spans="1:6" x14ac:dyDescent="0.25">
      <c r="A3096">
        <v>-111.974706</v>
      </c>
      <c r="B3096">
        <v>33.068581000000002</v>
      </c>
      <c r="C3096">
        <v>1.135</v>
      </c>
      <c r="D3096">
        <v>1.0169600000000001</v>
      </c>
      <c r="E3096">
        <v>878767392</v>
      </c>
      <c r="F3096">
        <v>120</v>
      </c>
    </row>
    <row r="3097" spans="1:6" x14ac:dyDescent="0.25">
      <c r="A3097">
        <v>-111.974705</v>
      </c>
      <c r="B3097">
        <v>33.068573000000001</v>
      </c>
      <c r="C3097">
        <v>1.73</v>
      </c>
      <c r="D3097">
        <v>1.5500799999999999</v>
      </c>
      <c r="E3097">
        <v>878767394</v>
      </c>
      <c r="F3097">
        <v>120</v>
      </c>
    </row>
    <row r="3098" spans="1:6" x14ac:dyDescent="0.25">
      <c r="A3098">
        <v>-111.974705</v>
      </c>
      <c r="B3098">
        <v>33.068565</v>
      </c>
      <c r="C3098">
        <v>1.3149999999999999</v>
      </c>
      <c r="D3098">
        <v>1.17824</v>
      </c>
      <c r="E3098">
        <v>878767396</v>
      </c>
      <c r="F3098">
        <v>120</v>
      </c>
    </row>
    <row r="3099" spans="1:6" x14ac:dyDescent="0.25">
      <c r="A3099">
        <v>-111.974704</v>
      </c>
      <c r="B3099">
        <v>33.068556999999998</v>
      </c>
      <c r="C3099">
        <v>1.585</v>
      </c>
      <c r="D3099">
        <v>1.4201600000000001</v>
      </c>
      <c r="E3099">
        <v>878767398</v>
      </c>
      <c r="F3099">
        <v>120</v>
      </c>
    </row>
    <row r="3100" spans="1:6" x14ac:dyDescent="0.25">
      <c r="A3100">
        <v>-111.974704</v>
      </c>
      <c r="B3100">
        <v>33.068550000000002</v>
      </c>
      <c r="C3100">
        <v>1.85</v>
      </c>
      <c r="D3100">
        <v>1.6576</v>
      </c>
      <c r="E3100">
        <v>878767400</v>
      </c>
      <c r="F3100">
        <v>120</v>
      </c>
    </row>
    <row r="3101" spans="1:6" x14ac:dyDescent="0.25">
      <c r="A3101">
        <v>-111.974705</v>
      </c>
      <c r="B3101">
        <v>33.068541000000003</v>
      </c>
      <c r="C3101">
        <v>1.5</v>
      </c>
      <c r="D3101">
        <v>1.3440000000000001</v>
      </c>
      <c r="E3101">
        <v>878767402</v>
      </c>
      <c r="F3101">
        <v>120</v>
      </c>
    </row>
    <row r="3102" spans="1:6" x14ac:dyDescent="0.25">
      <c r="A3102">
        <v>-111.974704</v>
      </c>
      <c r="B3102">
        <v>33.068534</v>
      </c>
      <c r="C3102">
        <v>1.8</v>
      </c>
      <c r="D3102">
        <v>1.6128</v>
      </c>
      <c r="E3102">
        <v>878767404</v>
      </c>
      <c r="F3102">
        <v>120</v>
      </c>
    </row>
    <row r="3103" spans="1:6" x14ac:dyDescent="0.25">
      <c r="A3103">
        <v>-111.974704</v>
      </c>
      <c r="B3103">
        <v>33.068525999999999</v>
      </c>
      <c r="C3103">
        <v>0.995</v>
      </c>
      <c r="D3103">
        <v>0.89151999999999998</v>
      </c>
      <c r="E3103">
        <v>878767406</v>
      </c>
      <c r="F3103">
        <v>120</v>
      </c>
    </row>
    <row r="3104" spans="1:6" x14ac:dyDescent="0.25">
      <c r="A3104">
        <v>-111.974704</v>
      </c>
      <c r="B3104">
        <v>33.068517999999997</v>
      </c>
      <c r="C3104">
        <v>1.5</v>
      </c>
      <c r="D3104">
        <v>1.3440000000000001</v>
      </c>
      <c r="E3104">
        <v>878767408</v>
      </c>
      <c r="F3104">
        <v>120</v>
      </c>
    </row>
    <row r="3105" spans="1:6" x14ac:dyDescent="0.25">
      <c r="A3105">
        <v>-111.974704</v>
      </c>
      <c r="B3105">
        <v>33.068510000000003</v>
      </c>
      <c r="C3105">
        <v>1.37</v>
      </c>
      <c r="D3105">
        <v>1.2275199999999999</v>
      </c>
      <c r="E3105">
        <v>878767410</v>
      </c>
      <c r="F3105">
        <v>120</v>
      </c>
    </row>
    <row r="3106" spans="1:6" x14ac:dyDescent="0.25">
      <c r="A3106">
        <v>-111.974705</v>
      </c>
      <c r="B3106">
        <v>33.068500999999998</v>
      </c>
      <c r="C3106">
        <v>1.615</v>
      </c>
      <c r="D3106">
        <v>1.4470400000000001</v>
      </c>
      <c r="E3106">
        <v>878767412</v>
      </c>
      <c r="F3106">
        <v>120</v>
      </c>
    </row>
    <row r="3107" spans="1:6" x14ac:dyDescent="0.25">
      <c r="A3107">
        <v>-111.974705</v>
      </c>
      <c r="B3107">
        <v>33.068492999999997</v>
      </c>
      <c r="C3107">
        <v>0.95</v>
      </c>
      <c r="D3107">
        <v>0.85119999999999996</v>
      </c>
      <c r="E3107">
        <v>878767414</v>
      </c>
      <c r="F3107">
        <v>120</v>
      </c>
    </row>
    <row r="3108" spans="1:6" x14ac:dyDescent="0.25">
      <c r="A3108">
        <v>-111.974705</v>
      </c>
      <c r="B3108">
        <v>33.068486</v>
      </c>
      <c r="C3108">
        <v>1.145</v>
      </c>
      <c r="D3108">
        <v>1.0259199999999999</v>
      </c>
      <c r="E3108">
        <v>878767416</v>
      </c>
      <c r="F3108">
        <v>120</v>
      </c>
    </row>
    <row r="3109" spans="1:6" x14ac:dyDescent="0.25">
      <c r="A3109">
        <v>-111.974705</v>
      </c>
      <c r="B3109">
        <v>33.068477999999999</v>
      </c>
      <c r="C3109">
        <v>1.1850000000000001</v>
      </c>
      <c r="D3109">
        <v>1.06176</v>
      </c>
      <c r="E3109">
        <v>878767418</v>
      </c>
      <c r="F3109">
        <v>120</v>
      </c>
    </row>
    <row r="3110" spans="1:6" x14ac:dyDescent="0.25">
      <c r="A3110">
        <v>-111.974705</v>
      </c>
      <c r="B3110">
        <v>33.068469999999998</v>
      </c>
      <c r="C3110">
        <v>1.2749999999999999</v>
      </c>
      <c r="D3110">
        <v>1.1424000000000001</v>
      </c>
      <c r="E3110">
        <v>878767420</v>
      </c>
      <c r="F3110">
        <v>120</v>
      </c>
    </row>
    <row r="3111" spans="1:6" x14ac:dyDescent="0.25">
      <c r="A3111">
        <v>-111.974705</v>
      </c>
      <c r="B3111">
        <v>33.068463000000001</v>
      </c>
      <c r="C3111">
        <v>1.82</v>
      </c>
      <c r="D3111">
        <v>1.6307199999999999</v>
      </c>
      <c r="E3111">
        <v>878767422</v>
      </c>
      <c r="F3111">
        <v>120</v>
      </c>
    </row>
    <row r="3112" spans="1:6" x14ac:dyDescent="0.25">
      <c r="A3112">
        <v>-111.974705</v>
      </c>
      <c r="B3112">
        <v>33.068455</v>
      </c>
      <c r="C3112">
        <v>1.5449999999999999</v>
      </c>
      <c r="D3112">
        <v>1.38432</v>
      </c>
      <c r="E3112">
        <v>878767424</v>
      </c>
      <c r="F3112">
        <v>120</v>
      </c>
    </row>
    <row r="3113" spans="1:6" x14ac:dyDescent="0.25">
      <c r="A3113">
        <v>-111.974705</v>
      </c>
      <c r="B3113">
        <v>33.068446999999999</v>
      </c>
      <c r="C3113">
        <v>0.95</v>
      </c>
      <c r="D3113">
        <v>0.85119999999999996</v>
      </c>
      <c r="E3113">
        <v>878767426</v>
      </c>
      <c r="F3113">
        <v>120</v>
      </c>
    </row>
    <row r="3114" spans="1:6" x14ac:dyDescent="0.25">
      <c r="A3114">
        <v>-111.974705</v>
      </c>
      <c r="B3114">
        <v>33.068438</v>
      </c>
      <c r="C3114">
        <v>0.01</v>
      </c>
      <c r="D3114">
        <v>8.9599999999999992E-3</v>
      </c>
      <c r="E3114">
        <v>878767428</v>
      </c>
      <c r="F3114">
        <v>120</v>
      </c>
    </row>
    <row r="3115" spans="1:6" x14ac:dyDescent="0.25">
      <c r="A3115">
        <v>-111.974705</v>
      </c>
      <c r="B3115">
        <v>33.068368</v>
      </c>
      <c r="C3115">
        <v>5.0000000000000001E-3</v>
      </c>
      <c r="D3115">
        <v>4.4799999999999996E-3</v>
      </c>
      <c r="E3115">
        <v>878767446</v>
      </c>
      <c r="F3115">
        <v>120</v>
      </c>
    </row>
    <row r="3116" spans="1:6" x14ac:dyDescent="0.25">
      <c r="A3116">
        <v>-111.974704</v>
      </c>
      <c r="B3116">
        <v>33.068362</v>
      </c>
      <c r="C3116">
        <v>0.185</v>
      </c>
      <c r="D3116">
        <v>0.16575999999999999</v>
      </c>
      <c r="E3116">
        <v>878767448</v>
      </c>
      <c r="F3116">
        <v>120</v>
      </c>
    </row>
    <row r="3117" spans="1:6" x14ac:dyDescent="0.25">
      <c r="A3117">
        <v>-111.97470300000001</v>
      </c>
      <c r="B3117">
        <v>33.068354999999997</v>
      </c>
      <c r="C3117">
        <v>1.1499999999999999</v>
      </c>
      <c r="D3117">
        <v>1.0304</v>
      </c>
      <c r="E3117">
        <v>878767450</v>
      </c>
      <c r="F3117">
        <v>120</v>
      </c>
    </row>
    <row r="3118" spans="1:6" x14ac:dyDescent="0.25">
      <c r="A3118">
        <v>-111.97470300000001</v>
      </c>
      <c r="B3118">
        <v>33.068348</v>
      </c>
      <c r="C3118">
        <v>1.58</v>
      </c>
      <c r="D3118">
        <v>1.41568</v>
      </c>
      <c r="E3118">
        <v>878767452</v>
      </c>
      <c r="F3118">
        <v>120</v>
      </c>
    </row>
    <row r="3119" spans="1:6" x14ac:dyDescent="0.25">
      <c r="A3119">
        <v>-111.974705</v>
      </c>
      <c r="B3119">
        <v>33.068339999999999</v>
      </c>
      <c r="C3119">
        <v>1.07</v>
      </c>
      <c r="D3119">
        <v>0.95872000000000002</v>
      </c>
      <c r="E3119">
        <v>878767454</v>
      </c>
      <c r="F3119">
        <v>120</v>
      </c>
    </row>
    <row r="3120" spans="1:6" x14ac:dyDescent="0.25">
      <c r="A3120">
        <v>-111.974707</v>
      </c>
      <c r="B3120">
        <v>33.068333000000003</v>
      </c>
      <c r="C3120">
        <v>1.365</v>
      </c>
      <c r="D3120">
        <v>1.2230399999999999</v>
      </c>
      <c r="E3120">
        <v>878767456</v>
      </c>
      <c r="F3120">
        <v>120</v>
      </c>
    </row>
    <row r="3121" spans="1:6" x14ac:dyDescent="0.25">
      <c r="A3121">
        <v>-111.974706</v>
      </c>
      <c r="B3121">
        <v>33.068325000000002</v>
      </c>
      <c r="C3121">
        <v>0.86499999999999999</v>
      </c>
      <c r="D3121">
        <v>0.77503999999999995</v>
      </c>
      <c r="E3121">
        <v>878767458</v>
      </c>
      <c r="F3121">
        <v>120</v>
      </c>
    </row>
    <row r="3122" spans="1:6" x14ac:dyDescent="0.25">
      <c r="A3122">
        <v>-111.974705</v>
      </c>
      <c r="B3122">
        <v>33.068317</v>
      </c>
      <c r="C3122">
        <v>1.2549999999999999</v>
      </c>
      <c r="D3122">
        <v>1.1244799999999999</v>
      </c>
      <c r="E3122">
        <v>878767460</v>
      </c>
      <c r="F3122">
        <v>120</v>
      </c>
    </row>
    <row r="3123" spans="1:6" x14ac:dyDescent="0.25">
      <c r="A3123">
        <v>-111.974705</v>
      </c>
      <c r="B3123">
        <v>33.068309999999997</v>
      </c>
      <c r="C3123">
        <v>1.0549999999999999</v>
      </c>
      <c r="D3123">
        <v>0.94528000000000001</v>
      </c>
      <c r="E3123">
        <v>878767462</v>
      </c>
      <c r="F3123">
        <v>120</v>
      </c>
    </row>
    <row r="3124" spans="1:6" x14ac:dyDescent="0.25">
      <c r="A3124">
        <v>-111.974705</v>
      </c>
      <c r="B3124">
        <v>33.068302000000003</v>
      </c>
      <c r="C3124">
        <v>1.24</v>
      </c>
      <c r="D3124">
        <v>1.11104</v>
      </c>
      <c r="E3124">
        <v>878767464</v>
      </c>
      <c r="F3124">
        <v>120</v>
      </c>
    </row>
    <row r="3125" spans="1:6" x14ac:dyDescent="0.25">
      <c r="A3125">
        <v>-111.974706</v>
      </c>
      <c r="B3125">
        <v>33.068294999999999</v>
      </c>
      <c r="C3125">
        <v>1.4750000000000001</v>
      </c>
      <c r="D3125">
        <v>1.3216000000000001</v>
      </c>
      <c r="E3125">
        <v>878767466</v>
      </c>
      <c r="F3125">
        <v>120</v>
      </c>
    </row>
    <row r="3126" spans="1:6" x14ac:dyDescent="0.25">
      <c r="A3126">
        <v>-111.974706</v>
      </c>
      <c r="B3126">
        <v>33.068286999999998</v>
      </c>
      <c r="C3126">
        <v>1.51</v>
      </c>
      <c r="D3126">
        <v>1.3529599999999999</v>
      </c>
      <c r="E3126">
        <v>878767468</v>
      </c>
      <c r="F3126">
        <v>120</v>
      </c>
    </row>
    <row r="3127" spans="1:6" x14ac:dyDescent="0.25">
      <c r="A3127">
        <v>-111.974706</v>
      </c>
      <c r="B3127">
        <v>33.068278999999997</v>
      </c>
      <c r="C3127">
        <v>0.9</v>
      </c>
      <c r="D3127">
        <v>0.80640000000000001</v>
      </c>
      <c r="E3127">
        <v>878767470</v>
      </c>
      <c r="F3127">
        <v>120</v>
      </c>
    </row>
    <row r="3128" spans="1:6" x14ac:dyDescent="0.25">
      <c r="A3128">
        <v>-111.974706</v>
      </c>
      <c r="B3128">
        <v>33.068271000000003</v>
      </c>
      <c r="C3128">
        <v>1.5149999999999999</v>
      </c>
      <c r="D3128">
        <v>1.35744</v>
      </c>
      <c r="E3128">
        <v>878767472</v>
      </c>
      <c r="F3128">
        <v>120</v>
      </c>
    </row>
    <row r="3129" spans="1:6" x14ac:dyDescent="0.25">
      <c r="A3129">
        <v>-111.974705</v>
      </c>
      <c r="B3129">
        <v>33.068263000000002</v>
      </c>
      <c r="C3129">
        <v>1.175</v>
      </c>
      <c r="D3129">
        <v>1.0528</v>
      </c>
      <c r="E3129">
        <v>878767474</v>
      </c>
      <c r="F3129">
        <v>120</v>
      </c>
    </row>
    <row r="3130" spans="1:6" x14ac:dyDescent="0.25">
      <c r="A3130">
        <v>-111.974706</v>
      </c>
      <c r="B3130">
        <v>33.068255000000001</v>
      </c>
      <c r="C3130">
        <v>1.4850000000000001</v>
      </c>
      <c r="D3130">
        <v>1.33056</v>
      </c>
      <c r="E3130">
        <v>878767476</v>
      </c>
      <c r="F3130">
        <v>120</v>
      </c>
    </row>
    <row r="3131" spans="1:6" x14ac:dyDescent="0.25">
      <c r="A3131">
        <v>-111.974706</v>
      </c>
      <c r="B3131">
        <v>33.068247999999997</v>
      </c>
      <c r="C3131">
        <v>1.5</v>
      </c>
      <c r="D3131">
        <v>1.3440000000000001</v>
      </c>
      <c r="E3131">
        <v>878767478</v>
      </c>
      <c r="F3131">
        <v>120</v>
      </c>
    </row>
    <row r="3132" spans="1:6" x14ac:dyDescent="0.25">
      <c r="A3132">
        <v>-111.974706</v>
      </c>
      <c r="B3132">
        <v>33.068240000000003</v>
      </c>
      <c r="C3132">
        <v>1.41</v>
      </c>
      <c r="D3132">
        <v>1.26336</v>
      </c>
      <c r="E3132">
        <v>878767480</v>
      </c>
      <c r="F3132">
        <v>120</v>
      </c>
    </row>
    <row r="3133" spans="1:6" x14ac:dyDescent="0.25">
      <c r="A3133">
        <v>-111.974706</v>
      </c>
      <c r="B3133">
        <v>33.068232000000002</v>
      </c>
      <c r="C3133">
        <v>1.665</v>
      </c>
      <c r="D3133">
        <v>1.4918400000000001</v>
      </c>
      <c r="E3133">
        <v>878767482</v>
      </c>
      <c r="F3133">
        <v>120</v>
      </c>
    </row>
    <row r="3134" spans="1:6" x14ac:dyDescent="0.25">
      <c r="A3134">
        <v>-111.974706</v>
      </c>
      <c r="B3134">
        <v>33.068224000000001</v>
      </c>
      <c r="C3134">
        <v>1.875</v>
      </c>
      <c r="D3134">
        <v>1.68</v>
      </c>
      <c r="E3134">
        <v>878767484</v>
      </c>
      <c r="F3134">
        <v>120</v>
      </c>
    </row>
    <row r="3135" spans="1:6" x14ac:dyDescent="0.25">
      <c r="A3135">
        <v>-111.974707</v>
      </c>
      <c r="B3135">
        <v>33.068216</v>
      </c>
      <c r="C3135">
        <v>1.7849999999999999</v>
      </c>
      <c r="D3135">
        <v>1.5993599999999999</v>
      </c>
      <c r="E3135">
        <v>878767486</v>
      </c>
      <c r="F3135">
        <v>120</v>
      </c>
    </row>
    <row r="3136" spans="1:6" x14ac:dyDescent="0.25">
      <c r="A3136">
        <v>-111.974707</v>
      </c>
      <c r="B3136">
        <v>33.068207999999998</v>
      </c>
      <c r="C3136">
        <v>1.2849999999999999</v>
      </c>
      <c r="D3136">
        <v>1.1513599999999999</v>
      </c>
      <c r="E3136">
        <v>878767488</v>
      </c>
      <c r="F3136">
        <v>120</v>
      </c>
    </row>
    <row r="3137" spans="1:6" x14ac:dyDescent="0.25">
      <c r="A3137">
        <v>-111.974707</v>
      </c>
      <c r="B3137">
        <v>33.068204999999999</v>
      </c>
      <c r="C3137">
        <v>0.01</v>
      </c>
      <c r="D3137">
        <v>8.9599999999999992E-3</v>
      </c>
      <c r="E3137">
        <v>878767490</v>
      </c>
      <c r="F3137">
        <v>120</v>
      </c>
    </row>
    <row r="3138" spans="1:6" x14ac:dyDescent="0.25">
      <c r="A3138">
        <v>-111.974706</v>
      </c>
      <c r="B3138">
        <v>33.068195000000003</v>
      </c>
      <c r="C3138">
        <v>5.0000000000000001E-3</v>
      </c>
      <c r="D3138">
        <v>4.4799999999999996E-3</v>
      </c>
      <c r="E3138">
        <v>878767506</v>
      </c>
      <c r="F3138">
        <v>120</v>
      </c>
    </row>
    <row r="3139" spans="1:6" x14ac:dyDescent="0.25">
      <c r="A3139">
        <v>-111.97470199999999</v>
      </c>
      <c r="B3139">
        <v>33.068188999999997</v>
      </c>
      <c r="C3139">
        <v>0.755</v>
      </c>
      <c r="D3139">
        <v>0.67647999999999997</v>
      </c>
      <c r="E3139">
        <v>878767508</v>
      </c>
      <c r="F3139">
        <v>120</v>
      </c>
    </row>
    <row r="3140" spans="1:6" x14ac:dyDescent="0.25">
      <c r="A3140">
        <v>-111.97470300000001</v>
      </c>
      <c r="B3140">
        <v>33.068182</v>
      </c>
      <c r="C3140">
        <v>1.395</v>
      </c>
      <c r="D3140">
        <v>1.2499199999999999</v>
      </c>
      <c r="E3140">
        <v>878767510</v>
      </c>
      <c r="F3140">
        <v>120</v>
      </c>
    </row>
    <row r="3141" spans="1:6" x14ac:dyDescent="0.25">
      <c r="A3141">
        <v>-111.974706</v>
      </c>
      <c r="B3141">
        <v>33.068173000000002</v>
      </c>
      <c r="C3141">
        <v>1.2350000000000001</v>
      </c>
      <c r="D3141">
        <v>1.10656</v>
      </c>
      <c r="E3141">
        <v>878767512</v>
      </c>
      <c r="F3141">
        <v>120</v>
      </c>
    </row>
    <row r="3142" spans="1:6" x14ac:dyDescent="0.25">
      <c r="A3142">
        <v>-111.974706</v>
      </c>
      <c r="B3142">
        <v>33.068165</v>
      </c>
      <c r="C3142">
        <v>2.04</v>
      </c>
      <c r="D3142">
        <v>1.8278399999999999</v>
      </c>
      <c r="E3142">
        <v>878767514</v>
      </c>
      <c r="F3142">
        <v>120</v>
      </c>
    </row>
    <row r="3143" spans="1:6" x14ac:dyDescent="0.25">
      <c r="A3143">
        <v>-111.974707</v>
      </c>
      <c r="B3143">
        <v>33.068156999999999</v>
      </c>
      <c r="C3143">
        <v>1.65</v>
      </c>
      <c r="D3143">
        <v>1.4783999999999999</v>
      </c>
      <c r="E3143">
        <v>878767516</v>
      </c>
      <c r="F3143">
        <v>120</v>
      </c>
    </row>
    <row r="3144" spans="1:6" x14ac:dyDescent="0.25">
      <c r="A3144">
        <v>-111.974706</v>
      </c>
      <c r="B3144">
        <v>33.068148000000001</v>
      </c>
      <c r="C3144">
        <v>1.5349999999999999</v>
      </c>
      <c r="D3144">
        <v>1.3753599999999999</v>
      </c>
      <c r="E3144">
        <v>878767518</v>
      </c>
      <c r="F3144">
        <v>120</v>
      </c>
    </row>
    <row r="3145" spans="1:6" x14ac:dyDescent="0.25">
      <c r="A3145">
        <v>-111.974706</v>
      </c>
      <c r="B3145">
        <v>33.068140999999997</v>
      </c>
      <c r="C3145">
        <v>1.26</v>
      </c>
      <c r="D3145">
        <v>1.12896</v>
      </c>
      <c r="E3145">
        <v>878767520</v>
      </c>
      <c r="F3145">
        <v>120</v>
      </c>
    </row>
    <row r="3146" spans="1:6" x14ac:dyDescent="0.25">
      <c r="A3146">
        <v>-111.974707</v>
      </c>
      <c r="B3146">
        <v>33.068134000000001</v>
      </c>
      <c r="C3146">
        <v>1.32</v>
      </c>
      <c r="D3146">
        <v>1.18272</v>
      </c>
      <c r="E3146">
        <v>878767522</v>
      </c>
      <c r="F3146">
        <v>120</v>
      </c>
    </row>
    <row r="3147" spans="1:6" x14ac:dyDescent="0.25">
      <c r="A3147">
        <v>-111.974707</v>
      </c>
      <c r="B3147">
        <v>33.068125000000002</v>
      </c>
      <c r="C3147">
        <v>1.55</v>
      </c>
      <c r="D3147">
        <v>1.3888</v>
      </c>
      <c r="E3147">
        <v>878767524</v>
      </c>
      <c r="F3147">
        <v>120</v>
      </c>
    </row>
    <row r="3148" spans="1:6" x14ac:dyDescent="0.25">
      <c r="A3148">
        <v>-111.974706</v>
      </c>
      <c r="B3148">
        <v>33.068117000000001</v>
      </c>
      <c r="C3148">
        <v>0.61</v>
      </c>
      <c r="D3148">
        <v>0.54656000000000005</v>
      </c>
      <c r="E3148">
        <v>878767526</v>
      </c>
      <c r="F3148">
        <v>120</v>
      </c>
    </row>
    <row r="3149" spans="1:6" x14ac:dyDescent="0.25">
      <c r="A3149">
        <v>-111.974706</v>
      </c>
      <c r="B3149">
        <v>33.068109999999997</v>
      </c>
      <c r="C3149">
        <v>0.87</v>
      </c>
      <c r="D3149">
        <v>0.77951999999999999</v>
      </c>
      <c r="E3149">
        <v>878767528</v>
      </c>
      <c r="F3149">
        <v>120</v>
      </c>
    </row>
    <row r="3150" spans="1:6" x14ac:dyDescent="0.25">
      <c r="A3150">
        <v>-111.974706</v>
      </c>
      <c r="B3150">
        <v>33.068100999999999</v>
      </c>
      <c r="C3150">
        <v>0.69</v>
      </c>
      <c r="D3150">
        <v>0.61824000000000001</v>
      </c>
      <c r="E3150">
        <v>878767530</v>
      </c>
      <c r="F3150">
        <v>120</v>
      </c>
    </row>
    <row r="3151" spans="1:6" x14ac:dyDescent="0.25">
      <c r="A3151">
        <v>-111.974707</v>
      </c>
      <c r="B3151">
        <v>33.068092999999998</v>
      </c>
      <c r="C3151">
        <v>0.82</v>
      </c>
      <c r="D3151">
        <v>0.73472000000000004</v>
      </c>
      <c r="E3151">
        <v>878767532</v>
      </c>
      <c r="F3151">
        <v>120</v>
      </c>
    </row>
    <row r="3152" spans="1:6" x14ac:dyDescent="0.25">
      <c r="A3152">
        <v>-111.97470800000001</v>
      </c>
      <c r="B3152">
        <v>33.068085000000004</v>
      </c>
      <c r="C3152">
        <v>0.73499999999999999</v>
      </c>
      <c r="D3152">
        <v>0.65856000000000003</v>
      </c>
      <c r="E3152">
        <v>878767534</v>
      </c>
      <c r="F3152">
        <v>120</v>
      </c>
    </row>
    <row r="3153" spans="1:6" x14ac:dyDescent="0.25">
      <c r="A3153">
        <v>-111.974707</v>
      </c>
      <c r="B3153">
        <v>33.068077000000002</v>
      </c>
      <c r="C3153">
        <v>0.84499999999999997</v>
      </c>
      <c r="D3153">
        <v>0.75712000000000002</v>
      </c>
      <c r="E3153">
        <v>878767536</v>
      </c>
      <c r="F3153">
        <v>120</v>
      </c>
    </row>
    <row r="3154" spans="1:6" x14ac:dyDescent="0.25">
      <c r="A3154">
        <v>-111.974707</v>
      </c>
      <c r="B3154">
        <v>33.068069000000001</v>
      </c>
      <c r="C3154">
        <v>0.86</v>
      </c>
      <c r="D3154">
        <v>0.77056000000000002</v>
      </c>
      <c r="E3154">
        <v>878767538</v>
      </c>
      <c r="F3154">
        <v>120</v>
      </c>
    </row>
    <row r="3155" spans="1:6" x14ac:dyDescent="0.25">
      <c r="A3155">
        <v>-111.974707</v>
      </c>
      <c r="B3155">
        <v>33.068061</v>
      </c>
      <c r="C3155">
        <v>0.94</v>
      </c>
      <c r="D3155">
        <v>0.84223999999999999</v>
      </c>
      <c r="E3155">
        <v>878767540</v>
      </c>
      <c r="F3155">
        <v>120</v>
      </c>
    </row>
    <row r="3156" spans="1:6" x14ac:dyDescent="0.25">
      <c r="A3156">
        <v>-111.974706</v>
      </c>
      <c r="B3156">
        <v>33.068052000000002</v>
      </c>
      <c r="C3156">
        <v>0.94499999999999995</v>
      </c>
      <c r="D3156">
        <v>0.84672000000000003</v>
      </c>
      <c r="E3156">
        <v>878767542</v>
      </c>
      <c r="F3156">
        <v>120</v>
      </c>
    </row>
    <row r="3157" spans="1:6" x14ac:dyDescent="0.25">
      <c r="A3157">
        <v>-111.974706</v>
      </c>
      <c r="B3157">
        <v>33.068044</v>
      </c>
      <c r="C3157">
        <v>1.355</v>
      </c>
      <c r="D3157">
        <v>1.21408</v>
      </c>
      <c r="E3157">
        <v>878767544</v>
      </c>
      <c r="F3157">
        <v>120</v>
      </c>
    </row>
    <row r="3158" spans="1:6" x14ac:dyDescent="0.25">
      <c r="A3158">
        <v>-111.974706</v>
      </c>
      <c r="B3158">
        <v>33.068035999999999</v>
      </c>
      <c r="C3158">
        <v>0.185</v>
      </c>
      <c r="D3158">
        <v>0.16575999999999999</v>
      </c>
      <c r="E3158">
        <v>878767546</v>
      </c>
      <c r="F3158">
        <v>120</v>
      </c>
    </row>
    <row r="3159" spans="1:6" x14ac:dyDescent="0.25">
      <c r="A3159">
        <v>-111.974704</v>
      </c>
      <c r="B3159">
        <v>33.068016999999998</v>
      </c>
      <c r="C3159">
        <v>5.0000000000000001E-3</v>
      </c>
      <c r="D3159">
        <v>4.4799999999999996E-3</v>
      </c>
      <c r="E3159">
        <v>878767556</v>
      </c>
      <c r="F3159">
        <v>120</v>
      </c>
    </row>
    <row r="3160" spans="1:6" x14ac:dyDescent="0.25">
      <c r="A3160">
        <v>-111.974704</v>
      </c>
      <c r="B3160">
        <v>33.068004000000002</v>
      </c>
      <c r="C3160">
        <v>0.02</v>
      </c>
      <c r="D3160">
        <v>1.7919999999999998E-2</v>
      </c>
      <c r="E3160">
        <v>878767558</v>
      </c>
      <c r="F3160">
        <v>120</v>
      </c>
    </row>
    <row r="3161" spans="1:6" x14ac:dyDescent="0.25">
      <c r="A3161">
        <v>-111.97470800000001</v>
      </c>
      <c r="B3161">
        <v>33.067988</v>
      </c>
      <c r="C3161">
        <v>5.0000000000000001E-3</v>
      </c>
      <c r="D3161">
        <v>4.4799999999999996E-3</v>
      </c>
      <c r="E3161">
        <v>878767560</v>
      </c>
      <c r="F3161">
        <v>120</v>
      </c>
    </row>
    <row r="3162" spans="1:6" x14ac:dyDescent="0.25">
      <c r="A3162">
        <v>-111.974722</v>
      </c>
      <c r="B3162">
        <v>33.067979000000001</v>
      </c>
      <c r="C3162">
        <v>0.01</v>
      </c>
      <c r="D3162">
        <v>8.9599999999999992E-3</v>
      </c>
      <c r="E3162">
        <v>878767562</v>
      </c>
      <c r="F3162">
        <v>120</v>
      </c>
    </row>
    <row r="3163" spans="1:6" x14ac:dyDescent="0.25">
      <c r="A3163">
        <v>-111.974739</v>
      </c>
      <c r="B3163">
        <v>33.067974999999997</v>
      </c>
      <c r="C3163">
        <v>5.0000000000000001E-3</v>
      </c>
      <c r="D3163">
        <v>4.4799999999999996E-3</v>
      </c>
      <c r="E3163">
        <v>878767564</v>
      </c>
      <c r="F3163">
        <v>120</v>
      </c>
    </row>
    <row r="3164" spans="1:6" x14ac:dyDescent="0.25">
      <c r="A3164">
        <v>-111.974755</v>
      </c>
      <c r="B3164">
        <v>33.067981000000003</v>
      </c>
      <c r="C3164">
        <v>5.0000000000000001E-3</v>
      </c>
      <c r="D3164">
        <v>4.4799999999999996E-3</v>
      </c>
      <c r="E3164">
        <v>878767570</v>
      </c>
      <c r="F3164">
        <v>120</v>
      </c>
    </row>
    <row r="3165" spans="1:6" x14ac:dyDescent="0.25">
      <c r="A3165">
        <v>-111.97474699999999</v>
      </c>
      <c r="B3165">
        <v>33.068041999999998</v>
      </c>
      <c r="C3165">
        <v>0.05</v>
      </c>
      <c r="D3165">
        <v>4.48E-2</v>
      </c>
      <c r="E3165">
        <v>878767592</v>
      </c>
      <c r="F3165">
        <v>120</v>
      </c>
    </row>
    <row r="3166" spans="1:6" x14ac:dyDescent="0.25">
      <c r="A3166">
        <v>-111.97474800000001</v>
      </c>
      <c r="B3166">
        <v>33.068049000000002</v>
      </c>
      <c r="C3166">
        <v>0.2</v>
      </c>
      <c r="D3166">
        <v>0.1792</v>
      </c>
      <c r="E3166">
        <v>878767594</v>
      </c>
      <c r="F3166">
        <v>120</v>
      </c>
    </row>
    <row r="3167" spans="1:6" x14ac:dyDescent="0.25">
      <c r="A3167">
        <v>-111.97474800000001</v>
      </c>
      <c r="B3167">
        <v>33.068052999999999</v>
      </c>
      <c r="C3167">
        <v>1.7250000000000001</v>
      </c>
      <c r="D3167">
        <v>1.5456000000000001</v>
      </c>
      <c r="E3167">
        <v>878767596</v>
      </c>
      <c r="F3167">
        <v>120</v>
      </c>
    </row>
    <row r="3168" spans="1:6" x14ac:dyDescent="0.25">
      <c r="A3168">
        <v>-111.974749</v>
      </c>
      <c r="B3168">
        <v>33.068061</v>
      </c>
      <c r="C3168">
        <v>0.85</v>
      </c>
      <c r="D3168">
        <v>0.76160000000000005</v>
      </c>
      <c r="E3168">
        <v>878767598</v>
      </c>
      <c r="F3168">
        <v>120</v>
      </c>
    </row>
    <row r="3169" spans="1:6" x14ac:dyDescent="0.25">
      <c r="A3169">
        <v>-111.974749</v>
      </c>
      <c r="B3169">
        <v>33.068071000000003</v>
      </c>
      <c r="C3169">
        <v>1.4750000000000001</v>
      </c>
      <c r="D3169">
        <v>1.3216000000000001</v>
      </c>
      <c r="E3169">
        <v>878767600</v>
      </c>
      <c r="F3169">
        <v>120</v>
      </c>
    </row>
    <row r="3170" spans="1:6" x14ac:dyDescent="0.25">
      <c r="A3170">
        <v>-111.974749</v>
      </c>
      <c r="B3170">
        <v>33.068080000000002</v>
      </c>
      <c r="C3170">
        <v>1.2050000000000001</v>
      </c>
      <c r="D3170">
        <v>1.07968</v>
      </c>
      <c r="E3170">
        <v>878767602</v>
      </c>
      <c r="F3170">
        <v>120</v>
      </c>
    </row>
    <row r="3171" spans="1:6" x14ac:dyDescent="0.25">
      <c r="A3171">
        <v>-111.97474800000001</v>
      </c>
      <c r="B3171">
        <v>33.068088000000003</v>
      </c>
      <c r="C3171">
        <v>1.4650000000000001</v>
      </c>
      <c r="D3171">
        <v>1.31264</v>
      </c>
      <c r="E3171">
        <v>878767604</v>
      </c>
      <c r="F3171">
        <v>120</v>
      </c>
    </row>
    <row r="3172" spans="1:6" x14ac:dyDescent="0.25">
      <c r="A3172">
        <v>-111.97474800000001</v>
      </c>
      <c r="B3172">
        <v>33.068095999999997</v>
      </c>
      <c r="C3172">
        <v>1.3</v>
      </c>
      <c r="D3172">
        <v>1.1648000000000001</v>
      </c>
      <c r="E3172">
        <v>878767606</v>
      </c>
      <c r="F3172">
        <v>120</v>
      </c>
    </row>
    <row r="3173" spans="1:6" x14ac:dyDescent="0.25">
      <c r="A3173">
        <v>-111.97474699999999</v>
      </c>
      <c r="B3173">
        <v>33.068103999999998</v>
      </c>
      <c r="C3173">
        <v>1.345</v>
      </c>
      <c r="D3173">
        <v>1.20512</v>
      </c>
      <c r="E3173">
        <v>878767608</v>
      </c>
      <c r="F3173">
        <v>120</v>
      </c>
    </row>
    <row r="3174" spans="1:6" x14ac:dyDescent="0.25">
      <c r="A3174">
        <v>-111.97474699999999</v>
      </c>
      <c r="B3174">
        <v>33.068111999999999</v>
      </c>
      <c r="C3174">
        <v>1.365</v>
      </c>
      <c r="D3174">
        <v>1.2230399999999999</v>
      </c>
      <c r="E3174">
        <v>878767610</v>
      </c>
      <c r="F3174">
        <v>120</v>
      </c>
    </row>
    <row r="3175" spans="1:6" x14ac:dyDescent="0.25">
      <c r="A3175">
        <v>-111.97474800000001</v>
      </c>
      <c r="B3175">
        <v>33.068119000000003</v>
      </c>
      <c r="C3175">
        <v>1.855</v>
      </c>
      <c r="D3175">
        <v>1.66208</v>
      </c>
      <c r="E3175">
        <v>878767612</v>
      </c>
      <c r="F3175">
        <v>120</v>
      </c>
    </row>
    <row r="3176" spans="1:6" x14ac:dyDescent="0.25">
      <c r="A3176">
        <v>-111.97474800000001</v>
      </c>
      <c r="B3176">
        <v>33.068126999999997</v>
      </c>
      <c r="C3176">
        <v>0.99</v>
      </c>
      <c r="D3176">
        <v>0.88704000000000005</v>
      </c>
      <c r="E3176">
        <v>878767614</v>
      </c>
      <c r="F3176">
        <v>120</v>
      </c>
    </row>
    <row r="3177" spans="1:6" x14ac:dyDescent="0.25">
      <c r="A3177">
        <v>-111.97474699999999</v>
      </c>
      <c r="B3177">
        <v>33.068136000000003</v>
      </c>
      <c r="C3177">
        <v>1.395</v>
      </c>
      <c r="D3177">
        <v>1.2499199999999999</v>
      </c>
      <c r="E3177">
        <v>878767616</v>
      </c>
      <c r="F3177">
        <v>120</v>
      </c>
    </row>
    <row r="3178" spans="1:6" x14ac:dyDescent="0.25">
      <c r="A3178">
        <v>-111.97474800000001</v>
      </c>
      <c r="B3178">
        <v>33.068143999999997</v>
      </c>
      <c r="C3178">
        <v>0.97499999999999998</v>
      </c>
      <c r="D3178">
        <v>0.87360000000000004</v>
      </c>
      <c r="E3178">
        <v>878767618</v>
      </c>
      <c r="F3178">
        <v>120</v>
      </c>
    </row>
    <row r="3179" spans="1:6" x14ac:dyDescent="0.25">
      <c r="A3179">
        <v>-111.97474800000001</v>
      </c>
      <c r="B3179">
        <v>33.068151</v>
      </c>
      <c r="C3179">
        <v>1.7649999999999999</v>
      </c>
      <c r="D3179">
        <v>1.58144</v>
      </c>
      <c r="E3179">
        <v>878767620</v>
      </c>
      <c r="F3179">
        <v>120</v>
      </c>
    </row>
    <row r="3180" spans="1:6" x14ac:dyDescent="0.25">
      <c r="A3180">
        <v>-111.97474800000001</v>
      </c>
      <c r="B3180">
        <v>33.068159000000001</v>
      </c>
      <c r="C3180">
        <v>1.77</v>
      </c>
      <c r="D3180">
        <v>1.58592</v>
      </c>
      <c r="E3180">
        <v>878767622</v>
      </c>
      <c r="F3180">
        <v>120</v>
      </c>
    </row>
    <row r="3181" spans="1:6" x14ac:dyDescent="0.25">
      <c r="A3181">
        <v>-111.97474800000001</v>
      </c>
      <c r="B3181">
        <v>33.068168</v>
      </c>
      <c r="C3181">
        <v>1.2749999999999999</v>
      </c>
      <c r="D3181">
        <v>1.1424000000000001</v>
      </c>
      <c r="E3181">
        <v>878767624</v>
      </c>
      <c r="F3181">
        <v>120</v>
      </c>
    </row>
    <row r="3182" spans="1:6" x14ac:dyDescent="0.25">
      <c r="A3182">
        <v>-111.97474800000001</v>
      </c>
      <c r="B3182">
        <v>33.068176000000001</v>
      </c>
      <c r="C3182">
        <v>1.95</v>
      </c>
      <c r="D3182">
        <v>1.7472000000000001</v>
      </c>
      <c r="E3182">
        <v>878767626</v>
      </c>
      <c r="F3182">
        <v>120</v>
      </c>
    </row>
    <row r="3183" spans="1:6" x14ac:dyDescent="0.25">
      <c r="A3183">
        <v>-111.974746</v>
      </c>
      <c r="B3183">
        <v>33.068182999999998</v>
      </c>
      <c r="C3183">
        <v>1.52</v>
      </c>
      <c r="D3183">
        <v>1.36192</v>
      </c>
      <c r="E3183">
        <v>878767628</v>
      </c>
      <c r="F3183">
        <v>120</v>
      </c>
    </row>
    <row r="3184" spans="1:6" x14ac:dyDescent="0.25">
      <c r="A3184">
        <v>-111.974746</v>
      </c>
      <c r="B3184">
        <v>33.068190999999999</v>
      </c>
      <c r="C3184">
        <v>1.4850000000000001</v>
      </c>
      <c r="D3184">
        <v>1.33056</v>
      </c>
      <c r="E3184">
        <v>878767630</v>
      </c>
      <c r="F3184">
        <v>120</v>
      </c>
    </row>
    <row r="3185" spans="1:6" x14ac:dyDescent="0.25">
      <c r="A3185">
        <v>-111.974746</v>
      </c>
      <c r="B3185">
        <v>33.068198000000002</v>
      </c>
      <c r="C3185">
        <v>0.375</v>
      </c>
      <c r="D3185">
        <v>0.33600000000000002</v>
      </c>
      <c r="E3185">
        <v>878767632</v>
      </c>
      <c r="F3185">
        <v>120</v>
      </c>
    </row>
    <row r="3186" spans="1:6" x14ac:dyDescent="0.25">
      <c r="A3186">
        <v>-111.97474699999999</v>
      </c>
      <c r="B3186">
        <v>33.068201999999999</v>
      </c>
      <c r="C3186">
        <v>0.02</v>
      </c>
      <c r="D3186">
        <v>1.7919999999999998E-2</v>
      </c>
      <c r="E3186">
        <v>878767634</v>
      </c>
      <c r="F3186">
        <v>120</v>
      </c>
    </row>
    <row r="3187" spans="1:6" x14ac:dyDescent="0.25">
      <c r="A3187">
        <v>-111.97474699999999</v>
      </c>
      <c r="B3187">
        <v>33.068216</v>
      </c>
      <c r="C3187">
        <v>1.4999999999999999E-2</v>
      </c>
      <c r="D3187">
        <v>1.3440000000000001E-2</v>
      </c>
      <c r="E3187">
        <v>878767646</v>
      </c>
      <c r="F3187">
        <v>120</v>
      </c>
    </row>
    <row r="3188" spans="1:6" x14ac:dyDescent="0.25">
      <c r="A3188">
        <v>-111.97474699999999</v>
      </c>
      <c r="B3188">
        <v>33.068223000000003</v>
      </c>
      <c r="C3188">
        <v>0.41499999999999998</v>
      </c>
      <c r="D3188">
        <v>0.37184</v>
      </c>
      <c r="E3188">
        <v>878767648</v>
      </c>
      <c r="F3188">
        <v>120</v>
      </c>
    </row>
    <row r="3189" spans="1:6" x14ac:dyDescent="0.25">
      <c r="A3189">
        <v>-111.97474699999999</v>
      </c>
      <c r="B3189">
        <v>33.068230999999997</v>
      </c>
      <c r="C3189">
        <v>1.665</v>
      </c>
      <c r="D3189">
        <v>1.4918400000000001</v>
      </c>
      <c r="E3189">
        <v>878767650</v>
      </c>
      <c r="F3189">
        <v>120</v>
      </c>
    </row>
    <row r="3190" spans="1:6" x14ac:dyDescent="0.25">
      <c r="A3190">
        <v>-111.974746</v>
      </c>
      <c r="B3190">
        <v>33.068238999999998</v>
      </c>
      <c r="C3190">
        <v>2.0099999999999998</v>
      </c>
      <c r="D3190">
        <v>1.8009599999999999</v>
      </c>
      <c r="E3190">
        <v>878767652</v>
      </c>
      <c r="F3190">
        <v>120</v>
      </c>
    </row>
    <row r="3191" spans="1:6" x14ac:dyDescent="0.25">
      <c r="A3191">
        <v>-111.974745</v>
      </c>
      <c r="B3191">
        <v>33.068246000000002</v>
      </c>
      <c r="C3191">
        <v>1.06</v>
      </c>
      <c r="D3191">
        <v>0.94976000000000005</v>
      </c>
      <c r="E3191">
        <v>878767654</v>
      </c>
      <c r="F3191">
        <v>120</v>
      </c>
    </row>
    <row r="3192" spans="1:6" x14ac:dyDescent="0.25">
      <c r="A3192">
        <v>-111.974746</v>
      </c>
      <c r="B3192">
        <v>33.068254000000003</v>
      </c>
      <c r="C3192">
        <v>1.22</v>
      </c>
      <c r="D3192">
        <v>1.0931200000000001</v>
      </c>
      <c r="E3192">
        <v>878767656</v>
      </c>
      <c r="F3192">
        <v>120</v>
      </c>
    </row>
    <row r="3193" spans="1:6" x14ac:dyDescent="0.25">
      <c r="A3193">
        <v>-111.974746</v>
      </c>
      <c r="B3193">
        <v>33.068261</v>
      </c>
      <c r="C3193">
        <v>1.145</v>
      </c>
      <c r="D3193">
        <v>1.0259199999999999</v>
      </c>
      <c r="E3193">
        <v>878767658</v>
      </c>
      <c r="F3193">
        <v>120</v>
      </c>
    </row>
    <row r="3194" spans="1:6" x14ac:dyDescent="0.25">
      <c r="A3194">
        <v>-111.974746</v>
      </c>
      <c r="B3194">
        <v>33.068266999999999</v>
      </c>
      <c r="C3194">
        <v>1.0349999999999999</v>
      </c>
      <c r="D3194">
        <v>0.92735999999999996</v>
      </c>
      <c r="E3194">
        <v>878767660</v>
      </c>
      <c r="F3194">
        <v>120</v>
      </c>
    </row>
    <row r="3195" spans="1:6" x14ac:dyDescent="0.25">
      <c r="A3195">
        <v>-111.97474699999999</v>
      </c>
      <c r="B3195">
        <v>33.068275</v>
      </c>
      <c r="C3195">
        <v>1.04</v>
      </c>
      <c r="D3195">
        <v>0.93184</v>
      </c>
      <c r="E3195">
        <v>878767662</v>
      </c>
      <c r="F3195">
        <v>120</v>
      </c>
    </row>
    <row r="3196" spans="1:6" x14ac:dyDescent="0.25">
      <c r="A3196">
        <v>-111.974746</v>
      </c>
      <c r="B3196">
        <v>33.068283000000001</v>
      </c>
      <c r="C3196">
        <v>0.89</v>
      </c>
      <c r="D3196">
        <v>0.79744000000000004</v>
      </c>
      <c r="E3196">
        <v>878767664</v>
      </c>
      <c r="F3196">
        <v>120</v>
      </c>
    </row>
    <row r="3197" spans="1:6" x14ac:dyDescent="0.25">
      <c r="A3197">
        <v>-111.974746</v>
      </c>
      <c r="B3197">
        <v>33.068291000000002</v>
      </c>
      <c r="C3197">
        <v>0.91500000000000004</v>
      </c>
      <c r="D3197">
        <v>0.81984000000000001</v>
      </c>
      <c r="E3197">
        <v>878767666</v>
      </c>
      <c r="F3197">
        <v>120</v>
      </c>
    </row>
    <row r="3198" spans="1:6" x14ac:dyDescent="0.25">
      <c r="A3198">
        <v>-111.974745</v>
      </c>
      <c r="B3198">
        <v>33.068299000000003</v>
      </c>
      <c r="C3198">
        <v>1.04</v>
      </c>
      <c r="D3198">
        <v>0.93184</v>
      </c>
      <c r="E3198">
        <v>878767668</v>
      </c>
      <c r="F3198">
        <v>120</v>
      </c>
    </row>
    <row r="3199" spans="1:6" x14ac:dyDescent="0.25">
      <c r="A3199">
        <v>-111.974745</v>
      </c>
      <c r="B3199">
        <v>33.068306999999997</v>
      </c>
      <c r="C3199">
        <v>1.0149999999999999</v>
      </c>
      <c r="D3199">
        <v>0.90944000000000003</v>
      </c>
      <c r="E3199">
        <v>878767670</v>
      </c>
      <c r="F3199">
        <v>120</v>
      </c>
    </row>
    <row r="3200" spans="1:6" x14ac:dyDescent="0.25">
      <c r="A3200">
        <v>-111.974745</v>
      </c>
      <c r="B3200">
        <v>33.068314000000001</v>
      </c>
      <c r="C3200">
        <v>0.90500000000000003</v>
      </c>
      <c r="D3200">
        <v>0.81088000000000005</v>
      </c>
      <c r="E3200">
        <v>878767672</v>
      </c>
      <c r="F3200">
        <v>120</v>
      </c>
    </row>
    <row r="3201" spans="1:6" x14ac:dyDescent="0.25">
      <c r="A3201">
        <v>-111.974745</v>
      </c>
      <c r="B3201">
        <v>33.068322000000002</v>
      </c>
      <c r="C3201">
        <v>0.995</v>
      </c>
      <c r="D3201">
        <v>0.89151999999999998</v>
      </c>
      <c r="E3201">
        <v>878767674</v>
      </c>
      <c r="F3201">
        <v>120</v>
      </c>
    </row>
    <row r="3202" spans="1:6" x14ac:dyDescent="0.25">
      <c r="A3202">
        <v>-111.974745</v>
      </c>
      <c r="B3202">
        <v>33.068330000000003</v>
      </c>
      <c r="C3202">
        <v>1.0900000000000001</v>
      </c>
      <c r="D3202">
        <v>0.97663999999999995</v>
      </c>
      <c r="E3202">
        <v>878767676</v>
      </c>
      <c r="F3202">
        <v>120</v>
      </c>
    </row>
    <row r="3203" spans="1:6" x14ac:dyDescent="0.25">
      <c r="A3203">
        <v>-111.974745</v>
      </c>
      <c r="B3203">
        <v>33.068337999999997</v>
      </c>
      <c r="C3203">
        <v>1.02</v>
      </c>
      <c r="D3203">
        <v>0.91391999999999995</v>
      </c>
      <c r="E3203">
        <v>878767678</v>
      </c>
      <c r="F3203">
        <v>120</v>
      </c>
    </row>
    <row r="3204" spans="1:6" x14ac:dyDescent="0.25">
      <c r="A3204">
        <v>-111.974745</v>
      </c>
      <c r="B3204">
        <v>33.068345999999998</v>
      </c>
      <c r="C3204">
        <v>0.995</v>
      </c>
      <c r="D3204">
        <v>0.89151999999999998</v>
      </c>
      <c r="E3204">
        <v>878767680</v>
      </c>
      <c r="F3204">
        <v>120</v>
      </c>
    </row>
    <row r="3205" spans="1:6" x14ac:dyDescent="0.25">
      <c r="A3205">
        <v>-111.974745</v>
      </c>
      <c r="B3205">
        <v>33.068353000000002</v>
      </c>
      <c r="C3205">
        <v>0.93</v>
      </c>
      <c r="D3205">
        <v>0.83328000000000002</v>
      </c>
      <c r="E3205">
        <v>878767682</v>
      </c>
      <c r="F3205">
        <v>120</v>
      </c>
    </row>
    <row r="3206" spans="1:6" x14ac:dyDescent="0.25">
      <c r="A3206">
        <v>-111.974745</v>
      </c>
      <c r="B3206">
        <v>33.068359999999998</v>
      </c>
      <c r="C3206">
        <v>1.135</v>
      </c>
      <c r="D3206">
        <v>1.0169600000000001</v>
      </c>
      <c r="E3206">
        <v>878767684</v>
      </c>
      <c r="F3206">
        <v>120</v>
      </c>
    </row>
    <row r="3207" spans="1:6" x14ac:dyDescent="0.25">
      <c r="A3207">
        <v>-111.974745</v>
      </c>
      <c r="B3207">
        <v>33.068368</v>
      </c>
      <c r="C3207">
        <v>0.80500000000000005</v>
      </c>
      <c r="D3207">
        <v>0.72128000000000003</v>
      </c>
      <c r="E3207">
        <v>878767686</v>
      </c>
      <c r="F3207">
        <v>120</v>
      </c>
    </row>
    <row r="3208" spans="1:6" x14ac:dyDescent="0.25">
      <c r="A3208">
        <v>-111.974746</v>
      </c>
      <c r="B3208">
        <v>33.068376999999998</v>
      </c>
      <c r="C3208">
        <v>1.4999999999999999E-2</v>
      </c>
      <c r="D3208">
        <v>1.3440000000000001E-2</v>
      </c>
      <c r="E3208">
        <v>878767688</v>
      </c>
      <c r="F3208">
        <v>120</v>
      </c>
    </row>
    <row r="3209" spans="1:6" x14ac:dyDescent="0.25">
      <c r="A3209">
        <v>-111.97474800000001</v>
      </c>
      <c r="B3209">
        <v>33.068384999999999</v>
      </c>
      <c r="C3209">
        <v>5.0000000000000001E-3</v>
      </c>
      <c r="D3209">
        <v>4.4799999999999996E-3</v>
      </c>
      <c r="E3209">
        <v>878767690</v>
      </c>
      <c r="F3209">
        <v>120</v>
      </c>
    </row>
    <row r="3210" spans="1:6" x14ac:dyDescent="0.25">
      <c r="A3210">
        <v>-111.974745</v>
      </c>
      <c r="B3210">
        <v>33.068452999999998</v>
      </c>
      <c r="C3210">
        <v>0.02</v>
      </c>
      <c r="D3210">
        <v>1.7919999999999998E-2</v>
      </c>
      <c r="E3210">
        <v>878767706</v>
      </c>
      <c r="F3210">
        <v>120</v>
      </c>
    </row>
    <row r="3211" spans="1:6" x14ac:dyDescent="0.25">
      <c r="A3211">
        <v>-111.974745</v>
      </c>
      <c r="B3211">
        <v>33.068458</v>
      </c>
      <c r="C3211">
        <v>0.2</v>
      </c>
      <c r="D3211">
        <v>0.1792</v>
      </c>
      <c r="E3211">
        <v>878767708</v>
      </c>
      <c r="F3211">
        <v>120</v>
      </c>
    </row>
    <row r="3212" spans="1:6" x14ac:dyDescent="0.25">
      <c r="A3212">
        <v>-111.974746</v>
      </c>
      <c r="B3212">
        <v>33.068465000000003</v>
      </c>
      <c r="C3212">
        <v>1.2</v>
      </c>
      <c r="D3212">
        <v>1.0751999999999999</v>
      </c>
      <c r="E3212">
        <v>878767710</v>
      </c>
      <c r="F3212">
        <v>120</v>
      </c>
    </row>
    <row r="3213" spans="1:6" x14ac:dyDescent="0.25">
      <c r="A3213">
        <v>-111.97474699999999</v>
      </c>
      <c r="B3213">
        <v>33.068474999999999</v>
      </c>
      <c r="C3213">
        <v>1.395</v>
      </c>
      <c r="D3213">
        <v>1.2499199999999999</v>
      </c>
      <c r="E3213">
        <v>878767712</v>
      </c>
      <c r="F3213">
        <v>120</v>
      </c>
    </row>
    <row r="3214" spans="1:6" x14ac:dyDescent="0.25">
      <c r="A3214">
        <v>-111.974745</v>
      </c>
      <c r="B3214">
        <v>33.068483000000001</v>
      </c>
      <c r="C3214">
        <v>1.5649999999999999</v>
      </c>
      <c r="D3214">
        <v>1.4022399999999999</v>
      </c>
      <c r="E3214">
        <v>878767714</v>
      </c>
      <c r="F3214">
        <v>120</v>
      </c>
    </row>
    <row r="3215" spans="1:6" x14ac:dyDescent="0.25">
      <c r="A3215">
        <v>-111.974745</v>
      </c>
      <c r="B3215">
        <v>33.068491000000002</v>
      </c>
      <c r="C3215">
        <v>1.19</v>
      </c>
      <c r="D3215">
        <v>1.0662400000000001</v>
      </c>
      <c r="E3215">
        <v>878767716</v>
      </c>
      <c r="F3215">
        <v>120</v>
      </c>
    </row>
    <row r="3216" spans="1:6" x14ac:dyDescent="0.25">
      <c r="A3216">
        <v>-111.974745</v>
      </c>
      <c r="B3216">
        <v>33.068499000000003</v>
      </c>
      <c r="C3216">
        <v>1.22</v>
      </c>
      <c r="D3216">
        <v>1.0931200000000001</v>
      </c>
      <c r="E3216">
        <v>878767718</v>
      </c>
      <c r="F3216">
        <v>120</v>
      </c>
    </row>
    <row r="3217" spans="1:6" x14ac:dyDescent="0.25">
      <c r="A3217">
        <v>-111.974746</v>
      </c>
      <c r="B3217">
        <v>33.068505999999999</v>
      </c>
      <c r="C3217">
        <v>1.3</v>
      </c>
      <c r="D3217">
        <v>1.1648000000000001</v>
      </c>
      <c r="E3217">
        <v>878767720</v>
      </c>
      <c r="F3217">
        <v>120</v>
      </c>
    </row>
    <row r="3218" spans="1:6" x14ac:dyDescent="0.25">
      <c r="A3218">
        <v>-111.974746</v>
      </c>
      <c r="B3218">
        <v>33.068514</v>
      </c>
      <c r="C3218">
        <v>1.43</v>
      </c>
      <c r="D3218">
        <v>1.28128</v>
      </c>
      <c r="E3218">
        <v>878767722</v>
      </c>
      <c r="F3218">
        <v>120</v>
      </c>
    </row>
    <row r="3219" spans="1:6" x14ac:dyDescent="0.25">
      <c r="A3219">
        <v>-111.974746</v>
      </c>
      <c r="B3219">
        <v>33.068522000000002</v>
      </c>
      <c r="C3219">
        <v>1.1599999999999999</v>
      </c>
      <c r="D3219">
        <v>1.0393600000000001</v>
      </c>
      <c r="E3219">
        <v>878767724</v>
      </c>
      <c r="F3219">
        <v>120</v>
      </c>
    </row>
    <row r="3220" spans="1:6" x14ac:dyDescent="0.25">
      <c r="A3220">
        <v>-111.974745</v>
      </c>
      <c r="B3220">
        <v>33.068530000000003</v>
      </c>
      <c r="C3220">
        <v>1.36</v>
      </c>
      <c r="D3220">
        <v>1.2185600000000001</v>
      </c>
      <c r="E3220">
        <v>878767726</v>
      </c>
      <c r="F3220">
        <v>120</v>
      </c>
    </row>
    <row r="3221" spans="1:6" x14ac:dyDescent="0.25">
      <c r="A3221">
        <v>-111.974745</v>
      </c>
      <c r="B3221">
        <v>33.068537999999997</v>
      </c>
      <c r="C3221">
        <v>0.91500000000000004</v>
      </c>
      <c r="D3221">
        <v>0.81984000000000001</v>
      </c>
      <c r="E3221">
        <v>878767728</v>
      </c>
      <c r="F3221">
        <v>120</v>
      </c>
    </row>
    <row r="3222" spans="1:6" x14ac:dyDescent="0.25">
      <c r="A3222">
        <v>-111.974746</v>
      </c>
      <c r="B3222">
        <v>33.068545</v>
      </c>
      <c r="C3222">
        <v>1.5449999999999999</v>
      </c>
      <c r="D3222">
        <v>1.38432</v>
      </c>
      <c r="E3222">
        <v>878767730</v>
      </c>
      <c r="F3222">
        <v>120</v>
      </c>
    </row>
    <row r="3223" spans="1:6" x14ac:dyDescent="0.25">
      <c r="A3223">
        <v>-111.974745</v>
      </c>
      <c r="B3223">
        <v>33.068553000000001</v>
      </c>
      <c r="C3223">
        <v>1.42</v>
      </c>
      <c r="D3223">
        <v>1.2723199999999999</v>
      </c>
      <c r="E3223">
        <v>878767732</v>
      </c>
      <c r="F3223">
        <v>120</v>
      </c>
    </row>
    <row r="3224" spans="1:6" x14ac:dyDescent="0.25">
      <c r="A3224">
        <v>-111.974745</v>
      </c>
      <c r="B3224">
        <v>33.068561000000003</v>
      </c>
      <c r="C3224">
        <v>1.4950000000000001</v>
      </c>
      <c r="D3224">
        <v>1.33952</v>
      </c>
      <c r="E3224">
        <v>878767734</v>
      </c>
      <c r="F3224">
        <v>120</v>
      </c>
    </row>
    <row r="3225" spans="1:6" x14ac:dyDescent="0.25">
      <c r="A3225">
        <v>-111.974745</v>
      </c>
      <c r="B3225">
        <v>33.068568999999997</v>
      </c>
      <c r="C3225">
        <v>1.355</v>
      </c>
      <c r="D3225">
        <v>1.21408</v>
      </c>
      <c r="E3225">
        <v>878767736</v>
      </c>
      <c r="F3225">
        <v>120</v>
      </c>
    </row>
    <row r="3226" spans="1:6" x14ac:dyDescent="0.25">
      <c r="A3226">
        <v>-111.974744</v>
      </c>
      <c r="B3226">
        <v>33.068576999999998</v>
      </c>
      <c r="C3226">
        <v>1.345</v>
      </c>
      <c r="D3226">
        <v>1.20512</v>
      </c>
      <c r="E3226">
        <v>878767738</v>
      </c>
      <c r="F3226">
        <v>120</v>
      </c>
    </row>
    <row r="3227" spans="1:6" x14ac:dyDescent="0.25">
      <c r="A3227">
        <v>-111.974744</v>
      </c>
      <c r="B3227">
        <v>33.068584999999999</v>
      </c>
      <c r="C3227">
        <v>1.345</v>
      </c>
      <c r="D3227">
        <v>1.20512</v>
      </c>
      <c r="E3227">
        <v>878767740</v>
      </c>
      <c r="F3227">
        <v>120</v>
      </c>
    </row>
    <row r="3228" spans="1:6" x14ac:dyDescent="0.25">
      <c r="A3228">
        <v>-111.974744</v>
      </c>
      <c r="B3228">
        <v>33.068590999999998</v>
      </c>
      <c r="C3228">
        <v>1.845</v>
      </c>
      <c r="D3228">
        <v>1.6531199999999999</v>
      </c>
      <c r="E3228">
        <v>878767742</v>
      </c>
      <c r="F3228">
        <v>120</v>
      </c>
    </row>
    <row r="3229" spans="1:6" x14ac:dyDescent="0.25">
      <c r="A3229">
        <v>-111.974744</v>
      </c>
      <c r="B3229">
        <v>33.068598000000001</v>
      </c>
      <c r="C3229">
        <v>1.5</v>
      </c>
      <c r="D3229">
        <v>1.3440000000000001</v>
      </c>
      <c r="E3229">
        <v>878767744</v>
      </c>
      <c r="F3229">
        <v>120</v>
      </c>
    </row>
    <row r="3230" spans="1:6" x14ac:dyDescent="0.25">
      <c r="A3230">
        <v>-111.974745</v>
      </c>
      <c r="B3230">
        <v>33.068606000000003</v>
      </c>
      <c r="C3230">
        <v>1.61</v>
      </c>
      <c r="D3230">
        <v>1.4425600000000001</v>
      </c>
      <c r="E3230">
        <v>878767746</v>
      </c>
      <c r="F3230">
        <v>120</v>
      </c>
    </row>
    <row r="3231" spans="1:6" x14ac:dyDescent="0.25">
      <c r="A3231">
        <v>-111.974745</v>
      </c>
      <c r="B3231">
        <v>33.068613999999997</v>
      </c>
      <c r="C3231">
        <v>0.92500000000000004</v>
      </c>
      <c r="D3231">
        <v>0.82879999999999998</v>
      </c>
      <c r="E3231">
        <v>878767748</v>
      </c>
      <c r="F3231">
        <v>120</v>
      </c>
    </row>
    <row r="3232" spans="1:6" x14ac:dyDescent="0.25">
      <c r="A3232">
        <v>-111.974745</v>
      </c>
      <c r="B3232">
        <v>33.068615999999999</v>
      </c>
      <c r="C3232">
        <v>3.5000000000000003E-2</v>
      </c>
      <c r="D3232">
        <v>3.1359999999999999E-2</v>
      </c>
      <c r="E3232">
        <v>878767750</v>
      </c>
      <c r="F3232">
        <v>120</v>
      </c>
    </row>
    <row r="3233" spans="1:6" x14ac:dyDescent="0.25">
      <c r="A3233">
        <v>-111.974744</v>
      </c>
      <c r="B3233">
        <v>33.068621</v>
      </c>
      <c r="C3233">
        <v>0.04</v>
      </c>
      <c r="D3233">
        <v>3.5839999999999997E-2</v>
      </c>
      <c r="E3233">
        <v>878767764</v>
      </c>
      <c r="F3233">
        <v>120</v>
      </c>
    </row>
    <row r="3234" spans="1:6" x14ac:dyDescent="0.25">
      <c r="A3234">
        <v>-111.974745</v>
      </c>
      <c r="B3234">
        <v>33.068627999999997</v>
      </c>
      <c r="C3234">
        <v>0.18</v>
      </c>
      <c r="D3234">
        <v>0.16128000000000001</v>
      </c>
      <c r="E3234">
        <v>878767766</v>
      </c>
      <c r="F3234">
        <v>120</v>
      </c>
    </row>
    <row r="3235" spans="1:6" x14ac:dyDescent="0.25">
      <c r="A3235">
        <v>-111.974746</v>
      </c>
      <c r="B3235">
        <v>33.068634000000003</v>
      </c>
      <c r="C3235">
        <v>0.41</v>
      </c>
      <c r="D3235">
        <v>0.36736000000000002</v>
      </c>
      <c r="E3235">
        <v>878767768</v>
      </c>
      <c r="F3235">
        <v>120</v>
      </c>
    </row>
    <row r="3236" spans="1:6" x14ac:dyDescent="0.25">
      <c r="A3236">
        <v>-111.974746</v>
      </c>
      <c r="B3236">
        <v>33.068641</v>
      </c>
      <c r="C3236">
        <v>1.77</v>
      </c>
      <c r="D3236">
        <v>1.58592</v>
      </c>
      <c r="E3236">
        <v>878767770</v>
      </c>
      <c r="F3236">
        <v>120</v>
      </c>
    </row>
    <row r="3237" spans="1:6" x14ac:dyDescent="0.25">
      <c r="A3237">
        <v>-111.974746</v>
      </c>
      <c r="B3237">
        <v>33.068648000000003</v>
      </c>
      <c r="C3237">
        <v>1.4350000000000001</v>
      </c>
      <c r="D3237">
        <v>1.28576</v>
      </c>
      <c r="E3237">
        <v>878767772</v>
      </c>
      <c r="F3237">
        <v>120</v>
      </c>
    </row>
    <row r="3238" spans="1:6" x14ac:dyDescent="0.25">
      <c r="A3238">
        <v>-111.974744</v>
      </c>
      <c r="B3238">
        <v>33.068655999999997</v>
      </c>
      <c r="C3238">
        <v>1.6</v>
      </c>
      <c r="D3238">
        <v>1.4336</v>
      </c>
      <c r="E3238">
        <v>878767774</v>
      </c>
      <c r="F3238">
        <v>120</v>
      </c>
    </row>
    <row r="3239" spans="1:6" x14ac:dyDescent="0.25">
      <c r="A3239">
        <v>-111.974744</v>
      </c>
      <c r="B3239">
        <v>33.068663000000001</v>
      </c>
      <c r="C3239">
        <v>1.3149999999999999</v>
      </c>
      <c r="D3239">
        <v>1.17824</v>
      </c>
      <c r="E3239">
        <v>878767776</v>
      </c>
      <c r="F3239">
        <v>120</v>
      </c>
    </row>
    <row r="3240" spans="1:6" x14ac:dyDescent="0.25">
      <c r="A3240">
        <v>-111.974745</v>
      </c>
      <c r="B3240">
        <v>33.068669999999997</v>
      </c>
      <c r="C3240">
        <v>1.29</v>
      </c>
      <c r="D3240">
        <v>1.15584</v>
      </c>
      <c r="E3240">
        <v>878767778</v>
      </c>
      <c r="F3240">
        <v>120</v>
      </c>
    </row>
    <row r="3241" spans="1:6" x14ac:dyDescent="0.25">
      <c r="A3241">
        <v>-111.974745</v>
      </c>
      <c r="B3241">
        <v>33.068677999999998</v>
      </c>
      <c r="C3241">
        <v>1.0449999999999999</v>
      </c>
      <c r="D3241">
        <v>0.93632000000000004</v>
      </c>
      <c r="E3241">
        <v>878767780</v>
      </c>
      <c r="F3241">
        <v>120</v>
      </c>
    </row>
    <row r="3242" spans="1:6" x14ac:dyDescent="0.25">
      <c r="A3242">
        <v>-111.974745</v>
      </c>
      <c r="B3242">
        <v>33.068685000000002</v>
      </c>
      <c r="C3242">
        <v>1.2350000000000001</v>
      </c>
      <c r="D3242">
        <v>1.10656</v>
      </c>
      <c r="E3242">
        <v>878767782</v>
      </c>
      <c r="F3242">
        <v>120</v>
      </c>
    </row>
    <row r="3243" spans="1:6" x14ac:dyDescent="0.25">
      <c r="A3243">
        <v>-111.974745</v>
      </c>
      <c r="B3243">
        <v>33.068693000000003</v>
      </c>
      <c r="C3243">
        <v>1.0549999999999999</v>
      </c>
      <c r="D3243">
        <v>0.94528000000000001</v>
      </c>
      <c r="E3243">
        <v>878767784</v>
      </c>
      <c r="F3243">
        <v>120</v>
      </c>
    </row>
    <row r="3244" spans="1:6" x14ac:dyDescent="0.25">
      <c r="A3244">
        <v>-111.974745</v>
      </c>
      <c r="B3244">
        <v>33.0687</v>
      </c>
      <c r="C3244">
        <v>1.05</v>
      </c>
      <c r="D3244">
        <v>0.94079999999999997</v>
      </c>
      <c r="E3244">
        <v>878767786</v>
      </c>
      <c r="F3244">
        <v>120</v>
      </c>
    </row>
    <row r="3245" spans="1:6" x14ac:dyDescent="0.25">
      <c r="A3245">
        <v>-111.974745</v>
      </c>
      <c r="B3245">
        <v>33.068707000000003</v>
      </c>
      <c r="C3245">
        <v>0.84499999999999997</v>
      </c>
      <c r="D3245">
        <v>0.75712000000000002</v>
      </c>
      <c r="E3245">
        <v>878767788</v>
      </c>
      <c r="F3245">
        <v>120</v>
      </c>
    </row>
    <row r="3246" spans="1:6" x14ac:dyDescent="0.25">
      <c r="A3246">
        <v>-111.974745</v>
      </c>
      <c r="B3246">
        <v>33.068714</v>
      </c>
      <c r="C3246">
        <v>1.2</v>
      </c>
      <c r="D3246">
        <v>1.0751999999999999</v>
      </c>
      <c r="E3246">
        <v>878767790</v>
      </c>
      <c r="F3246">
        <v>120</v>
      </c>
    </row>
    <row r="3247" spans="1:6" x14ac:dyDescent="0.25">
      <c r="A3247">
        <v>-111.974745</v>
      </c>
      <c r="B3247">
        <v>33.068720999999996</v>
      </c>
      <c r="C3247">
        <v>1.105</v>
      </c>
      <c r="D3247">
        <v>0.99007999999999996</v>
      </c>
      <c r="E3247">
        <v>878767792</v>
      </c>
      <c r="F3247">
        <v>120</v>
      </c>
    </row>
    <row r="3248" spans="1:6" x14ac:dyDescent="0.25">
      <c r="A3248">
        <v>-111.974744</v>
      </c>
      <c r="B3248">
        <v>33.068728999999998</v>
      </c>
      <c r="C3248">
        <v>1.4550000000000001</v>
      </c>
      <c r="D3248">
        <v>1.3036799999999999</v>
      </c>
      <c r="E3248">
        <v>878767794</v>
      </c>
      <c r="F3248">
        <v>120</v>
      </c>
    </row>
    <row r="3249" spans="1:6" x14ac:dyDescent="0.25">
      <c r="A3249">
        <v>-111.974745</v>
      </c>
      <c r="B3249">
        <v>33.068736999999999</v>
      </c>
      <c r="C3249">
        <v>1.125</v>
      </c>
      <c r="D3249">
        <v>1.008</v>
      </c>
      <c r="E3249">
        <v>878767796</v>
      </c>
      <c r="F3249">
        <v>120</v>
      </c>
    </row>
    <row r="3250" spans="1:6" x14ac:dyDescent="0.25">
      <c r="A3250">
        <v>-111.974745</v>
      </c>
      <c r="B3250">
        <v>33.068745</v>
      </c>
      <c r="C3250">
        <v>1.23</v>
      </c>
      <c r="D3250">
        <v>1.1020799999999999</v>
      </c>
      <c r="E3250">
        <v>878767798</v>
      </c>
      <c r="F3250">
        <v>120</v>
      </c>
    </row>
    <row r="3251" spans="1:6" x14ac:dyDescent="0.25">
      <c r="A3251">
        <v>-111.974745</v>
      </c>
      <c r="B3251">
        <v>33.068752000000003</v>
      </c>
      <c r="C3251">
        <v>1.2250000000000001</v>
      </c>
      <c r="D3251">
        <v>1.0975999999999999</v>
      </c>
      <c r="E3251">
        <v>878767800</v>
      </c>
      <c r="F3251">
        <v>120</v>
      </c>
    </row>
    <row r="3252" spans="1:6" x14ac:dyDescent="0.25">
      <c r="A3252">
        <v>-111.974745</v>
      </c>
      <c r="B3252">
        <v>33.068759999999997</v>
      </c>
      <c r="C3252">
        <v>1.35</v>
      </c>
      <c r="D3252">
        <v>1.2096</v>
      </c>
      <c r="E3252">
        <v>878767802</v>
      </c>
      <c r="F3252">
        <v>120</v>
      </c>
    </row>
    <row r="3253" spans="1:6" x14ac:dyDescent="0.25">
      <c r="A3253">
        <v>-111.974745</v>
      </c>
      <c r="B3253">
        <v>33.068765999999997</v>
      </c>
      <c r="C3253">
        <v>1.905</v>
      </c>
      <c r="D3253">
        <v>1.70688</v>
      </c>
      <c r="E3253">
        <v>878767804</v>
      </c>
      <c r="F3253">
        <v>120</v>
      </c>
    </row>
    <row r="3254" spans="1:6" x14ac:dyDescent="0.25">
      <c r="A3254">
        <v>-111.974745</v>
      </c>
      <c r="B3254">
        <v>33.068775000000002</v>
      </c>
      <c r="C3254">
        <v>1.385</v>
      </c>
      <c r="D3254">
        <v>1.2409600000000001</v>
      </c>
      <c r="E3254">
        <v>878767806</v>
      </c>
      <c r="F3254">
        <v>120</v>
      </c>
    </row>
    <row r="3255" spans="1:6" x14ac:dyDescent="0.25">
      <c r="A3255">
        <v>-111.974745</v>
      </c>
      <c r="B3255">
        <v>33.068781000000001</v>
      </c>
      <c r="C3255">
        <v>1.33</v>
      </c>
      <c r="D3255">
        <v>1.1916800000000001</v>
      </c>
      <c r="E3255">
        <v>878767808</v>
      </c>
      <c r="F3255">
        <v>120</v>
      </c>
    </row>
    <row r="3256" spans="1:6" x14ac:dyDescent="0.25">
      <c r="A3256">
        <v>-111.974744</v>
      </c>
      <c r="B3256">
        <v>33.068789000000002</v>
      </c>
      <c r="C3256">
        <v>3.5000000000000003E-2</v>
      </c>
      <c r="D3256">
        <v>3.1359999999999999E-2</v>
      </c>
      <c r="E3256">
        <v>878767810</v>
      </c>
      <c r="F3256">
        <v>120</v>
      </c>
    </row>
    <row r="3257" spans="1:6" x14ac:dyDescent="0.25">
      <c r="A3257">
        <v>-111.974746</v>
      </c>
      <c r="B3257">
        <v>33.068795999999999</v>
      </c>
      <c r="C3257">
        <v>5.0000000000000001E-3</v>
      </c>
      <c r="D3257">
        <v>4.4799999999999996E-3</v>
      </c>
      <c r="E3257">
        <v>878767812</v>
      </c>
      <c r="F3257">
        <v>120</v>
      </c>
    </row>
    <row r="3258" spans="1:6" x14ac:dyDescent="0.25">
      <c r="A3258">
        <v>-111.974744</v>
      </c>
      <c r="B3258">
        <v>33.068857000000001</v>
      </c>
      <c r="C3258">
        <v>0.03</v>
      </c>
      <c r="D3258">
        <v>2.6880000000000001E-2</v>
      </c>
      <c r="E3258">
        <v>878767828</v>
      </c>
      <c r="F3258">
        <v>120</v>
      </c>
    </row>
    <row r="3259" spans="1:6" x14ac:dyDescent="0.25">
      <c r="A3259">
        <v>-111.974744</v>
      </c>
      <c r="B3259">
        <v>33.068865000000002</v>
      </c>
      <c r="C3259">
        <v>0.105</v>
      </c>
      <c r="D3259">
        <v>9.4079999999999997E-2</v>
      </c>
      <c r="E3259">
        <v>878767830</v>
      </c>
      <c r="F3259">
        <v>120</v>
      </c>
    </row>
    <row r="3260" spans="1:6" x14ac:dyDescent="0.25">
      <c r="A3260">
        <v>-111.974745</v>
      </c>
      <c r="B3260">
        <v>33.068871999999999</v>
      </c>
      <c r="C3260">
        <v>0.13</v>
      </c>
      <c r="D3260">
        <v>0.11648</v>
      </c>
      <c r="E3260">
        <v>878767832</v>
      </c>
      <c r="F3260">
        <v>120</v>
      </c>
    </row>
    <row r="3261" spans="1:6" x14ac:dyDescent="0.25">
      <c r="A3261">
        <v>-111.974746</v>
      </c>
      <c r="B3261">
        <v>33.068879000000003</v>
      </c>
      <c r="C3261">
        <v>1.77</v>
      </c>
      <c r="D3261">
        <v>1.58592</v>
      </c>
      <c r="E3261">
        <v>878767834</v>
      </c>
      <c r="F3261">
        <v>120</v>
      </c>
    </row>
    <row r="3262" spans="1:6" x14ac:dyDescent="0.25">
      <c r="A3262">
        <v>-111.974746</v>
      </c>
      <c r="B3262">
        <v>33.068885000000002</v>
      </c>
      <c r="C3262">
        <v>1.68</v>
      </c>
      <c r="D3262">
        <v>1.50528</v>
      </c>
      <c r="E3262">
        <v>878767836</v>
      </c>
      <c r="F3262">
        <v>120</v>
      </c>
    </row>
    <row r="3263" spans="1:6" x14ac:dyDescent="0.25">
      <c r="A3263">
        <v>-111.974746</v>
      </c>
      <c r="B3263">
        <v>33.068893000000003</v>
      </c>
      <c r="C3263">
        <v>1.32</v>
      </c>
      <c r="D3263">
        <v>1.18272</v>
      </c>
      <c r="E3263">
        <v>878767838</v>
      </c>
      <c r="F3263">
        <v>120</v>
      </c>
    </row>
    <row r="3264" spans="1:6" x14ac:dyDescent="0.25">
      <c r="A3264">
        <v>-111.974744</v>
      </c>
      <c r="B3264">
        <v>33.068899999999999</v>
      </c>
      <c r="C3264">
        <v>1.36</v>
      </c>
      <c r="D3264">
        <v>1.2185600000000001</v>
      </c>
      <c r="E3264">
        <v>878767840</v>
      </c>
      <c r="F3264">
        <v>120</v>
      </c>
    </row>
    <row r="3265" spans="1:6" x14ac:dyDescent="0.25">
      <c r="A3265">
        <v>-111.974743</v>
      </c>
      <c r="B3265">
        <v>33.068907000000003</v>
      </c>
      <c r="C3265">
        <v>1.1499999999999999</v>
      </c>
      <c r="D3265">
        <v>1.0304</v>
      </c>
      <c r="E3265">
        <v>878767842</v>
      </c>
      <c r="F3265">
        <v>120</v>
      </c>
    </row>
    <row r="3266" spans="1:6" x14ac:dyDescent="0.25">
      <c r="A3266">
        <v>-111.974743</v>
      </c>
      <c r="B3266">
        <v>33.068914999999997</v>
      </c>
      <c r="C3266">
        <v>0.995</v>
      </c>
      <c r="D3266">
        <v>0.89151999999999998</v>
      </c>
      <c r="E3266">
        <v>878767844</v>
      </c>
      <c r="F3266">
        <v>120</v>
      </c>
    </row>
    <row r="3267" spans="1:6" x14ac:dyDescent="0.25">
      <c r="A3267">
        <v>-111.974743</v>
      </c>
      <c r="B3267">
        <v>33.068922000000001</v>
      </c>
      <c r="C3267">
        <v>0.81499999999999995</v>
      </c>
      <c r="D3267">
        <v>0.73024</v>
      </c>
      <c r="E3267">
        <v>878767846</v>
      </c>
      <c r="F3267">
        <v>120</v>
      </c>
    </row>
    <row r="3268" spans="1:6" x14ac:dyDescent="0.25">
      <c r="A3268">
        <v>-111.974743</v>
      </c>
      <c r="B3268">
        <v>33.068930000000002</v>
      </c>
      <c r="C3268">
        <v>0.85</v>
      </c>
      <c r="D3268">
        <v>0.76160000000000005</v>
      </c>
      <c r="E3268">
        <v>878767848</v>
      </c>
      <c r="F3268">
        <v>120</v>
      </c>
    </row>
    <row r="3269" spans="1:6" x14ac:dyDescent="0.25">
      <c r="A3269">
        <v>-111.974743</v>
      </c>
      <c r="B3269">
        <v>33.068938000000003</v>
      </c>
      <c r="C3269">
        <v>1.1000000000000001</v>
      </c>
      <c r="D3269">
        <v>0.98560000000000003</v>
      </c>
      <c r="E3269">
        <v>878767850</v>
      </c>
      <c r="F3269">
        <v>120</v>
      </c>
    </row>
    <row r="3270" spans="1:6" x14ac:dyDescent="0.25">
      <c r="A3270">
        <v>-111.974743</v>
      </c>
      <c r="B3270">
        <v>33.068944999999999</v>
      </c>
      <c r="C3270">
        <v>0.96499999999999997</v>
      </c>
      <c r="D3270">
        <v>0.86463999999999996</v>
      </c>
      <c r="E3270">
        <v>878767852</v>
      </c>
      <c r="F3270">
        <v>120</v>
      </c>
    </row>
    <row r="3271" spans="1:6" x14ac:dyDescent="0.25">
      <c r="A3271">
        <v>-111.974744</v>
      </c>
      <c r="B3271">
        <v>33.068952000000003</v>
      </c>
      <c r="C3271">
        <v>0.87</v>
      </c>
      <c r="D3271">
        <v>0.77951999999999999</v>
      </c>
      <c r="E3271">
        <v>878767854</v>
      </c>
      <c r="F3271">
        <v>120</v>
      </c>
    </row>
    <row r="3272" spans="1:6" x14ac:dyDescent="0.25">
      <c r="A3272">
        <v>-111.974744</v>
      </c>
      <c r="B3272">
        <v>33.068959999999997</v>
      </c>
      <c r="C3272">
        <v>0.79500000000000004</v>
      </c>
      <c r="D3272">
        <v>0.71231999999999995</v>
      </c>
      <c r="E3272">
        <v>878767856</v>
      </c>
      <c r="F3272">
        <v>120</v>
      </c>
    </row>
    <row r="3273" spans="1:6" x14ac:dyDescent="0.25">
      <c r="A3273">
        <v>-111.974743</v>
      </c>
      <c r="B3273">
        <v>33.068967999999998</v>
      </c>
      <c r="C3273">
        <v>0.77500000000000002</v>
      </c>
      <c r="D3273">
        <v>0.69440000000000002</v>
      </c>
      <c r="E3273">
        <v>878767858</v>
      </c>
      <c r="F3273">
        <v>120</v>
      </c>
    </row>
    <row r="3274" spans="1:6" x14ac:dyDescent="0.25">
      <c r="A3274">
        <v>-111.974743</v>
      </c>
      <c r="B3274">
        <v>33.068975000000002</v>
      </c>
      <c r="C3274">
        <v>1.18</v>
      </c>
      <c r="D3274">
        <v>1.05728</v>
      </c>
      <c r="E3274">
        <v>878767860</v>
      </c>
      <c r="F3274">
        <v>120</v>
      </c>
    </row>
    <row r="3275" spans="1:6" x14ac:dyDescent="0.25">
      <c r="A3275">
        <v>-111.974743</v>
      </c>
      <c r="B3275">
        <v>33.068983000000003</v>
      </c>
      <c r="C3275">
        <v>1.2050000000000001</v>
      </c>
      <c r="D3275">
        <v>1.07968</v>
      </c>
      <c r="E3275">
        <v>878767862</v>
      </c>
      <c r="F3275">
        <v>120</v>
      </c>
    </row>
    <row r="3276" spans="1:6" x14ac:dyDescent="0.25">
      <c r="A3276">
        <v>-111.974743</v>
      </c>
      <c r="B3276">
        <v>33.068990999999997</v>
      </c>
      <c r="C3276">
        <v>0.96499999999999997</v>
      </c>
      <c r="D3276">
        <v>0.86463999999999996</v>
      </c>
      <c r="E3276">
        <v>878767864</v>
      </c>
      <c r="F3276">
        <v>120</v>
      </c>
    </row>
    <row r="3277" spans="1:6" x14ac:dyDescent="0.25">
      <c r="A3277">
        <v>-111.974743</v>
      </c>
      <c r="B3277">
        <v>33.068998000000001</v>
      </c>
      <c r="C3277">
        <v>2.1850000000000001</v>
      </c>
      <c r="D3277">
        <v>1.9577599999999999</v>
      </c>
      <c r="E3277">
        <v>878767866</v>
      </c>
      <c r="F3277">
        <v>120</v>
      </c>
    </row>
    <row r="3278" spans="1:6" x14ac:dyDescent="0.25">
      <c r="A3278">
        <v>-111.974743</v>
      </c>
      <c r="B3278">
        <v>33.069006000000002</v>
      </c>
      <c r="C3278">
        <v>1.585</v>
      </c>
      <c r="D3278">
        <v>1.4201600000000001</v>
      </c>
      <c r="E3278">
        <v>878767868</v>
      </c>
      <c r="F3278">
        <v>120</v>
      </c>
    </row>
    <row r="3279" spans="1:6" x14ac:dyDescent="0.25">
      <c r="A3279">
        <v>-111.974743</v>
      </c>
      <c r="B3279">
        <v>33.069014000000003</v>
      </c>
      <c r="C3279">
        <v>1.08</v>
      </c>
      <c r="D3279">
        <v>0.96767999999999998</v>
      </c>
      <c r="E3279">
        <v>878767870</v>
      </c>
      <c r="F3279">
        <v>120</v>
      </c>
    </row>
    <row r="3280" spans="1:6" x14ac:dyDescent="0.25">
      <c r="A3280">
        <v>-111.974743</v>
      </c>
      <c r="B3280">
        <v>33.069020999999999</v>
      </c>
      <c r="C3280">
        <v>1.0549999999999999</v>
      </c>
      <c r="D3280">
        <v>0.94528000000000001</v>
      </c>
      <c r="E3280">
        <v>878767872</v>
      </c>
      <c r="F3280">
        <v>120</v>
      </c>
    </row>
    <row r="3281" spans="1:6" x14ac:dyDescent="0.25">
      <c r="A3281">
        <v>-111.974743</v>
      </c>
      <c r="B3281">
        <v>33.069029</v>
      </c>
      <c r="C3281">
        <v>4.4999999999999998E-2</v>
      </c>
      <c r="D3281">
        <v>4.0320000000000002E-2</v>
      </c>
      <c r="E3281">
        <v>878767874</v>
      </c>
      <c r="F3281">
        <v>120</v>
      </c>
    </row>
    <row r="3282" spans="1:6" x14ac:dyDescent="0.25">
      <c r="A3282">
        <v>-111.974744</v>
      </c>
      <c r="B3282">
        <v>33.069032999999997</v>
      </c>
      <c r="C3282">
        <v>0.01</v>
      </c>
      <c r="D3282">
        <v>8.9599999999999992E-3</v>
      </c>
      <c r="E3282">
        <v>878767876</v>
      </c>
      <c r="F3282">
        <v>120</v>
      </c>
    </row>
    <row r="3283" spans="1:6" x14ac:dyDescent="0.25">
      <c r="A3283">
        <v>-111.974745</v>
      </c>
      <c r="B3283">
        <v>33.069032</v>
      </c>
      <c r="C3283">
        <v>5.0000000000000001E-3</v>
      </c>
      <c r="D3283">
        <v>4.4799999999999996E-3</v>
      </c>
      <c r="E3283">
        <v>878767880</v>
      </c>
      <c r="F3283">
        <v>120</v>
      </c>
    </row>
    <row r="3284" spans="1:6" x14ac:dyDescent="0.25">
      <c r="A3284">
        <v>-111.974745</v>
      </c>
      <c r="B3284">
        <v>33.069032</v>
      </c>
      <c r="C3284">
        <v>0.09</v>
      </c>
      <c r="D3284">
        <v>8.0640000000000003E-2</v>
      </c>
      <c r="E3284">
        <v>878767888</v>
      </c>
      <c r="F3284">
        <v>120</v>
      </c>
    </row>
    <row r="3285" spans="1:6" x14ac:dyDescent="0.25">
      <c r="A3285">
        <v>-111.974746</v>
      </c>
      <c r="B3285">
        <v>33.069038999999997</v>
      </c>
      <c r="C3285">
        <v>1.4999999999999999E-2</v>
      </c>
      <c r="D3285">
        <v>1.3440000000000001E-2</v>
      </c>
      <c r="E3285">
        <v>878767890</v>
      </c>
      <c r="F3285">
        <v>120</v>
      </c>
    </row>
    <row r="3286" spans="1:6" x14ac:dyDescent="0.25">
      <c r="A3286">
        <v>-111.974745</v>
      </c>
      <c r="B3286">
        <v>33.069062000000002</v>
      </c>
      <c r="C3286">
        <v>5.0000000000000001E-3</v>
      </c>
      <c r="D3286">
        <v>4.4799999999999996E-3</v>
      </c>
      <c r="E3286">
        <v>878767894</v>
      </c>
      <c r="F3286">
        <v>120</v>
      </c>
    </row>
    <row r="3287" spans="1:6" x14ac:dyDescent="0.25">
      <c r="A3287">
        <v>-111.974746</v>
      </c>
      <c r="B3287">
        <v>33.069071999999998</v>
      </c>
      <c r="C3287">
        <v>5.0000000000000001E-3</v>
      </c>
      <c r="D3287">
        <v>4.4799999999999996E-3</v>
      </c>
      <c r="E3287">
        <v>878767896</v>
      </c>
      <c r="F3287">
        <v>120</v>
      </c>
    </row>
    <row r="3288" spans="1:6" x14ac:dyDescent="0.25">
      <c r="A3288">
        <v>-111.97476399999999</v>
      </c>
      <c r="B3288">
        <v>33.069085999999999</v>
      </c>
      <c r="C3288">
        <v>5.0000000000000001E-3</v>
      </c>
      <c r="D3288">
        <v>4.4799999999999996E-3</v>
      </c>
      <c r="E3288">
        <v>878767900</v>
      </c>
      <c r="F3288">
        <v>120</v>
      </c>
    </row>
    <row r="3289" spans="1:6" x14ac:dyDescent="0.25">
      <c r="A3289">
        <v>-111.974779</v>
      </c>
      <c r="B3289">
        <v>33.069090000000003</v>
      </c>
      <c r="C3289">
        <v>5.0000000000000001E-3</v>
      </c>
      <c r="D3289">
        <v>4.4799999999999996E-3</v>
      </c>
      <c r="E3289">
        <v>878767902</v>
      </c>
      <c r="F3289">
        <v>120</v>
      </c>
    </row>
    <row r="3290" spans="1:6" x14ac:dyDescent="0.25">
      <c r="A3290">
        <v>-111.974794</v>
      </c>
      <c r="B3290">
        <v>33.069088999999998</v>
      </c>
      <c r="C3290">
        <v>5.0000000000000001E-3</v>
      </c>
      <c r="D3290">
        <v>4.4799999999999996E-3</v>
      </c>
      <c r="E3290">
        <v>878767904</v>
      </c>
      <c r="F3290">
        <v>120</v>
      </c>
    </row>
    <row r="3291" spans="1:6" x14ac:dyDescent="0.25">
      <c r="A3291">
        <v>-111.974778</v>
      </c>
      <c r="B3291">
        <v>33.06908</v>
      </c>
      <c r="C3291">
        <v>5.0000000000000001E-3</v>
      </c>
      <c r="D3291">
        <v>4.4799999999999996E-3</v>
      </c>
      <c r="E3291">
        <v>878767918</v>
      </c>
      <c r="F3291">
        <v>120</v>
      </c>
    </row>
    <row r="3292" spans="1:6" x14ac:dyDescent="0.25">
      <c r="A3292">
        <v>-111.97478599999999</v>
      </c>
      <c r="B3292">
        <v>33.069071000000001</v>
      </c>
      <c r="C3292">
        <v>5.0000000000000001E-3</v>
      </c>
      <c r="D3292">
        <v>4.4799999999999996E-3</v>
      </c>
      <c r="E3292">
        <v>878767920</v>
      </c>
      <c r="F3292">
        <v>120</v>
      </c>
    </row>
    <row r="3293" spans="1:6" x14ac:dyDescent="0.25">
      <c r="A3293">
        <v>-111.974785</v>
      </c>
      <c r="B3293">
        <v>33.069028000000003</v>
      </c>
      <c r="C3293">
        <v>5.0000000000000001E-3</v>
      </c>
      <c r="D3293">
        <v>4.4799999999999996E-3</v>
      </c>
      <c r="E3293">
        <v>878767930</v>
      </c>
      <c r="F3293">
        <v>120</v>
      </c>
    </row>
    <row r="3294" spans="1:6" x14ac:dyDescent="0.25">
      <c r="A3294">
        <v>-111.974785</v>
      </c>
      <c r="B3294">
        <v>33.069020000000002</v>
      </c>
      <c r="C3294">
        <v>5.0000000000000001E-3</v>
      </c>
      <c r="D3294">
        <v>4.4799999999999996E-3</v>
      </c>
      <c r="E3294">
        <v>878767932</v>
      </c>
      <c r="F3294">
        <v>120</v>
      </c>
    </row>
    <row r="3295" spans="1:6" x14ac:dyDescent="0.25">
      <c r="A3295">
        <v>-111.97478700000001</v>
      </c>
      <c r="B3295">
        <v>33.069012000000001</v>
      </c>
      <c r="C3295">
        <v>0.84499999999999997</v>
      </c>
      <c r="D3295">
        <v>0.75712000000000002</v>
      </c>
      <c r="E3295">
        <v>878767934</v>
      </c>
      <c r="F3295">
        <v>120</v>
      </c>
    </row>
    <row r="3296" spans="1:6" x14ac:dyDescent="0.25">
      <c r="A3296">
        <v>-111.974788</v>
      </c>
      <c r="B3296">
        <v>33.068995999999999</v>
      </c>
      <c r="C3296">
        <v>1.83</v>
      </c>
      <c r="D3296">
        <v>1.63968</v>
      </c>
      <c r="E3296">
        <v>878767938</v>
      </c>
      <c r="F3296">
        <v>120</v>
      </c>
    </row>
    <row r="3297" spans="1:6" x14ac:dyDescent="0.25">
      <c r="A3297">
        <v>-111.97478700000001</v>
      </c>
      <c r="B3297">
        <v>33.068989000000002</v>
      </c>
      <c r="C3297">
        <v>1.7350000000000001</v>
      </c>
      <c r="D3297">
        <v>1.5545599999999999</v>
      </c>
      <c r="E3297">
        <v>878767940</v>
      </c>
      <c r="F3297">
        <v>120</v>
      </c>
    </row>
    <row r="3298" spans="1:6" x14ac:dyDescent="0.25">
      <c r="A3298">
        <v>-111.97478700000001</v>
      </c>
      <c r="B3298">
        <v>33.068981000000001</v>
      </c>
      <c r="C3298">
        <v>1.26</v>
      </c>
      <c r="D3298">
        <v>1.12896</v>
      </c>
      <c r="E3298">
        <v>878767942</v>
      </c>
      <c r="F3298">
        <v>120</v>
      </c>
    </row>
    <row r="3299" spans="1:6" x14ac:dyDescent="0.25">
      <c r="A3299">
        <v>-111.97478700000001</v>
      </c>
      <c r="B3299">
        <v>33.068972000000002</v>
      </c>
      <c r="C3299">
        <v>0.88</v>
      </c>
      <c r="D3299">
        <v>0.78847999999999996</v>
      </c>
      <c r="E3299">
        <v>878767944</v>
      </c>
      <c r="F3299">
        <v>120</v>
      </c>
    </row>
    <row r="3300" spans="1:6" x14ac:dyDescent="0.25">
      <c r="A3300">
        <v>-111.97478700000001</v>
      </c>
      <c r="B3300">
        <v>33.068966000000003</v>
      </c>
      <c r="C3300">
        <v>1.7250000000000001</v>
      </c>
      <c r="D3300">
        <v>1.5456000000000001</v>
      </c>
      <c r="E3300">
        <v>878767946</v>
      </c>
      <c r="F3300">
        <v>120</v>
      </c>
    </row>
    <row r="3301" spans="1:6" x14ac:dyDescent="0.25">
      <c r="A3301">
        <v>-111.97478700000001</v>
      </c>
      <c r="B3301">
        <v>33.068956999999997</v>
      </c>
      <c r="C3301">
        <v>1.5249999999999999</v>
      </c>
      <c r="D3301">
        <v>1.3664000000000001</v>
      </c>
      <c r="E3301">
        <v>878767948</v>
      </c>
      <c r="F3301">
        <v>120</v>
      </c>
    </row>
    <row r="3302" spans="1:6" x14ac:dyDescent="0.25">
      <c r="A3302">
        <v>-111.974788</v>
      </c>
      <c r="B3302">
        <v>33.068947999999999</v>
      </c>
      <c r="C3302">
        <v>0.47</v>
      </c>
      <c r="D3302">
        <v>0.42111999999999999</v>
      </c>
      <c r="E3302">
        <v>878767950</v>
      </c>
      <c r="F3302">
        <v>120</v>
      </c>
    </row>
    <row r="3303" spans="1:6" x14ac:dyDescent="0.25">
      <c r="A3303">
        <v>-111.974788</v>
      </c>
      <c r="B3303">
        <v>33.068939999999998</v>
      </c>
      <c r="C3303">
        <v>1.49</v>
      </c>
      <c r="D3303">
        <v>1.33504</v>
      </c>
      <c r="E3303">
        <v>878767952</v>
      </c>
      <c r="F3303">
        <v>120</v>
      </c>
    </row>
    <row r="3304" spans="1:6" x14ac:dyDescent="0.25">
      <c r="A3304">
        <v>-111.974788</v>
      </c>
      <c r="B3304">
        <v>33.068931999999997</v>
      </c>
      <c r="C3304">
        <v>1.1599999999999999</v>
      </c>
      <c r="D3304">
        <v>1.0393600000000001</v>
      </c>
      <c r="E3304">
        <v>878767954</v>
      </c>
      <c r="F3304">
        <v>120</v>
      </c>
    </row>
    <row r="3305" spans="1:6" x14ac:dyDescent="0.25">
      <c r="A3305">
        <v>-111.974788</v>
      </c>
      <c r="B3305">
        <v>33.068924000000003</v>
      </c>
      <c r="C3305">
        <v>1.7</v>
      </c>
      <c r="D3305">
        <v>1.5232000000000001</v>
      </c>
      <c r="E3305">
        <v>878767956</v>
      </c>
      <c r="F3305">
        <v>120</v>
      </c>
    </row>
    <row r="3306" spans="1:6" x14ac:dyDescent="0.25">
      <c r="A3306">
        <v>-111.974788</v>
      </c>
      <c r="B3306">
        <v>33.068916000000002</v>
      </c>
      <c r="C3306">
        <v>2.1</v>
      </c>
      <c r="D3306">
        <v>1.8815999999999999</v>
      </c>
      <c r="E3306">
        <v>878767958</v>
      </c>
      <c r="F3306">
        <v>120</v>
      </c>
    </row>
    <row r="3307" spans="1:6" x14ac:dyDescent="0.25">
      <c r="A3307">
        <v>-111.97478700000001</v>
      </c>
      <c r="B3307">
        <v>33.068908</v>
      </c>
      <c r="C3307">
        <v>1.56</v>
      </c>
      <c r="D3307">
        <v>1.3977599999999999</v>
      </c>
      <c r="E3307">
        <v>878767960</v>
      </c>
      <c r="F3307">
        <v>120</v>
      </c>
    </row>
    <row r="3308" spans="1:6" x14ac:dyDescent="0.25">
      <c r="A3308">
        <v>-111.974788</v>
      </c>
      <c r="B3308">
        <v>33.068899000000002</v>
      </c>
      <c r="C3308">
        <v>2.4300000000000002</v>
      </c>
      <c r="D3308">
        <v>2.1772800000000001</v>
      </c>
      <c r="E3308">
        <v>878767962</v>
      </c>
      <c r="F3308">
        <v>120</v>
      </c>
    </row>
    <row r="3309" spans="1:6" x14ac:dyDescent="0.25">
      <c r="A3309">
        <v>-111.97478700000001</v>
      </c>
      <c r="B3309">
        <v>33.068891000000001</v>
      </c>
      <c r="C3309">
        <v>1.1100000000000001</v>
      </c>
      <c r="D3309">
        <v>0.99456</v>
      </c>
      <c r="E3309">
        <v>878767964</v>
      </c>
      <c r="F3309">
        <v>120</v>
      </c>
    </row>
    <row r="3310" spans="1:6" x14ac:dyDescent="0.25">
      <c r="A3310">
        <v>-111.97478700000001</v>
      </c>
      <c r="B3310">
        <v>33.068883</v>
      </c>
      <c r="C3310">
        <v>2.6749999999999998</v>
      </c>
      <c r="D3310">
        <v>2.3967999999999998</v>
      </c>
      <c r="E3310">
        <v>878767966</v>
      </c>
      <c r="F3310">
        <v>120</v>
      </c>
    </row>
    <row r="3311" spans="1:6" x14ac:dyDescent="0.25">
      <c r="A3311">
        <v>-111.974788</v>
      </c>
      <c r="B3311">
        <v>33.068874999999998</v>
      </c>
      <c r="C3311">
        <v>3</v>
      </c>
      <c r="D3311">
        <v>2.6880000000000002</v>
      </c>
      <c r="E3311">
        <v>878767968</v>
      </c>
      <c r="F3311">
        <v>120</v>
      </c>
    </row>
    <row r="3312" spans="1:6" x14ac:dyDescent="0.25">
      <c r="A3312">
        <v>-111.974788</v>
      </c>
      <c r="B3312">
        <v>33.068857999999999</v>
      </c>
      <c r="C3312">
        <v>0.73</v>
      </c>
      <c r="D3312">
        <v>0.65407999999999999</v>
      </c>
      <c r="E3312">
        <v>878767972</v>
      </c>
      <c r="F3312">
        <v>120</v>
      </c>
    </row>
    <row r="3313" spans="1:6" x14ac:dyDescent="0.25">
      <c r="A3313">
        <v>-111.97478700000001</v>
      </c>
      <c r="B3313">
        <v>33.068848000000003</v>
      </c>
      <c r="C3313">
        <v>4.4999999999999998E-2</v>
      </c>
      <c r="D3313">
        <v>4.0320000000000002E-2</v>
      </c>
      <c r="E3313">
        <v>878767974</v>
      </c>
      <c r="F3313">
        <v>120</v>
      </c>
    </row>
    <row r="3314" spans="1:6" x14ac:dyDescent="0.25">
      <c r="A3314">
        <v>-111.974785</v>
      </c>
      <c r="B3314">
        <v>33.068840000000002</v>
      </c>
      <c r="C3314">
        <v>0.18</v>
      </c>
      <c r="D3314">
        <v>0.16128000000000001</v>
      </c>
      <c r="E3314">
        <v>878767976</v>
      </c>
      <c r="F3314">
        <v>120</v>
      </c>
    </row>
    <row r="3315" spans="1:6" x14ac:dyDescent="0.25">
      <c r="A3315">
        <v>-111.97478599999999</v>
      </c>
      <c r="B3315">
        <v>33.068831000000003</v>
      </c>
      <c r="C3315">
        <v>0.14000000000000001</v>
      </c>
      <c r="D3315">
        <v>0.12544</v>
      </c>
      <c r="E3315">
        <v>878767978</v>
      </c>
      <c r="F3315">
        <v>120</v>
      </c>
    </row>
    <row r="3316" spans="1:6" x14ac:dyDescent="0.25">
      <c r="A3316">
        <v>-111.974788</v>
      </c>
      <c r="B3316">
        <v>33.068821999999997</v>
      </c>
      <c r="C3316">
        <v>2.5000000000000001E-2</v>
      </c>
      <c r="D3316">
        <v>2.24E-2</v>
      </c>
      <c r="E3316">
        <v>878767980</v>
      </c>
      <c r="F3316">
        <v>120</v>
      </c>
    </row>
    <row r="3317" spans="1:6" x14ac:dyDescent="0.25">
      <c r="A3317">
        <v>-111.974788</v>
      </c>
      <c r="B3317">
        <v>33.068812999999999</v>
      </c>
      <c r="C3317">
        <v>0.02</v>
      </c>
      <c r="D3317">
        <v>1.7919999999999998E-2</v>
      </c>
      <c r="E3317">
        <v>878767982</v>
      </c>
      <c r="F3317">
        <v>120</v>
      </c>
    </row>
    <row r="3318" spans="1:6" x14ac:dyDescent="0.25">
      <c r="A3318">
        <v>-111.974789</v>
      </c>
      <c r="B3318">
        <v>33.068804999999998</v>
      </c>
      <c r="C3318">
        <v>0.01</v>
      </c>
      <c r="D3318">
        <v>8.9599999999999992E-3</v>
      </c>
      <c r="E3318">
        <v>878767984</v>
      </c>
      <c r="F3318">
        <v>120</v>
      </c>
    </row>
    <row r="3319" spans="1:6" x14ac:dyDescent="0.25">
      <c r="A3319">
        <v>-111.974789</v>
      </c>
      <c r="B3319">
        <v>33.068795999999999</v>
      </c>
      <c r="C3319">
        <v>0.01</v>
      </c>
      <c r="D3319">
        <v>8.9599999999999992E-3</v>
      </c>
      <c r="E3319">
        <v>878767986</v>
      </c>
      <c r="F3319">
        <v>120</v>
      </c>
    </row>
    <row r="3320" spans="1:6" x14ac:dyDescent="0.25">
      <c r="A3320">
        <v>-111.97479</v>
      </c>
      <c r="B3320">
        <v>33.068787999999998</v>
      </c>
      <c r="C3320">
        <v>0.01</v>
      </c>
      <c r="D3320">
        <v>8.9599999999999992E-3</v>
      </c>
      <c r="E3320">
        <v>878767988</v>
      </c>
      <c r="F3320">
        <v>120</v>
      </c>
    </row>
    <row r="3321" spans="1:6" x14ac:dyDescent="0.25">
      <c r="A3321">
        <v>-111.974788</v>
      </c>
      <c r="B3321">
        <v>33.068778999999999</v>
      </c>
      <c r="C3321">
        <v>0.03</v>
      </c>
      <c r="D3321">
        <v>2.6880000000000001E-2</v>
      </c>
      <c r="E3321">
        <v>878767990</v>
      </c>
      <c r="F3321">
        <v>120</v>
      </c>
    </row>
    <row r="3322" spans="1:6" x14ac:dyDescent="0.25">
      <c r="A3322">
        <v>-111.97478700000001</v>
      </c>
      <c r="B3322">
        <v>33.068773</v>
      </c>
      <c r="C3322">
        <v>0.16500000000000001</v>
      </c>
      <c r="D3322">
        <v>0.14784</v>
      </c>
      <c r="E3322">
        <v>878767992</v>
      </c>
      <c r="F3322">
        <v>120</v>
      </c>
    </row>
    <row r="3323" spans="1:6" x14ac:dyDescent="0.25">
      <c r="A3323">
        <v>-111.97478599999999</v>
      </c>
      <c r="B3323">
        <v>33.068764999999999</v>
      </c>
      <c r="C3323">
        <v>3.09</v>
      </c>
      <c r="D3323">
        <v>2.76864</v>
      </c>
      <c r="E3323">
        <v>878767994</v>
      </c>
      <c r="F3323">
        <v>120</v>
      </c>
    </row>
    <row r="3324" spans="1:6" x14ac:dyDescent="0.25">
      <c r="A3324">
        <v>-111.97478599999999</v>
      </c>
      <c r="B3324">
        <v>33.068756999999998</v>
      </c>
      <c r="C3324">
        <v>2.7749999999999999</v>
      </c>
      <c r="D3324">
        <v>2.4864000000000002</v>
      </c>
      <c r="E3324">
        <v>878767996</v>
      </c>
      <c r="F3324">
        <v>120</v>
      </c>
    </row>
    <row r="3325" spans="1:6" x14ac:dyDescent="0.25">
      <c r="A3325">
        <v>-111.97478599999999</v>
      </c>
      <c r="B3325">
        <v>33.068750000000001</v>
      </c>
      <c r="C3325">
        <v>2.375</v>
      </c>
      <c r="D3325">
        <v>2.1280000000000001</v>
      </c>
      <c r="E3325">
        <v>878767998</v>
      </c>
      <c r="F3325">
        <v>120</v>
      </c>
    </row>
    <row r="3326" spans="1:6" x14ac:dyDescent="0.25">
      <c r="A3326">
        <v>-111.97478700000001</v>
      </c>
      <c r="B3326">
        <v>33.068742</v>
      </c>
      <c r="C3326">
        <v>2.4500000000000002</v>
      </c>
      <c r="D3326">
        <v>2.1951999999999998</v>
      </c>
      <c r="E3326">
        <v>878768000</v>
      </c>
      <c r="F3326">
        <v>120</v>
      </c>
    </row>
    <row r="3327" spans="1:6" x14ac:dyDescent="0.25">
      <c r="A3327">
        <v>-111.974788</v>
      </c>
      <c r="B3327">
        <v>33.068734999999997</v>
      </c>
      <c r="C3327">
        <v>2.0750000000000002</v>
      </c>
      <c r="D3327">
        <v>1.8592</v>
      </c>
      <c r="E3327">
        <v>878768002</v>
      </c>
      <c r="F3327">
        <v>120</v>
      </c>
    </row>
    <row r="3328" spans="1:6" x14ac:dyDescent="0.25">
      <c r="A3328">
        <v>-111.97478700000001</v>
      </c>
      <c r="B3328">
        <v>33.068725999999998</v>
      </c>
      <c r="C3328">
        <v>2.5249999999999999</v>
      </c>
      <c r="D3328">
        <v>2.2624</v>
      </c>
      <c r="E3328">
        <v>878768004</v>
      </c>
      <c r="F3328">
        <v>120</v>
      </c>
    </row>
    <row r="3329" spans="1:6" x14ac:dyDescent="0.25">
      <c r="A3329">
        <v>-111.974788</v>
      </c>
      <c r="B3329">
        <v>33.068717999999997</v>
      </c>
      <c r="C3329">
        <v>1.665</v>
      </c>
      <c r="D3329">
        <v>1.4918400000000001</v>
      </c>
      <c r="E3329">
        <v>878768006</v>
      </c>
      <c r="F3329">
        <v>120</v>
      </c>
    </row>
    <row r="3330" spans="1:6" x14ac:dyDescent="0.25">
      <c r="A3330">
        <v>-111.974788</v>
      </c>
      <c r="B3330">
        <v>33.068710000000003</v>
      </c>
      <c r="C3330">
        <v>1.7350000000000001</v>
      </c>
      <c r="D3330">
        <v>1.5545599999999999</v>
      </c>
      <c r="E3330">
        <v>878768008</v>
      </c>
      <c r="F3330">
        <v>120</v>
      </c>
    </row>
    <row r="3331" spans="1:6" x14ac:dyDescent="0.25">
      <c r="A3331">
        <v>-111.97478700000001</v>
      </c>
      <c r="B3331">
        <v>33.068702999999999</v>
      </c>
      <c r="C3331">
        <v>2.7450000000000001</v>
      </c>
      <c r="D3331">
        <v>2.4595199999999999</v>
      </c>
      <c r="E3331">
        <v>878768010</v>
      </c>
      <c r="F3331">
        <v>120</v>
      </c>
    </row>
    <row r="3332" spans="1:6" x14ac:dyDescent="0.25">
      <c r="A3332">
        <v>-111.974788</v>
      </c>
      <c r="B3332">
        <v>33.068694999999998</v>
      </c>
      <c r="C3332">
        <v>1.885</v>
      </c>
      <c r="D3332">
        <v>1.68896</v>
      </c>
      <c r="E3332">
        <v>878768012</v>
      </c>
      <c r="F3332">
        <v>120</v>
      </c>
    </row>
    <row r="3333" spans="1:6" x14ac:dyDescent="0.25">
      <c r="A3333">
        <v>-111.974788</v>
      </c>
      <c r="B3333">
        <v>33.068686999999997</v>
      </c>
      <c r="C3333">
        <v>2.1549999999999998</v>
      </c>
      <c r="D3333">
        <v>1.9308799999999999</v>
      </c>
      <c r="E3333">
        <v>878768014</v>
      </c>
      <c r="F3333">
        <v>120</v>
      </c>
    </row>
    <row r="3334" spans="1:6" x14ac:dyDescent="0.25">
      <c r="A3334">
        <v>-111.974788</v>
      </c>
      <c r="B3334">
        <v>33.068679000000003</v>
      </c>
      <c r="C3334">
        <v>1.7450000000000001</v>
      </c>
      <c r="D3334">
        <v>1.56352</v>
      </c>
      <c r="E3334">
        <v>878768016</v>
      </c>
      <c r="F3334">
        <v>120</v>
      </c>
    </row>
    <row r="3335" spans="1:6" x14ac:dyDescent="0.25">
      <c r="A3335">
        <v>-111.974788</v>
      </c>
      <c r="B3335">
        <v>33.068671000000002</v>
      </c>
      <c r="C3335">
        <v>2.2250000000000001</v>
      </c>
      <c r="D3335">
        <v>1.9936</v>
      </c>
      <c r="E3335">
        <v>878768018</v>
      </c>
      <c r="F3335">
        <v>120</v>
      </c>
    </row>
    <row r="3336" spans="1:6" x14ac:dyDescent="0.25">
      <c r="A3336">
        <v>-111.974788</v>
      </c>
      <c r="B3336">
        <v>33.068663000000001</v>
      </c>
      <c r="C3336">
        <v>2.25</v>
      </c>
      <c r="D3336">
        <v>2.016</v>
      </c>
      <c r="E3336">
        <v>878768020</v>
      </c>
      <c r="F3336">
        <v>120</v>
      </c>
    </row>
    <row r="3337" spans="1:6" x14ac:dyDescent="0.25">
      <c r="A3337">
        <v>-111.974788</v>
      </c>
      <c r="B3337">
        <v>33.068655999999997</v>
      </c>
      <c r="C3337">
        <v>2.17</v>
      </c>
      <c r="D3337">
        <v>1.94432</v>
      </c>
      <c r="E3337">
        <v>878768022</v>
      </c>
      <c r="F3337">
        <v>120</v>
      </c>
    </row>
    <row r="3338" spans="1:6" x14ac:dyDescent="0.25">
      <c r="A3338">
        <v>-111.974788</v>
      </c>
      <c r="B3338">
        <v>33.068649000000001</v>
      </c>
      <c r="C3338">
        <v>2.3149999999999999</v>
      </c>
      <c r="D3338">
        <v>2.0742400000000001</v>
      </c>
      <c r="E3338">
        <v>878768024</v>
      </c>
      <c r="F3338">
        <v>120</v>
      </c>
    </row>
    <row r="3339" spans="1:6" x14ac:dyDescent="0.25">
      <c r="A3339">
        <v>-111.974788</v>
      </c>
      <c r="B3339">
        <v>33.068641</v>
      </c>
      <c r="C3339">
        <v>3.15</v>
      </c>
      <c r="D3339">
        <v>2.8224</v>
      </c>
      <c r="E3339">
        <v>878768026</v>
      </c>
      <c r="F3339">
        <v>120</v>
      </c>
    </row>
    <row r="3340" spans="1:6" x14ac:dyDescent="0.25">
      <c r="A3340">
        <v>-111.974788</v>
      </c>
      <c r="B3340">
        <v>33.068635</v>
      </c>
      <c r="C3340">
        <v>2.6549999999999998</v>
      </c>
      <c r="D3340">
        <v>2.3788800000000001</v>
      </c>
      <c r="E3340">
        <v>878768028</v>
      </c>
      <c r="F3340">
        <v>120</v>
      </c>
    </row>
    <row r="3341" spans="1:6" x14ac:dyDescent="0.25">
      <c r="A3341">
        <v>-111.97478700000001</v>
      </c>
      <c r="B3341">
        <v>33.068626000000002</v>
      </c>
      <c r="C3341">
        <v>2.645</v>
      </c>
      <c r="D3341">
        <v>2.36992</v>
      </c>
      <c r="E3341">
        <v>878768030</v>
      </c>
      <c r="F3341">
        <v>120</v>
      </c>
    </row>
    <row r="3342" spans="1:6" x14ac:dyDescent="0.25">
      <c r="A3342">
        <v>-111.974788</v>
      </c>
      <c r="B3342">
        <v>33.068618000000001</v>
      </c>
      <c r="C3342">
        <v>1.365</v>
      </c>
      <c r="D3342">
        <v>1.2230399999999999</v>
      </c>
      <c r="E3342">
        <v>878768032</v>
      </c>
      <c r="F3342">
        <v>120</v>
      </c>
    </row>
    <row r="3343" spans="1:6" x14ac:dyDescent="0.25">
      <c r="A3343">
        <v>-111.974788</v>
      </c>
      <c r="B3343">
        <v>33.068618000000001</v>
      </c>
      <c r="C3343">
        <v>0.01</v>
      </c>
      <c r="D3343">
        <v>8.9599999999999992E-3</v>
      </c>
      <c r="E3343">
        <v>878768034</v>
      </c>
      <c r="F3343">
        <v>120</v>
      </c>
    </row>
    <row r="3344" spans="1:6" x14ac:dyDescent="0.25">
      <c r="A3344">
        <v>-111.974788</v>
      </c>
      <c r="B3344">
        <v>33.068618999999998</v>
      </c>
      <c r="C3344">
        <v>5.0000000000000001E-3</v>
      </c>
      <c r="D3344">
        <v>4.4799999999999996E-3</v>
      </c>
      <c r="E3344">
        <v>878768038</v>
      </c>
      <c r="F3344">
        <v>120</v>
      </c>
    </row>
    <row r="3345" spans="1:6" x14ac:dyDescent="0.25">
      <c r="A3345">
        <v>-111.974788</v>
      </c>
      <c r="B3345">
        <v>33.068618999999998</v>
      </c>
      <c r="C3345">
        <v>5.0000000000000001E-3</v>
      </c>
      <c r="D3345">
        <v>4.4799999999999996E-3</v>
      </c>
      <c r="E3345">
        <v>878768040</v>
      </c>
      <c r="F3345">
        <v>120</v>
      </c>
    </row>
    <row r="3346" spans="1:6" x14ac:dyDescent="0.25">
      <c r="A3346">
        <v>-111.974788</v>
      </c>
      <c r="B3346">
        <v>33.068613999999997</v>
      </c>
      <c r="C3346">
        <v>0.01</v>
      </c>
      <c r="D3346">
        <v>8.9599999999999992E-3</v>
      </c>
      <c r="E3346">
        <v>878768048</v>
      </c>
      <c r="F3346">
        <v>120</v>
      </c>
    </row>
    <row r="3347" spans="1:6" x14ac:dyDescent="0.25">
      <c r="A3347">
        <v>-111.97478700000001</v>
      </c>
      <c r="B3347">
        <v>33.068604999999998</v>
      </c>
      <c r="C3347">
        <v>2.5000000000000001E-2</v>
      </c>
      <c r="D3347">
        <v>2.24E-2</v>
      </c>
      <c r="E3347">
        <v>878768050</v>
      </c>
      <c r="F3347">
        <v>120</v>
      </c>
    </row>
    <row r="3348" spans="1:6" x14ac:dyDescent="0.25">
      <c r="A3348">
        <v>-111.97478599999999</v>
      </c>
      <c r="B3348">
        <v>33.068598000000001</v>
      </c>
      <c r="C3348">
        <v>0.85</v>
      </c>
      <c r="D3348">
        <v>0.76160000000000005</v>
      </c>
      <c r="E3348">
        <v>878768052</v>
      </c>
      <c r="F3348">
        <v>120</v>
      </c>
    </row>
    <row r="3349" spans="1:6" x14ac:dyDescent="0.25">
      <c r="A3349">
        <v>-111.97478599999999</v>
      </c>
      <c r="B3349">
        <v>33.06859</v>
      </c>
      <c r="C3349">
        <v>3.4350000000000001</v>
      </c>
      <c r="D3349">
        <v>3.0777600000000001</v>
      </c>
      <c r="E3349">
        <v>878768054</v>
      </c>
      <c r="F3349">
        <v>120</v>
      </c>
    </row>
    <row r="3350" spans="1:6" x14ac:dyDescent="0.25">
      <c r="A3350">
        <v>-111.974788</v>
      </c>
      <c r="B3350">
        <v>33.068582999999997</v>
      </c>
      <c r="C3350">
        <v>3.605</v>
      </c>
      <c r="D3350">
        <v>3.2300800000000001</v>
      </c>
      <c r="E3350">
        <v>878768056</v>
      </c>
      <c r="F3350">
        <v>120</v>
      </c>
    </row>
    <row r="3351" spans="1:6" x14ac:dyDescent="0.25">
      <c r="A3351">
        <v>-111.974789</v>
      </c>
      <c r="B3351">
        <v>33.068576</v>
      </c>
      <c r="C3351">
        <v>2.605</v>
      </c>
      <c r="D3351">
        <v>2.3340800000000002</v>
      </c>
      <c r="E3351">
        <v>878768058</v>
      </c>
      <c r="F3351">
        <v>120</v>
      </c>
    </row>
    <row r="3352" spans="1:6" x14ac:dyDescent="0.25">
      <c r="A3352">
        <v>-111.97479</v>
      </c>
      <c r="B3352">
        <v>33.068567999999999</v>
      </c>
      <c r="C3352">
        <v>1.7</v>
      </c>
      <c r="D3352">
        <v>1.5232000000000001</v>
      </c>
      <c r="E3352">
        <v>878768060</v>
      </c>
      <c r="F3352">
        <v>120</v>
      </c>
    </row>
    <row r="3353" spans="1:6" x14ac:dyDescent="0.25">
      <c r="A3353">
        <v>-111.97479</v>
      </c>
      <c r="B3353">
        <v>33.068559999999998</v>
      </c>
      <c r="C3353">
        <v>2.1549999999999998</v>
      </c>
      <c r="D3353">
        <v>1.9308799999999999</v>
      </c>
      <c r="E3353">
        <v>878768062</v>
      </c>
      <c r="F3353">
        <v>120</v>
      </c>
    </row>
    <row r="3354" spans="1:6" x14ac:dyDescent="0.25">
      <c r="A3354">
        <v>-111.974789</v>
      </c>
      <c r="B3354">
        <v>33.068551999999997</v>
      </c>
      <c r="C3354">
        <v>2.2799999999999998</v>
      </c>
      <c r="D3354">
        <v>2.0428799999999998</v>
      </c>
      <c r="E3354">
        <v>878768064</v>
      </c>
      <c r="F3354">
        <v>120</v>
      </c>
    </row>
    <row r="3355" spans="1:6" x14ac:dyDescent="0.25">
      <c r="A3355">
        <v>-111.974789</v>
      </c>
      <c r="B3355">
        <v>33.068544000000003</v>
      </c>
      <c r="C3355">
        <v>2.4</v>
      </c>
      <c r="D3355">
        <v>2.1503999999999999</v>
      </c>
      <c r="E3355">
        <v>878768066</v>
      </c>
      <c r="F3355">
        <v>120</v>
      </c>
    </row>
    <row r="3356" spans="1:6" x14ac:dyDescent="0.25">
      <c r="A3356">
        <v>-111.974789</v>
      </c>
      <c r="B3356">
        <v>33.068536000000002</v>
      </c>
      <c r="C3356">
        <v>2.2850000000000001</v>
      </c>
      <c r="D3356">
        <v>2.0473599999999998</v>
      </c>
      <c r="E3356">
        <v>878768068</v>
      </c>
      <c r="F3356">
        <v>120</v>
      </c>
    </row>
    <row r="3357" spans="1:6" x14ac:dyDescent="0.25">
      <c r="A3357">
        <v>-111.974789</v>
      </c>
      <c r="B3357">
        <v>33.068528999999998</v>
      </c>
      <c r="C3357">
        <v>1.4950000000000001</v>
      </c>
      <c r="D3357">
        <v>1.33952</v>
      </c>
      <c r="E3357">
        <v>878768070</v>
      </c>
      <c r="F3357">
        <v>120</v>
      </c>
    </row>
    <row r="3358" spans="1:6" x14ac:dyDescent="0.25">
      <c r="A3358">
        <v>-111.97479</v>
      </c>
      <c r="B3358">
        <v>33.068520999999997</v>
      </c>
      <c r="C3358">
        <v>1.9650000000000001</v>
      </c>
      <c r="D3358">
        <v>1.76064</v>
      </c>
      <c r="E3358">
        <v>878768072</v>
      </c>
      <c r="F3358">
        <v>120</v>
      </c>
    </row>
    <row r="3359" spans="1:6" x14ac:dyDescent="0.25">
      <c r="A3359">
        <v>-111.974789</v>
      </c>
      <c r="B3359">
        <v>33.068514</v>
      </c>
      <c r="C3359">
        <v>1.86</v>
      </c>
      <c r="D3359">
        <v>1.66656</v>
      </c>
      <c r="E3359">
        <v>878768074</v>
      </c>
      <c r="F3359">
        <v>120</v>
      </c>
    </row>
    <row r="3360" spans="1:6" x14ac:dyDescent="0.25">
      <c r="A3360">
        <v>-111.974789</v>
      </c>
      <c r="B3360">
        <v>33.068505999999999</v>
      </c>
      <c r="C3360">
        <v>1.8</v>
      </c>
      <c r="D3360">
        <v>1.6128</v>
      </c>
      <c r="E3360">
        <v>878768076</v>
      </c>
      <c r="F3360">
        <v>120</v>
      </c>
    </row>
    <row r="3361" spans="1:6" x14ac:dyDescent="0.25">
      <c r="A3361">
        <v>-111.974789</v>
      </c>
      <c r="B3361">
        <v>33.068497999999998</v>
      </c>
      <c r="C3361">
        <v>1.79</v>
      </c>
      <c r="D3361">
        <v>1.6038399999999999</v>
      </c>
      <c r="E3361">
        <v>878768078</v>
      </c>
      <c r="F3361">
        <v>120</v>
      </c>
    </row>
    <row r="3362" spans="1:6" x14ac:dyDescent="0.25">
      <c r="A3362">
        <v>-111.97479</v>
      </c>
      <c r="B3362">
        <v>33.068489999999997</v>
      </c>
      <c r="C3362">
        <v>1.575</v>
      </c>
      <c r="D3362">
        <v>1.4112</v>
      </c>
      <c r="E3362">
        <v>878768080</v>
      </c>
      <c r="F3362">
        <v>120</v>
      </c>
    </row>
    <row r="3363" spans="1:6" x14ac:dyDescent="0.25">
      <c r="A3363">
        <v>-111.97479</v>
      </c>
      <c r="B3363">
        <v>33.068482000000003</v>
      </c>
      <c r="C3363">
        <v>1.99</v>
      </c>
      <c r="D3363">
        <v>1.78304</v>
      </c>
      <c r="E3363">
        <v>878768082</v>
      </c>
      <c r="F3363">
        <v>120</v>
      </c>
    </row>
    <row r="3364" spans="1:6" x14ac:dyDescent="0.25">
      <c r="A3364">
        <v>-111.97479</v>
      </c>
      <c r="B3364">
        <v>33.068474000000002</v>
      </c>
      <c r="C3364">
        <v>1.82</v>
      </c>
      <c r="D3364">
        <v>1.6307199999999999</v>
      </c>
      <c r="E3364">
        <v>878768084</v>
      </c>
      <c r="F3364">
        <v>120</v>
      </c>
    </row>
    <row r="3365" spans="1:6" x14ac:dyDescent="0.25">
      <c r="A3365">
        <v>-111.97479</v>
      </c>
      <c r="B3365">
        <v>33.068466000000001</v>
      </c>
      <c r="C3365">
        <v>1.7250000000000001</v>
      </c>
      <c r="D3365">
        <v>1.5456000000000001</v>
      </c>
      <c r="E3365">
        <v>878768086</v>
      </c>
      <c r="F3365">
        <v>120</v>
      </c>
    </row>
    <row r="3366" spans="1:6" x14ac:dyDescent="0.25">
      <c r="A3366">
        <v>-111.97479</v>
      </c>
      <c r="B3366">
        <v>33.068458999999997</v>
      </c>
      <c r="C3366">
        <v>1.6850000000000001</v>
      </c>
      <c r="D3366">
        <v>1.50976</v>
      </c>
      <c r="E3366">
        <v>878768088</v>
      </c>
      <c r="F3366">
        <v>120</v>
      </c>
    </row>
    <row r="3367" spans="1:6" x14ac:dyDescent="0.25">
      <c r="A3367">
        <v>-111.974789</v>
      </c>
      <c r="B3367">
        <v>33.068451000000003</v>
      </c>
      <c r="C3367">
        <v>1.29</v>
      </c>
      <c r="D3367">
        <v>1.15584</v>
      </c>
      <c r="E3367">
        <v>878768090</v>
      </c>
      <c r="F3367">
        <v>120</v>
      </c>
    </row>
    <row r="3368" spans="1:6" x14ac:dyDescent="0.25">
      <c r="A3368">
        <v>-111.974788</v>
      </c>
      <c r="B3368">
        <v>33.068443000000002</v>
      </c>
      <c r="C3368">
        <v>9.5000000000000001E-2</v>
      </c>
      <c r="D3368">
        <v>8.5120000000000001E-2</v>
      </c>
      <c r="E3368">
        <v>878768092</v>
      </c>
      <c r="F3368">
        <v>120</v>
      </c>
    </row>
    <row r="3369" spans="1:6" x14ac:dyDescent="0.25">
      <c r="A3369">
        <v>-111.97478700000001</v>
      </c>
      <c r="B3369">
        <v>33.068435000000001</v>
      </c>
      <c r="C3369">
        <v>0.02</v>
      </c>
      <c r="D3369">
        <v>1.7919999999999998E-2</v>
      </c>
      <c r="E3369">
        <v>878768094</v>
      </c>
      <c r="F3369">
        <v>120</v>
      </c>
    </row>
    <row r="3370" spans="1:6" x14ac:dyDescent="0.25">
      <c r="A3370">
        <v>-111.97478599999999</v>
      </c>
      <c r="B3370">
        <v>33.068427</v>
      </c>
      <c r="C3370">
        <v>1.4999999999999999E-2</v>
      </c>
      <c r="D3370">
        <v>1.3440000000000001E-2</v>
      </c>
      <c r="E3370">
        <v>878768096</v>
      </c>
      <c r="F3370">
        <v>120</v>
      </c>
    </row>
    <row r="3371" spans="1:6" x14ac:dyDescent="0.25">
      <c r="A3371">
        <v>-111.974785</v>
      </c>
      <c r="B3371">
        <v>33.068418000000001</v>
      </c>
      <c r="C3371">
        <v>0.02</v>
      </c>
      <c r="D3371">
        <v>1.7919999999999998E-2</v>
      </c>
      <c r="E3371">
        <v>878768098</v>
      </c>
      <c r="F3371">
        <v>120</v>
      </c>
    </row>
    <row r="3372" spans="1:6" x14ac:dyDescent="0.25">
      <c r="A3372">
        <v>-111.974785</v>
      </c>
      <c r="B3372">
        <v>33.068409000000003</v>
      </c>
      <c r="C3372">
        <v>2.5000000000000001E-2</v>
      </c>
      <c r="D3372">
        <v>2.24E-2</v>
      </c>
      <c r="E3372">
        <v>878768100</v>
      </c>
      <c r="F3372">
        <v>120</v>
      </c>
    </row>
    <row r="3373" spans="1:6" x14ac:dyDescent="0.25">
      <c r="A3373">
        <v>-111.97478599999999</v>
      </c>
      <c r="B3373">
        <v>33.068399999999997</v>
      </c>
      <c r="C3373">
        <v>0.03</v>
      </c>
      <c r="D3373">
        <v>2.6880000000000001E-2</v>
      </c>
      <c r="E3373">
        <v>878768102</v>
      </c>
      <c r="F3373">
        <v>120</v>
      </c>
    </row>
    <row r="3374" spans="1:6" x14ac:dyDescent="0.25">
      <c r="A3374">
        <v>-111.974788</v>
      </c>
      <c r="B3374">
        <v>33.068390000000001</v>
      </c>
      <c r="C3374">
        <v>0.01</v>
      </c>
      <c r="D3374">
        <v>8.9599999999999992E-3</v>
      </c>
      <c r="E3374">
        <v>878768104</v>
      </c>
      <c r="F3374">
        <v>120</v>
      </c>
    </row>
    <row r="3375" spans="1:6" x14ac:dyDescent="0.25">
      <c r="A3375">
        <v>-111.974788</v>
      </c>
      <c r="B3375">
        <v>33.068381000000002</v>
      </c>
      <c r="C3375">
        <v>0.02</v>
      </c>
      <c r="D3375">
        <v>1.7919999999999998E-2</v>
      </c>
      <c r="E3375">
        <v>878768106</v>
      </c>
      <c r="F3375">
        <v>120</v>
      </c>
    </row>
    <row r="3376" spans="1:6" x14ac:dyDescent="0.25">
      <c r="A3376">
        <v>-111.974788</v>
      </c>
      <c r="B3376">
        <v>33.068373999999999</v>
      </c>
      <c r="C3376">
        <v>5.0000000000000001E-3</v>
      </c>
      <c r="D3376">
        <v>4.4799999999999996E-3</v>
      </c>
      <c r="E3376">
        <v>878768108</v>
      </c>
      <c r="F3376">
        <v>120</v>
      </c>
    </row>
    <row r="3377" spans="1:6" x14ac:dyDescent="0.25">
      <c r="A3377">
        <v>-111.974788</v>
      </c>
      <c r="B3377">
        <v>33.068367000000002</v>
      </c>
      <c r="C3377">
        <v>0.06</v>
      </c>
      <c r="D3377">
        <v>5.3760000000000002E-2</v>
      </c>
      <c r="E3377">
        <v>878768110</v>
      </c>
      <c r="F3377">
        <v>120</v>
      </c>
    </row>
    <row r="3378" spans="1:6" x14ac:dyDescent="0.25">
      <c r="A3378">
        <v>-111.974788</v>
      </c>
      <c r="B3378">
        <v>33.068359999999998</v>
      </c>
      <c r="C3378">
        <v>0.13500000000000001</v>
      </c>
      <c r="D3378">
        <v>0.12096</v>
      </c>
      <c r="E3378">
        <v>878768112</v>
      </c>
      <c r="F3378">
        <v>120</v>
      </c>
    </row>
    <row r="3379" spans="1:6" x14ac:dyDescent="0.25">
      <c r="A3379">
        <v>-111.974788</v>
      </c>
      <c r="B3379">
        <v>33.068353000000002</v>
      </c>
      <c r="C3379">
        <v>0.92500000000000004</v>
      </c>
      <c r="D3379">
        <v>0.82879999999999998</v>
      </c>
      <c r="E3379">
        <v>878768114</v>
      </c>
      <c r="F3379">
        <v>120</v>
      </c>
    </row>
    <row r="3380" spans="1:6" x14ac:dyDescent="0.25">
      <c r="A3380">
        <v>-111.974789</v>
      </c>
      <c r="B3380">
        <v>33.068344000000003</v>
      </c>
      <c r="C3380">
        <v>1.02</v>
      </c>
      <c r="D3380">
        <v>0.91391999999999995</v>
      </c>
      <c r="E3380">
        <v>878768116</v>
      </c>
      <c r="F3380">
        <v>120</v>
      </c>
    </row>
    <row r="3381" spans="1:6" x14ac:dyDescent="0.25">
      <c r="A3381">
        <v>-111.974791</v>
      </c>
      <c r="B3381">
        <v>33.068336000000002</v>
      </c>
      <c r="C3381">
        <v>1.07</v>
      </c>
      <c r="D3381">
        <v>0.95872000000000002</v>
      </c>
      <c r="E3381">
        <v>878768118</v>
      </c>
      <c r="F3381">
        <v>120</v>
      </c>
    </row>
    <row r="3382" spans="1:6" x14ac:dyDescent="0.25">
      <c r="A3382">
        <v>-111.97479</v>
      </c>
      <c r="B3382">
        <v>33.068328999999999</v>
      </c>
      <c r="C3382">
        <v>0.98499999999999999</v>
      </c>
      <c r="D3382">
        <v>0.88256000000000001</v>
      </c>
      <c r="E3382">
        <v>878768120</v>
      </c>
      <c r="F3382">
        <v>120</v>
      </c>
    </row>
    <row r="3383" spans="1:6" x14ac:dyDescent="0.25">
      <c r="A3383">
        <v>-111.97479</v>
      </c>
      <c r="B3383">
        <v>33.06832</v>
      </c>
      <c r="C3383">
        <v>0.88</v>
      </c>
      <c r="D3383">
        <v>0.78847999999999996</v>
      </c>
      <c r="E3383">
        <v>878768122</v>
      </c>
      <c r="F3383">
        <v>120</v>
      </c>
    </row>
    <row r="3384" spans="1:6" x14ac:dyDescent="0.25">
      <c r="A3384">
        <v>-111.97479</v>
      </c>
      <c r="B3384">
        <v>33.068314000000001</v>
      </c>
      <c r="C3384">
        <v>0.745</v>
      </c>
      <c r="D3384">
        <v>0.66752</v>
      </c>
      <c r="E3384">
        <v>878768124</v>
      </c>
      <c r="F3384">
        <v>120</v>
      </c>
    </row>
    <row r="3385" spans="1:6" x14ac:dyDescent="0.25">
      <c r="A3385">
        <v>-111.974791</v>
      </c>
      <c r="B3385">
        <v>33.068306</v>
      </c>
      <c r="C3385">
        <v>0.68</v>
      </c>
      <c r="D3385">
        <v>0.60928000000000004</v>
      </c>
      <c r="E3385">
        <v>878768126</v>
      </c>
      <c r="F3385">
        <v>120</v>
      </c>
    </row>
    <row r="3386" spans="1:6" x14ac:dyDescent="0.25">
      <c r="A3386">
        <v>-111.97479300000001</v>
      </c>
      <c r="B3386">
        <v>33.068297999999999</v>
      </c>
      <c r="C3386">
        <v>0.35</v>
      </c>
      <c r="D3386">
        <v>0.31359999999999999</v>
      </c>
      <c r="E3386">
        <v>878768128</v>
      </c>
      <c r="F3386">
        <v>120</v>
      </c>
    </row>
    <row r="3387" spans="1:6" x14ac:dyDescent="0.25">
      <c r="A3387">
        <v>-111.97479300000001</v>
      </c>
      <c r="B3387">
        <v>33.068289999999998</v>
      </c>
      <c r="C3387">
        <v>0.6</v>
      </c>
      <c r="D3387">
        <v>0.53759999999999997</v>
      </c>
      <c r="E3387">
        <v>878768130</v>
      </c>
      <c r="F3387">
        <v>120</v>
      </c>
    </row>
    <row r="3388" spans="1:6" x14ac:dyDescent="0.25">
      <c r="A3388">
        <v>-111.97479300000001</v>
      </c>
      <c r="B3388">
        <v>33.068283000000001</v>
      </c>
      <c r="C3388">
        <v>0.435</v>
      </c>
      <c r="D3388">
        <v>0.38976</v>
      </c>
      <c r="E3388">
        <v>878768132</v>
      </c>
      <c r="F3388">
        <v>120</v>
      </c>
    </row>
    <row r="3389" spans="1:6" x14ac:dyDescent="0.25">
      <c r="A3389">
        <v>-111.97479199999999</v>
      </c>
      <c r="B3389">
        <v>33.068275</v>
      </c>
      <c r="C3389">
        <v>0.64</v>
      </c>
      <c r="D3389">
        <v>0.57343999999999995</v>
      </c>
      <c r="E3389">
        <v>878768134</v>
      </c>
      <c r="F3389">
        <v>120</v>
      </c>
    </row>
    <row r="3390" spans="1:6" x14ac:dyDescent="0.25">
      <c r="A3390">
        <v>-111.974791</v>
      </c>
      <c r="B3390">
        <v>33.068268000000003</v>
      </c>
      <c r="C3390">
        <v>0.66</v>
      </c>
      <c r="D3390">
        <v>0.59136</v>
      </c>
      <c r="E3390">
        <v>878768136</v>
      </c>
      <c r="F3390">
        <v>120</v>
      </c>
    </row>
    <row r="3391" spans="1:6" x14ac:dyDescent="0.25">
      <c r="A3391">
        <v>-111.97479</v>
      </c>
      <c r="B3391">
        <v>33.068261</v>
      </c>
      <c r="C3391">
        <v>0.83499999999999996</v>
      </c>
      <c r="D3391">
        <v>0.74816000000000005</v>
      </c>
      <c r="E3391">
        <v>878768138</v>
      </c>
      <c r="F3391">
        <v>120</v>
      </c>
    </row>
    <row r="3392" spans="1:6" x14ac:dyDescent="0.25">
      <c r="A3392">
        <v>-111.97479</v>
      </c>
      <c r="B3392">
        <v>33.068252999999999</v>
      </c>
      <c r="C3392">
        <v>0.99</v>
      </c>
      <c r="D3392">
        <v>0.88704000000000005</v>
      </c>
      <c r="E3392">
        <v>878768140</v>
      </c>
      <c r="F3392">
        <v>120</v>
      </c>
    </row>
    <row r="3393" spans="1:6" x14ac:dyDescent="0.25">
      <c r="A3393">
        <v>-111.974791</v>
      </c>
      <c r="B3393">
        <v>33.068246000000002</v>
      </c>
      <c r="C3393">
        <v>1.18</v>
      </c>
      <c r="D3393">
        <v>1.05728</v>
      </c>
      <c r="E3393">
        <v>878768142</v>
      </c>
      <c r="F3393">
        <v>120</v>
      </c>
    </row>
    <row r="3394" spans="1:6" x14ac:dyDescent="0.25">
      <c r="A3394">
        <v>-111.974791</v>
      </c>
      <c r="B3394">
        <v>33.068238999999998</v>
      </c>
      <c r="C3394">
        <v>0.91</v>
      </c>
      <c r="D3394">
        <v>0.81535999999999997</v>
      </c>
      <c r="E3394">
        <v>878768144</v>
      </c>
      <c r="F3394">
        <v>120</v>
      </c>
    </row>
    <row r="3395" spans="1:6" x14ac:dyDescent="0.25">
      <c r="A3395">
        <v>-111.97479</v>
      </c>
      <c r="B3395">
        <v>33.06823</v>
      </c>
      <c r="C3395">
        <v>1.345</v>
      </c>
      <c r="D3395">
        <v>1.20512</v>
      </c>
      <c r="E3395">
        <v>878768146</v>
      </c>
      <c r="F3395">
        <v>120</v>
      </c>
    </row>
    <row r="3396" spans="1:6" x14ac:dyDescent="0.25">
      <c r="A3396">
        <v>-111.974791</v>
      </c>
      <c r="B3396">
        <v>33.068223000000003</v>
      </c>
      <c r="C3396">
        <v>1.03</v>
      </c>
      <c r="D3396">
        <v>0.92288000000000003</v>
      </c>
      <c r="E3396">
        <v>878768148</v>
      </c>
      <c r="F3396">
        <v>120</v>
      </c>
    </row>
    <row r="3397" spans="1:6" x14ac:dyDescent="0.25">
      <c r="A3397">
        <v>-111.97479</v>
      </c>
      <c r="B3397">
        <v>33.068215000000002</v>
      </c>
      <c r="C3397">
        <v>1.67</v>
      </c>
      <c r="D3397">
        <v>1.4963200000000001</v>
      </c>
      <c r="E3397">
        <v>878768150</v>
      </c>
      <c r="F3397">
        <v>120</v>
      </c>
    </row>
    <row r="3398" spans="1:6" x14ac:dyDescent="0.25">
      <c r="A3398">
        <v>-111.974791</v>
      </c>
      <c r="B3398">
        <v>33.068207000000001</v>
      </c>
      <c r="C3398">
        <v>1.27</v>
      </c>
      <c r="D3398">
        <v>1.13792</v>
      </c>
      <c r="E3398">
        <v>878768152</v>
      </c>
      <c r="F3398">
        <v>120</v>
      </c>
    </row>
    <row r="3399" spans="1:6" x14ac:dyDescent="0.25">
      <c r="A3399">
        <v>-111.974791</v>
      </c>
      <c r="B3399">
        <v>33.068204999999999</v>
      </c>
      <c r="C3399">
        <v>3.5000000000000003E-2</v>
      </c>
      <c r="D3399">
        <v>3.1359999999999999E-2</v>
      </c>
      <c r="E3399">
        <v>878768154</v>
      </c>
      <c r="F3399">
        <v>120</v>
      </c>
    </row>
    <row r="3400" spans="1:6" x14ac:dyDescent="0.25">
      <c r="A3400">
        <v>-111.97479199999999</v>
      </c>
      <c r="B3400">
        <v>33.068202999999997</v>
      </c>
      <c r="C3400">
        <v>5.0000000000000001E-3</v>
      </c>
      <c r="D3400">
        <v>4.4799999999999996E-3</v>
      </c>
      <c r="E3400">
        <v>878768162</v>
      </c>
      <c r="F3400">
        <v>120</v>
      </c>
    </row>
    <row r="3401" spans="1:6" x14ac:dyDescent="0.25">
      <c r="A3401">
        <v>-111.97479199999999</v>
      </c>
      <c r="B3401">
        <v>33.068195000000003</v>
      </c>
      <c r="C3401">
        <v>0.06</v>
      </c>
      <c r="D3401">
        <v>5.3760000000000002E-2</v>
      </c>
      <c r="E3401">
        <v>878768164</v>
      </c>
      <c r="F3401">
        <v>120</v>
      </c>
    </row>
    <row r="3402" spans="1:6" x14ac:dyDescent="0.25">
      <c r="A3402">
        <v>-111.97479</v>
      </c>
      <c r="B3402">
        <v>33.068188999999997</v>
      </c>
      <c r="C3402">
        <v>0.31</v>
      </c>
      <c r="D3402">
        <v>0.27776000000000001</v>
      </c>
      <c r="E3402">
        <v>878768166</v>
      </c>
      <c r="F3402">
        <v>120</v>
      </c>
    </row>
    <row r="3403" spans="1:6" x14ac:dyDescent="0.25">
      <c r="A3403">
        <v>-111.97479</v>
      </c>
      <c r="B3403">
        <v>33.068181000000003</v>
      </c>
      <c r="C3403">
        <v>0.68500000000000005</v>
      </c>
      <c r="D3403">
        <v>0.61375999999999997</v>
      </c>
      <c r="E3403">
        <v>878768168</v>
      </c>
      <c r="F3403">
        <v>120</v>
      </c>
    </row>
    <row r="3404" spans="1:6" x14ac:dyDescent="0.25">
      <c r="A3404">
        <v>-111.974791</v>
      </c>
      <c r="B3404">
        <v>33.068171999999997</v>
      </c>
      <c r="C3404">
        <v>0.8</v>
      </c>
      <c r="D3404">
        <v>0.71679999999999999</v>
      </c>
      <c r="E3404">
        <v>878768170</v>
      </c>
      <c r="F3404">
        <v>120</v>
      </c>
    </row>
    <row r="3405" spans="1:6" x14ac:dyDescent="0.25">
      <c r="A3405">
        <v>-111.97479300000001</v>
      </c>
      <c r="B3405">
        <v>33.068165</v>
      </c>
      <c r="C3405">
        <v>1.4750000000000001</v>
      </c>
      <c r="D3405">
        <v>1.3216000000000001</v>
      </c>
      <c r="E3405">
        <v>878768172</v>
      </c>
      <c r="F3405">
        <v>120</v>
      </c>
    </row>
    <row r="3406" spans="1:6" x14ac:dyDescent="0.25">
      <c r="A3406">
        <v>-111.97479300000001</v>
      </c>
      <c r="B3406">
        <v>33.068156000000002</v>
      </c>
      <c r="C3406">
        <v>1.86</v>
      </c>
      <c r="D3406">
        <v>1.66656</v>
      </c>
      <c r="E3406">
        <v>878768174</v>
      </c>
      <c r="F3406">
        <v>120</v>
      </c>
    </row>
    <row r="3407" spans="1:6" x14ac:dyDescent="0.25">
      <c r="A3407">
        <v>-111.97479300000001</v>
      </c>
      <c r="B3407">
        <v>33.068148000000001</v>
      </c>
      <c r="C3407">
        <v>2.0249999999999999</v>
      </c>
      <c r="D3407">
        <v>1.8144</v>
      </c>
      <c r="E3407">
        <v>878768176</v>
      </c>
      <c r="F3407">
        <v>120</v>
      </c>
    </row>
    <row r="3408" spans="1:6" x14ac:dyDescent="0.25">
      <c r="A3408">
        <v>-111.97479300000001</v>
      </c>
      <c r="B3408">
        <v>33.06814</v>
      </c>
      <c r="C3408">
        <v>1.61</v>
      </c>
      <c r="D3408">
        <v>1.4425600000000001</v>
      </c>
      <c r="E3408">
        <v>878768178</v>
      </c>
      <c r="F3408">
        <v>120</v>
      </c>
    </row>
    <row r="3409" spans="1:6" x14ac:dyDescent="0.25">
      <c r="A3409">
        <v>-111.97479300000001</v>
      </c>
      <c r="B3409">
        <v>33.068131000000001</v>
      </c>
      <c r="C3409">
        <v>1.595</v>
      </c>
      <c r="D3409">
        <v>1.4291199999999999</v>
      </c>
      <c r="E3409">
        <v>878768180</v>
      </c>
      <c r="F3409">
        <v>120</v>
      </c>
    </row>
    <row r="3410" spans="1:6" x14ac:dyDescent="0.25">
      <c r="A3410">
        <v>-111.97479300000001</v>
      </c>
      <c r="B3410">
        <v>33.068123</v>
      </c>
      <c r="C3410">
        <v>1.07</v>
      </c>
      <c r="D3410">
        <v>0.95872000000000002</v>
      </c>
      <c r="E3410">
        <v>878768182</v>
      </c>
      <c r="F3410">
        <v>120</v>
      </c>
    </row>
    <row r="3411" spans="1:6" x14ac:dyDescent="0.25">
      <c r="A3411">
        <v>-111.97479199999999</v>
      </c>
      <c r="B3411">
        <v>33.068116000000003</v>
      </c>
      <c r="C3411">
        <v>0.80500000000000005</v>
      </c>
      <c r="D3411">
        <v>0.72128000000000003</v>
      </c>
      <c r="E3411">
        <v>878768184</v>
      </c>
      <c r="F3411">
        <v>120</v>
      </c>
    </row>
    <row r="3412" spans="1:6" x14ac:dyDescent="0.25">
      <c r="A3412">
        <v>-111.97479199999999</v>
      </c>
      <c r="B3412">
        <v>33.068108000000002</v>
      </c>
      <c r="C3412">
        <v>0.75</v>
      </c>
      <c r="D3412">
        <v>0.67200000000000004</v>
      </c>
      <c r="E3412">
        <v>878768186</v>
      </c>
      <c r="F3412">
        <v>120</v>
      </c>
    </row>
    <row r="3413" spans="1:6" x14ac:dyDescent="0.25">
      <c r="A3413">
        <v>-111.974791</v>
      </c>
      <c r="B3413">
        <v>33.068100000000001</v>
      </c>
      <c r="C3413">
        <v>0.9</v>
      </c>
      <c r="D3413">
        <v>0.80640000000000001</v>
      </c>
      <c r="E3413">
        <v>878768188</v>
      </c>
      <c r="F3413">
        <v>120</v>
      </c>
    </row>
    <row r="3414" spans="1:6" x14ac:dyDescent="0.25">
      <c r="A3414">
        <v>-111.97479199999999</v>
      </c>
      <c r="B3414">
        <v>33.068092999999998</v>
      </c>
      <c r="C3414">
        <v>1.29</v>
      </c>
      <c r="D3414">
        <v>1.15584</v>
      </c>
      <c r="E3414">
        <v>878768190</v>
      </c>
      <c r="F3414">
        <v>120</v>
      </c>
    </row>
    <row r="3415" spans="1:6" x14ac:dyDescent="0.25">
      <c r="A3415">
        <v>-111.974791</v>
      </c>
      <c r="B3415">
        <v>33.068085000000004</v>
      </c>
      <c r="C3415">
        <v>1.5649999999999999</v>
      </c>
      <c r="D3415">
        <v>1.4022399999999999</v>
      </c>
      <c r="E3415">
        <v>878768192</v>
      </c>
      <c r="F3415">
        <v>120</v>
      </c>
    </row>
    <row r="3416" spans="1:6" x14ac:dyDescent="0.25">
      <c r="A3416">
        <v>-111.974791</v>
      </c>
      <c r="B3416">
        <v>33.068077000000002</v>
      </c>
      <c r="C3416">
        <v>1.875</v>
      </c>
      <c r="D3416">
        <v>1.68</v>
      </c>
      <c r="E3416">
        <v>878768194</v>
      </c>
      <c r="F3416">
        <v>120</v>
      </c>
    </row>
    <row r="3417" spans="1:6" x14ac:dyDescent="0.25">
      <c r="A3417">
        <v>-111.974791</v>
      </c>
      <c r="B3417">
        <v>33.068069999999999</v>
      </c>
      <c r="C3417">
        <v>2.04</v>
      </c>
      <c r="D3417">
        <v>1.8278399999999999</v>
      </c>
      <c r="E3417">
        <v>878768196</v>
      </c>
      <c r="F3417">
        <v>120</v>
      </c>
    </row>
    <row r="3418" spans="1:6" x14ac:dyDescent="0.25">
      <c r="A3418">
        <v>-111.974791</v>
      </c>
      <c r="B3418">
        <v>33.068061</v>
      </c>
      <c r="C3418">
        <v>1.05</v>
      </c>
      <c r="D3418">
        <v>0.94079999999999997</v>
      </c>
      <c r="E3418">
        <v>878768198</v>
      </c>
      <c r="F3418">
        <v>120</v>
      </c>
    </row>
    <row r="3419" spans="1:6" x14ac:dyDescent="0.25">
      <c r="A3419">
        <v>-111.97479</v>
      </c>
      <c r="B3419">
        <v>33.068052999999999</v>
      </c>
      <c r="C3419">
        <v>1.05</v>
      </c>
      <c r="D3419">
        <v>0.94079999999999997</v>
      </c>
      <c r="E3419">
        <v>878768200</v>
      </c>
      <c r="F3419">
        <v>120</v>
      </c>
    </row>
    <row r="3420" spans="1:6" x14ac:dyDescent="0.25">
      <c r="A3420">
        <v>-111.974791</v>
      </c>
      <c r="B3420">
        <v>33.068047</v>
      </c>
      <c r="C3420">
        <v>1.2150000000000001</v>
      </c>
      <c r="D3420">
        <v>1.0886400000000001</v>
      </c>
      <c r="E3420">
        <v>878768202</v>
      </c>
      <c r="F3420">
        <v>120</v>
      </c>
    </row>
    <row r="3421" spans="1:6" x14ac:dyDescent="0.25">
      <c r="A3421">
        <v>-111.974791</v>
      </c>
      <c r="B3421">
        <v>33.068038999999999</v>
      </c>
      <c r="C3421">
        <v>0.46</v>
      </c>
      <c r="D3421">
        <v>0.41216000000000003</v>
      </c>
      <c r="E3421">
        <v>878768204</v>
      </c>
      <c r="F3421">
        <v>120</v>
      </c>
    </row>
    <row r="3422" spans="1:6" x14ac:dyDescent="0.25">
      <c r="A3422">
        <v>-111.974788</v>
      </c>
      <c r="B3422">
        <v>33.068022999999997</v>
      </c>
      <c r="C3422">
        <v>5.0000000000000001E-3</v>
      </c>
      <c r="D3422">
        <v>4.4799999999999996E-3</v>
      </c>
      <c r="E3422">
        <v>878768208</v>
      </c>
      <c r="F342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40</vt:i4>
      </vt:variant>
    </vt:vector>
  </HeadingPairs>
  <TitlesOfParts>
    <vt:vector size="83" baseType="lpstr">
      <vt:lpstr>Raw Scale</vt:lpstr>
      <vt:lpstr>Plot Scale</vt:lpstr>
      <vt:lpstr>Compare</vt:lpstr>
      <vt:lpstr>11</vt:lpstr>
      <vt:lpstr>12</vt:lpstr>
      <vt:lpstr>13</vt:lpstr>
      <vt:lpstr>14</vt:lpstr>
      <vt:lpstr>15</vt:lpstr>
      <vt:lpstr>16</vt:lpstr>
      <vt:lpstr>17</vt:lpstr>
      <vt:lpstr>18</vt:lpstr>
      <vt:lpstr>21</vt:lpstr>
      <vt:lpstr>22</vt:lpstr>
      <vt:lpstr>23</vt:lpstr>
      <vt:lpstr>24</vt:lpstr>
      <vt:lpstr>25</vt:lpstr>
      <vt:lpstr>26</vt:lpstr>
      <vt:lpstr>27</vt:lpstr>
      <vt:lpstr>28</vt:lpstr>
      <vt:lpstr>31</vt:lpstr>
      <vt:lpstr>32</vt:lpstr>
      <vt:lpstr>33</vt:lpstr>
      <vt:lpstr>34</vt:lpstr>
      <vt:lpstr>35</vt:lpstr>
      <vt:lpstr>36</vt:lpstr>
      <vt:lpstr>37</vt:lpstr>
      <vt:lpstr>38</vt:lpstr>
      <vt:lpstr>41</vt:lpstr>
      <vt:lpstr>42</vt:lpstr>
      <vt:lpstr>43</vt:lpstr>
      <vt:lpstr>44</vt:lpstr>
      <vt:lpstr>45</vt:lpstr>
      <vt:lpstr>46</vt:lpstr>
      <vt:lpstr>47</vt:lpstr>
      <vt:lpstr>48</vt:lpstr>
      <vt:lpstr>02</vt:lpstr>
      <vt:lpstr>04</vt:lpstr>
      <vt:lpstr>05</vt:lpstr>
      <vt:lpstr>06</vt:lpstr>
      <vt:lpstr>07</vt:lpstr>
      <vt:lpstr>08</vt:lpstr>
      <vt:lpstr>Ginning</vt:lpstr>
      <vt:lpstr>YieldMonitor</vt:lpstr>
      <vt:lpstr>'02'!Print_Area</vt:lpstr>
      <vt:lpstr>'04'!Print_Area</vt:lpstr>
      <vt:lpstr>'05'!Print_Area</vt:lpstr>
      <vt:lpstr>'06'!Print_Area</vt:lpstr>
      <vt:lpstr>'07'!Print_Area</vt:lpstr>
      <vt:lpstr>'08'!Print_Area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Ginning!Print_Area</vt:lpstr>
      <vt:lpstr>Ginning!Print_Titles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2025-08-22T15:06:21Z</dcterms:modified>
</cp:coreProperties>
</file>