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07_F111_CO_ISM\"/>
    </mc:Choice>
  </mc:AlternateContent>
  <xr:revisionPtr revIDLastSave="0" documentId="13_ncr:1_{F45C7AA8-F6B3-4139-BE91-A7E567FF45B1}" xr6:coauthVersionLast="47" xr6:coauthVersionMax="47" xr10:uidLastSave="{00000000-0000-0000-0000-000000000000}"/>
  <bookViews>
    <workbookView xWindow="16575" yWindow="-20415" windowWidth="17715" windowHeight="17625" xr2:uid="{5485CBB2-C13A-4C0B-BAC8-38661C175E52}"/>
  </bookViews>
  <sheets>
    <sheet name="Raw Scale" sheetId="1" r:id="rId1"/>
    <sheet name="Plot Scale" sheetId="2" r:id="rId2"/>
    <sheet name="Compare" sheetId="3" r:id="rId3"/>
    <sheet name="11" sheetId="4" r:id="rId4"/>
    <sheet name="12" sheetId="5" r:id="rId5"/>
    <sheet name="13" sheetId="6" r:id="rId6"/>
    <sheet name="14" sheetId="7" r:id="rId7"/>
    <sheet name="15" sheetId="8" r:id="rId8"/>
    <sheet name="16" sheetId="9" r:id="rId9"/>
    <sheet name="17" sheetId="10" r:id="rId10"/>
    <sheet name="18" sheetId="11" r:id="rId11"/>
    <sheet name="21" sheetId="12" r:id="rId12"/>
    <sheet name="22" sheetId="13" r:id="rId13"/>
    <sheet name="23" sheetId="14" r:id="rId14"/>
    <sheet name="24" sheetId="15" r:id="rId15"/>
    <sheet name="25" sheetId="16" r:id="rId16"/>
    <sheet name="26" sheetId="17" r:id="rId17"/>
    <sheet name="27" sheetId="18" r:id="rId18"/>
    <sheet name="28" sheetId="19" r:id="rId19"/>
    <sheet name="31" sheetId="20" r:id="rId20"/>
    <sheet name="32" sheetId="21" r:id="rId21"/>
    <sheet name="33" sheetId="22" r:id="rId22"/>
    <sheet name="34" sheetId="23" r:id="rId23"/>
    <sheet name="35" sheetId="24" r:id="rId24"/>
    <sheet name="36" sheetId="25" r:id="rId25"/>
    <sheet name="37" sheetId="26" r:id="rId26"/>
    <sheet name="38" sheetId="27" r:id="rId27"/>
    <sheet name="41" sheetId="28" r:id="rId28"/>
    <sheet name="42" sheetId="29" r:id="rId29"/>
    <sheet name="43" sheetId="30" r:id="rId30"/>
    <sheet name="44" sheetId="31" r:id="rId31"/>
    <sheet name="45" sheetId="32" r:id="rId32"/>
    <sheet name="46" sheetId="33" r:id="rId33"/>
    <sheet name="47" sheetId="34" r:id="rId34"/>
    <sheet name="48" sheetId="35" r:id="rId35"/>
    <sheet name="02" sheetId="36" r:id="rId36"/>
    <sheet name="04" sheetId="37" r:id="rId37"/>
    <sheet name="05" sheetId="38" r:id="rId38"/>
    <sheet name="06" sheetId="39" r:id="rId39"/>
    <sheet name="07" sheetId="40" r:id="rId40"/>
    <sheet name="08" sheetId="41" r:id="rId41"/>
    <sheet name="Ginning" sheetId="42" r:id="rId42"/>
  </sheets>
  <definedNames>
    <definedName name="_xlnm.Print_Area" localSheetId="35">'02'!$A$1:$R$25</definedName>
    <definedName name="_xlnm.Print_Area" localSheetId="36">'04'!$A$1:$R$25</definedName>
    <definedName name="_xlnm.Print_Area" localSheetId="37">'05'!$A$1:$R$25</definedName>
    <definedName name="_xlnm.Print_Area" localSheetId="38">'06'!$A$1:$R$25</definedName>
    <definedName name="_xlnm.Print_Area" localSheetId="39">'07'!$A$1:$R$25</definedName>
    <definedName name="_xlnm.Print_Area" localSheetId="40">'08'!$A$1:$R$25</definedName>
    <definedName name="_xlnm.Print_Area" localSheetId="3">'11'!$A$1:$R$25</definedName>
    <definedName name="_xlnm.Print_Area" localSheetId="4">'12'!$A$1:$R$25</definedName>
    <definedName name="_xlnm.Print_Area" localSheetId="5">'13'!$A$1:$R$25</definedName>
    <definedName name="_xlnm.Print_Area" localSheetId="6">'14'!$A$1:$R$25</definedName>
    <definedName name="_xlnm.Print_Area" localSheetId="7">'15'!$A$1:$R$25</definedName>
    <definedName name="_xlnm.Print_Area" localSheetId="8">'16'!$A$1:$R$25</definedName>
    <definedName name="_xlnm.Print_Area" localSheetId="9">'17'!$A$1:$R$25</definedName>
    <definedName name="_xlnm.Print_Area" localSheetId="10">'18'!$A$1:$R$25</definedName>
    <definedName name="_xlnm.Print_Area" localSheetId="11">'21'!$A$1:$R$25</definedName>
    <definedName name="_xlnm.Print_Area" localSheetId="12">'22'!$A$1:$R$25</definedName>
    <definedName name="_xlnm.Print_Area" localSheetId="13">'23'!$A$1:$R$25</definedName>
    <definedName name="_xlnm.Print_Area" localSheetId="14">'24'!$A$1:$R$25</definedName>
    <definedName name="_xlnm.Print_Area" localSheetId="15">'25'!$A$1:$R$25</definedName>
    <definedName name="_xlnm.Print_Area" localSheetId="16">'26'!$A$1:$R$25</definedName>
    <definedName name="_xlnm.Print_Area" localSheetId="17">'27'!$A$1:$R$25</definedName>
    <definedName name="_xlnm.Print_Area" localSheetId="18">'28'!$A$1:$R$25</definedName>
    <definedName name="_xlnm.Print_Area" localSheetId="19">'31'!$A$1:$R$25</definedName>
    <definedName name="_xlnm.Print_Area" localSheetId="20">'32'!$A$1:$R$25</definedName>
    <definedName name="_xlnm.Print_Area" localSheetId="21">'33'!$A$1:$R$25</definedName>
    <definedName name="_xlnm.Print_Area" localSheetId="22">'34'!$A$1:$R$25</definedName>
    <definedName name="_xlnm.Print_Area" localSheetId="23">'35'!$A$1:$R$25</definedName>
    <definedName name="_xlnm.Print_Area" localSheetId="24">'36'!$A$1:$R$25</definedName>
    <definedName name="_xlnm.Print_Area" localSheetId="25">'37'!$A$1:$R$25</definedName>
    <definedName name="_xlnm.Print_Area" localSheetId="26">'38'!$A$1:$R$25</definedName>
    <definedName name="_xlnm.Print_Area" localSheetId="27">'41'!$A$1:$R$25</definedName>
    <definedName name="_xlnm.Print_Area" localSheetId="28">'42'!$A$1:$R$25</definedName>
    <definedName name="_xlnm.Print_Area" localSheetId="29">'43'!$A$1:$R$25</definedName>
    <definedName name="_xlnm.Print_Area" localSheetId="30">'44'!$A$1:$R$25</definedName>
    <definedName name="_xlnm.Print_Area" localSheetId="31">'45'!$A$1:$R$25</definedName>
    <definedName name="_xlnm.Print_Area" localSheetId="32">'46'!$A$1:$R$25</definedName>
    <definedName name="_xlnm.Print_Area" localSheetId="33">'47'!$A$1:$R$25</definedName>
    <definedName name="_xlnm.Print_Area" localSheetId="34">'48'!$A$1:$R$25</definedName>
    <definedName name="_xlnm.Print_Area" localSheetId="41">Ginning!$B$14:$I$59</definedName>
    <definedName name="_xlnm.Print_Titles" localSheetId="41">Ginning!$14:$15</definedName>
    <definedName name="Z_54D85376_105B_46A9_AE71_230B49C3EA88_.wvu.PrintArea" localSheetId="35" hidden="1">'02'!$A$1:$R$25</definedName>
    <definedName name="Z_54D85376_105B_46A9_AE71_230B49C3EA88_.wvu.PrintArea" localSheetId="36" hidden="1">'04'!$A$1:$R$25</definedName>
    <definedName name="Z_54D85376_105B_46A9_AE71_230B49C3EA88_.wvu.PrintArea" localSheetId="37" hidden="1">'05'!$A$1:$R$25</definedName>
    <definedName name="Z_54D85376_105B_46A9_AE71_230B49C3EA88_.wvu.PrintArea" localSheetId="38" hidden="1">'06'!$A$1:$R$25</definedName>
    <definedName name="Z_54D85376_105B_46A9_AE71_230B49C3EA88_.wvu.PrintArea" localSheetId="39" hidden="1">'07'!$A$1:$R$25</definedName>
    <definedName name="Z_54D85376_105B_46A9_AE71_230B49C3EA88_.wvu.PrintArea" localSheetId="40" hidden="1">'08'!$A$1:$R$25</definedName>
    <definedName name="Z_54D85376_105B_46A9_AE71_230B49C3EA88_.wvu.PrintArea" localSheetId="3" hidden="1">'11'!$A$1:$R$25</definedName>
    <definedName name="Z_54D85376_105B_46A9_AE71_230B49C3EA88_.wvu.PrintArea" localSheetId="4" hidden="1">'12'!$A$1:$R$25</definedName>
    <definedName name="Z_54D85376_105B_46A9_AE71_230B49C3EA88_.wvu.PrintArea" localSheetId="5" hidden="1">'13'!$A$1:$R$25</definedName>
    <definedName name="Z_54D85376_105B_46A9_AE71_230B49C3EA88_.wvu.PrintArea" localSheetId="6" hidden="1">'14'!$A$1:$R$25</definedName>
    <definedName name="Z_54D85376_105B_46A9_AE71_230B49C3EA88_.wvu.PrintArea" localSheetId="7" hidden="1">'15'!$A$1:$R$25</definedName>
    <definedName name="Z_54D85376_105B_46A9_AE71_230B49C3EA88_.wvu.PrintArea" localSheetId="8" hidden="1">'16'!$A$1:$R$25</definedName>
    <definedName name="Z_54D85376_105B_46A9_AE71_230B49C3EA88_.wvu.PrintArea" localSheetId="9" hidden="1">'17'!$A$1:$R$25</definedName>
    <definedName name="Z_54D85376_105B_46A9_AE71_230B49C3EA88_.wvu.PrintArea" localSheetId="10" hidden="1">'18'!$A$1:$R$25</definedName>
    <definedName name="Z_54D85376_105B_46A9_AE71_230B49C3EA88_.wvu.PrintArea" localSheetId="11" hidden="1">'21'!$A$1:$R$25</definedName>
    <definedName name="Z_54D85376_105B_46A9_AE71_230B49C3EA88_.wvu.PrintArea" localSheetId="12" hidden="1">'22'!$A$1:$R$25</definedName>
    <definedName name="Z_54D85376_105B_46A9_AE71_230B49C3EA88_.wvu.PrintArea" localSheetId="13" hidden="1">'23'!$A$1:$R$25</definedName>
    <definedName name="Z_54D85376_105B_46A9_AE71_230B49C3EA88_.wvu.PrintArea" localSheetId="14" hidden="1">'24'!$A$1:$R$25</definedName>
    <definedName name="Z_54D85376_105B_46A9_AE71_230B49C3EA88_.wvu.PrintArea" localSheetId="15" hidden="1">'25'!$A$1:$R$25</definedName>
    <definedName name="Z_54D85376_105B_46A9_AE71_230B49C3EA88_.wvu.PrintArea" localSheetId="16" hidden="1">'26'!$A$1:$R$25</definedName>
    <definedName name="Z_54D85376_105B_46A9_AE71_230B49C3EA88_.wvu.PrintArea" localSheetId="17" hidden="1">'27'!$A$1:$R$25</definedName>
    <definedName name="Z_54D85376_105B_46A9_AE71_230B49C3EA88_.wvu.PrintArea" localSheetId="18" hidden="1">'28'!$A$1:$R$25</definedName>
    <definedName name="Z_54D85376_105B_46A9_AE71_230B49C3EA88_.wvu.PrintArea" localSheetId="19" hidden="1">'31'!$A$1:$R$25</definedName>
    <definedName name="Z_54D85376_105B_46A9_AE71_230B49C3EA88_.wvu.PrintArea" localSheetId="20" hidden="1">'32'!$A$1:$R$25</definedName>
    <definedName name="Z_54D85376_105B_46A9_AE71_230B49C3EA88_.wvu.PrintArea" localSheetId="21" hidden="1">'33'!$A$1:$R$25</definedName>
    <definedName name="Z_54D85376_105B_46A9_AE71_230B49C3EA88_.wvu.PrintArea" localSheetId="22" hidden="1">'34'!$A$1:$R$25</definedName>
    <definedName name="Z_54D85376_105B_46A9_AE71_230B49C3EA88_.wvu.PrintArea" localSheetId="23" hidden="1">'35'!$A$1:$R$25</definedName>
    <definedName name="Z_54D85376_105B_46A9_AE71_230B49C3EA88_.wvu.PrintArea" localSheetId="24" hidden="1">'36'!$A$1:$R$25</definedName>
    <definedName name="Z_54D85376_105B_46A9_AE71_230B49C3EA88_.wvu.PrintArea" localSheetId="25" hidden="1">'37'!$A$1:$R$25</definedName>
    <definedName name="Z_54D85376_105B_46A9_AE71_230B49C3EA88_.wvu.PrintArea" localSheetId="26" hidden="1">'38'!$A$1:$R$25</definedName>
    <definedName name="Z_54D85376_105B_46A9_AE71_230B49C3EA88_.wvu.PrintArea" localSheetId="27" hidden="1">'41'!$A$1:$R$25</definedName>
    <definedName name="Z_54D85376_105B_46A9_AE71_230B49C3EA88_.wvu.PrintArea" localSheetId="28" hidden="1">'42'!$A$1:$R$25</definedName>
    <definedName name="Z_54D85376_105B_46A9_AE71_230B49C3EA88_.wvu.PrintArea" localSheetId="29" hidden="1">'43'!$A$1:$R$25</definedName>
    <definedName name="Z_54D85376_105B_46A9_AE71_230B49C3EA88_.wvu.PrintArea" localSheetId="30" hidden="1">'44'!$A$1:$R$25</definedName>
    <definedName name="Z_54D85376_105B_46A9_AE71_230B49C3EA88_.wvu.PrintArea" localSheetId="31" hidden="1">'45'!$A$1:$R$25</definedName>
    <definedName name="Z_54D85376_105B_46A9_AE71_230B49C3EA88_.wvu.PrintArea" localSheetId="32" hidden="1">'46'!$A$1:$R$25</definedName>
    <definedName name="Z_54D85376_105B_46A9_AE71_230B49C3EA88_.wvu.PrintArea" localSheetId="33" hidden="1">'47'!$A$1:$R$25</definedName>
    <definedName name="Z_54D85376_105B_46A9_AE71_230B49C3EA88_.wvu.PrintArea" localSheetId="34" hidden="1">'48'!$A$1:$R$25</definedName>
    <definedName name="Z_65BE493F_7DA7_4ACB_8C59_D5D7B43E02AE_.wvu.PrintArea" localSheetId="35" hidden="1">'02'!$A$1:$R$25</definedName>
    <definedName name="Z_65BE493F_7DA7_4ACB_8C59_D5D7B43E02AE_.wvu.PrintArea" localSheetId="36" hidden="1">'04'!$A$1:$R$25</definedName>
    <definedName name="Z_65BE493F_7DA7_4ACB_8C59_D5D7B43E02AE_.wvu.PrintArea" localSheetId="37" hidden="1">'05'!$A$1:$R$25</definedName>
    <definedName name="Z_65BE493F_7DA7_4ACB_8C59_D5D7B43E02AE_.wvu.PrintArea" localSheetId="38" hidden="1">'06'!$A$1:$R$25</definedName>
    <definedName name="Z_65BE493F_7DA7_4ACB_8C59_D5D7B43E02AE_.wvu.PrintArea" localSheetId="39" hidden="1">'07'!$A$1:$R$25</definedName>
    <definedName name="Z_65BE493F_7DA7_4ACB_8C59_D5D7B43E02AE_.wvu.PrintArea" localSheetId="40" hidden="1">'08'!$A$1:$R$25</definedName>
    <definedName name="Z_65BE493F_7DA7_4ACB_8C59_D5D7B43E02AE_.wvu.PrintArea" localSheetId="3" hidden="1">'11'!$A$1:$R$25</definedName>
    <definedName name="Z_65BE493F_7DA7_4ACB_8C59_D5D7B43E02AE_.wvu.PrintArea" localSheetId="4" hidden="1">'12'!$A$1:$R$25</definedName>
    <definedName name="Z_65BE493F_7DA7_4ACB_8C59_D5D7B43E02AE_.wvu.PrintArea" localSheetId="5" hidden="1">'13'!$A$1:$R$25</definedName>
    <definedName name="Z_65BE493F_7DA7_4ACB_8C59_D5D7B43E02AE_.wvu.PrintArea" localSheetId="6" hidden="1">'14'!$A$1:$R$25</definedName>
    <definedName name="Z_65BE493F_7DA7_4ACB_8C59_D5D7B43E02AE_.wvu.PrintArea" localSheetId="7" hidden="1">'15'!$A$1:$R$25</definedName>
    <definedName name="Z_65BE493F_7DA7_4ACB_8C59_D5D7B43E02AE_.wvu.PrintArea" localSheetId="8" hidden="1">'16'!$A$1:$R$25</definedName>
    <definedName name="Z_65BE493F_7DA7_4ACB_8C59_D5D7B43E02AE_.wvu.PrintArea" localSheetId="9" hidden="1">'17'!$A$1:$R$25</definedName>
    <definedName name="Z_65BE493F_7DA7_4ACB_8C59_D5D7B43E02AE_.wvu.PrintArea" localSheetId="10" hidden="1">'18'!$A$1:$R$25</definedName>
    <definedName name="Z_65BE493F_7DA7_4ACB_8C59_D5D7B43E02AE_.wvu.PrintArea" localSheetId="11" hidden="1">'21'!$A$1:$R$25</definedName>
    <definedName name="Z_65BE493F_7DA7_4ACB_8C59_D5D7B43E02AE_.wvu.PrintArea" localSheetId="12" hidden="1">'22'!$A$1:$R$25</definedName>
    <definedName name="Z_65BE493F_7DA7_4ACB_8C59_D5D7B43E02AE_.wvu.PrintArea" localSheetId="13" hidden="1">'23'!$A$1:$R$25</definedName>
    <definedName name="Z_65BE493F_7DA7_4ACB_8C59_D5D7B43E02AE_.wvu.PrintArea" localSheetId="14" hidden="1">'24'!$A$1:$R$25</definedName>
    <definedName name="Z_65BE493F_7DA7_4ACB_8C59_D5D7B43E02AE_.wvu.PrintArea" localSheetId="15" hidden="1">'25'!$A$1:$R$25</definedName>
    <definedName name="Z_65BE493F_7DA7_4ACB_8C59_D5D7B43E02AE_.wvu.PrintArea" localSheetId="16" hidden="1">'26'!$A$1:$R$25</definedName>
    <definedName name="Z_65BE493F_7DA7_4ACB_8C59_D5D7B43E02AE_.wvu.PrintArea" localSheetId="17" hidden="1">'27'!$A$1:$R$25</definedName>
    <definedName name="Z_65BE493F_7DA7_4ACB_8C59_D5D7B43E02AE_.wvu.PrintArea" localSheetId="18" hidden="1">'28'!$A$1:$R$25</definedName>
    <definedName name="Z_65BE493F_7DA7_4ACB_8C59_D5D7B43E02AE_.wvu.PrintArea" localSheetId="19" hidden="1">'31'!$A$1:$R$25</definedName>
    <definedName name="Z_65BE493F_7DA7_4ACB_8C59_D5D7B43E02AE_.wvu.PrintArea" localSheetId="20" hidden="1">'32'!$A$1:$R$25</definedName>
    <definedName name="Z_65BE493F_7DA7_4ACB_8C59_D5D7B43E02AE_.wvu.PrintArea" localSheetId="21" hidden="1">'33'!$A$1:$R$25</definedName>
    <definedName name="Z_65BE493F_7DA7_4ACB_8C59_D5D7B43E02AE_.wvu.PrintArea" localSheetId="22" hidden="1">'34'!$A$1:$R$25</definedName>
    <definedName name="Z_65BE493F_7DA7_4ACB_8C59_D5D7B43E02AE_.wvu.PrintArea" localSheetId="23" hidden="1">'35'!$A$1:$R$25</definedName>
    <definedName name="Z_65BE493F_7DA7_4ACB_8C59_D5D7B43E02AE_.wvu.PrintArea" localSheetId="24" hidden="1">'36'!$A$1:$R$25</definedName>
    <definedName name="Z_65BE493F_7DA7_4ACB_8C59_D5D7B43E02AE_.wvu.PrintArea" localSheetId="25" hidden="1">'37'!$A$1:$R$25</definedName>
    <definedName name="Z_65BE493F_7DA7_4ACB_8C59_D5D7B43E02AE_.wvu.PrintArea" localSheetId="26" hidden="1">'38'!$A$1:$R$25</definedName>
    <definedName name="Z_65BE493F_7DA7_4ACB_8C59_D5D7B43E02AE_.wvu.PrintArea" localSheetId="27" hidden="1">'41'!$A$1:$R$25</definedName>
    <definedName name="Z_65BE493F_7DA7_4ACB_8C59_D5D7B43E02AE_.wvu.PrintArea" localSheetId="28" hidden="1">'42'!$A$1:$R$25</definedName>
    <definedName name="Z_65BE493F_7DA7_4ACB_8C59_D5D7B43E02AE_.wvu.PrintArea" localSheetId="29" hidden="1">'43'!$A$1:$R$25</definedName>
    <definedName name="Z_65BE493F_7DA7_4ACB_8C59_D5D7B43E02AE_.wvu.PrintArea" localSheetId="30" hidden="1">'44'!$A$1:$R$25</definedName>
    <definedName name="Z_65BE493F_7DA7_4ACB_8C59_D5D7B43E02AE_.wvu.PrintArea" localSheetId="31" hidden="1">'45'!$A$1:$R$25</definedName>
    <definedName name="Z_65BE493F_7DA7_4ACB_8C59_D5D7B43E02AE_.wvu.PrintArea" localSheetId="32" hidden="1">'46'!$A$1:$R$25</definedName>
    <definedName name="Z_65BE493F_7DA7_4ACB_8C59_D5D7B43E02AE_.wvu.PrintArea" localSheetId="33" hidden="1">'47'!$A$1:$R$25</definedName>
    <definedName name="Z_65BE493F_7DA7_4ACB_8C59_D5D7B43E02AE_.wvu.PrintArea" localSheetId="34" hidden="1">'48'!$A$1:$R$25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2" l="1"/>
  <c r="F17" i="42"/>
  <c r="H17" i="42"/>
  <c r="D19" i="42"/>
  <c r="F19" i="42"/>
  <c r="H19" i="42"/>
  <c r="D20" i="42"/>
  <c r="F20" i="42"/>
  <c r="H20" i="42"/>
  <c r="D21" i="42"/>
  <c r="F21" i="42"/>
  <c r="H21" i="42"/>
  <c r="D22" i="42"/>
  <c r="F22" i="42"/>
  <c r="H22" i="42"/>
  <c r="D23" i="42"/>
  <c r="F23" i="42"/>
  <c r="H23" i="42"/>
  <c r="D25" i="42"/>
  <c r="F25" i="42"/>
  <c r="H25" i="42"/>
  <c r="D26" i="42"/>
  <c r="F26" i="42"/>
  <c r="H26" i="42"/>
  <c r="D27" i="42"/>
  <c r="F27" i="42"/>
  <c r="H27" i="42"/>
  <c r="D28" i="42"/>
  <c r="F28" i="42"/>
  <c r="H28" i="42"/>
  <c r="D29" i="42"/>
  <c r="F29" i="42"/>
  <c r="H29" i="42"/>
  <c r="D30" i="42"/>
  <c r="F30" i="42"/>
  <c r="H30" i="42"/>
  <c r="D31" i="42"/>
  <c r="F31" i="42"/>
  <c r="H31" i="42"/>
  <c r="D32" i="42"/>
  <c r="F32" i="42"/>
  <c r="H32" i="42"/>
  <c r="D34" i="42"/>
  <c r="F34" i="42"/>
  <c r="H34" i="42"/>
  <c r="D35" i="42"/>
  <c r="F35" i="42"/>
  <c r="H35" i="42"/>
  <c r="D36" i="42"/>
  <c r="F36" i="42"/>
  <c r="H36" i="42"/>
  <c r="D37" i="42"/>
  <c r="F37" i="42"/>
  <c r="H37" i="42"/>
  <c r="D38" i="42"/>
  <c r="F38" i="42"/>
  <c r="H38" i="42"/>
  <c r="D39" i="42"/>
  <c r="F39" i="42"/>
  <c r="H39" i="42"/>
  <c r="D40" i="42"/>
  <c r="F40" i="42"/>
  <c r="H40" i="42"/>
  <c r="D41" i="42"/>
  <c r="F41" i="42"/>
  <c r="H41" i="42"/>
  <c r="D43" i="42"/>
  <c r="F43" i="42"/>
  <c r="H43" i="42"/>
  <c r="D44" i="42"/>
  <c r="F44" i="42"/>
  <c r="H44" i="42"/>
  <c r="D45" i="42"/>
  <c r="F45" i="42"/>
  <c r="H45" i="42"/>
  <c r="D46" i="42"/>
  <c r="F46" i="42"/>
  <c r="H46" i="42"/>
  <c r="D47" i="42"/>
  <c r="F47" i="42"/>
  <c r="H47" i="42"/>
  <c r="D48" i="42"/>
  <c r="F48" i="42"/>
  <c r="H48" i="42"/>
  <c r="D49" i="42"/>
  <c r="F49" i="42"/>
  <c r="H49" i="42"/>
  <c r="D50" i="42"/>
  <c r="F50" i="42"/>
  <c r="H50" i="42"/>
  <c r="D52" i="42"/>
  <c r="F52" i="42"/>
  <c r="H52" i="42"/>
  <c r="D53" i="42"/>
  <c r="F53" i="42"/>
  <c r="H53" i="42"/>
  <c r="D54" i="42"/>
  <c r="F54" i="42"/>
  <c r="H54" i="42"/>
  <c r="D55" i="42"/>
  <c r="F55" i="42"/>
  <c r="H55" i="42"/>
  <c r="D56" i="42"/>
  <c r="F56" i="42"/>
  <c r="H56" i="42"/>
  <c r="D57" i="42"/>
  <c r="F57" i="42"/>
  <c r="H57" i="42"/>
  <c r="D58" i="42"/>
  <c r="F58" i="42"/>
  <c r="H58" i="42"/>
  <c r="D59" i="42"/>
  <c r="F59" i="42"/>
  <c r="H59" i="42"/>
  <c r="O3" i="41"/>
  <c r="O4" i="41"/>
  <c r="O5" i="41"/>
  <c r="H9" i="41"/>
  <c r="K9" i="41" s="1"/>
  <c r="H10" i="41"/>
  <c r="K10" i="41"/>
  <c r="L10" i="41"/>
  <c r="M10" i="41"/>
  <c r="N10" i="41"/>
  <c r="O10" i="41"/>
  <c r="P10" i="41"/>
  <c r="H11" i="41"/>
  <c r="K11" i="41"/>
  <c r="L11" i="41"/>
  <c r="M11" i="41"/>
  <c r="N11" i="41"/>
  <c r="O11" i="41"/>
  <c r="P11" i="41"/>
  <c r="H12" i="41"/>
  <c r="H18" i="41" s="1"/>
  <c r="K12" i="41"/>
  <c r="L12" i="41"/>
  <c r="M12" i="41"/>
  <c r="N12" i="41"/>
  <c r="O12" i="41"/>
  <c r="P12" i="41"/>
  <c r="H13" i="41"/>
  <c r="K13" i="41" s="1"/>
  <c r="L13" i="41" s="1"/>
  <c r="H14" i="41"/>
  <c r="K14" i="41"/>
  <c r="L14" i="41"/>
  <c r="M14" i="41"/>
  <c r="N14" i="41"/>
  <c r="O14" i="41"/>
  <c r="P14" i="41"/>
  <c r="K16" i="41"/>
  <c r="L16" i="41"/>
  <c r="M16" i="41"/>
  <c r="N16" i="41"/>
  <c r="O16" i="41"/>
  <c r="P16" i="41"/>
  <c r="O3" i="40"/>
  <c r="O4" i="40"/>
  <c r="O5" i="40"/>
  <c r="H9" i="40"/>
  <c r="K9" i="40" s="1"/>
  <c r="H10" i="40"/>
  <c r="K10" i="40"/>
  <c r="L10" i="40"/>
  <c r="M10" i="40"/>
  <c r="N10" i="40"/>
  <c r="O10" i="40"/>
  <c r="P10" i="40"/>
  <c r="H11" i="40"/>
  <c r="K11" i="40"/>
  <c r="L11" i="40" s="1"/>
  <c r="H12" i="40"/>
  <c r="H18" i="40" s="1"/>
  <c r="K12" i="40"/>
  <c r="L12" i="40"/>
  <c r="M12" i="40"/>
  <c r="N12" i="40"/>
  <c r="O12" i="40"/>
  <c r="P12" i="40"/>
  <c r="H13" i="40"/>
  <c r="K13" i="40" s="1"/>
  <c r="L13" i="40" s="1"/>
  <c r="H14" i="40"/>
  <c r="K14" i="40"/>
  <c r="L14" i="40"/>
  <c r="M14" i="40"/>
  <c r="N14" i="40"/>
  <c r="O14" i="40"/>
  <c r="P14" i="40"/>
  <c r="K16" i="40"/>
  <c r="L16" i="40"/>
  <c r="M16" i="40"/>
  <c r="N16" i="40"/>
  <c r="O16" i="40"/>
  <c r="P16" i="40"/>
  <c r="O3" i="39"/>
  <c r="O4" i="39"/>
  <c r="O5" i="39"/>
  <c r="H9" i="39"/>
  <c r="K9" i="39"/>
  <c r="L9" i="39"/>
  <c r="M9" i="39"/>
  <c r="N9" i="39"/>
  <c r="O9" i="39"/>
  <c r="P9" i="39"/>
  <c r="H10" i="39"/>
  <c r="K10" i="39"/>
  <c r="L10" i="39"/>
  <c r="M10" i="39"/>
  <c r="N10" i="39"/>
  <c r="O10" i="39"/>
  <c r="P10" i="39"/>
  <c r="H11" i="39"/>
  <c r="K11" i="39"/>
  <c r="L11" i="39"/>
  <c r="M11" i="39"/>
  <c r="N11" i="39"/>
  <c r="O11" i="39"/>
  <c r="P11" i="39"/>
  <c r="H12" i="39"/>
  <c r="H18" i="39" s="1"/>
  <c r="K12" i="39"/>
  <c r="L12" i="39"/>
  <c r="M12" i="39"/>
  <c r="N12" i="39"/>
  <c r="O12" i="39"/>
  <c r="P12" i="39"/>
  <c r="H13" i="39"/>
  <c r="K13" i="39" s="1"/>
  <c r="H14" i="39"/>
  <c r="K14" i="39"/>
  <c r="L14" i="39"/>
  <c r="M14" i="39"/>
  <c r="N14" i="39"/>
  <c r="O14" i="39"/>
  <c r="P14" i="39"/>
  <c r="K16" i="39"/>
  <c r="L16" i="39"/>
  <c r="M16" i="39"/>
  <c r="N16" i="39"/>
  <c r="O16" i="39"/>
  <c r="P16" i="39"/>
  <c r="O3" i="38"/>
  <c r="O4" i="38"/>
  <c r="O5" i="38"/>
  <c r="H9" i="38"/>
  <c r="K9" i="38" s="1"/>
  <c r="H10" i="38"/>
  <c r="K10" i="38"/>
  <c r="L10" i="38"/>
  <c r="M10" i="38"/>
  <c r="N10" i="38"/>
  <c r="O10" i="38"/>
  <c r="P10" i="38"/>
  <c r="H11" i="38"/>
  <c r="K11" i="38"/>
  <c r="L11" i="38"/>
  <c r="M11" i="38"/>
  <c r="N11" i="38"/>
  <c r="O11" i="38"/>
  <c r="P11" i="38" s="1"/>
  <c r="H12" i="38"/>
  <c r="K12" i="38"/>
  <c r="L12" i="38"/>
  <c r="M12" i="38"/>
  <c r="N12" i="38"/>
  <c r="O12" i="38"/>
  <c r="P12" i="38"/>
  <c r="H13" i="38"/>
  <c r="K13" i="38" s="1"/>
  <c r="L13" i="38" s="1"/>
  <c r="H14" i="38"/>
  <c r="K14" i="38"/>
  <c r="L14" i="38"/>
  <c r="M14" i="38"/>
  <c r="N14" i="38"/>
  <c r="O14" i="38"/>
  <c r="P14" i="38"/>
  <c r="K16" i="38"/>
  <c r="L16" i="38"/>
  <c r="M16" i="38"/>
  <c r="N16" i="38"/>
  <c r="O16" i="38"/>
  <c r="P16" i="38"/>
  <c r="H18" i="38"/>
  <c r="O3" i="37"/>
  <c r="O4" i="37"/>
  <c r="O5" i="37"/>
  <c r="H9" i="37"/>
  <c r="K9" i="37" s="1"/>
  <c r="H10" i="37"/>
  <c r="K10" i="37"/>
  <c r="L10" i="37"/>
  <c r="M10" i="37"/>
  <c r="N10" i="37"/>
  <c r="O10" i="37"/>
  <c r="P10" i="37"/>
  <c r="H11" i="37"/>
  <c r="K11" i="37"/>
  <c r="L11" i="37"/>
  <c r="M11" i="37" s="1"/>
  <c r="O11" i="37" s="1"/>
  <c r="P11" i="37" s="1"/>
  <c r="H12" i="37"/>
  <c r="K12" i="37"/>
  <c r="L12" i="37"/>
  <c r="M12" i="37"/>
  <c r="N12" i="37"/>
  <c r="O12" i="37"/>
  <c r="P12" i="37"/>
  <c r="H13" i="37"/>
  <c r="K13" i="37" s="1"/>
  <c r="L13" i="37" s="1"/>
  <c r="H14" i="37"/>
  <c r="K14" i="37"/>
  <c r="L14" i="37"/>
  <c r="M14" i="37"/>
  <c r="N14" i="37"/>
  <c r="O14" i="37"/>
  <c r="P14" i="37"/>
  <c r="K16" i="37"/>
  <c r="K18" i="37" s="1"/>
  <c r="L16" i="37"/>
  <c r="M16" i="37"/>
  <c r="N16" i="37"/>
  <c r="O16" i="37"/>
  <c r="P16" i="37"/>
  <c r="O3" i="36"/>
  <c r="O4" i="36"/>
  <c r="O5" i="36"/>
  <c r="H9" i="36"/>
  <c r="K9" i="36" s="1"/>
  <c r="H10" i="36"/>
  <c r="K10" i="36"/>
  <c r="L10" i="36"/>
  <c r="M10" i="36"/>
  <c r="N10" i="36"/>
  <c r="O10" i="36"/>
  <c r="P10" i="36"/>
  <c r="H11" i="36"/>
  <c r="K11" i="36"/>
  <c r="L11" i="36"/>
  <c r="M11" i="36"/>
  <c r="N11" i="36"/>
  <c r="O11" i="36"/>
  <c r="P11" i="36"/>
  <c r="H12" i="36"/>
  <c r="H18" i="36" s="1"/>
  <c r="K12" i="36"/>
  <c r="L12" i="36"/>
  <c r="M12" i="36"/>
  <c r="N12" i="36"/>
  <c r="O12" i="36"/>
  <c r="P12" i="36"/>
  <c r="H13" i="36"/>
  <c r="K13" i="36" s="1"/>
  <c r="L13" i="36" s="1"/>
  <c r="H14" i="36"/>
  <c r="K14" i="36"/>
  <c r="L14" i="36"/>
  <c r="M14" i="36"/>
  <c r="N14" i="36"/>
  <c r="O14" i="36"/>
  <c r="P14" i="36"/>
  <c r="K16" i="36"/>
  <c r="L16" i="36"/>
  <c r="M16" i="36"/>
  <c r="N16" i="36"/>
  <c r="O16" i="36"/>
  <c r="P16" i="36"/>
  <c r="O3" i="35"/>
  <c r="O4" i="35"/>
  <c r="O5" i="35"/>
  <c r="H9" i="35"/>
  <c r="K9" i="35" s="1"/>
  <c r="H10" i="35"/>
  <c r="K10" i="35"/>
  <c r="L10" i="35"/>
  <c r="M10" i="35"/>
  <c r="N10" i="35"/>
  <c r="O10" i="35"/>
  <c r="P10" i="35"/>
  <c r="H11" i="35"/>
  <c r="K11" i="35"/>
  <c r="L11" i="35"/>
  <c r="M11" i="35"/>
  <c r="N11" i="35"/>
  <c r="O11" i="35"/>
  <c r="P11" i="35"/>
  <c r="H12" i="35"/>
  <c r="H18" i="35" s="1"/>
  <c r="K12" i="35"/>
  <c r="L12" i="35"/>
  <c r="M12" i="35"/>
  <c r="N12" i="35"/>
  <c r="O12" i="35"/>
  <c r="P12" i="35"/>
  <c r="H13" i="35"/>
  <c r="K13" i="35" s="1"/>
  <c r="L13" i="35" s="1"/>
  <c r="H14" i="35"/>
  <c r="K14" i="35"/>
  <c r="L14" i="35"/>
  <c r="M14" i="35"/>
  <c r="N14" i="35"/>
  <c r="O14" i="35"/>
  <c r="P14" i="35"/>
  <c r="K16" i="35"/>
  <c r="L16" i="35"/>
  <c r="M16" i="35"/>
  <c r="N16" i="35"/>
  <c r="O16" i="35"/>
  <c r="P16" i="35"/>
  <c r="O3" i="34"/>
  <c r="O4" i="34"/>
  <c r="O5" i="34"/>
  <c r="H9" i="34"/>
  <c r="K9" i="34" s="1"/>
  <c r="H10" i="34"/>
  <c r="K10" i="34"/>
  <c r="L10" i="34"/>
  <c r="M10" i="34"/>
  <c r="N10" i="34"/>
  <c r="O10" i="34"/>
  <c r="P10" i="34"/>
  <c r="H11" i="34"/>
  <c r="K11" i="34"/>
  <c r="L11" i="34"/>
  <c r="M11" i="34"/>
  <c r="N11" i="34"/>
  <c r="O11" i="34"/>
  <c r="P11" i="34"/>
  <c r="H12" i="34"/>
  <c r="H18" i="34" s="1"/>
  <c r="K12" i="34"/>
  <c r="L12" i="34"/>
  <c r="M12" i="34"/>
  <c r="N12" i="34"/>
  <c r="O12" i="34"/>
  <c r="P12" i="34"/>
  <c r="H13" i="34"/>
  <c r="K13" i="34" s="1"/>
  <c r="L13" i="34" s="1"/>
  <c r="H14" i="34"/>
  <c r="K14" i="34"/>
  <c r="L14" i="34"/>
  <c r="M14" i="34"/>
  <c r="N14" i="34"/>
  <c r="O14" i="34"/>
  <c r="P14" i="34"/>
  <c r="K16" i="34"/>
  <c r="L16" i="34"/>
  <c r="M16" i="34"/>
  <c r="N16" i="34"/>
  <c r="O16" i="34"/>
  <c r="P16" i="34"/>
  <c r="O3" i="33"/>
  <c r="O4" i="33"/>
  <c r="O5" i="33"/>
  <c r="H9" i="33"/>
  <c r="K9" i="33"/>
  <c r="L9" i="33"/>
  <c r="M9" i="33"/>
  <c r="N9" i="33"/>
  <c r="O9" i="33"/>
  <c r="P9" i="33"/>
  <c r="H10" i="33"/>
  <c r="H19" i="33" s="1"/>
  <c r="K10" i="33"/>
  <c r="K19" i="33" s="1"/>
  <c r="L10" i="33"/>
  <c r="M10" i="33"/>
  <c r="N10" i="33"/>
  <c r="O10" i="33"/>
  <c r="P10" i="33"/>
  <c r="H11" i="33"/>
  <c r="K11" i="33"/>
  <c r="L11" i="33"/>
  <c r="M11" i="33"/>
  <c r="N11" i="33"/>
  <c r="O11" i="33"/>
  <c r="P11" i="33" s="1"/>
  <c r="H12" i="33"/>
  <c r="K12" i="33"/>
  <c r="L12" i="33"/>
  <c r="M12" i="33"/>
  <c r="N12" i="33"/>
  <c r="O12" i="33"/>
  <c r="P12" i="33"/>
  <c r="H13" i="33"/>
  <c r="K13" i="33" s="1"/>
  <c r="H14" i="33"/>
  <c r="K14" i="33"/>
  <c r="L14" i="33"/>
  <c r="M14" i="33"/>
  <c r="N14" i="33"/>
  <c r="O14" i="33"/>
  <c r="P14" i="33"/>
  <c r="K16" i="33"/>
  <c r="L16" i="33"/>
  <c r="M16" i="33"/>
  <c r="N16" i="33"/>
  <c r="O16" i="33"/>
  <c r="P16" i="33"/>
  <c r="H18" i="33"/>
  <c r="O3" i="32"/>
  <c r="O4" i="32"/>
  <c r="O5" i="32"/>
  <c r="H9" i="32"/>
  <c r="K9" i="32"/>
  <c r="L9" i="32"/>
  <c r="M9" i="32"/>
  <c r="N9" i="32"/>
  <c r="O9" i="32"/>
  <c r="P9" i="32"/>
  <c r="H10" i="32"/>
  <c r="H19" i="32" s="1"/>
  <c r="K10" i="32"/>
  <c r="K19" i="32" s="1"/>
  <c r="L10" i="32"/>
  <c r="M10" i="32"/>
  <c r="N10" i="32"/>
  <c r="O10" i="32"/>
  <c r="P10" i="32"/>
  <c r="H11" i="32"/>
  <c r="K11" i="32"/>
  <c r="L11" i="32"/>
  <c r="M11" i="32"/>
  <c r="N11" i="32"/>
  <c r="O11" i="32"/>
  <c r="P11" i="32" s="1"/>
  <c r="H12" i="32"/>
  <c r="K12" i="32"/>
  <c r="L12" i="32"/>
  <c r="M12" i="32"/>
  <c r="N12" i="32"/>
  <c r="O12" i="32"/>
  <c r="P12" i="32"/>
  <c r="H13" i="32"/>
  <c r="K13" i="32" s="1"/>
  <c r="H14" i="32"/>
  <c r="K14" i="32"/>
  <c r="L14" i="32"/>
  <c r="M14" i="32"/>
  <c r="N14" i="32"/>
  <c r="O14" i="32"/>
  <c r="P14" i="32"/>
  <c r="K16" i="32"/>
  <c r="L16" i="32"/>
  <c r="M16" i="32"/>
  <c r="N16" i="32"/>
  <c r="O16" i="32"/>
  <c r="P16" i="32"/>
  <c r="H18" i="32"/>
  <c r="O3" i="31"/>
  <c r="O4" i="31"/>
  <c r="O5" i="31"/>
  <c r="H9" i="31"/>
  <c r="K9" i="31"/>
  <c r="L9" i="31"/>
  <c r="M9" i="31"/>
  <c r="N9" i="31"/>
  <c r="O9" i="31"/>
  <c r="P9" i="31"/>
  <c r="H10" i="31"/>
  <c r="H19" i="31" s="1"/>
  <c r="K10" i="31"/>
  <c r="K19" i="31" s="1"/>
  <c r="L10" i="31"/>
  <c r="M10" i="31"/>
  <c r="N10" i="31"/>
  <c r="O10" i="31"/>
  <c r="P10" i="31"/>
  <c r="H11" i="31"/>
  <c r="K11" i="31"/>
  <c r="L11" i="31"/>
  <c r="M11" i="31"/>
  <c r="N11" i="31"/>
  <c r="O11" i="31"/>
  <c r="P11" i="31" s="1"/>
  <c r="H12" i="31"/>
  <c r="K12" i="31"/>
  <c r="L12" i="31"/>
  <c r="M12" i="31"/>
  <c r="N12" i="31"/>
  <c r="O12" i="31"/>
  <c r="P12" i="31"/>
  <c r="H13" i="31"/>
  <c r="K13" i="31" s="1"/>
  <c r="H14" i="31"/>
  <c r="K14" i="31"/>
  <c r="L14" i="31"/>
  <c r="M14" i="31"/>
  <c r="N14" i="31"/>
  <c r="O14" i="31"/>
  <c r="P14" i="31"/>
  <c r="K16" i="31"/>
  <c r="L16" i="31"/>
  <c r="M16" i="31"/>
  <c r="N16" i="31"/>
  <c r="O16" i="31"/>
  <c r="P16" i="31"/>
  <c r="H18" i="31"/>
  <c r="O3" i="30"/>
  <c r="O4" i="30"/>
  <c r="O5" i="30"/>
  <c r="H9" i="30"/>
  <c r="K9" i="30"/>
  <c r="L9" i="30"/>
  <c r="M9" i="30"/>
  <c r="N9" i="30"/>
  <c r="O9" i="30"/>
  <c r="P9" i="30"/>
  <c r="H10" i="30"/>
  <c r="H19" i="30" s="1"/>
  <c r="K10" i="30"/>
  <c r="L10" i="30"/>
  <c r="M10" i="30"/>
  <c r="N10" i="30"/>
  <c r="O10" i="30"/>
  <c r="P10" i="30"/>
  <c r="H11" i="30"/>
  <c r="K11" i="30"/>
  <c r="L11" i="30"/>
  <c r="M11" i="30"/>
  <c r="N11" i="30"/>
  <c r="O11" i="30"/>
  <c r="P11" i="30" s="1"/>
  <c r="H12" i="30"/>
  <c r="K12" i="30"/>
  <c r="L12" i="30"/>
  <c r="M12" i="30"/>
  <c r="N12" i="30"/>
  <c r="O12" i="30"/>
  <c r="P12" i="30"/>
  <c r="H13" i="30"/>
  <c r="K13" i="30" s="1"/>
  <c r="H14" i="30"/>
  <c r="K14" i="30"/>
  <c r="L14" i="30"/>
  <c r="M14" i="30"/>
  <c r="N14" i="30"/>
  <c r="O14" i="30"/>
  <c r="P14" i="30"/>
  <c r="K16" i="30"/>
  <c r="L16" i="30"/>
  <c r="M16" i="30"/>
  <c r="N16" i="30"/>
  <c r="O16" i="30"/>
  <c r="P16" i="30"/>
  <c r="H18" i="30"/>
  <c r="O3" i="29"/>
  <c r="O4" i="29"/>
  <c r="O5" i="29"/>
  <c r="H9" i="29"/>
  <c r="K9" i="29" s="1"/>
  <c r="H10" i="29"/>
  <c r="K10" i="29"/>
  <c r="L10" i="29"/>
  <c r="M10" i="29"/>
  <c r="N10" i="29"/>
  <c r="O10" i="29"/>
  <c r="P10" i="29"/>
  <c r="H11" i="29"/>
  <c r="K11" i="29"/>
  <c r="L11" i="29"/>
  <c r="M11" i="29"/>
  <c r="N11" i="29"/>
  <c r="O11" i="29"/>
  <c r="P11" i="29"/>
  <c r="H12" i="29"/>
  <c r="H18" i="29" s="1"/>
  <c r="K12" i="29"/>
  <c r="L12" i="29"/>
  <c r="M12" i="29"/>
  <c r="N12" i="29"/>
  <c r="O12" i="29"/>
  <c r="P12" i="29"/>
  <c r="H13" i="29"/>
  <c r="K13" i="29" s="1"/>
  <c r="L13" i="29" s="1"/>
  <c r="H14" i="29"/>
  <c r="K14" i="29"/>
  <c r="L14" i="29"/>
  <c r="M14" i="29"/>
  <c r="N14" i="29"/>
  <c r="O14" i="29"/>
  <c r="P14" i="29"/>
  <c r="K16" i="29"/>
  <c r="L16" i="29"/>
  <c r="M16" i="29"/>
  <c r="N16" i="29"/>
  <c r="O16" i="29"/>
  <c r="P16" i="29"/>
  <c r="O3" i="28"/>
  <c r="O4" i="28"/>
  <c r="O5" i="28"/>
  <c r="H9" i="28"/>
  <c r="K9" i="28"/>
  <c r="L9" i="28"/>
  <c r="M9" i="28"/>
  <c r="N9" i="28"/>
  <c r="O9" i="28"/>
  <c r="P9" i="28"/>
  <c r="H10" i="28"/>
  <c r="K10" i="28"/>
  <c r="L10" i="28"/>
  <c r="M10" i="28"/>
  <c r="N10" i="28"/>
  <c r="O10" i="28"/>
  <c r="P10" i="28"/>
  <c r="H11" i="28"/>
  <c r="K11" i="28"/>
  <c r="L11" i="28"/>
  <c r="M11" i="28"/>
  <c r="N11" i="28"/>
  <c r="O11" i="28"/>
  <c r="P11" i="28"/>
  <c r="H12" i="28"/>
  <c r="H18" i="28" s="1"/>
  <c r="K12" i="28"/>
  <c r="K18" i="28" s="1"/>
  <c r="L12" i="28"/>
  <c r="M12" i="28"/>
  <c r="N12" i="28"/>
  <c r="O12" i="28"/>
  <c r="P12" i="28"/>
  <c r="H13" i="28"/>
  <c r="K13" i="28" s="1"/>
  <c r="H14" i="28"/>
  <c r="K14" i="28"/>
  <c r="L14" i="28"/>
  <c r="M14" i="28"/>
  <c r="N14" i="28"/>
  <c r="O14" i="28"/>
  <c r="P14" i="28"/>
  <c r="K16" i="28"/>
  <c r="L16" i="28"/>
  <c r="M16" i="28"/>
  <c r="N16" i="28"/>
  <c r="O16" i="28"/>
  <c r="P16" i="28"/>
  <c r="O3" i="27"/>
  <c r="O4" i="27"/>
  <c r="O5" i="27"/>
  <c r="H9" i="27"/>
  <c r="K9" i="27" s="1"/>
  <c r="H10" i="27"/>
  <c r="K10" i="27"/>
  <c r="L10" i="27"/>
  <c r="M10" i="27"/>
  <c r="N10" i="27"/>
  <c r="O10" i="27"/>
  <c r="P10" i="27"/>
  <c r="H11" i="27"/>
  <c r="K11" i="27"/>
  <c r="L11" i="27"/>
  <c r="M11" i="27"/>
  <c r="N11" i="27"/>
  <c r="O11" i="27"/>
  <c r="P11" i="27" s="1"/>
  <c r="H12" i="27"/>
  <c r="K12" i="27"/>
  <c r="L12" i="27"/>
  <c r="M12" i="27"/>
  <c r="N12" i="27"/>
  <c r="O12" i="27"/>
  <c r="P12" i="27"/>
  <c r="H13" i="27"/>
  <c r="K13" i="27" s="1"/>
  <c r="L13" i="27" s="1"/>
  <c r="H14" i="27"/>
  <c r="K14" i="27"/>
  <c r="L14" i="27"/>
  <c r="M14" i="27"/>
  <c r="N14" i="27"/>
  <c r="O14" i="27"/>
  <c r="P14" i="27"/>
  <c r="K16" i="27"/>
  <c r="L16" i="27"/>
  <c r="M16" i="27"/>
  <c r="N16" i="27"/>
  <c r="O16" i="27"/>
  <c r="P16" i="27"/>
  <c r="H18" i="27"/>
  <c r="O3" i="26"/>
  <c r="O4" i="26"/>
  <c r="O5" i="26"/>
  <c r="H9" i="26"/>
  <c r="K9" i="26" s="1"/>
  <c r="H10" i="26"/>
  <c r="K10" i="26"/>
  <c r="L10" i="26"/>
  <c r="M10" i="26"/>
  <c r="N10" i="26"/>
  <c r="O10" i="26"/>
  <c r="P10" i="26"/>
  <c r="H11" i="26"/>
  <c r="K11" i="26"/>
  <c r="L11" i="26"/>
  <c r="M11" i="26"/>
  <c r="N11" i="26"/>
  <c r="O11" i="26"/>
  <c r="P11" i="26"/>
  <c r="H12" i="26"/>
  <c r="H18" i="26" s="1"/>
  <c r="K12" i="26"/>
  <c r="L12" i="26"/>
  <c r="M12" i="26"/>
  <c r="N12" i="26"/>
  <c r="O12" i="26"/>
  <c r="P12" i="26"/>
  <c r="H13" i="26"/>
  <c r="K13" i="26" s="1"/>
  <c r="L13" i="26" s="1"/>
  <c r="H14" i="26"/>
  <c r="K14" i="26"/>
  <c r="L14" i="26"/>
  <c r="M14" i="26"/>
  <c r="N14" i="26"/>
  <c r="O14" i="26"/>
  <c r="P14" i="26"/>
  <c r="K16" i="26"/>
  <c r="L16" i="26"/>
  <c r="M16" i="26"/>
  <c r="N16" i="26"/>
  <c r="O16" i="26"/>
  <c r="P16" i="26"/>
  <c r="O3" i="25"/>
  <c r="O4" i="25"/>
  <c r="O5" i="25"/>
  <c r="H9" i="25"/>
  <c r="K9" i="25"/>
  <c r="L9" i="25" s="1"/>
  <c r="H10" i="25"/>
  <c r="K10" i="25"/>
  <c r="L10" i="25"/>
  <c r="M10" i="25"/>
  <c r="N10" i="25"/>
  <c r="O10" i="25"/>
  <c r="P10" i="25"/>
  <c r="H11" i="25"/>
  <c r="K11" i="25"/>
  <c r="L11" i="25"/>
  <c r="M11" i="25"/>
  <c r="N11" i="25"/>
  <c r="O11" i="25"/>
  <c r="P11" i="25"/>
  <c r="H12" i="25"/>
  <c r="H18" i="25" s="1"/>
  <c r="K12" i="25"/>
  <c r="L12" i="25"/>
  <c r="M12" i="25"/>
  <c r="N12" i="25"/>
  <c r="O12" i="25"/>
  <c r="P12" i="25"/>
  <c r="H13" i="25"/>
  <c r="K13" i="25" s="1"/>
  <c r="H14" i="25"/>
  <c r="K14" i="25"/>
  <c r="L14" i="25"/>
  <c r="M14" i="25"/>
  <c r="N14" i="25"/>
  <c r="O14" i="25"/>
  <c r="P14" i="25"/>
  <c r="K16" i="25"/>
  <c r="L16" i="25"/>
  <c r="M16" i="25"/>
  <c r="N16" i="25"/>
  <c r="O16" i="25"/>
  <c r="P16" i="25"/>
  <c r="O3" i="24"/>
  <c r="O4" i="24"/>
  <c r="O5" i="24"/>
  <c r="H9" i="24"/>
  <c r="K9" i="24"/>
  <c r="L9" i="24"/>
  <c r="M9" i="24"/>
  <c r="N9" i="24"/>
  <c r="O9" i="24"/>
  <c r="P9" i="24"/>
  <c r="H10" i="24"/>
  <c r="K10" i="24"/>
  <c r="L10" i="24"/>
  <c r="M10" i="24"/>
  <c r="N10" i="24"/>
  <c r="O10" i="24"/>
  <c r="P10" i="24"/>
  <c r="H11" i="24"/>
  <c r="K11" i="24"/>
  <c r="L11" i="24"/>
  <c r="M11" i="24"/>
  <c r="N11" i="24"/>
  <c r="O11" i="24"/>
  <c r="P11" i="24"/>
  <c r="H12" i="24"/>
  <c r="H18" i="24" s="1"/>
  <c r="K12" i="24"/>
  <c r="L12" i="24"/>
  <c r="M12" i="24"/>
  <c r="N12" i="24"/>
  <c r="O12" i="24"/>
  <c r="P12" i="24"/>
  <c r="H13" i="24"/>
  <c r="K13" i="24" s="1"/>
  <c r="H14" i="24"/>
  <c r="K14" i="24"/>
  <c r="L14" i="24"/>
  <c r="M14" i="24"/>
  <c r="N14" i="24"/>
  <c r="O14" i="24"/>
  <c r="P14" i="24"/>
  <c r="K16" i="24"/>
  <c r="L16" i="24"/>
  <c r="M16" i="24"/>
  <c r="N16" i="24"/>
  <c r="O16" i="24"/>
  <c r="P16" i="24"/>
  <c r="O3" i="23"/>
  <c r="O4" i="23"/>
  <c r="O5" i="23"/>
  <c r="H9" i="23"/>
  <c r="K9" i="23" s="1"/>
  <c r="H10" i="23"/>
  <c r="K10" i="23"/>
  <c r="L10" i="23"/>
  <c r="M10" i="23"/>
  <c r="N10" i="23"/>
  <c r="O10" i="23"/>
  <c r="P10" i="23"/>
  <c r="H11" i="23"/>
  <c r="K11" i="23"/>
  <c r="L11" i="23"/>
  <c r="M11" i="23"/>
  <c r="N11" i="23"/>
  <c r="O11" i="23"/>
  <c r="P11" i="23"/>
  <c r="H12" i="23"/>
  <c r="H18" i="23" s="1"/>
  <c r="K12" i="23"/>
  <c r="L12" i="23"/>
  <c r="M12" i="23"/>
  <c r="N12" i="23"/>
  <c r="O12" i="23"/>
  <c r="P12" i="23"/>
  <c r="H13" i="23"/>
  <c r="K13" i="23" s="1"/>
  <c r="L13" i="23" s="1"/>
  <c r="H14" i="23"/>
  <c r="K14" i="23"/>
  <c r="L14" i="23"/>
  <c r="M14" i="23"/>
  <c r="N14" i="23"/>
  <c r="O14" i="23"/>
  <c r="P14" i="23"/>
  <c r="K16" i="23"/>
  <c r="L16" i="23"/>
  <c r="M16" i="23"/>
  <c r="N16" i="23"/>
  <c r="O16" i="23"/>
  <c r="P16" i="23"/>
  <c r="O3" i="22"/>
  <c r="O4" i="22"/>
  <c r="O5" i="22"/>
  <c r="H9" i="22"/>
  <c r="K9" i="22"/>
  <c r="L9" i="22"/>
  <c r="M9" i="22"/>
  <c r="N9" i="22"/>
  <c r="O9" i="22"/>
  <c r="P9" i="22"/>
  <c r="H10" i="22"/>
  <c r="H19" i="22" s="1"/>
  <c r="K10" i="22"/>
  <c r="L10" i="22"/>
  <c r="M10" i="22"/>
  <c r="N10" i="22"/>
  <c r="O10" i="22"/>
  <c r="P10" i="22"/>
  <c r="H11" i="22"/>
  <c r="K11" i="22"/>
  <c r="L11" i="22"/>
  <c r="M11" i="22"/>
  <c r="N11" i="22"/>
  <c r="O11" i="22"/>
  <c r="P11" i="22" s="1"/>
  <c r="H12" i="22"/>
  <c r="K12" i="22"/>
  <c r="L12" i="22"/>
  <c r="M12" i="22"/>
  <c r="N12" i="22"/>
  <c r="O12" i="22"/>
  <c r="P12" i="22"/>
  <c r="H13" i="22"/>
  <c r="K13" i="22" s="1"/>
  <c r="H14" i="22"/>
  <c r="K14" i="22"/>
  <c r="L14" i="22"/>
  <c r="M14" i="22"/>
  <c r="N14" i="22"/>
  <c r="O14" i="22"/>
  <c r="P14" i="22"/>
  <c r="K16" i="22"/>
  <c r="L16" i="22"/>
  <c r="M16" i="22"/>
  <c r="N16" i="22"/>
  <c r="O16" i="22"/>
  <c r="P16" i="22"/>
  <c r="H18" i="22"/>
  <c r="O3" i="21"/>
  <c r="O4" i="21"/>
  <c r="O5" i="21"/>
  <c r="H9" i="21"/>
  <c r="K9" i="21" s="1"/>
  <c r="H10" i="21"/>
  <c r="K10" i="21"/>
  <c r="L10" i="21"/>
  <c r="M10" i="21"/>
  <c r="N10" i="21"/>
  <c r="O10" i="21"/>
  <c r="P10" i="21"/>
  <c r="H11" i="21"/>
  <c r="H19" i="21" s="1"/>
  <c r="K11" i="21"/>
  <c r="L11" i="21"/>
  <c r="M11" i="21"/>
  <c r="N11" i="21"/>
  <c r="O11" i="21"/>
  <c r="P11" i="21" s="1"/>
  <c r="H12" i="21"/>
  <c r="K12" i="21"/>
  <c r="L12" i="21"/>
  <c r="M12" i="21"/>
  <c r="N12" i="21"/>
  <c r="O12" i="21"/>
  <c r="P12" i="21"/>
  <c r="H13" i="21"/>
  <c r="K13" i="21" s="1"/>
  <c r="L13" i="21" s="1"/>
  <c r="H14" i="21"/>
  <c r="K14" i="21"/>
  <c r="L14" i="21"/>
  <c r="M14" i="21"/>
  <c r="N14" i="21"/>
  <c r="O14" i="21"/>
  <c r="P14" i="21"/>
  <c r="K16" i="21"/>
  <c r="L16" i="21"/>
  <c r="M16" i="21"/>
  <c r="N16" i="21"/>
  <c r="O16" i="21"/>
  <c r="P16" i="21"/>
  <c r="O3" i="20"/>
  <c r="O4" i="20"/>
  <c r="O5" i="20"/>
  <c r="H9" i="20"/>
  <c r="K9" i="20"/>
  <c r="L9" i="20"/>
  <c r="M9" i="20"/>
  <c r="N9" i="20"/>
  <c r="O9" i="20"/>
  <c r="P9" i="20"/>
  <c r="H10" i="20"/>
  <c r="K10" i="20"/>
  <c r="L10" i="20"/>
  <c r="M10" i="20"/>
  <c r="N10" i="20"/>
  <c r="O10" i="20"/>
  <c r="P10" i="20"/>
  <c r="H11" i="20"/>
  <c r="K11" i="20"/>
  <c r="L11" i="20"/>
  <c r="M11" i="20"/>
  <c r="N11" i="20"/>
  <c r="O11" i="20"/>
  <c r="P11" i="20"/>
  <c r="H12" i="20"/>
  <c r="H18" i="20" s="1"/>
  <c r="K12" i="20"/>
  <c r="L12" i="20"/>
  <c r="M12" i="20"/>
  <c r="N12" i="20"/>
  <c r="O12" i="20"/>
  <c r="P12" i="20"/>
  <c r="H13" i="20"/>
  <c r="K13" i="20" s="1"/>
  <c r="H14" i="20"/>
  <c r="K14" i="20"/>
  <c r="L14" i="20"/>
  <c r="M14" i="20"/>
  <c r="N14" i="20"/>
  <c r="O14" i="20"/>
  <c r="P14" i="20"/>
  <c r="K16" i="20"/>
  <c r="L16" i="20"/>
  <c r="M16" i="20"/>
  <c r="N16" i="20"/>
  <c r="O16" i="20"/>
  <c r="P16" i="20"/>
  <c r="O3" i="19"/>
  <c r="O4" i="19"/>
  <c r="O5" i="19"/>
  <c r="H9" i="19"/>
  <c r="K9" i="19" s="1"/>
  <c r="H10" i="19"/>
  <c r="K10" i="19"/>
  <c r="L10" i="19"/>
  <c r="M10" i="19"/>
  <c r="N10" i="19"/>
  <c r="O10" i="19"/>
  <c r="P10" i="19"/>
  <c r="H11" i="19"/>
  <c r="K11" i="19"/>
  <c r="L11" i="19"/>
  <c r="M11" i="19"/>
  <c r="N11" i="19"/>
  <c r="O11" i="19"/>
  <c r="P11" i="19"/>
  <c r="H12" i="19"/>
  <c r="H18" i="19" s="1"/>
  <c r="K12" i="19"/>
  <c r="L12" i="19"/>
  <c r="M12" i="19"/>
  <c r="N12" i="19"/>
  <c r="O12" i="19"/>
  <c r="P12" i="19"/>
  <c r="H13" i="19"/>
  <c r="K13" i="19" s="1"/>
  <c r="L13" i="19" s="1"/>
  <c r="H14" i="19"/>
  <c r="K14" i="19"/>
  <c r="L14" i="19"/>
  <c r="M14" i="19"/>
  <c r="N14" i="19"/>
  <c r="O14" i="19"/>
  <c r="P14" i="19"/>
  <c r="K16" i="19"/>
  <c r="L16" i="19"/>
  <c r="M16" i="19"/>
  <c r="N16" i="19"/>
  <c r="O16" i="19"/>
  <c r="P16" i="19"/>
  <c r="O3" i="18"/>
  <c r="O4" i="18"/>
  <c r="O5" i="18"/>
  <c r="H9" i="18"/>
  <c r="K9" i="18" s="1"/>
  <c r="H10" i="18"/>
  <c r="K10" i="18"/>
  <c r="L10" i="18"/>
  <c r="M10" i="18"/>
  <c r="N10" i="18"/>
  <c r="O10" i="18"/>
  <c r="P10" i="18"/>
  <c r="H11" i="18"/>
  <c r="K11" i="18"/>
  <c r="L11" i="18"/>
  <c r="M11" i="18"/>
  <c r="N11" i="18"/>
  <c r="O11" i="18"/>
  <c r="P11" i="18"/>
  <c r="H12" i="18"/>
  <c r="H18" i="18" s="1"/>
  <c r="K12" i="18"/>
  <c r="L12" i="18"/>
  <c r="M12" i="18"/>
  <c r="N12" i="18"/>
  <c r="O12" i="18"/>
  <c r="P12" i="18"/>
  <c r="H13" i="18"/>
  <c r="K13" i="18" s="1"/>
  <c r="L13" i="18" s="1"/>
  <c r="H14" i="18"/>
  <c r="K14" i="18"/>
  <c r="L14" i="18"/>
  <c r="M14" i="18"/>
  <c r="N14" i="18"/>
  <c r="O14" i="18"/>
  <c r="P14" i="18"/>
  <c r="K16" i="18"/>
  <c r="L16" i="18"/>
  <c r="M16" i="18"/>
  <c r="N16" i="18"/>
  <c r="O16" i="18"/>
  <c r="P16" i="18"/>
  <c r="O3" i="17"/>
  <c r="O4" i="17"/>
  <c r="O5" i="17"/>
  <c r="H9" i="17"/>
  <c r="K9" i="17" s="1"/>
  <c r="H10" i="17"/>
  <c r="K10" i="17"/>
  <c r="L10" i="17"/>
  <c r="M10" i="17"/>
  <c r="N10" i="17"/>
  <c r="O10" i="17"/>
  <c r="P10" i="17"/>
  <c r="H11" i="17"/>
  <c r="K11" i="17"/>
  <c r="L11" i="17"/>
  <c r="M11" i="17"/>
  <c r="N11" i="17"/>
  <c r="O11" i="17"/>
  <c r="P11" i="17" s="1"/>
  <c r="H12" i="17"/>
  <c r="K12" i="17"/>
  <c r="L12" i="17"/>
  <c r="M12" i="17"/>
  <c r="O12" i="17"/>
  <c r="P12" i="17"/>
  <c r="H13" i="17"/>
  <c r="K13" i="17" s="1"/>
  <c r="L13" i="17" s="1"/>
  <c r="H14" i="17"/>
  <c r="K14" i="17"/>
  <c r="L14" i="17"/>
  <c r="M14" i="17"/>
  <c r="K16" i="17"/>
  <c r="L16" i="17"/>
  <c r="M16" i="17"/>
  <c r="N16" i="17"/>
  <c r="O16" i="17"/>
  <c r="P16" i="17"/>
  <c r="H18" i="17"/>
  <c r="O3" i="16"/>
  <c r="O4" i="16"/>
  <c r="N14" i="16" s="1"/>
  <c r="O5" i="16"/>
  <c r="H9" i="16"/>
  <c r="K9" i="16" s="1"/>
  <c r="H10" i="16"/>
  <c r="K10" i="16"/>
  <c r="L10" i="16"/>
  <c r="M10" i="16"/>
  <c r="N10" i="16"/>
  <c r="O10" i="16"/>
  <c r="P10" i="16"/>
  <c r="H11" i="16"/>
  <c r="K11" i="16"/>
  <c r="L11" i="16"/>
  <c r="M11" i="16"/>
  <c r="N11" i="16"/>
  <c r="O11" i="16"/>
  <c r="P11" i="16"/>
  <c r="H12" i="16"/>
  <c r="H18" i="16" s="1"/>
  <c r="K12" i="16"/>
  <c r="L12" i="16"/>
  <c r="M12" i="16"/>
  <c r="N12" i="16"/>
  <c r="O12" i="16"/>
  <c r="P12" i="16"/>
  <c r="H13" i="16"/>
  <c r="K13" i="16" s="1"/>
  <c r="L13" i="16" s="1"/>
  <c r="H14" i="16"/>
  <c r="K14" i="16"/>
  <c r="L14" i="16"/>
  <c r="M14" i="16"/>
  <c r="K16" i="16"/>
  <c r="L16" i="16"/>
  <c r="M16" i="16"/>
  <c r="N16" i="16"/>
  <c r="O16" i="16"/>
  <c r="P16" i="16"/>
  <c r="O3" i="15"/>
  <c r="O4" i="15"/>
  <c r="O5" i="15"/>
  <c r="H9" i="15"/>
  <c r="K9" i="15" s="1"/>
  <c r="H10" i="15"/>
  <c r="K10" i="15"/>
  <c r="L10" i="15"/>
  <c r="M10" i="15"/>
  <c r="N10" i="15"/>
  <c r="O10" i="15"/>
  <c r="P10" i="15"/>
  <c r="H11" i="15"/>
  <c r="K11" i="15"/>
  <c r="L11" i="15"/>
  <c r="M11" i="15"/>
  <c r="N11" i="15"/>
  <c r="O11" i="15"/>
  <c r="P11" i="15" s="1"/>
  <c r="H12" i="15"/>
  <c r="K12" i="15"/>
  <c r="L12" i="15"/>
  <c r="M12" i="15"/>
  <c r="H13" i="15"/>
  <c r="K13" i="15" s="1"/>
  <c r="L13" i="15" s="1"/>
  <c r="H14" i="15"/>
  <c r="K14" i="15"/>
  <c r="L14" i="15"/>
  <c r="M14" i="15"/>
  <c r="N14" i="15"/>
  <c r="O14" i="15"/>
  <c r="P14" i="15"/>
  <c r="K16" i="15"/>
  <c r="L16" i="15"/>
  <c r="M16" i="15"/>
  <c r="N16" i="15"/>
  <c r="O16" i="15"/>
  <c r="P16" i="15"/>
  <c r="H18" i="15"/>
  <c r="O3" i="14"/>
  <c r="O4" i="14"/>
  <c r="O5" i="14"/>
  <c r="H9" i="14"/>
  <c r="H19" i="14" s="1"/>
  <c r="K9" i="14"/>
  <c r="L9" i="14" s="1"/>
  <c r="H10" i="14"/>
  <c r="K10" i="14"/>
  <c r="L10" i="14"/>
  <c r="M10" i="14"/>
  <c r="N10" i="14"/>
  <c r="O10" i="14"/>
  <c r="P10" i="14"/>
  <c r="H11" i="14"/>
  <c r="K11" i="14"/>
  <c r="L11" i="14"/>
  <c r="M11" i="14"/>
  <c r="N11" i="14"/>
  <c r="O11" i="14"/>
  <c r="P11" i="14" s="1"/>
  <c r="H12" i="14"/>
  <c r="K12" i="14"/>
  <c r="L12" i="14"/>
  <c r="M12" i="14"/>
  <c r="N12" i="14"/>
  <c r="O12" i="14"/>
  <c r="P12" i="14"/>
  <c r="H13" i="14"/>
  <c r="K13" i="14" s="1"/>
  <c r="H14" i="14"/>
  <c r="K14" i="14"/>
  <c r="L14" i="14"/>
  <c r="M14" i="14"/>
  <c r="N14" i="14"/>
  <c r="O14" i="14"/>
  <c r="P14" i="14"/>
  <c r="K16" i="14"/>
  <c r="L16" i="14"/>
  <c r="M16" i="14"/>
  <c r="N16" i="14"/>
  <c r="O16" i="14"/>
  <c r="P16" i="14"/>
  <c r="H18" i="14"/>
  <c r="O3" i="13"/>
  <c r="O4" i="13"/>
  <c r="O5" i="13"/>
  <c r="H9" i="13"/>
  <c r="K9" i="13"/>
  <c r="L9" i="13"/>
  <c r="M9" i="13"/>
  <c r="N9" i="13"/>
  <c r="O9" i="13"/>
  <c r="P9" i="13"/>
  <c r="H10" i="13"/>
  <c r="K10" i="13"/>
  <c r="L10" i="13"/>
  <c r="M10" i="13"/>
  <c r="N10" i="13"/>
  <c r="O10" i="13"/>
  <c r="P10" i="13"/>
  <c r="H11" i="13"/>
  <c r="K11" i="13"/>
  <c r="L11" i="13"/>
  <c r="M11" i="13"/>
  <c r="N11" i="13"/>
  <c r="O11" i="13"/>
  <c r="P11" i="13"/>
  <c r="H12" i="13"/>
  <c r="H18" i="13" s="1"/>
  <c r="K12" i="13"/>
  <c r="L12" i="13"/>
  <c r="M12" i="13"/>
  <c r="N12" i="13"/>
  <c r="O12" i="13"/>
  <c r="P12" i="13"/>
  <c r="H13" i="13"/>
  <c r="K13" i="13" s="1"/>
  <c r="H14" i="13"/>
  <c r="K14" i="13"/>
  <c r="L14" i="13"/>
  <c r="M14" i="13"/>
  <c r="N14" i="13"/>
  <c r="O14" i="13"/>
  <c r="P14" i="13"/>
  <c r="K16" i="13"/>
  <c r="L16" i="13"/>
  <c r="M16" i="13"/>
  <c r="N16" i="13"/>
  <c r="O16" i="13"/>
  <c r="P16" i="13"/>
  <c r="O3" i="12"/>
  <c r="O4" i="12"/>
  <c r="O5" i="12"/>
  <c r="H9" i="12"/>
  <c r="K9" i="12" s="1"/>
  <c r="H10" i="12"/>
  <c r="K10" i="12"/>
  <c r="L10" i="12"/>
  <c r="M10" i="12"/>
  <c r="N10" i="12"/>
  <c r="O10" i="12"/>
  <c r="P10" i="12"/>
  <c r="H11" i="12"/>
  <c r="K11" i="12"/>
  <c r="L11" i="12"/>
  <c r="M11" i="12"/>
  <c r="N11" i="12"/>
  <c r="O11" i="12"/>
  <c r="P11" i="12"/>
  <c r="H12" i="12"/>
  <c r="H18" i="12" s="1"/>
  <c r="K12" i="12"/>
  <c r="L12" i="12"/>
  <c r="M12" i="12"/>
  <c r="N12" i="12"/>
  <c r="O12" i="12"/>
  <c r="P12" i="12"/>
  <c r="H13" i="12"/>
  <c r="K13" i="12" s="1"/>
  <c r="L13" i="12" s="1"/>
  <c r="H14" i="12"/>
  <c r="K14" i="12" s="1"/>
  <c r="L14" i="12" s="1"/>
  <c r="K16" i="12"/>
  <c r="L16" i="12"/>
  <c r="M16" i="12"/>
  <c r="N16" i="12"/>
  <c r="O16" i="12"/>
  <c r="P16" i="12"/>
  <c r="O3" i="11"/>
  <c r="O4" i="11"/>
  <c r="O5" i="11"/>
  <c r="H9" i="11"/>
  <c r="K9" i="11" s="1"/>
  <c r="H10" i="11"/>
  <c r="K10" i="11"/>
  <c r="L10" i="11"/>
  <c r="M10" i="11"/>
  <c r="N10" i="11"/>
  <c r="O10" i="11"/>
  <c r="P10" i="11"/>
  <c r="H11" i="11"/>
  <c r="K11" i="11"/>
  <c r="L11" i="11"/>
  <c r="M11" i="11"/>
  <c r="N11" i="11"/>
  <c r="O11" i="11"/>
  <c r="P11" i="11"/>
  <c r="H12" i="11"/>
  <c r="H18" i="11" s="1"/>
  <c r="K12" i="11"/>
  <c r="L12" i="11"/>
  <c r="M12" i="11"/>
  <c r="N12" i="11"/>
  <c r="O12" i="11"/>
  <c r="P12" i="11"/>
  <c r="H13" i="11"/>
  <c r="K13" i="11" s="1"/>
  <c r="L13" i="11" s="1"/>
  <c r="H14" i="11"/>
  <c r="K14" i="11"/>
  <c r="L14" i="11"/>
  <c r="M14" i="11"/>
  <c r="N14" i="11"/>
  <c r="O14" i="11"/>
  <c r="P14" i="11"/>
  <c r="K16" i="11"/>
  <c r="L16" i="11"/>
  <c r="M16" i="11"/>
  <c r="N16" i="11"/>
  <c r="O16" i="11"/>
  <c r="P16" i="11"/>
  <c r="O3" i="10"/>
  <c r="O4" i="10"/>
  <c r="N9" i="10" s="1"/>
  <c r="O5" i="10"/>
  <c r="H9" i="10"/>
  <c r="K9" i="10"/>
  <c r="L9" i="10"/>
  <c r="M9" i="10"/>
  <c r="H10" i="10"/>
  <c r="K10" i="10"/>
  <c r="L10" i="10"/>
  <c r="M10" i="10"/>
  <c r="N10" i="10"/>
  <c r="O10" i="10"/>
  <c r="P10" i="10"/>
  <c r="H11" i="10"/>
  <c r="K11" i="10"/>
  <c r="L11" i="10"/>
  <c r="M11" i="10"/>
  <c r="N11" i="10"/>
  <c r="O11" i="10"/>
  <c r="P11" i="10"/>
  <c r="H12" i="10"/>
  <c r="H18" i="10" s="1"/>
  <c r="K12" i="10"/>
  <c r="L12" i="10"/>
  <c r="M12" i="10"/>
  <c r="N12" i="10"/>
  <c r="O12" i="10"/>
  <c r="P12" i="10"/>
  <c r="H13" i="10"/>
  <c r="K13" i="10" s="1"/>
  <c r="H14" i="10"/>
  <c r="K14" i="10"/>
  <c r="L14" i="10"/>
  <c r="M14" i="10"/>
  <c r="N14" i="10"/>
  <c r="O14" i="10"/>
  <c r="P14" i="10"/>
  <c r="K16" i="10"/>
  <c r="L16" i="10"/>
  <c r="M16" i="10"/>
  <c r="N16" i="10"/>
  <c r="O16" i="10"/>
  <c r="P16" i="10"/>
  <c r="O3" i="9"/>
  <c r="O4" i="9"/>
  <c r="O5" i="9"/>
  <c r="H9" i="9"/>
  <c r="K9" i="9"/>
  <c r="L9" i="9"/>
  <c r="M9" i="9"/>
  <c r="N9" i="9"/>
  <c r="O9" i="9"/>
  <c r="P9" i="9"/>
  <c r="H10" i="9"/>
  <c r="K10" i="9"/>
  <c r="L10" i="9"/>
  <c r="M10" i="9"/>
  <c r="N10" i="9"/>
  <c r="O10" i="9"/>
  <c r="P10" i="9"/>
  <c r="H11" i="9"/>
  <c r="K11" i="9"/>
  <c r="L11" i="9"/>
  <c r="M11" i="9"/>
  <c r="N11" i="9"/>
  <c r="O11" i="9"/>
  <c r="P11" i="9"/>
  <c r="H12" i="9"/>
  <c r="H18" i="9" s="1"/>
  <c r="K12" i="9"/>
  <c r="L12" i="9"/>
  <c r="M12" i="9"/>
  <c r="N12" i="9"/>
  <c r="O12" i="9"/>
  <c r="P12" i="9"/>
  <c r="H13" i="9"/>
  <c r="K13" i="9" s="1"/>
  <c r="H14" i="9"/>
  <c r="K14" i="9"/>
  <c r="L14" i="9"/>
  <c r="M14" i="9"/>
  <c r="N14" i="9"/>
  <c r="O14" i="9"/>
  <c r="P14" i="9"/>
  <c r="K16" i="9"/>
  <c r="L16" i="9" s="1"/>
  <c r="O3" i="8"/>
  <c r="O4" i="8"/>
  <c r="O5" i="8"/>
  <c r="H9" i="8"/>
  <c r="K9" i="8"/>
  <c r="L9" i="8"/>
  <c r="M9" i="8"/>
  <c r="N9" i="8"/>
  <c r="O9" i="8"/>
  <c r="P9" i="8"/>
  <c r="H10" i="8"/>
  <c r="K10" i="8"/>
  <c r="L10" i="8"/>
  <c r="M10" i="8"/>
  <c r="N10" i="8"/>
  <c r="O10" i="8"/>
  <c r="P10" i="8"/>
  <c r="H11" i="8"/>
  <c r="K11" i="8"/>
  <c r="L11" i="8"/>
  <c r="M11" i="8"/>
  <c r="N11" i="8"/>
  <c r="O11" i="8"/>
  <c r="P11" i="8"/>
  <c r="H12" i="8"/>
  <c r="H18" i="8" s="1"/>
  <c r="K12" i="8"/>
  <c r="L12" i="8"/>
  <c r="M12" i="8"/>
  <c r="N12" i="8"/>
  <c r="O12" i="8"/>
  <c r="P12" i="8"/>
  <c r="H13" i="8"/>
  <c r="K13" i="8" s="1"/>
  <c r="H14" i="8"/>
  <c r="K14" i="8"/>
  <c r="L14" i="8"/>
  <c r="M14" i="8"/>
  <c r="N14" i="8"/>
  <c r="O14" i="8"/>
  <c r="P14" i="8"/>
  <c r="K16" i="8"/>
  <c r="L16" i="8"/>
  <c r="M16" i="8"/>
  <c r="N16" i="8"/>
  <c r="O16" i="8"/>
  <c r="P16" i="8"/>
  <c r="O3" i="7"/>
  <c r="O4" i="7"/>
  <c r="O5" i="7"/>
  <c r="H9" i="7"/>
  <c r="K9" i="7" s="1"/>
  <c r="H10" i="7"/>
  <c r="K10" i="7"/>
  <c r="L10" i="7"/>
  <c r="M10" i="7"/>
  <c r="N10" i="7"/>
  <c r="O10" i="7"/>
  <c r="P10" i="7"/>
  <c r="H11" i="7"/>
  <c r="K11" i="7"/>
  <c r="L11" i="7"/>
  <c r="M11" i="7"/>
  <c r="N11" i="7"/>
  <c r="O11" i="7"/>
  <c r="P11" i="7"/>
  <c r="H12" i="7"/>
  <c r="H18" i="7" s="1"/>
  <c r="K12" i="7"/>
  <c r="L12" i="7"/>
  <c r="M12" i="7"/>
  <c r="N12" i="7"/>
  <c r="O12" i="7"/>
  <c r="P12" i="7"/>
  <c r="H13" i="7"/>
  <c r="K13" i="7" s="1"/>
  <c r="L13" i="7" s="1"/>
  <c r="H14" i="7"/>
  <c r="K14" i="7"/>
  <c r="L14" i="7"/>
  <c r="M14" i="7"/>
  <c r="N14" i="7"/>
  <c r="O14" i="7"/>
  <c r="P14" i="7"/>
  <c r="K16" i="7"/>
  <c r="L16" i="7"/>
  <c r="M16" i="7"/>
  <c r="N16" i="7"/>
  <c r="O16" i="7"/>
  <c r="P16" i="7"/>
  <c r="O3" i="6"/>
  <c r="O4" i="6"/>
  <c r="O5" i="6"/>
  <c r="H9" i="6"/>
  <c r="K9" i="6" s="1"/>
  <c r="H10" i="6"/>
  <c r="K10" i="6"/>
  <c r="L10" i="6"/>
  <c r="M10" i="6"/>
  <c r="N10" i="6"/>
  <c r="O10" i="6"/>
  <c r="P10" i="6"/>
  <c r="H11" i="6"/>
  <c r="K11" i="6"/>
  <c r="L11" i="6"/>
  <c r="M11" i="6"/>
  <c r="N11" i="6"/>
  <c r="O11" i="6"/>
  <c r="P11" i="6"/>
  <c r="H12" i="6"/>
  <c r="H18" i="6" s="1"/>
  <c r="K12" i="6"/>
  <c r="L12" i="6"/>
  <c r="M12" i="6"/>
  <c r="N12" i="6"/>
  <c r="O12" i="6"/>
  <c r="P12" i="6"/>
  <c r="H13" i="6"/>
  <c r="K13" i="6" s="1"/>
  <c r="L13" i="6" s="1"/>
  <c r="H14" i="6"/>
  <c r="K14" i="6"/>
  <c r="L14" i="6"/>
  <c r="M14" i="6"/>
  <c r="N14" i="6"/>
  <c r="O14" i="6"/>
  <c r="P14" i="6"/>
  <c r="K16" i="6"/>
  <c r="L16" i="6"/>
  <c r="M16" i="6"/>
  <c r="N16" i="6"/>
  <c r="O16" i="6"/>
  <c r="P16" i="6"/>
  <c r="O3" i="5"/>
  <c r="O4" i="5"/>
  <c r="O5" i="5"/>
  <c r="H9" i="5"/>
  <c r="K9" i="5" s="1"/>
  <c r="H10" i="5"/>
  <c r="K10" i="5"/>
  <c r="L10" i="5"/>
  <c r="M10" i="5"/>
  <c r="N10" i="5"/>
  <c r="O10" i="5"/>
  <c r="P10" i="5"/>
  <c r="H11" i="5"/>
  <c r="K11" i="5"/>
  <c r="L11" i="5"/>
  <c r="M11" i="5"/>
  <c r="N11" i="5"/>
  <c r="O11" i="5"/>
  <c r="P11" i="5"/>
  <c r="H12" i="5"/>
  <c r="H18" i="5" s="1"/>
  <c r="K12" i="5"/>
  <c r="L12" i="5"/>
  <c r="M12" i="5"/>
  <c r="N12" i="5"/>
  <c r="O12" i="5"/>
  <c r="P12" i="5"/>
  <c r="H13" i="5"/>
  <c r="K13" i="5" s="1"/>
  <c r="L13" i="5" s="1"/>
  <c r="H14" i="5"/>
  <c r="K14" i="5"/>
  <c r="L14" i="5"/>
  <c r="M14" i="5"/>
  <c r="N14" i="5"/>
  <c r="O14" i="5"/>
  <c r="P14" i="5"/>
  <c r="K16" i="5"/>
  <c r="L16" i="5"/>
  <c r="M16" i="5"/>
  <c r="N16" i="5"/>
  <c r="O16" i="5"/>
  <c r="P16" i="5"/>
  <c r="O3" i="4"/>
  <c r="O4" i="4"/>
  <c r="O5" i="4"/>
  <c r="H9" i="4"/>
  <c r="K9" i="4"/>
  <c r="L9" i="4" s="1"/>
  <c r="H10" i="4"/>
  <c r="K10" i="4"/>
  <c r="L10" i="4"/>
  <c r="M10" i="4"/>
  <c r="N10" i="4"/>
  <c r="O10" i="4"/>
  <c r="P10" i="4"/>
  <c r="H11" i="4"/>
  <c r="K11" i="4"/>
  <c r="L11" i="4"/>
  <c r="M11" i="4"/>
  <c r="N11" i="4"/>
  <c r="O11" i="4"/>
  <c r="P11" i="4"/>
  <c r="H12" i="4"/>
  <c r="H18" i="4" s="1"/>
  <c r="K12" i="4"/>
  <c r="L12" i="4"/>
  <c r="M12" i="4"/>
  <c r="N12" i="4"/>
  <c r="O12" i="4"/>
  <c r="P12" i="4"/>
  <c r="H13" i="4"/>
  <c r="K13" i="4" s="1"/>
  <c r="H14" i="4"/>
  <c r="K14" i="4"/>
  <c r="L14" i="4"/>
  <c r="M14" i="4"/>
  <c r="N14" i="4"/>
  <c r="O14" i="4"/>
  <c r="P14" i="4"/>
  <c r="K16" i="4"/>
  <c r="L16" i="4"/>
  <c r="M16" i="4"/>
  <c r="N16" i="4"/>
  <c r="O16" i="4"/>
  <c r="P16" i="4"/>
  <c r="L37" i="1"/>
  <c r="K36" i="1"/>
  <c r="M36" i="1" s="1"/>
  <c r="K29" i="1"/>
  <c r="M29" i="1" s="1"/>
  <c r="L29" i="1"/>
  <c r="K30" i="1"/>
  <c r="L30" i="1"/>
  <c r="K31" i="1"/>
  <c r="L31" i="1"/>
  <c r="K32" i="1"/>
  <c r="L32" i="1"/>
  <c r="M32" i="1"/>
  <c r="K33" i="1"/>
  <c r="L33" i="1"/>
  <c r="K34" i="1"/>
  <c r="L34" i="1"/>
  <c r="K35" i="1"/>
  <c r="L35" i="1"/>
  <c r="L36" i="1"/>
  <c r="K37" i="1"/>
  <c r="M37" i="1" s="1"/>
  <c r="K38" i="1"/>
  <c r="M38" i="1" s="1"/>
  <c r="L38" i="1"/>
  <c r="K39" i="1"/>
  <c r="L39" i="1"/>
  <c r="K40" i="1"/>
  <c r="L40" i="1"/>
  <c r="M40" i="1"/>
  <c r="K41" i="1"/>
  <c r="L41" i="1"/>
  <c r="K42" i="1"/>
  <c r="L42" i="1"/>
  <c r="K43" i="1"/>
  <c r="L43" i="1"/>
  <c r="K44" i="1"/>
  <c r="L44" i="1"/>
  <c r="K45" i="1"/>
  <c r="M45" i="1" s="1"/>
  <c r="L45" i="1"/>
  <c r="K46" i="1"/>
  <c r="L46" i="1"/>
  <c r="K47" i="1"/>
  <c r="L47" i="1"/>
  <c r="K48" i="1"/>
  <c r="L48" i="1"/>
  <c r="K49" i="1"/>
  <c r="L49" i="1"/>
  <c r="K50" i="1"/>
  <c r="L50" i="1"/>
  <c r="K51" i="1"/>
  <c r="M51" i="1" s="1"/>
  <c r="L51" i="1"/>
  <c r="K52" i="1"/>
  <c r="L52" i="1"/>
  <c r="M52" i="1" s="1"/>
  <c r="K53" i="1"/>
  <c r="L53" i="1"/>
  <c r="K54" i="1"/>
  <c r="L54" i="1"/>
  <c r="M54" i="1" s="1"/>
  <c r="K55" i="1"/>
  <c r="L55" i="1"/>
  <c r="K56" i="1"/>
  <c r="L56" i="1"/>
  <c r="M56" i="1" s="1"/>
  <c r="K57" i="1"/>
  <c r="M57" i="1" s="1"/>
  <c r="L57" i="1"/>
  <c r="K58" i="1"/>
  <c r="L58" i="1"/>
  <c r="M58" i="1" s="1"/>
  <c r="K59" i="1"/>
  <c r="L59" i="1"/>
  <c r="K60" i="1"/>
  <c r="L60" i="1"/>
  <c r="M60" i="1"/>
  <c r="K61" i="1"/>
  <c r="L61" i="1"/>
  <c r="K62" i="1"/>
  <c r="L62" i="1"/>
  <c r="K63" i="1"/>
  <c r="M63" i="1" s="1"/>
  <c r="L63" i="1"/>
  <c r="K64" i="1"/>
  <c r="M64" i="1" s="1"/>
  <c r="L64" i="1"/>
  <c r="K65" i="1"/>
  <c r="L65" i="1"/>
  <c r="M13" i="41" l="1"/>
  <c r="O13" i="41" s="1"/>
  <c r="P13" i="41" s="1"/>
  <c r="N13" i="41"/>
  <c r="K18" i="41"/>
  <c r="L9" i="41"/>
  <c r="K19" i="41"/>
  <c r="H19" i="41"/>
  <c r="N11" i="40"/>
  <c r="M11" i="40"/>
  <c r="O11" i="40" s="1"/>
  <c r="P11" i="40" s="1"/>
  <c r="M13" i="40"/>
  <c r="O13" i="40" s="1"/>
  <c r="P13" i="40" s="1"/>
  <c r="N13" i="40"/>
  <c r="K18" i="40"/>
  <c r="L9" i="40"/>
  <c r="K19" i="40"/>
  <c r="H19" i="40"/>
  <c r="L13" i="39"/>
  <c r="K19" i="39"/>
  <c r="L18" i="39"/>
  <c r="K18" i="39"/>
  <c r="H19" i="39"/>
  <c r="M13" i="38"/>
  <c r="O13" i="38" s="1"/>
  <c r="P13" i="38" s="1"/>
  <c r="N13" i="38"/>
  <c r="L9" i="38"/>
  <c r="K19" i="38"/>
  <c r="K18" i="38"/>
  <c r="H19" i="38"/>
  <c r="M13" i="37"/>
  <c r="O13" i="37" s="1"/>
  <c r="P13" i="37" s="1"/>
  <c r="N13" i="37"/>
  <c r="L9" i="37"/>
  <c r="K19" i="37"/>
  <c r="L18" i="37"/>
  <c r="N11" i="37"/>
  <c r="H19" i="37"/>
  <c r="H18" i="37"/>
  <c r="M13" i="36"/>
  <c r="O13" i="36" s="1"/>
  <c r="P13" i="36" s="1"/>
  <c r="N13" i="36"/>
  <c r="L9" i="36"/>
  <c r="K19" i="36"/>
  <c r="K18" i="36"/>
  <c r="H19" i="36"/>
  <c r="M13" i="35"/>
  <c r="O13" i="35" s="1"/>
  <c r="P13" i="35" s="1"/>
  <c r="N13" i="35"/>
  <c r="K18" i="35"/>
  <c r="L9" i="35"/>
  <c r="K19" i="35"/>
  <c r="H19" i="35"/>
  <c r="M13" i="34"/>
  <c r="O13" i="34" s="1"/>
  <c r="P13" i="34" s="1"/>
  <c r="N13" i="34"/>
  <c r="K18" i="34"/>
  <c r="L9" i="34"/>
  <c r="K19" i="34"/>
  <c r="H19" i="34"/>
  <c r="L13" i="33"/>
  <c r="K18" i="33"/>
  <c r="L19" i="33"/>
  <c r="L13" i="32"/>
  <c r="K18" i="32"/>
  <c r="L19" i="32"/>
  <c r="L13" i="31"/>
  <c r="K18" i="31"/>
  <c r="L19" i="31"/>
  <c r="L13" i="30"/>
  <c r="K18" i="30"/>
  <c r="L19" i="30"/>
  <c r="K19" i="30"/>
  <c r="M13" i="29"/>
  <c r="O13" i="29" s="1"/>
  <c r="P13" i="29" s="1"/>
  <c r="N13" i="29"/>
  <c r="K19" i="29"/>
  <c r="K18" i="29"/>
  <c r="L9" i="29"/>
  <c r="H19" i="29"/>
  <c r="L13" i="28"/>
  <c r="K19" i="28"/>
  <c r="L18" i="28"/>
  <c r="H19" i="28"/>
  <c r="M13" i="27"/>
  <c r="O13" i="27" s="1"/>
  <c r="P13" i="27" s="1"/>
  <c r="N13" i="27"/>
  <c r="L9" i="27"/>
  <c r="K19" i="27"/>
  <c r="K18" i="27"/>
  <c r="H19" i="27"/>
  <c r="M13" i="26"/>
  <c r="O13" i="26" s="1"/>
  <c r="P13" i="26" s="1"/>
  <c r="N13" i="26"/>
  <c r="L9" i="26"/>
  <c r="K18" i="26"/>
  <c r="K19" i="26"/>
  <c r="H19" i="26"/>
  <c r="L13" i="25"/>
  <c r="K19" i="25"/>
  <c r="K18" i="25"/>
  <c r="M9" i="25"/>
  <c r="N9" i="25"/>
  <c r="H19" i="25"/>
  <c r="L18" i="24"/>
  <c r="L13" i="24"/>
  <c r="K19" i="24"/>
  <c r="K18" i="24"/>
  <c r="H19" i="24"/>
  <c r="M13" i="23"/>
  <c r="O13" i="23" s="1"/>
  <c r="P13" i="23" s="1"/>
  <c r="N13" i="23"/>
  <c r="L9" i="23"/>
  <c r="K18" i="23"/>
  <c r="K19" i="23"/>
  <c r="H19" i="23"/>
  <c r="K19" i="22"/>
  <c r="L13" i="22"/>
  <c r="K18" i="22"/>
  <c r="M13" i="21"/>
  <c r="O13" i="21" s="1"/>
  <c r="P13" i="21" s="1"/>
  <c r="N13" i="21"/>
  <c r="K18" i="21"/>
  <c r="L9" i="21"/>
  <c r="K19" i="21"/>
  <c r="H18" i="21"/>
  <c r="K18" i="20"/>
  <c r="K19" i="20"/>
  <c r="L13" i="20"/>
  <c r="H19" i="20"/>
  <c r="M13" i="19"/>
  <c r="O13" i="19" s="1"/>
  <c r="P13" i="19" s="1"/>
  <c r="N13" i="19"/>
  <c r="K19" i="19"/>
  <c r="L9" i="19"/>
  <c r="K18" i="19"/>
  <c r="H19" i="19"/>
  <c r="M13" i="18"/>
  <c r="O13" i="18" s="1"/>
  <c r="P13" i="18" s="1"/>
  <c r="N13" i="18"/>
  <c r="K19" i="18"/>
  <c r="L9" i="18"/>
  <c r="K18" i="18"/>
  <c r="H19" i="18"/>
  <c r="K18" i="17"/>
  <c r="L9" i="17"/>
  <c r="K19" i="17"/>
  <c r="M13" i="17"/>
  <c r="O13" i="17" s="1"/>
  <c r="P13" i="17" s="1"/>
  <c r="N13" i="17"/>
  <c r="N12" i="17"/>
  <c r="H19" i="17"/>
  <c r="O14" i="17"/>
  <c r="P14" i="17" s="1"/>
  <c r="N14" i="17"/>
  <c r="M13" i="16"/>
  <c r="O13" i="16" s="1"/>
  <c r="P13" i="16" s="1"/>
  <c r="N13" i="16"/>
  <c r="L9" i="16"/>
  <c r="K18" i="16"/>
  <c r="K19" i="16"/>
  <c r="H19" i="16"/>
  <c r="O14" i="16"/>
  <c r="P14" i="16" s="1"/>
  <c r="M13" i="15"/>
  <c r="O13" i="15" s="1"/>
  <c r="P13" i="15" s="1"/>
  <c r="N13" i="15"/>
  <c r="K18" i="15"/>
  <c r="L9" i="15"/>
  <c r="K19" i="15"/>
  <c r="O12" i="15"/>
  <c r="P12" i="15" s="1"/>
  <c r="N12" i="15"/>
  <c r="H19" i="15"/>
  <c r="L13" i="14"/>
  <c r="K18" i="14"/>
  <c r="M9" i="14"/>
  <c r="N9" i="14"/>
  <c r="L18" i="14"/>
  <c r="L19" i="14"/>
  <c r="K19" i="14"/>
  <c r="L13" i="13"/>
  <c r="K19" i="13"/>
  <c r="L18" i="13"/>
  <c r="K18" i="13"/>
  <c r="H19" i="13"/>
  <c r="M13" i="12"/>
  <c r="O13" i="12" s="1"/>
  <c r="P13" i="12" s="1"/>
  <c r="N13" i="12"/>
  <c r="M14" i="12"/>
  <c r="O14" i="12" s="1"/>
  <c r="P14" i="12" s="1"/>
  <c r="N14" i="12"/>
  <c r="K18" i="12"/>
  <c r="L9" i="12"/>
  <c r="K19" i="12"/>
  <c r="H19" i="12"/>
  <c r="M13" i="11"/>
  <c r="O13" i="11" s="1"/>
  <c r="P13" i="11" s="1"/>
  <c r="N13" i="11"/>
  <c r="K18" i="11"/>
  <c r="K19" i="11"/>
  <c r="L9" i="11"/>
  <c r="H19" i="11"/>
  <c r="L18" i="10"/>
  <c r="K18" i="10"/>
  <c r="L13" i="10"/>
  <c r="K19" i="10"/>
  <c r="O9" i="10"/>
  <c r="H19" i="10"/>
  <c r="K19" i="9"/>
  <c r="L13" i="9"/>
  <c r="K18" i="9"/>
  <c r="M16" i="9"/>
  <c r="N16" i="9"/>
  <c r="H19" i="9"/>
  <c r="L13" i="8"/>
  <c r="K19" i="8"/>
  <c r="L18" i="8"/>
  <c r="K18" i="8"/>
  <c r="H19" i="8"/>
  <c r="M13" i="7"/>
  <c r="O13" i="7" s="1"/>
  <c r="P13" i="7" s="1"/>
  <c r="N13" i="7"/>
  <c r="K18" i="7"/>
  <c r="K19" i="7"/>
  <c r="L9" i="7"/>
  <c r="H19" i="7"/>
  <c r="M13" i="6"/>
  <c r="O13" i="6" s="1"/>
  <c r="P13" i="6" s="1"/>
  <c r="N13" i="6"/>
  <c r="K18" i="6"/>
  <c r="K19" i="6"/>
  <c r="L9" i="6"/>
  <c r="H19" i="6"/>
  <c r="M13" i="5"/>
  <c r="O13" i="5" s="1"/>
  <c r="P13" i="5" s="1"/>
  <c r="N13" i="5"/>
  <c r="K18" i="5"/>
  <c r="L9" i="5"/>
  <c r="K19" i="5"/>
  <c r="H19" i="5"/>
  <c r="K18" i="4"/>
  <c r="L18" i="4"/>
  <c r="L19" i="4"/>
  <c r="M9" i="4"/>
  <c r="N9" i="4"/>
  <c r="L13" i="4"/>
  <c r="K19" i="4"/>
  <c r="H19" i="4"/>
  <c r="M61" i="1"/>
  <c r="M42" i="1"/>
  <c r="M65" i="1"/>
  <c r="M49" i="1"/>
  <c r="M46" i="1"/>
  <c r="M44" i="1"/>
  <c r="M34" i="1"/>
  <c r="M30" i="1"/>
  <c r="M47" i="1"/>
  <c r="M31" i="1"/>
  <c r="M39" i="1"/>
  <c r="M62" i="1"/>
  <c r="M55" i="1"/>
  <c r="M53" i="1"/>
  <c r="M50" i="1"/>
  <c r="M48" i="1"/>
  <c r="M43" i="1"/>
  <c r="M35" i="1"/>
  <c r="M59" i="1"/>
  <c r="M41" i="1"/>
  <c r="M33" i="1"/>
  <c r="N9" i="41" l="1"/>
  <c r="M9" i="41"/>
  <c r="L18" i="41"/>
  <c r="L19" i="41"/>
  <c r="L18" i="40"/>
  <c r="M9" i="40"/>
  <c r="N9" i="40"/>
  <c r="L19" i="40"/>
  <c r="M13" i="39"/>
  <c r="N13" i="39"/>
  <c r="L19" i="39"/>
  <c r="L18" i="38"/>
  <c r="M9" i="38"/>
  <c r="N9" i="38"/>
  <c r="L19" i="38"/>
  <c r="M9" i="37"/>
  <c r="N9" i="37"/>
  <c r="L19" i="37"/>
  <c r="L19" i="36"/>
  <c r="M9" i="36"/>
  <c r="N9" i="36"/>
  <c r="L18" i="36"/>
  <c r="L19" i="35"/>
  <c r="M9" i="35"/>
  <c r="N9" i="35"/>
  <c r="L18" i="35"/>
  <c r="N9" i="34"/>
  <c r="L18" i="34"/>
  <c r="L19" i="34"/>
  <c r="M9" i="34"/>
  <c r="M13" i="33"/>
  <c r="N13" i="33"/>
  <c r="L18" i="33"/>
  <c r="M13" i="32"/>
  <c r="N13" i="32"/>
  <c r="L18" i="32"/>
  <c r="M13" i="31"/>
  <c r="L18" i="31"/>
  <c r="N13" i="31"/>
  <c r="M13" i="30"/>
  <c r="L18" i="30"/>
  <c r="N13" i="30"/>
  <c r="L19" i="29"/>
  <c r="M9" i="29"/>
  <c r="N9" i="29"/>
  <c r="L18" i="29"/>
  <c r="N13" i="28"/>
  <c r="M13" i="28"/>
  <c r="L19" i="28"/>
  <c r="L18" i="27"/>
  <c r="M9" i="27"/>
  <c r="N9" i="27"/>
  <c r="L19" i="27"/>
  <c r="L18" i="26"/>
  <c r="L19" i="26"/>
  <c r="M9" i="26"/>
  <c r="N9" i="26"/>
  <c r="M13" i="25"/>
  <c r="O13" i="25" s="1"/>
  <c r="P13" i="25" s="1"/>
  <c r="N13" i="25"/>
  <c r="N19" i="25"/>
  <c r="N18" i="25"/>
  <c r="O9" i="25"/>
  <c r="L19" i="25"/>
  <c r="L18" i="25"/>
  <c r="M13" i="24"/>
  <c r="N13" i="24"/>
  <c r="L19" i="24"/>
  <c r="L19" i="23"/>
  <c r="M9" i="23"/>
  <c r="N9" i="23"/>
  <c r="L18" i="23"/>
  <c r="M13" i="22"/>
  <c r="N13" i="22"/>
  <c r="L18" i="22"/>
  <c r="L19" i="22"/>
  <c r="M9" i="21"/>
  <c r="N9" i="21"/>
  <c r="L18" i="21"/>
  <c r="L19" i="21"/>
  <c r="M13" i="20"/>
  <c r="N13" i="20"/>
  <c r="L19" i="20"/>
  <c r="L18" i="20"/>
  <c r="L19" i="19"/>
  <c r="L18" i="19"/>
  <c r="M9" i="19"/>
  <c r="N9" i="19"/>
  <c r="L19" i="18"/>
  <c r="L18" i="18"/>
  <c r="M9" i="18"/>
  <c r="N9" i="18"/>
  <c r="M9" i="17"/>
  <c r="N9" i="17"/>
  <c r="L19" i="17"/>
  <c r="L18" i="17"/>
  <c r="M9" i="16"/>
  <c r="N9" i="16"/>
  <c r="L18" i="16"/>
  <c r="L19" i="16"/>
  <c r="M9" i="15"/>
  <c r="N9" i="15"/>
  <c r="L18" i="15"/>
  <c r="L19" i="15"/>
  <c r="O9" i="14"/>
  <c r="M13" i="14"/>
  <c r="O13" i="14" s="1"/>
  <c r="P13" i="14" s="1"/>
  <c r="N13" i="14"/>
  <c r="N18" i="14" s="1"/>
  <c r="M13" i="13"/>
  <c r="L19" i="13"/>
  <c r="N13" i="13"/>
  <c r="M9" i="12"/>
  <c r="N9" i="12"/>
  <c r="L18" i="12"/>
  <c r="L19" i="12"/>
  <c r="L18" i="11"/>
  <c r="L19" i="11"/>
  <c r="M9" i="11"/>
  <c r="N9" i="11"/>
  <c r="P9" i="10"/>
  <c r="L19" i="10"/>
  <c r="M13" i="10"/>
  <c r="N13" i="10"/>
  <c r="M13" i="9"/>
  <c r="N13" i="9"/>
  <c r="N19" i="9" s="1"/>
  <c r="L19" i="9"/>
  <c r="L18" i="9"/>
  <c r="O16" i="9"/>
  <c r="M13" i="8"/>
  <c r="L19" i="8"/>
  <c r="N13" i="8"/>
  <c r="L18" i="7"/>
  <c r="L19" i="7"/>
  <c r="M9" i="7"/>
  <c r="N9" i="7"/>
  <c r="L18" i="6"/>
  <c r="L19" i="6"/>
  <c r="M9" i="6"/>
  <c r="N9" i="6"/>
  <c r="M9" i="5"/>
  <c r="N9" i="5"/>
  <c r="L18" i="5"/>
  <c r="L19" i="5"/>
  <c r="M13" i="4"/>
  <c r="O13" i="4" s="1"/>
  <c r="P13" i="4" s="1"/>
  <c r="N13" i="4"/>
  <c r="N18" i="4"/>
  <c r="N19" i="4"/>
  <c r="M18" i="4"/>
  <c r="O9" i="4"/>
  <c r="K28" i="1"/>
  <c r="M19" i="41" l="1"/>
  <c r="M18" i="41"/>
  <c r="O9" i="41"/>
  <c r="N19" i="41"/>
  <c r="N18" i="41"/>
  <c r="N18" i="40"/>
  <c r="N19" i="40"/>
  <c r="M18" i="40"/>
  <c r="M19" i="40"/>
  <c r="O9" i="40"/>
  <c r="N19" i="39"/>
  <c r="N18" i="39"/>
  <c r="M19" i="39"/>
  <c r="O13" i="39"/>
  <c r="M18" i="39"/>
  <c r="N19" i="38"/>
  <c r="N18" i="38"/>
  <c r="M18" i="38"/>
  <c r="O9" i="38"/>
  <c r="M19" i="38"/>
  <c r="N19" i="37"/>
  <c r="N18" i="37"/>
  <c r="O9" i="37"/>
  <c r="M19" i="37"/>
  <c r="M18" i="37"/>
  <c r="N18" i="36"/>
  <c r="N19" i="36"/>
  <c r="O9" i="36"/>
  <c r="M19" i="36"/>
  <c r="M18" i="36"/>
  <c r="M18" i="35"/>
  <c r="M19" i="35"/>
  <c r="O9" i="35"/>
  <c r="N18" i="35"/>
  <c r="N19" i="35"/>
  <c r="O9" i="34"/>
  <c r="M19" i="34"/>
  <c r="M18" i="34"/>
  <c r="N19" i="34"/>
  <c r="N18" i="34"/>
  <c r="N18" i="33"/>
  <c r="N19" i="33"/>
  <c r="O13" i="33"/>
  <c r="M18" i="33"/>
  <c r="M19" i="33"/>
  <c r="N19" i="32"/>
  <c r="N18" i="32"/>
  <c r="O13" i="32"/>
  <c r="M18" i="32"/>
  <c r="M19" i="32"/>
  <c r="N18" i="31"/>
  <c r="N19" i="31"/>
  <c r="M18" i="31"/>
  <c r="O13" i="31"/>
  <c r="M19" i="31"/>
  <c r="N19" i="30"/>
  <c r="N18" i="30"/>
  <c r="M18" i="30"/>
  <c r="O13" i="30"/>
  <c r="M19" i="30"/>
  <c r="N19" i="29"/>
  <c r="N18" i="29"/>
  <c r="M18" i="29"/>
  <c r="M19" i="29"/>
  <c r="O9" i="29"/>
  <c r="O13" i="28"/>
  <c r="M19" i="28"/>
  <c r="M18" i="28"/>
  <c r="N19" i="28"/>
  <c r="N18" i="28"/>
  <c r="N19" i="27"/>
  <c r="N18" i="27"/>
  <c r="O9" i="27"/>
  <c r="M19" i="27"/>
  <c r="M18" i="27"/>
  <c r="N18" i="26"/>
  <c r="N19" i="26"/>
  <c r="M19" i="26"/>
  <c r="O9" i="26"/>
  <c r="M18" i="26"/>
  <c r="O19" i="25"/>
  <c r="O18" i="25"/>
  <c r="P9" i="25"/>
  <c r="M19" i="25"/>
  <c r="M18" i="25"/>
  <c r="N19" i="24"/>
  <c r="N18" i="24"/>
  <c r="M19" i="24"/>
  <c r="O13" i="24"/>
  <c r="M18" i="24"/>
  <c r="M18" i="23"/>
  <c r="O9" i="23"/>
  <c r="M19" i="23"/>
  <c r="N19" i="23"/>
  <c r="N18" i="23"/>
  <c r="M18" i="22"/>
  <c r="O13" i="22"/>
  <c r="M19" i="22"/>
  <c r="N19" i="22"/>
  <c r="N18" i="22"/>
  <c r="N19" i="21"/>
  <c r="N18" i="21"/>
  <c r="M18" i="21"/>
  <c r="O9" i="21"/>
  <c r="M19" i="21"/>
  <c r="N19" i="20"/>
  <c r="N18" i="20"/>
  <c r="O13" i="20"/>
  <c r="M19" i="20"/>
  <c r="M18" i="20"/>
  <c r="N19" i="19"/>
  <c r="N18" i="19"/>
  <c r="M19" i="19"/>
  <c r="O9" i="19"/>
  <c r="M18" i="19"/>
  <c r="N18" i="18"/>
  <c r="N19" i="18"/>
  <c r="M19" i="18"/>
  <c r="O9" i="18"/>
  <c r="M18" i="18"/>
  <c r="N19" i="17"/>
  <c r="N18" i="17"/>
  <c r="M18" i="17"/>
  <c r="O9" i="17"/>
  <c r="M19" i="17"/>
  <c r="N18" i="16"/>
  <c r="N19" i="16"/>
  <c r="O9" i="16"/>
  <c r="M18" i="16"/>
  <c r="M19" i="16"/>
  <c r="M18" i="15"/>
  <c r="O9" i="15"/>
  <c r="M19" i="15"/>
  <c r="N19" i="15"/>
  <c r="N18" i="15"/>
  <c r="M18" i="14"/>
  <c r="P9" i="14"/>
  <c r="O19" i="14"/>
  <c r="O18" i="14"/>
  <c r="M19" i="14"/>
  <c r="N19" i="14"/>
  <c r="N19" i="13"/>
  <c r="N18" i="13"/>
  <c r="O13" i="13"/>
  <c r="M19" i="13"/>
  <c r="M18" i="13"/>
  <c r="N18" i="12"/>
  <c r="N19" i="12"/>
  <c r="O9" i="12"/>
  <c r="M18" i="12"/>
  <c r="M19" i="12"/>
  <c r="N18" i="11"/>
  <c r="N19" i="11"/>
  <c r="O9" i="11"/>
  <c r="M18" i="11"/>
  <c r="M19" i="11"/>
  <c r="N18" i="10"/>
  <c r="N19" i="10"/>
  <c r="O13" i="10"/>
  <c r="M19" i="10"/>
  <c r="M18" i="10"/>
  <c r="M19" i="9"/>
  <c r="O13" i="9"/>
  <c r="M18" i="9"/>
  <c r="P16" i="9"/>
  <c r="N18" i="9"/>
  <c r="N18" i="8"/>
  <c r="N19" i="8"/>
  <c r="M19" i="8"/>
  <c r="O13" i="8"/>
  <c r="M18" i="8"/>
  <c r="M18" i="7"/>
  <c r="M19" i="7"/>
  <c r="O9" i="7"/>
  <c r="N18" i="7"/>
  <c r="N19" i="7"/>
  <c r="N18" i="6"/>
  <c r="N19" i="6"/>
  <c r="M18" i="6"/>
  <c r="M19" i="6"/>
  <c r="O9" i="6"/>
  <c r="N18" i="5"/>
  <c r="N19" i="5"/>
  <c r="M18" i="5"/>
  <c r="M19" i="5"/>
  <c r="O9" i="5"/>
  <c r="O19" i="4"/>
  <c r="O18" i="4"/>
  <c r="P9" i="4"/>
  <c r="M19" i="4"/>
  <c r="A19" i="1"/>
  <c r="O18" i="41" l="1"/>
  <c r="P9" i="41"/>
  <c r="O19" i="41"/>
  <c r="O18" i="40"/>
  <c r="O19" i="40"/>
  <c r="P9" i="40"/>
  <c r="P13" i="39"/>
  <c r="O19" i="39"/>
  <c r="O18" i="39"/>
  <c r="P9" i="38"/>
  <c r="O19" i="38"/>
  <c r="O18" i="38"/>
  <c r="O19" i="37"/>
  <c r="P9" i="37"/>
  <c r="O18" i="37"/>
  <c r="O18" i="36"/>
  <c r="P9" i="36"/>
  <c r="O19" i="36"/>
  <c r="O18" i="35"/>
  <c r="O19" i="35"/>
  <c r="P9" i="35"/>
  <c r="O19" i="34"/>
  <c r="P9" i="34"/>
  <c r="O18" i="34"/>
  <c r="P13" i="33"/>
  <c r="O19" i="33"/>
  <c r="O18" i="33"/>
  <c r="P13" i="32"/>
  <c r="O18" i="32"/>
  <c r="O19" i="32"/>
  <c r="P13" i="31"/>
  <c r="O18" i="31"/>
  <c r="O19" i="31"/>
  <c r="P13" i="30"/>
  <c r="O19" i="30"/>
  <c r="O18" i="30"/>
  <c r="P9" i="29"/>
  <c r="O18" i="29"/>
  <c r="O19" i="29"/>
  <c r="P13" i="28"/>
  <c r="O19" i="28"/>
  <c r="O18" i="28"/>
  <c r="P9" i="27"/>
  <c r="O19" i="27"/>
  <c r="O18" i="27"/>
  <c r="O19" i="26"/>
  <c r="P9" i="26"/>
  <c r="O18" i="26"/>
  <c r="P19" i="25"/>
  <c r="P18" i="25"/>
  <c r="O19" i="24"/>
  <c r="P13" i="24"/>
  <c r="O18" i="24"/>
  <c r="O19" i="23"/>
  <c r="O18" i="23"/>
  <c r="P9" i="23"/>
  <c r="P13" i="22"/>
  <c r="O19" i="22"/>
  <c r="O18" i="22"/>
  <c r="P9" i="21"/>
  <c r="O19" i="21"/>
  <c r="O18" i="21"/>
  <c r="P13" i="20"/>
  <c r="O19" i="20"/>
  <c r="O18" i="20"/>
  <c r="O18" i="19"/>
  <c r="P9" i="19"/>
  <c r="O19" i="19"/>
  <c r="O18" i="18"/>
  <c r="O19" i="18"/>
  <c r="P9" i="18"/>
  <c r="P9" i="17"/>
  <c r="O19" i="17"/>
  <c r="O18" i="17"/>
  <c r="P9" i="16"/>
  <c r="O18" i="16"/>
  <c r="O19" i="16"/>
  <c r="P9" i="15"/>
  <c r="O19" i="15"/>
  <c r="O18" i="15"/>
  <c r="P19" i="14"/>
  <c r="P18" i="14"/>
  <c r="O19" i="13"/>
  <c r="P13" i="13"/>
  <c r="O18" i="13"/>
  <c r="O19" i="12"/>
  <c r="P9" i="12"/>
  <c r="O18" i="12"/>
  <c r="O18" i="11"/>
  <c r="O19" i="11"/>
  <c r="P9" i="11"/>
  <c r="P13" i="10"/>
  <c r="O19" i="10"/>
  <c r="O18" i="10"/>
  <c r="O19" i="9"/>
  <c r="P13" i="9"/>
  <c r="P19" i="9" s="1"/>
  <c r="O18" i="9"/>
  <c r="O19" i="8"/>
  <c r="P13" i="8"/>
  <c r="O18" i="8"/>
  <c r="O18" i="7"/>
  <c r="O19" i="7"/>
  <c r="P9" i="7"/>
  <c r="O18" i="6"/>
  <c r="O19" i="6"/>
  <c r="P9" i="6"/>
  <c r="O19" i="5"/>
  <c r="P9" i="5"/>
  <c r="O18" i="5"/>
  <c r="P19" i="4"/>
  <c r="P18" i="4"/>
  <c r="F31" i="1"/>
  <c r="F40" i="1"/>
  <c r="F48" i="1"/>
  <c r="F56" i="1"/>
  <c r="F64" i="1"/>
  <c r="F57" i="1"/>
  <c r="F33" i="1"/>
  <c r="F50" i="1"/>
  <c r="F28" i="1"/>
  <c r="N28" i="1" s="1"/>
  <c r="F34" i="1"/>
  <c r="F43" i="1"/>
  <c r="F51" i="1"/>
  <c r="F37" i="1"/>
  <c r="F45" i="1"/>
  <c r="F61" i="1"/>
  <c r="F35" i="1"/>
  <c r="F29" i="1"/>
  <c r="F46" i="1"/>
  <c r="F55" i="1"/>
  <c r="F32" i="1"/>
  <c r="F41" i="1"/>
  <c r="F49" i="1"/>
  <c r="F65" i="1"/>
  <c r="F42" i="1"/>
  <c r="F58" i="1"/>
  <c r="F59" i="1"/>
  <c r="F53" i="1"/>
  <c r="F38" i="1"/>
  <c r="F54" i="1"/>
  <c r="F39" i="1"/>
  <c r="F47" i="1"/>
  <c r="F63" i="1"/>
  <c r="F36" i="1"/>
  <c r="F44" i="1"/>
  <c r="F52" i="1"/>
  <c r="F60" i="1"/>
  <c r="F62" i="1"/>
  <c r="F30" i="1"/>
  <c r="P19" i="41" l="1"/>
  <c r="P18" i="41"/>
  <c r="P19" i="40"/>
  <c r="P18" i="40"/>
  <c r="P18" i="39"/>
  <c r="P19" i="39"/>
  <c r="P19" i="38"/>
  <c r="P18" i="38"/>
  <c r="P19" i="37"/>
  <c r="P18" i="37"/>
  <c r="P19" i="36"/>
  <c r="P18" i="36"/>
  <c r="P19" i="35"/>
  <c r="P18" i="35"/>
  <c r="P19" i="34"/>
  <c r="P18" i="34"/>
  <c r="P18" i="33"/>
  <c r="P19" i="33"/>
  <c r="P19" i="32"/>
  <c r="P18" i="32"/>
  <c r="P18" i="31"/>
  <c r="P19" i="31"/>
  <c r="P18" i="30"/>
  <c r="P19" i="30"/>
  <c r="P19" i="29"/>
  <c r="P18" i="29"/>
  <c r="P18" i="28"/>
  <c r="P19" i="28"/>
  <c r="P19" i="27"/>
  <c r="P18" i="27"/>
  <c r="P19" i="26"/>
  <c r="P18" i="26"/>
  <c r="P19" i="24"/>
  <c r="P18" i="24"/>
  <c r="P19" i="23"/>
  <c r="P18" i="23"/>
  <c r="P18" i="22"/>
  <c r="P19" i="22"/>
  <c r="P19" i="21"/>
  <c r="P18" i="21"/>
  <c r="P18" i="20"/>
  <c r="P19" i="20"/>
  <c r="P19" i="19"/>
  <c r="P18" i="19"/>
  <c r="P19" i="18"/>
  <c r="P18" i="18"/>
  <c r="P19" i="17"/>
  <c r="P18" i="17"/>
  <c r="P19" i="16"/>
  <c r="P18" i="16"/>
  <c r="P19" i="15"/>
  <c r="P18" i="15"/>
  <c r="P18" i="13"/>
  <c r="P19" i="13"/>
  <c r="P19" i="12"/>
  <c r="P18" i="12"/>
  <c r="P19" i="11"/>
  <c r="P18" i="11"/>
  <c r="P19" i="10"/>
  <c r="P18" i="10"/>
  <c r="P18" i="9"/>
  <c r="P18" i="8"/>
  <c r="P19" i="8"/>
  <c r="P19" i="7"/>
  <c r="P18" i="7"/>
  <c r="P19" i="6"/>
  <c r="P18" i="6"/>
  <c r="P19" i="5"/>
  <c r="P18" i="5"/>
  <c r="N36" i="1"/>
  <c r="O36" i="1"/>
  <c r="N29" i="1"/>
  <c r="P29" i="1" s="1"/>
  <c r="O29" i="1"/>
  <c r="N63" i="1"/>
  <c r="O63" i="1"/>
  <c r="N42" i="1"/>
  <c r="O42" i="1"/>
  <c r="P42" i="1" s="1"/>
  <c r="N35" i="1"/>
  <c r="P35" i="1" s="1"/>
  <c r="O35" i="1"/>
  <c r="N50" i="1"/>
  <c r="P50" i="1" s="1"/>
  <c r="O50" i="1"/>
  <c r="N47" i="1"/>
  <c r="O47" i="1"/>
  <c r="O65" i="1"/>
  <c r="N65" i="1"/>
  <c r="P65" i="1" s="1"/>
  <c r="O61" i="1"/>
  <c r="N61" i="1"/>
  <c r="N33" i="1"/>
  <c r="P33" i="1" s="1"/>
  <c r="O33" i="1"/>
  <c r="N39" i="1"/>
  <c r="O39" i="1"/>
  <c r="O45" i="1"/>
  <c r="N45" i="1"/>
  <c r="P45" i="1" s="1"/>
  <c r="N54" i="1"/>
  <c r="O54" i="1"/>
  <c r="N38" i="1"/>
  <c r="P38" i="1" s="1"/>
  <c r="O38" i="1"/>
  <c r="N56" i="1"/>
  <c r="O56" i="1"/>
  <c r="P56" i="1" s="1"/>
  <c r="N58" i="1"/>
  <c r="O58" i="1"/>
  <c r="N31" i="1"/>
  <c r="P31" i="1" s="1"/>
  <c r="O31" i="1"/>
  <c r="O30" i="1"/>
  <c r="N30" i="1"/>
  <c r="N49" i="1"/>
  <c r="O49" i="1"/>
  <c r="N57" i="1"/>
  <c r="O57" i="1"/>
  <c r="P57" i="1" s="1"/>
  <c r="N62" i="1"/>
  <c r="P62" i="1" s="1"/>
  <c r="O62" i="1"/>
  <c r="N41" i="1"/>
  <c r="P41" i="1" s="1"/>
  <c r="O41" i="1"/>
  <c r="O37" i="1"/>
  <c r="N37" i="1"/>
  <c r="P37" i="1" s="1"/>
  <c r="O64" i="1"/>
  <c r="N64" i="1"/>
  <c r="P64" i="1" s="1"/>
  <c r="N60" i="1"/>
  <c r="P60" i="1" s="1"/>
  <c r="O60" i="1"/>
  <c r="N32" i="1"/>
  <c r="P32" i="1" s="1"/>
  <c r="O32" i="1"/>
  <c r="N51" i="1"/>
  <c r="O51" i="1"/>
  <c r="N52" i="1"/>
  <c r="O52" i="1"/>
  <c r="P52" i="1" s="1"/>
  <c r="N53" i="1"/>
  <c r="P53" i="1" s="1"/>
  <c r="O53" i="1"/>
  <c r="N55" i="1"/>
  <c r="P55" i="1" s="1"/>
  <c r="O55" i="1"/>
  <c r="N43" i="1"/>
  <c r="O43" i="1"/>
  <c r="N48" i="1"/>
  <c r="O48" i="1"/>
  <c r="P48" i="1" s="1"/>
  <c r="N44" i="1"/>
  <c r="O44" i="1"/>
  <c r="N59" i="1"/>
  <c r="P59" i="1" s="1"/>
  <c r="O59" i="1"/>
  <c r="N46" i="1"/>
  <c r="O46" i="1"/>
  <c r="N34" i="1"/>
  <c r="O34" i="1"/>
  <c r="N40" i="1"/>
  <c r="P40" i="1" s="1"/>
  <c r="O40" i="1"/>
  <c r="L28" i="1"/>
  <c r="O28" i="1" s="1"/>
  <c r="P28" i="1" s="1"/>
  <c r="P34" i="1" l="1"/>
  <c r="P58" i="1"/>
  <c r="P46" i="1"/>
  <c r="P51" i="1"/>
  <c r="P39" i="1"/>
  <c r="P63" i="1"/>
  <c r="P30" i="1"/>
  <c r="P43" i="1"/>
  <c r="P49" i="1"/>
  <c r="P47" i="1"/>
  <c r="P44" i="1"/>
  <c r="P54" i="1"/>
  <c r="P61" i="1"/>
  <c r="P36" i="1"/>
  <c r="M28" i="1"/>
</calcChain>
</file>

<file path=xl/sharedStrings.xml><?xml version="1.0" encoding="utf-8"?>
<sst xmlns="http://schemas.openxmlformats.org/spreadsheetml/2006/main" count="1726" uniqueCount="150">
  <si>
    <t>Harvest</t>
  </si>
  <si>
    <t>Field wt</t>
  </si>
  <si>
    <t>HADAT</t>
  </si>
  <si>
    <t>WBWAH</t>
  </si>
  <si>
    <t>(kg/ha)</t>
  </si>
  <si>
    <t>Parameters</t>
  </si>
  <si>
    <t>m2 per ha</t>
  </si>
  <si>
    <t>Ginning</t>
  </si>
  <si>
    <t>Sample</t>
  </si>
  <si>
    <t>wt</t>
  </si>
  <si>
    <t>(g)</t>
  </si>
  <si>
    <t>Fiber</t>
  </si>
  <si>
    <t>Seed</t>
  </si>
  <si>
    <t>FFRAC</t>
  </si>
  <si>
    <t>SFRAC</t>
  </si>
  <si>
    <t>TFRAC</t>
  </si>
  <si>
    <t>(g/g)</t>
  </si>
  <si>
    <t>Compute</t>
  </si>
  <si>
    <t>WFWAH</t>
  </si>
  <si>
    <t>WSWAH</t>
  </si>
  <si>
    <t>WSCWAH</t>
  </si>
  <si>
    <t>PID</t>
  </si>
  <si>
    <t>Column H - Weight of bulk cotton subsample prior to ginning (g)</t>
  </si>
  <si>
    <t>Column K - Fiber fraction after ginning (FFRAC, g/g)</t>
  </si>
  <si>
    <t>Column L - Seed fraction after ginning (SFRAC, g/g)</t>
  </si>
  <si>
    <t>Column N - Wet fiber weight at harvest (WFWAH, kg/ha)</t>
  </si>
  <si>
    <t>Column O - Wet seed weight at harvest (WSWAH, kg/ha)</t>
  </si>
  <si>
    <t>Column P - Wet seed cotton weight at harvest (fiber + seed) (WSCWAH, kg/ha)</t>
  </si>
  <si>
    <t>HARM</t>
  </si>
  <si>
    <t>Hand</t>
  </si>
  <si>
    <t>Column C - Harvest method (HARM)</t>
  </si>
  <si>
    <t>Size of harvest area (6 40-inch rows by 4 m) (m2)</t>
  </si>
  <si>
    <t>Column F - Wet bulk weight at harvest (fiber + seed + trash) (WBWAH, kg/ha)</t>
  </si>
  <si>
    <t>Date</t>
  </si>
  <si>
    <t>GNDAT</t>
  </si>
  <si>
    <t>Column D - Harvest date (HADAT, mm/dd/yyyy)</t>
  </si>
  <si>
    <t>Column G - Ginning Date (GNDAT, mm/dd/yyyy)</t>
  </si>
  <si>
    <t>HID</t>
  </si>
  <si>
    <t>p02</t>
  </si>
  <si>
    <t>p04</t>
  </si>
  <si>
    <t>p05</t>
  </si>
  <si>
    <t>p06</t>
  </si>
  <si>
    <t>p07</t>
  </si>
  <si>
    <t>p08</t>
  </si>
  <si>
    <t>p11</t>
  </si>
  <si>
    <t>p12</t>
  </si>
  <si>
    <t>p13</t>
  </si>
  <si>
    <t>p14</t>
  </si>
  <si>
    <t>p15</t>
  </si>
  <si>
    <t>p16</t>
  </si>
  <si>
    <t>p17</t>
  </si>
  <si>
    <t>p18</t>
  </si>
  <si>
    <t>p21</t>
  </si>
  <si>
    <t>p22</t>
  </si>
  <si>
    <t>p23</t>
  </si>
  <si>
    <t>p24</t>
  </si>
  <si>
    <t>p25</t>
  </si>
  <si>
    <t>p26</t>
  </si>
  <si>
    <t>p27</t>
  </si>
  <si>
    <t>p28</t>
  </si>
  <si>
    <t>p31</t>
  </si>
  <si>
    <t>p32</t>
  </si>
  <si>
    <t>p33</t>
  </si>
  <si>
    <t>p34</t>
  </si>
  <si>
    <t>p35</t>
  </si>
  <si>
    <t>p36</t>
  </si>
  <si>
    <t>p37</t>
  </si>
  <si>
    <t>p38</t>
  </si>
  <si>
    <t>p41</t>
  </si>
  <si>
    <t>p42</t>
  </si>
  <si>
    <t>p43</t>
  </si>
  <si>
    <t>p44</t>
  </si>
  <si>
    <t>p45</t>
  </si>
  <si>
    <t>p46</t>
  </si>
  <si>
    <t>p47</t>
  </si>
  <si>
    <t>p48</t>
  </si>
  <si>
    <t>ID</t>
  </si>
  <si>
    <t>Column A - ID (ID)</t>
  </si>
  <si>
    <t>Column B - Harvest Area ID (HID)</t>
  </si>
  <si>
    <t>(kg)</t>
  </si>
  <si>
    <t>Column E - Weight of bulk hand-picked cotton in six 4 m rows (kg)</t>
  </si>
  <si>
    <t>Column I - Weight of fiber after ginning (g)</t>
  </si>
  <si>
    <t>Column M - Trash fraction after ginning (TFRAC, g/g)</t>
  </si>
  <si>
    <t>Lint Yield</t>
  </si>
  <si>
    <t>SCYield</t>
  </si>
  <si>
    <t>Original</t>
  </si>
  <si>
    <t>Spreadsheet</t>
  </si>
  <si>
    <t>Column J - Weight of fuzzy seed after ginning (g)</t>
  </si>
  <si>
    <t>Sampled 4m length of row</t>
  </si>
  <si>
    <t>Please note color, mold, extra trash, hard locks, anything unusual.</t>
  </si>
  <si>
    <t xml:space="preserve">Standard Error:    </t>
  </si>
  <si>
    <t xml:space="preserve">Grand Mean:     </t>
  </si>
  <si>
    <t>Wt of Gleaned Sample</t>
  </si>
  <si>
    <t>n/a</t>
  </si>
  <si>
    <t>Date Gleaned</t>
  </si>
  <si>
    <t>approx. bales/acre</t>
  </si>
  <si>
    <t>lbs/acre</t>
  </si>
  <si>
    <t>kg/ha</t>
  </si>
  <si>
    <r>
      <t>g</t>
    </r>
    <r>
      <rPr>
        <b/>
        <sz val="10"/>
        <color indexed="8"/>
        <rFont val="Arial"/>
        <family val="2"/>
      </rPr>
      <t>/m row</t>
    </r>
  </si>
  <si>
    <t>Notes</t>
  </si>
  <si>
    <t>Total (kg)</t>
  </si>
  <si>
    <t>Bag # 3  (kg)</t>
  </si>
  <si>
    <t>Bag # 2  (kg)</t>
  </si>
  <si>
    <t>Bag # 1  (kg)</t>
  </si>
  <si>
    <t>Length (m)</t>
  </si>
  <si>
    <t>Row</t>
  </si>
  <si>
    <t>Lint</t>
  </si>
  <si>
    <t>Seed Cotton</t>
  </si>
  <si>
    <t>Seed Fraction</t>
  </si>
  <si>
    <t>Seed Weight:</t>
  </si>
  <si>
    <t>Time weighed:</t>
  </si>
  <si>
    <t>Lint Fraction:</t>
  </si>
  <si>
    <t>Lint Weight:</t>
  </si>
  <si>
    <t>smm</t>
  </si>
  <si>
    <t>Initials:</t>
  </si>
  <si>
    <t>Date weighed:</t>
  </si>
  <si>
    <t>Trash Fraction:</t>
  </si>
  <si>
    <t>Gross Weight (g)</t>
  </si>
  <si>
    <t>Date picked:</t>
  </si>
  <si>
    <t>Date Ginned:</t>
  </si>
  <si>
    <t>Plot:</t>
  </si>
  <si>
    <t>FISE 2007 - Seed Cotton</t>
  </si>
  <si>
    <t>This bag picked 1 Nov.   When counting the # of plants harvested, a plant at the end of row 3 was discovered only partially picked.</t>
  </si>
  <si>
    <t>Row 4 has 2 bags labeled "1/2" and 1 bag labeled "2/2" (I relabeled the bags "#/3")</t>
  </si>
  <si>
    <t>This bag picked 1 Nov.   When counting the # of plants harvested, a plant at the end of row 6 was discovered only partially picked.</t>
  </si>
  <si>
    <t>"Large skip"</t>
  </si>
  <si>
    <t>Gross Weight (k)</t>
  </si>
  <si>
    <t xml:space="preserve"> </t>
  </si>
  <si>
    <t>Row 8 bags labeled "Plot 36"</t>
  </si>
  <si>
    <t>(so plot 35 probably OK)</t>
  </si>
  <si>
    <t>bag 2/2 pretty trashy</t>
  </si>
  <si>
    <t>Quite a few unopened cotton "wedges" compared to other plots that have been processed previously</t>
  </si>
  <si>
    <t>NOTES</t>
  </si>
  <si>
    <t>Plot</t>
  </si>
  <si>
    <t>Seed        weight (g)</t>
  </si>
  <si>
    <t>Seed in bag</t>
  </si>
  <si>
    <t>Lint     weight (g)</t>
  </si>
  <si>
    <t>Lint in bag</t>
  </si>
  <si>
    <t>Seed cotton weight (g)</t>
  </si>
  <si>
    <t>Seed cotton in bags</t>
  </si>
  <si>
    <t>Weight of 1 paper bag:</t>
  </si>
  <si>
    <t>Weight plastic 13 gal. bag:</t>
  </si>
  <si>
    <t>Weight of 2 paper bags:</t>
  </si>
  <si>
    <t>Each plot sample was in 2 paper bags.  The lint was placed into one 13 gallon kitchen garbage bag.  The seed was placed into 1 paper bag.</t>
  </si>
  <si>
    <r>
      <t xml:space="preserve">The scale was </t>
    </r>
    <r>
      <rPr>
        <b/>
        <sz val="10"/>
        <rFont val="Arial"/>
        <family val="2"/>
      </rPr>
      <t xml:space="preserve">not </t>
    </r>
    <r>
      <rPr>
        <sz val="11"/>
        <color theme="1"/>
        <rFont val="Calibri"/>
        <family val="2"/>
        <scheme val="minor"/>
      </rPr>
      <t xml:space="preserve">tared before weighing.  Instead the scale was zeroed and all samples weighed in bags.  Weights were taken of empty sample bags and later subtracted from the total weights.  </t>
    </r>
  </si>
  <si>
    <t>All weights in grams.</t>
  </si>
  <si>
    <t>14 Nov 2007      -     SMM &amp; DP</t>
  </si>
  <si>
    <t>Date ginned:</t>
  </si>
  <si>
    <t>Ginned Subsamples</t>
  </si>
  <si>
    <t>FISE Cotton 2007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</si>
</sst>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0"/>
    <numFmt numFmtId="166" formatCode="0.000"/>
    <numFmt numFmtId="167" formatCode="hhmm"/>
    <numFmt numFmtId="168" formatCode="00"/>
  </numFmts>
  <fonts count="20" x14ac:knownFonts="1">
    <font>
      <sz val="11"/>
      <color theme="1"/>
      <name val="Calibri"/>
      <family val="2"/>
      <scheme val="minor"/>
    </font>
    <font>
      <sz val="10"/>
      <name val="Arial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8"/>
      <name val="Arial"/>
    </font>
    <font>
      <b/>
      <sz val="8"/>
      <name val="Arial"/>
      <family val="2"/>
    </font>
    <font>
      <b/>
      <sz val="12"/>
      <color indexed="18"/>
      <name val="Arial"/>
      <family val="2"/>
    </font>
    <font>
      <b/>
      <sz val="10"/>
      <color indexed="8"/>
      <name val="Arial"/>
      <family val="2"/>
    </font>
    <font>
      <sz val="14"/>
      <name val="Arial"/>
      <family val="2"/>
    </font>
    <font>
      <b/>
      <sz val="16"/>
      <name val="Arial"/>
      <family val="2"/>
    </font>
    <font>
      <b/>
      <sz val="14"/>
      <name val="Arial"/>
      <family val="2"/>
    </font>
    <font>
      <b/>
      <sz val="24"/>
      <name val="Comic Sans MS"/>
      <family val="4"/>
    </font>
    <font>
      <sz val="10"/>
      <color indexed="10"/>
      <name val="Arial"/>
    </font>
    <font>
      <sz val="9"/>
      <name val="Arial"/>
    </font>
    <font>
      <sz val="9"/>
      <name val="Arial"/>
      <family val="2"/>
    </font>
    <font>
      <sz val="8"/>
      <name val="Arial"/>
      <family val="2"/>
    </font>
    <font>
      <u/>
      <sz val="10"/>
      <name val="Arial"/>
      <family val="2"/>
    </font>
    <font>
      <b/>
      <u/>
      <sz val="11"/>
      <name val="Arial"/>
      <family val="2"/>
    </font>
    <font>
      <b/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2"/>
        <bgColor indexed="64"/>
      </patternFill>
    </fill>
  </fills>
  <borders count="21">
    <border>
      <left/>
      <right/>
      <top/>
      <bottom/>
      <diagonal/>
    </border>
    <border>
      <left/>
      <right style="thick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thick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/>
  </cellStyleXfs>
  <cellXfs count="115">
    <xf numFmtId="0" fontId="0" fillId="0" borderId="0" xfId="0"/>
    <xf numFmtId="0" fontId="0" fillId="2" borderId="0" xfId="0" applyFill="1"/>
    <xf numFmtId="14" fontId="0" fillId="2" borderId="0" xfId="0" applyNumberFormat="1" applyFill="1"/>
    <xf numFmtId="164" fontId="0" fillId="0" borderId="0" xfId="0" applyNumberFormat="1"/>
    <xf numFmtId="164" fontId="0" fillId="2" borderId="0" xfId="0" applyNumberFormat="1" applyFill="1"/>
    <xf numFmtId="2" fontId="0" fillId="2" borderId="0" xfId="0" applyNumberFormat="1" applyFill="1"/>
    <xf numFmtId="165" fontId="0" fillId="2" borderId="0" xfId="0" applyNumberFormat="1" applyFill="1"/>
    <xf numFmtId="2" fontId="0" fillId="0" borderId="0" xfId="0" applyNumberFormat="1"/>
    <xf numFmtId="0" fontId="1" fillId="0" borderId="0" xfId="1"/>
    <xf numFmtId="166" fontId="2" fillId="3" borderId="0" xfId="1" applyNumberFormat="1" applyFont="1" applyFill="1"/>
    <xf numFmtId="2" fontId="2" fillId="0" borderId="0" xfId="1" applyNumberFormat="1" applyFont="1"/>
    <xf numFmtId="2" fontId="2" fillId="0" borderId="1" xfId="1" applyNumberFormat="1" applyFont="1" applyBorder="1"/>
    <xf numFmtId="0" fontId="1" fillId="0" borderId="2" xfId="1" applyBorder="1"/>
    <xf numFmtId="0" fontId="1" fillId="4" borderId="3" xfId="1" applyFill="1" applyBorder="1"/>
    <xf numFmtId="2" fontId="3" fillId="0" borderId="3" xfId="1" applyNumberFormat="1" applyFont="1" applyBorder="1" applyAlignment="1">
      <alignment horizontal="center"/>
    </xf>
    <xf numFmtId="0" fontId="4" fillId="0" borderId="4" xfId="1" applyFont="1" applyBorder="1" applyAlignment="1">
      <alignment horizontal="right" vertical="center"/>
    </xf>
    <xf numFmtId="0" fontId="4" fillId="0" borderId="5" xfId="1" applyFont="1" applyBorder="1" applyAlignment="1">
      <alignment horizontal="right" vertical="center"/>
    </xf>
    <xf numFmtId="2" fontId="3" fillId="0" borderId="0" xfId="1" applyNumberFormat="1" applyFont="1"/>
    <xf numFmtId="164" fontId="3" fillId="0" borderId="0" xfId="1" applyNumberFormat="1" applyFont="1"/>
    <xf numFmtId="2" fontId="3" fillId="0" borderId="1" xfId="1" applyNumberFormat="1" applyFont="1" applyBorder="1"/>
    <xf numFmtId="0" fontId="4" fillId="0" borderId="6" xfId="1" applyFont="1" applyBorder="1" applyAlignment="1">
      <alignment horizontal="right" vertical="center"/>
    </xf>
    <xf numFmtId="166" fontId="1" fillId="0" borderId="0" xfId="1" applyNumberFormat="1"/>
    <xf numFmtId="164" fontId="1" fillId="0" borderId="0" xfId="1" applyNumberFormat="1"/>
    <xf numFmtId="2" fontId="1" fillId="0" borderId="1" xfId="1" applyNumberFormat="1" applyBorder="1"/>
    <xf numFmtId="2" fontId="1" fillId="0" borderId="0" xfId="1" applyNumberFormat="1"/>
    <xf numFmtId="0" fontId="1" fillId="0" borderId="3" xfId="1" applyBorder="1"/>
    <xf numFmtId="2" fontId="1" fillId="0" borderId="3" xfId="1" applyNumberFormat="1" applyBorder="1"/>
    <xf numFmtId="0" fontId="3" fillId="0" borderId="6" xfId="1" applyFont="1" applyBorder="1" applyAlignment="1">
      <alignment horizontal="center" vertical="center"/>
    </xf>
    <xf numFmtId="0" fontId="3" fillId="0" borderId="4" xfId="1" applyFont="1" applyBorder="1" applyAlignment="1">
      <alignment horizontal="center" vertical="center"/>
    </xf>
    <xf numFmtId="0" fontId="1" fillId="0" borderId="4" xfId="1" applyBorder="1"/>
    <xf numFmtId="0" fontId="3" fillId="0" borderId="5" xfId="1" applyFont="1" applyBorder="1" applyAlignment="1">
      <alignment horizontal="center" vertical="center"/>
    </xf>
    <xf numFmtId="2" fontId="1" fillId="3" borderId="3" xfId="1" applyNumberFormat="1" applyFill="1" applyBorder="1"/>
    <xf numFmtId="0" fontId="5" fillId="0" borderId="6" xfId="1" applyFont="1" applyBorder="1" applyAlignment="1">
      <alignment horizontal="center" vertical="center"/>
    </xf>
    <xf numFmtId="0" fontId="5" fillId="0" borderId="5" xfId="1" applyFont="1" applyBorder="1" applyAlignment="1">
      <alignment horizontal="center" vertical="center"/>
    </xf>
    <xf numFmtId="16" fontId="6" fillId="3" borderId="3" xfId="1" applyNumberFormat="1" applyFont="1" applyFill="1" applyBorder="1" applyAlignment="1">
      <alignment horizontal="center"/>
    </xf>
    <xf numFmtId="0" fontId="3" fillId="0" borderId="6" xfId="1" applyFont="1" applyBorder="1" applyAlignment="1">
      <alignment horizontal="center" vertical="center"/>
    </xf>
    <xf numFmtId="0" fontId="3" fillId="0" borderId="5" xfId="1" applyFont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1" fillId="3" borderId="3" xfId="1" applyFill="1" applyBorder="1"/>
    <xf numFmtId="0" fontId="1" fillId="0" borderId="0" xfId="1" applyAlignment="1">
      <alignment vertical="center"/>
    </xf>
    <xf numFmtId="0" fontId="1" fillId="0" borderId="1" xfId="1" applyBorder="1" applyAlignment="1">
      <alignment vertical="center"/>
    </xf>
    <xf numFmtId="0" fontId="3" fillId="0" borderId="0" xfId="1" applyFont="1" applyAlignment="1">
      <alignment horizontal="center" vertical="center"/>
    </xf>
    <xf numFmtId="0" fontId="6" fillId="0" borderId="3" xfId="1" applyFont="1" applyBorder="1" applyAlignment="1">
      <alignment horizontal="center" vertical="center" wrapText="1"/>
    </xf>
    <xf numFmtId="0" fontId="6" fillId="0" borderId="0" xfId="1" applyFont="1" applyAlignment="1">
      <alignment horizontal="center" vertical="center" wrapText="1"/>
    </xf>
    <xf numFmtId="0" fontId="3" fillId="0" borderId="1" xfId="1" applyFont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3" fillId="0" borderId="3" xfId="1" applyFont="1" applyBorder="1" applyAlignment="1">
      <alignment horizontal="center" vertical="center" wrapText="1"/>
    </xf>
    <xf numFmtId="0" fontId="4" fillId="0" borderId="0" xfId="1" applyFont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3" fillId="0" borderId="0" xfId="1" applyFont="1" applyAlignment="1">
      <alignment horizontal="right"/>
    </xf>
    <xf numFmtId="166" fontId="3" fillId="3" borderId="7" xfId="1" applyNumberFormat="1" applyFont="1" applyFill="1" applyBorder="1" applyAlignment="1">
      <alignment horizontal="center" vertical="center"/>
    </xf>
    <xf numFmtId="0" fontId="3" fillId="0" borderId="0" xfId="1" applyFont="1" applyAlignment="1">
      <alignment horizontal="right" vertical="center"/>
    </xf>
    <xf numFmtId="0" fontId="3" fillId="3" borderId="7" xfId="1" applyFont="1" applyFill="1" applyBorder="1" applyAlignment="1">
      <alignment horizontal="center" vertical="center"/>
    </xf>
    <xf numFmtId="167" fontId="1" fillId="3" borderId="8" xfId="1" applyNumberFormat="1" applyFill="1" applyBorder="1"/>
    <xf numFmtId="0" fontId="4" fillId="0" borderId="0" xfId="1" applyFont="1" applyAlignment="1">
      <alignment horizontal="right" vertical="center"/>
    </xf>
    <xf numFmtId="0" fontId="1" fillId="3" borderId="8" xfId="1" applyFill="1" applyBorder="1" applyAlignment="1">
      <alignment horizontal="center"/>
    </xf>
    <xf numFmtId="15" fontId="1" fillId="3" borderId="8" xfId="1" applyNumberFormat="1" applyFill="1" applyBorder="1"/>
    <xf numFmtId="0" fontId="1" fillId="0" borderId="0" xfId="1" applyAlignment="1">
      <alignment horizontal="center"/>
    </xf>
    <xf numFmtId="16" fontId="3" fillId="3" borderId="7" xfId="1" applyNumberFormat="1" applyFont="1" applyFill="1" applyBorder="1" applyAlignment="1">
      <alignment horizontal="center" vertical="center"/>
    </xf>
    <xf numFmtId="0" fontId="9" fillId="0" borderId="0" xfId="1" applyFont="1"/>
    <xf numFmtId="0" fontId="10" fillId="3" borderId="8" xfId="1" applyFont="1" applyFill="1" applyBorder="1" applyAlignment="1">
      <alignment horizontal="center"/>
    </xf>
    <xf numFmtId="0" fontId="11" fillId="0" borderId="0" xfId="1" applyFont="1" applyAlignment="1">
      <alignment horizontal="right" vertical="center"/>
    </xf>
    <xf numFmtId="0" fontId="12" fillId="0" borderId="0" xfId="1" applyFont="1" applyAlignment="1">
      <alignment vertical="center"/>
    </xf>
    <xf numFmtId="0" fontId="1" fillId="0" borderId="9" xfId="1" applyBorder="1" applyAlignment="1">
      <alignment wrapText="1"/>
    </xf>
    <xf numFmtId="0" fontId="1" fillId="0" borderId="10" xfId="1" applyBorder="1" applyAlignment="1">
      <alignment wrapText="1"/>
    </xf>
    <xf numFmtId="0" fontId="1" fillId="0" borderId="10" xfId="1" applyBorder="1" applyAlignment="1">
      <alignment vertical="top" wrapText="1"/>
    </xf>
    <xf numFmtId="0" fontId="13" fillId="3" borderId="11" xfId="1" applyFont="1" applyFill="1" applyBorder="1" applyAlignment="1">
      <alignment vertical="top" wrapText="1"/>
    </xf>
    <xf numFmtId="2" fontId="13" fillId="0" borderId="3" xfId="1" applyNumberFormat="1" applyFont="1" applyBorder="1"/>
    <xf numFmtId="0" fontId="1" fillId="3" borderId="9" xfId="1" applyFill="1" applyBorder="1" applyAlignment="1">
      <alignment horizontal="center" wrapText="1"/>
    </xf>
    <xf numFmtId="0" fontId="1" fillId="3" borderId="10" xfId="1" applyFill="1" applyBorder="1" applyAlignment="1">
      <alignment horizontal="center" wrapText="1"/>
    </xf>
    <xf numFmtId="0" fontId="1" fillId="3" borderId="11" xfId="1" applyFill="1" applyBorder="1" applyAlignment="1">
      <alignment horizontal="center" wrapText="1"/>
    </xf>
    <xf numFmtId="0" fontId="13" fillId="0" borderId="0" xfId="1" applyFont="1"/>
    <xf numFmtId="168" fontId="10" fillId="3" borderId="8" xfId="1" applyNumberFormat="1" applyFont="1" applyFill="1" applyBorder="1" applyAlignment="1">
      <alignment horizontal="center"/>
    </xf>
    <xf numFmtId="20" fontId="1" fillId="0" borderId="0" xfId="1" applyNumberFormat="1"/>
    <xf numFmtId="0" fontId="1" fillId="3" borderId="9" xfId="1" applyFill="1" applyBorder="1" applyAlignment="1">
      <alignment vertical="top" wrapText="1"/>
    </xf>
    <xf numFmtId="0" fontId="1" fillId="3" borderId="10" xfId="1" applyFill="1" applyBorder="1" applyAlignment="1">
      <alignment vertical="top" wrapText="1"/>
    </xf>
    <xf numFmtId="0" fontId="1" fillId="3" borderId="11" xfId="1" applyFill="1" applyBorder="1" applyAlignment="1">
      <alignment vertical="top" wrapText="1"/>
    </xf>
    <xf numFmtId="0" fontId="1" fillId="0" borderId="12" xfId="1" applyBorder="1"/>
    <xf numFmtId="164" fontId="1" fillId="0" borderId="12" xfId="1" applyNumberFormat="1" applyBorder="1"/>
    <xf numFmtId="164" fontId="14" fillId="0" borderId="13" xfId="1" applyNumberFormat="1" applyFont="1" applyBorder="1"/>
    <xf numFmtId="164" fontId="1" fillId="0" borderId="13" xfId="1" applyNumberFormat="1" applyBorder="1"/>
    <xf numFmtId="164" fontId="15" fillId="0" borderId="13" xfId="1" applyNumberFormat="1" applyFont="1" applyBorder="1"/>
    <xf numFmtId="0" fontId="4" fillId="0" borderId="14" xfId="1" applyFont="1" applyBorder="1" applyAlignment="1">
      <alignment horizontal="center"/>
    </xf>
    <xf numFmtId="0" fontId="1" fillId="3" borderId="12" xfId="1" applyFill="1" applyBorder="1"/>
    <xf numFmtId="164" fontId="1" fillId="3" borderId="12" xfId="1" applyNumberFormat="1" applyFill="1" applyBorder="1"/>
    <xf numFmtId="164" fontId="14" fillId="3" borderId="13" xfId="1" applyNumberFormat="1" applyFont="1" applyFill="1" applyBorder="1"/>
    <xf numFmtId="164" fontId="1" fillId="3" borderId="13" xfId="1" applyNumberFormat="1" applyFill="1" applyBorder="1"/>
    <xf numFmtId="164" fontId="15" fillId="3" borderId="13" xfId="1" applyNumberFormat="1" applyFont="1" applyFill="1" applyBorder="1"/>
    <xf numFmtId="0" fontId="4" fillId="3" borderId="14" xfId="1" applyFont="1" applyFill="1" applyBorder="1" applyAlignment="1">
      <alignment horizontal="center"/>
    </xf>
    <xf numFmtId="168" fontId="4" fillId="0" borderId="14" xfId="1" applyNumberFormat="1" applyFont="1" applyBorder="1" applyAlignment="1">
      <alignment horizontal="center"/>
    </xf>
    <xf numFmtId="0" fontId="1" fillId="1" borderId="12" xfId="1" applyFill="1" applyBorder="1"/>
    <xf numFmtId="164" fontId="1" fillId="1" borderId="12" xfId="1" applyNumberFormat="1" applyFill="1" applyBorder="1"/>
    <xf numFmtId="164" fontId="14" fillId="1" borderId="13" xfId="1" applyNumberFormat="1" applyFont="1" applyFill="1" applyBorder="1"/>
    <xf numFmtId="164" fontId="1" fillId="1" borderId="13" xfId="1" applyNumberFormat="1" applyFill="1" applyBorder="1"/>
    <xf numFmtId="164" fontId="15" fillId="1" borderId="13" xfId="1" applyNumberFormat="1" applyFont="1" applyFill="1" applyBorder="1"/>
    <xf numFmtId="0" fontId="1" fillId="1" borderId="13" xfId="1" applyFill="1" applyBorder="1"/>
    <xf numFmtId="0" fontId="4" fillId="0" borderId="15" xfId="1" applyFont="1" applyBorder="1" applyAlignment="1">
      <alignment horizontal="center"/>
    </xf>
    <xf numFmtId="0" fontId="3" fillId="0" borderId="16" xfId="1" applyFont="1" applyBorder="1" applyAlignment="1">
      <alignment horizontal="center" wrapText="1"/>
    </xf>
    <xf numFmtId="0" fontId="16" fillId="0" borderId="13" xfId="1" applyFont="1" applyBorder="1" applyAlignment="1">
      <alignment horizontal="center" wrapText="1"/>
    </xf>
    <xf numFmtId="0" fontId="4" fillId="0" borderId="17" xfId="1" applyFont="1" applyBorder="1" applyAlignment="1">
      <alignment horizontal="center"/>
    </xf>
    <xf numFmtId="0" fontId="4" fillId="0" borderId="18" xfId="1" applyFont="1" applyBorder="1"/>
    <xf numFmtId="0" fontId="3" fillId="0" borderId="19" xfId="1" applyFont="1" applyBorder="1" applyAlignment="1">
      <alignment horizontal="center" wrapText="1"/>
    </xf>
    <xf numFmtId="0" fontId="16" fillId="0" borderId="16" xfId="1" applyFont="1" applyBorder="1" applyAlignment="1">
      <alignment horizontal="center" wrapText="1"/>
    </xf>
    <xf numFmtId="0" fontId="4" fillId="0" borderId="20" xfId="1" applyFont="1" applyBorder="1" applyAlignment="1">
      <alignment horizontal="center"/>
    </xf>
    <xf numFmtId="0" fontId="17" fillId="0" borderId="0" xfId="1" applyFont="1"/>
    <xf numFmtId="0" fontId="1" fillId="0" borderId="0" xfId="1" applyAlignment="1">
      <alignment horizontal="left" wrapText="1"/>
    </xf>
    <xf numFmtId="0" fontId="14" fillId="0" borderId="0" xfId="1" applyFont="1" applyAlignment="1">
      <alignment horizontal="left" wrapText="1"/>
    </xf>
    <xf numFmtId="0" fontId="1" fillId="0" borderId="0" xfId="1" applyAlignment="1">
      <alignment horizontal="right" wrapText="1"/>
    </xf>
    <xf numFmtId="0" fontId="17" fillId="0" borderId="0" xfId="1" applyFont="1" applyAlignment="1">
      <alignment horizontal="centerContinuous" wrapText="1"/>
    </xf>
    <xf numFmtId="0" fontId="1" fillId="0" borderId="0" xfId="1" applyAlignment="1">
      <alignment horizontal="centerContinuous" wrapText="1"/>
    </xf>
    <xf numFmtId="0" fontId="4" fillId="0" borderId="0" xfId="1" applyFont="1" applyAlignment="1">
      <alignment horizontal="left"/>
    </xf>
    <xf numFmtId="0" fontId="18" fillId="0" borderId="0" xfId="1" applyFont="1" applyAlignment="1">
      <alignment horizontal="left"/>
    </xf>
    <xf numFmtId="0" fontId="19" fillId="0" borderId="0" xfId="1" applyFont="1" applyAlignment="1">
      <alignment horizontal="right"/>
    </xf>
    <xf numFmtId="0" fontId="19" fillId="0" borderId="0" xfId="1" applyFont="1" applyAlignment="1">
      <alignment horizontal="centerContinuous"/>
    </xf>
    <xf numFmtId="0" fontId="11" fillId="0" borderId="0" xfId="1" applyFont="1" applyAlignment="1">
      <alignment horizontal="centerContinuous"/>
    </xf>
  </cellXfs>
  <cellStyles count="2">
    <cellStyle name="Normal" xfId="0" builtinId="0"/>
    <cellStyle name="Normal 2" xfId="1" xr:uid="{5F2E7825-DF61-437A-96B0-FD48AC79F43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WFWAH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Compare!$N$6:$N$7</c:f>
              <c:numCache>
                <c:formatCode>General</c:formatCode>
                <c:ptCount val="2"/>
                <c:pt idx="0">
                  <c:v>0</c:v>
                </c:pt>
                <c:pt idx="1">
                  <c:v>2500</c:v>
                </c:pt>
              </c:numCache>
            </c:numRef>
          </c:xVal>
          <c:yVal>
            <c:numRef>
              <c:f>Compare!$N$6:$N$7</c:f>
              <c:numCache>
                <c:formatCode>General</c:formatCode>
                <c:ptCount val="2"/>
                <c:pt idx="0">
                  <c:v>0</c:v>
                </c:pt>
                <c:pt idx="1">
                  <c:v>2500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F9C-41B0-8C41-01AA45C82725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Compare!$B$7:$B$44</c:f>
              <c:numCache>
                <c:formatCode>General</c:formatCode>
                <c:ptCount val="38"/>
                <c:pt idx="0">
                  <c:v>1555</c:v>
                </c:pt>
                <c:pt idx="1">
                  <c:v>1514.9</c:v>
                </c:pt>
                <c:pt idx="2">
                  <c:v>1274.0999999999999</c:v>
                </c:pt>
                <c:pt idx="3">
                  <c:v>1517.2</c:v>
                </c:pt>
                <c:pt idx="4">
                  <c:v>1409.3</c:v>
                </c:pt>
                <c:pt idx="5">
                  <c:v>1033.4000000000001</c:v>
                </c:pt>
                <c:pt idx="6">
                  <c:v>2030.2</c:v>
                </c:pt>
                <c:pt idx="7">
                  <c:v>1957.4</c:v>
                </c:pt>
                <c:pt idx="8">
                  <c:v>2109</c:v>
                </c:pt>
                <c:pt idx="9">
                  <c:v>1758.8</c:v>
                </c:pt>
                <c:pt idx="10">
                  <c:v>2087.6</c:v>
                </c:pt>
                <c:pt idx="11">
                  <c:v>2079.1999999999998</c:v>
                </c:pt>
                <c:pt idx="12">
                  <c:v>1989.3</c:v>
                </c:pt>
                <c:pt idx="13">
                  <c:v>2251.4</c:v>
                </c:pt>
                <c:pt idx="14">
                  <c:v>1459.2</c:v>
                </c:pt>
                <c:pt idx="15">
                  <c:v>1700.1</c:v>
                </c:pt>
                <c:pt idx="16">
                  <c:v>2007.4</c:v>
                </c:pt>
                <c:pt idx="17">
                  <c:v>1947.3</c:v>
                </c:pt>
                <c:pt idx="18">
                  <c:v>2015.6</c:v>
                </c:pt>
                <c:pt idx="19">
                  <c:v>2040.5</c:v>
                </c:pt>
                <c:pt idx="20">
                  <c:v>1719.1</c:v>
                </c:pt>
                <c:pt idx="21">
                  <c:v>1642.4</c:v>
                </c:pt>
                <c:pt idx="22">
                  <c:v>1972.7</c:v>
                </c:pt>
                <c:pt idx="23">
                  <c:v>1864.8</c:v>
                </c:pt>
                <c:pt idx="24">
                  <c:v>1640.5</c:v>
                </c:pt>
                <c:pt idx="25">
                  <c:v>1876.3</c:v>
                </c:pt>
                <c:pt idx="26">
                  <c:v>1624.9</c:v>
                </c:pt>
                <c:pt idx="27">
                  <c:v>1851.5</c:v>
                </c:pt>
                <c:pt idx="28">
                  <c:v>1679</c:v>
                </c:pt>
                <c:pt idx="29">
                  <c:v>1642.3</c:v>
                </c:pt>
                <c:pt idx="30">
                  <c:v>882.3</c:v>
                </c:pt>
                <c:pt idx="31">
                  <c:v>1142.7</c:v>
                </c:pt>
                <c:pt idx="32">
                  <c:v>1686.6</c:v>
                </c:pt>
                <c:pt idx="33">
                  <c:v>1613.7</c:v>
                </c:pt>
                <c:pt idx="34">
                  <c:v>1630</c:v>
                </c:pt>
                <c:pt idx="35">
                  <c:v>1876.5</c:v>
                </c:pt>
                <c:pt idx="36">
                  <c:v>1196.2</c:v>
                </c:pt>
                <c:pt idx="37">
                  <c:v>1699.4</c:v>
                </c:pt>
              </c:numCache>
            </c:numRef>
          </c:xVal>
          <c:yVal>
            <c:numRef>
              <c:f>'Raw Scale'!$N$28:$N$65</c:f>
              <c:numCache>
                <c:formatCode>0.0</c:formatCode>
                <c:ptCount val="38"/>
                <c:pt idx="0">
                  <c:v>1554.9622900652791</c:v>
                </c:pt>
                <c:pt idx="1">
                  <c:v>1514.9278608477148</c:v>
                </c:pt>
                <c:pt idx="2">
                  <c:v>1274.089464425366</c:v>
                </c:pt>
                <c:pt idx="3">
                  <c:v>1517.2015875197085</c:v>
                </c:pt>
                <c:pt idx="4">
                  <c:v>1409.2993701818161</c:v>
                </c:pt>
                <c:pt idx="5">
                  <c:v>1033.3542957383538</c:v>
                </c:pt>
                <c:pt idx="6">
                  <c:v>2030.1673155580706</c:v>
                </c:pt>
                <c:pt idx="7">
                  <c:v>1957.4084613233842</c:v>
                </c:pt>
                <c:pt idx="8">
                  <c:v>2109.0229885932599</c:v>
                </c:pt>
                <c:pt idx="9">
                  <c:v>1758.770733808479</c:v>
                </c:pt>
                <c:pt idx="10">
                  <c:v>2087.6427424203325</c:v>
                </c:pt>
                <c:pt idx="11">
                  <c:v>2079.1623992017549</c:v>
                </c:pt>
                <c:pt idx="12">
                  <c:v>1989.2658827947853</c:v>
                </c:pt>
                <c:pt idx="13">
                  <c:v>2251.3925908062811</c:v>
                </c:pt>
                <c:pt idx="14">
                  <c:v>1459.2385640450689</c:v>
                </c:pt>
                <c:pt idx="15">
                  <c:v>1700.088200675953</c:v>
                </c:pt>
                <c:pt idx="16">
                  <c:v>2007.39502787891</c:v>
                </c:pt>
                <c:pt idx="17">
                  <c:v>1947.2902429244286</c:v>
                </c:pt>
                <c:pt idx="18">
                  <c:v>2015.5923288267356</c:v>
                </c:pt>
                <c:pt idx="19">
                  <c:v>2040.5443916665508</c:v>
                </c:pt>
                <c:pt idx="20">
                  <c:v>1719.0538257649687</c:v>
                </c:pt>
                <c:pt idx="21">
                  <c:v>1642.4002512317982</c:v>
                </c:pt>
                <c:pt idx="22">
                  <c:v>1972.6603994842094</c:v>
                </c:pt>
                <c:pt idx="23">
                  <c:v>1864.837750085725</c:v>
                </c:pt>
                <c:pt idx="24">
                  <c:v>1640.5169489570812</c:v>
                </c:pt>
                <c:pt idx="25">
                  <c:v>1876.3287401574801</c:v>
                </c:pt>
                <c:pt idx="26">
                  <c:v>1624.873272611798</c:v>
                </c:pt>
                <c:pt idx="27">
                  <c:v>1851.5404819096618</c:v>
                </c:pt>
                <c:pt idx="28">
                  <c:v>1679.0399765568241</c:v>
                </c:pt>
                <c:pt idx="29">
                  <c:v>1642.276165056333</c:v>
                </c:pt>
                <c:pt idx="30">
                  <c:v>882.28866834841654</c:v>
                </c:pt>
                <c:pt idx="31">
                  <c:v>1142.7296143673736</c:v>
                </c:pt>
                <c:pt idx="32">
                  <c:v>1686.6158030844122</c:v>
                </c:pt>
                <c:pt idx="33">
                  <c:v>1613.72535437797</c:v>
                </c:pt>
                <c:pt idx="34">
                  <c:v>1630.0041585285785</c:v>
                </c:pt>
                <c:pt idx="35">
                  <c:v>1876.5245996631459</c:v>
                </c:pt>
                <c:pt idx="36">
                  <c:v>1196.2380636470639</c:v>
                </c:pt>
                <c:pt idx="37">
                  <c:v>1699.4091290221152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F9C-41B0-8C41-01AA45C827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7374264"/>
        <c:axId val="777372464"/>
      </c:scatterChart>
      <c:valAx>
        <c:axId val="77737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372464"/>
        <c:crosses val="autoZero"/>
        <c:crossBetween val="midCat"/>
      </c:valAx>
      <c:valAx>
        <c:axId val="77737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374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WSCWAH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"1:1"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Compare!$N$27:$N$28</c:f>
              <c:numCache>
                <c:formatCode>General</c:formatCode>
                <c:ptCount val="2"/>
                <c:pt idx="0">
                  <c:v>0</c:v>
                </c:pt>
                <c:pt idx="1">
                  <c:v>6000</c:v>
                </c:pt>
              </c:numCache>
            </c:numRef>
          </c:xVal>
          <c:yVal>
            <c:numRef>
              <c:f>Compare!$N$27:$N$28</c:f>
              <c:numCache>
                <c:formatCode>General</c:formatCode>
                <c:ptCount val="2"/>
                <c:pt idx="0">
                  <c:v>0</c:v>
                </c:pt>
                <c:pt idx="1">
                  <c:v>6000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00-4CBA-8C58-ACF6CD3BE4BE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Compare!$C$7:$C$44</c:f>
              <c:numCache>
                <c:formatCode>General</c:formatCode>
                <c:ptCount val="38"/>
                <c:pt idx="0">
                  <c:v>4211.78</c:v>
                </c:pt>
                <c:pt idx="1">
                  <c:v>4199.4799999999996</c:v>
                </c:pt>
                <c:pt idx="2">
                  <c:v>3715.55</c:v>
                </c:pt>
                <c:pt idx="3">
                  <c:v>4096.95</c:v>
                </c:pt>
                <c:pt idx="4">
                  <c:v>3748.36</c:v>
                </c:pt>
                <c:pt idx="5">
                  <c:v>2944.55</c:v>
                </c:pt>
                <c:pt idx="6">
                  <c:v>5688.16</c:v>
                </c:pt>
                <c:pt idx="7">
                  <c:v>5487.2</c:v>
                </c:pt>
                <c:pt idx="8">
                  <c:v>5782.48</c:v>
                </c:pt>
                <c:pt idx="9">
                  <c:v>4802.33</c:v>
                </c:pt>
                <c:pt idx="10">
                  <c:v>5643.04</c:v>
                </c:pt>
                <c:pt idx="11">
                  <c:v>5556.92</c:v>
                </c:pt>
                <c:pt idx="12">
                  <c:v>5487.2</c:v>
                </c:pt>
                <c:pt idx="13">
                  <c:v>6036.75</c:v>
                </c:pt>
                <c:pt idx="14">
                  <c:v>4092.85</c:v>
                </c:pt>
                <c:pt idx="15">
                  <c:v>4642.3900000000003</c:v>
                </c:pt>
                <c:pt idx="16">
                  <c:v>5446.19</c:v>
                </c:pt>
                <c:pt idx="17">
                  <c:v>5425.69</c:v>
                </c:pt>
                <c:pt idx="18">
                  <c:v>5602.03</c:v>
                </c:pt>
                <c:pt idx="19">
                  <c:v>5548.72</c:v>
                </c:pt>
                <c:pt idx="20">
                  <c:v>4859.74</c:v>
                </c:pt>
                <c:pt idx="21">
                  <c:v>4572.67</c:v>
                </c:pt>
                <c:pt idx="22">
                  <c:v>5433.89</c:v>
                </c:pt>
                <c:pt idx="23">
                  <c:v>5196.03</c:v>
                </c:pt>
                <c:pt idx="24">
                  <c:v>4556.2700000000004</c:v>
                </c:pt>
                <c:pt idx="25">
                  <c:v>5241.1400000000003</c:v>
                </c:pt>
                <c:pt idx="26">
                  <c:v>4519.3599999999997</c:v>
                </c:pt>
                <c:pt idx="27">
                  <c:v>5191.93</c:v>
                </c:pt>
                <c:pt idx="28">
                  <c:v>4634.1899999999996</c:v>
                </c:pt>
                <c:pt idx="29">
                  <c:v>4453.74</c:v>
                </c:pt>
                <c:pt idx="30">
                  <c:v>2661.58</c:v>
                </c:pt>
                <c:pt idx="31">
                  <c:v>3457.19</c:v>
                </c:pt>
                <c:pt idx="32">
                  <c:v>4781.82</c:v>
                </c:pt>
                <c:pt idx="33">
                  <c:v>4576.7700000000004</c:v>
                </c:pt>
                <c:pt idx="34">
                  <c:v>4568.57</c:v>
                </c:pt>
                <c:pt idx="35">
                  <c:v>5269.85</c:v>
                </c:pt>
                <c:pt idx="36">
                  <c:v>3461.29</c:v>
                </c:pt>
                <c:pt idx="37">
                  <c:v>4728.51</c:v>
                </c:pt>
              </c:numCache>
            </c:numRef>
          </c:xVal>
          <c:yVal>
            <c:numRef>
              <c:f>'Raw Scale'!$P$28:$P$65</c:f>
              <c:numCache>
                <c:formatCode>0.0</c:formatCode>
                <c:ptCount val="38"/>
                <c:pt idx="0">
                  <c:v>4002.2820959239343</c:v>
                </c:pt>
                <c:pt idx="1">
                  <c:v>4037.7941681871448</c:v>
                </c:pt>
                <c:pt idx="2">
                  <c:v>3572.1753845941366</c:v>
                </c:pt>
                <c:pt idx="3">
                  <c:v>3911.1366719795469</c:v>
                </c:pt>
                <c:pt idx="4">
                  <c:v>3607.8912175823934</c:v>
                </c:pt>
                <c:pt idx="5">
                  <c:v>2795.7905520672275</c:v>
                </c:pt>
                <c:pt idx="6">
                  <c:v>5459.7138228153472</c:v>
                </c:pt>
                <c:pt idx="7">
                  <c:v>5250.909723317578</c:v>
                </c:pt>
                <c:pt idx="8">
                  <c:v>5568.7344613977011</c:v>
                </c:pt>
                <c:pt idx="9">
                  <c:v>4572.7011659645241</c:v>
                </c:pt>
                <c:pt idx="10">
                  <c:v>5521.5467799488479</c:v>
                </c:pt>
                <c:pt idx="11">
                  <c:v>5393.0829401312876</c:v>
                </c:pt>
                <c:pt idx="12">
                  <c:v>5307.0085084606144</c:v>
                </c:pt>
                <c:pt idx="13">
                  <c:v>5853.2880413921794</c:v>
                </c:pt>
                <c:pt idx="14">
                  <c:v>3924.4498307202562</c:v>
                </c:pt>
                <c:pt idx="15">
                  <c:v>4447.7415337492967</c:v>
                </c:pt>
                <c:pt idx="16">
                  <c:v>5231.0219785059298</c:v>
                </c:pt>
                <c:pt idx="17">
                  <c:v>5167.3022763690251</c:v>
                </c:pt>
                <c:pt idx="18">
                  <c:v>5393.7114245960884</c:v>
                </c:pt>
                <c:pt idx="19">
                  <c:v>5382.5664120589418</c:v>
                </c:pt>
                <c:pt idx="20">
                  <c:v>4596.0775244012311</c:v>
                </c:pt>
                <c:pt idx="21">
                  <c:v>4341.6223170510439</c:v>
                </c:pt>
                <c:pt idx="22">
                  <c:v>5182.2573594393871</c:v>
                </c:pt>
                <c:pt idx="23">
                  <c:v>4974.625701815311</c:v>
                </c:pt>
                <c:pt idx="24">
                  <c:v>4382.7077892361631</c:v>
                </c:pt>
                <c:pt idx="25">
                  <c:v>5029.5548993875764</c:v>
                </c:pt>
                <c:pt idx="26">
                  <c:v>4387.1578360518552</c:v>
                </c:pt>
                <c:pt idx="27">
                  <c:v>5001.5345210779005</c:v>
                </c:pt>
                <c:pt idx="28">
                  <c:v>4375.9937182282683</c:v>
                </c:pt>
                <c:pt idx="29">
                  <c:v>4266.8710744535756</c:v>
                </c:pt>
                <c:pt idx="30">
                  <c:v>2460.1549884291931</c:v>
                </c:pt>
                <c:pt idx="31">
                  <c:v>3205.6517705395963</c:v>
                </c:pt>
                <c:pt idx="32">
                  <c:v>4600.3611791223893</c:v>
                </c:pt>
                <c:pt idx="33">
                  <c:v>4413.8367284124752</c:v>
                </c:pt>
                <c:pt idx="34">
                  <c:v>4339.3875506842114</c:v>
                </c:pt>
                <c:pt idx="35">
                  <c:v>5064.4736873045422</c:v>
                </c:pt>
                <c:pt idx="36">
                  <c:v>3272.7573843157124</c:v>
                </c:pt>
                <c:pt idx="37">
                  <c:v>4523.3324936088784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00-4CBA-8C58-ACF6CD3BE4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77374264"/>
        <c:axId val="777372464"/>
      </c:scatterChart>
      <c:valAx>
        <c:axId val="7773742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Original Spreadsheet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372464"/>
        <c:crosses val="autoZero"/>
        <c:crossBetween val="midCat"/>
      </c:valAx>
      <c:valAx>
        <c:axId val="77737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This</a:t>
                </a:r>
                <a:r>
                  <a:rPr lang="en-US" baseline="0"/>
                  <a:t> spreadsheet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77374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7</xdr:row>
      <xdr:rowOff>21906</xdr:rowOff>
    </xdr:from>
    <xdr:to>
      <xdr:col>12</xdr:col>
      <xdr:colOff>114300</xdr:colOff>
      <xdr:row>25</xdr:row>
      <xdr:rowOff>114299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F14E088-4A30-CCB7-E823-EC8A64B9399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438150</xdr:colOff>
      <xdr:row>26</xdr:row>
      <xdr:rowOff>66675</xdr:rowOff>
    </xdr:from>
    <xdr:to>
      <xdr:col>12</xdr:col>
      <xdr:colOff>133350</xdr:colOff>
      <xdr:row>44</xdr:row>
      <xdr:rowOff>159068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4C954C6-D56F-4CD1-9CF6-581147AE93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7E8EA-A5C9-47F2-8D6E-B68B0450AD04}">
  <dimension ref="A1:Q65"/>
  <sheetViews>
    <sheetView tabSelected="1" workbookViewId="0"/>
  </sheetViews>
  <sheetFormatPr defaultRowHeight="15" x14ac:dyDescent="0.25"/>
  <cols>
    <col min="1" max="2" width="8.85546875" customWidth="1"/>
    <col min="3" max="7" width="10.5703125" bestFit="1" customWidth="1"/>
  </cols>
  <sheetData>
    <row r="1" spans="1:1" x14ac:dyDescent="0.25">
      <c r="A1" t="s">
        <v>77</v>
      </c>
    </row>
    <row r="2" spans="1:1" x14ac:dyDescent="0.25">
      <c r="A2" t="s">
        <v>78</v>
      </c>
    </row>
    <row r="3" spans="1:1" x14ac:dyDescent="0.25">
      <c r="A3" t="s">
        <v>30</v>
      </c>
    </row>
    <row r="4" spans="1:1" x14ac:dyDescent="0.25">
      <c r="A4" t="s">
        <v>35</v>
      </c>
    </row>
    <row r="5" spans="1:1" x14ac:dyDescent="0.25">
      <c r="A5" t="s">
        <v>80</v>
      </c>
    </row>
    <row r="6" spans="1:1" x14ac:dyDescent="0.25">
      <c r="A6" t="s">
        <v>32</v>
      </c>
    </row>
    <row r="7" spans="1:1" x14ac:dyDescent="0.25">
      <c r="A7" t="s">
        <v>36</v>
      </c>
    </row>
    <row r="8" spans="1:1" x14ac:dyDescent="0.25">
      <c r="A8" t="s">
        <v>22</v>
      </c>
    </row>
    <row r="9" spans="1:1" x14ac:dyDescent="0.25">
      <c r="A9" t="s">
        <v>81</v>
      </c>
    </row>
    <row r="10" spans="1:1" x14ac:dyDescent="0.25">
      <c r="A10" t="s">
        <v>87</v>
      </c>
    </row>
    <row r="11" spans="1:1" x14ac:dyDescent="0.25">
      <c r="A11" t="s">
        <v>23</v>
      </c>
    </row>
    <row r="12" spans="1:1" x14ac:dyDescent="0.25">
      <c r="A12" t="s">
        <v>24</v>
      </c>
    </row>
    <row r="13" spans="1:1" x14ac:dyDescent="0.25">
      <c r="A13" t="s">
        <v>82</v>
      </c>
    </row>
    <row r="14" spans="1:1" x14ac:dyDescent="0.25">
      <c r="A14" t="s">
        <v>25</v>
      </c>
    </row>
    <row r="15" spans="1:1" x14ac:dyDescent="0.25">
      <c r="A15" t="s">
        <v>26</v>
      </c>
    </row>
    <row r="16" spans="1:1" x14ac:dyDescent="0.25">
      <c r="A16" t="s">
        <v>27</v>
      </c>
    </row>
    <row r="18" spans="1:17" x14ac:dyDescent="0.25">
      <c r="A18" t="s">
        <v>5</v>
      </c>
    </row>
    <row r="19" spans="1:17" x14ac:dyDescent="0.25">
      <c r="A19">
        <f>6*1.016*4</f>
        <v>24.384</v>
      </c>
      <c r="B19" t="s">
        <v>31</v>
      </c>
    </row>
    <row r="20" spans="1:17" x14ac:dyDescent="0.25">
      <c r="A20">
        <v>10000</v>
      </c>
      <c r="B20" t="s">
        <v>6</v>
      </c>
    </row>
    <row r="22" spans="1:17" x14ac:dyDescent="0.25">
      <c r="B22" s="1"/>
      <c r="C22" s="1" t="s">
        <v>0</v>
      </c>
      <c r="D22" s="1" t="s">
        <v>0</v>
      </c>
      <c r="E22" t="s">
        <v>0</v>
      </c>
      <c r="F22" s="1" t="s">
        <v>0</v>
      </c>
      <c r="G22" s="1" t="s">
        <v>7</v>
      </c>
      <c r="H22" t="s">
        <v>7</v>
      </c>
      <c r="I22" t="s">
        <v>7</v>
      </c>
      <c r="J22" t="s">
        <v>7</v>
      </c>
      <c r="K22" s="1" t="s">
        <v>7</v>
      </c>
      <c r="L22" s="1" t="s">
        <v>7</v>
      </c>
      <c r="M22" s="1" t="s">
        <v>7</v>
      </c>
      <c r="N22" s="1" t="s">
        <v>17</v>
      </c>
      <c r="O22" s="1" t="s">
        <v>17</v>
      </c>
      <c r="P22" s="1" t="s">
        <v>17</v>
      </c>
    </row>
    <row r="23" spans="1:17" x14ac:dyDescent="0.25">
      <c r="B23" s="1"/>
      <c r="C23" s="1"/>
      <c r="D23" s="1"/>
      <c r="F23" s="1"/>
      <c r="G23" s="1"/>
      <c r="K23" s="1"/>
      <c r="L23" s="1"/>
      <c r="M23" s="1"/>
      <c r="N23" s="1"/>
      <c r="O23" s="1"/>
      <c r="P23" s="1"/>
    </row>
    <row r="24" spans="1:17" x14ac:dyDescent="0.25">
      <c r="B24" s="1"/>
      <c r="C24" s="1"/>
      <c r="D24" s="1"/>
      <c r="E24" t="s">
        <v>1</v>
      </c>
      <c r="F24" s="1"/>
      <c r="G24" s="1" t="s">
        <v>33</v>
      </c>
      <c r="H24" t="s">
        <v>8</v>
      </c>
      <c r="I24" t="s">
        <v>11</v>
      </c>
      <c r="J24" t="s">
        <v>12</v>
      </c>
      <c r="K24" s="1"/>
      <c r="L24" s="1"/>
      <c r="M24" s="1"/>
      <c r="N24" s="1"/>
      <c r="O24" s="1"/>
      <c r="P24" s="1"/>
    </row>
    <row r="25" spans="1:17" x14ac:dyDescent="0.25">
      <c r="A25" t="s">
        <v>76</v>
      </c>
      <c r="B25" s="1" t="s">
        <v>37</v>
      </c>
      <c r="C25" s="1" t="s">
        <v>28</v>
      </c>
      <c r="D25" s="1" t="s">
        <v>2</v>
      </c>
      <c r="F25" s="1" t="s">
        <v>3</v>
      </c>
      <c r="G25" s="1" t="s">
        <v>34</v>
      </c>
      <c r="H25" t="s">
        <v>9</v>
      </c>
      <c r="I25" t="s">
        <v>9</v>
      </c>
      <c r="J25" t="s">
        <v>9</v>
      </c>
      <c r="K25" s="1" t="s">
        <v>13</v>
      </c>
      <c r="L25" s="1" t="s">
        <v>14</v>
      </c>
      <c r="M25" s="1" t="s">
        <v>15</v>
      </c>
      <c r="N25" s="1" t="s">
        <v>18</v>
      </c>
      <c r="O25" s="1" t="s">
        <v>19</v>
      </c>
      <c r="P25" s="1" t="s">
        <v>20</v>
      </c>
    </row>
    <row r="26" spans="1:17" x14ac:dyDescent="0.25">
      <c r="B26" s="1"/>
      <c r="C26" s="1"/>
      <c r="D26" s="1"/>
      <c r="E26" t="s">
        <v>79</v>
      </c>
      <c r="F26" s="1" t="s">
        <v>4</v>
      </c>
      <c r="G26" s="1"/>
      <c r="H26" t="s">
        <v>10</v>
      </c>
      <c r="I26" t="s">
        <v>10</v>
      </c>
      <c r="J26" t="s">
        <v>10</v>
      </c>
      <c r="K26" s="5" t="s">
        <v>16</v>
      </c>
      <c r="L26" s="5" t="s">
        <v>16</v>
      </c>
      <c r="M26" s="5" t="s">
        <v>16</v>
      </c>
      <c r="N26" s="5" t="s">
        <v>4</v>
      </c>
      <c r="O26" s="5" t="s">
        <v>4</v>
      </c>
      <c r="P26" s="5" t="s">
        <v>4</v>
      </c>
    </row>
    <row r="27" spans="1:17" x14ac:dyDescent="0.25">
      <c r="A27" t="s">
        <v>76</v>
      </c>
      <c r="B27" s="1" t="s">
        <v>37</v>
      </c>
      <c r="C27" s="1" t="s">
        <v>28</v>
      </c>
      <c r="D27" s="1" t="s">
        <v>2</v>
      </c>
      <c r="F27" s="1" t="s">
        <v>3</v>
      </c>
      <c r="G27" s="1" t="s">
        <v>34</v>
      </c>
      <c r="K27" s="1" t="s">
        <v>13</v>
      </c>
      <c r="L27" s="1" t="s">
        <v>14</v>
      </c>
      <c r="M27" s="1" t="s">
        <v>15</v>
      </c>
      <c r="N27" s="1" t="s">
        <v>18</v>
      </c>
      <c r="O27" s="1" t="s">
        <v>19</v>
      </c>
      <c r="P27" s="1" t="s">
        <v>20</v>
      </c>
    </row>
    <row r="28" spans="1:17" x14ac:dyDescent="0.25">
      <c r="A28">
        <v>1</v>
      </c>
      <c r="B28" s="1" t="s">
        <v>38</v>
      </c>
      <c r="C28" s="1" t="s">
        <v>29</v>
      </c>
      <c r="D28" s="2">
        <v>39384</v>
      </c>
      <c r="E28" s="7">
        <v>10.27</v>
      </c>
      <c r="F28" s="4">
        <f>E28/$A$19*$A$20</f>
        <v>4211.7782152230966</v>
      </c>
      <c r="G28" s="2">
        <v>39400</v>
      </c>
      <c r="H28" s="3">
        <v>3160.4</v>
      </c>
      <c r="I28" s="3">
        <v>1166.8</v>
      </c>
      <c r="J28" s="3">
        <v>1836.4</v>
      </c>
      <c r="K28" s="6">
        <f>I28/H28</f>
        <v>0.36919377294013411</v>
      </c>
      <c r="L28" s="6">
        <f>J28/H28</f>
        <v>0.58106568788760915</v>
      </c>
      <c r="M28" s="6">
        <f>1-K28-L28</f>
        <v>4.9740539172256737E-2</v>
      </c>
      <c r="N28" s="4">
        <f>F28*K28</f>
        <v>1554.9622900652791</v>
      </c>
      <c r="O28" s="4">
        <f>F28*L28</f>
        <v>2447.3198058586554</v>
      </c>
      <c r="P28" s="4">
        <f>N28+O28</f>
        <v>4002.2820959239343</v>
      </c>
      <c r="Q28" s="3"/>
    </row>
    <row r="29" spans="1:17" x14ac:dyDescent="0.25">
      <c r="A29">
        <v>2</v>
      </c>
      <c r="B29" s="1" t="s">
        <v>39</v>
      </c>
      <c r="C29" s="1" t="s">
        <v>29</v>
      </c>
      <c r="D29" s="2">
        <v>39384</v>
      </c>
      <c r="E29" s="7">
        <v>10.24</v>
      </c>
      <c r="F29" s="4">
        <f t="shared" ref="F29:F65" si="0">E29/$A$19*$A$20</f>
        <v>4199.475065616798</v>
      </c>
      <c r="G29" s="2">
        <v>39400</v>
      </c>
      <c r="H29" s="3">
        <v>4171.3999999999996</v>
      </c>
      <c r="I29" s="3">
        <v>1504.8</v>
      </c>
      <c r="J29" s="3">
        <v>2506</v>
      </c>
      <c r="K29" s="6">
        <f t="shared" ref="K29:K65" si="1">I29/H29</f>
        <v>0.3607421968643621</v>
      </c>
      <c r="L29" s="6">
        <f t="shared" ref="L29:L65" si="2">J29/H29</f>
        <v>0.60075753943520172</v>
      </c>
      <c r="M29" s="6">
        <f t="shared" ref="M29:M65" si="3">1-K29-L29</f>
        <v>3.8500263700436244E-2</v>
      </c>
      <c r="N29" s="4">
        <f t="shared" ref="N29:N65" si="4">F29*K29</f>
        <v>1514.9278608477148</v>
      </c>
      <c r="O29" s="4">
        <f t="shared" ref="O29:O65" si="5">F29*L29</f>
        <v>2522.86630733943</v>
      </c>
      <c r="P29" s="4">
        <f t="shared" ref="P29:P65" si="6">N29+O29</f>
        <v>4037.7941681871448</v>
      </c>
      <c r="Q29" s="3"/>
    </row>
    <row r="30" spans="1:17" x14ac:dyDescent="0.25">
      <c r="A30">
        <v>3</v>
      </c>
      <c r="B30" s="1" t="s">
        <v>40</v>
      </c>
      <c r="C30" s="1" t="s">
        <v>29</v>
      </c>
      <c r="D30" s="2">
        <v>39384</v>
      </c>
      <c r="E30" s="7">
        <v>9.06</v>
      </c>
      <c r="F30" s="4">
        <f t="shared" si="0"/>
        <v>3715.5511811023621</v>
      </c>
      <c r="G30" s="2">
        <v>39400</v>
      </c>
      <c r="H30" s="3">
        <v>1824.4</v>
      </c>
      <c r="I30" s="3">
        <v>625.6</v>
      </c>
      <c r="J30" s="3">
        <v>1128.4000000000001</v>
      </c>
      <c r="K30" s="6">
        <f t="shared" si="1"/>
        <v>0.3429072571804429</v>
      </c>
      <c r="L30" s="6">
        <f t="shared" si="2"/>
        <v>0.61850471387853545</v>
      </c>
      <c r="M30" s="6">
        <f t="shared" si="3"/>
        <v>3.8588028941021646E-2</v>
      </c>
      <c r="N30" s="4">
        <f t="shared" si="4"/>
        <v>1274.089464425366</v>
      </c>
      <c r="O30" s="4">
        <f t="shared" si="5"/>
        <v>2298.0859201687708</v>
      </c>
      <c r="P30" s="4">
        <f t="shared" si="6"/>
        <v>3572.1753845941366</v>
      </c>
      <c r="Q30" s="3"/>
    </row>
    <row r="31" spans="1:17" x14ac:dyDescent="0.25">
      <c r="A31">
        <v>4</v>
      </c>
      <c r="B31" s="1" t="s">
        <v>41</v>
      </c>
      <c r="C31" s="1" t="s">
        <v>29</v>
      </c>
      <c r="D31" s="2">
        <v>39384</v>
      </c>
      <c r="E31" s="7">
        <v>9.99</v>
      </c>
      <c r="F31" s="4">
        <f t="shared" si="0"/>
        <v>4096.9488188976375</v>
      </c>
      <c r="G31" s="2">
        <v>39400</v>
      </c>
      <c r="H31" s="3">
        <v>2842.1</v>
      </c>
      <c r="I31" s="3">
        <v>1052.5</v>
      </c>
      <c r="J31" s="3">
        <v>1660.7</v>
      </c>
      <c r="K31" s="6">
        <f t="shared" si="1"/>
        <v>0.37032475986066643</v>
      </c>
      <c r="L31" s="6">
        <f t="shared" si="2"/>
        <v>0.58432145244713418</v>
      </c>
      <c r="M31" s="6">
        <f t="shared" si="3"/>
        <v>4.5353787692199332E-2</v>
      </c>
      <c r="N31" s="4">
        <f t="shared" si="4"/>
        <v>1517.2015875197085</v>
      </c>
      <c r="O31" s="4">
        <f t="shared" si="5"/>
        <v>2393.9350844598384</v>
      </c>
      <c r="P31" s="4">
        <f t="shared" si="6"/>
        <v>3911.1366719795469</v>
      </c>
      <c r="Q31" s="3"/>
    </row>
    <row r="32" spans="1:17" x14ac:dyDescent="0.25">
      <c r="A32">
        <v>5</v>
      </c>
      <c r="B32" s="1" t="s">
        <v>42</v>
      </c>
      <c r="C32" s="1" t="s">
        <v>29</v>
      </c>
      <c r="D32" s="2">
        <v>39384</v>
      </c>
      <c r="E32" s="7">
        <v>9.14</v>
      </c>
      <c r="F32" s="4">
        <f t="shared" si="0"/>
        <v>3748.3595800524936</v>
      </c>
      <c r="G32" s="2">
        <v>39400</v>
      </c>
      <c r="H32" s="3">
        <v>3004.7</v>
      </c>
      <c r="I32" s="3">
        <v>1129.7</v>
      </c>
      <c r="J32" s="3">
        <v>1762.4</v>
      </c>
      <c r="K32" s="6">
        <f t="shared" si="1"/>
        <v>0.37597763503843984</v>
      </c>
      <c r="L32" s="6">
        <f t="shared" si="2"/>
        <v>0.58654774187106873</v>
      </c>
      <c r="M32" s="6">
        <f t="shared" si="3"/>
        <v>3.7474623090491432E-2</v>
      </c>
      <c r="N32" s="4">
        <f t="shared" si="4"/>
        <v>1409.2993701818161</v>
      </c>
      <c r="O32" s="4">
        <f t="shared" si="5"/>
        <v>2198.5918474005775</v>
      </c>
      <c r="P32" s="4">
        <f t="shared" si="6"/>
        <v>3607.8912175823934</v>
      </c>
      <c r="Q32" s="3"/>
    </row>
    <row r="33" spans="1:17" x14ac:dyDescent="0.25">
      <c r="A33">
        <v>6</v>
      </c>
      <c r="B33" s="1" t="s">
        <v>43</v>
      </c>
      <c r="C33" s="1" t="s">
        <v>29</v>
      </c>
      <c r="D33" s="2">
        <v>39384</v>
      </c>
      <c r="E33" s="7">
        <v>7.18</v>
      </c>
      <c r="F33" s="4">
        <f t="shared" si="0"/>
        <v>2944.5538057742783</v>
      </c>
      <c r="G33" s="2">
        <v>39400</v>
      </c>
      <c r="H33" s="3">
        <v>1658.7</v>
      </c>
      <c r="I33" s="3">
        <v>582.1</v>
      </c>
      <c r="J33" s="3">
        <v>992.8</v>
      </c>
      <c r="K33" s="6">
        <f t="shared" si="1"/>
        <v>0.35093748115994455</v>
      </c>
      <c r="L33" s="6">
        <f t="shared" si="2"/>
        <v>0.59854102610478077</v>
      </c>
      <c r="M33" s="6">
        <f t="shared" si="3"/>
        <v>5.052149273527462E-2</v>
      </c>
      <c r="N33" s="4">
        <f t="shared" si="4"/>
        <v>1033.3542957383538</v>
      </c>
      <c r="O33" s="4">
        <f t="shared" si="5"/>
        <v>1762.4362563288739</v>
      </c>
      <c r="P33" s="4">
        <f t="shared" si="6"/>
        <v>2795.7905520672275</v>
      </c>
      <c r="Q33" s="3"/>
    </row>
    <row r="34" spans="1:17" x14ac:dyDescent="0.25">
      <c r="A34">
        <v>7</v>
      </c>
      <c r="B34" s="1" t="s">
        <v>44</v>
      </c>
      <c r="C34" s="1" t="s">
        <v>29</v>
      </c>
      <c r="D34" s="2">
        <v>39381</v>
      </c>
      <c r="E34" s="7">
        <v>13.87</v>
      </c>
      <c r="F34" s="4">
        <f t="shared" si="0"/>
        <v>5688.1561679790029</v>
      </c>
      <c r="G34" s="2">
        <v>39400</v>
      </c>
      <c r="H34" s="3">
        <v>2930.7</v>
      </c>
      <c r="I34" s="3">
        <v>1046</v>
      </c>
      <c r="J34" s="3">
        <v>1767</v>
      </c>
      <c r="K34" s="6">
        <f t="shared" si="1"/>
        <v>0.35691131811512611</v>
      </c>
      <c r="L34" s="6">
        <f t="shared" si="2"/>
        <v>0.6029276282116901</v>
      </c>
      <c r="M34" s="6">
        <f t="shared" si="3"/>
        <v>4.0161053673183789E-2</v>
      </c>
      <c r="N34" s="4">
        <f t="shared" si="4"/>
        <v>2030.1673155580706</v>
      </c>
      <c r="O34" s="4">
        <f t="shared" si="5"/>
        <v>3429.5465072572761</v>
      </c>
      <c r="P34" s="4">
        <f t="shared" si="6"/>
        <v>5459.7138228153472</v>
      </c>
      <c r="Q34" s="3"/>
    </row>
    <row r="35" spans="1:17" x14ac:dyDescent="0.25">
      <c r="A35">
        <v>8</v>
      </c>
      <c r="B35" s="1" t="s">
        <v>45</v>
      </c>
      <c r="C35" s="1" t="s">
        <v>29</v>
      </c>
      <c r="D35" s="2">
        <v>39381</v>
      </c>
      <c r="E35" s="7">
        <v>13.38</v>
      </c>
      <c r="F35" s="4">
        <f>E35/$A$19*$A$20</f>
        <v>5487.2047244094492</v>
      </c>
      <c r="G35" s="2">
        <v>39400</v>
      </c>
      <c r="H35" s="3">
        <v>2700.7</v>
      </c>
      <c r="I35" s="3">
        <v>963.4</v>
      </c>
      <c r="J35" s="3">
        <v>1621</v>
      </c>
      <c r="K35" s="6">
        <f t="shared" si="1"/>
        <v>0.35672233124745439</v>
      </c>
      <c r="L35" s="6">
        <f t="shared" si="2"/>
        <v>0.60021475913652023</v>
      </c>
      <c r="M35" s="6">
        <f t="shared" si="3"/>
        <v>4.3062909616025435E-2</v>
      </c>
      <c r="N35" s="4">
        <f t="shared" si="4"/>
        <v>1957.4084613233842</v>
      </c>
      <c r="O35" s="4">
        <f t="shared" si="5"/>
        <v>3293.5012619941936</v>
      </c>
      <c r="P35" s="4">
        <f t="shared" si="6"/>
        <v>5250.909723317578</v>
      </c>
      <c r="Q35" s="3"/>
    </row>
    <row r="36" spans="1:17" x14ac:dyDescent="0.25">
      <c r="A36">
        <v>9</v>
      </c>
      <c r="B36" s="1" t="s">
        <v>46</v>
      </c>
      <c r="C36" s="1" t="s">
        <v>29</v>
      </c>
      <c r="D36" s="2">
        <v>39381</v>
      </c>
      <c r="E36" s="7">
        <v>14.1</v>
      </c>
      <c r="F36" s="4">
        <f t="shared" si="0"/>
        <v>5782.4803149606296</v>
      </c>
      <c r="G36" s="2">
        <v>39400</v>
      </c>
      <c r="H36" s="3">
        <v>3619.7</v>
      </c>
      <c r="I36" s="3">
        <v>1320.2</v>
      </c>
      <c r="J36" s="3">
        <v>2165.6999999999998</v>
      </c>
      <c r="K36" s="6">
        <f>I36/H36</f>
        <v>0.36472635853800039</v>
      </c>
      <c r="L36" s="6">
        <f t="shared" si="2"/>
        <v>0.59830925214796804</v>
      </c>
      <c r="M36" s="6">
        <f t="shared" si="3"/>
        <v>3.6964389314031565E-2</v>
      </c>
      <c r="N36" s="4">
        <f t="shared" si="4"/>
        <v>2109.0229885932599</v>
      </c>
      <c r="O36" s="4">
        <f t="shared" si="5"/>
        <v>3459.7114728044412</v>
      </c>
      <c r="P36" s="4">
        <f t="shared" si="6"/>
        <v>5568.7344613977011</v>
      </c>
      <c r="Q36" s="3"/>
    </row>
    <row r="37" spans="1:17" x14ac:dyDescent="0.25">
      <c r="A37">
        <v>10</v>
      </c>
      <c r="B37" s="1" t="s">
        <v>47</v>
      </c>
      <c r="C37" s="1" t="s">
        <v>29</v>
      </c>
      <c r="D37" s="2">
        <v>39381</v>
      </c>
      <c r="E37" s="7">
        <v>11.71</v>
      </c>
      <c r="F37" s="4">
        <f t="shared" si="0"/>
        <v>4802.32939632546</v>
      </c>
      <c r="G37" s="2">
        <v>39400</v>
      </c>
      <c r="H37" s="3">
        <v>2804.5</v>
      </c>
      <c r="I37" s="3">
        <v>1027.0999999999999</v>
      </c>
      <c r="J37" s="3">
        <v>1643.3</v>
      </c>
      <c r="K37" s="6">
        <f t="shared" si="1"/>
        <v>0.36623284007844531</v>
      </c>
      <c r="L37" s="6">
        <f>J37/H37</f>
        <v>0.58595114993760022</v>
      </c>
      <c r="M37" s="6">
        <f t="shared" si="3"/>
        <v>4.7816009983954411E-2</v>
      </c>
      <c r="N37" s="4">
        <f t="shared" si="4"/>
        <v>1758.770733808479</v>
      </c>
      <c r="O37" s="4">
        <f t="shared" si="5"/>
        <v>2813.9304321560448</v>
      </c>
      <c r="P37" s="4">
        <f t="shared" si="6"/>
        <v>4572.7011659645241</v>
      </c>
      <c r="Q37" s="3"/>
    </row>
    <row r="38" spans="1:17" x14ac:dyDescent="0.25">
      <c r="A38">
        <v>11</v>
      </c>
      <c r="B38" s="1" t="s">
        <v>48</v>
      </c>
      <c r="C38" s="1" t="s">
        <v>29</v>
      </c>
      <c r="D38" s="2">
        <v>39381</v>
      </c>
      <c r="E38" s="7">
        <v>13.76</v>
      </c>
      <c r="F38" s="4">
        <f t="shared" si="0"/>
        <v>5643.0446194225724</v>
      </c>
      <c r="G38" s="2">
        <v>39400</v>
      </c>
      <c r="H38" s="3">
        <v>3460.2</v>
      </c>
      <c r="I38" s="3">
        <v>1280.0999999999999</v>
      </c>
      <c r="J38" s="3">
        <v>2105.6</v>
      </c>
      <c r="K38" s="6">
        <f t="shared" si="1"/>
        <v>0.36994971388937054</v>
      </c>
      <c r="L38" s="6">
        <f t="shared" si="2"/>
        <v>0.60851973874342524</v>
      </c>
      <c r="M38" s="6">
        <f>1-K38-L38</f>
        <v>2.1530547367204167E-2</v>
      </c>
      <c r="N38" s="4">
        <f t="shared" si="4"/>
        <v>2087.6427424203325</v>
      </c>
      <c r="O38" s="4">
        <f t="shared" si="5"/>
        <v>3433.9040375285153</v>
      </c>
      <c r="P38" s="4">
        <f t="shared" si="6"/>
        <v>5521.5467799488479</v>
      </c>
      <c r="Q38" s="3"/>
    </row>
    <row r="39" spans="1:17" x14ac:dyDescent="0.25">
      <c r="A39">
        <v>12</v>
      </c>
      <c r="B39" s="1" t="s">
        <v>49</v>
      </c>
      <c r="C39" s="1" t="s">
        <v>29</v>
      </c>
      <c r="D39" s="2">
        <v>39381</v>
      </c>
      <c r="E39" s="7">
        <v>13.55</v>
      </c>
      <c r="F39" s="4">
        <f t="shared" si="0"/>
        <v>5556.9225721784778</v>
      </c>
      <c r="G39" s="2">
        <v>39400</v>
      </c>
      <c r="H39" s="3">
        <v>3262.8</v>
      </c>
      <c r="I39" s="3">
        <v>1220.8</v>
      </c>
      <c r="J39" s="3">
        <v>1945.8</v>
      </c>
      <c r="K39" s="6">
        <f t="shared" si="1"/>
        <v>0.37415716562461687</v>
      </c>
      <c r="L39" s="6">
        <f t="shared" si="2"/>
        <v>0.59635895549834494</v>
      </c>
      <c r="M39" s="6">
        <f t="shared" si="3"/>
        <v>2.9483878877038183E-2</v>
      </c>
      <c r="N39" s="4">
        <f>F39*K39</f>
        <v>2079.1623992017549</v>
      </c>
      <c r="O39" s="4">
        <f t="shared" si="5"/>
        <v>3313.9205409295332</v>
      </c>
      <c r="P39" s="4">
        <f t="shared" si="6"/>
        <v>5393.0829401312876</v>
      </c>
      <c r="Q39" s="3"/>
    </row>
    <row r="40" spans="1:17" x14ac:dyDescent="0.25">
      <c r="A40">
        <v>13</v>
      </c>
      <c r="B40" s="1" t="s">
        <v>50</v>
      </c>
      <c r="C40" s="1" t="s">
        <v>29</v>
      </c>
      <c r="D40" s="2">
        <v>39381</v>
      </c>
      <c r="E40" s="7">
        <v>13.38</v>
      </c>
      <c r="F40" s="4">
        <f t="shared" si="0"/>
        <v>5487.2047244094492</v>
      </c>
      <c r="G40" s="2">
        <v>39400</v>
      </c>
      <c r="H40" s="3">
        <v>2624.9</v>
      </c>
      <c r="I40" s="3">
        <v>951.6</v>
      </c>
      <c r="J40" s="3">
        <v>1587.1</v>
      </c>
      <c r="K40" s="6">
        <f t="shared" si="1"/>
        <v>0.3625280963084308</v>
      </c>
      <c r="L40" s="6">
        <f t="shared" si="2"/>
        <v>0.60463255743075917</v>
      </c>
      <c r="M40" s="6">
        <f t="shared" si="3"/>
        <v>3.2839346260810087E-2</v>
      </c>
      <c r="N40" s="4">
        <f t="shared" si="4"/>
        <v>1989.2658827947853</v>
      </c>
      <c r="O40" s="4">
        <f>F40*L40</f>
        <v>3317.7426256658291</v>
      </c>
      <c r="P40" s="4">
        <f t="shared" si="6"/>
        <v>5307.0085084606144</v>
      </c>
      <c r="Q40" s="3"/>
    </row>
    <row r="41" spans="1:17" x14ac:dyDescent="0.25">
      <c r="A41">
        <v>14</v>
      </c>
      <c r="B41" s="1" t="s">
        <v>51</v>
      </c>
      <c r="C41" s="1" t="s">
        <v>29</v>
      </c>
      <c r="D41" s="2">
        <v>39380</v>
      </c>
      <c r="E41" s="7">
        <v>14.72</v>
      </c>
      <c r="F41" s="4">
        <f t="shared" si="0"/>
        <v>6036.7454068241468</v>
      </c>
      <c r="G41" s="2">
        <v>39400</v>
      </c>
      <c r="H41" s="3">
        <v>2540.3000000000002</v>
      </c>
      <c r="I41" s="3">
        <v>947.4</v>
      </c>
      <c r="J41" s="3">
        <v>1515.7</v>
      </c>
      <c r="K41" s="6">
        <f t="shared" si="1"/>
        <v>0.37294807699877963</v>
      </c>
      <c r="L41" s="6">
        <f t="shared" si="2"/>
        <v>0.59666181159705545</v>
      </c>
      <c r="M41" s="6">
        <f t="shared" si="3"/>
        <v>3.0390111404164921E-2</v>
      </c>
      <c r="N41" s="4">
        <f t="shared" si="4"/>
        <v>2251.3925908062811</v>
      </c>
      <c r="O41" s="4">
        <f t="shared" si="5"/>
        <v>3601.8954505858987</v>
      </c>
      <c r="P41" s="4">
        <f>N41+O41</f>
        <v>5853.2880413921794</v>
      </c>
      <c r="Q41" s="3"/>
    </row>
    <row r="42" spans="1:17" x14ac:dyDescent="0.25">
      <c r="A42">
        <v>15</v>
      </c>
      <c r="B42" s="1" t="s">
        <v>52</v>
      </c>
      <c r="C42" s="1" t="s">
        <v>29</v>
      </c>
      <c r="D42" s="2">
        <v>39380</v>
      </c>
      <c r="E42" s="7">
        <v>9.98</v>
      </c>
      <c r="F42" s="4">
        <f t="shared" si="0"/>
        <v>4092.8477690288719</v>
      </c>
      <c r="G42" s="2">
        <v>39400</v>
      </c>
      <c r="H42" s="3">
        <v>1946.8</v>
      </c>
      <c r="I42" s="3">
        <v>694.1</v>
      </c>
      <c r="J42" s="3">
        <v>1172.5999999999999</v>
      </c>
      <c r="K42" s="6">
        <f t="shared" si="1"/>
        <v>0.35653379905485927</v>
      </c>
      <c r="L42" s="6">
        <f t="shared" si="2"/>
        <v>0.60232175878364491</v>
      </c>
      <c r="M42" s="6">
        <f t="shared" si="3"/>
        <v>4.114444216149582E-2</v>
      </c>
      <c r="N42" s="4">
        <f t="shared" si="4"/>
        <v>1459.2385640450689</v>
      </c>
      <c r="O42" s="4">
        <f t="shared" si="5"/>
        <v>2465.2112666751873</v>
      </c>
      <c r="P42" s="4">
        <f t="shared" si="6"/>
        <v>3924.4498307202562</v>
      </c>
      <c r="Q42" s="3"/>
    </row>
    <row r="43" spans="1:17" x14ac:dyDescent="0.25">
      <c r="A43">
        <v>16</v>
      </c>
      <c r="B43" s="1" t="s">
        <v>53</v>
      </c>
      <c r="C43" s="1" t="s">
        <v>29</v>
      </c>
      <c r="D43" s="2">
        <v>39380</v>
      </c>
      <c r="E43" s="7">
        <v>11.32</v>
      </c>
      <c r="F43" s="4">
        <f t="shared" si="0"/>
        <v>4642.3884514435695</v>
      </c>
      <c r="G43" s="2">
        <v>39400</v>
      </c>
      <c r="H43" s="3">
        <v>2342.1</v>
      </c>
      <c r="I43" s="3">
        <v>857.7</v>
      </c>
      <c r="J43" s="3">
        <v>1386.2</v>
      </c>
      <c r="K43" s="6">
        <f t="shared" si="1"/>
        <v>0.36620981170744205</v>
      </c>
      <c r="L43" s="6">
        <f t="shared" si="2"/>
        <v>0.59186200418427914</v>
      </c>
      <c r="M43" s="6">
        <f t="shared" si="3"/>
        <v>4.192818410827881E-2</v>
      </c>
      <c r="N43" s="4">
        <f t="shared" si="4"/>
        <v>1700.088200675953</v>
      </c>
      <c r="O43" s="4">
        <f t="shared" si="5"/>
        <v>2747.6533330733432</v>
      </c>
      <c r="P43" s="4">
        <f t="shared" si="6"/>
        <v>4447.7415337492967</v>
      </c>
      <c r="Q43" s="3"/>
    </row>
    <row r="44" spans="1:17" x14ac:dyDescent="0.25">
      <c r="A44">
        <v>17</v>
      </c>
      <c r="B44" s="1" t="s">
        <v>54</v>
      </c>
      <c r="C44" s="1" t="s">
        <v>29</v>
      </c>
      <c r="D44" s="2">
        <v>39380</v>
      </c>
      <c r="E44" s="7">
        <v>13.28</v>
      </c>
      <c r="F44" s="4">
        <f t="shared" si="0"/>
        <v>5446.1942257217843</v>
      </c>
      <c r="G44" s="2">
        <v>39400</v>
      </c>
      <c r="H44" s="3">
        <v>2890.5</v>
      </c>
      <c r="I44" s="3">
        <v>1065.4000000000001</v>
      </c>
      <c r="J44" s="3">
        <v>1710.9</v>
      </c>
      <c r="K44" s="6">
        <f t="shared" si="1"/>
        <v>0.36858674969728422</v>
      </c>
      <c r="L44" s="6">
        <f t="shared" si="2"/>
        <v>0.59190451478982875</v>
      </c>
      <c r="M44" s="6">
        <f t="shared" si="3"/>
        <v>3.9508735512887028E-2</v>
      </c>
      <c r="N44" s="4">
        <f t="shared" si="4"/>
        <v>2007.39502787891</v>
      </c>
      <c r="O44" s="4">
        <f t="shared" si="5"/>
        <v>3223.6269506270196</v>
      </c>
      <c r="P44" s="4">
        <f t="shared" si="6"/>
        <v>5231.0219785059298</v>
      </c>
      <c r="Q44" s="3"/>
    </row>
    <row r="45" spans="1:17" x14ac:dyDescent="0.25">
      <c r="A45">
        <v>18</v>
      </c>
      <c r="B45" s="1" t="s">
        <v>55</v>
      </c>
      <c r="C45" s="1" t="s">
        <v>29</v>
      </c>
      <c r="D45" s="2">
        <v>39380</v>
      </c>
      <c r="E45" s="7">
        <v>13.23</v>
      </c>
      <c r="F45" s="4">
        <f t="shared" si="0"/>
        <v>5425.6889763779527</v>
      </c>
      <c r="G45" s="2">
        <v>39400</v>
      </c>
      <c r="H45" s="3">
        <v>2513.5</v>
      </c>
      <c r="I45" s="3">
        <v>902.1</v>
      </c>
      <c r="J45" s="3">
        <v>1491.7</v>
      </c>
      <c r="K45" s="6">
        <f t="shared" si="1"/>
        <v>0.35890192958026657</v>
      </c>
      <c r="L45" s="6">
        <f t="shared" si="2"/>
        <v>0.59347523373781585</v>
      </c>
      <c r="M45" s="6">
        <f t="shared" si="3"/>
        <v>4.762283668191758E-2</v>
      </c>
      <c r="N45" s="4">
        <f t="shared" si="4"/>
        <v>1947.2902429244286</v>
      </c>
      <c r="O45" s="4">
        <f t="shared" si="5"/>
        <v>3220.0120334445965</v>
      </c>
      <c r="P45" s="4">
        <f t="shared" si="6"/>
        <v>5167.3022763690251</v>
      </c>
      <c r="Q45" s="3"/>
    </row>
    <row r="46" spans="1:17" x14ac:dyDescent="0.25">
      <c r="A46">
        <v>19</v>
      </c>
      <c r="B46" s="1" t="s">
        <v>56</v>
      </c>
      <c r="C46" s="1" t="s">
        <v>29</v>
      </c>
      <c r="D46" s="2">
        <v>39380</v>
      </c>
      <c r="E46" s="7">
        <v>13.66</v>
      </c>
      <c r="F46" s="4">
        <f t="shared" si="0"/>
        <v>5602.0341207349074</v>
      </c>
      <c r="G46" s="2">
        <v>39400</v>
      </c>
      <c r="H46" s="3">
        <v>2791.3</v>
      </c>
      <c r="I46" s="3">
        <v>1004.3</v>
      </c>
      <c r="J46" s="3">
        <v>1683.2</v>
      </c>
      <c r="K46" s="6">
        <f t="shared" si="1"/>
        <v>0.35979651058646506</v>
      </c>
      <c r="L46" s="6">
        <f t="shared" si="2"/>
        <v>0.60301651560204916</v>
      </c>
      <c r="M46" s="6">
        <f t="shared" si="3"/>
        <v>3.7186973811485724E-2</v>
      </c>
      <c r="N46" s="4">
        <f t="shared" si="4"/>
        <v>2015.5923288267356</v>
      </c>
      <c r="O46" s="4">
        <f t="shared" si="5"/>
        <v>3378.119095769353</v>
      </c>
      <c r="P46" s="4">
        <f t="shared" si="6"/>
        <v>5393.7114245960884</v>
      </c>
      <c r="Q46" s="3"/>
    </row>
    <row r="47" spans="1:17" x14ac:dyDescent="0.25">
      <c r="A47">
        <v>20</v>
      </c>
      <c r="B47" s="1" t="s">
        <v>57</v>
      </c>
      <c r="C47" s="1" t="s">
        <v>29</v>
      </c>
      <c r="D47" s="2">
        <v>39380</v>
      </c>
      <c r="E47" s="7">
        <v>13.53</v>
      </c>
      <c r="F47" s="4">
        <f t="shared" si="0"/>
        <v>5548.7204724409448</v>
      </c>
      <c r="G47" s="2">
        <v>39400</v>
      </c>
      <c r="H47" s="3">
        <v>2958.8</v>
      </c>
      <c r="I47" s="3">
        <v>1088.0999999999999</v>
      </c>
      <c r="J47" s="3">
        <v>1782.1</v>
      </c>
      <c r="K47" s="6">
        <f t="shared" si="1"/>
        <v>0.367750439367311</v>
      </c>
      <c r="L47" s="6">
        <f t="shared" si="2"/>
        <v>0.60230498850885483</v>
      </c>
      <c r="M47" s="6">
        <f t="shared" si="3"/>
        <v>2.9944572123834168E-2</v>
      </c>
      <c r="N47" s="4">
        <f t="shared" si="4"/>
        <v>2040.5443916665508</v>
      </c>
      <c r="O47" s="4">
        <f t="shared" si="5"/>
        <v>3342.0220203923909</v>
      </c>
      <c r="P47" s="4">
        <f t="shared" si="6"/>
        <v>5382.5664120589418</v>
      </c>
      <c r="Q47" s="3"/>
    </row>
    <row r="48" spans="1:17" x14ac:dyDescent="0.25">
      <c r="A48">
        <v>21</v>
      </c>
      <c r="B48" s="1" t="s">
        <v>58</v>
      </c>
      <c r="C48" s="1" t="s">
        <v>29</v>
      </c>
      <c r="D48" s="2">
        <v>39380</v>
      </c>
      <c r="E48" s="7">
        <v>11.85</v>
      </c>
      <c r="F48" s="4">
        <f t="shared" si="0"/>
        <v>4859.7440944881882</v>
      </c>
      <c r="G48" s="2">
        <v>39400</v>
      </c>
      <c r="H48" s="3">
        <v>2606.1999999999998</v>
      </c>
      <c r="I48" s="3">
        <v>921.9</v>
      </c>
      <c r="J48" s="3">
        <v>1542.9</v>
      </c>
      <c r="K48" s="6">
        <f t="shared" si="1"/>
        <v>0.35373340495740929</v>
      </c>
      <c r="L48" s="6">
        <f t="shared" si="2"/>
        <v>0.59201135753203904</v>
      </c>
      <c r="M48" s="6">
        <f t="shared" si="3"/>
        <v>5.4255237510551724E-2</v>
      </c>
      <c r="N48" s="4">
        <f t="shared" si="4"/>
        <v>1719.0538257649687</v>
      </c>
      <c r="O48" s="4">
        <f t="shared" si="5"/>
        <v>2877.023698636262</v>
      </c>
      <c r="P48" s="4">
        <f t="shared" si="6"/>
        <v>4596.0775244012311</v>
      </c>
      <c r="Q48" s="3"/>
    </row>
    <row r="49" spans="1:17" x14ac:dyDescent="0.25">
      <c r="A49">
        <v>22</v>
      </c>
      <c r="B49" s="1" t="s">
        <v>59</v>
      </c>
      <c r="C49" s="1" t="s">
        <v>29</v>
      </c>
      <c r="D49" s="2">
        <v>39380</v>
      </c>
      <c r="E49" s="7">
        <v>11.15</v>
      </c>
      <c r="F49" s="4">
        <f t="shared" si="0"/>
        <v>4572.6706036745409</v>
      </c>
      <c r="G49" s="2">
        <v>39400</v>
      </c>
      <c r="H49" s="3">
        <v>2499.6</v>
      </c>
      <c r="I49" s="3">
        <v>897.8</v>
      </c>
      <c r="J49" s="3">
        <v>1475.5</v>
      </c>
      <c r="K49" s="6">
        <f t="shared" si="1"/>
        <v>0.35917746839494319</v>
      </c>
      <c r="L49" s="6">
        <f t="shared" si="2"/>
        <v>0.59029444711153789</v>
      </c>
      <c r="M49" s="6">
        <f t="shared" si="3"/>
        <v>5.0528084493518977E-2</v>
      </c>
      <c r="N49" s="4">
        <f t="shared" si="4"/>
        <v>1642.4002512317982</v>
      </c>
      <c r="O49" s="4">
        <f t="shared" si="5"/>
        <v>2699.2220658192455</v>
      </c>
      <c r="P49" s="4">
        <f t="shared" si="6"/>
        <v>4341.6223170510439</v>
      </c>
      <c r="Q49" s="3"/>
    </row>
    <row r="50" spans="1:17" x14ac:dyDescent="0.25">
      <c r="A50">
        <v>23</v>
      </c>
      <c r="B50" s="1" t="s">
        <v>60</v>
      </c>
      <c r="C50" s="1" t="s">
        <v>29</v>
      </c>
      <c r="D50" s="2">
        <v>39380</v>
      </c>
      <c r="E50" s="7">
        <v>13.25</v>
      </c>
      <c r="F50" s="4">
        <f t="shared" si="0"/>
        <v>5433.8910761154857</v>
      </c>
      <c r="G50" s="2">
        <v>39400</v>
      </c>
      <c r="H50" s="3">
        <v>3966.9</v>
      </c>
      <c r="I50" s="3">
        <v>1440.1</v>
      </c>
      <c r="J50" s="3">
        <v>2343.1</v>
      </c>
      <c r="K50" s="6">
        <f t="shared" si="1"/>
        <v>0.36302906551715441</v>
      </c>
      <c r="L50" s="6">
        <f t="shared" si="2"/>
        <v>0.59066273412488335</v>
      </c>
      <c r="M50" s="6">
        <f t="shared" si="3"/>
        <v>4.6308200357962237E-2</v>
      </c>
      <c r="N50" s="4">
        <f t="shared" si="4"/>
        <v>1972.6603994842094</v>
      </c>
      <c r="O50" s="4">
        <f t="shared" si="5"/>
        <v>3209.5969599551772</v>
      </c>
      <c r="P50" s="4">
        <f t="shared" si="6"/>
        <v>5182.2573594393871</v>
      </c>
      <c r="Q50" s="3"/>
    </row>
    <row r="51" spans="1:17" x14ac:dyDescent="0.25">
      <c r="A51">
        <v>24</v>
      </c>
      <c r="B51" s="1" t="s">
        <v>61</v>
      </c>
      <c r="C51" s="1" t="s">
        <v>29</v>
      </c>
      <c r="D51" s="2">
        <v>39380</v>
      </c>
      <c r="E51" s="7">
        <v>12.67</v>
      </c>
      <c r="F51" s="4">
        <f t="shared" si="0"/>
        <v>5196.0301837270335</v>
      </c>
      <c r="G51" s="2">
        <v>39400</v>
      </c>
      <c r="H51" s="3">
        <v>2309.3000000000002</v>
      </c>
      <c r="I51" s="3">
        <v>828.8</v>
      </c>
      <c r="J51" s="3">
        <v>1382.1</v>
      </c>
      <c r="K51" s="6">
        <f t="shared" si="1"/>
        <v>0.35889663534404359</v>
      </c>
      <c r="L51" s="6">
        <f t="shared" si="2"/>
        <v>0.5984930498419434</v>
      </c>
      <c r="M51" s="6">
        <f t="shared" si="3"/>
        <v>4.2610314814013006E-2</v>
      </c>
      <c r="N51" s="4">
        <f t="shared" si="4"/>
        <v>1864.837750085725</v>
      </c>
      <c r="O51" s="4">
        <f t="shared" si="5"/>
        <v>3109.787951729586</v>
      </c>
      <c r="P51" s="4">
        <f t="shared" si="6"/>
        <v>4974.625701815311</v>
      </c>
      <c r="Q51" s="3"/>
    </row>
    <row r="52" spans="1:17" x14ac:dyDescent="0.25">
      <c r="A52">
        <v>25</v>
      </c>
      <c r="B52" s="1" t="s">
        <v>62</v>
      </c>
      <c r="C52" s="1" t="s">
        <v>29</v>
      </c>
      <c r="D52" s="2">
        <v>39380</v>
      </c>
      <c r="E52" s="7">
        <v>11.11</v>
      </c>
      <c r="F52" s="4">
        <f t="shared" si="0"/>
        <v>4556.2664041994749</v>
      </c>
      <c r="G52" s="2">
        <v>39400</v>
      </c>
      <c r="H52" s="3">
        <v>2583.1999999999998</v>
      </c>
      <c r="I52" s="3">
        <v>930.1</v>
      </c>
      <c r="J52" s="3">
        <v>1554.7</v>
      </c>
      <c r="K52" s="6">
        <f t="shared" si="1"/>
        <v>0.36005729327965319</v>
      </c>
      <c r="L52" s="6">
        <f t="shared" si="2"/>
        <v>0.60185041808609485</v>
      </c>
      <c r="M52" s="6">
        <f t="shared" si="3"/>
        <v>3.8092288634251958E-2</v>
      </c>
      <c r="N52" s="4">
        <f t="shared" si="4"/>
        <v>1640.5169489570812</v>
      </c>
      <c r="O52" s="4">
        <f t="shared" si="5"/>
        <v>2742.1908402790818</v>
      </c>
      <c r="P52" s="4">
        <f t="shared" si="6"/>
        <v>4382.7077892361631</v>
      </c>
      <c r="Q52" s="3"/>
    </row>
    <row r="53" spans="1:17" x14ac:dyDescent="0.25">
      <c r="A53">
        <v>26</v>
      </c>
      <c r="B53" s="1" t="s">
        <v>63</v>
      </c>
      <c r="C53" s="1" t="s">
        <v>29</v>
      </c>
      <c r="D53" s="2">
        <v>39379</v>
      </c>
      <c r="E53" s="7">
        <v>12.78</v>
      </c>
      <c r="F53" s="4">
        <f t="shared" si="0"/>
        <v>5241.1417322834641</v>
      </c>
      <c r="G53" s="2">
        <v>39400</v>
      </c>
      <c r="H53" s="3">
        <v>2700</v>
      </c>
      <c r="I53" s="3">
        <v>966.6</v>
      </c>
      <c r="J53" s="3">
        <v>1624.4</v>
      </c>
      <c r="K53" s="6">
        <f t="shared" si="1"/>
        <v>0.35799999999999998</v>
      </c>
      <c r="L53" s="6">
        <f t="shared" si="2"/>
        <v>0.60162962962962963</v>
      </c>
      <c r="M53" s="6">
        <f t="shared" si="3"/>
        <v>4.037037037037039E-2</v>
      </c>
      <c r="N53" s="4">
        <f t="shared" si="4"/>
        <v>1876.3287401574801</v>
      </c>
      <c r="O53" s="4">
        <f t="shared" si="5"/>
        <v>3153.2261592300961</v>
      </c>
      <c r="P53" s="4">
        <f t="shared" si="6"/>
        <v>5029.5548993875764</v>
      </c>
      <c r="Q53" s="3"/>
    </row>
    <row r="54" spans="1:17" x14ac:dyDescent="0.25">
      <c r="A54">
        <v>27</v>
      </c>
      <c r="B54" s="1" t="s">
        <v>64</v>
      </c>
      <c r="C54" s="1" t="s">
        <v>29</v>
      </c>
      <c r="D54" s="2">
        <v>39379</v>
      </c>
      <c r="E54" s="7">
        <v>11.02</v>
      </c>
      <c r="F54" s="4">
        <f t="shared" si="0"/>
        <v>4519.3569553805773</v>
      </c>
      <c r="G54" s="2">
        <v>39400</v>
      </c>
      <c r="H54" s="3">
        <v>2536.6</v>
      </c>
      <c r="I54" s="3">
        <v>912</v>
      </c>
      <c r="J54" s="3">
        <v>1550.4</v>
      </c>
      <c r="K54" s="6">
        <f t="shared" si="1"/>
        <v>0.35953638729007337</v>
      </c>
      <c r="L54" s="6">
        <f t="shared" si="2"/>
        <v>0.61121185839312475</v>
      </c>
      <c r="M54" s="6">
        <f t="shared" si="3"/>
        <v>2.9251754316801826E-2</v>
      </c>
      <c r="N54" s="4">
        <f t="shared" si="4"/>
        <v>1624.873272611798</v>
      </c>
      <c r="O54" s="4">
        <f t="shared" si="5"/>
        <v>2762.2845634400569</v>
      </c>
      <c r="P54" s="4">
        <f t="shared" si="6"/>
        <v>4387.1578360518552</v>
      </c>
      <c r="Q54" s="3"/>
    </row>
    <row r="55" spans="1:17" x14ac:dyDescent="0.25">
      <c r="A55">
        <v>28</v>
      </c>
      <c r="B55" s="1" t="s">
        <v>65</v>
      </c>
      <c r="C55" s="1" t="s">
        <v>29</v>
      </c>
      <c r="D55" s="2">
        <v>39379</v>
      </c>
      <c r="E55" s="7">
        <v>12.66</v>
      </c>
      <c r="F55" s="4">
        <f t="shared" si="0"/>
        <v>5191.9291338582671</v>
      </c>
      <c r="G55" s="2">
        <v>39400</v>
      </c>
      <c r="H55" s="3">
        <v>2754.2</v>
      </c>
      <c r="I55" s="3">
        <v>982.2</v>
      </c>
      <c r="J55" s="3">
        <v>1671</v>
      </c>
      <c r="K55" s="6">
        <f t="shared" si="1"/>
        <v>0.35661898191852448</v>
      </c>
      <c r="L55" s="6">
        <f t="shared" si="2"/>
        <v>0.60670975237818603</v>
      </c>
      <c r="M55" s="6">
        <f t="shared" si="3"/>
        <v>3.6671265703289491E-2</v>
      </c>
      <c r="N55" s="4">
        <f t="shared" si="4"/>
        <v>1851.5404819096618</v>
      </c>
      <c r="O55" s="4">
        <f t="shared" si="5"/>
        <v>3149.9940391682389</v>
      </c>
      <c r="P55" s="4">
        <f t="shared" si="6"/>
        <v>5001.5345210779005</v>
      </c>
      <c r="Q55" s="3"/>
    </row>
    <row r="56" spans="1:17" x14ac:dyDescent="0.25">
      <c r="A56">
        <v>29</v>
      </c>
      <c r="B56" s="1" t="s">
        <v>66</v>
      </c>
      <c r="C56" s="1" t="s">
        <v>29</v>
      </c>
      <c r="D56" s="2">
        <v>39379</v>
      </c>
      <c r="E56" s="7">
        <v>11.3</v>
      </c>
      <c r="F56" s="4">
        <f t="shared" si="0"/>
        <v>4634.1863517060374</v>
      </c>
      <c r="G56" s="2">
        <v>39400</v>
      </c>
      <c r="H56" s="3">
        <v>2058.6999999999998</v>
      </c>
      <c r="I56" s="3">
        <v>745.9</v>
      </c>
      <c r="J56" s="3">
        <v>1198.0999999999999</v>
      </c>
      <c r="K56" s="6">
        <f t="shared" si="1"/>
        <v>0.36231602467576629</v>
      </c>
      <c r="L56" s="6">
        <f t="shared" si="2"/>
        <v>0.58196920386651774</v>
      </c>
      <c r="M56" s="6">
        <f t="shared" si="3"/>
        <v>5.5714771457715973E-2</v>
      </c>
      <c r="N56" s="4">
        <f t="shared" si="4"/>
        <v>1679.0399765568241</v>
      </c>
      <c r="O56" s="4">
        <f t="shared" si="5"/>
        <v>2696.9537416714447</v>
      </c>
      <c r="P56" s="4">
        <f t="shared" si="6"/>
        <v>4375.9937182282683</v>
      </c>
      <c r="Q56" s="3"/>
    </row>
    <row r="57" spans="1:17" x14ac:dyDescent="0.25">
      <c r="A57">
        <v>30</v>
      </c>
      <c r="B57" s="1" t="s">
        <v>67</v>
      </c>
      <c r="C57" s="1" t="s">
        <v>29</v>
      </c>
      <c r="D57" s="2">
        <v>39379</v>
      </c>
      <c r="E57" s="7">
        <v>10.86</v>
      </c>
      <c r="F57" s="4">
        <f t="shared" si="0"/>
        <v>4453.7401574803152</v>
      </c>
      <c r="G57" s="2">
        <v>39400</v>
      </c>
      <c r="H57" s="3">
        <v>2748</v>
      </c>
      <c r="I57" s="3">
        <v>1013.3</v>
      </c>
      <c r="J57" s="3">
        <v>1619.4</v>
      </c>
      <c r="K57" s="6">
        <f t="shared" si="1"/>
        <v>0.3687409024745269</v>
      </c>
      <c r="L57" s="6">
        <f t="shared" si="2"/>
        <v>0.58930131004366815</v>
      </c>
      <c r="M57" s="6">
        <f t="shared" si="3"/>
        <v>4.1957787481804898E-2</v>
      </c>
      <c r="N57" s="4">
        <f t="shared" si="4"/>
        <v>1642.276165056333</v>
      </c>
      <c r="O57" s="4">
        <f t="shared" si="5"/>
        <v>2624.5949093972426</v>
      </c>
      <c r="P57" s="4">
        <f t="shared" si="6"/>
        <v>4266.8710744535756</v>
      </c>
      <c r="Q57" s="3"/>
    </row>
    <row r="58" spans="1:17" x14ac:dyDescent="0.25">
      <c r="A58">
        <v>31</v>
      </c>
      <c r="B58" s="1" t="s">
        <v>68</v>
      </c>
      <c r="C58" s="1" t="s">
        <v>29</v>
      </c>
      <c r="D58" s="2">
        <v>39379</v>
      </c>
      <c r="E58" s="7">
        <v>6.49</v>
      </c>
      <c r="F58" s="4">
        <f t="shared" si="0"/>
        <v>2661.5813648293961</v>
      </c>
      <c r="G58" s="2">
        <v>39400</v>
      </c>
      <c r="H58" s="3">
        <v>1682.1</v>
      </c>
      <c r="I58" s="3">
        <v>557.6</v>
      </c>
      <c r="J58" s="3">
        <v>997.2</v>
      </c>
      <c r="K58" s="6">
        <f t="shared" si="1"/>
        <v>0.3314903989061293</v>
      </c>
      <c r="L58" s="6">
        <f t="shared" si="2"/>
        <v>0.59283039058319964</v>
      </c>
      <c r="M58" s="6">
        <f t="shared" si="3"/>
        <v>7.5679210510671058E-2</v>
      </c>
      <c r="N58" s="4">
        <f t="shared" si="4"/>
        <v>882.28866834841654</v>
      </c>
      <c r="O58" s="4">
        <f t="shared" si="5"/>
        <v>1577.8663200807764</v>
      </c>
      <c r="P58" s="4">
        <f t="shared" si="6"/>
        <v>2460.1549884291931</v>
      </c>
      <c r="Q58" s="3"/>
    </row>
    <row r="59" spans="1:17" x14ac:dyDescent="0.25">
      <c r="A59">
        <v>32</v>
      </c>
      <c r="B59" s="1" t="s">
        <v>69</v>
      </c>
      <c r="C59" s="1" t="s">
        <v>29</v>
      </c>
      <c r="D59" s="2">
        <v>39379</v>
      </c>
      <c r="E59" s="7">
        <v>8.43</v>
      </c>
      <c r="F59" s="4">
        <f t="shared" si="0"/>
        <v>3457.1850393700788</v>
      </c>
      <c r="G59" s="2">
        <v>39400</v>
      </c>
      <c r="H59" s="3">
        <v>1979.2</v>
      </c>
      <c r="I59" s="3">
        <v>654.20000000000005</v>
      </c>
      <c r="J59" s="3">
        <v>1181</v>
      </c>
      <c r="K59" s="6">
        <f t="shared" si="1"/>
        <v>0.33053759094583673</v>
      </c>
      <c r="L59" s="6">
        <f t="shared" si="2"/>
        <v>0.59670573969280516</v>
      </c>
      <c r="M59" s="6">
        <f t="shared" si="3"/>
        <v>7.2756669361358051E-2</v>
      </c>
      <c r="N59" s="4">
        <f t="shared" si="4"/>
        <v>1142.7296143673736</v>
      </c>
      <c r="O59" s="4">
        <f t="shared" si="5"/>
        <v>2062.9221561722225</v>
      </c>
      <c r="P59" s="4">
        <f t="shared" si="6"/>
        <v>3205.6517705395963</v>
      </c>
      <c r="Q59" s="3"/>
    </row>
    <row r="60" spans="1:17" x14ac:dyDescent="0.25">
      <c r="A60">
        <v>33</v>
      </c>
      <c r="B60" s="1" t="s">
        <v>70</v>
      </c>
      <c r="C60" s="1" t="s">
        <v>29</v>
      </c>
      <c r="D60" s="2">
        <v>39379</v>
      </c>
      <c r="E60" s="7">
        <v>11.66</v>
      </c>
      <c r="F60" s="4">
        <f t="shared" si="0"/>
        <v>4781.8241469816276</v>
      </c>
      <c r="G60" s="2">
        <v>39400</v>
      </c>
      <c r="H60" s="3">
        <v>2174</v>
      </c>
      <c r="I60" s="3">
        <v>766.8</v>
      </c>
      <c r="J60" s="3">
        <v>1324.7</v>
      </c>
      <c r="K60" s="6">
        <f t="shared" si="1"/>
        <v>0.35271389144434223</v>
      </c>
      <c r="L60" s="6">
        <f t="shared" si="2"/>
        <v>0.60933762649494028</v>
      </c>
      <c r="M60" s="6">
        <f t="shared" si="3"/>
        <v>3.7948482060717548E-2</v>
      </c>
      <c r="N60" s="4">
        <f t="shared" si="4"/>
        <v>1686.6158030844122</v>
      </c>
      <c r="O60" s="4">
        <f t="shared" si="5"/>
        <v>2913.7453760379772</v>
      </c>
      <c r="P60" s="4">
        <f t="shared" si="6"/>
        <v>4600.3611791223893</v>
      </c>
      <c r="Q60" s="3"/>
    </row>
    <row r="61" spans="1:17" x14ac:dyDescent="0.25">
      <c r="A61">
        <v>34</v>
      </c>
      <c r="B61" s="1" t="s">
        <v>71</v>
      </c>
      <c r="C61" s="1" t="s">
        <v>29</v>
      </c>
      <c r="D61" s="2">
        <v>39379</v>
      </c>
      <c r="E61" s="7">
        <v>11.16</v>
      </c>
      <c r="F61" s="4">
        <f t="shared" si="0"/>
        <v>4576.7716535433074</v>
      </c>
      <c r="G61" s="2">
        <v>39400</v>
      </c>
      <c r="H61" s="3">
        <v>2665.7</v>
      </c>
      <c r="I61" s="3">
        <v>939.9</v>
      </c>
      <c r="J61" s="3">
        <v>1630.9</v>
      </c>
      <c r="K61" s="6">
        <f t="shared" si="1"/>
        <v>0.35259031398882096</v>
      </c>
      <c r="L61" s="6">
        <f t="shared" si="2"/>
        <v>0.61180928086431341</v>
      </c>
      <c r="M61" s="6">
        <f t="shared" si="3"/>
        <v>3.5600405146865688E-2</v>
      </c>
      <c r="N61" s="4">
        <f t="shared" si="4"/>
        <v>1613.72535437797</v>
      </c>
      <c r="O61" s="4">
        <f t="shared" si="5"/>
        <v>2800.1113740345054</v>
      </c>
      <c r="P61" s="4">
        <f t="shared" si="6"/>
        <v>4413.8367284124752</v>
      </c>
      <c r="Q61" s="3"/>
    </row>
    <row r="62" spans="1:17" x14ac:dyDescent="0.25">
      <c r="A62">
        <v>35</v>
      </c>
      <c r="B62" s="1" t="s">
        <v>72</v>
      </c>
      <c r="C62" s="1" t="s">
        <v>29</v>
      </c>
      <c r="D62" s="2">
        <v>39379</v>
      </c>
      <c r="E62" s="7">
        <v>11.14</v>
      </c>
      <c r="F62" s="4">
        <f t="shared" si="0"/>
        <v>4568.5695538057744</v>
      </c>
      <c r="G62" s="2">
        <v>39400</v>
      </c>
      <c r="H62" s="3">
        <v>2485.8000000000002</v>
      </c>
      <c r="I62" s="3">
        <v>886.9</v>
      </c>
      <c r="J62" s="3">
        <v>1474.2</v>
      </c>
      <c r="K62" s="6">
        <f t="shared" si="1"/>
        <v>0.35678654759031292</v>
      </c>
      <c r="L62" s="6">
        <f t="shared" si="2"/>
        <v>0.59304851556842864</v>
      </c>
      <c r="M62" s="6">
        <f t="shared" si="3"/>
        <v>5.0164936841258445E-2</v>
      </c>
      <c r="N62" s="4">
        <f t="shared" si="4"/>
        <v>1630.0041585285785</v>
      </c>
      <c r="O62" s="4">
        <f t="shared" si="5"/>
        <v>2709.3833921556329</v>
      </c>
      <c r="P62" s="4">
        <f t="shared" si="6"/>
        <v>4339.3875506842114</v>
      </c>
      <c r="Q62" s="3"/>
    </row>
    <row r="63" spans="1:17" x14ac:dyDescent="0.25">
      <c r="A63">
        <v>36</v>
      </c>
      <c r="B63" s="1" t="s">
        <v>73</v>
      </c>
      <c r="C63" s="1" t="s">
        <v>29</v>
      </c>
      <c r="D63" s="2">
        <v>39379</v>
      </c>
      <c r="E63" s="7">
        <v>12.85</v>
      </c>
      <c r="F63" s="4">
        <f t="shared" si="0"/>
        <v>5269.8490813648295</v>
      </c>
      <c r="G63" s="2">
        <v>39400</v>
      </c>
      <c r="H63" s="3">
        <v>2902.1</v>
      </c>
      <c r="I63" s="3">
        <v>1033.4000000000001</v>
      </c>
      <c r="J63" s="3">
        <v>1755.6</v>
      </c>
      <c r="K63" s="6">
        <f t="shared" si="1"/>
        <v>0.35608697150339413</v>
      </c>
      <c r="L63" s="6">
        <f t="shared" si="2"/>
        <v>0.60494124944006067</v>
      </c>
      <c r="M63" s="6">
        <f t="shared" si="3"/>
        <v>3.8971779056545253E-2</v>
      </c>
      <c r="N63" s="4">
        <f t="shared" si="4"/>
        <v>1876.5245996631459</v>
      </c>
      <c r="O63" s="4">
        <f t="shared" si="5"/>
        <v>3187.9490876413961</v>
      </c>
      <c r="P63" s="4">
        <f t="shared" si="6"/>
        <v>5064.4736873045422</v>
      </c>
      <c r="Q63" s="3"/>
    </row>
    <row r="64" spans="1:17" x14ac:dyDescent="0.25">
      <c r="A64">
        <v>37</v>
      </c>
      <c r="B64" s="1" t="s">
        <v>74</v>
      </c>
      <c r="C64" s="1" t="s">
        <v>29</v>
      </c>
      <c r="D64" s="2">
        <v>39379</v>
      </c>
      <c r="E64" s="7">
        <v>8.44</v>
      </c>
      <c r="F64" s="4">
        <f t="shared" si="0"/>
        <v>3461.2860892388449</v>
      </c>
      <c r="G64" s="2">
        <v>39400</v>
      </c>
      <c r="H64" s="3">
        <v>1920.4</v>
      </c>
      <c r="I64" s="3">
        <v>663.7</v>
      </c>
      <c r="J64" s="3">
        <v>1152.0999999999999</v>
      </c>
      <c r="K64" s="6">
        <f t="shared" si="1"/>
        <v>0.34560508227452613</v>
      </c>
      <c r="L64" s="6">
        <f t="shared" si="2"/>
        <v>0.59992709852114134</v>
      </c>
      <c r="M64" s="6">
        <f t="shared" si="3"/>
        <v>5.4467819204332524E-2</v>
      </c>
      <c r="N64" s="4">
        <f t="shared" si="4"/>
        <v>1196.2380636470639</v>
      </c>
      <c r="O64" s="4">
        <f t="shared" si="5"/>
        <v>2076.5193206686486</v>
      </c>
      <c r="P64" s="4">
        <f t="shared" si="6"/>
        <v>3272.7573843157124</v>
      </c>
    </row>
    <row r="65" spans="1:16" x14ac:dyDescent="0.25">
      <c r="A65">
        <v>38</v>
      </c>
      <c r="B65" s="1" t="s">
        <v>75</v>
      </c>
      <c r="C65" s="1" t="s">
        <v>29</v>
      </c>
      <c r="D65" s="2">
        <v>39379</v>
      </c>
      <c r="E65" s="7">
        <v>11.53</v>
      </c>
      <c r="F65" s="4">
        <f t="shared" si="0"/>
        <v>4728.510498687664</v>
      </c>
      <c r="G65" s="2">
        <v>39400</v>
      </c>
      <c r="H65" s="3">
        <v>2862.3</v>
      </c>
      <c r="I65" s="3">
        <v>1028.7</v>
      </c>
      <c r="J65" s="3">
        <v>1709.4</v>
      </c>
      <c r="K65" s="6">
        <f t="shared" si="1"/>
        <v>0.35939628969709675</v>
      </c>
      <c r="L65" s="6">
        <f t="shared" si="2"/>
        <v>0.59721203228173148</v>
      </c>
      <c r="M65" s="6">
        <f t="shared" si="3"/>
        <v>4.339167802117172E-2</v>
      </c>
      <c r="N65" s="4">
        <f t="shared" si="4"/>
        <v>1699.4091290221152</v>
      </c>
      <c r="O65" s="4">
        <f t="shared" si="5"/>
        <v>2823.9233645867635</v>
      </c>
      <c r="P65" s="4">
        <f t="shared" si="6"/>
        <v>4523.3324936088784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174ED-B270-4962-A7F2-21DE7C85D8A3}">
  <dimension ref="A1:Q44"/>
  <sheetViews>
    <sheetView workbookViewId="0"/>
  </sheetViews>
  <sheetFormatPr defaultRowHeight="15" x14ac:dyDescent="0.25"/>
  <cols>
    <col min="4" max="4" width="10.5703125" bestFit="1" customWidth="1"/>
    <col min="7" max="7" width="10.5703125" bestFit="1" customWidth="1"/>
    <col min="17" max="17" width="9.5703125" bestFit="1" customWidth="1"/>
  </cols>
  <sheetData>
    <row r="1" spans="1:17" x14ac:dyDescent="0.25">
      <c r="B1" s="1"/>
      <c r="C1" s="1" t="s">
        <v>0</v>
      </c>
      <c r="D1" s="1" t="s">
        <v>0</v>
      </c>
      <c r="E1" t="s">
        <v>0</v>
      </c>
      <c r="F1" s="1" t="s">
        <v>0</v>
      </c>
      <c r="G1" s="1" t="s">
        <v>7</v>
      </c>
      <c r="H1" t="s">
        <v>7</v>
      </c>
      <c r="I1" t="s">
        <v>7</v>
      </c>
      <c r="J1" t="s">
        <v>7</v>
      </c>
      <c r="K1" s="1" t="s">
        <v>7</v>
      </c>
      <c r="L1" s="1" t="s">
        <v>7</v>
      </c>
      <c r="M1" s="1" t="s">
        <v>7</v>
      </c>
      <c r="N1" s="1" t="s">
        <v>17</v>
      </c>
      <c r="O1" s="1" t="s">
        <v>17</v>
      </c>
      <c r="P1" s="1" t="s">
        <v>17</v>
      </c>
    </row>
    <row r="2" spans="1:17" x14ac:dyDescent="0.25">
      <c r="B2" s="1"/>
      <c r="C2" s="1"/>
      <c r="D2" s="1"/>
      <c r="F2" s="1"/>
      <c r="G2" s="1"/>
      <c r="K2" s="1"/>
      <c r="L2" s="1"/>
      <c r="M2" s="1"/>
      <c r="N2" s="1"/>
      <c r="O2" s="1"/>
      <c r="P2" s="1"/>
    </row>
    <row r="3" spans="1:17" x14ac:dyDescent="0.25">
      <c r="B3" s="1"/>
      <c r="C3" s="1"/>
      <c r="D3" s="1"/>
      <c r="E3" t="s">
        <v>1</v>
      </c>
      <c r="F3" s="1"/>
      <c r="G3" s="1" t="s">
        <v>33</v>
      </c>
      <c r="H3" t="s">
        <v>8</v>
      </c>
      <c r="I3" t="s">
        <v>11</v>
      </c>
      <c r="J3" t="s">
        <v>12</v>
      </c>
      <c r="K3" s="1"/>
      <c r="L3" s="1"/>
      <c r="M3" s="1"/>
      <c r="N3" s="1"/>
      <c r="O3" s="1"/>
      <c r="P3" s="1"/>
    </row>
    <row r="4" spans="1:17" x14ac:dyDescent="0.25">
      <c r="A4" t="s">
        <v>76</v>
      </c>
      <c r="B4" s="1" t="s">
        <v>21</v>
      </c>
      <c r="C4" s="1" t="s">
        <v>28</v>
      </c>
      <c r="D4" s="1" t="s">
        <v>2</v>
      </c>
      <c r="F4" s="1" t="s">
        <v>3</v>
      </c>
      <c r="G4" s="1" t="s">
        <v>34</v>
      </c>
      <c r="H4" t="s">
        <v>9</v>
      </c>
      <c r="I4" t="s">
        <v>9</v>
      </c>
      <c r="J4" t="s">
        <v>9</v>
      </c>
      <c r="K4" s="1" t="s">
        <v>13</v>
      </c>
      <c r="L4" s="1" t="s">
        <v>14</v>
      </c>
      <c r="M4" s="1" t="s">
        <v>15</v>
      </c>
      <c r="N4" s="1" t="s">
        <v>18</v>
      </c>
      <c r="O4" s="1" t="s">
        <v>19</v>
      </c>
      <c r="P4" s="1" t="s">
        <v>20</v>
      </c>
    </row>
    <row r="5" spans="1:17" x14ac:dyDescent="0.25">
      <c r="B5" s="1"/>
      <c r="C5" s="1"/>
      <c r="D5" s="1"/>
      <c r="E5" t="s">
        <v>79</v>
      </c>
      <c r="F5" s="1" t="s">
        <v>4</v>
      </c>
      <c r="G5" s="1"/>
      <c r="H5" t="s">
        <v>10</v>
      </c>
      <c r="I5" t="s">
        <v>10</v>
      </c>
      <c r="J5" t="s">
        <v>10</v>
      </c>
      <c r="K5" s="5" t="s">
        <v>16</v>
      </c>
      <c r="L5" s="5" t="s">
        <v>16</v>
      </c>
      <c r="M5" s="5" t="s">
        <v>16</v>
      </c>
      <c r="N5" s="5" t="s">
        <v>4</v>
      </c>
      <c r="O5" s="5" t="s">
        <v>4</v>
      </c>
      <c r="P5" s="5" t="s">
        <v>4</v>
      </c>
    </row>
    <row r="6" spans="1:17" x14ac:dyDescent="0.25">
      <c r="A6" t="s">
        <v>76</v>
      </c>
      <c r="B6" s="1" t="s">
        <v>21</v>
      </c>
      <c r="C6" s="1" t="s">
        <v>28</v>
      </c>
      <c r="D6" s="1" t="s">
        <v>2</v>
      </c>
      <c r="F6" s="1" t="s">
        <v>3</v>
      </c>
      <c r="G6" s="1" t="s">
        <v>34</v>
      </c>
      <c r="K6" s="1" t="s">
        <v>13</v>
      </c>
      <c r="L6" s="1" t="s">
        <v>14</v>
      </c>
      <c r="M6" s="1" t="s">
        <v>15</v>
      </c>
      <c r="N6" s="1" t="s">
        <v>18</v>
      </c>
      <c r="O6" s="1" t="s">
        <v>19</v>
      </c>
      <c r="P6" s="1" t="s">
        <v>20</v>
      </c>
    </row>
    <row r="7" spans="1:17" x14ac:dyDescent="0.25">
      <c r="A7">
        <v>1</v>
      </c>
      <c r="B7" s="1" t="s">
        <v>38</v>
      </c>
      <c r="C7" s="1" t="s">
        <v>29</v>
      </c>
      <c r="D7" s="2">
        <v>39384</v>
      </c>
      <c r="E7" s="3">
        <v>10.27</v>
      </c>
      <c r="F7" s="4">
        <v>4211.7782152230966</v>
      </c>
      <c r="G7" s="2">
        <v>39400</v>
      </c>
      <c r="H7" s="3">
        <v>3160.4</v>
      </c>
      <c r="I7" s="3">
        <v>1166.8</v>
      </c>
      <c r="J7" s="3">
        <v>1836.4</v>
      </c>
      <c r="K7" s="6">
        <v>0.36919377294013411</v>
      </c>
      <c r="L7" s="6">
        <v>0.58106568788760915</v>
      </c>
      <c r="M7" s="6">
        <v>4.9740539172256737E-2</v>
      </c>
      <c r="N7" s="4">
        <v>1554.9622900652791</v>
      </c>
      <c r="O7" s="4">
        <v>2447.3198058586554</v>
      </c>
      <c r="P7" s="4">
        <v>4002.2820959239343</v>
      </c>
      <c r="Q7" s="3"/>
    </row>
    <row r="8" spans="1:17" x14ac:dyDescent="0.25">
      <c r="A8">
        <v>2</v>
      </c>
      <c r="B8" s="1" t="s">
        <v>39</v>
      </c>
      <c r="C8" s="1" t="s">
        <v>29</v>
      </c>
      <c r="D8" s="2">
        <v>39384</v>
      </c>
      <c r="E8" s="3">
        <v>10.24</v>
      </c>
      <c r="F8" s="4">
        <v>4199.475065616798</v>
      </c>
      <c r="G8" s="2">
        <v>39400</v>
      </c>
      <c r="H8" s="3">
        <v>4171.3999999999996</v>
      </c>
      <c r="I8" s="3">
        <v>1504.8</v>
      </c>
      <c r="J8" s="3">
        <v>2506</v>
      </c>
      <c r="K8" s="6">
        <v>0.3607421968643621</v>
      </c>
      <c r="L8" s="6">
        <v>0.60075753943520172</v>
      </c>
      <c r="M8" s="6">
        <v>3.8500263700436244E-2</v>
      </c>
      <c r="N8" s="4">
        <v>1514.9278608477148</v>
      </c>
      <c r="O8" s="4">
        <v>2522.86630733943</v>
      </c>
      <c r="P8" s="4">
        <v>4037.7941681871448</v>
      </c>
      <c r="Q8" s="3"/>
    </row>
    <row r="9" spans="1:17" x14ac:dyDescent="0.25">
      <c r="A9">
        <v>3</v>
      </c>
      <c r="B9" s="1" t="s">
        <v>40</v>
      </c>
      <c r="C9" s="1" t="s">
        <v>29</v>
      </c>
      <c r="D9" s="2">
        <v>39384</v>
      </c>
      <c r="E9" s="3">
        <v>9.06</v>
      </c>
      <c r="F9" s="4">
        <v>3715.5511811023621</v>
      </c>
      <c r="G9" s="2">
        <v>39400</v>
      </c>
      <c r="H9" s="3">
        <v>1824.4</v>
      </c>
      <c r="I9" s="3">
        <v>625.6</v>
      </c>
      <c r="J9" s="3">
        <v>1128.4000000000001</v>
      </c>
      <c r="K9" s="6">
        <v>0.3429072571804429</v>
      </c>
      <c r="L9" s="6">
        <v>0.61850471387853545</v>
      </c>
      <c r="M9" s="6">
        <v>3.8588028941021646E-2</v>
      </c>
      <c r="N9" s="4">
        <v>1274.089464425366</v>
      </c>
      <c r="O9" s="4">
        <v>2298.0859201687708</v>
      </c>
      <c r="P9" s="4">
        <v>3572.1753845941366</v>
      </c>
      <c r="Q9" s="3"/>
    </row>
    <row r="10" spans="1:17" x14ac:dyDescent="0.25">
      <c r="A10">
        <v>4</v>
      </c>
      <c r="B10" s="1" t="s">
        <v>41</v>
      </c>
      <c r="C10" s="1" t="s">
        <v>29</v>
      </c>
      <c r="D10" s="2">
        <v>39384</v>
      </c>
      <c r="E10" s="3">
        <v>9.99</v>
      </c>
      <c r="F10" s="4">
        <v>4096.9488188976375</v>
      </c>
      <c r="G10" s="2">
        <v>39400</v>
      </c>
      <c r="H10" s="3">
        <v>2842.1</v>
      </c>
      <c r="I10" s="3">
        <v>1052.5</v>
      </c>
      <c r="J10" s="3">
        <v>1660.7</v>
      </c>
      <c r="K10" s="6">
        <v>0.37032475986066643</v>
      </c>
      <c r="L10" s="6">
        <v>0.58432145244713418</v>
      </c>
      <c r="M10" s="6">
        <v>4.5353787692199332E-2</v>
      </c>
      <c r="N10" s="4">
        <v>1517.2015875197085</v>
      </c>
      <c r="O10" s="4">
        <v>2393.9350844598384</v>
      </c>
      <c r="P10" s="4">
        <v>3911.1366719795469</v>
      </c>
      <c r="Q10" s="3"/>
    </row>
    <row r="11" spans="1:17" x14ac:dyDescent="0.25">
      <c r="A11">
        <v>5</v>
      </c>
      <c r="B11" s="1" t="s">
        <v>42</v>
      </c>
      <c r="C11" s="1" t="s">
        <v>29</v>
      </c>
      <c r="D11" s="2">
        <v>39384</v>
      </c>
      <c r="E11" s="3">
        <v>9.14</v>
      </c>
      <c r="F11" s="4">
        <v>3748.3595800524936</v>
      </c>
      <c r="G11" s="2">
        <v>39400</v>
      </c>
      <c r="H11" s="3">
        <v>3004.7</v>
      </c>
      <c r="I11" s="3">
        <v>1129.7</v>
      </c>
      <c r="J11" s="3">
        <v>1762.4</v>
      </c>
      <c r="K11" s="6">
        <v>0.37597763503843984</v>
      </c>
      <c r="L11" s="6">
        <v>0.58654774187106873</v>
      </c>
      <c r="M11" s="6">
        <v>3.7474623090491432E-2</v>
      </c>
      <c r="N11" s="4">
        <v>1409.2993701818161</v>
      </c>
      <c r="O11" s="4">
        <v>2198.5918474005775</v>
      </c>
      <c r="P11" s="4">
        <v>3607.8912175823934</v>
      </c>
      <c r="Q11" s="3"/>
    </row>
    <row r="12" spans="1:17" x14ac:dyDescent="0.25">
      <c r="A12">
        <v>6</v>
      </c>
      <c r="B12" s="1" t="s">
        <v>43</v>
      </c>
      <c r="C12" s="1" t="s">
        <v>29</v>
      </c>
      <c r="D12" s="2">
        <v>39384</v>
      </c>
      <c r="E12" s="3">
        <v>7.18</v>
      </c>
      <c r="F12" s="4">
        <v>2944.5538057742783</v>
      </c>
      <c r="G12" s="2">
        <v>39400</v>
      </c>
      <c r="H12" s="3">
        <v>1658.7</v>
      </c>
      <c r="I12" s="3">
        <v>582.1</v>
      </c>
      <c r="J12" s="3">
        <v>992.8</v>
      </c>
      <c r="K12" s="6">
        <v>0.35093748115994455</v>
      </c>
      <c r="L12" s="6">
        <v>0.59854102610478077</v>
      </c>
      <c r="M12" s="6">
        <v>5.052149273527462E-2</v>
      </c>
      <c r="N12" s="4">
        <v>1033.3542957383538</v>
      </c>
      <c r="O12" s="4">
        <v>1762.4362563288739</v>
      </c>
      <c r="P12" s="4">
        <v>2795.7905520672275</v>
      </c>
      <c r="Q12" s="3"/>
    </row>
    <row r="13" spans="1:17" x14ac:dyDescent="0.25">
      <c r="A13">
        <v>7</v>
      </c>
      <c r="B13" s="1" t="s">
        <v>44</v>
      </c>
      <c r="C13" s="1" t="s">
        <v>29</v>
      </c>
      <c r="D13" s="2">
        <v>39381</v>
      </c>
      <c r="E13" s="3">
        <v>13.87</v>
      </c>
      <c r="F13" s="4">
        <v>5688.1561679790029</v>
      </c>
      <c r="G13" s="2">
        <v>39400</v>
      </c>
      <c r="H13" s="3">
        <v>2930.7</v>
      </c>
      <c r="I13" s="3">
        <v>1046</v>
      </c>
      <c r="J13" s="3">
        <v>1767</v>
      </c>
      <c r="K13" s="6">
        <v>0.35691131811512611</v>
      </c>
      <c r="L13" s="6">
        <v>0.6029276282116901</v>
      </c>
      <c r="M13" s="6">
        <v>4.0161053673183789E-2</v>
      </c>
      <c r="N13" s="4">
        <v>2030.1673155580706</v>
      </c>
      <c r="O13" s="4">
        <v>3429.5465072572761</v>
      </c>
      <c r="P13" s="4">
        <v>5459.7138228153472</v>
      </c>
      <c r="Q13" s="3"/>
    </row>
    <row r="14" spans="1:17" x14ac:dyDescent="0.25">
      <c r="A14">
        <v>8</v>
      </c>
      <c r="B14" s="1" t="s">
        <v>45</v>
      </c>
      <c r="C14" s="1" t="s">
        <v>29</v>
      </c>
      <c r="D14" s="2">
        <v>39381</v>
      </c>
      <c r="E14" s="3">
        <v>13.38</v>
      </c>
      <c r="F14" s="4">
        <v>5487.2047244094492</v>
      </c>
      <c r="G14" s="2">
        <v>39400</v>
      </c>
      <c r="H14" s="3">
        <v>2700.7</v>
      </c>
      <c r="I14" s="3">
        <v>963.4</v>
      </c>
      <c r="J14" s="3">
        <v>1621</v>
      </c>
      <c r="K14" s="6">
        <v>0.35672233124745439</v>
      </c>
      <c r="L14" s="6">
        <v>0.60021475913652023</v>
      </c>
      <c r="M14" s="6">
        <v>4.3062909616025435E-2</v>
      </c>
      <c r="N14" s="4">
        <v>1957.4084613233842</v>
      </c>
      <c r="O14" s="4">
        <v>3293.5012619941936</v>
      </c>
      <c r="P14" s="4">
        <v>5250.909723317578</v>
      </c>
      <c r="Q14" s="3"/>
    </row>
    <row r="15" spans="1:17" x14ac:dyDescent="0.25">
      <c r="A15">
        <v>9</v>
      </c>
      <c r="B15" s="1" t="s">
        <v>46</v>
      </c>
      <c r="C15" s="1" t="s">
        <v>29</v>
      </c>
      <c r="D15" s="2">
        <v>39381</v>
      </c>
      <c r="E15" s="3">
        <v>14.1</v>
      </c>
      <c r="F15" s="4">
        <v>5782.4803149606296</v>
      </c>
      <c r="G15" s="2">
        <v>39400</v>
      </c>
      <c r="H15" s="3">
        <v>3619.7</v>
      </c>
      <c r="I15" s="3">
        <v>1320.2</v>
      </c>
      <c r="J15" s="3">
        <v>2165.6999999999998</v>
      </c>
      <c r="K15" s="6">
        <v>0.36472635853800039</v>
      </c>
      <c r="L15" s="6">
        <v>0.59830925214796804</v>
      </c>
      <c r="M15" s="6">
        <v>3.6964389314031565E-2</v>
      </c>
      <c r="N15" s="4">
        <v>2109.0229885932599</v>
      </c>
      <c r="O15" s="4">
        <v>3459.7114728044412</v>
      </c>
      <c r="P15" s="4">
        <v>5568.7344613977011</v>
      </c>
      <c r="Q15" s="3"/>
    </row>
    <row r="16" spans="1:17" x14ac:dyDescent="0.25">
      <c r="A16">
        <v>10</v>
      </c>
      <c r="B16" s="1" t="s">
        <v>47</v>
      </c>
      <c r="C16" s="1" t="s">
        <v>29</v>
      </c>
      <c r="D16" s="2">
        <v>39381</v>
      </c>
      <c r="E16" s="3">
        <v>11.71</v>
      </c>
      <c r="F16" s="4">
        <v>4802.32939632546</v>
      </c>
      <c r="G16" s="2">
        <v>39400</v>
      </c>
      <c r="H16" s="3">
        <v>2804.5</v>
      </c>
      <c r="I16" s="3">
        <v>1027.0999999999999</v>
      </c>
      <c r="J16" s="3">
        <v>1643.3</v>
      </c>
      <c r="K16" s="6">
        <v>0.36623284007844531</v>
      </c>
      <c r="L16" s="6">
        <v>0.58595114993760022</v>
      </c>
      <c r="M16" s="6">
        <v>4.7816009983954411E-2</v>
      </c>
      <c r="N16" s="4">
        <v>1758.770733808479</v>
      </c>
      <c r="O16" s="4">
        <v>2813.9304321560448</v>
      </c>
      <c r="P16" s="4">
        <v>4572.7011659645241</v>
      </c>
      <c r="Q16" s="3"/>
    </row>
    <row r="17" spans="1:17" x14ac:dyDescent="0.25">
      <c r="A17">
        <v>11</v>
      </c>
      <c r="B17" s="1" t="s">
        <v>48</v>
      </c>
      <c r="C17" s="1" t="s">
        <v>29</v>
      </c>
      <c r="D17" s="2">
        <v>39381</v>
      </c>
      <c r="E17" s="3">
        <v>13.76</v>
      </c>
      <c r="F17" s="4">
        <v>5643.0446194225724</v>
      </c>
      <c r="G17" s="2">
        <v>39400</v>
      </c>
      <c r="H17" s="3">
        <v>3460.2</v>
      </c>
      <c r="I17" s="3">
        <v>1280.0999999999999</v>
      </c>
      <c r="J17" s="3">
        <v>2105.6</v>
      </c>
      <c r="K17" s="6">
        <v>0.36994971388937054</v>
      </c>
      <c r="L17" s="6">
        <v>0.60851973874342524</v>
      </c>
      <c r="M17" s="6">
        <v>2.1530547367204167E-2</v>
      </c>
      <c r="N17" s="4">
        <v>2087.6427424203325</v>
      </c>
      <c r="O17" s="4">
        <v>3433.9040375285153</v>
      </c>
      <c r="P17" s="4">
        <v>5521.5467799488479</v>
      </c>
      <c r="Q17" s="3"/>
    </row>
    <row r="18" spans="1:17" x14ac:dyDescent="0.25">
      <c r="A18">
        <v>12</v>
      </c>
      <c r="B18" s="1" t="s">
        <v>49</v>
      </c>
      <c r="C18" s="1" t="s">
        <v>29</v>
      </c>
      <c r="D18" s="2">
        <v>39381</v>
      </c>
      <c r="E18" s="3">
        <v>13.55</v>
      </c>
      <c r="F18" s="4">
        <v>5556.9225721784778</v>
      </c>
      <c r="G18" s="2">
        <v>39400</v>
      </c>
      <c r="H18" s="3">
        <v>3262.8</v>
      </c>
      <c r="I18" s="3">
        <v>1220.8</v>
      </c>
      <c r="J18" s="3">
        <v>1945.8</v>
      </c>
      <c r="K18" s="6">
        <v>0.37415716562461687</v>
      </c>
      <c r="L18" s="6">
        <v>0.59635895549834494</v>
      </c>
      <c r="M18" s="6">
        <v>2.9483878877038183E-2</v>
      </c>
      <c r="N18" s="4">
        <v>2079.1623992017549</v>
      </c>
      <c r="O18" s="4">
        <v>3313.9205409295332</v>
      </c>
      <c r="P18" s="4">
        <v>5393.0829401312876</v>
      </c>
      <c r="Q18" s="3"/>
    </row>
    <row r="19" spans="1:17" x14ac:dyDescent="0.25">
      <c r="A19">
        <v>13</v>
      </c>
      <c r="B19" s="1" t="s">
        <v>50</v>
      </c>
      <c r="C19" s="1" t="s">
        <v>29</v>
      </c>
      <c r="D19" s="2">
        <v>39381</v>
      </c>
      <c r="E19" s="3">
        <v>13.38</v>
      </c>
      <c r="F19" s="4">
        <v>5487.2047244094492</v>
      </c>
      <c r="G19" s="2">
        <v>39400</v>
      </c>
      <c r="H19" s="3">
        <v>2624.9</v>
      </c>
      <c r="I19" s="3">
        <v>951.6</v>
      </c>
      <c r="J19" s="3">
        <v>1587.1</v>
      </c>
      <c r="K19" s="6">
        <v>0.3625280963084308</v>
      </c>
      <c r="L19" s="6">
        <v>0.60463255743075917</v>
      </c>
      <c r="M19" s="6">
        <v>3.2839346260810087E-2</v>
      </c>
      <c r="N19" s="4">
        <v>1989.2658827947853</v>
      </c>
      <c r="O19" s="4">
        <v>3317.7426256658291</v>
      </c>
      <c r="P19" s="4">
        <v>5307.0085084606144</v>
      </c>
      <c r="Q19" s="3"/>
    </row>
    <row r="20" spans="1:17" x14ac:dyDescent="0.25">
      <c r="A20">
        <v>14</v>
      </c>
      <c r="B20" s="1" t="s">
        <v>51</v>
      </c>
      <c r="C20" s="1" t="s">
        <v>29</v>
      </c>
      <c r="D20" s="2">
        <v>39380</v>
      </c>
      <c r="E20" s="3">
        <v>14.72</v>
      </c>
      <c r="F20" s="4">
        <v>6036.7454068241468</v>
      </c>
      <c r="G20" s="2">
        <v>39400</v>
      </c>
      <c r="H20" s="3">
        <v>2540.3000000000002</v>
      </c>
      <c r="I20" s="3">
        <v>947.4</v>
      </c>
      <c r="J20" s="3">
        <v>1515.7</v>
      </c>
      <c r="K20" s="6">
        <v>0.37294807699877963</v>
      </c>
      <c r="L20" s="6">
        <v>0.59666181159705545</v>
      </c>
      <c r="M20" s="6">
        <v>3.0390111404164921E-2</v>
      </c>
      <c r="N20" s="4">
        <v>2251.3925908062811</v>
      </c>
      <c r="O20" s="4">
        <v>3601.8954505858987</v>
      </c>
      <c r="P20" s="4">
        <v>5853.2880413921794</v>
      </c>
      <c r="Q20" s="3"/>
    </row>
    <row r="21" spans="1:17" x14ac:dyDescent="0.25">
      <c r="A21">
        <v>15</v>
      </c>
      <c r="B21" s="1" t="s">
        <v>52</v>
      </c>
      <c r="C21" s="1" t="s">
        <v>29</v>
      </c>
      <c r="D21" s="2">
        <v>39380</v>
      </c>
      <c r="E21" s="3">
        <v>9.98</v>
      </c>
      <c r="F21" s="4">
        <v>4092.8477690288719</v>
      </c>
      <c r="G21" s="2">
        <v>39400</v>
      </c>
      <c r="H21" s="3">
        <v>1946.8</v>
      </c>
      <c r="I21" s="3">
        <v>694.1</v>
      </c>
      <c r="J21" s="3">
        <v>1172.5999999999999</v>
      </c>
      <c r="K21" s="6">
        <v>0.35653379905485927</v>
      </c>
      <c r="L21" s="6">
        <v>0.60232175878364491</v>
      </c>
      <c r="M21" s="6">
        <v>4.114444216149582E-2</v>
      </c>
      <c r="N21" s="4">
        <v>1459.2385640450689</v>
      </c>
      <c r="O21" s="4">
        <v>2465.2112666751873</v>
      </c>
      <c r="P21" s="4">
        <v>3924.4498307202562</v>
      </c>
      <c r="Q21" s="3"/>
    </row>
    <row r="22" spans="1:17" x14ac:dyDescent="0.25">
      <c r="A22">
        <v>16</v>
      </c>
      <c r="B22" s="1" t="s">
        <v>53</v>
      </c>
      <c r="C22" s="1" t="s">
        <v>29</v>
      </c>
      <c r="D22" s="2">
        <v>39380</v>
      </c>
      <c r="E22" s="3">
        <v>11.32</v>
      </c>
      <c r="F22" s="4">
        <v>4642.3884514435695</v>
      </c>
      <c r="G22" s="2">
        <v>39400</v>
      </c>
      <c r="H22" s="3">
        <v>2342.1</v>
      </c>
      <c r="I22" s="3">
        <v>857.7</v>
      </c>
      <c r="J22" s="3">
        <v>1386.2</v>
      </c>
      <c r="K22" s="6">
        <v>0.36620981170744205</v>
      </c>
      <c r="L22" s="6">
        <v>0.59186200418427914</v>
      </c>
      <c r="M22" s="6">
        <v>4.192818410827881E-2</v>
      </c>
      <c r="N22" s="4">
        <v>1700.088200675953</v>
      </c>
      <c r="O22" s="4">
        <v>2747.6533330733432</v>
      </c>
      <c r="P22" s="4">
        <v>4447.7415337492967</v>
      </c>
      <c r="Q22" s="3"/>
    </row>
    <row r="23" spans="1:17" x14ac:dyDescent="0.25">
      <c r="A23">
        <v>17</v>
      </c>
      <c r="B23" s="1" t="s">
        <v>54</v>
      </c>
      <c r="C23" s="1" t="s">
        <v>29</v>
      </c>
      <c r="D23" s="2">
        <v>39380</v>
      </c>
      <c r="E23" s="3">
        <v>13.28</v>
      </c>
      <c r="F23" s="4">
        <v>5446.1942257217843</v>
      </c>
      <c r="G23" s="2">
        <v>39400</v>
      </c>
      <c r="H23" s="3">
        <v>2890.5</v>
      </c>
      <c r="I23" s="3">
        <v>1065.4000000000001</v>
      </c>
      <c r="J23" s="3">
        <v>1710.9</v>
      </c>
      <c r="K23" s="6">
        <v>0.36858674969728422</v>
      </c>
      <c r="L23" s="6">
        <v>0.59190451478982875</v>
      </c>
      <c r="M23" s="6">
        <v>3.9508735512887028E-2</v>
      </c>
      <c r="N23" s="4">
        <v>2007.39502787891</v>
      </c>
      <c r="O23" s="4">
        <v>3223.6269506270196</v>
      </c>
      <c r="P23" s="4">
        <v>5231.0219785059298</v>
      </c>
      <c r="Q23" s="3"/>
    </row>
    <row r="24" spans="1:17" x14ac:dyDescent="0.25">
      <c r="A24">
        <v>18</v>
      </c>
      <c r="B24" s="1" t="s">
        <v>55</v>
      </c>
      <c r="C24" s="1" t="s">
        <v>29</v>
      </c>
      <c r="D24" s="2">
        <v>39380</v>
      </c>
      <c r="E24" s="3">
        <v>13.23</v>
      </c>
      <c r="F24" s="4">
        <v>5425.6889763779527</v>
      </c>
      <c r="G24" s="2">
        <v>39400</v>
      </c>
      <c r="H24" s="3">
        <v>2513.5</v>
      </c>
      <c r="I24" s="3">
        <v>902.1</v>
      </c>
      <c r="J24" s="3">
        <v>1491.7</v>
      </c>
      <c r="K24" s="6">
        <v>0.35890192958026657</v>
      </c>
      <c r="L24" s="6">
        <v>0.59347523373781585</v>
      </c>
      <c r="M24" s="6">
        <v>4.762283668191758E-2</v>
      </c>
      <c r="N24" s="4">
        <v>1947.2902429244286</v>
      </c>
      <c r="O24" s="4">
        <v>3220.0120334445965</v>
      </c>
      <c r="P24" s="4">
        <v>5167.3022763690251</v>
      </c>
      <c r="Q24" s="3"/>
    </row>
    <row r="25" spans="1:17" x14ac:dyDescent="0.25">
      <c r="A25">
        <v>19</v>
      </c>
      <c r="B25" s="1" t="s">
        <v>56</v>
      </c>
      <c r="C25" s="1" t="s">
        <v>29</v>
      </c>
      <c r="D25" s="2">
        <v>39380</v>
      </c>
      <c r="E25" s="3">
        <v>13.66</v>
      </c>
      <c r="F25" s="4">
        <v>5602.0341207349074</v>
      </c>
      <c r="G25" s="2">
        <v>39400</v>
      </c>
      <c r="H25" s="3">
        <v>2791.3</v>
      </c>
      <c r="I25" s="3">
        <v>1004.3</v>
      </c>
      <c r="J25" s="3">
        <v>1683.2</v>
      </c>
      <c r="K25" s="6">
        <v>0.35979651058646506</v>
      </c>
      <c r="L25" s="6">
        <v>0.60301651560204916</v>
      </c>
      <c r="M25" s="6">
        <v>3.7186973811485724E-2</v>
      </c>
      <c r="N25" s="4">
        <v>2015.5923288267356</v>
      </c>
      <c r="O25" s="4">
        <v>3378.119095769353</v>
      </c>
      <c r="P25" s="4">
        <v>5393.7114245960884</v>
      </c>
      <c r="Q25" s="3"/>
    </row>
    <row r="26" spans="1:17" x14ac:dyDescent="0.25">
      <c r="A26">
        <v>20</v>
      </c>
      <c r="B26" s="1" t="s">
        <v>57</v>
      </c>
      <c r="C26" s="1" t="s">
        <v>29</v>
      </c>
      <c r="D26" s="2">
        <v>39380</v>
      </c>
      <c r="E26" s="3">
        <v>13.53</v>
      </c>
      <c r="F26" s="4">
        <v>5548.7204724409448</v>
      </c>
      <c r="G26" s="2">
        <v>39400</v>
      </c>
      <c r="H26" s="3">
        <v>2958.8</v>
      </c>
      <c r="I26" s="3">
        <v>1088.0999999999999</v>
      </c>
      <c r="J26" s="3">
        <v>1782.1</v>
      </c>
      <c r="K26" s="6">
        <v>0.367750439367311</v>
      </c>
      <c r="L26" s="6">
        <v>0.60230498850885483</v>
      </c>
      <c r="M26" s="6">
        <v>2.9944572123834168E-2</v>
      </c>
      <c r="N26" s="4">
        <v>2040.5443916665508</v>
      </c>
      <c r="O26" s="4">
        <v>3342.0220203923909</v>
      </c>
      <c r="P26" s="4">
        <v>5382.5664120589418</v>
      </c>
      <c r="Q26" s="3"/>
    </row>
    <row r="27" spans="1:17" x14ac:dyDescent="0.25">
      <c r="A27">
        <v>21</v>
      </c>
      <c r="B27" s="1" t="s">
        <v>58</v>
      </c>
      <c r="C27" s="1" t="s">
        <v>29</v>
      </c>
      <c r="D27" s="2">
        <v>39380</v>
      </c>
      <c r="E27" s="3">
        <v>11.85</v>
      </c>
      <c r="F27" s="4">
        <v>4859.7440944881882</v>
      </c>
      <c r="G27" s="2">
        <v>39400</v>
      </c>
      <c r="H27" s="3">
        <v>2606.1999999999998</v>
      </c>
      <c r="I27" s="3">
        <v>921.9</v>
      </c>
      <c r="J27" s="3">
        <v>1542.9</v>
      </c>
      <c r="K27" s="6">
        <v>0.35373340495740929</v>
      </c>
      <c r="L27" s="6">
        <v>0.59201135753203904</v>
      </c>
      <c r="M27" s="6">
        <v>5.4255237510551724E-2</v>
      </c>
      <c r="N27" s="4">
        <v>1719.0538257649687</v>
      </c>
      <c r="O27" s="4">
        <v>2877.023698636262</v>
      </c>
      <c r="P27" s="4">
        <v>4596.0775244012311</v>
      </c>
      <c r="Q27" s="3"/>
    </row>
    <row r="28" spans="1:17" x14ac:dyDescent="0.25">
      <c r="A28">
        <v>22</v>
      </c>
      <c r="B28" s="1" t="s">
        <v>59</v>
      </c>
      <c r="C28" s="1" t="s">
        <v>29</v>
      </c>
      <c r="D28" s="2">
        <v>39380</v>
      </c>
      <c r="E28" s="3">
        <v>11.15</v>
      </c>
      <c r="F28" s="4">
        <v>4572.6706036745409</v>
      </c>
      <c r="G28" s="2">
        <v>39400</v>
      </c>
      <c r="H28" s="3">
        <v>2499.6</v>
      </c>
      <c r="I28" s="3">
        <v>897.8</v>
      </c>
      <c r="J28" s="3">
        <v>1475.5</v>
      </c>
      <c r="K28" s="6">
        <v>0.35917746839494319</v>
      </c>
      <c r="L28" s="6">
        <v>0.59029444711153789</v>
      </c>
      <c r="M28" s="6">
        <v>5.0528084493518977E-2</v>
      </c>
      <c r="N28" s="4">
        <v>1642.4002512317982</v>
      </c>
      <c r="O28" s="4">
        <v>2699.2220658192455</v>
      </c>
      <c r="P28" s="4">
        <v>4341.6223170510439</v>
      </c>
      <c r="Q28" s="3"/>
    </row>
    <row r="29" spans="1:17" x14ac:dyDescent="0.25">
      <c r="A29">
        <v>23</v>
      </c>
      <c r="B29" s="1" t="s">
        <v>60</v>
      </c>
      <c r="C29" s="1" t="s">
        <v>29</v>
      </c>
      <c r="D29" s="2">
        <v>39380</v>
      </c>
      <c r="E29" s="3">
        <v>13.25</v>
      </c>
      <c r="F29" s="4">
        <v>5433.8910761154857</v>
      </c>
      <c r="G29" s="2">
        <v>39400</v>
      </c>
      <c r="H29" s="3">
        <v>3966.9</v>
      </c>
      <c r="I29" s="3">
        <v>1440.1</v>
      </c>
      <c r="J29" s="3">
        <v>2343.1</v>
      </c>
      <c r="K29" s="6">
        <v>0.36302906551715441</v>
      </c>
      <c r="L29" s="6">
        <v>0.59066273412488335</v>
      </c>
      <c r="M29" s="6">
        <v>4.6308200357962237E-2</v>
      </c>
      <c r="N29" s="4">
        <v>1972.6603994842094</v>
      </c>
      <c r="O29" s="4">
        <v>3209.5969599551772</v>
      </c>
      <c r="P29" s="4">
        <v>5182.2573594393871</v>
      </c>
      <c r="Q29" s="3"/>
    </row>
    <row r="30" spans="1:17" x14ac:dyDescent="0.25">
      <c r="A30">
        <v>24</v>
      </c>
      <c r="B30" s="1" t="s">
        <v>61</v>
      </c>
      <c r="C30" s="1" t="s">
        <v>29</v>
      </c>
      <c r="D30" s="2">
        <v>39380</v>
      </c>
      <c r="E30" s="3">
        <v>12.67</v>
      </c>
      <c r="F30" s="4">
        <v>5196.0301837270335</v>
      </c>
      <c r="G30" s="2">
        <v>39400</v>
      </c>
      <c r="H30" s="3">
        <v>2309.3000000000002</v>
      </c>
      <c r="I30" s="3">
        <v>828.8</v>
      </c>
      <c r="J30" s="3">
        <v>1382.1</v>
      </c>
      <c r="K30" s="6">
        <v>0.35889663534404359</v>
      </c>
      <c r="L30" s="6">
        <v>0.5984930498419434</v>
      </c>
      <c r="M30" s="6">
        <v>4.2610314814013006E-2</v>
      </c>
      <c r="N30" s="4">
        <v>1864.837750085725</v>
      </c>
      <c r="O30" s="4">
        <v>3109.787951729586</v>
      </c>
      <c r="P30" s="4">
        <v>4974.625701815311</v>
      </c>
      <c r="Q30" s="3"/>
    </row>
    <row r="31" spans="1:17" x14ac:dyDescent="0.25">
      <c r="A31">
        <v>25</v>
      </c>
      <c r="B31" s="1" t="s">
        <v>62</v>
      </c>
      <c r="C31" s="1" t="s">
        <v>29</v>
      </c>
      <c r="D31" s="2">
        <v>39380</v>
      </c>
      <c r="E31" s="3">
        <v>11.11</v>
      </c>
      <c r="F31" s="4">
        <v>4556.2664041994749</v>
      </c>
      <c r="G31" s="2">
        <v>39400</v>
      </c>
      <c r="H31" s="3">
        <v>2583.1999999999998</v>
      </c>
      <c r="I31" s="3">
        <v>930.1</v>
      </c>
      <c r="J31" s="3">
        <v>1554.7</v>
      </c>
      <c r="K31" s="6">
        <v>0.36005729327965319</v>
      </c>
      <c r="L31" s="6">
        <v>0.60185041808609485</v>
      </c>
      <c r="M31" s="6">
        <v>3.8092288634251958E-2</v>
      </c>
      <c r="N31" s="4">
        <v>1640.5169489570812</v>
      </c>
      <c r="O31" s="4">
        <v>2742.1908402790818</v>
      </c>
      <c r="P31" s="4">
        <v>4382.7077892361631</v>
      </c>
      <c r="Q31" s="3"/>
    </row>
    <row r="32" spans="1:17" x14ac:dyDescent="0.25">
      <c r="A32">
        <v>26</v>
      </c>
      <c r="B32" s="1" t="s">
        <v>63</v>
      </c>
      <c r="C32" s="1" t="s">
        <v>29</v>
      </c>
      <c r="D32" s="2">
        <v>39379</v>
      </c>
      <c r="E32" s="3">
        <v>12.78</v>
      </c>
      <c r="F32" s="4">
        <v>5241.1417322834641</v>
      </c>
      <c r="G32" s="2">
        <v>39400</v>
      </c>
      <c r="H32" s="3">
        <v>2700</v>
      </c>
      <c r="I32" s="3">
        <v>966.6</v>
      </c>
      <c r="J32" s="3">
        <v>1624.4</v>
      </c>
      <c r="K32" s="6">
        <v>0.35799999999999998</v>
      </c>
      <c r="L32" s="6">
        <v>0.60162962962962963</v>
      </c>
      <c r="M32" s="6">
        <v>4.037037037037039E-2</v>
      </c>
      <c r="N32" s="4">
        <v>1876.3287401574801</v>
      </c>
      <c r="O32" s="4">
        <v>3153.2261592300961</v>
      </c>
      <c r="P32" s="4">
        <v>5029.5548993875764</v>
      </c>
      <c r="Q32" s="3"/>
    </row>
    <row r="33" spans="1:17" x14ac:dyDescent="0.25">
      <c r="A33">
        <v>27</v>
      </c>
      <c r="B33" s="1" t="s">
        <v>64</v>
      </c>
      <c r="C33" s="1" t="s">
        <v>29</v>
      </c>
      <c r="D33" s="2">
        <v>39379</v>
      </c>
      <c r="E33" s="3">
        <v>11.02</v>
      </c>
      <c r="F33" s="4">
        <v>4519.3569553805773</v>
      </c>
      <c r="G33" s="2">
        <v>39400</v>
      </c>
      <c r="H33" s="3">
        <v>2536.6</v>
      </c>
      <c r="I33" s="3">
        <v>912</v>
      </c>
      <c r="J33" s="3">
        <v>1550.4</v>
      </c>
      <c r="K33" s="6">
        <v>0.35953638729007337</v>
      </c>
      <c r="L33" s="6">
        <v>0.61121185839312475</v>
      </c>
      <c r="M33" s="6">
        <v>2.9251754316801826E-2</v>
      </c>
      <c r="N33" s="4">
        <v>1624.873272611798</v>
      </c>
      <c r="O33" s="4">
        <v>2762.2845634400569</v>
      </c>
      <c r="P33" s="4">
        <v>4387.1578360518552</v>
      </c>
      <c r="Q33" s="3"/>
    </row>
    <row r="34" spans="1:17" x14ac:dyDescent="0.25">
      <c r="A34">
        <v>28</v>
      </c>
      <c r="B34" s="1" t="s">
        <v>65</v>
      </c>
      <c r="C34" s="1" t="s">
        <v>29</v>
      </c>
      <c r="D34" s="2">
        <v>39379</v>
      </c>
      <c r="E34" s="3">
        <v>12.66</v>
      </c>
      <c r="F34" s="4">
        <v>5191.9291338582671</v>
      </c>
      <c r="G34" s="2">
        <v>39400</v>
      </c>
      <c r="H34" s="3">
        <v>2754.2</v>
      </c>
      <c r="I34" s="3">
        <v>982.2</v>
      </c>
      <c r="J34" s="3">
        <v>1671</v>
      </c>
      <c r="K34" s="6">
        <v>0.35661898191852448</v>
      </c>
      <c r="L34" s="6">
        <v>0.60670975237818603</v>
      </c>
      <c r="M34" s="6">
        <v>3.6671265703289491E-2</v>
      </c>
      <c r="N34" s="4">
        <v>1851.5404819096618</v>
      </c>
      <c r="O34" s="4">
        <v>3149.9940391682389</v>
      </c>
      <c r="P34" s="4">
        <v>5001.5345210779005</v>
      </c>
      <c r="Q34" s="3"/>
    </row>
    <row r="35" spans="1:17" x14ac:dyDescent="0.25">
      <c r="A35">
        <v>29</v>
      </c>
      <c r="B35" s="1" t="s">
        <v>66</v>
      </c>
      <c r="C35" s="1" t="s">
        <v>29</v>
      </c>
      <c r="D35" s="2">
        <v>39379</v>
      </c>
      <c r="E35" s="3">
        <v>11.3</v>
      </c>
      <c r="F35" s="4">
        <v>4634.1863517060374</v>
      </c>
      <c r="G35" s="2">
        <v>39400</v>
      </c>
      <c r="H35" s="3">
        <v>2058.6999999999998</v>
      </c>
      <c r="I35" s="3">
        <v>745.9</v>
      </c>
      <c r="J35" s="3">
        <v>1198.0999999999999</v>
      </c>
      <c r="K35" s="6">
        <v>0.36231602467576629</v>
      </c>
      <c r="L35" s="6">
        <v>0.58196920386651774</v>
      </c>
      <c r="M35" s="6">
        <v>5.5714771457715973E-2</v>
      </c>
      <c r="N35" s="4">
        <v>1679.0399765568241</v>
      </c>
      <c r="O35" s="4">
        <v>2696.9537416714447</v>
      </c>
      <c r="P35" s="4">
        <v>4375.9937182282683</v>
      </c>
      <c r="Q35" s="3"/>
    </row>
    <row r="36" spans="1:17" x14ac:dyDescent="0.25">
      <c r="A36">
        <v>30</v>
      </c>
      <c r="B36" s="1" t="s">
        <v>67</v>
      </c>
      <c r="C36" s="1" t="s">
        <v>29</v>
      </c>
      <c r="D36" s="2">
        <v>39379</v>
      </c>
      <c r="E36" s="3">
        <v>10.86</v>
      </c>
      <c r="F36" s="4">
        <v>4453.7401574803152</v>
      </c>
      <c r="G36" s="2">
        <v>39400</v>
      </c>
      <c r="H36" s="3">
        <v>2748</v>
      </c>
      <c r="I36" s="3">
        <v>1013.3</v>
      </c>
      <c r="J36" s="3">
        <v>1619.4</v>
      </c>
      <c r="K36" s="6">
        <v>0.3687409024745269</v>
      </c>
      <c r="L36" s="6">
        <v>0.58930131004366815</v>
      </c>
      <c r="M36" s="6">
        <v>4.1957787481804898E-2</v>
      </c>
      <c r="N36" s="4">
        <v>1642.276165056333</v>
      </c>
      <c r="O36" s="4">
        <v>2624.5949093972426</v>
      </c>
      <c r="P36" s="4">
        <v>4266.8710744535756</v>
      </c>
      <c r="Q36" s="3"/>
    </row>
    <row r="37" spans="1:17" x14ac:dyDescent="0.25">
      <c r="A37">
        <v>31</v>
      </c>
      <c r="B37" s="1" t="s">
        <v>68</v>
      </c>
      <c r="C37" s="1" t="s">
        <v>29</v>
      </c>
      <c r="D37" s="2">
        <v>39379</v>
      </c>
      <c r="E37" s="3">
        <v>6.49</v>
      </c>
      <c r="F37" s="4">
        <v>2661.5813648293961</v>
      </c>
      <c r="G37" s="2">
        <v>39400</v>
      </c>
      <c r="H37" s="3">
        <v>1682.1</v>
      </c>
      <c r="I37" s="3">
        <v>557.6</v>
      </c>
      <c r="J37" s="3">
        <v>997.2</v>
      </c>
      <c r="K37" s="6">
        <v>0.3314903989061293</v>
      </c>
      <c r="L37" s="6">
        <v>0.59283039058319964</v>
      </c>
      <c r="M37" s="6">
        <v>7.5679210510671058E-2</v>
      </c>
      <c r="N37" s="4">
        <v>882.28866834841654</v>
      </c>
      <c r="O37" s="4">
        <v>1577.8663200807764</v>
      </c>
      <c r="P37" s="4">
        <v>2460.1549884291931</v>
      </c>
      <c r="Q37" s="3"/>
    </row>
    <row r="38" spans="1:17" x14ac:dyDescent="0.25">
      <c r="A38">
        <v>32</v>
      </c>
      <c r="B38" s="1" t="s">
        <v>69</v>
      </c>
      <c r="C38" s="1" t="s">
        <v>29</v>
      </c>
      <c r="D38" s="2">
        <v>39379</v>
      </c>
      <c r="E38" s="3">
        <v>8.43</v>
      </c>
      <c r="F38" s="4">
        <v>3457.1850393700788</v>
      </c>
      <c r="G38" s="2">
        <v>39400</v>
      </c>
      <c r="H38" s="3">
        <v>1979.2</v>
      </c>
      <c r="I38" s="3">
        <v>654.20000000000005</v>
      </c>
      <c r="J38" s="3">
        <v>1181</v>
      </c>
      <c r="K38" s="6">
        <v>0.33053759094583673</v>
      </c>
      <c r="L38" s="6">
        <v>0.59670573969280516</v>
      </c>
      <c r="M38" s="6">
        <v>7.2756669361358051E-2</v>
      </c>
      <c r="N38" s="4">
        <v>1142.7296143673736</v>
      </c>
      <c r="O38" s="4">
        <v>2062.9221561722225</v>
      </c>
      <c r="P38" s="4">
        <v>3205.6517705395963</v>
      </c>
      <c r="Q38" s="3"/>
    </row>
    <row r="39" spans="1:17" x14ac:dyDescent="0.25">
      <c r="A39">
        <v>33</v>
      </c>
      <c r="B39" s="1" t="s">
        <v>70</v>
      </c>
      <c r="C39" s="1" t="s">
        <v>29</v>
      </c>
      <c r="D39" s="2">
        <v>39379</v>
      </c>
      <c r="E39" s="3">
        <v>11.66</v>
      </c>
      <c r="F39" s="4">
        <v>4781.8241469816276</v>
      </c>
      <c r="G39" s="2">
        <v>39400</v>
      </c>
      <c r="H39">
        <v>2174</v>
      </c>
      <c r="I39">
        <v>766.8</v>
      </c>
      <c r="J39">
        <v>1324.7</v>
      </c>
      <c r="K39" s="6">
        <v>0.35271389144434223</v>
      </c>
      <c r="L39" s="6">
        <v>0.60933762649494028</v>
      </c>
      <c r="M39" s="6">
        <v>3.7948482060717548E-2</v>
      </c>
      <c r="N39" s="4">
        <v>1686.6158030844122</v>
      </c>
      <c r="O39" s="4">
        <v>2913.7453760379772</v>
      </c>
      <c r="P39" s="4">
        <v>4600.3611791223893</v>
      </c>
      <c r="Q39" s="3"/>
    </row>
    <row r="40" spans="1:17" x14ac:dyDescent="0.25">
      <c r="A40">
        <v>34</v>
      </c>
      <c r="B40" s="1" t="s">
        <v>71</v>
      </c>
      <c r="C40" s="1" t="s">
        <v>29</v>
      </c>
      <c r="D40" s="2">
        <v>39379</v>
      </c>
      <c r="E40" s="3">
        <v>11.16</v>
      </c>
      <c r="F40" s="4">
        <v>4576.7716535433074</v>
      </c>
      <c r="G40" s="2">
        <v>39400</v>
      </c>
      <c r="H40">
        <v>2665.7</v>
      </c>
      <c r="I40">
        <v>939.9</v>
      </c>
      <c r="J40">
        <v>1630.9</v>
      </c>
      <c r="K40" s="6">
        <v>0.35259031398882096</v>
      </c>
      <c r="L40" s="6">
        <v>0.61180928086431341</v>
      </c>
      <c r="M40" s="6">
        <v>3.5600405146865688E-2</v>
      </c>
      <c r="N40" s="4">
        <v>1613.72535437797</v>
      </c>
      <c r="O40" s="4">
        <v>2800.1113740345054</v>
      </c>
      <c r="P40" s="4">
        <v>4413.8367284124752</v>
      </c>
      <c r="Q40" s="3"/>
    </row>
    <row r="41" spans="1:17" x14ac:dyDescent="0.25">
      <c r="A41">
        <v>35</v>
      </c>
      <c r="B41" s="1" t="s">
        <v>72</v>
      </c>
      <c r="C41" s="1" t="s">
        <v>29</v>
      </c>
      <c r="D41" s="2">
        <v>39379</v>
      </c>
      <c r="E41" s="3">
        <v>11.14</v>
      </c>
      <c r="F41" s="4">
        <v>4568.5695538057744</v>
      </c>
      <c r="G41" s="2">
        <v>39400</v>
      </c>
      <c r="H41">
        <v>2485.8000000000002</v>
      </c>
      <c r="I41">
        <v>886.9</v>
      </c>
      <c r="J41">
        <v>1474.2</v>
      </c>
      <c r="K41" s="6">
        <v>0.35678654759031292</v>
      </c>
      <c r="L41" s="6">
        <v>0.59304851556842864</v>
      </c>
      <c r="M41" s="6">
        <v>5.0164936841258445E-2</v>
      </c>
      <c r="N41" s="4">
        <v>1630.0041585285785</v>
      </c>
      <c r="O41" s="4">
        <v>2709.3833921556329</v>
      </c>
      <c r="P41" s="4">
        <v>4339.3875506842114</v>
      </c>
      <c r="Q41" s="3"/>
    </row>
    <row r="42" spans="1:17" x14ac:dyDescent="0.25">
      <c r="A42">
        <v>36</v>
      </c>
      <c r="B42" s="1" t="s">
        <v>73</v>
      </c>
      <c r="C42" s="1" t="s">
        <v>29</v>
      </c>
      <c r="D42" s="2">
        <v>39379</v>
      </c>
      <c r="E42" s="3">
        <v>12.85</v>
      </c>
      <c r="F42" s="4">
        <v>5269.8490813648295</v>
      </c>
      <c r="G42" s="2">
        <v>39400</v>
      </c>
      <c r="H42">
        <v>2902.1</v>
      </c>
      <c r="I42">
        <v>1033.4000000000001</v>
      </c>
      <c r="J42">
        <v>1755.6</v>
      </c>
      <c r="K42" s="6">
        <v>0.35608697150339413</v>
      </c>
      <c r="L42" s="6">
        <v>0.60494124944006067</v>
      </c>
      <c r="M42" s="6">
        <v>3.8971779056545253E-2</v>
      </c>
      <c r="N42" s="4">
        <v>1876.5245996631459</v>
      </c>
      <c r="O42" s="4">
        <v>3187.9490876413961</v>
      </c>
      <c r="P42" s="4">
        <v>5064.4736873045422</v>
      </c>
      <c r="Q42" s="3"/>
    </row>
    <row r="43" spans="1:17" x14ac:dyDescent="0.25">
      <c r="A43">
        <v>37</v>
      </c>
      <c r="B43" s="1" t="s">
        <v>74</v>
      </c>
      <c r="C43" s="1" t="s">
        <v>29</v>
      </c>
      <c r="D43" s="2">
        <v>39379</v>
      </c>
      <c r="E43" s="3">
        <v>8.44</v>
      </c>
      <c r="F43" s="4">
        <v>3461.2860892388449</v>
      </c>
      <c r="G43" s="2">
        <v>39400</v>
      </c>
      <c r="H43">
        <v>1920.4</v>
      </c>
      <c r="I43">
        <v>663.7</v>
      </c>
      <c r="J43">
        <v>1152.0999999999999</v>
      </c>
      <c r="K43" s="6">
        <v>0.34560508227452613</v>
      </c>
      <c r="L43" s="6">
        <v>0.59992709852114134</v>
      </c>
      <c r="M43" s="6">
        <v>5.4467819204332524E-2</v>
      </c>
      <c r="N43" s="4">
        <v>1196.2380636470639</v>
      </c>
      <c r="O43" s="4">
        <v>2076.5193206686486</v>
      </c>
      <c r="P43" s="4">
        <v>3272.7573843157124</v>
      </c>
    </row>
    <row r="44" spans="1:17" x14ac:dyDescent="0.25">
      <c r="A44">
        <v>38</v>
      </c>
      <c r="B44" s="1" t="s">
        <v>75</v>
      </c>
      <c r="C44" s="1" t="s">
        <v>29</v>
      </c>
      <c r="D44" s="2">
        <v>39379</v>
      </c>
      <c r="E44" s="3">
        <v>11.53</v>
      </c>
      <c r="F44" s="4">
        <v>4728.510498687664</v>
      </c>
      <c r="G44" s="2">
        <v>39400</v>
      </c>
      <c r="H44">
        <v>2862.3</v>
      </c>
      <c r="I44">
        <v>1028.7</v>
      </c>
      <c r="J44">
        <v>1709.4</v>
      </c>
      <c r="K44" s="6">
        <v>0.35939628969709675</v>
      </c>
      <c r="L44" s="6">
        <v>0.59721203228173148</v>
      </c>
      <c r="M44" s="6">
        <v>4.339167802117172E-2</v>
      </c>
      <c r="N44" s="4">
        <v>1699.4091290221152</v>
      </c>
      <c r="O44" s="4">
        <v>2823.9233645867635</v>
      </c>
      <c r="P44" s="4">
        <v>4523.3324936088784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A5F50-7A5C-42B4-8EDE-231CED7EDFC6}">
  <dimension ref="A1:N44"/>
  <sheetViews>
    <sheetView workbookViewId="0"/>
  </sheetViews>
  <sheetFormatPr defaultRowHeight="15" x14ac:dyDescent="0.25"/>
  <sheetData>
    <row r="1" spans="1:14" x14ac:dyDescent="0.25">
      <c r="B1" t="s">
        <v>85</v>
      </c>
      <c r="C1" t="s">
        <v>85</v>
      </c>
    </row>
    <row r="2" spans="1:14" x14ac:dyDescent="0.25">
      <c r="B2" t="s">
        <v>86</v>
      </c>
      <c r="C2" t="s">
        <v>86</v>
      </c>
    </row>
    <row r="4" spans="1:14" x14ac:dyDescent="0.25">
      <c r="B4" t="s">
        <v>83</v>
      </c>
      <c r="C4" t="s">
        <v>84</v>
      </c>
    </row>
    <row r="6" spans="1:14" x14ac:dyDescent="0.25">
      <c r="A6" t="s">
        <v>37</v>
      </c>
      <c r="N6">
        <v>0</v>
      </c>
    </row>
    <row r="7" spans="1:14" x14ac:dyDescent="0.25">
      <c r="A7" t="s">
        <v>38</v>
      </c>
      <c r="B7">
        <v>1555</v>
      </c>
      <c r="C7">
        <v>4211.78</v>
      </c>
      <c r="N7">
        <v>2500</v>
      </c>
    </row>
    <row r="8" spans="1:14" x14ac:dyDescent="0.25">
      <c r="A8" t="s">
        <v>39</v>
      </c>
      <c r="B8">
        <v>1514.9</v>
      </c>
      <c r="C8">
        <v>4199.4799999999996</v>
      </c>
    </row>
    <row r="9" spans="1:14" x14ac:dyDescent="0.25">
      <c r="A9" t="s">
        <v>40</v>
      </c>
      <c r="B9">
        <v>1274.0999999999999</v>
      </c>
      <c r="C9">
        <v>3715.55</v>
      </c>
    </row>
    <row r="10" spans="1:14" x14ac:dyDescent="0.25">
      <c r="A10" t="s">
        <v>41</v>
      </c>
      <c r="B10">
        <v>1517.2</v>
      </c>
      <c r="C10">
        <v>4096.95</v>
      </c>
    </row>
    <row r="11" spans="1:14" x14ac:dyDescent="0.25">
      <c r="A11" t="s">
        <v>42</v>
      </c>
      <c r="B11">
        <v>1409.3</v>
      </c>
      <c r="C11">
        <v>3748.36</v>
      </c>
    </row>
    <row r="12" spans="1:14" x14ac:dyDescent="0.25">
      <c r="A12" t="s">
        <v>43</v>
      </c>
      <c r="B12">
        <v>1033.4000000000001</v>
      </c>
      <c r="C12">
        <v>2944.55</v>
      </c>
    </row>
    <row r="13" spans="1:14" x14ac:dyDescent="0.25">
      <c r="A13" t="s">
        <v>44</v>
      </c>
      <c r="B13">
        <v>2030.2</v>
      </c>
      <c r="C13">
        <v>5688.16</v>
      </c>
    </row>
    <row r="14" spans="1:14" x14ac:dyDescent="0.25">
      <c r="A14" t="s">
        <v>45</v>
      </c>
      <c r="B14">
        <v>1957.4</v>
      </c>
      <c r="C14">
        <v>5487.2</v>
      </c>
    </row>
    <row r="15" spans="1:14" x14ac:dyDescent="0.25">
      <c r="A15" t="s">
        <v>46</v>
      </c>
      <c r="B15">
        <v>2109</v>
      </c>
      <c r="C15">
        <v>5782.48</v>
      </c>
    </row>
    <row r="16" spans="1:14" x14ac:dyDescent="0.25">
      <c r="A16" t="s">
        <v>47</v>
      </c>
      <c r="B16">
        <v>1758.8</v>
      </c>
      <c r="C16">
        <v>4802.33</v>
      </c>
    </row>
    <row r="17" spans="1:14" x14ac:dyDescent="0.25">
      <c r="A17" t="s">
        <v>48</v>
      </c>
      <c r="B17">
        <v>2087.6</v>
      </c>
      <c r="C17">
        <v>5643.04</v>
      </c>
    </row>
    <row r="18" spans="1:14" x14ac:dyDescent="0.25">
      <c r="A18" t="s">
        <v>49</v>
      </c>
      <c r="B18">
        <v>2079.1999999999998</v>
      </c>
      <c r="C18">
        <v>5556.92</v>
      </c>
    </row>
    <row r="19" spans="1:14" x14ac:dyDescent="0.25">
      <c r="A19" t="s">
        <v>50</v>
      </c>
      <c r="B19">
        <v>1989.3</v>
      </c>
      <c r="C19">
        <v>5487.2</v>
      </c>
    </row>
    <row r="20" spans="1:14" x14ac:dyDescent="0.25">
      <c r="A20" t="s">
        <v>51</v>
      </c>
      <c r="B20">
        <v>2251.4</v>
      </c>
      <c r="C20">
        <v>6036.75</v>
      </c>
    </row>
    <row r="21" spans="1:14" x14ac:dyDescent="0.25">
      <c r="A21" t="s">
        <v>52</v>
      </c>
      <c r="B21">
        <v>1459.2</v>
      </c>
      <c r="C21">
        <v>4092.85</v>
      </c>
    </row>
    <row r="22" spans="1:14" x14ac:dyDescent="0.25">
      <c r="A22" t="s">
        <v>53</v>
      </c>
      <c r="B22">
        <v>1700.1</v>
      </c>
      <c r="C22">
        <v>4642.3900000000003</v>
      </c>
    </row>
    <row r="23" spans="1:14" x14ac:dyDescent="0.25">
      <c r="A23" t="s">
        <v>54</v>
      </c>
      <c r="B23">
        <v>2007.4</v>
      </c>
      <c r="C23">
        <v>5446.19</v>
      </c>
    </row>
    <row r="24" spans="1:14" x14ac:dyDescent="0.25">
      <c r="A24" t="s">
        <v>55</v>
      </c>
      <c r="B24">
        <v>1947.3</v>
      </c>
      <c r="C24">
        <v>5425.69</v>
      </c>
    </row>
    <row r="25" spans="1:14" x14ac:dyDescent="0.25">
      <c r="A25" t="s">
        <v>56</v>
      </c>
      <c r="B25">
        <v>2015.6</v>
      </c>
      <c r="C25">
        <v>5602.03</v>
      </c>
    </row>
    <row r="26" spans="1:14" x14ac:dyDescent="0.25">
      <c r="A26" t="s">
        <v>57</v>
      </c>
      <c r="B26">
        <v>2040.5</v>
      </c>
      <c r="C26">
        <v>5548.72</v>
      </c>
    </row>
    <row r="27" spans="1:14" x14ac:dyDescent="0.25">
      <c r="A27" t="s">
        <v>58</v>
      </c>
      <c r="B27">
        <v>1719.1</v>
      </c>
      <c r="C27">
        <v>4859.74</v>
      </c>
      <c r="N27">
        <v>0</v>
      </c>
    </row>
    <row r="28" spans="1:14" x14ac:dyDescent="0.25">
      <c r="A28" t="s">
        <v>59</v>
      </c>
      <c r="B28">
        <v>1642.4</v>
      </c>
      <c r="C28">
        <v>4572.67</v>
      </c>
      <c r="N28">
        <v>6000</v>
      </c>
    </row>
    <row r="29" spans="1:14" x14ac:dyDescent="0.25">
      <c r="A29" t="s">
        <v>60</v>
      </c>
      <c r="B29">
        <v>1972.7</v>
      </c>
      <c r="C29">
        <v>5433.89</v>
      </c>
    </row>
    <row r="30" spans="1:14" x14ac:dyDescent="0.25">
      <c r="A30" t="s">
        <v>61</v>
      </c>
      <c r="B30">
        <v>1864.8</v>
      </c>
      <c r="C30">
        <v>5196.03</v>
      </c>
    </row>
    <row r="31" spans="1:14" x14ac:dyDescent="0.25">
      <c r="A31" t="s">
        <v>62</v>
      </c>
      <c r="B31">
        <v>1640.5</v>
      </c>
      <c r="C31">
        <v>4556.2700000000004</v>
      </c>
    </row>
    <row r="32" spans="1:14" x14ac:dyDescent="0.25">
      <c r="A32" t="s">
        <v>63</v>
      </c>
      <c r="B32">
        <v>1876.3</v>
      </c>
      <c r="C32">
        <v>5241.1400000000003</v>
      </c>
    </row>
    <row r="33" spans="1:3" x14ac:dyDescent="0.25">
      <c r="A33" t="s">
        <v>64</v>
      </c>
      <c r="B33">
        <v>1624.9</v>
      </c>
      <c r="C33">
        <v>4519.3599999999997</v>
      </c>
    </row>
    <row r="34" spans="1:3" x14ac:dyDescent="0.25">
      <c r="A34" t="s">
        <v>65</v>
      </c>
      <c r="B34">
        <v>1851.5</v>
      </c>
      <c r="C34">
        <v>5191.93</v>
      </c>
    </row>
    <row r="35" spans="1:3" x14ac:dyDescent="0.25">
      <c r="A35" t="s">
        <v>66</v>
      </c>
      <c r="B35">
        <v>1679</v>
      </c>
      <c r="C35">
        <v>4634.1899999999996</v>
      </c>
    </row>
    <row r="36" spans="1:3" x14ac:dyDescent="0.25">
      <c r="A36" t="s">
        <v>67</v>
      </c>
      <c r="B36">
        <v>1642.3</v>
      </c>
      <c r="C36">
        <v>4453.74</v>
      </c>
    </row>
    <row r="37" spans="1:3" x14ac:dyDescent="0.25">
      <c r="A37" t="s">
        <v>68</v>
      </c>
      <c r="B37">
        <v>882.3</v>
      </c>
      <c r="C37">
        <v>2661.58</v>
      </c>
    </row>
    <row r="38" spans="1:3" x14ac:dyDescent="0.25">
      <c r="A38" t="s">
        <v>69</v>
      </c>
      <c r="B38">
        <v>1142.7</v>
      </c>
      <c r="C38">
        <v>3457.19</v>
      </c>
    </row>
    <row r="39" spans="1:3" x14ac:dyDescent="0.25">
      <c r="A39" t="s">
        <v>70</v>
      </c>
      <c r="B39">
        <v>1686.6</v>
      </c>
      <c r="C39">
        <v>4781.82</v>
      </c>
    </row>
    <row r="40" spans="1:3" x14ac:dyDescent="0.25">
      <c r="A40" t="s">
        <v>71</v>
      </c>
      <c r="B40">
        <v>1613.7</v>
      </c>
      <c r="C40">
        <v>4576.7700000000004</v>
      </c>
    </row>
    <row r="41" spans="1:3" x14ac:dyDescent="0.25">
      <c r="A41" t="s">
        <v>72</v>
      </c>
      <c r="B41">
        <v>1630</v>
      </c>
      <c r="C41">
        <v>4568.57</v>
      </c>
    </row>
    <row r="42" spans="1:3" x14ac:dyDescent="0.25">
      <c r="A42" t="s">
        <v>73</v>
      </c>
      <c r="B42">
        <v>1876.5</v>
      </c>
      <c r="C42">
        <v>5269.85</v>
      </c>
    </row>
    <row r="43" spans="1:3" x14ac:dyDescent="0.25">
      <c r="A43" t="s">
        <v>74</v>
      </c>
      <c r="B43">
        <v>1196.2</v>
      </c>
      <c r="C43">
        <v>3461.29</v>
      </c>
    </row>
    <row r="44" spans="1:3" x14ac:dyDescent="0.25">
      <c r="A44" t="s">
        <v>75</v>
      </c>
      <c r="B44">
        <v>1699.4</v>
      </c>
      <c r="C44">
        <v>4728.51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A4058F-5573-4444-9F4F-EB9C7BC1FC03}">
  <sheetPr codeName="Sheet49">
    <pageSetUpPr fitToPage="1"/>
  </sheetPr>
  <dimension ref="A1:R22"/>
  <sheetViews>
    <sheetView topLeftCell="E1" workbookViewId="0">
      <selection activeCell="K6" sqref="K6:M6"/>
    </sheetView>
  </sheetViews>
  <sheetFormatPr defaultRowHeight="12.75" x14ac:dyDescent="0.2"/>
  <cols>
    <col min="1" max="8" width="9.140625" style="8"/>
    <col min="9" max="9" width="20.140625" style="8" customWidth="1"/>
    <col min="10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11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39381</v>
      </c>
      <c r="I3" s="57"/>
      <c r="K3" s="51" t="s">
        <v>117</v>
      </c>
      <c r="L3" s="52">
        <v>2930.7</v>
      </c>
      <c r="N3" s="51" t="s">
        <v>116</v>
      </c>
      <c r="O3" s="50">
        <f>(L3-(L4+L5))/L3</f>
        <v>4.0161053673183823E-2</v>
      </c>
    </row>
    <row r="4" spans="1:18" ht="17.25" thickTop="1" thickBot="1" x14ac:dyDescent="0.25">
      <c r="B4" s="54" t="s">
        <v>115</v>
      </c>
      <c r="C4" s="56">
        <v>39392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1046</v>
      </c>
      <c r="N4" s="51" t="s">
        <v>111</v>
      </c>
      <c r="O4" s="50">
        <f>L4/L3</f>
        <v>0.35691131811512611</v>
      </c>
    </row>
    <row r="5" spans="1:18" ht="17.25" thickTop="1" thickBot="1" x14ac:dyDescent="0.25">
      <c r="B5" s="54" t="s">
        <v>110</v>
      </c>
      <c r="C5" s="53">
        <v>0.39652777777777781</v>
      </c>
      <c r="F5" s="49"/>
      <c r="G5" s="49"/>
      <c r="K5" s="51" t="s">
        <v>109</v>
      </c>
      <c r="L5" s="52">
        <v>1767</v>
      </c>
      <c r="N5" s="51" t="s">
        <v>108</v>
      </c>
      <c r="O5" s="50">
        <f>L5/L3</f>
        <v>0.6029276282116901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0.68</v>
      </c>
      <c r="F9" s="31">
        <v>1.1499999999999999</v>
      </c>
      <c r="G9" s="26">
        <v>0.65</v>
      </c>
      <c r="H9" s="26">
        <f>SUM(E9:G9)</f>
        <v>2.48</v>
      </c>
      <c r="I9" s="38"/>
      <c r="K9" s="24">
        <f>H9/D9*1000</f>
        <v>620</v>
      </c>
      <c r="L9" s="24">
        <f>K9/1.016*10</f>
        <v>6102.3622047244089</v>
      </c>
      <c r="M9" s="23">
        <f>L9/1.12085</f>
        <v>5444.4057676980947</v>
      </c>
      <c r="N9" s="22">
        <f>L9*$O$4</f>
        <v>2178.0021381041156</v>
      </c>
      <c r="O9" s="22">
        <f>M9*$O$4</f>
        <v>1943.1700389027221</v>
      </c>
      <c r="P9" s="21">
        <f>O9/480</f>
        <v>4.0482709143806712</v>
      </c>
    </row>
    <row r="10" spans="1:18" ht="13.5" thickBot="1" x14ac:dyDescent="0.25">
      <c r="C10" s="37">
        <v>4</v>
      </c>
      <c r="D10" s="37">
        <v>4</v>
      </c>
      <c r="E10" s="31">
        <v>1.29</v>
      </c>
      <c r="F10" s="31">
        <v>0.84</v>
      </c>
      <c r="G10" s="26"/>
      <c r="H10" s="26">
        <f>SUM(E10:G10)</f>
        <v>2.13</v>
      </c>
      <c r="I10" s="38"/>
      <c r="K10" s="24">
        <f>H10/D10*1000</f>
        <v>532.5</v>
      </c>
      <c r="L10" s="24">
        <f>K10/1.016*10</f>
        <v>5241.1417322834641</v>
      </c>
      <c r="M10" s="23">
        <f>L10/1.12085</f>
        <v>4676.0420504826379</v>
      </c>
      <c r="N10" s="22">
        <f>L10*$O$4</f>
        <v>1870.6228040974866</v>
      </c>
      <c r="O10" s="22">
        <f>M10*$O$4</f>
        <v>1668.9323317995154</v>
      </c>
      <c r="P10" s="21">
        <f>O10/480</f>
        <v>3.4769423579156569</v>
      </c>
    </row>
    <row r="11" spans="1:18" ht="13.5" thickBot="1" x14ac:dyDescent="0.25">
      <c r="C11" s="37">
        <v>5</v>
      </c>
      <c r="D11" s="37">
        <v>4</v>
      </c>
      <c r="E11" s="31">
        <v>1.45</v>
      </c>
      <c r="F11" s="31">
        <v>0.95</v>
      </c>
      <c r="G11" s="26"/>
      <c r="H11" s="26">
        <f>SUM(E11:G11)</f>
        <v>2.4</v>
      </c>
      <c r="I11" s="38"/>
      <c r="K11" s="24">
        <f>H11/D11*1000</f>
        <v>600</v>
      </c>
      <c r="L11" s="24">
        <f>K11/1.016*10</f>
        <v>5905.5118110236217</v>
      </c>
      <c r="M11" s="23">
        <f>L11/1.12085</f>
        <v>5268.7797751917051</v>
      </c>
      <c r="N11" s="22">
        <f>L11*$O$4</f>
        <v>2107.7440046168863</v>
      </c>
      <c r="O11" s="22">
        <f>M11*$O$4</f>
        <v>1880.4871344219894</v>
      </c>
      <c r="P11" s="21">
        <f>O11/480</f>
        <v>3.9176815300458112</v>
      </c>
    </row>
    <row r="12" spans="1:18" ht="13.5" thickBot="1" x14ac:dyDescent="0.25">
      <c r="C12" s="37">
        <v>6</v>
      </c>
      <c r="D12" s="37">
        <v>4</v>
      </c>
      <c r="E12" s="31">
        <v>1.38</v>
      </c>
      <c r="F12" s="31">
        <v>1.1299999999999999</v>
      </c>
      <c r="G12" s="26"/>
      <c r="H12" s="26">
        <f>SUM(E12:G12)</f>
        <v>2.5099999999999998</v>
      </c>
      <c r="I12" s="38"/>
      <c r="K12" s="24">
        <f>H12/D12*1000</f>
        <v>627.5</v>
      </c>
      <c r="L12" s="24">
        <f>K12/1.016*10</f>
        <v>6176.1811023622049</v>
      </c>
      <c r="M12" s="23">
        <f>L12/1.12085</f>
        <v>5510.2655148879912</v>
      </c>
      <c r="N12" s="22">
        <f>L12*$O$4</f>
        <v>2204.3489381618269</v>
      </c>
      <c r="O12" s="22">
        <f>M12*$O$4</f>
        <v>1966.6761280829969</v>
      </c>
      <c r="P12" s="21">
        <f>O12/480</f>
        <v>4.0972419335062433</v>
      </c>
    </row>
    <row r="13" spans="1:18" ht="13.5" thickBot="1" x14ac:dyDescent="0.25">
      <c r="C13" s="37">
        <v>7</v>
      </c>
      <c r="D13" s="37">
        <v>4</v>
      </c>
      <c r="E13" s="31">
        <v>1.07</v>
      </c>
      <c r="F13" s="31">
        <v>0.73</v>
      </c>
      <c r="G13" s="26">
        <v>0.84</v>
      </c>
      <c r="H13" s="26">
        <f>SUM(E13:G13)</f>
        <v>2.64</v>
      </c>
      <c r="I13" s="38"/>
      <c r="K13" s="24">
        <f>H13/D13*1000</f>
        <v>660</v>
      </c>
      <c r="L13" s="24">
        <f>K13/1.016*10</f>
        <v>6496.0629921259842</v>
      </c>
      <c r="M13" s="23">
        <f>L13/1.12085</f>
        <v>5795.6577527108757</v>
      </c>
      <c r="N13" s="22">
        <f>L13*$O$4</f>
        <v>2318.5184050785751</v>
      </c>
      <c r="O13" s="22">
        <f>M13*$O$4</f>
        <v>2068.5358478641883</v>
      </c>
      <c r="P13" s="21">
        <f>O13/480</f>
        <v>4.3094496830503921</v>
      </c>
    </row>
    <row r="14" spans="1:18" ht="13.5" thickBot="1" x14ac:dyDescent="0.25">
      <c r="C14" s="37">
        <v>8</v>
      </c>
      <c r="D14" s="37">
        <v>4</v>
      </c>
      <c r="E14" s="31">
        <v>1.71</v>
      </c>
      <c r="F14" s="31"/>
      <c r="G14" s="26"/>
      <c r="H14" s="26">
        <f>SUM(E14:G14)</f>
        <v>1.71</v>
      </c>
      <c r="I14" s="38"/>
      <c r="K14" s="24">
        <f>H14/D14*1000</f>
        <v>427.5</v>
      </c>
      <c r="L14" s="24">
        <f>K14/1.016*10</f>
        <v>4207.677165354331</v>
      </c>
      <c r="M14" s="23">
        <f>L14/1.12085</f>
        <v>3754.0055898240903</v>
      </c>
      <c r="N14" s="22">
        <f>L14*$O$4</f>
        <v>1501.7676032895317</v>
      </c>
      <c r="O14" s="22">
        <f>M14*$O$4</f>
        <v>1339.8470832756675</v>
      </c>
      <c r="P14" s="21">
        <f>O14/480</f>
        <v>2.7913480901576406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13.870000000000001</v>
      </c>
      <c r="I18" s="13"/>
      <c r="J18" s="12"/>
      <c r="K18" s="17">
        <f>AVERAGE(K9:K14)+K16/6</f>
        <v>577.91666666666663</v>
      </c>
      <c r="L18" s="17">
        <f>AVERAGE(L9:L14)+L16/6</f>
        <v>5688.1561679790029</v>
      </c>
      <c r="M18" s="19">
        <f>AVERAGE(M9:M14)+M16/6</f>
        <v>5074.8594084658989</v>
      </c>
      <c r="N18" s="18">
        <f>AVERAGE(N9:N14)+N16/6</f>
        <v>2030.1673155580704</v>
      </c>
      <c r="O18" s="18">
        <f>AVERAGE(O9:O14)+O16/6</f>
        <v>1811.2747607245135</v>
      </c>
      <c r="P18" s="17">
        <f>AVERAGE(P9:P14)+P16/6</f>
        <v>3.7734890848427356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0.13883843528040443</v>
      </c>
      <c r="I19" s="13"/>
      <c r="J19" s="12"/>
      <c r="K19" s="10">
        <f>STDEV(K9:K14)/SQRT(COUNT(K9:K14))</f>
        <v>34.709608820101131</v>
      </c>
      <c r="L19" s="10">
        <f>STDEV(L9:L14)/SQRT(COUNT(L9:L14))</f>
        <v>341.63000807186222</v>
      </c>
      <c r="M19" s="11">
        <f>STDEV(M9:M14)/SQRT(COUNT(M9:M14))</f>
        <v>304.79547492694076</v>
      </c>
      <c r="N19" s="10">
        <f>STDEV(N9:N14)/SQRT(COUNT(N9:N14))</f>
        <v>121.93161648860855</v>
      </c>
      <c r="O19" s="10">
        <f>STDEV(O9:O14)/SQRT(COUNT(O9:O14))</f>
        <v>108.78495471170018</v>
      </c>
      <c r="P19" s="9">
        <f>STDEV(P9:P14)/SQRT(COUNT(P9:P14))</f>
        <v>0.22663532231604286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833DF-60A3-40B9-97E2-A4D699CD3143}">
  <sheetPr codeName="Sheet48">
    <pageSetUpPr fitToPage="1"/>
  </sheetPr>
  <dimension ref="A1:R22"/>
  <sheetViews>
    <sheetView topLeftCell="E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12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39381</v>
      </c>
      <c r="I3" s="57"/>
      <c r="K3" s="51" t="s">
        <v>117</v>
      </c>
      <c r="L3" s="52">
        <v>2700.7</v>
      </c>
      <c r="N3" s="51" t="s">
        <v>116</v>
      </c>
      <c r="O3" s="50">
        <f>(L3-(L4+L5))/L3</f>
        <v>4.306290961602538E-2</v>
      </c>
    </row>
    <row r="4" spans="1:18" ht="17.25" thickTop="1" thickBot="1" x14ac:dyDescent="0.25">
      <c r="B4" s="54" t="s">
        <v>115</v>
      </c>
      <c r="C4" s="56">
        <v>39392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963.4</v>
      </c>
      <c r="N4" s="51" t="s">
        <v>111</v>
      </c>
      <c r="O4" s="50">
        <f>L4/L3</f>
        <v>0.35672233124745439</v>
      </c>
    </row>
    <row r="5" spans="1:18" ht="17.25" thickTop="1" thickBot="1" x14ac:dyDescent="0.25">
      <c r="B5" s="54" t="s">
        <v>110</v>
      </c>
      <c r="C5" s="53">
        <v>0.40763888888888888</v>
      </c>
      <c r="F5" s="49"/>
      <c r="G5" s="49"/>
      <c r="K5" s="51" t="s">
        <v>109</v>
      </c>
      <c r="L5" s="52">
        <v>1621</v>
      </c>
      <c r="N5" s="51" t="s">
        <v>108</v>
      </c>
      <c r="O5" s="50">
        <f>L5/L3</f>
        <v>0.60021475913652023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1.2</v>
      </c>
      <c r="F9" s="31">
        <v>1.01</v>
      </c>
      <c r="G9" s="26"/>
      <c r="H9" s="26">
        <f>SUM(E9:G9)</f>
        <v>2.21</v>
      </c>
      <c r="I9" s="38"/>
      <c r="K9" s="24">
        <f>H9/D9*1000</f>
        <v>552.5</v>
      </c>
      <c r="L9" s="24">
        <f>K9/1.016*10</f>
        <v>5437.9921259842522</v>
      </c>
      <c r="M9" s="23">
        <f>L9/1.12085</f>
        <v>4851.6680429890284</v>
      </c>
      <c r="N9" s="22">
        <f>L9*$O$4</f>
        <v>1939.8532284864032</v>
      </c>
      <c r="O9" s="22">
        <f>M9*$O$4</f>
        <v>1730.698334733821</v>
      </c>
      <c r="P9" s="21">
        <f>O9/480</f>
        <v>3.6056215306954602</v>
      </c>
    </row>
    <row r="10" spans="1:18" ht="13.5" thickBot="1" x14ac:dyDescent="0.25">
      <c r="C10" s="37">
        <v>4</v>
      </c>
      <c r="D10" s="37">
        <v>4</v>
      </c>
      <c r="E10" s="31">
        <v>0.83</v>
      </c>
      <c r="F10" s="31">
        <v>0.98</v>
      </c>
      <c r="G10" s="26"/>
      <c r="H10" s="26">
        <f>SUM(E10:G10)</f>
        <v>1.81</v>
      </c>
      <c r="I10" s="38"/>
      <c r="K10" s="24">
        <f>H10/D10*1000</f>
        <v>452.5</v>
      </c>
      <c r="L10" s="24">
        <f>K10/1.016*10</f>
        <v>4453.7401574803143</v>
      </c>
      <c r="M10" s="23">
        <f>L10/1.12085</f>
        <v>3973.5380804570768</v>
      </c>
      <c r="N10" s="22">
        <f>L10*$O$4</f>
        <v>1588.7485717467823</v>
      </c>
      <c r="O10" s="22">
        <f>M10*$O$4</f>
        <v>1417.4497673611834</v>
      </c>
      <c r="P10" s="21">
        <f>O10/480</f>
        <v>2.9530203486691322</v>
      </c>
    </row>
    <row r="11" spans="1:18" ht="13.5" thickBot="1" x14ac:dyDescent="0.25">
      <c r="C11" s="37">
        <v>5</v>
      </c>
      <c r="D11" s="37">
        <v>4</v>
      </c>
      <c r="E11" s="31">
        <v>1.32</v>
      </c>
      <c r="F11" s="31">
        <v>1.1200000000000001</v>
      </c>
      <c r="G11" s="26"/>
      <c r="H11" s="26">
        <f>SUM(E11:G11)</f>
        <v>2.4400000000000004</v>
      </c>
      <c r="I11" s="38"/>
      <c r="K11" s="24">
        <f>H11/D11*1000</f>
        <v>610.00000000000011</v>
      </c>
      <c r="L11" s="24">
        <f>K11/1.016*10</f>
        <v>6003.9370078740176</v>
      </c>
      <c r="M11" s="23">
        <f>L11/1.12085</f>
        <v>5356.5927714449017</v>
      </c>
      <c r="N11" s="22">
        <f>L11*$O$4</f>
        <v>2141.7384061116854</v>
      </c>
      <c r="O11" s="22">
        <f>M11*$O$4</f>
        <v>1910.816260973088</v>
      </c>
      <c r="P11" s="21">
        <f>O11/480</f>
        <v>3.9808672103606</v>
      </c>
    </row>
    <row r="12" spans="1:18" ht="13.5" thickBot="1" x14ac:dyDescent="0.25">
      <c r="C12" s="37">
        <v>6</v>
      </c>
      <c r="D12" s="37">
        <v>4</v>
      </c>
      <c r="E12" s="31">
        <v>1.56</v>
      </c>
      <c r="F12" s="31">
        <v>0.82</v>
      </c>
      <c r="G12" s="26"/>
      <c r="H12" s="26">
        <f>SUM(E12:G12)</f>
        <v>2.38</v>
      </c>
      <c r="I12" s="38"/>
      <c r="K12" s="24">
        <f>H12/D12*1000</f>
        <v>595</v>
      </c>
      <c r="L12" s="24">
        <f>K12/1.016*10</f>
        <v>5856.2992125984247</v>
      </c>
      <c r="M12" s="23">
        <f>L12/1.12085</f>
        <v>5224.8732770651068</v>
      </c>
      <c r="N12" s="22">
        <f>L12*$O$4</f>
        <v>2089.0727076007415</v>
      </c>
      <c r="O12" s="22">
        <f>M12*$O$4</f>
        <v>1863.8289758671915</v>
      </c>
      <c r="P12" s="21">
        <f>O12/480</f>
        <v>3.8829770330566489</v>
      </c>
    </row>
    <row r="13" spans="1:18" ht="13.5" thickBot="1" x14ac:dyDescent="0.25">
      <c r="C13" s="37">
        <v>7</v>
      </c>
      <c r="D13" s="37">
        <v>4</v>
      </c>
      <c r="E13" s="31">
        <v>1.33</v>
      </c>
      <c r="F13" s="31">
        <v>1.28</v>
      </c>
      <c r="G13" s="26"/>
      <c r="H13" s="26">
        <f>SUM(E13:G13)</f>
        <v>2.6100000000000003</v>
      </c>
      <c r="I13" s="38"/>
      <c r="K13" s="24">
        <f>H13/D13*1000</f>
        <v>652.50000000000011</v>
      </c>
      <c r="L13" s="24">
        <f>K13/1.016*10</f>
        <v>6422.2440944881891</v>
      </c>
      <c r="M13" s="23">
        <f>L13/1.12085</f>
        <v>5729.7980055209791</v>
      </c>
      <c r="N13" s="22">
        <f>L13*$O$4</f>
        <v>2290.9578852260238</v>
      </c>
      <c r="O13" s="22">
        <f>M13*$O$4</f>
        <v>2043.9469021064583</v>
      </c>
      <c r="P13" s="21">
        <f>O13/480</f>
        <v>4.2582227127217882</v>
      </c>
    </row>
    <row r="14" spans="1:18" ht="13.5" thickBot="1" x14ac:dyDescent="0.25">
      <c r="C14" s="37">
        <v>8</v>
      </c>
      <c r="D14" s="37">
        <v>4</v>
      </c>
      <c r="E14" s="31">
        <v>1.93</v>
      </c>
      <c r="F14" s="31"/>
      <c r="G14" s="26"/>
      <c r="H14" s="26">
        <f>SUM(E14:G14)</f>
        <v>1.93</v>
      </c>
      <c r="I14" s="38"/>
      <c r="K14" s="24">
        <f>H14/D14*1000</f>
        <v>482.5</v>
      </c>
      <c r="L14" s="24">
        <f>K14/1.016*10</f>
        <v>4749.0157480314956</v>
      </c>
      <c r="M14" s="23">
        <f>L14/1.12085</f>
        <v>4236.9770692166621</v>
      </c>
      <c r="N14" s="22">
        <f>L14*$O$4</f>
        <v>1694.0799687686686</v>
      </c>
      <c r="O14" s="22">
        <f>M14*$O$4</f>
        <v>1511.4243375729748</v>
      </c>
      <c r="P14" s="21">
        <f>O14/480</f>
        <v>3.1488007032770309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13.379999999999999</v>
      </c>
      <c r="I18" s="13"/>
      <c r="J18" s="12"/>
      <c r="K18" s="17">
        <f>AVERAGE(K9:K14)+K16/6</f>
        <v>557.5</v>
      </c>
      <c r="L18" s="17">
        <f>AVERAGE(L9:L14)+L16/6</f>
        <v>5487.2047244094492</v>
      </c>
      <c r="M18" s="19">
        <f>AVERAGE(M9:M14)+M16/6</f>
        <v>4895.5745411156267</v>
      </c>
      <c r="N18" s="18">
        <f>AVERAGE(N9:N14)+N16/6</f>
        <v>1957.4084613233842</v>
      </c>
      <c r="O18" s="18">
        <f>AVERAGE(O9:O14)+O16/6</f>
        <v>1746.3607631024527</v>
      </c>
      <c r="P18" s="17">
        <f>AVERAGE(P9:P14)+P16/6</f>
        <v>3.6382515897967771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0.12620089804223603</v>
      </c>
      <c r="I19" s="13"/>
      <c r="J19" s="12"/>
      <c r="K19" s="10">
        <f>STDEV(K9:K14)/SQRT(COUNT(K9:K14))</f>
        <v>31.550224510558945</v>
      </c>
      <c r="L19" s="10">
        <f>STDEV(L9:L14)/SQRT(COUNT(L9:L14))</f>
        <v>310.5337058125881</v>
      </c>
      <c r="M19" s="11">
        <f>STDEV(M9:M14)/SQRT(COUNT(M9:M14))</f>
        <v>277.05197467331328</v>
      </c>
      <c r="N19" s="10">
        <f>STDEV(N9:N14)/SQRT(COUNT(N9:N14))</f>
        <v>110.7743074683771</v>
      </c>
      <c r="O19" s="10">
        <f>STDEV(O9:O14)/SQRT(COUNT(O9:O14))</f>
        <v>98.830626282176624</v>
      </c>
      <c r="P19" s="9">
        <f>STDEV(P9:P14)/SQRT(COUNT(P9:P14))</f>
        <v>0.20589713808786667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39691-F4F0-4DBC-9CA1-AB88C00AE01F}">
  <sheetPr codeName="Sheet47">
    <pageSetUpPr fitToPage="1"/>
  </sheetPr>
  <dimension ref="A1:R22"/>
  <sheetViews>
    <sheetView topLeftCell="D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13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39381</v>
      </c>
      <c r="I3" s="57"/>
      <c r="K3" s="51" t="s">
        <v>117</v>
      </c>
      <c r="L3" s="52">
        <v>3619.7</v>
      </c>
      <c r="N3" s="51" t="s">
        <v>116</v>
      </c>
      <c r="O3" s="50">
        <f>(L3-(L4+L5))/L3</f>
        <v>3.69643893140316E-2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1320.2</v>
      </c>
      <c r="N4" s="51" t="s">
        <v>111</v>
      </c>
      <c r="O4" s="50">
        <f>L4/L3</f>
        <v>0.36472635853800039</v>
      </c>
    </row>
    <row r="5" spans="1:18" ht="17.25" thickTop="1" thickBot="1" x14ac:dyDescent="0.25">
      <c r="B5" s="54" t="s">
        <v>110</v>
      </c>
      <c r="C5" s="53">
        <v>0.57499999999999996</v>
      </c>
      <c r="F5" s="49"/>
      <c r="G5" s="49"/>
      <c r="K5" s="51" t="s">
        <v>109</v>
      </c>
      <c r="L5" s="52">
        <v>2165.6999999999998</v>
      </c>
      <c r="N5" s="51" t="s">
        <v>108</v>
      </c>
      <c r="O5" s="50">
        <f>L5/L3</f>
        <v>0.59830925214796804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1.26</v>
      </c>
      <c r="F9" s="31">
        <v>0.81</v>
      </c>
      <c r="G9" s="26">
        <v>0.48</v>
      </c>
      <c r="H9" s="26">
        <f>SUM(E9:G9)</f>
        <v>2.5500000000000003</v>
      </c>
      <c r="I9" s="38"/>
      <c r="K9" s="24">
        <f>H9/D9*1000</f>
        <v>637.50000000000011</v>
      </c>
      <c r="L9" s="24">
        <f>K9/1.016*10</f>
        <v>6274.6062992125999</v>
      </c>
      <c r="M9" s="23">
        <f>L9/1.12085</f>
        <v>5598.0785111411878</v>
      </c>
      <c r="N9" s="22">
        <f>L9*$O$4</f>
        <v>2288.5143067714107</v>
      </c>
      <c r="O9" s="22">
        <f>M9*$O$4</f>
        <v>2041.7667901783564</v>
      </c>
      <c r="P9" s="21">
        <f>O9/480</f>
        <v>4.2536808128715755</v>
      </c>
    </row>
    <row r="10" spans="1:18" ht="13.5" thickBot="1" x14ac:dyDescent="0.25">
      <c r="C10" s="37">
        <v>4</v>
      </c>
      <c r="D10" s="37">
        <v>4</v>
      </c>
      <c r="E10" s="31">
        <v>1.43</v>
      </c>
      <c r="F10" s="31">
        <v>0.95</v>
      </c>
      <c r="G10" s="26"/>
      <c r="H10" s="26">
        <f>SUM(E10:G10)</f>
        <v>2.38</v>
      </c>
      <c r="I10" s="38"/>
      <c r="K10" s="24">
        <f>H10/D10*1000</f>
        <v>595</v>
      </c>
      <c r="L10" s="24">
        <f>K10/1.016*10</f>
        <v>5856.2992125984247</v>
      </c>
      <c r="M10" s="23">
        <f>L10/1.12085</f>
        <v>5224.8732770651068</v>
      </c>
      <c r="N10" s="22">
        <f>L10*$O$4</f>
        <v>2135.9466863199823</v>
      </c>
      <c r="O10" s="22">
        <f>M10*$O$4</f>
        <v>1905.6490041664651</v>
      </c>
      <c r="P10" s="21">
        <f>O10/480</f>
        <v>3.9701020920134691</v>
      </c>
    </row>
    <row r="11" spans="1:18" ht="13.5" thickBot="1" x14ac:dyDescent="0.25">
      <c r="C11" s="37">
        <v>5</v>
      </c>
      <c r="D11" s="37">
        <v>4</v>
      </c>
      <c r="E11" s="31">
        <v>1.23</v>
      </c>
      <c r="F11" s="31">
        <v>0.65</v>
      </c>
      <c r="G11" s="26"/>
      <c r="H11" s="26">
        <f>SUM(E11:G11)</f>
        <v>1.88</v>
      </c>
      <c r="I11" s="38"/>
      <c r="K11" s="24">
        <f>H11/D11*1000</f>
        <v>470</v>
      </c>
      <c r="L11" s="24">
        <f>K11/1.016*10</f>
        <v>4625.9842519685035</v>
      </c>
      <c r="M11" s="23">
        <f>L11/1.12085</f>
        <v>4127.2108239001682</v>
      </c>
      <c r="N11" s="22">
        <f>L11*$O$4</f>
        <v>1687.2183908746078</v>
      </c>
      <c r="O11" s="22">
        <f>M11*$O$4</f>
        <v>1505.3025747197287</v>
      </c>
      <c r="P11" s="21">
        <f>O11/480</f>
        <v>3.1360470306661012</v>
      </c>
    </row>
    <row r="12" spans="1:18" ht="13.5" thickBot="1" x14ac:dyDescent="0.25">
      <c r="C12" s="37">
        <v>6</v>
      </c>
      <c r="D12" s="37">
        <v>4</v>
      </c>
      <c r="E12" s="31">
        <v>1.2</v>
      </c>
      <c r="F12" s="31">
        <v>1.3</v>
      </c>
      <c r="G12" s="26"/>
      <c r="H12" s="26">
        <f>SUM(E12:G12)</f>
        <v>2.5</v>
      </c>
      <c r="I12" s="38"/>
      <c r="K12" s="24">
        <f>H12/D12*1000</f>
        <v>625</v>
      </c>
      <c r="L12" s="24">
        <f>K12/1.016*10</f>
        <v>6151.5748031496059</v>
      </c>
      <c r="M12" s="23">
        <f>L12/1.12085</f>
        <v>5488.3122658246921</v>
      </c>
      <c r="N12" s="22">
        <f>L12*$O$4</f>
        <v>2243.6414772268722</v>
      </c>
      <c r="O12" s="22">
        <f>M12*$O$4</f>
        <v>2001.7321472336819</v>
      </c>
      <c r="P12" s="21">
        <f>O12/480</f>
        <v>4.170275306736837</v>
      </c>
    </row>
    <row r="13" spans="1:18" ht="13.5" thickBot="1" x14ac:dyDescent="0.25">
      <c r="C13" s="37">
        <v>7</v>
      </c>
      <c r="D13" s="37">
        <v>4</v>
      </c>
      <c r="E13" s="31">
        <v>1.45</v>
      </c>
      <c r="F13" s="31">
        <v>1.05</v>
      </c>
      <c r="G13" s="26"/>
      <c r="H13" s="26">
        <f>SUM(E13:G13)</f>
        <v>2.5</v>
      </c>
      <c r="I13" s="38"/>
      <c r="K13" s="24">
        <f>H13/D13*1000</f>
        <v>625</v>
      </c>
      <c r="L13" s="24">
        <f>K13/1.016*10</f>
        <v>6151.5748031496059</v>
      </c>
      <c r="M13" s="23">
        <f>L13/1.12085</f>
        <v>5488.3122658246921</v>
      </c>
      <c r="N13" s="22">
        <f>L13*$O$4</f>
        <v>2243.6414772268722</v>
      </c>
      <c r="O13" s="22">
        <f>M13*$O$4</f>
        <v>2001.7321472336819</v>
      </c>
      <c r="P13" s="21">
        <f>O13/480</f>
        <v>4.170275306736837</v>
      </c>
    </row>
    <row r="14" spans="1:18" ht="13.5" thickBot="1" x14ac:dyDescent="0.25">
      <c r="C14" s="37">
        <v>8</v>
      </c>
      <c r="D14" s="37">
        <v>4</v>
      </c>
      <c r="E14" s="31">
        <v>1.25</v>
      </c>
      <c r="F14" s="31">
        <v>1.04</v>
      </c>
      <c r="G14" s="26"/>
      <c r="H14" s="26">
        <f>SUM(E14:G14)</f>
        <v>2.29</v>
      </c>
      <c r="I14" s="38"/>
      <c r="K14" s="24">
        <f>H14/D14*1000</f>
        <v>572.5</v>
      </c>
      <c r="L14" s="24">
        <f>K14/1.016*10</f>
        <v>5634.8425196850394</v>
      </c>
      <c r="M14" s="23">
        <f>L14/1.12085</f>
        <v>5027.2940354954189</v>
      </c>
      <c r="N14" s="22">
        <f>L14*$O$4</f>
        <v>2055.1755931398152</v>
      </c>
      <c r="O14" s="22">
        <f>M14*$O$4</f>
        <v>1833.5866468660531</v>
      </c>
      <c r="P14" s="21">
        <f>O14/480</f>
        <v>3.8199721809709439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14.099999999999998</v>
      </c>
      <c r="I18" s="13"/>
      <c r="J18" s="12"/>
      <c r="K18" s="17">
        <f>AVERAGE(K9:K14)+K16/6</f>
        <v>587.5</v>
      </c>
      <c r="L18" s="17">
        <f>AVERAGE(L9:L14)+L16/6</f>
        <v>5782.4803149606296</v>
      </c>
      <c r="M18" s="19">
        <f>AVERAGE(M9:M14)+M16/6</f>
        <v>5159.0135298752111</v>
      </c>
      <c r="N18" s="18">
        <f>AVERAGE(N9:N14)+N16/6</f>
        <v>2109.0229885932599</v>
      </c>
      <c r="O18" s="18">
        <f>AVERAGE(O9:O14)+O16/6</f>
        <v>1881.6282183996611</v>
      </c>
      <c r="P18" s="17">
        <f>AVERAGE(P9:P14)+P16/6</f>
        <v>3.9200587883326272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0.10171856598805686</v>
      </c>
      <c r="I19" s="13"/>
      <c r="J19" s="12"/>
      <c r="K19" s="10">
        <f>STDEV(K9:K14)/SQRT(COUNT(K9:K14))</f>
        <v>25.42964149701421</v>
      </c>
      <c r="L19" s="10">
        <f>STDEV(L9:L14)/SQRT(COUNT(L9:L14))</f>
        <v>250.29174701785644</v>
      </c>
      <c r="M19" s="11">
        <f>STDEV(M9:M14)/SQRT(COUNT(M9:M14))</f>
        <v>223.30530134974032</v>
      </c>
      <c r="N19" s="10">
        <f>STDEV(N9:N14)/SQRT(COUNT(N9:N14))</f>
        <v>91.287997461937223</v>
      </c>
      <c r="O19" s="10">
        <f>STDEV(O9:O14)/SQRT(COUNT(O9:O14))</f>
        <v>81.445329403521626</v>
      </c>
      <c r="P19" s="9">
        <f>STDEV(P9:P14)/SQRT(COUNT(P9:P14))</f>
        <v>0.16967776959067005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2DC177-83C9-4717-871E-BF86732D1FD5}">
  <sheetPr codeName="Sheet9">
    <pageSetUpPr fitToPage="1"/>
  </sheetPr>
  <dimension ref="A1:R22"/>
  <sheetViews>
    <sheetView topLeftCell="D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14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39381</v>
      </c>
      <c r="I3" s="57"/>
      <c r="K3" s="51" t="s">
        <v>117</v>
      </c>
      <c r="L3" s="52">
        <v>2804.5</v>
      </c>
      <c r="N3" s="51" t="s">
        <v>116</v>
      </c>
      <c r="O3" s="50">
        <f>(L3-(L4+L5))/L3</f>
        <v>4.7816009983954487E-2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1027.0999999999999</v>
      </c>
      <c r="N4" s="51" t="s">
        <v>111</v>
      </c>
      <c r="O4" s="50">
        <f>L4/L3</f>
        <v>0.36623284007844531</v>
      </c>
    </row>
    <row r="5" spans="1:18" ht="17.25" thickTop="1" thickBot="1" x14ac:dyDescent="0.25">
      <c r="B5" s="54" t="s">
        <v>110</v>
      </c>
      <c r="C5" s="53">
        <v>0.58680555555555558</v>
      </c>
      <c r="F5" s="49"/>
      <c r="G5" s="49"/>
      <c r="K5" s="51" t="s">
        <v>109</v>
      </c>
      <c r="L5" s="52">
        <v>1643.3</v>
      </c>
      <c r="N5" s="51" t="s">
        <v>108</v>
      </c>
      <c r="O5" s="50">
        <f>L5/L3</f>
        <v>0.58595114993760022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1.03</v>
      </c>
      <c r="F9" s="31">
        <v>0.73</v>
      </c>
      <c r="G9" s="26"/>
      <c r="H9" s="26">
        <f>SUM(E9:G9)</f>
        <v>1.76</v>
      </c>
      <c r="I9" s="38"/>
      <c r="K9" s="24">
        <f>H9/D9*1000</f>
        <v>440</v>
      </c>
      <c r="L9" s="24">
        <f>K9/1.016*10</f>
        <v>4330.7086614173222</v>
      </c>
      <c r="M9" s="23">
        <f>L9/1.12085</f>
        <v>3863.7718351405833</v>
      </c>
      <c r="N9" s="22">
        <f>L9*$O$4</f>
        <v>1586.047732623188</v>
      </c>
      <c r="O9" s="22">
        <f>M9*$O$4</f>
        <v>1415.0401325986425</v>
      </c>
      <c r="P9" s="21">
        <f>O9/480</f>
        <v>2.9480002762471718</v>
      </c>
    </row>
    <row r="10" spans="1:18" ht="13.5" thickBot="1" x14ac:dyDescent="0.25">
      <c r="C10" s="37">
        <v>4</v>
      </c>
      <c r="D10" s="37">
        <v>4</v>
      </c>
      <c r="E10" s="31">
        <v>1.94</v>
      </c>
      <c r="F10" s="31"/>
      <c r="G10" s="26"/>
      <c r="H10" s="26">
        <f>SUM(E10:G10)</f>
        <v>1.94</v>
      </c>
      <c r="I10" s="38"/>
      <c r="K10" s="24">
        <f>H10/D10*1000</f>
        <v>485</v>
      </c>
      <c r="L10" s="24">
        <f>K10/1.016*10</f>
        <v>4773.6220472440946</v>
      </c>
      <c r="M10" s="23">
        <f>L10/1.12085</f>
        <v>4258.9303182799613</v>
      </c>
      <c r="N10" s="22">
        <f>L10*$O$4</f>
        <v>1748.2571598232871</v>
      </c>
      <c r="O10" s="22">
        <f>M10*$O$4</f>
        <v>1559.7601461598672</v>
      </c>
      <c r="P10" s="21">
        <f>O10/480</f>
        <v>3.2495003044997235</v>
      </c>
    </row>
    <row r="11" spans="1:18" ht="13.5" thickBot="1" x14ac:dyDescent="0.25">
      <c r="C11" s="37">
        <v>5</v>
      </c>
      <c r="D11" s="37">
        <v>4</v>
      </c>
      <c r="E11" s="31">
        <v>1.1100000000000001</v>
      </c>
      <c r="F11" s="31">
        <v>1.06</v>
      </c>
      <c r="G11" s="26"/>
      <c r="H11" s="26">
        <f>SUM(E11:G11)</f>
        <v>2.17</v>
      </c>
      <c r="I11" s="38"/>
      <c r="K11" s="24">
        <f>H11/D11*1000</f>
        <v>542.5</v>
      </c>
      <c r="L11" s="24">
        <f>K11/1.016*10</f>
        <v>5339.5669291338581</v>
      </c>
      <c r="M11" s="23">
        <f>L11/1.12085</f>
        <v>4763.8550467358327</v>
      </c>
      <c r="N11" s="22">
        <f>L11*$O$4</f>
        <v>1955.5247612456355</v>
      </c>
      <c r="O11" s="22">
        <f>M11*$O$4</f>
        <v>1744.6801634880987</v>
      </c>
      <c r="P11" s="21">
        <f>O11/480</f>
        <v>3.6347503406002057</v>
      </c>
    </row>
    <row r="12" spans="1:18" ht="13.5" thickBot="1" x14ac:dyDescent="0.25">
      <c r="C12" s="37">
        <v>6</v>
      </c>
      <c r="D12" s="37">
        <v>4</v>
      </c>
      <c r="E12" s="31">
        <v>1</v>
      </c>
      <c r="F12" s="31">
        <v>0.96</v>
      </c>
      <c r="G12" s="26"/>
      <c r="H12" s="26">
        <f>SUM(E12:G12)</f>
        <v>1.96</v>
      </c>
      <c r="I12" s="38"/>
      <c r="K12" s="24">
        <f>H12/D12*1000</f>
        <v>490</v>
      </c>
      <c r="L12" s="24">
        <f>K12/1.016*10</f>
        <v>4822.8346456692916</v>
      </c>
      <c r="M12" s="23">
        <f>L12/1.12085</f>
        <v>4302.8368164065596</v>
      </c>
      <c r="N12" s="22">
        <f>L12*$O$4</f>
        <v>1766.2804295121871</v>
      </c>
      <c r="O12" s="22">
        <f>M12*$O$4</f>
        <v>1575.8401476666702</v>
      </c>
      <c r="P12" s="21">
        <f>O12/480</f>
        <v>3.2830003076388961</v>
      </c>
    </row>
    <row r="13" spans="1:18" ht="13.5" thickBot="1" x14ac:dyDescent="0.25">
      <c r="C13" s="37">
        <v>7</v>
      </c>
      <c r="D13" s="37">
        <v>4</v>
      </c>
      <c r="E13" s="31">
        <v>1.2</v>
      </c>
      <c r="F13" s="31">
        <v>0.8</v>
      </c>
      <c r="G13" s="26"/>
      <c r="H13" s="26">
        <f>SUM(E13:G13)</f>
        <v>2</v>
      </c>
      <c r="I13" s="38"/>
      <c r="K13" s="24">
        <f>H13/D13*1000</f>
        <v>500</v>
      </c>
      <c r="L13" s="24">
        <f>K13/1.016*10</f>
        <v>4921.2598425196848</v>
      </c>
      <c r="M13" s="23">
        <f>L13/1.12085</f>
        <v>4390.6498126597535</v>
      </c>
      <c r="N13" s="22">
        <f>L13*$O$4</f>
        <v>1802.3269688899866</v>
      </c>
      <c r="O13" s="22">
        <f>M13*$O$4</f>
        <v>1608.0001506802753</v>
      </c>
      <c r="P13" s="21">
        <f>O13/480</f>
        <v>3.3500003139172403</v>
      </c>
    </row>
    <row r="14" spans="1:18" ht="13.5" thickBot="1" x14ac:dyDescent="0.25">
      <c r="C14" s="37">
        <v>8</v>
      </c>
      <c r="D14" s="37">
        <v>4</v>
      </c>
      <c r="E14" s="31">
        <v>1.1599999999999999</v>
      </c>
      <c r="F14" s="31">
        <v>0.72</v>
      </c>
      <c r="G14" s="26"/>
      <c r="H14" s="26">
        <f>SUM(E14:G14)</f>
        <v>1.88</v>
      </c>
      <c r="I14" s="38"/>
      <c r="K14" s="24">
        <f>H14/D14*1000</f>
        <v>470</v>
      </c>
      <c r="L14" s="24">
        <f>K14/1.016*10</f>
        <v>4625.9842519685035</v>
      </c>
      <c r="M14" s="23">
        <f>L14/1.12085</f>
        <v>4127.2108239001682</v>
      </c>
      <c r="N14" s="22">
        <f>L14*$O$4</f>
        <v>1694.1873507565874</v>
      </c>
      <c r="O14" s="22">
        <f>M14*$O$4</f>
        <v>1511.5201416394589</v>
      </c>
      <c r="P14" s="21">
        <f>O14/480</f>
        <v>3.1490002950822058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11.71</v>
      </c>
      <c r="I18" s="13"/>
      <c r="J18" s="12"/>
      <c r="K18" s="17">
        <f>AVERAGE(K9:K14)+K16/6</f>
        <v>487.91666666666669</v>
      </c>
      <c r="L18" s="17">
        <f>AVERAGE(L9:L14)+L16/6</f>
        <v>4802.3293963254591</v>
      </c>
      <c r="M18" s="19">
        <f>AVERAGE(M9:M14)+M16/6</f>
        <v>4284.5424421871439</v>
      </c>
      <c r="N18" s="18">
        <f>AVERAGE(N9:N14)+N16/6</f>
        <v>1758.7707338084786</v>
      </c>
      <c r="O18" s="18">
        <f>AVERAGE(O9:O14)+O16/6</f>
        <v>1569.1401470388355</v>
      </c>
      <c r="P18" s="17">
        <f>AVERAGE(P9:P14)+P16/6</f>
        <v>3.2690419729975742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5.5402567128648869E-2</v>
      </c>
      <c r="I19" s="13"/>
      <c r="J19" s="12"/>
      <c r="K19" s="10">
        <f>STDEV(K9:K14)/SQRT(COUNT(K9:K14))</f>
        <v>13.850641782162219</v>
      </c>
      <c r="L19" s="10">
        <f>STDEV(L9:L14)/SQRT(COUNT(L9:L14))</f>
        <v>136.3252143913605</v>
      </c>
      <c r="M19" s="11">
        <f>STDEV(M9:M14)/SQRT(COUNT(M9:M14))</f>
        <v>121.62663549213579</v>
      </c>
      <c r="N19" s="10">
        <f>STDEV(N9:N14)/SQRT(COUNT(N9:N14))</f>
        <v>49.926770440850902</v>
      </c>
      <c r="O19" s="10">
        <f>STDEV(O9:O14)/SQRT(COUNT(O9:O14))</f>
        <v>44.543668145470711</v>
      </c>
      <c r="P19" s="9">
        <f>STDEV(P9:P14)/SQRT(COUNT(P9:P14))</f>
        <v>9.2799308636397321E-2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7047-FDF4-46A8-9110-ECEDDED45AE6}">
  <sheetPr codeName="Sheet10">
    <pageSetUpPr fitToPage="1"/>
  </sheetPr>
  <dimension ref="A1:R22"/>
  <sheetViews>
    <sheetView topLeftCell="E1" workbookViewId="0">
      <selection activeCell="K6" sqref="K6:M6"/>
    </sheetView>
  </sheetViews>
  <sheetFormatPr defaultRowHeight="12.75" x14ac:dyDescent="0.2"/>
  <cols>
    <col min="1" max="8" width="9.140625" style="8"/>
    <col min="9" max="9" width="23.28515625" style="8" customWidth="1"/>
    <col min="10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15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39381</v>
      </c>
      <c r="I3" s="57"/>
      <c r="K3" s="51" t="s">
        <v>117</v>
      </c>
      <c r="L3" s="52">
        <v>3460.2</v>
      </c>
      <c r="N3" s="51" t="s">
        <v>116</v>
      </c>
      <c r="O3" s="50">
        <f>(L3-(L4+L5))/L3</f>
        <v>2.1530547367204209E-2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1280.0999999999999</v>
      </c>
      <c r="N4" s="51" t="s">
        <v>111</v>
      </c>
      <c r="O4" s="50">
        <f>L4/L3</f>
        <v>0.36994971388937054</v>
      </c>
    </row>
    <row r="5" spans="1:18" ht="17.25" thickTop="1" thickBot="1" x14ac:dyDescent="0.25">
      <c r="B5" s="54" t="s">
        <v>110</v>
      </c>
      <c r="C5" s="53">
        <v>0.59236111111111112</v>
      </c>
      <c r="F5" s="49"/>
      <c r="G5" s="49"/>
      <c r="K5" s="51" t="s">
        <v>109</v>
      </c>
      <c r="L5" s="52">
        <v>2105.6</v>
      </c>
      <c r="N5" s="51" t="s">
        <v>108</v>
      </c>
      <c r="O5" s="50">
        <f>L5/L3</f>
        <v>0.60851973874342524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1.23</v>
      </c>
      <c r="F9" s="31">
        <v>0.67</v>
      </c>
      <c r="G9" s="67">
        <v>0.1</v>
      </c>
      <c r="H9" s="26">
        <f>SUM(E9:G9)</f>
        <v>2</v>
      </c>
      <c r="I9" s="66" t="s">
        <v>122</v>
      </c>
      <c r="K9" s="24">
        <f>H9/D9*1000</f>
        <v>500</v>
      </c>
      <c r="L9" s="24">
        <f>K9/1.016*10</f>
        <v>4921.2598425196848</v>
      </c>
      <c r="M9" s="23">
        <f>L9/1.12085</f>
        <v>4390.6498126597535</v>
      </c>
      <c r="N9" s="22">
        <f>L9*$O$4</f>
        <v>1820.6186707154061</v>
      </c>
      <c r="O9" s="22">
        <f>M9*$O$4</f>
        <v>1624.3196419818942</v>
      </c>
      <c r="P9" s="21">
        <f>O9/480</f>
        <v>3.3839992541289461</v>
      </c>
    </row>
    <row r="10" spans="1:18" ht="13.5" thickBot="1" x14ac:dyDescent="0.25">
      <c r="C10" s="37">
        <v>4</v>
      </c>
      <c r="D10" s="37">
        <v>4</v>
      </c>
      <c r="E10" s="31">
        <v>0.92</v>
      </c>
      <c r="F10" s="31">
        <v>1.1499999999999999</v>
      </c>
      <c r="G10" s="26"/>
      <c r="H10" s="26">
        <f>SUM(E10:G10)</f>
        <v>2.0699999999999998</v>
      </c>
      <c r="I10" s="65"/>
      <c r="K10" s="24">
        <f>H10/D10*1000</f>
        <v>517.5</v>
      </c>
      <c r="L10" s="24">
        <f>K10/1.016*10</f>
        <v>5093.5039370078739</v>
      </c>
      <c r="M10" s="23">
        <f>L10/1.12085</f>
        <v>4544.3225561028457</v>
      </c>
      <c r="N10" s="22">
        <f>L10*$O$4</f>
        <v>1884.3403241904452</v>
      </c>
      <c r="O10" s="22">
        <f>M10*$O$4</f>
        <v>1681.1708294512607</v>
      </c>
      <c r="P10" s="21">
        <f>O10/480</f>
        <v>3.50243922802346</v>
      </c>
    </row>
    <row r="11" spans="1:18" ht="13.5" thickBot="1" x14ac:dyDescent="0.25">
      <c r="C11" s="37">
        <v>5</v>
      </c>
      <c r="D11" s="37">
        <v>4</v>
      </c>
      <c r="E11" s="31">
        <v>1.05</v>
      </c>
      <c r="F11" s="31">
        <v>0.84</v>
      </c>
      <c r="G11" s="26">
        <v>0.35</v>
      </c>
      <c r="H11" s="26">
        <f>SUM(E11:G11)</f>
        <v>2.2400000000000002</v>
      </c>
      <c r="I11" s="65"/>
      <c r="K11" s="24">
        <f>H11/D11*1000</f>
        <v>560</v>
      </c>
      <c r="L11" s="24">
        <f>K11/1.016*10</f>
        <v>5511.8110236220473</v>
      </c>
      <c r="M11" s="23">
        <f>L11/1.12085</f>
        <v>4917.527790178925</v>
      </c>
      <c r="N11" s="22">
        <f>L11*$O$4</f>
        <v>2039.092911201255</v>
      </c>
      <c r="O11" s="22">
        <f>M11*$O$4</f>
        <v>1819.2379990197219</v>
      </c>
      <c r="P11" s="21">
        <f>O11/480</f>
        <v>3.7900791646244207</v>
      </c>
    </row>
    <row r="12" spans="1:18" ht="13.5" thickBot="1" x14ac:dyDescent="0.25">
      <c r="C12" s="37">
        <v>6</v>
      </c>
      <c r="D12" s="37">
        <v>4</v>
      </c>
      <c r="E12" s="31">
        <v>1.26</v>
      </c>
      <c r="F12" s="31">
        <v>1.28</v>
      </c>
      <c r="G12" s="26"/>
      <c r="H12" s="26">
        <f>SUM(E12:G12)</f>
        <v>2.54</v>
      </c>
      <c r="I12" s="65"/>
      <c r="K12" s="24">
        <f>H12/D12*1000</f>
        <v>635</v>
      </c>
      <c r="L12" s="24">
        <f>K12/1.016*10</f>
        <v>6250</v>
      </c>
      <c r="M12" s="23">
        <f>L12/1.12085</f>
        <v>5576.1252620778878</v>
      </c>
      <c r="N12" s="22">
        <f>L12*$O$4</f>
        <v>2312.1857118085659</v>
      </c>
      <c r="O12" s="22">
        <f>M12*$O$4</f>
        <v>2062.8859453170057</v>
      </c>
      <c r="P12" s="21">
        <f>O12/480</f>
        <v>4.2976790527437618</v>
      </c>
    </row>
    <row r="13" spans="1:18" ht="13.5" thickBot="1" x14ac:dyDescent="0.25">
      <c r="C13" s="37">
        <v>7</v>
      </c>
      <c r="D13" s="37">
        <v>4</v>
      </c>
      <c r="E13" s="31">
        <v>1.23</v>
      </c>
      <c r="F13" s="31">
        <v>1.17</v>
      </c>
      <c r="G13" s="26"/>
      <c r="H13" s="26">
        <f>SUM(E13:G13)</f>
        <v>2.4</v>
      </c>
      <c r="I13" s="64"/>
      <c r="K13" s="24">
        <f>H13/D13*1000</f>
        <v>600</v>
      </c>
      <c r="L13" s="24">
        <f>K13/1.016*10</f>
        <v>5905.5118110236217</v>
      </c>
      <c r="M13" s="23">
        <f>L13/1.12085</f>
        <v>5268.7797751917051</v>
      </c>
      <c r="N13" s="22">
        <f>L13*$O$4</f>
        <v>2184.7424048584871</v>
      </c>
      <c r="O13" s="22">
        <f>M13*$O$4</f>
        <v>1949.1835703782733</v>
      </c>
      <c r="P13" s="21">
        <f>O13/480</f>
        <v>4.0607991049547358</v>
      </c>
    </row>
    <row r="14" spans="1:18" ht="13.5" thickBot="1" x14ac:dyDescent="0.25">
      <c r="C14" s="37">
        <v>8</v>
      </c>
      <c r="D14" s="37">
        <v>4</v>
      </c>
      <c r="E14" s="31">
        <v>1.42</v>
      </c>
      <c r="F14" s="31">
        <v>1.0900000000000001</v>
      </c>
      <c r="G14" s="26"/>
      <c r="H14" s="26">
        <f>SUM(E14:G14)</f>
        <v>2.5099999999999998</v>
      </c>
      <c r="I14" s="63"/>
      <c r="K14" s="24">
        <f>H14/D14*1000</f>
        <v>627.5</v>
      </c>
      <c r="L14" s="24">
        <f>K14/1.016*10</f>
        <v>6176.1811023622049</v>
      </c>
      <c r="M14" s="23">
        <f>L14/1.12085</f>
        <v>5510.2655148879912</v>
      </c>
      <c r="N14" s="22">
        <f>L14*$O$4</f>
        <v>2284.8764317478349</v>
      </c>
      <c r="O14" s="22">
        <f>M14*$O$4</f>
        <v>2038.5211506872774</v>
      </c>
      <c r="P14" s="21">
        <f>O14/480</f>
        <v>4.2469190639318279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13.760000000000002</v>
      </c>
      <c r="I18" s="13"/>
      <c r="J18" s="12"/>
      <c r="K18" s="17">
        <f>AVERAGE(K9:K14)+K16/6</f>
        <v>573.33333333333337</v>
      </c>
      <c r="L18" s="17">
        <f>AVERAGE(L9:L14)+L16/6</f>
        <v>5643.0446194225724</v>
      </c>
      <c r="M18" s="19">
        <f>AVERAGE(M9:M14)+M16/6</f>
        <v>5034.611785183185</v>
      </c>
      <c r="N18" s="18">
        <f>AVERAGE(N9:N14)+N16/6</f>
        <v>2087.6427424203325</v>
      </c>
      <c r="O18" s="18">
        <f>AVERAGE(O9:O14)+O16/6</f>
        <v>1862.5531894725725</v>
      </c>
      <c r="P18" s="17">
        <f>AVERAGE(P9:P14)+P16/6</f>
        <v>3.8803191447345249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9.2724202761618704E-2</v>
      </c>
      <c r="I19" s="13"/>
      <c r="J19" s="12"/>
      <c r="K19" s="10">
        <f>STDEV(K9:K14)/SQRT(COUNT(K9:K14))</f>
        <v>23.181050690404682</v>
      </c>
      <c r="L19" s="10">
        <f>STDEV(L9:L14)/SQRT(COUNT(L9:L14))</f>
        <v>228.15994774020356</v>
      </c>
      <c r="M19" s="11">
        <f>STDEV(M9:M14)/SQRT(COUNT(M9:M14))</f>
        <v>203.55975174216314</v>
      </c>
      <c r="N19" s="10">
        <f>STDEV(N9:N14)/SQRT(COUNT(N9:N14))</f>
        <v>84.407707387502043</v>
      </c>
      <c r="O19" s="10">
        <f>STDEV(O9:O14)/SQRT(COUNT(O9:O14))</f>
        <v>75.306871916404546</v>
      </c>
      <c r="P19" s="9">
        <f>STDEV(P9:P14)/SQRT(COUNT(P9:P14))</f>
        <v>0.15688931649250948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7">
    <mergeCell ref="C18:G18"/>
    <mergeCell ref="C19:G19"/>
    <mergeCell ref="K6:M6"/>
    <mergeCell ref="N6:P6"/>
    <mergeCell ref="C16:D16"/>
    <mergeCell ref="F16:G16"/>
    <mergeCell ref="I9:I14"/>
  </mergeCells>
  <pageMargins left="0.75" right="0.75" top="1" bottom="0.52" header="0.5" footer="0.5"/>
  <pageSetup scale="75" orientation="landscape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F25A5-123F-4578-9F8C-951BC6CA6A31}">
  <sheetPr codeName="Sheet11">
    <pageSetUpPr fitToPage="1"/>
  </sheetPr>
  <dimension ref="A1:R22"/>
  <sheetViews>
    <sheetView topLeftCell="D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16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39381</v>
      </c>
      <c r="I3" s="57"/>
      <c r="K3" s="51" t="s">
        <v>117</v>
      </c>
      <c r="L3" s="52">
        <v>3262.8</v>
      </c>
      <c r="N3" s="51" t="s">
        <v>116</v>
      </c>
      <c r="O3" s="50">
        <f>(L3-(L4+L5))/L3</f>
        <v>2.9483878877038208E-2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1220.8</v>
      </c>
      <c r="N4" s="51" t="s">
        <v>111</v>
      </c>
      <c r="O4" s="50">
        <f>L4/L3</f>
        <v>0.37415716562461687</v>
      </c>
    </row>
    <row r="5" spans="1:18" ht="17.25" thickTop="1" thickBot="1" x14ac:dyDescent="0.25">
      <c r="B5" s="54" t="s">
        <v>110</v>
      </c>
      <c r="C5" s="53">
        <v>0.58125000000000004</v>
      </c>
      <c r="F5" s="49"/>
      <c r="G5" s="49"/>
      <c r="K5" s="51" t="s">
        <v>109</v>
      </c>
      <c r="L5" s="52">
        <v>1945.8</v>
      </c>
      <c r="N5" s="51" t="s">
        <v>108</v>
      </c>
      <c r="O5" s="50">
        <f>L5/L3</f>
        <v>0.59635895549834494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1.39</v>
      </c>
      <c r="F9" s="31">
        <v>1.21</v>
      </c>
      <c r="G9" s="26"/>
      <c r="H9" s="26">
        <f>SUM(E9:G9)</f>
        <v>2.5999999999999996</v>
      </c>
      <c r="I9" s="38"/>
      <c r="K9" s="24">
        <f>H9/D9*1000</f>
        <v>649.99999999999989</v>
      </c>
      <c r="L9" s="24">
        <f>K9/1.016*10</f>
        <v>6397.6377952755884</v>
      </c>
      <c r="M9" s="23">
        <f>L9/1.12085</f>
        <v>5707.8447564576782</v>
      </c>
      <c r="N9" s="22">
        <f>L9*$O$4</f>
        <v>2393.7220241732371</v>
      </c>
      <c r="O9" s="22">
        <f>M9*$O$4</f>
        <v>2135.6310159015366</v>
      </c>
      <c r="P9" s="21">
        <f>O9/480</f>
        <v>4.449231283128201</v>
      </c>
    </row>
    <row r="10" spans="1:18" ht="13.5" thickBot="1" x14ac:dyDescent="0.25">
      <c r="C10" s="37">
        <v>4</v>
      </c>
      <c r="D10" s="37">
        <v>4</v>
      </c>
      <c r="E10" s="31">
        <v>1.18</v>
      </c>
      <c r="F10" s="31">
        <v>0.63</v>
      </c>
      <c r="G10" s="26"/>
      <c r="H10" s="26">
        <f>SUM(E10:G10)</f>
        <v>1.81</v>
      </c>
      <c r="I10" s="38"/>
      <c r="K10" s="24">
        <f>H10/D10*1000</f>
        <v>452.5</v>
      </c>
      <c r="L10" s="24">
        <f>K10/1.016*10</f>
        <v>4453.7401574803143</v>
      </c>
      <c r="M10" s="23">
        <f>L10/1.12085</f>
        <v>3973.5380804570768</v>
      </c>
      <c r="N10" s="22">
        <f>L10*$O$4</f>
        <v>1666.3987937513691</v>
      </c>
      <c r="O10" s="22">
        <f>M10*$O$4</f>
        <v>1486.7277456853008</v>
      </c>
      <c r="P10" s="21">
        <f>O10/480</f>
        <v>3.09734947017771</v>
      </c>
    </row>
    <row r="11" spans="1:18" ht="13.5" thickBot="1" x14ac:dyDescent="0.25">
      <c r="C11" s="37">
        <v>5</v>
      </c>
      <c r="D11" s="37">
        <v>4</v>
      </c>
      <c r="E11" s="31">
        <v>1.3</v>
      </c>
      <c r="F11" s="31">
        <v>1.06</v>
      </c>
      <c r="G11" s="26"/>
      <c r="H11" s="26">
        <f>SUM(E11:G11)</f>
        <v>2.3600000000000003</v>
      </c>
      <c r="I11" s="38"/>
      <c r="K11" s="24">
        <f>H11/D11*1000</f>
        <v>590.00000000000011</v>
      </c>
      <c r="L11" s="24">
        <f>K11/1.016*10</f>
        <v>5807.0866141732295</v>
      </c>
      <c r="M11" s="23">
        <f>L11/1.12085</f>
        <v>5180.9667789385112</v>
      </c>
      <c r="N11" s="22">
        <f>L11*$O$4</f>
        <v>2172.7630680957086</v>
      </c>
      <c r="O11" s="22">
        <f>M11*$O$4</f>
        <v>1938.4958452029343</v>
      </c>
      <c r="P11" s="21">
        <f>O11/480</f>
        <v>4.0385330108394468</v>
      </c>
    </row>
    <row r="12" spans="1:18" ht="13.5" thickBot="1" x14ac:dyDescent="0.25">
      <c r="C12" s="37">
        <v>6</v>
      </c>
      <c r="D12" s="37">
        <v>4</v>
      </c>
      <c r="E12" s="31">
        <v>1.26</v>
      </c>
      <c r="F12" s="31">
        <v>0.53</v>
      </c>
      <c r="G12" s="26">
        <v>0.56000000000000005</v>
      </c>
      <c r="H12" s="26">
        <f>SUM(E12:G12)</f>
        <v>2.35</v>
      </c>
      <c r="I12" s="38"/>
      <c r="K12" s="24">
        <f>H12/D12*1000</f>
        <v>587.5</v>
      </c>
      <c r="L12" s="24">
        <f>K12/1.016*10</f>
        <v>5782.4803149606296</v>
      </c>
      <c r="M12" s="23">
        <f>L12/1.12085</f>
        <v>5159.0135298752111</v>
      </c>
      <c r="N12" s="22">
        <f>L12*$O$4</f>
        <v>2163.5564449258109</v>
      </c>
      <c r="O12" s="22">
        <f>M12*$O$4</f>
        <v>1930.2818797571588</v>
      </c>
      <c r="P12" s="21">
        <f>O12/480</f>
        <v>4.0214205828274139</v>
      </c>
    </row>
    <row r="13" spans="1:18" ht="13.5" thickBot="1" x14ac:dyDescent="0.25">
      <c r="C13" s="37">
        <v>7</v>
      </c>
      <c r="D13" s="37">
        <v>4</v>
      </c>
      <c r="E13" s="31">
        <v>2.41</v>
      </c>
      <c r="F13" s="31"/>
      <c r="G13" s="26"/>
      <c r="H13" s="26">
        <f>SUM(E13:G13)</f>
        <v>2.41</v>
      </c>
      <c r="I13" s="38"/>
      <c r="K13" s="24">
        <f>H13/D13*1000</f>
        <v>602.5</v>
      </c>
      <c r="L13" s="24">
        <f>K13/1.016*10</f>
        <v>5930.1181102362207</v>
      </c>
      <c r="M13" s="23">
        <f>L13/1.12085</f>
        <v>5290.7330242550042</v>
      </c>
      <c r="N13" s="22">
        <f>L13*$O$4</f>
        <v>2218.7961839451937</v>
      </c>
      <c r="O13" s="22">
        <f>M13*$O$4</f>
        <v>1979.5656724318098</v>
      </c>
      <c r="P13" s="21">
        <f>O13/480</f>
        <v>4.1240951508996035</v>
      </c>
    </row>
    <row r="14" spans="1:18" ht="13.5" thickBot="1" x14ac:dyDescent="0.25">
      <c r="C14" s="37">
        <v>8</v>
      </c>
      <c r="D14" s="37">
        <v>4</v>
      </c>
      <c r="E14" s="31">
        <v>1.1100000000000001</v>
      </c>
      <c r="F14" s="31">
        <v>0.91</v>
      </c>
      <c r="G14" s="26"/>
      <c r="H14" s="26">
        <f>SUM(E14:G14)</f>
        <v>2.02</v>
      </c>
      <c r="I14" s="38"/>
      <c r="K14" s="24">
        <f>H14/D14*1000</f>
        <v>505</v>
      </c>
      <c r="L14" s="24">
        <f>K14/1.016*10</f>
        <v>4970.4724409448818</v>
      </c>
      <c r="M14" s="23">
        <f>L14/1.12085</f>
        <v>4434.5563107863518</v>
      </c>
      <c r="N14" s="22">
        <f>L14*$O$4</f>
        <v>1859.7378803192078</v>
      </c>
      <c r="O14" s="22">
        <f>M14*$O$4</f>
        <v>1659.221020046579</v>
      </c>
      <c r="P14" s="21">
        <f>O14/480</f>
        <v>3.4567104584303729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13.55</v>
      </c>
      <c r="I18" s="13"/>
      <c r="J18" s="12"/>
      <c r="K18" s="17">
        <f>AVERAGE(K9:K14)+K16/6</f>
        <v>564.58333333333337</v>
      </c>
      <c r="L18" s="17">
        <f>AVERAGE(L9:L14)+L16/6</f>
        <v>5556.9225721784778</v>
      </c>
      <c r="M18" s="19">
        <f>AVERAGE(M9:M14)+M16/6</f>
        <v>4957.7754134616398</v>
      </c>
      <c r="N18" s="18">
        <f>AVERAGE(N9:N14)+N16/6</f>
        <v>2079.1623992017544</v>
      </c>
      <c r="O18" s="18">
        <f>AVERAGE(O9:O14)+O16/6</f>
        <v>1854.98719650422</v>
      </c>
      <c r="P18" s="17">
        <f>AVERAGE(P9:P14)+P16/6</f>
        <v>3.864556659383791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0.11779690620347789</v>
      </c>
      <c r="I19" s="13"/>
      <c r="J19" s="12"/>
      <c r="K19" s="10">
        <f>STDEV(K9:K14)/SQRT(COUNT(K9:K14))</f>
        <v>29.449226550869582</v>
      </c>
      <c r="L19" s="10">
        <f>STDEV(L9:L14)/SQRT(COUNT(L9:L14))</f>
        <v>289.85459203611714</v>
      </c>
      <c r="M19" s="11">
        <f>STDEV(M9:M14)/SQRT(COUNT(M9:M14))</f>
        <v>258.60248207709645</v>
      </c>
      <c r="N19" s="10">
        <f>STDEV(N9:N14)/SQRT(COUNT(N9:N14))</f>
        <v>108.45117259951391</v>
      </c>
      <c r="O19" s="10">
        <f>STDEV(O9:O14)/SQRT(COUNT(O9:O14))</f>
        <v>96.757971717458744</v>
      </c>
      <c r="P19" s="9">
        <f>STDEV(P9:P14)/SQRT(COUNT(P9:P14))</f>
        <v>0.20157910774470605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A2BCB-2B84-4FE8-979C-4D84F82FABA9}">
  <sheetPr codeName="Sheet12">
    <pageSetUpPr fitToPage="1"/>
  </sheetPr>
  <dimension ref="A1:R22"/>
  <sheetViews>
    <sheetView topLeftCell="D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17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39381</v>
      </c>
      <c r="I3" s="57"/>
      <c r="K3" s="51" t="s">
        <v>117</v>
      </c>
      <c r="L3" s="52">
        <v>2624.9</v>
      </c>
      <c r="N3" s="51" t="s">
        <v>116</v>
      </c>
      <c r="O3" s="50">
        <f>(L3-(L4+L5))/L3</f>
        <v>3.2839346260810039E-2</v>
      </c>
    </row>
    <row r="4" spans="1:18" ht="17.25" thickTop="1" thickBot="1" x14ac:dyDescent="0.25">
      <c r="B4" s="54" t="s">
        <v>115</v>
      </c>
      <c r="C4" s="56">
        <v>39088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951.6</v>
      </c>
      <c r="N4" s="51" t="s">
        <v>111</v>
      </c>
      <c r="O4" s="50">
        <f>L4/L3</f>
        <v>0.3625280963084308</v>
      </c>
    </row>
    <row r="5" spans="1:18" ht="17.25" thickTop="1" thickBot="1" x14ac:dyDescent="0.25">
      <c r="B5" s="54" t="s">
        <v>110</v>
      </c>
      <c r="C5" s="53">
        <v>0.41319444444444442</v>
      </c>
      <c r="F5" s="49"/>
      <c r="G5" s="49"/>
      <c r="K5" s="51" t="s">
        <v>109</v>
      </c>
      <c r="L5" s="52">
        <v>1587.1</v>
      </c>
      <c r="N5" s="51" t="s">
        <v>108</v>
      </c>
      <c r="O5" s="50">
        <f>L5/L3</f>
        <v>0.60463255743075917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1.02</v>
      </c>
      <c r="F9" s="31">
        <v>1.01</v>
      </c>
      <c r="G9" s="26"/>
      <c r="H9" s="26">
        <f>SUM(E9:G9)</f>
        <v>2.0300000000000002</v>
      </c>
      <c r="I9" s="38"/>
      <c r="K9" s="24">
        <f>H9/D9*1000</f>
        <v>507.50000000000006</v>
      </c>
      <c r="L9" s="24">
        <f>K9/1.016*10</f>
        <v>4995.0787401574808</v>
      </c>
      <c r="M9" s="23">
        <f>L9/1.12085</f>
        <v>4456.5095598496509</v>
      </c>
      <c r="N9" s="22">
        <f>L9*$O$4</f>
        <v>1810.8563865800063</v>
      </c>
      <c r="O9" s="22">
        <f>M9*$O$4</f>
        <v>1615.6099269126169</v>
      </c>
      <c r="P9" s="21">
        <f>O9/480</f>
        <v>3.3658540144012852</v>
      </c>
    </row>
    <row r="10" spans="1:18" ht="13.5" thickBot="1" x14ac:dyDescent="0.25">
      <c r="C10" s="37">
        <v>4</v>
      </c>
      <c r="D10" s="37">
        <v>4</v>
      </c>
      <c r="E10" s="31">
        <v>1.28</v>
      </c>
      <c r="F10" s="31">
        <v>1.2</v>
      </c>
      <c r="G10" s="26"/>
      <c r="H10" s="26">
        <f>SUM(E10:G10)</f>
        <v>2.48</v>
      </c>
      <c r="I10" s="38"/>
      <c r="K10" s="24">
        <f>H10/D10*1000</f>
        <v>620</v>
      </c>
      <c r="L10" s="24">
        <f>K10/1.016*10</f>
        <v>6102.3622047244089</v>
      </c>
      <c r="M10" s="23">
        <f>L10/1.12085</f>
        <v>5444.4057676980947</v>
      </c>
      <c r="N10" s="22">
        <f>L10*$O$4</f>
        <v>2212.2777530632588</v>
      </c>
      <c r="O10" s="22">
        <f>M10*$O$4</f>
        <v>1973.7500584942311</v>
      </c>
      <c r="P10" s="21">
        <f>O10/480</f>
        <v>4.111979288529648</v>
      </c>
    </row>
    <row r="11" spans="1:18" ht="13.5" thickBot="1" x14ac:dyDescent="0.25">
      <c r="C11" s="37">
        <v>5</v>
      </c>
      <c r="D11" s="37">
        <v>4</v>
      </c>
      <c r="E11" s="31">
        <v>1.28</v>
      </c>
      <c r="F11" s="31">
        <v>0.95</v>
      </c>
      <c r="G11" s="26"/>
      <c r="H11" s="26">
        <f>SUM(E11:G11)</f>
        <v>2.23</v>
      </c>
      <c r="I11" s="38"/>
      <c r="K11" s="24">
        <f>H11/D11*1000</f>
        <v>557.5</v>
      </c>
      <c r="L11" s="24">
        <f>K11/1.016*10</f>
        <v>5487.2047244094483</v>
      </c>
      <c r="M11" s="23">
        <f>L11/1.12085</f>
        <v>4895.5745411156258</v>
      </c>
      <c r="N11" s="22">
        <f>L11*$O$4</f>
        <v>1989.2658827947851</v>
      </c>
      <c r="O11" s="22">
        <f>M11*$O$4</f>
        <v>1774.7833187266676</v>
      </c>
      <c r="P11" s="21">
        <f>O11/480</f>
        <v>3.6974652473472243</v>
      </c>
    </row>
    <row r="12" spans="1:18" ht="13.5" thickBot="1" x14ac:dyDescent="0.25">
      <c r="C12" s="37">
        <v>6</v>
      </c>
      <c r="D12" s="37">
        <v>4</v>
      </c>
      <c r="E12" s="31">
        <v>1.29</v>
      </c>
      <c r="F12" s="31">
        <v>1.1100000000000001</v>
      </c>
      <c r="G12" s="26"/>
      <c r="H12" s="26">
        <f>SUM(E12:G12)</f>
        <v>2.4000000000000004</v>
      </c>
      <c r="I12" s="38"/>
      <c r="K12" s="24">
        <f>H12/D12*1000</f>
        <v>600.00000000000011</v>
      </c>
      <c r="L12" s="24">
        <f>K12/1.016*10</f>
        <v>5905.5118110236235</v>
      </c>
      <c r="M12" s="23">
        <f>L12/1.12085</f>
        <v>5268.779775191706</v>
      </c>
      <c r="N12" s="22">
        <f>L12*$O$4</f>
        <v>2140.9139545773478</v>
      </c>
      <c r="O12" s="22">
        <f>M12*$O$4</f>
        <v>1910.0807017686111</v>
      </c>
      <c r="P12" s="21">
        <f>O12/480</f>
        <v>3.979334795351273</v>
      </c>
    </row>
    <row r="13" spans="1:18" ht="13.5" thickBot="1" x14ac:dyDescent="0.25">
      <c r="C13" s="37">
        <v>7</v>
      </c>
      <c r="D13" s="37">
        <v>4</v>
      </c>
      <c r="E13" s="31">
        <v>1.43</v>
      </c>
      <c r="F13" s="31">
        <v>0.89</v>
      </c>
      <c r="G13" s="26"/>
      <c r="H13" s="26">
        <f>SUM(E13:G13)</f>
        <v>2.3199999999999998</v>
      </c>
      <c r="I13" s="38"/>
      <c r="K13" s="24">
        <f>H13/D13*1000</f>
        <v>580</v>
      </c>
      <c r="L13" s="24">
        <f>K13/1.016*10</f>
        <v>5708.6614173228354</v>
      </c>
      <c r="M13" s="23">
        <f>L13/1.12085</f>
        <v>5093.1537826853155</v>
      </c>
      <c r="N13" s="22">
        <f>L13*$O$4</f>
        <v>2069.5501560914358</v>
      </c>
      <c r="O13" s="22">
        <f>M13*$O$4</f>
        <v>1846.4113450429907</v>
      </c>
      <c r="P13" s="21">
        <f>O13/480</f>
        <v>3.8466903021728971</v>
      </c>
    </row>
    <row r="14" spans="1:18" ht="13.5" thickBot="1" x14ac:dyDescent="0.25">
      <c r="C14" s="37">
        <v>8</v>
      </c>
      <c r="D14" s="37">
        <v>4</v>
      </c>
      <c r="E14" s="31">
        <v>1.92</v>
      </c>
      <c r="F14" s="31"/>
      <c r="G14" s="26"/>
      <c r="H14" s="26">
        <f>SUM(E14:G14)</f>
        <v>1.92</v>
      </c>
      <c r="I14" s="38"/>
      <c r="K14" s="24">
        <f>H14/D14*1000</f>
        <v>480</v>
      </c>
      <c r="L14" s="24">
        <f>K14/1.016*10</f>
        <v>4724.4094488188975</v>
      </c>
      <c r="M14" s="23">
        <f>L14/1.12085</f>
        <v>4215.0238201533639</v>
      </c>
      <c r="N14" s="22">
        <f>L14*$O$4</f>
        <v>1712.7311636618779</v>
      </c>
      <c r="O14" s="22">
        <f>M14*$O$4</f>
        <v>1528.0645614148887</v>
      </c>
      <c r="P14" s="21">
        <f>O14/480</f>
        <v>3.183467836281018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13.38</v>
      </c>
      <c r="I18" s="13"/>
      <c r="J18" s="12"/>
      <c r="K18" s="17">
        <f>AVERAGE(K9:K14)+K16/6</f>
        <v>557.5</v>
      </c>
      <c r="L18" s="17">
        <f>AVERAGE(L9:L14)+L16/6</f>
        <v>5487.2047244094501</v>
      </c>
      <c r="M18" s="19">
        <f>AVERAGE(M9:M14)+M16/6</f>
        <v>4895.5745411156267</v>
      </c>
      <c r="N18" s="18">
        <f>AVERAGE(N9:N14)+N16/6</f>
        <v>1989.2658827947853</v>
      </c>
      <c r="O18" s="18">
        <f>AVERAGE(O9:O14)+O16/6</f>
        <v>1774.7833187266679</v>
      </c>
      <c r="P18" s="17">
        <f>AVERAGE(P9:P14)+P16/6</f>
        <v>3.6974652473472243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8.8619034825105927E-2</v>
      </c>
      <c r="I19" s="13"/>
      <c r="J19" s="12"/>
      <c r="K19" s="10">
        <f>STDEV(K9:K14)/SQRT(COUNT(K9:K14))</f>
        <v>22.154758706276482</v>
      </c>
      <c r="L19" s="10">
        <f>STDEV(L9:L14)/SQRT(COUNT(L9:L14))</f>
        <v>218.05864868382369</v>
      </c>
      <c r="M19" s="11">
        <f>STDEV(M9:M14)/SQRT(COUNT(M9:M14))</f>
        <v>194.54757432646977</v>
      </c>
      <c r="N19" s="10">
        <f>STDEV(N9:N14)/SQRT(COUNT(N9:N14))</f>
        <v>79.052386790935515</v>
      </c>
      <c r="O19" s="10">
        <f>STDEV(O9:O14)/SQRT(COUNT(O9:O14))</f>
        <v>70.528961761998033</v>
      </c>
      <c r="P19" s="9">
        <f>STDEV(P9:P14)/SQRT(COUNT(P9:P14))</f>
        <v>0.14693533700416253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691DF1-F923-46C3-8CF5-41EBC2B2A662}">
  <sheetPr codeName="Sheet13">
    <pageSetUpPr fitToPage="1"/>
  </sheetPr>
  <dimension ref="A1:R22"/>
  <sheetViews>
    <sheetView topLeftCell="D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18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2540.3000000000002</v>
      </c>
      <c r="N3" s="51" t="s">
        <v>116</v>
      </c>
      <c r="O3" s="50">
        <f>(L3-(L4+L5))/L3</f>
        <v>3.0390111404164966E-2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947.4</v>
      </c>
      <c r="N4" s="51" t="s">
        <v>111</v>
      </c>
      <c r="O4" s="50">
        <f>L4/L3</f>
        <v>0.37294807699877963</v>
      </c>
    </row>
    <row r="5" spans="1:18" ht="17.25" thickTop="1" thickBot="1" x14ac:dyDescent="0.25">
      <c r="B5" s="54" t="s">
        <v>110</v>
      </c>
      <c r="C5" s="53">
        <v>0.54722222222222217</v>
      </c>
      <c r="F5" s="49"/>
      <c r="G5" s="49"/>
      <c r="K5" s="51" t="s">
        <v>109</v>
      </c>
      <c r="L5" s="52">
        <v>1515.7</v>
      </c>
      <c r="N5" s="51" t="s">
        <v>108</v>
      </c>
      <c r="O5" s="50">
        <f>L5/L3</f>
        <v>0.59666181159705545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1.2</v>
      </c>
      <c r="F9" s="31">
        <v>0.71</v>
      </c>
      <c r="G9" s="26"/>
      <c r="H9" s="26">
        <f>SUM(E9:G9)</f>
        <v>1.91</v>
      </c>
      <c r="I9" s="38"/>
      <c r="K9" s="24">
        <f>H9/D9*1000</f>
        <v>477.5</v>
      </c>
      <c r="L9" s="24">
        <f>K9/1.016*10</f>
        <v>4699.8031496062995</v>
      </c>
      <c r="M9" s="23">
        <f>L9/1.12085</f>
        <v>4193.0705710900656</v>
      </c>
      <c r="N9" s="22">
        <f>L9*$O$4</f>
        <v>1752.7825469184772</v>
      </c>
      <c r="O9" s="22">
        <f>M9*$O$4</f>
        <v>1563.7976062082146</v>
      </c>
      <c r="P9" s="21">
        <f>O9/480</f>
        <v>3.257911679600447</v>
      </c>
    </row>
    <row r="10" spans="1:18" ht="13.5" thickBot="1" x14ac:dyDescent="0.25">
      <c r="C10" s="37">
        <v>4</v>
      </c>
      <c r="D10" s="37">
        <v>4</v>
      </c>
      <c r="E10" s="31">
        <v>2.5099999999999998</v>
      </c>
      <c r="F10" s="31">
        <v>0.86</v>
      </c>
      <c r="G10" s="26">
        <v>0.6</v>
      </c>
      <c r="H10" s="26">
        <f>SUM(E10:G10)</f>
        <v>3.9699999999999998</v>
      </c>
      <c r="I10" s="38"/>
      <c r="K10" s="24">
        <f>H10/D10*1000</f>
        <v>992.49999999999989</v>
      </c>
      <c r="L10" s="24">
        <f>K10/1.016*10</f>
        <v>9768.7007874015744</v>
      </c>
      <c r="M10" s="23">
        <f>L10/1.12085</f>
        <v>8715.4398781296113</v>
      </c>
      <c r="N10" s="22">
        <f>L10*$O$4</f>
        <v>3643.2181734378814</v>
      </c>
      <c r="O10" s="22">
        <f>M10*$O$4</f>
        <v>3250.4065427469168</v>
      </c>
      <c r="P10" s="21">
        <f>O10/480</f>
        <v>6.7716802973894099</v>
      </c>
    </row>
    <row r="11" spans="1:18" ht="13.5" thickBot="1" x14ac:dyDescent="0.25">
      <c r="C11" s="37">
        <v>5</v>
      </c>
      <c r="D11" s="37">
        <v>4</v>
      </c>
      <c r="E11" s="31">
        <v>1.0900000000000001</v>
      </c>
      <c r="F11" s="31">
        <v>1.03</v>
      </c>
      <c r="G11" s="26"/>
      <c r="H11" s="26">
        <f>SUM(E11:G11)</f>
        <v>2.12</v>
      </c>
      <c r="I11" s="38"/>
      <c r="K11" s="24">
        <f>H11/D11*1000</f>
        <v>530</v>
      </c>
      <c r="L11" s="24">
        <f>K11/1.016*10</f>
        <v>5216.535433070866</v>
      </c>
      <c r="M11" s="23">
        <f>L11/1.12085</f>
        <v>4654.0888014193397</v>
      </c>
      <c r="N11" s="22">
        <f>L11*$O$4</f>
        <v>1945.4968583597756</v>
      </c>
      <c r="O11" s="22">
        <f>M11*$O$4</f>
        <v>1735.733468670898</v>
      </c>
      <c r="P11" s="21">
        <f>O11/480</f>
        <v>3.6161113930643709</v>
      </c>
    </row>
    <row r="12" spans="1:18" ht="13.5" thickBot="1" x14ac:dyDescent="0.25">
      <c r="C12" s="37">
        <v>6</v>
      </c>
      <c r="D12" s="37">
        <v>4</v>
      </c>
      <c r="E12" s="31">
        <v>0.98</v>
      </c>
      <c r="F12" s="31">
        <v>1.19</v>
      </c>
      <c r="G12" s="26"/>
      <c r="H12" s="26">
        <f>SUM(E12:G12)</f>
        <v>2.17</v>
      </c>
      <c r="I12" s="38"/>
      <c r="K12" s="24">
        <f>H12/D12*1000</f>
        <v>542.5</v>
      </c>
      <c r="L12" s="24">
        <f>K12/1.016*10</f>
        <v>5339.5669291338581</v>
      </c>
      <c r="M12" s="23">
        <f>L12/1.12085</f>
        <v>4763.8550467358327</v>
      </c>
      <c r="N12" s="22">
        <f>L12*$O$4</f>
        <v>1991.3812182267513</v>
      </c>
      <c r="O12" s="22">
        <f>M12*$O$4</f>
        <v>1776.6705787810604</v>
      </c>
      <c r="P12" s="21">
        <f>O12/480</f>
        <v>3.7013970391272091</v>
      </c>
    </row>
    <row r="13" spans="1:18" ht="13.5" thickBot="1" x14ac:dyDescent="0.25">
      <c r="C13" s="37">
        <v>7</v>
      </c>
      <c r="D13" s="37">
        <v>4</v>
      </c>
      <c r="E13" s="31">
        <v>0.74</v>
      </c>
      <c r="F13" s="31">
        <v>1.59</v>
      </c>
      <c r="G13" s="26"/>
      <c r="H13" s="26">
        <f>SUM(E13:G13)</f>
        <v>2.33</v>
      </c>
      <c r="I13" s="38"/>
      <c r="K13" s="24">
        <f>H13/D13*1000</f>
        <v>582.5</v>
      </c>
      <c r="L13" s="24">
        <f>K13/1.016*10</f>
        <v>5733.2677165354335</v>
      </c>
      <c r="M13" s="23">
        <f>L13/1.12085</f>
        <v>5115.1070317486137</v>
      </c>
      <c r="N13" s="22">
        <f>L13*$O$4</f>
        <v>2138.2111698010744</v>
      </c>
      <c r="O13" s="22">
        <f>M13*$O$4</f>
        <v>1907.6693311335812</v>
      </c>
      <c r="P13" s="21">
        <f>O13/480</f>
        <v>3.9743111065282943</v>
      </c>
    </row>
    <row r="14" spans="1:18" ht="13.5" thickBot="1" x14ac:dyDescent="0.25">
      <c r="C14" s="37">
        <v>8</v>
      </c>
      <c r="D14" s="37">
        <v>4</v>
      </c>
      <c r="E14" s="31">
        <v>1.27</v>
      </c>
      <c r="F14" s="31">
        <v>0.95</v>
      </c>
      <c r="G14" s="26"/>
      <c r="H14" s="26">
        <f>SUM(E14:G14)</f>
        <v>2.2199999999999998</v>
      </c>
      <c r="I14" s="38"/>
      <c r="K14" s="24">
        <f>H14/D14*1000</f>
        <v>554.99999999999989</v>
      </c>
      <c r="L14" s="24">
        <f>K14/1.016*10</f>
        <v>5462.5984251968484</v>
      </c>
      <c r="M14" s="23">
        <f>L14/1.12085</f>
        <v>4873.6212920523258</v>
      </c>
      <c r="N14" s="22">
        <f>L14*$O$4</f>
        <v>2037.2655780937266</v>
      </c>
      <c r="O14" s="22">
        <f>M14*$O$4</f>
        <v>1817.6076888912228</v>
      </c>
      <c r="P14" s="21">
        <f>O14/480</f>
        <v>3.7866826851900472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14.719999999999999</v>
      </c>
      <c r="I18" s="13"/>
      <c r="J18" s="12"/>
      <c r="K18" s="17">
        <f>AVERAGE(K9:K14)+K16/6</f>
        <v>613.33333333333337</v>
      </c>
      <c r="L18" s="17">
        <f>AVERAGE(L9:L14)+L16/6</f>
        <v>6036.7454068241459</v>
      </c>
      <c r="M18" s="19">
        <f>AVERAGE(M9:M14)+M16/6</f>
        <v>5385.8637701959642</v>
      </c>
      <c r="N18" s="18">
        <f>AVERAGE(N9:N14)+N16/6</f>
        <v>2251.3925908062811</v>
      </c>
      <c r="O18" s="18">
        <f>AVERAGE(O9:O14)+O16/6</f>
        <v>2008.6475360719824</v>
      </c>
      <c r="P18" s="17">
        <f>AVERAGE(P9:P14)+P16/6</f>
        <v>4.18468236681663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0.30857378012037529</v>
      </c>
      <c r="I19" s="13"/>
      <c r="J19" s="12"/>
      <c r="K19" s="10">
        <f>STDEV(K9:K14)/SQRT(COUNT(K9:K14))</f>
        <v>77.143445030093886</v>
      </c>
      <c r="L19" s="10">
        <f>STDEV(L9:L14)/SQRT(COUNT(L9:L14))</f>
        <v>759.28587628045159</v>
      </c>
      <c r="M19" s="11">
        <f>STDEV(M9:M14)/SQRT(COUNT(M9:M14))</f>
        <v>677.41970493862004</v>
      </c>
      <c r="N19" s="10">
        <f>STDEV(N9:N14)/SQRT(COUNT(N9:N14))</f>
        <v>283.17420745112753</v>
      </c>
      <c r="O19" s="10">
        <f>STDEV(O9:O14)/SQRT(COUNT(O9:O14))</f>
        <v>252.64237627793875</v>
      </c>
      <c r="P19" s="9">
        <f>STDEV(P9:P14)/SQRT(COUNT(P9:P14))</f>
        <v>0.52633828391237236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25248-910A-42BE-8006-819CB8834828}">
  <sheetPr codeName="Sheet14">
    <pageSetUpPr fitToPage="1"/>
  </sheetPr>
  <dimension ref="A1:R22"/>
  <sheetViews>
    <sheetView topLeftCell="C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21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1946.8</v>
      </c>
      <c r="N3" s="51" t="s">
        <v>116</v>
      </c>
      <c r="O3" s="50">
        <f>(L3-(L4+L5))/L3</f>
        <v>4.1144442161495862E-2</v>
      </c>
    </row>
    <row r="4" spans="1:18" ht="17.25" thickTop="1" thickBot="1" x14ac:dyDescent="0.25">
      <c r="B4" s="54" t="s">
        <v>115</v>
      </c>
      <c r="C4" s="56">
        <v>39392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694.1</v>
      </c>
      <c r="N4" s="51" t="s">
        <v>111</v>
      </c>
      <c r="O4" s="50">
        <f>L4/L3</f>
        <v>0.35653379905485927</v>
      </c>
    </row>
    <row r="5" spans="1:18" ht="17.25" thickTop="1" thickBot="1" x14ac:dyDescent="0.25">
      <c r="B5" s="54" t="s">
        <v>110</v>
      </c>
      <c r="C5" s="53">
        <v>0.42291666666666666</v>
      </c>
      <c r="F5" s="49"/>
      <c r="G5" s="49"/>
      <c r="K5" s="51" t="s">
        <v>109</v>
      </c>
      <c r="L5" s="52">
        <v>1172.5999999999999</v>
      </c>
      <c r="N5" s="51" t="s">
        <v>108</v>
      </c>
      <c r="O5" s="50">
        <f>L5/L3</f>
        <v>0.60232175878364491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0.97</v>
      </c>
      <c r="F9" s="31">
        <v>0.64</v>
      </c>
      <c r="G9" s="26"/>
      <c r="H9" s="26">
        <f>SUM(E9:G9)</f>
        <v>1.6099999999999999</v>
      </c>
      <c r="I9" s="38"/>
      <c r="K9" s="24">
        <f>H9/D9*1000</f>
        <v>402.49999999999994</v>
      </c>
      <c r="L9" s="24">
        <f>K9/1.016*10</f>
        <v>3961.6141732283459</v>
      </c>
      <c r="M9" s="23">
        <f>L9/1.12085</f>
        <v>3534.4730991911015</v>
      </c>
      <c r="N9" s="22">
        <f>L9*$O$4</f>
        <v>1412.4493515706774</v>
      </c>
      <c r="O9" s="22">
        <f>M9*$O$4</f>
        <v>1260.1591217118059</v>
      </c>
      <c r="P9" s="21">
        <f>O9/480</f>
        <v>2.6253315035662625</v>
      </c>
    </row>
    <row r="10" spans="1:18" ht="13.5" thickBot="1" x14ac:dyDescent="0.25">
      <c r="C10" s="37">
        <v>4</v>
      </c>
      <c r="D10" s="37">
        <v>4</v>
      </c>
      <c r="E10" s="31">
        <v>1.1000000000000001</v>
      </c>
      <c r="F10" s="31">
        <v>0.56000000000000005</v>
      </c>
      <c r="G10" s="26"/>
      <c r="H10" s="26">
        <f>SUM(E10:G10)</f>
        <v>1.6600000000000001</v>
      </c>
      <c r="I10" s="38"/>
      <c r="K10" s="24">
        <f>H10/D10*1000</f>
        <v>415.00000000000006</v>
      </c>
      <c r="L10" s="24">
        <f>K10/1.016*10</f>
        <v>4084.6456692913393</v>
      </c>
      <c r="M10" s="23">
        <f>L10/1.12085</f>
        <v>3644.2393445075968</v>
      </c>
      <c r="N10" s="22">
        <f>L10*$O$4</f>
        <v>1456.3142382654196</v>
      </c>
      <c r="O10" s="22">
        <f>M10*$O$4</f>
        <v>1299.2944981624835</v>
      </c>
      <c r="P10" s="21">
        <f>O10/480</f>
        <v>2.7068635378385073</v>
      </c>
    </row>
    <row r="11" spans="1:18" ht="13.5" thickBot="1" x14ac:dyDescent="0.25">
      <c r="C11" s="37">
        <v>5</v>
      </c>
      <c r="D11" s="37">
        <v>4</v>
      </c>
      <c r="E11" s="31">
        <v>0.99</v>
      </c>
      <c r="F11" s="31">
        <v>0.86</v>
      </c>
      <c r="G11" s="26"/>
      <c r="H11" s="26">
        <f>SUM(E11:G11)</f>
        <v>1.85</v>
      </c>
      <c r="I11" s="38"/>
      <c r="K11" s="24">
        <f>H11/D11*1000</f>
        <v>462.5</v>
      </c>
      <c r="L11" s="24">
        <f>K11/1.016*10</f>
        <v>4552.1653543307084</v>
      </c>
      <c r="M11" s="23">
        <f>L11/1.12085</f>
        <v>4061.3510767102725</v>
      </c>
      <c r="N11" s="22">
        <f>L11*$O$4</f>
        <v>1623.000807705437</v>
      </c>
      <c r="O11" s="22">
        <f>M11*$O$4</f>
        <v>1448.0089286750567</v>
      </c>
      <c r="P11" s="21">
        <f>O11/480</f>
        <v>3.0166852680730347</v>
      </c>
    </row>
    <row r="12" spans="1:18" ht="13.5" thickBot="1" x14ac:dyDescent="0.25">
      <c r="C12" s="37">
        <v>6</v>
      </c>
      <c r="D12" s="37">
        <v>4</v>
      </c>
      <c r="E12" s="31">
        <v>0.73</v>
      </c>
      <c r="F12" s="31">
        <v>0.88</v>
      </c>
      <c r="G12" s="26"/>
      <c r="H12" s="26">
        <f>SUM(E12:G12)</f>
        <v>1.6099999999999999</v>
      </c>
      <c r="I12" s="38"/>
      <c r="K12" s="24">
        <f>H12/D12*1000</f>
        <v>402.49999999999994</v>
      </c>
      <c r="L12" s="24">
        <f>K12/1.016*10</f>
        <v>3961.6141732283459</v>
      </c>
      <c r="M12" s="23">
        <f>L12/1.12085</f>
        <v>3534.4730991911015</v>
      </c>
      <c r="N12" s="22">
        <f>L12*$O$4</f>
        <v>1412.4493515706774</v>
      </c>
      <c r="O12" s="22">
        <f>M12*$O$4</f>
        <v>1260.1591217118059</v>
      </c>
      <c r="P12" s="21">
        <f>O12/480</f>
        <v>2.6253315035662625</v>
      </c>
    </row>
    <row r="13" spans="1:18" ht="13.5" thickBot="1" x14ac:dyDescent="0.25">
      <c r="C13" s="37">
        <v>7</v>
      </c>
      <c r="D13" s="37">
        <v>4</v>
      </c>
      <c r="E13" s="31">
        <v>0.87</v>
      </c>
      <c r="F13" s="31">
        <v>1.31</v>
      </c>
      <c r="G13" s="26"/>
      <c r="H13" s="26">
        <f>SUM(E13:G13)</f>
        <v>2.1800000000000002</v>
      </c>
      <c r="I13" s="38"/>
      <c r="K13" s="24">
        <f>H13/D13*1000</f>
        <v>545</v>
      </c>
      <c r="L13" s="24">
        <f>K13/1.016*10</f>
        <v>5364.1732283464571</v>
      </c>
      <c r="M13" s="23">
        <f>L13/1.12085</f>
        <v>4785.8082957991328</v>
      </c>
      <c r="N13" s="22">
        <f>L13*$O$4</f>
        <v>1912.5090598907314</v>
      </c>
      <c r="O13" s="22">
        <f>M13*$O$4</f>
        <v>1706.3024132495266</v>
      </c>
      <c r="P13" s="21">
        <f>O13/480</f>
        <v>3.554796694269847</v>
      </c>
    </row>
    <row r="14" spans="1:18" ht="13.5" thickBot="1" x14ac:dyDescent="0.25">
      <c r="C14" s="37">
        <v>8</v>
      </c>
      <c r="D14" s="37">
        <v>4</v>
      </c>
      <c r="E14" s="31">
        <v>1.07</v>
      </c>
      <c r="F14" s="31"/>
      <c r="G14" s="26"/>
      <c r="H14" s="26">
        <f>SUM(E14:G14)</f>
        <v>1.07</v>
      </c>
      <c r="I14" s="38"/>
      <c r="K14" s="24">
        <f>H14/D14*1000</f>
        <v>267.5</v>
      </c>
      <c r="L14" s="24">
        <f>K14/1.016*10</f>
        <v>2632.8740157480315</v>
      </c>
      <c r="M14" s="23">
        <f>L14/1.12085</f>
        <v>2348.9976497729685</v>
      </c>
      <c r="N14" s="22">
        <f>L14*$O$4</f>
        <v>938.70857526746909</v>
      </c>
      <c r="O14" s="22">
        <f>M14*$O$4</f>
        <v>837.4970560444923</v>
      </c>
      <c r="P14" s="21">
        <f>O14/480</f>
        <v>1.7447855334260256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9.98</v>
      </c>
      <c r="I18" s="13"/>
      <c r="J18" s="12"/>
      <c r="K18" s="17">
        <f>AVERAGE(K9:K14)+K16/6</f>
        <v>415.83333333333331</v>
      </c>
      <c r="L18" s="17">
        <f>AVERAGE(L9:L14)+L16/6</f>
        <v>4092.8477690288714</v>
      </c>
      <c r="M18" s="19">
        <f>AVERAGE(M9:M14)+M16/6</f>
        <v>3651.5570941953624</v>
      </c>
      <c r="N18" s="18">
        <f>AVERAGE(N9:N14)+N16/6</f>
        <v>1459.2385640450684</v>
      </c>
      <c r="O18" s="18">
        <f>AVERAGE(O9:O14)+O16/6</f>
        <v>1301.9035232591953</v>
      </c>
      <c r="P18" s="17">
        <f>AVERAGE(P9:P14)+P16/6</f>
        <v>2.7122990067899901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0.14827152270225194</v>
      </c>
      <c r="I19" s="13"/>
      <c r="J19" s="12"/>
      <c r="K19" s="10">
        <f>STDEV(K9:K14)/SQRT(COUNT(K9:K14))</f>
        <v>37.067880675563032</v>
      </c>
      <c r="L19" s="10">
        <f>STDEV(L9:L14)/SQRT(COUNT(L9:L14))</f>
        <v>364.84134523191904</v>
      </c>
      <c r="M19" s="11">
        <f>STDEV(M9:M14)/SQRT(COUNT(M9:M14))</f>
        <v>325.50416668771004</v>
      </c>
      <c r="N19" s="10">
        <f>STDEV(N9:N14)/SQRT(COUNT(N9:N14))</f>
        <v>130.078270867822</v>
      </c>
      <c r="O19" s="10">
        <f>STDEV(O9:O14)/SQRT(COUNT(O9:O14))</f>
        <v>116.05323715735534</v>
      </c>
      <c r="P19" s="9">
        <f>STDEV(P9:P14)/SQRT(COUNT(P9:P14))</f>
        <v>0.24177757741115716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91E5F-7A80-4D43-A7D3-23358BF6E025}">
  <sheetPr codeName="Sheet15">
    <pageSetUpPr fitToPage="1"/>
  </sheetPr>
  <dimension ref="A1:R22"/>
  <sheetViews>
    <sheetView topLeftCell="C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22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2342.1</v>
      </c>
      <c r="N3" s="51" t="s">
        <v>116</v>
      </c>
      <c r="O3" s="50">
        <f>(L3-(L4+L5))/L3</f>
        <v>4.1928184108278817E-2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857.7</v>
      </c>
      <c r="N4" s="51" t="s">
        <v>111</v>
      </c>
      <c r="O4" s="50">
        <f>L4/L3</f>
        <v>0.36620981170744205</v>
      </c>
    </row>
    <row r="5" spans="1:18" ht="17.25" thickTop="1" thickBot="1" x14ac:dyDescent="0.25">
      <c r="B5" s="54" t="s">
        <v>110</v>
      </c>
      <c r="C5" s="53">
        <v>0.56944444444444442</v>
      </c>
      <c r="F5" s="49"/>
      <c r="G5" s="49"/>
      <c r="K5" s="51" t="s">
        <v>109</v>
      </c>
      <c r="L5" s="52">
        <v>1386.2</v>
      </c>
      <c r="N5" s="51" t="s">
        <v>108</v>
      </c>
      <c r="O5" s="50">
        <f>L5/L3</f>
        <v>0.59186200418427914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1.1100000000000001</v>
      </c>
      <c r="F9" s="31">
        <v>0.86</v>
      </c>
      <c r="G9" s="26"/>
      <c r="H9" s="26">
        <f>SUM(E9:G9)</f>
        <v>1.9700000000000002</v>
      </c>
      <c r="I9" s="38"/>
      <c r="K9" s="24">
        <f>H9/D9*1000</f>
        <v>492.50000000000006</v>
      </c>
      <c r="L9" s="24">
        <f>K9/1.016*10</f>
        <v>4847.4409448818906</v>
      </c>
      <c r="M9" s="23">
        <f>L9/1.12085</f>
        <v>4324.7900654698587</v>
      </c>
      <c r="N9" s="22">
        <f>L9*$O$4</f>
        <v>1775.1804356881421</v>
      </c>
      <c r="O9" s="22">
        <f>M9*$O$4</f>
        <v>1583.7805555499328</v>
      </c>
      <c r="P9" s="21">
        <f>O9/480</f>
        <v>3.2995428240623599</v>
      </c>
    </row>
    <row r="10" spans="1:18" ht="13.5" thickBot="1" x14ac:dyDescent="0.25">
      <c r="C10" s="37">
        <v>4</v>
      </c>
      <c r="D10" s="37">
        <v>4</v>
      </c>
      <c r="E10" s="31">
        <v>1.4</v>
      </c>
      <c r="F10" s="31"/>
      <c r="G10" s="26"/>
      <c r="H10" s="26">
        <f>SUM(E10:G10)</f>
        <v>1.4</v>
      </c>
      <c r="I10" s="38"/>
      <c r="K10" s="24">
        <f>H10/D10*1000</f>
        <v>350</v>
      </c>
      <c r="L10" s="24">
        <f>K10/1.016*10</f>
        <v>3444.8818897637793</v>
      </c>
      <c r="M10" s="23">
        <f>L10/1.12085</f>
        <v>3073.4548688618279</v>
      </c>
      <c r="N10" s="22">
        <f>L10*$O$4</f>
        <v>1261.5495482047706</v>
      </c>
      <c r="O10" s="22">
        <f>M10*$O$4</f>
        <v>1125.5293288172111</v>
      </c>
      <c r="P10" s="21">
        <f>O10/480</f>
        <v>2.3448527683691895</v>
      </c>
    </row>
    <row r="11" spans="1:18" ht="13.5" thickBot="1" x14ac:dyDescent="0.25">
      <c r="C11" s="37">
        <v>5</v>
      </c>
      <c r="D11" s="37">
        <v>4</v>
      </c>
      <c r="E11" s="31">
        <v>1.03</v>
      </c>
      <c r="F11" s="31">
        <v>0.92</v>
      </c>
      <c r="G11" s="26"/>
      <c r="H11" s="26">
        <f>SUM(E11:G11)</f>
        <v>1.9500000000000002</v>
      </c>
      <c r="I11" s="38"/>
      <c r="K11" s="24">
        <f>H11/D11*1000</f>
        <v>487.50000000000006</v>
      </c>
      <c r="L11" s="24">
        <f>K11/1.016*10</f>
        <v>4798.2283464566935</v>
      </c>
      <c r="M11" s="23">
        <f>L11/1.12085</f>
        <v>4280.8835673432604</v>
      </c>
      <c r="N11" s="22">
        <f>L11*$O$4</f>
        <v>1757.1582992852168</v>
      </c>
      <c r="O11" s="22">
        <f>M11*$O$4</f>
        <v>1567.7015651382583</v>
      </c>
      <c r="P11" s="21">
        <f>O11/480</f>
        <v>3.2660449273713712</v>
      </c>
    </row>
    <row r="12" spans="1:18" ht="13.5" thickBot="1" x14ac:dyDescent="0.25">
      <c r="C12" s="37">
        <v>6</v>
      </c>
      <c r="D12" s="37">
        <v>4</v>
      </c>
      <c r="E12" s="31">
        <v>1.06</v>
      </c>
      <c r="F12" s="31">
        <v>0.99</v>
      </c>
      <c r="G12" s="26"/>
      <c r="H12" s="26">
        <f>SUM(E12:G12)</f>
        <v>2.0499999999999998</v>
      </c>
      <c r="I12" s="38"/>
      <c r="K12" s="24">
        <f>H12/D12*1000</f>
        <v>512.5</v>
      </c>
      <c r="L12" s="24">
        <f>K12/1.016*10</f>
        <v>5044.2913385826778</v>
      </c>
      <c r="M12" s="23">
        <f>L12/1.12085</f>
        <v>4500.4160579762483</v>
      </c>
      <c r="N12" s="22">
        <f>L12*$O$4</f>
        <v>1847.2689812998433</v>
      </c>
      <c r="O12" s="22">
        <f>M12*$O$4</f>
        <v>1648.0965171966304</v>
      </c>
      <c r="P12" s="21">
        <f>O12/480</f>
        <v>3.4335344108263133</v>
      </c>
    </row>
    <row r="13" spans="1:18" ht="13.5" thickBot="1" x14ac:dyDescent="0.25">
      <c r="C13" s="37">
        <v>7</v>
      </c>
      <c r="D13" s="37">
        <v>4</v>
      </c>
      <c r="E13" s="31">
        <v>0.67</v>
      </c>
      <c r="F13" s="31">
        <v>0.71</v>
      </c>
      <c r="G13" s="26">
        <v>0.74</v>
      </c>
      <c r="H13" s="26">
        <f>SUM(E13:G13)</f>
        <v>2.12</v>
      </c>
      <c r="I13" s="38"/>
      <c r="K13" s="24">
        <f>H13/D13*1000</f>
        <v>530</v>
      </c>
      <c r="L13" s="24">
        <f>K13/1.016*10</f>
        <v>5216.535433070866</v>
      </c>
      <c r="M13" s="23">
        <f>L13/1.12085</f>
        <v>4654.0888014193397</v>
      </c>
      <c r="N13" s="22">
        <f>L13*$O$4</f>
        <v>1910.3464587100816</v>
      </c>
      <c r="O13" s="22">
        <f>M13*$O$4</f>
        <v>1704.372983637491</v>
      </c>
      <c r="P13" s="21">
        <f>O13/480</f>
        <v>3.5507770492447728</v>
      </c>
    </row>
    <row r="14" spans="1:18" ht="13.5" thickBot="1" x14ac:dyDescent="0.25">
      <c r="C14" s="37">
        <v>8</v>
      </c>
      <c r="D14" s="37">
        <v>4</v>
      </c>
      <c r="E14" s="31">
        <v>1.1000000000000001</v>
      </c>
      <c r="F14" s="31">
        <v>0.73</v>
      </c>
      <c r="G14" s="26"/>
      <c r="H14" s="26">
        <f>SUM(E14:G14)</f>
        <v>1.83</v>
      </c>
      <c r="I14" s="38"/>
      <c r="K14" s="24">
        <f>H14/D14*1000</f>
        <v>457.5</v>
      </c>
      <c r="L14" s="24">
        <f>K14/1.016*10</f>
        <v>4502.9527559055114</v>
      </c>
      <c r="M14" s="23">
        <f>L14/1.12085</f>
        <v>4017.4445785836747</v>
      </c>
      <c r="N14" s="22">
        <f>L14*$O$4</f>
        <v>1649.0254808676646</v>
      </c>
      <c r="O14" s="22">
        <f>M14*$O$4</f>
        <v>1471.2276226682113</v>
      </c>
      <c r="P14" s="21">
        <f>O14/480</f>
        <v>3.0650575472254404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11.32</v>
      </c>
      <c r="I18" s="13"/>
      <c r="J18" s="12"/>
      <c r="K18" s="17">
        <f>AVERAGE(K9:K14)+K16/6</f>
        <v>471.66666666666669</v>
      </c>
      <c r="L18" s="17">
        <f>AVERAGE(L9:L14)+L16/6</f>
        <v>4642.3884514435704</v>
      </c>
      <c r="M18" s="19">
        <f>AVERAGE(M9:M14)+M16/6</f>
        <v>4141.8463232757013</v>
      </c>
      <c r="N18" s="18">
        <f>AVERAGE(N9:N14)+N16/6</f>
        <v>1700.0882006759537</v>
      </c>
      <c r="O18" s="18">
        <f>AVERAGE(O9:O14)+O16/6</f>
        <v>1516.7847621679559</v>
      </c>
      <c r="P18" s="17">
        <f>AVERAGE(P9:P14)+P16/6</f>
        <v>3.1599682545165741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0.1052193476082752</v>
      </c>
      <c r="I19" s="13"/>
      <c r="J19" s="12"/>
      <c r="K19" s="10">
        <f>STDEV(K9:K14)/SQRT(COUNT(K9:K14))</f>
        <v>26.304836902068828</v>
      </c>
      <c r="L19" s="10">
        <f>STDEV(L9:L14)/SQRT(COUNT(L9:L14))</f>
        <v>258.90587502036186</v>
      </c>
      <c r="M19" s="11">
        <f>STDEV(M9:M14)/SQRT(COUNT(M9:M14))</f>
        <v>230.99065443222753</v>
      </c>
      <c r="N19" s="10">
        <f>STDEV(N9:N14)/SQRT(COUNT(N9:N14))</f>
        <v>94.813871741155879</v>
      </c>
      <c r="O19" s="10">
        <f>STDEV(O9:O14)/SQRT(COUNT(O9:O14))</f>
        <v>84.591044065804212</v>
      </c>
      <c r="P19" s="9">
        <f>STDEV(P9:P14)/SQRT(COUNT(P9:P14))</f>
        <v>0.1762313418037616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58522-758E-4985-B69D-F3C944D22012}">
  <sheetPr codeName="Sheet16">
    <pageSetUpPr fitToPage="1"/>
  </sheetPr>
  <dimension ref="A1:R22"/>
  <sheetViews>
    <sheetView topLeftCell="C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23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2890.5</v>
      </c>
      <c r="N3" s="51" t="s">
        <v>116</v>
      </c>
      <c r="O3" s="50">
        <f>(L3-(L4+L5))/L3</f>
        <v>3.9508735512886979E-2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1065.4000000000001</v>
      </c>
      <c r="N4" s="51" t="s">
        <v>111</v>
      </c>
      <c r="O4" s="50">
        <f>L4/L3</f>
        <v>0.36858674969728422</v>
      </c>
    </row>
    <row r="5" spans="1:18" ht="17.25" thickTop="1" thickBot="1" x14ac:dyDescent="0.25">
      <c r="B5" s="54" t="s">
        <v>110</v>
      </c>
      <c r="C5" s="53">
        <v>0.63888888888888895</v>
      </c>
      <c r="F5" s="49"/>
      <c r="G5" s="49"/>
      <c r="K5" s="51" t="s">
        <v>109</v>
      </c>
      <c r="L5" s="52">
        <v>1710.9</v>
      </c>
      <c r="N5" s="51" t="s">
        <v>108</v>
      </c>
      <c r="O5" s="50">
        <f>L5/L3</f>
        <v>0.59190451478982875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1.21</v>
      </c>
      <c r="F9" s="31">
        <v>0.91</v>
      </c>
      <c r="G9" s="26"/>
      <c r="H9" s="26">
        <f>SUM(E9:G9)</f>
        <v>2.12</v>
      </c>
      <c r="I9" s="38"/>
      <c r="K9" s="24">
        <f>H9/D9*1000</f>
        <v>530</v>
      </c>
      <c r="L9" s="24">
        <f>K9/1.016*10</f>
        <v>5216.535433070866</v>
      </c>
      <c r="M9" s="23">
        <f>L9/1.12085</f>
        <v>4654.0888014193397</v>
      </c>
      <c r="N9" s="22">
        <f>L9*$O$4</f>
        <v>1922.7458399563054</v>
      </c>
      <c r="O9" s="22">
        <f>M9*$O$4</f>
        <v>1715.4354641176838</v>
      </c>
      <c r="P9" s="21">
        <f>O9/480</f>
        <v>3.5738238835785077</v>
      </c>
    </row>
    <row r="10" spans="1:18" ht="13.5" thickBot="1" x14ac:dyDescent="0.25">
      <c r="C10" s="37">
        <v>4</v>
      </c>
      <c r="D10" s="37">
        <v>4</v>
      </c>
      <c r="E10" s="31">
        <v>1.24</v>
      </c>
      <c r="F10" s="31">
        <v>1.03</v>
      </c>
      <c r="G10" s="26"/>
      <c r="H10" s="26">
        <f>SUM(E10:G10)</f>
        <v>2.27</v>
      </c>
      <c r="I10" s="38"/>
      <c r="K10" s="24">
        <f>H10/D10*1000</f>
        <v>567.5</v>
      </c>
      <c r="L10" s="24">
        <f>K10/1.016*10</f>
        <v>5585.6299212598424</v>
      </c>
      <c r="M10" s="23">
        <f>L10/1.12085</f>
        <v>4983.3875373688206</v>
      </c>
      <c r="N10" s="22">
        <f>L10*$O$4</f>
        <v>2058.7891776890629</v>
      </c>
      <c r="O10" s="22">
        <f>M10*$O$4</f>
        <v>1836.8106148807271</v>
      </c>
      <c r="P10" s="21">
        <f>O10/480</f>
        <v>3.8266887810015149</v>
      </c>
    </row>
    <row r="11" spans="1:18" ht="13.5" thickBot="1" x14ac:dyDescent="0.25">
      <c r="C11" s="37">
        <v>5</v>
      </c>
      <c r="D11" s="37">
        <v>4</v>
      </c>
      <c r="E11" s="31">
        <v>1.1200000000000001</v>
      </c>
      <c r="F11" s="31">
        <v>1.02</v>
      </c>
      <c r="G11" s="26"/>
      <c r="H11" s="26">
        <f>SUM(E11:G11)</f>
        <v>2.14</v>
      </c>
      <c r="I11" s="38"/>
      <c r="K11" s="24">
        <f>H11/D11*1000</f>
        <v>535</v>
      </c>
      <c r="L11" s="24">
        <f>K11/1.016*10</f>
        <v>5265.748031496063</v>
      </c>
      <c r="M11" s="23">
        <f>L11/1.12085</f>
        <v>4697.9952995459371</v>
      </c>
      <c r="N11" s="22">
        <f>L11*$O$4</f>
        <v>1940.8849516540065</v>
      </c>
      <c r="O11" s="22">
        <f>M11*$O$4</f>
        <v>1731.6188175527561</v>
      </c>
      <c r="P11" s="21">
        <f>O11/480</f>
        <v>3.6075392032349085</v>
      </c>
    </row>
    <row r="12" spans="1:18" ht="13.5" thickBot="1" x14ac:dyDescent="0.25">
      <c r="C12" s="37">
        <v>6</v>
      </c>
      <c r="D12" s="37">
        <v>4</v>
      </c>
      <c r="E12" s="31">
        <v>1.08</v>
      </c>
      <c r="F12" s="31">
        <v>1.32</v>
      </c>
      <c r="G12" s="26"/>
      <c r="H12" s="26">
        <f>SUM(E12:G12)</f>
        <v>2.4000000000000004</v>
      </c>
      <c r="I12" s="38"/>
      <c r="K12" s="24">
        <f>H12/D12*1000</f>
        <v>600.00000000000011</v>
      </c>
      <c r="L12" s="24">
        <f>K12/1.016*10</f>
        <v>5905.5118110236235</v>
      </c>
      <c r="M12" s="23">
        <f>L12/1.12085</f>
        <v>5268.779775191706</v>
      </c>
      <c r="N12" s="22">
        <f>L12*$O$4</f>
        <v>2176.6934037241199</v>
      </c>
      <c r="O12" s="22">
        <f>M12*$O$4</f>
        <v>1942.0024122086988</v>
      </c>
      <c r="P12" s="21">
        <f>O12/480</f>
        <v>4.0458383587681226</v>
      </c>
    </row>
    <row r="13" spans="1:18" ht="13.5" thickBot="1" x14ac:dyDescent="0.25">
      <c r="C13" s="37">
        <v>7</v>
      </c>
      <c r="D13" s="37">
        <v>4</v>
      </c>
      <c r="E13" s="31">
        <v>0.94</v>
      </c>
      <c r="F13" s="31">
        <v>1.1499999999999999</v>
      </c>
      <c r="G13" s="26"/>
      <c r="H13" s="26">
        <f>SUM(E13:G13)</f>
        <v>2.09</v>
      </c>
      <c r="I13" s="38"/>
      <c r="K13" s="24">
        <f>H13/D13*1000</f>
        <v>522.5</v>
      </c>
      <c r="L13" s="24">
        <f>K13/1.016*10</f>
        <v>5142.71653543307</v>
      </c>
      <c r="M13" s="23">
        <f>L13/1.12085</f>
        <v>4588.2290542294422</v>
      </c>
      <c r="N13" s="22">
        <f>L13*$O$4</f>
        <v>1895.5371724097538</v>
      </c>
      <c r="O13" s="22">
        <f>M13*$O$4</f>
        <v>1691.1604339650746</v>
      </c>
      <c r="P13" s="21">
        <f>O13/480</f>
        <v>3.5232509040939055</v>
      </c>
    </row>
    <row r="14" spans="1:18" ht="13.5" thickBot="1" x14ac:dyDescent="0.25">
      <c r="C14" s="37">
        <v>8</v>
      </c>
      <c r="D14" s="37">
        <v>4</v>
      </c>
      <c r="E14" s="31">
        <v>0.93</v>
      </c>
      <c r="F14" s="31">
        <v>1.33</v>
      </c>
      <c r="G14" s="26"/>
      <c r="H14" s="26">
        <f>SUM(E14:G14)</f>
        <v>2.2600000000000002</v>
      </c>
      <c r="I14" s="38"/>
      <c r="K14" s="24">
        <f>H14/D14*1000</f>
        <v>565.00000000000011</v>
      </c>
      <c r="L14" s="24">
        <f>K14/1.016*10</f>
        <v>5561.0236220472452</v>
      </c>
      <c r="M14" s="23">
        <f>L14/1.12085</f>
        <v>4961.4342883055233</v>
      </c>
      <c r="N14" s="22">
        <f>L14*$O$4</f>
        <v>2049.7196218402128</v>
      </c>
      <c r="O14" s="22">
        <f>M14*$O$4</f>
        <v>1828.7189381631913</v>
      </c>
      <c r="P14" s="21">
        <f>O14/480</f>
        <v>3.8098311211733153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13.280000000000001</v>
      </c>
      <c r="I18" s="13"/>
      <c r="J18" s="12"/>
      <c r="K18" s="17">
        <f>AVERAGE(K9:K14)+K16/6</f>
        <v>553.33333333333337</v>
      </c>
      <c r="L18" s="17">
        <f>AVERAGE(L9:L14)+L16/6</f>
        <v>5446.1942257217852</v>
      </c>
      <c r="M18" s="19">
        <f>AVERAGE(M9:M14)+M16/6</f>
        <v>4858.9857926767945</v>
      </c>
      <c r="N18" s="18">
        <f>AVERAGE(N9:N14)+N16/6</f>
        <v>2007.3950278789105</v>
      </c>
      <c r="O18" s="18">
        <f>AVERAGE(O9:O14)+O16/6</f>
        <v>1790.9577801480218</v>
      </c>
      <c r="P18" s="17">
        <f>AVERAGE(P9:P14)+P16/6</f>
        <v>3.7311620419750455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4.8143304599682218E-2</v>
      </c>
      <c r="I19" s="13"/>
      <c r="J19" s="12"/>
      <c r="K19" s="10">
        <f>STDEV(K9:K14)/SQRT(COUNT(K9:K14))</f>
        <v>12.03582614992056</v>
      </c>
      <c r="L19" s="10">
        <f>STDEV(L9:L14)/SQRT(COUNT(L9:L14))</f>
        <v>118.46285580630484</v>
      </c>
      <c r="M19" s="11">
        <f>STDEV(M9:M14)/SQRT(COUNT(M9:M14))</f>
        <v>105.6901956607082</v>
      </c>
      <c r="N19" s="10">
        <f>STDEV(N9:N14)/SQRT(COUNT(N9:N14))</f>
        <v>43.663838981503929</v>
      </c>
      <c r="O19" s="10">
        <f>STDEV(O9:O14)/SQRT(COUNT(O9:O14))</f>
        <v>38.956005693450443</v>
      </c>
      <c r="P19" s="9">
        <f>STDEV(P9:P14)/SQRT(COUNT(P9:P14))</f>
        <v>8.1158345194688439E-2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BD4D9-F758-4FDD-A5C8-C2CA4FED79CA}">
  <sheetPr codeName="Sheet17">
    <pageSetUpPr fitToPage="1"/>
  </sheetPr>
  <dimension ref="A1:R22"/>
  <sheetViews>
    <sheetView topLeftCell="D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24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2513.5</v>
      </c>
      <c r="N3" s="51" t="s">
        <v>116</v>
      </c>
      <c r="O3" s="50">
        <f>(L3-(L4+L5))/L3</f>
        <v>4.7622836681917573E-2</v>
      </c>
    </row>
    <row r="4" spans="1:18" ht="17.25" thickTop="1" thickBot="1" x14ac:dyDescent="0.25">
      <c r="B4" s="54" t="s">
        <v>115</v>
      </c>
      <c r="C4" s="56">
        <v>39392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902.1</v>
      </c>
      <c r="N4" s="51" t="s">
        <v>111</v>
      </c>
      <c r="O4" s="50">
        <f>L4/L3</f>
        <v>0.35890192958026657</v>
      </c>
    </row>
    <row r="5" spans="1:18" ht="17.25" thickTop="1" thickBot="1" x14ac:dyDescent="0.25">
      <c r="B5" s="54" t="s">
        <v>110</v>
      </c>
      <c r="C5" s="53">
        <v>0.41875000000000001</v>
      </c>
      <c r="F5" s="49"/>
      <c r="G5" s="49"/>
      <c r="K5" s="51" t="s">
        <v>109</v>
      </c>
      <c r="L5" s="52">
        <v>1491.7</v>
      </c>
      <c r="N5" s="51" t="s">
        <v>108</v>
      </c>
      <c r="O5" s="50">
        <f>L5/L3</f>
        <v>0.59347523373781585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1.36</v>
      </c>
      <c r="F9" s="31">
        <v>0.94</v>
      </c>
      <c r="G9" s="26"/>
      <c r="H9" s="26">
        <f>SUM(E9:G9)</f>
        <v>2.2999999999999998</v>
      </c>
      <c r="I9" s="38"/>
      <c r="K9" s="24">
        <f>H9/D9*1000</f>
        <v>575</v>
      </c>
      <c r="L9" s="24">
        <f>K9/1.016*10</f>
        <v>5659.4488188976375</v>
      </c>
      <c r="M9" s="23">
        <f>L9/1.12085</f>
        <v>5049.2472845587172</v>
      </c>
      <c r="N9" s="22">
        <f>L9*$O$4</f>
        <v>2031.1871014631226</v>
      </c>
      <c r="O9" s="22">
        <f>M9*$O$4</f>
        <v>1812.1845933560448</v>
      </c>
      <c r="P9" s="21">
        <f>O9/480</f>
        <v>3.7753845694917603</v>
      </c>
    </row>
    <row r="10" spans="1:18" ht="13.5" thickBot="1" x14ac:dyDescent="0.25">
      <c r="C10" s="37">
        <v>4</v>
      </c>
      <c r="D10" s="37">
        <v>4</v>
      </c>
      <c r="E10" s="31">
        <v>1.49</v>
      </c>
      <c r="F10" s="31">
        <v>0.74</v>
      </c>
      <c r="G10" s="26"/>
      <c r="H10" s="26">
        <f>SUM(E10:G10)</f>
        <v>2.23</v>
      </c>
      <c r="I10" s="38"/>
      <c r="K10" s="24">
        <f>H10/D10*1000</f>
        <v>557.5</v>
      </c>
      <c r="L10" s="24">
        <f>K10/1.016*10</f>
        <v>5487.2047244094483</v>
      </c>
      <c r="M10" s="23">
        <f>L10/1.12085</f>
        <v>4895.5745411156258</v>
      </c>
      <c r="N10" s="22">
        <f>L10*$O$4</f>
        <v>1969.3683635925058</v>
      </c>
      <c r="O10" s="22">
        <f>M10*$O$4</f>
        <v>1757.0311492104261</v>
      </c>
      <c r="P10" s="21">
        <f>O10/480</f>
        <v>3.6604815608550543</v>
      </c>
    </row>
    <row r="11" spans="1:18" ht="13.5" thickBot="1" x14ac:dyDescent="0.25">
      <c r="C11" s="37">
        <v>5</v>
      </c>
      <c r="D11" s="37">
        <v>4</v>
      </c>
      <c r="E11" s="31">
        <v>1.3</v>
      </c>
      <c r="F11" s="31">
        <v>0.78</v>
      </c>
      <c r="G11" s="26"/>
      <c r="H11" s="26">
        <f>SUM(E11:G11)</f>
        <v>2.08</v>
      </c>
      <c r="I11" s="38"/>
      <c r="K11" s="24">
        <f>H11/D11*1000</f>
        <v>520</v>
      </c>
      <c r="L11" s="24">
        <f>K11/1.016*10</f>
        <v>5118.110236220472</v>
      </c>
      <c r="M11" s="23">
        <f>L11/1.12085</f>
        <v>4566.275805166144</v>
      </c>
      <c r="N11" s="22">
        <f>L11*$O$4</f>
        <v>1836.8996395840413</v>
      </c>
      <c r="O11" s="22">
        <f>M11*$O$4</f>
        <v>1638.8451974698144</v>
      </c>
      <c r="P11" s="21">
        <f>O11/480</f>
        <v>3.4142608280621132</v>
      </c>
    </row>
    <row r="12" spans="1:18" ht="13.5" thickBot="1" x14ac:dyDescent="0.25">
      <c r="C12" s="37">
        <v>6</v>
      </c>
      <c r="D12" s="37">
        <v>4</v>
      </c>
      <c r="E12" s="31">
        <v>1.04</v>
      </c>
      <c r="F12" s="31">
        <v>1.1100000000000001</v>
      </c>
      <c r="G12" s="26"/>
      <c r="H12" s="26">
        <f>SUM(E12:G12)</f>
        <v>2.1500000000000004</v>
      </c>
      <c r="I12" s="38"/>
      <c r="K12" s="24">
        <f>H12/D12*1000</f>
        <v>537.50000000000011</v>
      </c>
      <c r="L12" s="24">
        <f>K12/1.016*10</f>
        <v>5290.354330708662</v>
      </c>
      <c r="M12" s="23">
        <f>L12/1.12085</f>
        <v>4719.9485486092362</v>
      </c>
      <c r="N12" s="22">
        <f>L12*$O$4</f>
        <v>1898.7183774546584</v>
      </c>
      <c r="O12" s="22">
        <f>M12*$O$4</f>
        <v>1693.9986416154336</v>
      </c>
      <c r="P12" s="21">
        <f>O12/480</f>
        <v>3.5291638366988201</v>
      </c>
    </row>
    <row r="13" spans="1:18" ht="13.5" thickBot="1" x14ac:dyDescent="0.25">
      <c r="C13" s="37">
        <v>7</v>
      </c>
      <c r="D13" s="37">
        <v>4</v>
      </c>
      <c r="E13" s="31">
        <v>0.89</v>
      </c>
      <c r="F13" s="31">
        <v>1.33</v>
      </c>
      <c r="G13" s="26"/>
      <c r="H13" s="26">
        <f>SUM(E13:G13)</f>
        <v>2.2200000000000002</v>
      </c>
      <c r="I13" s="38"/>
      <c r="K13" s="24">
        <f>H13/D13*1000</f>
        <v>555</v>
      </c>
      <c r="L13" s="24">
        <f>K13/1.016*10</f>
        <v>5462.5984251968493</v>
      </c>
      <c r="M13" s="23">
        <f>L13/1.12085</f>
        <v>4873.6212920523258</v>
      </c>
      <c r="N13" s="22">
        <f>L13*$O$4</f>
        <v>1960.5371153252747</v>
      </c>
      <c r="O13" s="22">
        <f>M13*$O$4</f>
        <v>1749.1520857610515</v>
      </c>
      <c r="P13" s="21">
        <f>O13/480</f>
        <v>3.6440668453355238</v>
      </c>
    </row>
    <row r="14" spans="1:18" ht="13.5" thickBot="1" x14ac:dyDescent="0.25">
      <c r="C14" s="37">
        <v>8</v>
      </c>
      <c r="D14" s="37">
        <v>4</v>
      </c>
      <c r="E14" s="31">
        <v>0.95</v>
      </c>
      <c r="F14" s="31">
        <v>0.92</v>
      </c>
      <c r="G14" s="26">
        <v>0.38</v>
      </c>
      <c r="H14" s="26">
        <f>SUM(E14:G14)</f>
        <v>2.25</v>
      </c>
      <c r="I14" s="38"/>
      <c r="K14" s="24">
        <f>H14/D14*1000</f>
        <v>562.5</v>
      </c>
      <c r="L14" s="24">
        <f>K14/1.016*10</f>
        <v>5536.4173228346453</v>
      </c>
      <c r="M14" s="23">
        <f>L14/1.12085</f>
        <v>4939.4810392422232</v>
      </c>
      <c r="N14" s="22">
        <f>L14*$O$4</f>
        <v>1987.0308601269678</v>
      </c>
      <c r="O14" s="22">
        <f>M14*$O$4</f>
        <v>1772.7892761091744</v>
      </c>
      <c r="P14" s="21">
        <f>O14/480</f>
        <v>3.6933109918941134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13.23</v>
      </c>
      <c r="I18" s="13"/>
      <c r="J18" s="12"/>
      <c r="K18" s="17">
        <f>AVERAGE(K9:K14)+K16/6</f>
        <v>551.25</v>
      </c>
      <c r="L18" s="17">
        <f>AVERAGE(L9:L14)+L16/6</f>
        <v>5425.6889763779527</v>
      </c>
      <c r="M18" s="19">
        <f>AVERAGE(M9:M14)+M16/6</f>
        <v>4840.6914184573789</v>
      </c>
      <c r="N18" s="18">
        <f>AVERAGE(N9:N14)+N16/6</f>
        <v>1947.2902429244286</v>
      </c>
      <c r="O18" s="18">
        <f>AVERAGE(O9:O14)+O16/6</f>
        <v>1737.3334905869906</v>
      </c>
      <c r="P18" s="17">
        <f>AVERAGE(P9:P14)+P16/6</f>
        <v>3.6194447720562306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3.1911335499056295E-2</v>
      </c>
      <c r="I19" s="13"/>
      <c r="J19" s="12"/>
      <c r="K19" s="10">
        <f>STDEV(K9:K14)/SQRT(COUNT(K9:K14))</f>
        <v>7.9778338747640785</v>
      </c>
      <c r="L19" s="10">
        <f>STDEV(L9:L14)/SQRT(COUNT(L9:L14))</f>
        <v>78.521986956339362</v>
      </c>
      <c r="M19" s="11">
        <f>STDEV(M9:M14)/SQRT(COUNT(M9:M14))</f>
        <v>70.05574961532713</v>
      </c>
      <c r="N19" s="10">
        <f>STDEV(N9:N14)/SQRT(COUNT(N9:N14))</f>
        <v>28.181692633106728</v>
      </c>
      <c r="O19" s="10">
        <f>STDEV(O9:O14)/SQRT(COUNT(O9:O14))</f>
        <v>25.143143715132911</v>
      </c>
      <c r="P19" s="9">
        <f>STDEV(P9:P14)/SQRT(COUNT(P9:P14))</f>
        <v>5.2381549406526944E-2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0CED0-F78E-4971-B59E-7E55E735BD2F}">
  <sheetPr codeName="Sheet18">
    <pageSetUpPr fitToPage="1"/>
  </sheetPr>
  <dimension ref="A1:R22"/>
  <sheetViews>
    <sheetView topLeftCell="D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25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2791.3</v>
      </c>
      <c r="N3" s="51" t="s">
        <v>116</v>
      </c>
      <c r="O3" s="50">
        <f>(L3-(L4+L5))/L3</f>
        <v>3.7186973811485752E-2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1004.3</v>
      </c>
      <c r="N4" s="51" t="s">
        <v>111</v>
      </c>
      <c r="O4" s="50">
        <f>L4/L3</f>
        <v>0.35979651058646506</v>
      </c>
    </row>
    <row r="5" spans="1:18" ht="17.25" thickTop="1" thickBot="1" x14ac:dyDescent="0.25">
      <c r="B5" s="54" t="s">
        <v>110</v>
      </c>
      <c r="C5" s="53">
        <v>0.55208333333333337</v>
      </c>
      <c r="F5" s="49"/>
      <c r="G5" s="49"/>
      <c r="K5" s="51" t="s">
        <v>109</v>
      </c>
      <c r="L5" s="52">
        <v>1683.2</v>
      </c>
      <c r="N5" s="51" t="s">
        <v>108</v>
      </c>
      <c r="O5" s="50">
        <f>L5/L3</f>
        <v>0.60301651560204916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1.21</v>
      </c>
      <c r="F9" s="31">
        <v>1.25</v>
      </c>
      <c r="G9" s="26"/>
      <c r="H9" s="26">
        <f>SUM(E9:G9)</f>
        <v>2.46</v>
      </c>
      <c r="I9" s="38"/>
      <c r="K9" s="24">
        <f>H9/D9*1000</f>
        <v>615</v>
      </c>
      <c r="L9" s="24">
        <f>K9/1.016*10</f>
        <v>6053.1496062992128</v>
      </c>
      <c r="M9" s="23">
        <f>L9/1.12085</f>
        <v>5400.4992695714982</v>
      </c>
      <c r="N9" s="22">
        <f>L9*$O$4</f>
        <v>2177.9021064042913</v>
      </c>
      <c r="O9" s="22">
        <f>M9*$O$4</f>
        <v>1943.0807926165783</v>
      </c>
      <c r="P9" s="21">
        <f>O9/480</f>
        <v>4.048084984617871</v>
      </c>
    </row>
    <row r="10" spans="1:18" ht="13.5" thickBot="1" x14ac:dyDescent="0.25">
      <c r="C10" s="37">
        <v>4</v>
      </c>
      <c r="D10" s="37">
        <v>4</v>
      </c>
      <c r="E10" s="31">
        <v>0.89</v>
      </c>
      <c r="F10" s="31">
        <v>1.17</v>
      </c>
      <c r="G10" s="26">
        <v>0.02</v>
      </c>
      <c r="H10" s="26">
        <f>SUM(E10:G10)</f>
        <v>2.08</v>
      </c>
      <c r="I10" s="38"/>
      <c r="K10" s="24">
        <f>H10/D10*1000</f>
        <v>520</v>
      </c>
      <c r="L10" s="24">
        <f>K10/1.016*10</f>
        <v>5118.110236220472</v>
      </c>
      <c r="M10" s="23">
        <f>L10/1.12085</f>
        <v>4566.275805166144</v>
      </c>
      <c r="N10" s="22">
        <f>L10*$O$4</f>
        <v>1841.4782037889943</v>
      </c>
      <c r="O10" s="22">
        <f>M10*$O$4</f>
        <v>1642.9301010741797</v>
      </c>
      <c r="P10" s="21">
        <f>O10/480</f>
        <v>3.4227710439045409</v>
      </c>
    </row>
    <row r="11" spans="1:18" ht="13.5" thickBot="1" x14ac:dyDescent="0.25">
      <c r="C11" s="37">
        <v>5</v>
      </c>
      <c r="D11" s="37">
        <v>4</v>
      </c>
      <c r="E11" s="31">
        <v>1.0900000000000001</v>
      </c>
      <c r="F11" s="31">
        <v>1.1599999999999999</v>
      </c>
      <c r="G11" s="26"/>
      <c r="H11" s="26">
        <f>SUM(E11:G11)</f>
        <v>2.25</v>
      </c>
      <c r="I11" s="38"/>
      <c r="K11" s="24">
        <f>H11/D11*1000</f>
        <v>562.5</v>
      </c>
      <c r="L11" s="24">
        <f>K11/1.016*10</f>
        <v>5536.4173228346453</v>
      </c>
      <c r="M11" s="23">
        <f>L11/1.12085</f>
        <v>4939.4810392422232</v>
      </c>
      <c r="N11" s="22">
        <f>L11*$O$4</f>
        <v>1991.983633906364</v>
      </c>
      <c r="O11" s="22">
        <f>M11*$O$4</f>
        <v>1777.208042027358</v>
      </c>
      <c r="P11" s="21">
        <f>O11/480</f>
        <v>3.7025167542236628</v>
      </c>
    </row>
    <row r="12" spans="1:18" ht="13.5" thickBot="1" x14ac:dyDescent="0.25">
      <c r="C12" s="37">
        <v>6</v>
      </c>
      <c r="D12" s="37">
        <v>4</v>
      </c>
      <c r="E12" s="31">
        <v>0.74</v>
      </c>
      <c r="F12" s="31">
        <v>0.92</v>
      </c>
      <c r="G12" s="26">
        <v>0.63</v>
      </c>
      <c r="H12" s="26">
        <f>SUM(E12:G12)</f>
        <v>2.29</v>
      </c>
      <c r="I12" s="38"/>
      <c r="K12" s="24">
        <f>H12/D12*1000</f>
        <v>572.5</v>
      </c>
      <c r="L12" s="24">
        <f>K12/1.016*10</f>
        <v>5634.8425196850394</v>
      </c>
      <c r="M12" s="23">
        <f>L12/1.12085</f>
        <v>5027.2940354954189</v>
      </c>
      <c r="N12" s="22">
        <f>L12*$O$4</f>
        <v>2027.3966762869218</v>
      </c>
      <c r="O12" s="22">
        <f>M12*$O$4</f>
        <v>1808.8028516634001</v>
      </c>
      <c r="P12" s="21">
        <f>O12/480</f>
        <v>3.7683392742987505</v>
      </c>
    </row>
    <row r="13" spans="1:18" ht="13.5" thickBot="1" x14ac:dyDescent="0.25">
      <c r="C13" s="37">
        <v>7</v>
      </c>
      <c r="D13" s="37">
        <v>4</v>
      </c>
      <c r="E13" s="31">
        <v>0.72</v>
      </c>
      <c r="F13" s="31">
        <v>1.66</v>
      </c>
      <c r="G13" s="26"/>
      <c r="H13" s="26">
        <f>SUM(E13:G13)</f>
        <v>2.38</v>
      </c>
      <c r="I13" s="38"/>
      <c r="K13" s="24">
        <f>H13/D13*1000</f>
        <v>595</v>
      </c>
      <c r="L13" s="24">
        <f>K13/1.016*10</f>
        <v>5856.2992125984247</v>
      </c>
      <c r="M13" s="23">
        <f>L13/1.12085</f>
        <v>5224.8732770651068</v>
      </c>
      <c r="N13" s="22">
        <f>L13*$O$4</f>
        <v>2107.0760216431759</v>
      </c>
      <c r="O13" s="22">
        <f>M13*$O$4</f>
        <v>1879.8911733444941</v>
      </c>
      <c r="P13" s="21">
        <f>O13/480</f>
        <v>3.9164399444676961</v>
      </c>
    </row>
    <row r="14" spans="1:18" ht="13.5" thickBot="1" x14ac:dyDescent="0.25">
      <c r="C14" s="37">
        <v>8</v>
      </c>
      <c r="D14" s="37">
        <v>4</v>
      </c>
      <c r="E14" s="31">
        <v>1.49</v>
      </c>
      <c r="F14" s="31">
        <v>0.71</v>
      </c>
      <c r="G14" s="26"/>
      <c r="H14" s="26">
        <f>SUM(E14:G14)</f>
        <v>2.2000000000000002</v>
      </c>
      <c r="I14" s="38"/>
      <c r="K14" s="24">
        <f>H14/D14*1000</f>
        <v>550</v>
      </c>
      <c r="L14" s="24">
        <f>K14/1.016*10</f>
        <v>5413.3858267716541</v>
      </c>
      <c r="M14" s="23">
        <f>L14/1.12085</f>
        <v>4829.7147939257302</v>
      </c>
      <c r="N14" s="22">
        <f>L14*$O$4</f>
        <v>1947.7173309306675</v>
      </c>
      <c r="O14" s="22">
        <f>M14*$O$4</f>
        <v>1737.714529982306</v>
      </c>
      <c r="P14" s="21">
        <f>O14/480</f>
        <v>3.620238604129804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13.66</v>
      </c>
      <c r="I18" s="13"/>
      <c r="J18" s="12"/>
      <c r="K18" s="17">
        <f>AVERAGE(K9:K14)+K16/6</f>
        <v>569.16666666666663</v>
      </c>
      <c r="L18" s="17">
        <f>AVERAGE(L9:L14)+L16/6</f>
        <v>5602.0341207349084</v>
      </c>
      <c r="M18" s="19">
        <f>AVERAGE(M9:M14)+M16/6</f>
        <v>4998.0230367443537</v>
      </c>
      <c r="N18" s="18">
        <f>AVERAGE(N9:N14)+N16/6</f>
        <v>2015.5923288267356</v>
      </c>
      <c r="O18" s="18">
        <f>AVERAGE(O9:O14)+O16/6</f>
        <v>1798.2712484513861</v>
      </c>
      <c r="P18" s="17">
        <f>AVERAGE(P9:P14)+P16/6</f>
        <v>3.7463984342737207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5.4691051471983131E-2</v>
      </c>
      <c r="I19" s="13"/>
      <c r="J19" s="12"/>
      <c r="K19" s="10">
        <f>STDEV(K9:K14)/SQRT(COUNT(K9:K14))</f>
        <v>13.672762867995791</v>
      </c>
      <c r="L19" s="10">
        <f>STDEV(L9:L14)/SQRT(COUNT(L9:L14))</f>
        <v>134.57443767712394</v>
      </c>
      <c r="M19" s="11">
        <f>STDEV(M9:M14)/SQRT(COUNT(M9:M14))</f>
        <v>120.06462744981395</v>
      </c>
      <c r="N19" s="10">
        <f>STDEV(N9:N14)/SQRT(COUNT(N9:N14))</f>
        <v>48.419413090364863</v>
      </c>
      <c r="O19" s="10">
        <f>STDEV(O9:O14)/SQRT(COUNT(O9:O14))</f>
        <v>43.19883400130697</v>
      </c>
      <c r="P19" s="9">
        <f>STDEV(P9:P14)/SQRT(COUNT(P9:P14))</f>
        <v>8.9997570836056168E-2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98C26-9DF0-4D27-9B70-BF646684DC50}">
  <sheetPr codeName="Sheet19">
    <pageSetUpPr fitToPage="1"/>
  </sheetPr>
  <dimension ref="A1:R22"/>
  <sheetViews>
    <sheetView topLeftCell="F1" workbookViewId="0">
      <selection activeCell="K6" sqref="K6:M6"/>
    </sheetView>
  </sheetViews>
  <sheetFormatPr defaultRowHeight="12.75" x14ac:dyDescent="0.2"/>
  <cols>
    <col min="1" max="8" width="9.140625" style="8"/>
    <col min="9" max="9" width="25.5703125" style="8" customWidth="1"/>
    <col min="10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26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2958.8</v>
      </c>
      <c r="N3" s="51" t="s">
        <v>116</v>
      </c>
      <c r="O3" s="50">
        <f>(L3-(L4+L5))/L3</f>
        <v>2.9944572123834109E-2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1088.0999999999999</v>
      </c>
      <c r="N4" s="51" t="s">
        <v>111</v>
      </c>
      <c r="O4" s="50">
        <f>L4/L3</f>
        <v>0.367750439367311</v>
      </c>
    </row>
    <row r="5" spans="1:18" ht="17.25" thickTop="1" thickBot="1" x14ac:dyDescent="0.25">
      <c r="B5" s="54" t="s">
        <v>110</v>
      </c>
      <c r="C5" s="53">
        <v>0.52083333333333337</v>
      </c>
      <c r="F5" s="49"/>
      <c r="G5" s="49"/>
      <c r="K5" s="51" t="s">
        <v>109</v>
      </c>
      <c r="L5" s="52">
        <v>1782.1</v>
      </c>
      <c r="N5" s="51" t="s">
        <v>108</v>
      </c>
      <c r="O5" s="50">
        <f>L5/L3</f>
        <v>0.60230498850885483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1.7</v>
      </c>
      <c r="F9" s="31">
        <v>0.9</v>
      </c>
      <c r="G9" s="26"/>
      <c r="H9" s="26">
        <f>SUM(E9:G9)</f>
        <v>2.6</v>
      </c>
      <c r="I9" s="38"/>
      <c r="K9" s="24">
        <f>H9/D9*1000</f>
        <v>650</v>
      </c>
      <c r="L9" s="24">
        <f>K9/1.016*10</f>
        <v>6397.6377952755902</v>
      </c>
      <c r="M9" s="23">
        <f>L9/1.12085</f>
        <v>5707.84475645768</v>
      </c>
      <c r="N9" s="22">
        <f>L9*$O$4</f>
        <v>2352.7341101255133</v>
      </c>
      <c r="O9" s="22">
        <f>M9*$O$4</f>
        <v>2099.0624170277142</v>
      </c>
      <c r="P9" s="21">
        <f>O9/480</f>
        <v>4.3730467021410711</v>
      </c>
    </row>
    <row r="10" spans="1:18" ht="13.5" thickBot="1" x14ac:dyDescent="0.25">
      <c r="C10" s="37">
        <v>4</v>
      </c>
      <c r="D10" s="37">
        <v>4</v>
      </c>
      <c r="E10" s="31">
        <v>1.1100000000000001</v>
      </c>
      <c r="F10" s="31">
        <v>0.27</v>
      </c>
      <c r="G10" s="26">
        <v>0.88</v>
      </c>
      <c r="H10" s="26">
        <f>SUM(E10:G10)</f>
        <v>2.2600000000000002</v>
      </c>
      <c r="I10" s="70" t="s">
        <v>123</v>
      </c>
      <c r="K10" s="24">
        <f>H10/D10*1000</f>
        <v>565.00000000000011</v>
      </c>
      <c r="L10" s="24">
        <f>K10/1.016*10</f>
        <v>5561.0236220472452</v>
      </c>
      <c r="M10" s="23">
        <f>L10/1.12085</f>
        <v>4961.4342883055233</v>
      </c>
      <c r="N10" s="22">
        <f>L10*$O$4</f>
        <v>2045.0688803398696</v>
      </c>
      <c r="O10" s="22">
        <f>M10*$O$4</f>
        <v>1824.5696394163981</v>
      </c>
      <c r="P10" s="21">
        <f>O10/480</f>
        <v>3.8011867487841626</v>
      </c>
    </row>
    <row r="11" spans="1:18" ht="13.5" thickBot="1" x14ac:dyDescent="0.25">
      <c r="C11" s="37">
        <v>5</v>
      </c>
      <c r="D11" s="37">
        <v>4</v>
      </c>
      <c r="E11" s="31">
        <v>1.07</v>
      </c>
      <c r="F11" s="31">
        <v>0.42</v>
      </c>
      <c r="G11" s="26">
        <v>0.53</v>
      </c>
      <c r="H11" s="26">
        <f>SUM(E11:G11)</f>
        <v>2.02</v>
      </c>
      <c r="I11" s="69"/>
      <c r="K11" s="24">
        <f>H11/D11*1000</f>
        <v>505</v>
      </c>
      <c r="L11" s="24">
        <f>K11/1.016*10</f>
        <v>4970.4724409448818</v>
      </c>
      <c r="M11" s="23">
        <f>L11/1.12085</f>
        <v>4434.5563107863518</v>
      </c>
      <c r="N11" s="22">
        <f>L11*$O$4</f>
        <v>1827.8934240205911</v>
      </c>
      <c r="O11" s="22">
        <f>M11*$O$4</f>
        <v>1630.8100316907626</v>
      </c>
      <c r="P11" s="21">
        <f>O11/480</f>
        <v>3.3975208993557553</v>
      </c>
    </row>
    <row r="12" spans="1:18" ht="13.5" thickBot="1" x14ac:dyDescent="0.25">
      <c r="C12" s="37">
        <v>6</v>
      </c>
      <c r="D12" s="37">
        <v>4</v>
      </c>
      <c r="E12" s="31">
        <v>1.06</v>
      </c>
      <c r="F12" s="31">
        <v>1.37</v>
      </c>
      <c r="G12" s="26"/>
      <c r="H12" s="26">
        <f>SUM(E12:G12)</f>
        <v>2.4300000000000002</v>
      </c>
      <c r="I12" s="68"/>
      <c r="K12" s="24">
        <f>H12/D12*1000</f>
        <v>607.5</v>
      </c>
      <c r="L12" s="24">
        <f>K12/1.016*10</f>
        <v>5979.3307086614177</v>
      </c>
      <c r="M12" s="23">
        <f>L12/1.12085</f>
        <v>5334.6395223816016</v>
      </c>
      <c r="N12" s="22">
        <f>L12*$O$4</f>
        <v>2198.9014952326916</v>
      </c>
      <c r="O12" s="22">
        <f>M12*$O$4</f>
        <v>1961.816028222056</v>
      </c>
      <c r="P12" s="21">
        <f>O12/480</f>
        <v>4.0871167254626171</v>
      </c>
    </row>
    <row r="13" spans="1:18" ht="13.5" thickBot="1" x14ac:dyDescent="0.25">
      <c r="C13" s="37">
        <v>7</v>
      </c>
      <c r="D13" s="37">
        <v>4</v>
      </c>
      <c r="E13" s="31">
        <v>1.1100000000000001</v>
      </c>
      <c r="F13" s="31">
        <v>0.95</v>
      </c>
      <c r="G13" s="26"/>
      <c r="H13" s="26">
        <f>SUM(E13:G13)</f>
        <v>2.06</v>
      </c>
      <c r="I13" s="38"/>
      <c r="K13" s="24">
        <f>H13/D13*1000</f>
        <v>515</v>
      </c>
      <c r="L13" s="24">
        <f>K13/1.016*10</f>
        <v>5068.8976377952749</v>
      </c>
      <c r="M13" s="23">
        <f>L13/1.12085</f>
        <v>4522.3693070395466</v>
      </c>
      <c r="N13" s="22">
        <f>L13*$O$4</f>
        <v>1864.0893334071372</v>
      </c>
      <c r="O13" s="22">
        <f>M13*$O$4</f>
        <v>1663.1032996450351</v>
      </c>
      <c r="P13" s="21">
        <f>O13/480</f>
        <v>3.4647985409271564</v>
      </c>
    </row>
    <row r="14" spans="1:18" ht="13.5" thickBot="1" x14ac:dyDescent="0.25">
      <c r="C14" s="37">
        <v>8</v>
      </c>
      <c r="D14" s="37">
        <v>4</v>
      </c>
      <c r="E14" s="31">
        <v>1.1599999999999999</v>
      </c>
      <c r="F14" s="31">
        <v>1</v>
      </c>
      <c r="G14" s="26"/>
      <c r="H14" s="26">
        <f>SUM(E14:G14)</f>
        <v>2.16</v>
      </c>
      <c r="I14" s="38"/>
      <c r="K14" s="24">
        <f>H14/D14*1000</f>
        <v>540</v>
      </c>
      <c r="L14" s="24">
        <f>K14/1.016*10</f>
        <v>5314.9606299212601</v>
      </c>
      <c r="M14" s="23">
        <f>L14/1.12085</f>
        <v>4741.9017976725345</v>
      </c>
      <c r="N14" s="22">
        <f>L14*$O$4</f>
        <v>1954.5791068735034</v>
      </c>
      <c r="O14" s="22">
        <f>M14*$O$4</f>
        <v>1743.8364695307164</v>
      </c>
      <c r="P14" s="21">
        <f>O14/480</f>
        <v>3.6329926448556593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13.530000000000001</v>
      </c>
      <c r="I18" s="13"/>
      <c r="J18" s="12"/>
      <c r="K18" s="17">
        <f>AVERAGE(K9:K14)+K16/6</f>
        <v>563.75</v>
      </c>
      <c r="L18" s="17">
        <f>AVERAGE(L9:L14)+L16/6</f>
        <v>5548.7204724409448</v>
      </c>
      <c r="M18" s="19">
        <f>AVERAGE(M9:M14)+M16/6</f>
        <v>4950.4576637738728</v>
      </c>
      <c r="N18" s="18">
        <f>AVERAGE(N9:N14)+N16/6</f>
        <v>2040.5443916665508</v>
      </c>
      <c r="O18" s="18">
        <f>AVERAGE(O9:O14)+O16/6</f>
        <v>1820.5329809221137</v>
      </c>
      <c r="P18" s="17">
        <f>AVERAGE(P9:P14)+P16/6</f>
        <v>3.792777043587737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9.1642421035966398E-2</v>
      </c>
      <c r="I19" s="13"/>
      <c r="J19" s="12"/>
      <c r="K19" s="10">
        <f>STDEV(K9:K14)/SQRT(COUNT(K9:K14))</f>
        <v>22.910605258991598</v>
      </c>
      <c r="L19" s="10">
        <f>STDEV(L9:L14)/SQRT(COUNT(L9:L14))</f>
        <v>225.49808325779131</v>
      </c>
      <c r="M19" s="11">
        <f>STDEV(M9:M14)/SQRT(COUNT(M9:M14))</f>
        <v>201.18488937662605</v>
      </c>
      <c r="N19" s="10">
        <f>STDEV(N9:N14)/SQRT(COUNT(N9:N14))</f>
        <v>82.92701919453927</v>
      </c>
      <c r="O19" s="10">
        <f>STDEV(O9:O14)/SQRT(COUNT(O9:O14))</f>
        <v>73.985831462318089</v>
      </c>
      <c r="P19" s="9">
        <f>STDEV(P9:P14)/SQRT(COUNT(P9:P14))</f>
        <v>0.15413714887982935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7">
    <mergeCell ref="C18:G18"/>
    <mergeCell ref="C19:G19"/>
    <mergeCell ref="K6:M6"/>
    <mergeCell ref="N6:P6"/>
    <mergeCell ref="C16:D16"/>
    <mergeCell ref="F16:G16"/>
    <mergeCell ref="I10:I12"/>
  </mergeCells>
  <pageMargins left="0.75" right="0.75" top="1" bottom="0.52" header="0.5" footer="0.5"/>
  <pageSetup scale="75" orientation="landscape" r:id="rId1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28C9D-EFF2-438C-90D2-5DAEE8CF933F}">
  <sheetPr codeName="Sheet20">
    <pageSetUpPr fitToPage="1"/>
  </sheetPr>
  <dimension ref="A1:R22"/>
  <sheetViews>
    <sheetView topLeftCell="F1" workbookViewId="0">
      <selection activeCell="K6" sqref="K6:M6"/>
    </sheetView>
  </sheetViews>
  <sheetFormatPr defaultRowHeight="12.75" x14ac:dyDescent="0.2"/>
  <cols>
    <col min="1" max="8" width="9.140625" style="8"/>
    <col min="9" max="9" width="22.7109375" style="8" customWidth="1"/>
    <col min="10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27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2606.1999999999998</v>
      </c>
      <c r="N3" s="51" t="s">
        <v>116</v>
      </c>
      <c r="O3" s="50">
        <f>(L3-(L4+L5))/L3</f>
        <v>5.4255237510551627E-2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921.9</v>
      </c>
      <c r="N4" s="51" t="s">
        <v>111</v>
      </c>
      <c r="O4" s="50">
        <f>L4/L3</f>
        <v>0.35373340495740929</v>
      </c>
    </row>
    <row r="5" spans="1:18" ht="17.25" thickTop="1" thickBot="1" x14ac:dyDescent="0.25">
      <c r="B5" s="54" t="s">
        <v>110</v>
      </c>
      <c r="C5" s="53">
        <v>0.53333333333333333</v>
      </c>
      <c r="F5" s="49"/>
      <c r="G5" s="49"/>
      <c r="K5" s="51" t="s">
        <v>109</v>
      </c>
      <c r="L5" s="52">
        <v>1542.9</v>
      </c>
      <c r="N5" s="51" t="s">
        <v>108</v>
      </c>
      <c r="O5" s="50">
        <f>L5/L3</f>
        <v>0.59201135753203904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1.1200000000000001</v>
      </c>
      <c r="F9" s="31">
        <v>0.63</v>
      </c>
      <c r="G9" s="26"/>
      <c r="H9" s="26">
        <f>SUM(E9:G9)</f>
        <v>1.75</v>
      </c>
      <c r="I9" s="38"/>
      <c r="K9" s="24">
        <f>H9/D9*1000</f>
        <v>437.5</v>
      </c>
      <c r="L9" s="24">
        <f>K9/1.016*10</f>
        <v>4306.1023622047242</v>
      </c>
      <c r="M9" s="23">
        <f>L9/1.12085</f>
        <v>3841.8185860772846</v>
      </c>
      <c r="N9" s="22">
        <f>L9*$O$4</f>
        <v>1523.2122506778205</v>
      </c>
      <c r="O9" s="22">
        <f>M9*$O$4</f>
        <v>1358.9795696817778</v>
      </c>
      <c r="P9" s="21">
        <f>O9/480</f>
        <v>2.8312074368370372</v>
      </c>
    </row>
    <row r="10" spans="1:18" ht="13.5" thickBot="1" x14ac:dyDescent="0.25">
      <c r="C10" s="37">
        <v>4</v>
      </c>
      <c r="D10" s="37">
        <v>4</v>
      </c>
      <c r="E10" s="31">
        <v>0.88</v>
      </c>
      <c r="F10" s="31">
        <v>1.19</v>
      </c>
      <c r="G10" s="26"/>
      <c r="H10" s="26">
        <f>SUM(E10:G10)</f>
        <v>2.0699999999999998</v>
      </c>
      <c r="I10" s="66" t="s">
        <v>124</v>
      </c>
      <c r="K10" s="24">
        <f>H10/D10*1000</f>
        <v>517.5</v>
      </c>
      <c r="L10" s="24">
        <f>K10/1.016*10</f>
        <v>5093.5039370078739</v>
      </c>
      <c r="M10" s="23">
        <f>L10/1.12085</f>
        <v>4544.3225561028457</v>
      </c>
      <c r="N10" s="22">
        <f>L10*$O$4</f>
        <v>1801.7424908017649</v>
      </c>
      <c r="O10" s="22">
        <f>M10*$O$4</f>
        <v>1607.4786909950171</v>
      </c>
      <c r="P10" s="21">
        <f>O10/480</f>
        <v>3.3489139395729524</v>
      </c>
    </row>
    <row r="11" spans="1:18" ht="13.5" thickBot="1" x14ac:dyDescent="0.25">
      <c r="C11" s="37">
        <v>5</v>
      </c>
      <c r="D11" s="37">
        <v>4</v>
      </c>
      <c r="E11" s="31">
        <v>1.5</v>
      </c>
      <c r="F11" s="31">
        <v>0.76</v>
      </c>
      <c r="G11" s="26"/>
      <c r="H11" s="26">
        <f>SUM(E11:G11)</f>
        <v>2.2599999999999998</v>
      </c>
      <c r="I11" s="65"/>
      <c r="K11" s="24">
        <f>H11/D11*1000</f>
        <v>565</v>
      </c>
      <c r="L11" s="24">
        <f>K11/1.016*10</f>
        <v>5561.0236220472434</v>
      </c>
      <c r="M11" s="23">
        <f>L11/1.12085</f>
        <v>4961.4342883055215</v>
      </c>
      <c r="N11" s="22">
        <f>L11*$O$4</f>
        <v>1967.1198208753565</v>
      </c>
      <c r="O11" s="22">
        <f>M11*$O$4</f>
        <v>1755.0250442747529</v>
      </c>
      <c r="P11" s="21">
        <f>O11/480</f>
        <v>3.6563021755724017</v>
      </c>
    </row>
    <row r="12" spans="1:18" ht="13.5" thickBot="1" x14ac:dyDescent="0.25">
      <c r="C12" s="37">
        <v>6</v>
      </c>
      <c r="D12" s="37">
        <v>4</v>
      </c>
      <c r="E12" s="31">
        <v>1.22</v>
      </c>
      <c r="F12" s="31">
        <v>0.68</v>
      </c>
      <c r="G12" s="67">
        <v>0.05</v>
      </c>
      <c r="H12" s="26">
        <f>SUM(E12:G12)</f>
        <v>1.95</v>
      </c>
      <c r="I12" s="65"/>
      <c r="K12" s="24">
        <f>H12/D12*1000</f>
        <v>487.5</v>
      </c>
      <c r="L12" s="24">
        <f>K12/1.016*10</f>
        <v>4798.2283464566926</v>
      </c>
      <c r="M12" s="23">
        <f>L12/1.12085</f>
        <v>4280.8835673432604</v>
      </c>
      <c r="N12" s="22">
        <f>L12*$O$4</f>
        <v>1697.2936507552856</v>
      </c>
      <c r="O12" s="22">
        <f>M12*$O$4</f>
        <v>1514.2915205025524</v>
      </c>
      <c r="P12" s="21">
        <f>O12/480</f>
        <v>3.154774001046984</v>
      </c>
    </row>
    <row r="13" spans="1:18" ht="13.5" thickBot="1" x14ac:dyDescent="0.25">
      <c r="C13" s="37">
        <v>7</v>
      </c>
      <c r="D13" s="37">
        <v>4</v>
      </c>
      <c r="E13" s="31">
        <v>1.21</v>
      </c>
      <c r="F13" s="31">
        <v>0.89</v>
      </c>
      <c r="G13" s="26"/>
      <c r="H13" s="26">
        <f>SUM(E13:G13)</f>
        <v>2.1</v>
      </c>
      <c r="I13" s="65"/>
      <c r="K13" s="24">
        <f>H13/D13*1000</f>
        <v>525</v>
      </c>
      <c r="L13" s="24">
        <f>K13/1.016*10</f>
        <v>5167.322834645669</v>
      </c>
      <c r="M13" s="23">
        <f>L13/1.12085</f>
        <v>4610.1823032927414</v>
      </c>
      <c r="N13" s="22">
        <f>L13*$O$4</f>
        <v>1827.8547008133846</v>
      </c>
      <c r="O13" s="22">
        <f>M13*$O$4</f>
        <v>1630.7754836181332</v>
      </c>
      <c r="P13" s="21">
        <f>O13/480</f>
        <v>3.3974489242044443</v>
      </c>
    </row>
    <row r="14" spans="1:18" ht="13.5" thickBot="1" x14ac:dyDescent="0.25">
      <c r="C14" s="37">
        <v>8</v>
      </c>
      <c r="D14" s="37">
        <v>4</v>
      </c>
      <c r="E14" s="31">
        <v>0.95</v>
      </c>
      <c r="F14" s="31">
        <v>0.77</v>
      </c>
      <c r="G14" s="26"/>
      <c r="H14" s="26">
        <f>SUM(E14:G14)</f>
        <v>1.72</v>
      </c>
      <c r="I14" s="64"/>
      <c r="K14" s="24">
        <f>H14/D14*1000</f>
        <v>430</v>
      </c>
      <c r="L14" s="24">
        <f>K14/1.016*10</f>
        <v>4232.2834645669291</v>
      </c>
      <c r="M14" s="23">
        <f>L14/1.12085</f>
        <v>3775.9588388873885</v>
      </c>
      <c r="N14" s="22">
        <f>L14*$O$4</f>
        <v>1497.1000406662008</v>
      </c>
      <c r="O14" s="22">
        <f>M14*$O$4</f>
        <v>1335.6827770586615</v>
      </c>
      <c r="P14" s="21">
        <f>O14/480</f>
        <v>2.7826724522055448</v>
      </c>
    </row>
    <row r="15" spans="1:18" ht="13.5" thickBot="1" x14ac:dyDescent="0.25">
      <c r="C15" s="37"/>
      <c r="D15" s="37"/>
      <c r="E15" s="25"/>
      <c r="F15" s="25"/>
      <c r="G15" s="25"/>
      <c r="H15" s="26"/>
      <c r="I15" s="63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11.85</v>
      </c>
      <c r="I18" s="13"/>
      <c r="J18" s="12"/>
      <c r="K18" s="17">
        <f>AVERAGE(K9:K14)+K16/6</f>
        <v>493.75</v>
      </c>
      <c r="L18" s="17">
        <f>AVERAGE(L9:L14)+L16/6</f>
        <v>4859.7440944881891</v>
      </c>
      <c r="M18" s="19">
        <f>AVERAGE(M9:M14)+M16/6</f>
        <v>4335.7666900015074</v>
      </c>
      <c r="N18" s="18">
        <f>AVERAGE(N9:N14)+N16/6</f>
        <v>1719.0538257649687</v>
      </c>
      <c r="O18" s="18">
        <f>AVERAGE(O9:O14)+O16/6</f>
        <v>1533.705514355149</v>
      </c>
      <c r="P18" s="17">
        <f>AVERAGE(P9:P14)+P16/6</f>
        <v>3.1952198215732275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8.6052309672663613E-2</v>
      </c>
      <c r="I19" s="13"/>
      <c r="J19" s="12"/>
      <c r="K19" s="10">
        <f>STDEV(K9:K14)/SQRT(COUNT(K9:K14))</f>
        <v>21.51307741816591</v>
      </c>
      <c r="L19" s="10">
        <f>STDEV(L9:L14)/SQRT(COUNT(L9:L14))</f>
        <v>211.74288797407385</v>
      </c>
      <c r="M19" s="11">
        <f>STDEV(M9:M14)/SQRT(COUNT(M9:M14))</f>
        <v>188.9127786716098</v>
      </c>
      <c r="N19" s="10">
        <f>STDEV(N9:N14)/SQRT(COUNT(N9:N14))</f>
        <v>74.900532738584403</v>
      </c>
      <c r="O19" s="10">
        <f>STDEV(O9:O14)/SQRT(COUNT(O9:O14))</f>
        <v>66.824760439474005</v>
      </c>
      <c r="P19" s="9">
        <f>STDEV(P9:P14)/SQRT(COUNT(P9:P14))</f>
        <v>0.1392182509155708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7">
    <mergeCell ref="C18:G18"/>
    <mergeCell ref="C19:G19"/>
    <mergeCell ref="K6:M6"/>
    <mergeCell ref="N6:P6"/>
    <mergeCell ref="C16:D16"/>
    <mergeCell ref="F16:G16"/>
    <mergeCell ref="I10:I15"/>
  </mergeCells>
  <pageMargins left="0.75" right="0.75" top="1" bottom="0.52" header="0.5" footer="0.5"/>
  <pageSetup scale="75" orientation="landscape" r:id="rId1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10F0F-8F09-47EF-A5C2-8E48D09AAE15}">
  <sheetPr codeName="Sheet21">
    <pageSetUpPr fitToPage="1"/>
  </sheetPr>
  <dimension ref="A1:R22"/>
  <sheetViews>
    <sheetView topLeftCell="D1" workbookViewId="0">
      <selection activeCell="K6" sqref="K6:M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28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2499.6</v>
      </c>
      <c r="N3" s="51" t="s">
        <v>116</v>
      </c>
      <c r="O3" s="50">
        <f>(L3-(L4+L5))/L3</f>
        <v>5.0528084493518859E-2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897.8</v>
      </c>
      <c r="N4" s="51" t="s">
        <v>111</v>
      </c>
      <c r="O4" s="50">
        <f>L4/L3</f>
        <v>0.35917746839494319</v>
      </c>
    </row>
    <row r="5" spans="1:18" ht="17.25" thickTop="1" thickBot="1" x14ac:dyDescent="0.25">
      <c r="B5" s="54" t="s">
        <v>110</v>
      </c>
      <c r="C5" s="53">
        <v>0.60763888888888895</v>
      </c>
      <c r="F5" s="49"/>
      <c r="G5" s="49"/>
      <c r="K5" s="51" t="s">
        <v>109</v>
      </c>
      <c r="L5" s="52">
        <v>1475.5</v>
      </c>
      <c r="N5" s="51" t="s">
        <v>108</v>
      </c>
      <c r="O5" s="50">
        <f>L5/L3</f>
        <v>0.59029444711153789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0.95</v>
      </c>
      <c r="F9" s="31">
        <v>1.04</v>
      </c>
      <c r="G9" s="26"/>
      <c r="H9" s="26">
        <f>SUM(E9:G9)</f>
        <v>1.99</v>
      </c>
      <c r="I9" s="38"/>
      <c r="K9" s="24">
        <f>H9/D9*1000</f>
        <v>497.5</v>
      </c>
      <c r="L9" s="24">
        <f>K9/1.016*10</f>
        <v>4896.6535433070867</v>
      </c>
      <c r="M9" s="23">
        <f>L9/1.12085</f>
        <v>4368.6965635964552</v>
      </c>
      <c r="N9" s="22">
        <f>L9*$O$4</f>
        <v>1758.7676232921676</v>
      </c>
      <c r="O9" s="22">
        <f>M9*$O$4</f>
        <v>1569.1373718982627</v>
      </c>
      <c r="P9" s="21">
        <f>O9/480</f>
        <v>3.2690361914547141</v>
      </c>
    </row>
    <row r="10" spans="1:18" ht="13.5" thickBot="1" x14ac:dyDescent="0.25">
      <c r="C10" s="37">
        <v>4</v>
      </c>
      <c r="D10" s="37">
        <v>4</v>
      </c>
      <c r="E10" s="31">
        <v>1.7</v>
      </c>
      <c r="F10" s="31"/>
      <c r="G10" s="26"/>
      <c r="H10" s="26">
        <f>SUM(E10:G10)</f>
        <v>1.7</v>
      </c>
      <c r="I10" s="38"/>
      <c r="K10" s="24">
        <f>H10/D10*1000</f>
        <v>425</v>
      </c>
      <c r="L10" s="24">
        <f>K10/1.016*10</f>
        <v>4183.070866141732</v>
      </c>
      <c r="M10" s="23">
        <f>L10/1.12085</f>
        <v>3732.0523407607907</v>
      </c>
      <c r="N10" s="22">
        <f>L10*$O$4</f>
        <v>1502.4648038174296</v>
      </c>
      <c r="O10" s="22">
        <f>M10*$O$4</f>
        <v>1340.4691116718827</v>
      </c>
      <c r="P10" s="21">
        <f>O10/480</f>
        <v>2.7926439826497558</v>
      </c>
    </row>
    <row r="11" spans="1:18" ht="13.5" thickBot="1" x14ac:dyDescent="0.25">
      <c r="C11" s="37">
        <v>5</v>
      </c>
      <c r="D11" s="37">
        <v>4</v>
      </c>
      <c r="E11" s="31">
        <v>0.92</v>
      </c>
      <c r="F11" s="31">
        <v>0.67</v>
      </c>
      <c r="G11" s="26"/>
      <c r="H11" s="26">
        <f>SUM(E11:G11)</f>
        <v>1.59</v>
      </c>
      <c r="I11" s="38"/>
      <c r="K11" s="24">
        <f>H11/D11*1000</f>
        <v>397.5</v>
      </c>
      <c r="L11" s="24">
        <f>K11/1.016*10</f>
        <v>3912.4015748031497</v>
      </c>
      <c r="M11" s="23">
        <f>L11/1.12085</f>
        <v>3490.5666010645045</v>
      </c>
      <c r="N11" s="22">
        <f>L11*$O$4</f>
        <v>1405.2464929821842</v>
      </c>
      <c r="O11" s="22">
        <f>M11*$O$4</f>
        <v>1253.7328750342904</v>
      </c>
      <c r="P11" s="21">
        <f>O11/480</f>
        <v>2.6119434896547715</v>
      </c>
    </row>
    <row r="12" spans="1:18" ht="13.5" thickBot="1" x14ac:dyDescent="0.25">
      <c r="C12" s="37">
        <v>6</v>
      </c>
      <c r="D12" s="37">
        <v>4</v>
      </c>
      <c r="E12" s="31">
        <v>0.96</v>
      </c>
      <c r="F12" s="31">
        <v>0.96</v>
      </c>
      <c r="G12" s="26"/>
      <c r="H12" s="26">
        <f>SUM(E12:G12)</f>
        <v>1.92</v>
      </c>
      <c r="I12" s="38"/>
      <c r="K12" s="24">
        <f>H12/D12*1000</f>
        <v>480</v>
      </c>
      <c r="L12" s="24">
        <f>K12/1.016*10</f>
        <v>4724.4094488188975</v>
      </c>
      <c r="M12" s="23">
        <f>L12/1.12085</f>
        <v>4215.0238201533639</v>
      </c>
      <c r="N12" s="22">
        <f>L12*$O$4</f>
        <v>1696.9014254879205</v>
      </c>
      <c r="O12" s="22">
        <f>M12*$O$4</f>
        <v>1513.9415849470677</v>
      </c>
      <c r="P12" s="21">
        <f>O12/480</f>
        <v>3.1540449686397243</v>
      </c>
    </row>
    <row r="13" spans="1:18" ht="13.5" thickBot="1" x14ac:dyDescent="0.25">
      <c r="C13" s="37">
        <v>7</v>
      </c>
      <c r="D13" s="37">
        <v>4</v>
      </c>
      <c r="E13" s="31">
        <v>1.54</v>
      </c>
      <c r="F13" s="31">
        <v>0.34</v>
      </c>
      <c r="G13" s="26"/>
      <c r="H13" s="26">
        <f>SUM(E13:G13)</f>
        <v>1.8800000000000001</v>
      </c>
      <c r="I13" s="38"/>
      <c r="K13" s="24">
        <f>H13/D13*1000</f>
        <v>470.00000000000006</v>
      </c>
      <c r="L13" s="24">
        <f>K13/1.016*10</f>
        <v>4625.9842519685044</v>
      </c>
      <c r="M13" s="23">
        <f>L13/1.12085</f>
        <v>4127.2108239001691</v>
      </c>
      <c r="N13" s="22">
        <f>L13*$O$4</f>
        <v>1661.5493124569225</v>
      </c>
      <c r="O13" s="22">
        <f>M13*$O$4</f>
        <v>1482.4011352606703</v>
      </c>
      <c r="P13" s="21">
        <f>O13/480</f>
        <v>3.0883356984597299</v>
      </c>
    </row>
    <row r="14" spans="1:18" ht="13.5" thickBot="1" x14ac:dyDescent="0.25">
      <c r="C14" s="37">
        <v>8</v>
      </c>
      <c r="D14" s="37">
        <v>4</v>
      </c>
      <c r="E14" s="31">
        <v>1.1100000000000001</v>
      </c>
      <c r="F14" s="31">
        <v>0.61</v>
      </c>
      <c r="G14" s="26">
        <v>0.35</v>
      </c>
      <c r="H14" s="26">
        <f>SUM(E14:G14)</f>
        <v>2.0700000000000003</v>
      </c>
      <c r="I14" s="38"/>
      <c r="K14" s="24">
        <f>H14/D14*1000</f>
        <v>517.50000000000011</v>
      </c>
      <c r="L14" s="24">
        <f>K14/1.016*10</f>
        <v>5093.5039370078748</v>
      </c>
      <c r="M14" s="23">
        <f>L14/1.12085</f>
        <v>4544.3225561028466</v>
      </c>
      <c r="N14" s="22">
        <f>L14*$O$4</f>
        <v>1829.4718493541648</v>
      </c>
      <c r="O14" s="22">
        <f>M14*$O$4</f>
        <v>1632.2182712710576</v>
      </c>
      <c r="P14" s="21">
        <f>O14/480</f>
        <v>3.4004547318147034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11.15</v>
      </c>
      <c r="I18" s="13"/>
      <c r="J18" s="12"/>
      <c r="K18" s="17">
        <f>AVERAGE(K9:K14)+K16/6</f>
        <v>464.58333333333331</v>
      </c>
      <c r="L18" s="17">
        <f>AVERAGE(L9:L14)+L16/6</f>
        <v>4572.6706036745409</v>
      </c>
      <c r="M18" s="19">
        <f>AVERAGE(M9:M14)+M16/6</f>
        <v>4079.6454509296877</v>
      </c>
      <c r="N18" s="18">
        <f>AVERAGE(N9:N14)+N16/6</f>
        <v>1642.4002512317982</v>
      </c>
      <c r="O18" s="18">
        <f>AVERAGE(O9:O14)+O16/6</f>
        <v>1465.316725013872</v>
      </c>
      <c r="P18" s="17">
        <f>AVERAGE(P9:P14)+P16/6</f>
        <v>3.0527431771122333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7.3820352508264617E-2</v>
      </c>
      <c r="I19" s="13"/>
      <c r="J19" s="12"/>
      <c r="K19" s="10">
        <f>STDEV(K9:K14)/SQRT(COUNT(K9:K14))</f>
        <v>18.455088127066158</v>
      </c>
      <c r="L19" s="10">
        <f>STDEV(L9:L14)/SQRT(COUNT(L9:L14))</f>
        <v>181.64456817978498</v>
      </c>
      <c r="M19" s="11">
        <f>STDEV(M9:M14)/SQRT(COUNT(M9:M14))</f>
        <v>162.05965845544455</v>
      </c>
      <c r="N19" s="10">
        <f>STDEV(N9:N14)/SQRT(COUNT(N9:N14))</f>
        <v>65.242636146507834</v>
      </c>
      <c r="O19" s="10">
        <f>STDEV(O9:O14)/SQRT(COUNT(O9:O14))</f>
        <v>58.208177852975716</v>
      </c>
      <c r="P19" s="9">
        <f>STDEV(P9:P14)/SQRT(COUNT(P9:P14))</f>
        <v>0.12126703719369945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23B27-D2B4-4F9D-B011-F46D20A715DC}">
  <sheetPr codeName="Sheet22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31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3966.9</v>
      </c>
      <c r="N3" s="51" t="s">
        <v>116</v>
      </c>
      <c r="O3" s="50">
        <f>(L3-(L4+L5))/L3</f>
        <v>4.6308200357962202E-2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1440.1</v>
      </c>
      <c r="N4" s="51" t="s">
        <v>111</v>
      </c>
      <c r="O4" s="50">
        <f>L4/L3</f>
        <v>0.36302906551715441</v>
      </c>
    </row>
    <row r="5" spans="1:18" ht="17.25" thickTop="1" thickBot="1" x14ac:dyDescent="0.25">
      <c r="B5" s="54" t="s">
        <v>110</v>
      </c>
      <c r="C5" s="53">
        <v>0.4284722222222222</v>
      </c>
      <c r="F5" s="49"/>
      <c r="G5" s="49"/>
      <c r="K5" s="51" t="s">
        <v>109</v>
      </c>
      <c r="L5" s="52">
        <v>2343.1</v>
      </c>
      <c r="N5" s="51" t="s">
        <v>108</v>
      </c>
      <c r="O5" s="50">
        <f>L5/L3</f>
        <v>0.59066273412488335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0.97</v>
      </c>
      <c r="F9" s="31">
        <v>1.17</v>
      </c>
      <c r="G9" s="26"/>
      <c r="H9" s="26">
        <f>SUM(E9:G9)</f>
        <v>2.1399999999999997</v>
      </c>
      <c r="I9" s="38"/>
      <c r="K9" s="24">
        <f>H9/D9*1000</f>
        <v>534.99999999999989</v>
      </c>
      <c r="L9" s="24">
        <f>K9/1.016*10</f>
        <v>5265.7480314960612</v>
      </c>
      <c r="M9" s="23">
        <f>L9/1.12085</f>
        <v>4697.9952995459353</v>
      </c>
      <c r="N9" s="22">
        <f>L9*$O$4</f>
        <v>1911.6195871228106</v>
      </c>
      <c r="O9" s="22">
        <f>M9*$O$4</f>
        <v>1705.5088433981448</v>
      </c>
      <c r="P9" s="21">
        <f>O9/480</f>
        <v>3.553143423746135</v>
      </c>
    </row>
    <row r="10" spans="1:18" ht="13.5" thickBot="1" x14ac:dyDescent="0.25">
      <c r="C10" s="37">
        <v>4</v>
      </c>
      <c r="D10" s="37">
        <v>4</v>
      </c>
      <c r="E10" s="31">
        <v>1.1100000000000001</v>
      </c>
      <c r="F10" s="31">
        <v>0.83</v>
      </c>
      <c r="G10" s="26"/>
      <c r="H10" s="26">
        <f>SUM(E10:G10)</f>
        <v>1.94</v>
      </c>
      <c r="I10" s="38"/>
      <c r="K10" s="24">
        <f>H10/D10*1000</f>
        <v>485</v>
      </c>
      <c r="L10" s="24">
        <f>K10/1.016*10</f>
        <v>4773.6220472440946</v>
      </c>
      <c r="M10" s="23">
        <f>L10/1.12085</f>
        <v>4258.9303182799613</v>
      </c>
      <c r="N10" s="22">
        <f>L10*$O$4</f>
        <v>1732.9635509431091</v>
      </c>
      <c r="O10" s="22">
        <f>M10*$O$4</f>
        <v>1546.1154935478514</v>
      </c>
      <c r="P10" s="21">
        <f>O10/480</f>
        <v>3.2210739448913572</v>
      </c>
    </row>
    <row r="11" spans="1:18" ht="13.5" thickBot="1" x14ac:dyDescent="0.25">
      <c r="C11" s="37">
        <v>5</v>
      </c>
      <c r="D11" s="37">
        <v>4</v>
      </c>
      <c r="E11" s="31">
        <v>1.04</v>
      </c>
      <c r="F11" s="31">
        <v>1.17</v>
      </c>
      <c r="G11" s="26"/>
      <c r="H11" s="26">
        <f>SUM(E11:G11)</f>
        <v>2.21</v>
      </c>
      <c r="I11" s="38"/>
      <c r="K11" s="24">
        <f>H11/D11*1000</f>
        <v>552.5</v>
      </c>
      <c r="L11" s="24">
        <f>K11/1.016*10</f>
        <v>5437.9921259842522</v>
      </c>
      <c r="M11" s="23">
        <f>L11/1.12085</f>
        <v>4851.6680429890284</v>
      </c>
      <c r="N11" s="22">
        <f>L11*$O$4</f>
        <v>1974.149199785707</v>
      </c>
      <c r="O11" s="22">
        <f>M11*$O$4</f>
        <v>1761.2965158457484</v>
      </c>
      <c r="P11" s="21">
        <f>O11/480</f>
        <v>3.6693677413453094</v>
      </c>
    </row>
    <row r="12" spans="1:18" ht="13.5" thickBot="1" x14ac:dyDescent="0.25">
      <c r="C12" s="37">
        <v>6</v>
      </c>
      <c r="D12" s="37">
        <v>4</v>
      </c>
      <c r="E12" s="31">
        <v>0.88</v>
      </c>
      <c r="F12" s="31">
        <v>0.64</v>
      </c>
      <c r="G12" s="26">
        <v>0.79</v>
      </c>
      <c r="H12" s="26">
        <f>SUM(E12:G12)</f>
        <v>2.31</v>
      </c>
      <c r="I12" s="38"/>
      <c r="K12" s="24">
        <f>H12/D12*1000</f>
        <v>577.5</v>
      </c>
      <c r="L12" s="24">
        <f>K12/1.016*10</f>
        <v>5684.0551181102364</v>
      </c>
      <c r="M12" s="23">
        <f>L12/1.12085</f>
        <v>5071.2005336220163</v>
      </c>
      <c r="N12" s="22">
        <f>L12*$O$4</f>
        <v>2063.4772178755579</v>
      </c>
      <c r="O12" s="22">
        <f>M12*$O$4</f>
        <v>1840.9931907708954</v>
      </c>
      <c r="P12" s="21">
        <f>O12/480</f>
        <v>3.8354024807726987</v>
      </c>
    </row>
    <row r="13" spans="1:18" ht="13.5" thickBot="1" x14ac:dyDescent="0.25">
      <c r="C13" s="37">
        <v>7</v>
      </c>
      <c r="D13" s="37">
        <v>4</v>
      </c>
      <c r="E13" s="31">
        <v>0.71</v>
      </c>
      <c r="F13" s="31">
        <v>1.28</v>
      </c>
      <c r="G13" s="26">
        <v>0.35</v>
      </c>
      <c r="H13" s="26">
        <f>SUM(E13:G13)</f>
        <v>2.34</v>
      </c>
      <c r="I13" s="38"/>
      <c r="K13" s="24">
        <f>H13/D13*1000</f>
        <v>585</v>
      </c>
      <c r="L13" s="24">
        <f>K13/1.016*10</f>
        <v>5757.8740157480315</v>
      </c>
      <c r="M13" s="23">
        <f>L13/1.12085</f>
        <v>5137.060280811912</v>
      </c>
      <c r="N13" s="22">
        <f>L13*$O$4</f>
        <v>2090.2756233025129</v>
      </c>
      <c r="O13" s="22">
        <f>M13*$O$4</f>
        <v>1864.9021932484393</v>
      </c>
      <c r="P13" s="21">
        <f>O13/480</f>
        <v>3.885212902600915</v>
      </c>
    </row>
    <row r="14" spans="1:18" ht="13.5" thickBot="1" x14ac:dyDescent="0.25">
      <c r="C14" s="37">
        <v>8</v>
      </c>
      <c r="D14" s="37">
        <v>4</v>
      </c>
      <c r="E14" s="31">
        <v>0.95</v>
      </c>
      <c r="F14" s="31">
        <v>0.52</v>
      </c>
      <c r="G14" s="26">
        <v>0.84</v>
      </c>
      <c r="H14" s="26">
        <f>SUM(E14:G14)</f>
        <v>2.31</v>
      </c>
      <c r="I14" s="38"/>
      <c r="K14" s="24">
        <f>H14/D14*1000</f>
        <v>577.5</v>
      </c>
      <c r="L14" s="24">
        <f>K14/1.016*10</f>
        <v>5684.0551181102364</v>
      </c>
      <c r="M14" s="23">
        <f>L14/1.12085</f>
        <v>5071.2005336220163</v>
      </c>
      <c r="N14" s="22">
        <f>L14*$O$4</f>
        <v>2063.4772178755579</v>
      </c>
      <c r="O14" s="22">
        <f>M14*$O$4</f>
        <v>1840.9931907708954</v>
      </c>
      <c r="P14" s="21">
        <f>O14/480</f>
        <v>3.8354024807726987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13.25</v>
      </c>
      <c r="I18" s="13"/>
      <c r="J18" s="12"/>
      <c r="K18" s="17">
        <f>AVERAGE(K9:K14)+K16/6</f>
        <v>552.08333333333337</v>
      </c>
      <c r="L18" s="17">
        <f>AVERAGE(L9:L14)+L16/6</f>
        <v>5433.8910761154848</v>
      </c>
      <c r="M18" s="19">
        <f>AVERAGE(M9:M14)+M16/6</f>
        <v>4848.0091681451449</v>
      </c>
      <c r="N18" s="18">
        <f>AVERAGE(N9:N14)+N16/6</f>
        <v>1972.6603994842089</v>
      </c>
      <c r="O18" s="18">
        <f>AVERAGE(O9:O14)+O16/6</f>
        <v>1759.9682379303292</v>
      </c>
      <c r="P18" s="17">
        <f>AVERAGE(P9:P14)+P16/6</f>
        <v>3.6666004956881859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6.1828616172269132E-2</v>
      </c>
      <c r="I19" s="13"/>
      <c r="J19" s="12"/>
      <c r="K19" s="10">
        <f>STDEV(K9:K14)/SQRT(COUNT(K9:K14))</f>
        <v>15.457154043067282</v>
      </c>
      <c r="L19" s="10">
        <f>STDEV(L9:L14)/SQRT(COUNT(L9:L14))</f>
        <v>152.13734294357567</v>
      </c>
      <c r="M19" s="11">
        <f>STDEV(M9:M14)/SQRT(COUNT(M9:M14))</f>
        <v>135.73390100689272</v>
      </c>
      <c r="N19" s="10">
        <f>STDEV(N9:N14)/SQRT(COUNT(N9:N14))</f>
        <v>55.230277439069113</v>
      </c>
      <c r="O19" s="10">
        <f>STDEV(O9:O14)/SQRT(COUNT(O9:O14))</f>
        <v>49.275351241530203</v>
      </c>
      <c r="P19" s="9">
        <f>STDEV(P9:P14)/SQRT(COUNT(P9:P14))</f>
        <v>0.10265698175318788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678B9D-7BE4-486E-8DB1-07886C20DB32}">
  <sheetPr codeName="Sheet23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32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2309.3000000000002</v>
      </c>
      <c r="N3" s="51" t="s">
        <v>116</v>
      </c>
      <c r="O3" s="50">
        <f>(L3-(L4+L5))/L3</f>
        <v>4.2610314814013138E-2</v>
      </c>
    </row>
    <row r="4" spans="1:18" ht="17.25" thickTop="1" thickBot="1" x14ac:dyDescent="0.25">
      <c r="B4" s="54" t="s">
        <v>115</v>
      </c>
      <c r="C4" s="56">
        <v>39392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828.8</v>
      </c>
      <c r="N4" s="51" t="s">
        <v>111</v>
      </c>
      <c r="O4" s="50">
        <f>L4/L3</f>
        <v>0.35889663534404359</v>
      </c>
    </row>
    <row r="5" spans="1:18" ht="17.25" thickTop="1" thickBot="1" x14ac:dyDescent="0.25">
      <c r="B5" s="54" t="s">
        <v>110</v>
      </c>
      <c r="C5" s="53">
        <v>0.42777777777777781</v>
      </c>
      <c r="F5" s="49"/>
      <c r="G5" s="49"/>
      <c r="K5" s="51" t="s">
        <v>109</v>
      </c>
      <c r="L5" s="52">
        <v>1382.1</v>
      </c>
      <c r="N5" s="51" t="s">
        <v>108</v>
      </c>
      <c r="O5" s="50">
        <f>L5/L3</f>
        <v>0.5984930498419434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1.25</v>
      </c>
      <c r="F9" s="31">
        <v>1.1100000000000001</v>
      </c>
      <c r="G9" s="26"/>
      <c r="H9" s="26">
        <f>SUM(E9:G9)</f>
        <v>2.3600000000000003</v>
      </c>
      <c r="I9" s="38"/>
      <c r="K9" s="24">
        <f>H9/D9*1000</f>
        <v>590.00000000000011</v>
      </c>
      <c r="L9" s="24">
        <f>K9/1.016*10</f>
        <v>5807.0866141732295</v>
      </c>
      <c r="M9" s="23">
        <f>L9/1.12085</f>
        <v>5180.9667789385112</v>
      </c>
      <c r="N9" s="22">
        <f>L9*$O$4</f>
        <v>2084.1438469782065</v>
      </c>
      <c r="O9" s="22">
        <f>M9*$O$4</f>
        <v>1859.4315447902989</v>
      </c>
      <c r="P9" s="21">
        <f>O9/480</f>
        <v>3.8738157183131228</v>
      </c>
    </row>
    <row r="10" spans="1:18" ht="13.5" thickBot="1" x14ac:dyDescent="0.25">
      <c r="C10" s="37">
        <v>4</v>
      </c>
      <c r="D10" s="37">
        <v>4</v>
      </c>
      <c r="E10" s="31">
        <v>1.34</v>
      </c>
      <c r="F10" s="31">
        <v>0.77</v>
      </c>
      <c r="G10" s="26"/>
      <c r="H10" s="26">
        <f>SUM(E10:G10)</f>
        <v>2.1100000000000003</v>
      </c>
      <c r="I10" s="38"/>
      <c r="K10" s="24">
        <f>H10/D10*1000</f>
        <v>527.50000000000011</v>
      </c>
      <c r="L10" s="24">
        <f>K10/1.016*10</f>
        <v>5191.929133858268</v>
      </c>
      <c r="M10" s="23">
        <f>L10/1.12085</f>
        <v>4632.1355523560405</v>
      </c>
      <c r="N10" s="22">
        <f>L10*$O$4</f>
        <v>1863.3658970864469</v>
      </c>
      <c r="O10" s="22">
        <f>M10*$O$4</f>
        <v>1662.4578641981059</v>
      </c>
      <c r="P10" s="21">
        <f>O10/480</f>
        <v>3.463453883746054</v>
      </c>
    </row>
    <row r="11" spans="1:18" ht="13.5" thickBot="1" x14ac:dyDescent="0.25">
      <c r="C11" s="37">
        <v>5</v>
      </c>
      <c r="D11" s="37">
        <v>4</v>
      </c>
      <c r="E11" s="31">
        <v>1.05</v>
      </c>
      <c r="F11" s="31">
        <v>1.06</v>
      </c>
      <c r="G11" s="26"/>
      <c r="H11" s="26">
        <f>SUM(E11:G11)</f>
        <v>2.1100000000000003</v>
      </c>
      <c r="I11" s="38"/>
      <c r="K11" s="24">
        <f>H11/D11*1000</f>
        <v>527.50000000000011</v>
      </c>
      <c r="L11" s="24">
        <f>K11/1.016*10</f>
        <v>5191.929133858268</v>
      </c>
      <c r="M11" s="23">
        <f>L11/1.12085</f>
        <v>4632.1355523560405</v>
      </c>
      <c r="N11" s="22">
        <f>L11*$O$4</f>
        <v>1863.3658970864469</v>
      </c>
      <c r="O11" s="22">
        <f>M11*$O$4</f>
        <v>1662.4578641981059</v>
      </c>
      <c r="P11" s="21">
        <f>O11/480</f>
        <v>3.463453883746054</v>
      </c>
    </row>
    <row r="12" spans="1:18" ht="13.5" thickBot="1" x14ac:dyDescent="0.25">
      <c r="C12" s="37">
        <v>6</v>
      </c>
      <c r="D12" s="37">
        <v>4</v>
      </c>
      <c r="E12" s="31">
        <v>1.1599999999999999</v>
      </c>
      <c r="F12" s="31">
        <v>1.17</v>
      </c>
      <c r="G12" s="26"/>
      <c r="H12" s="26">
        <f>SUM(E12:G12)</f>
        <v>2.33</v>
      </c>
      <c r="I12" s="38"/>
      <c r="K12" s="24">
        <f>H12/D12*1000</f>
        <v>582.5</v>
      </c>
      <c r="L12" s="24">
        <f>K12/1.016*10</f>
        <v>5733.2677165354335</v>
      </c>
      <c r="M12" s="23">
        <f>L12/1.12085</f>
        <v>5115.1070317486137</v>
      </c>
      <c r="N12" s="22">
        <f>L12*$O$4</f>
        <v>2057.6504929911948</v>
      </c>
      <c r="O12" s="22">
        <f>M12*$O$4</f>
        <v>1835.7947031192355</v>
      </c>
      <c r="P12" s="21">
        <f>O12/480</f>
        <v>3.8245722981650738</v>
      </c>
    </row>
    <row r="13" spans="1:18" ht="13.5" thickBot="1" x14ac:dyDescent="0.25">
      <c r="C13" s="37">
        <v>7</v>
      </c>
      <c r="D13" s="37">
        <v>4</v>
      </c>
      <c r="E13" s="31">
        <v>1.33</v>
      </c>
      <c r="F13" s="31">
        <v>0.64</v>
      </c>
      <c r="G13" s="26"/>
      <c r="H13" s="26">
        <f>SUM(E13:G13)</f>
        <v>1.9700000000000002</v>
      </c>
      <c r="I13" s="38"/>
      <c r="K13" s="24">
        <f>H13/D13*1000</f>
        <v>492.50000000000006</v>
      </c>
      <c r="L13" s="24">
        <f>K13/1.016*10</f>
        <v>4847.4409448818906</v>
      </c>
      <c r="M13" s="23">
        <f>L13/1.12085</f>
        <v>4324.7900654698587</v>
      </c>
      <c r="N13" s="22">
        <f>L13*$O$4</f>
        <v>1739.7302451470621</v>
      </c>
      <c r="O13" s="22">
        <f>M13*$O$4</f>
        <v>1552.1526030664784</v>
      </c>
      <c r="P13" s="21">
        <f>O13/480</f>
        <v>3.2336512563884967</v>
      </c>
    </row>
    <row r="14" spans="1:18" ht="13.5" thickBot="1" x14ac:dyDescent="0.25">
      <c r="C14" s="37">
        <v>8</v>
      </c>
      <c r="D14" s="37">
        <v>4</v>
      </c>
      <c r="E14" s="31">
        <v>1.79</v>
      </c>
      <c r="F14" s="31"/>
      <c r="G14" s="26"/>
      <c r="H14" s="26">
        <f>SUM(E14:G14)</f>
        <v>1.79</v>
      </c>
      <c r="I14" s="38"/>
      <c r="K14" s="24">
        <f>H14/D14*1000</f>
        <v>447.5</v>
      </c>
      <c r="L14" s="24">
        <f>K14/1.016*10</f>
        <v>4404.5275590551182</v>
      </c>
      <c r="M14" s="23">
        <f>L14/1.12085</f>
        <v>3929.6315823304799</v>
      </c>
      <c r="N14" s="22">
        <f>L14*$O$4</f>
        <v>1580.7701212249951</v>
      </c>
      <c r="O14" s="22">
        <f>M14*$O$4</f>
        <v>1410.3315530400992</v>
      </c>
      <c r="P14" s="21">
        <f>O14/480</f>
        <v>2.9381907355002066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12.670000000000002</v>
      </c>
      <c r="I18" s="13"/>
      <c r="J18" s="12"/>
      <c r="K18" s="17">
        <f>AVERAGE(K9:K14)+K16/6</f>
        <v>527.91666666666674</v>
      </c>
      <c r="L18" s="17">
        <f>AVERAGE(L9:L14)+L16/6</f>
        <v>5196.0301837270345</v>
      </c>
      <c r="M18" s="19">
        <f>AVERAGE(M9:M14)+M16/6</f>
        <v>4635.794427199924</v>
      </c>
      <c r="N18" s="18">
        <f>AVERAGE(N9:N14)+N16/6</f>
        <v>1864.8377500857257</v>
      </c>
      <c r="O18" s="18">
        <f>AVERAGE(O9:O14)+O16/6</f>
        <v>1663.7710220687206</v>
      </c>
      <c r="P18" s="17">
        <f>AVERAGE(P9:P14)+P16/6</f>
        <v>3.4661896293098349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8.8106627320410927E-2</v>
      </c>
      <c r="I19" s="13"/>
      <c r="J19" s="12"/>
      <c r="K19" s="10">
        <f>STDEV(K9:K14)/SQRT(COUNT(K9:K14))</f>
        <v>22.026656830102734</v>
      </c>
      <c r="L19" s="10">
        <f>STDEV(L9:L14)/SQRT(COUNT(L9:L14))</f>
        <v>216.79780344589307</v>
      </c>
      <c r="M19" s="11">
        <f>STDEV(M9:M14)/SQRT(COUNT(M9:M14))</f>
        <v>193.42267336922259</v>
      </c>
      <c r="N19" s="10">
        <f>STDEV(N9:N14)/SQRT(COUNT(N9:N14))</f>
        <v>77.808002206710327</v>
      </c>
      <c r="O19" s="10">
        <f>STDEV(O9:O14)/SQRT(COUNT(O9:O14))</f>
        <v>69.418746671463936</v>
      </c>
      <c r="P19" s="9">
        <f>STDEV(P9:P14)/SQRT(COUNT(P9:P14))</f>
        <v>0.14462238889888318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A99B2-6A3A-497A-A1A7-1F02A851C8D6}">
  <sheetPr codeName="Sheet24">
    <pageSetUpPr fitToPage="1"/>
  </sheetPr>
  <dimension ref="A1:R22"/>
  <sheetViews>
    <sheetView topLeftCell="E1" workbookViewId="0">
      <selection activeCell="N6" sqref="N6:P6"/>
    </sheetView>
  </sheetViews>
  <sheetFormatPr defaultRowHeight="12.75" x14ac:dyDescent="0.2"/>
  <cols>
    <col min="1" max="8" width="9.140625" style="8"/>
    <col min="9" max="9" width="11.28515625" style="8" customWidth="1"/>
    <col min="10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33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39380</v>
      </c>
      <c r="I3" s="57"/>
      <c r="K3" s="51" t="s">
        <v>117</v>
      </c>
      <c r="L3" s="52">
        <v>2583.1999999999998</v>
      </c>
      <c r="N3" s="51" t="s">
        <v>116</v>
      </c>
      <c r="O3" s="50">
        <f>(L3-(L4+L5))/L3</f>
        <v>3.8092288634251951E-2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930.1</v>
      </c>
      <c r="N4" s="51" t="s">
        <v>111</v>
      </c>
      <c r="O4" s="50">
        <f>L4/L3</f>
        <v>0.36005729327965319</v>
      </c>
    </row>
    <row r="5" spans="1:18" ht="17.25" thickTop="1" thickBot="1" x14ac:dyDescent="0.25">
      <c r="B5" s="54" t="s">
        <v>110</v>
      </c>
      <c r="C5" s="53">
        <v>0.65069444444444446</v>
      </c>
      <c r="F5" s="49"/>
      <c r="G5" s="49"/>
      <c r="K5" s="51" t="s">
        <v>109</v>
      </c>
      <c r="L5" s="52">
        <v>1554.7</v>
      </c>
      <c r="N5" s="51" t="s">
        <v>108</v>
      </c>
      <c r="O5" s="50">
        <f>L5/L3</f>
        <v>0.60185041808609485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0.92</v>
      </c>
      <c r="F9" s="31">
        <v>0.95</v>
      </c>
      <c r="G9" s="26"/>
      <c r="H9" s="26">
        <f>SUM(E9:G9)</f>
        <v>1.87</v>
      </c>
      <c r="I9" s="38"/>
      <c r="K9" s="24">
        <f>H9/D9*1000</f>
        <v>467.5</v>
      </c>
      <c r="L9" s="24">
        <f>K9/1.016*10</f>
        <v>4601.3779527559054</v>
      </c>
      <c r="M9" s="23">
        <f>L9/1.12085</f>
        <v>4105.2575748368699</v>
      </c>
      <c r="N9" s="22">
        <f>L9*$O$4</f>
        <v>1656.7596910259633</v>
      </c>
      <c r="O9" s="22">
        <f>M9*$O$4</f>
        <v>1478.1279306115566</v>
      </c>
      <c r="P9" s="21">
        <f>O9/480</f>
        <v>3.0794331887740762</v>
      </c>
    </row>
    <row r="10" spans="1:18" ht="13.5" thickBot="1" x14ac:dyDescent="0.25">
      <c r="C10" s="37">
        <v>4</v>
      </c>
      <c r="D10" s="37">
        <v>4</v>
      </c>
      <c r="E10" s="31">
        <v>1.79</v>
      </c>
      <c r="F10" s="31"/>
      <c r="G10" s="26"/>
      <c r="H10" s="26">
        <f>SUM(E10:G10)</f>
        <v>1.79</v>
      </c>
      <c r="I10" s="38"/>
      <c r="K10" s="24">
        <f>H10/D10*1000</f>
        <v>447.5</v>
      </c>
      <c r="L10" s="24">
        <f>K10/1.016*10</f>
        <v>4404.5275590551182</v>
      </c>
      <c r="M10" s="23">
        <f>L10/1.12085</f>
        <v>3929.6315823304799</v>
      </c>
      <c r="N10" s="22">
        <f>L10*$O$4</f>
        <v>1585.8822710890238</v>
      </c>
      <c r="O10" s="22">
        <f>M10*$O$4</f>
        <v>1414.8925111201531</v>
      </c>
      <c r="P10" s="21">
        <f>O10/480</f>
        <v>2.947692731500319</v>
      </c>
    </row>
    <row r="11" spans="1:18" ht="13.5" thickBot="1" x14ac:dyDescent="0.25">
      <c r="C11" s="37">
        <v>5</v>
      </c>
      <c r="D11" s="37">
        <v>4</v>
      </c>
      <c r="E11" s="31">
        <v>1.59</v>
      </c>
      <c r="F11" s="31"/>
      <c r="G11" s="26"/>
      <c r="H11" s="26">
        <f>SUM(E11:G11)</f>
        <v>1.59</v>
      </c>
      <c r="I11" s="38"/>
      <c r="K11" s="24">
        <f>H11/D11*1000</f>
        <v>397.5</v>
      </c>
      <c r="L11" s="24">
        <f>K11/1.016*10</f>
        <v>3912.4015748031497</v>
      </c>
      <c r="M11" s="23">
        <f>L11/1.12085</f>
        <v>3490.5666010645045</v>
      </c>
      <c r="N11" s="22">
        <f>L11*$O$4</f>
        <v>1408.6887212466747</v>
      </c>
      <c r="O11" s="22">
        <f>M11*$O$4</f>
        <v>1256.8039623916445</v>
      </c>
      <c r="P11" s="21">
        <f>O11/480</f>
        <v>2.6183415883159262</v>
      </c>
    </row>
    <row r="12" spans="1:18" ht="13.5" thickBot="1" x14ac:dyDescent="0.25">
      <c r="C12" s="37">
        <v>6</v>
      </c>
      <c r="D12" s="37">
        <v>4</v>
      </c>
      <c r="E12" s="31">
        <v>0.98</v>
      </c>
      <c r="F12" s="31">
        <v>1.01</v>
      </c>
      <c r="G12" s="26"/>
      <c r="H12" s="26">
        <f>SUM(E12:G12)</f>
        <v>1.99</v>
      </c>
      <c r="I12" s="38"/>
      <c r="K12" s="24">
        <f>H12/D12*1000</f>
        <v>497.5</v>
      </c>
      <c r="L12" s="24">
        <f>K12/1.016*10</f>
        <v>4896.6535433070867</v>
      </c>
      <c r="M12" s="23">
        <f>L12/1.12085</f>
        <v>4368.6965635964552</v>
      </c>
      <c r="N12" s="22">
        <f>L12*$O$4</f>
        <v>1763.0758209313726</v>
      </c>
      <c r="O12" s="22">
        <f>M12*$O$4</f>
        <v>1572.981059848662</v>
      </c>
      <c r="P12" s="21">
        <f>O12/480</f>
        <v>3.2770438746847126</v>
      </c>
    </row>
    <row r="13" spans="1:18" ht="13.5" thickBot="1" x14ac:dyDescent="0.25">
      <c r="C13" s="37">
        <v>7</v>
      </c>
      <c r="D13" s="37">
        <v>4</v>
      </c>
      <c r="E13" s="31">
        <v>1.47</v>
      </c>
      <c r="F13" s="31">
        <v>0.61</v>
      </c>
      <c r="G13" s="26"/>
      <c r="H13" s="26">
        <f>SUM(E13:G13)</f>
        <v>2.08</v>
      </c>
      <c r="I13" s="38"/>
      <c r="K13" s="24">
        <f>H13/D13*1000</f>
        <v>520</v>
      </c>
      <c r="L13" s="24">
        <f>K13/1.016*10</f>
        <v>5118.110236220472</v>
      </c>
      <c r="M13" s="23">
        <f>L13/1.12085</f>
        <v>4566.275805166144</v>
      </c>
      <c r="N13" s="22">
        <f>L13*$O$4</f>
        <v>1842.8129183604296</v>
      </c>
      <c r="O13" s="22">
        <f>M13*$O$4</f>
        <v>1644.1209067764908</v>
      </c>
      <c r="P13" s="21">
        <f>O13/480</f>
        <v>3.4252518891176891</v>
      </c>
    </row>
    <row r="14" spans="1:18" ht="13.5" thickBot="1" x14ac:dyDescent="0.25">
      <c r="C14" s="37">
        <v>8</v>
      </c>
      <c r="D14" s="37">
        <v>4</v>
      </c>
      <c r="E14" s="31">
        <v>1.79</v>
      </c>
      <c r="F14" s="31"/>
      <c r="G14" s="26"/>
      <c r="H14" s="26">
        <f>SUM(E14:G14)</f>
        <v>1.79</v>
      </c>
      <c r="I14" s="38" t="s">
        <v>125</v>
      </c>
      <c r="K14" s="24">
        <f>H14/D14*1000</f>
        <v>447.5</v>
      </c>
      <c r="L14" s="24">
        <f>K14/1.016*10</f>
        <v>4404.5275590551182</v>
      </c>
      <c r="M14" s="23">
        <f>L14/1.12085</f>
        <v>3929.6315823304799</v>
      </c>
      <c r="N14" s="22">
        <f>L14*$O$4</f>
        <v>1585.8822710890238</v>
      </c>
      <c r="O14" s="22">
        <f>M14*$O$4</f>
        <v>1414.8925111201531</v>
      </c>
      <c r="P14" s="21">
        <f>O14/480</f>
        <v>2.947692731500319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11.11</v>
      </c>
      <c r="I18" s="13"/>
      <c r="J18" s="12"/>
      <c r="K18" s="17">
        <f>AVERAGE(K9:K14)+K16/6</f>
        <v>462.91666666666669</v>
      </c>
      <c r="L18" s="17">
        <f>AVERAGE(L9:L14)+L16/6</f>
        <v>4556.2664041994749</v>
      </c>
      <c r="M18" s="19">
        <f>AVERAGE(M9:M14)+M16/6</f>
        <v>4065.0099515541556</v>
      </c>
      <c r="N18" s="18">
        <f>AVERAGE(N9:N14)+N16/6</f>
        <v>1640.516948957081</v>
      </c>
      <c r="O18" s="18">
        <f>AVERAGE(O9:O14)+O16/6</f>
        <v>1463.6364803114436</v>
      </c>
      <c r="P18" s="17">
        <f>AVERAGE(P9:P14)+P16/6</f>
        <v>3.0492426673155073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7.0162509773936815E-2</v>
      </c>
      <c r="I19" s="13"/>
      <c r="J19" s="12"/>
      <c r="K19" s="10">
        <f>STDEV(K9:K14)/SQRT(COUNT(K9:K14))</f>
        <v>17.540627443484205</v>
      </c>
      <c r="L19" s="10">
        <f>STDEV(L9:L14)/SQRT(COUNT(L9:L14))</f>
        <v>172.64397090043499</v>
      </c>
      <c r="M19" s="11">
        <f>STDEV(M9:M14)/SQRT(COUNT(M9:M14))</f>
        <v>154.02950519733687</v>
      </c>
      <c r="N19" s="10">
        <f>STDEV(N9:N14)/SQRT(COUNT(N9:N14))</f>
        <v>62.161720863461824</v>
      </c>
      <c r="O19" s="10">
        <f>STDEV(O9:O14)/SQRT(COUNT(O9:O14))</f>
        <v>55.459446726557388</v>
      </c>
      <c r="P19" s="9">
        <f>STDEV(P9:P14)/SQRT(COUNT(P9:P14))</f>
        <v>0.11554051401366122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C4186-DDC7-4E73-A32E-02DF19152E01}">
  <sheetPr codeName="Sheet25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34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126</v>
      </c>
      <c r="L3" s="52">
        <v>2700</v>
      </c>
      <c r="N3" s="51" t="s">
        <v>116</v>
      </c>
      <c r="O3" s="50">
        <f>(L3-(L4+L5))/L3</f>
        <v>4.0370370370370369E-2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966.6</v>
      </c>
      <c r="N4" s="51" t="s">
        <v>111</v>
      </c>
      <c r="O4" s="50">
        <f>L4/L3</f>
        <v>0.35799999999999998</v>
      </c>
    </row>
    <row r="5" spans="1:18" ht="17.25" thickTop="1" thickBot="1" x14ac:dyDescent="0.25">
      <c r="B5" s="54" t="s">
        <v>110</v>
      </c>
      <c r="C5" s="53">
        <v>0.5541666666666667</v>
      </c>
      <c r="F5" s="49"/>
      <c r="G5" s="49"/>
      <c r="K5" s="51" t="s">
        <v>109</v>
      </c>
      <c r="L5" s="52">
        <v>1624.4</v>
      </c>
      <c r="N5" s="51" t="s">
        <v>108</v>
      </c>
      <c r="O5" s="50">
        <f>L5/L3</f>
        <v>0.60162962962962963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0.43</v>
      </c>
      <c r="F9" s="31">
        <v>1.04</v>
      </c>
      <c r="G9" s="26">
        <v>0.74</v>
      </c>
      <c r="H9" s="26">
        <f>SUM(E9:G9)</f>
        <v>2.21</v>
      </c>
      <c r="I9" s="38"/>
      <c r="K9" s="24">
        <f>H9/D9*1000</f>
        <v>552.5</v>
      </c>
      <c r="L9" s="24">
        <f>K9/1.016*10</f>
        <v>5437.9921259842522</v>
      </c>
      <c r="M9" s="23">
        <f>L9/1.12085</f>
        <v>4851.6680429890284</v>
      </c>
      <c r="N9" s="22">
        <f>L9*$O$4</f>
        <v>1946.8011811023623</v>
      </c>
      <c r="O9" s="22">
        <f>M9*$O$4</f>
        <v>1736.8971593900721</v>
      </c>
      <c r="P9" s="21">
        <f>O9/480</f>
        <v>3.6185357487293168</v>
      </c>
    </row>
    <row r="10" spans="1:18" ht="13.5" thickBot="1" x14ac:dyDescent="0.25">
      <c r="C10" s="37">
        <v>4</v>
      </c>
      <c r="D10" s="37">
        <v>4</v>
      </c>
      <c r="E10" s="31">
        <v>0.78</v>
      </c>
      <c r="F10" s="31">
        <v>0.99</v>
      </c>
      <c r="G10" s="26">
        <v>0.28000000000000003</v>
      </c>
      <c r="H10" s="26">
        <f>SUM(E10:G10)</f>
        <v>2.0499999999999998</v>
      </c>
      <c r="I10" s="38"/>
      <c r="K10" s="24">
        <f>H10/D10*1000</f>
        <v>512.5</v>
      </c>
      <c r="L10" s="24">
        <f>K10/1.016*10</f>
        <v>5044.2913385826778</v>
      </c>
      <c r="M10" s="23">
        <f>L10/1.12085</f>
        <v>4500.4160579762483</v>
      </c>
      <c r="N10" s="22">
        <f>L10*$O$4</f>
        <v>1805.8562992125985</v>
      </c>
      <c r="O10" s="22">
        <f>M10*$O$4</f>
        <v>1611.1489487554968</v>
      </c>
      <c r="P10" s="21">
        <f>O10/480</f>
        <v>3.3565603099072852</v>
      </c>
    </row>
    <row r="11" spans="1:18" ht="13.5" thickBot="1" x14ac:dyDescent="0.25">
      <c r="C11" s="37">
        <v>5</v>
      </c>
      <c r="D11" s="37">
        <v>4</v>
      </c>
      <c r="E11" s="31">
        <v>1.2</v>
      </c>
      <c r="F11" s="31">
        <v>0.91</v>
      </c>
      <c r="G11" s="26"/>
      <c r="H11" s="26">
        <f>SUM(E11:G11)</f>
        <v>2.11</v>
      </c>
      <c r="I11" s="38"/>
      <c r="K11" s="24">
        <f>H11/D11*1000</f>
        <v>527.5</v>
      </c>
      <c r="L11" s="24">
        <f>K11/1.016*10</f>
        <v>5191.9291338582671</v>
      </c>
      <c r="M11" s="23">
        <f>L11/1.12085</f>
        <v>4632.1355523560396</v>
      </c>
      <c r="N11" s="22">
        <f>L11*$O$4</f>
        <v>1858.7106299212596</v>
      </c>
      <c r="O11" s="22">
        <f>M11*$O$4</f>
        <v>1658.3045277434621</v>
      </c>
      <c r="P11" s="21">
        <f>O11/480</f>
        <v>3.4548010994655463</v>
      </c>
    </row>
    <row r="12" spans="1:18" ht="13.5" thickBot="1" x14ac:dyDescent="0.25">
      <c r="C12" s="37">
        <v>6</v>
      </c>
      <c r="D12" s="37">
        <v>4</v>
      </c>
      <c r="E12" s="31">
        <v>0.83</v>
      </c>
      <c r="F12" s="31">
        <v>0.87</v>
      </c>
      <c r="G12" s="26">
        <v>0.55000000000000004</v>
      </c>
      <c r="H12" s="26">
        <f>SUM(E12:G12)</f>
        <v>2.25</v>
      </c>
      <c r="I12" s="38"/>
      <c r="K12" s="24">
        <f>H12/D12*1000</f>
        <v>562.5</v>
      </c>
      <c r="L12" s="24">
        <f>K12/1.016*10</f>
        <v>5536.4173228346453</v>
      </c>
      <c r="M12" s="23">
        <f>L12/1.12085</f>
        <v>4939.4810392422232</v>
      </c>
      <c r="N12" s="22">
        <f>L12*$O$4</f>
        <v>1982.037401574803</v>
      </c>
      <c r="O12" s="22">
        <f>M12*$O$4</f>
        <v>1768.3342120487159</v>
      </c>
      <c r="P12" s="21">
        <f>O12/480</f>
        <v>3.684029608434825</v>
      </c>
    </row>
    <row r="13" spans="1:18" ht="13.5" thickBot="1" x14ac:dyDescent="0.25">
      <c r="C13" s="37">
        <v>7</v>
      </c>
      <c r="D13" s="37">
        <v>4</v>
      </c>
      <c r="E13" s="31">
        <v>1.08</v>
      </c>
      <c r="F13" s="31">
        <v>0.97</v>
      </c>
      <c r="G13" s="26"/>
      <c r="H13" s="26">
        <f>SUM(E13:G13)</f>
        <v>2.0499999999999998</v>
      </c>
      <c r="I13" s="38"/>
      <c r="K13" s="24">
        <f>H13/D13*1000</f>
        <v>512.5</v>
      </c>
      <c r="L13" s="24">
        <f>K13/1.016*10</f>
        <v>5044.2913385826778</v>
      </c>
      <c r="M13" s="23">
        <f>L13/1.12085</f>
        <v>4500.4160579762483</v>
      </c>
      <c r="N13" s="22">
        <f>L13*$O$4</f>
        <v>1805.8562992125985</v>
      </c>
      <c r="O13" s="22">
        <f>M13*$O$4</f>
        <v>1611.1489487554968</v>
      </c>
      <c r="P13" s="21">
        <f>O13/480</f>
        <v>3.3565603099072852</v>
      </c>
    </row>
    <row r="14" spans="1:18" ht="13.5" thickBot="1" x14ac:dyDescent="0.25">
      <c r="C14" s="37">
        <v>8</v>
      </c>
      <c r="D14" s="37">
        <v>4</v>
      </c>
      <c r="E14" s="31">
        <v>1.06</v>
      </c>
      <c r="F14" s="31">
        <v>1.05</v>
      </c>
      <c r="G14" s="26"/>
      <c r="H14" s="26">
        <f>SUM(E14:G14)</f>
        <v>2.1100000000000003</v>
      </c>
      <c r="I14" s="38"/>
      <c r="K14" s="24">
        <f>H14/D14*1000</f>
        <v>527.50000000000011</v>
      </c>
      <c r="L14" s="24">
        <f>K14/1.016*10</f>
        <v>5191.929133858268</v>
      </c>
      <c r="M14" s="23">
        <f>L14/1.12085</f>
        <v>4632.1355523560405</v>
      </c>
      <c r="N14" s="22">
        <f>L14*$O$4</f>
        <v>1858.7106299212599</v>
      </c>
      <c r="O14" s="22">
        <f>M14*$O$4</f>
        <v>1658.3045277434624</v>
      </c>
      <c r="P14" s="21">
        <f>O14/480</f>
        <v>3.4548010994655467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12.779999999999998</v>
      </c>
      <c r="I18" s="13"/>
      <c r="J18" s="12"/>
      <c r="K18" s="17">
        <f>AVERAGE(K9:K14)+K16/6</f>
        <v>532.5</v>
      </c>
      <c r="L18" s="17">
        <f>AVERAGE(L9:L14)+L16/6</f>
        <v>5241.141732283465</v>
      </c>
      <c r="M18" s="19">
        <f>AVERAGE(M9:M14)+M16/6</f>
        <v>4676.0420504826388</v>
      </c>
      <c r="N18" s="18">
        <f>AVERAGE(N9:N14)+N16/6</f>
        <v>1876.3287401574801</v>
      </c>
      <c r="O18" s="18">
        <f>AVERAGE(O9:O14)+O16/6</f>
        <v>1674.0230540727844</v>
      </c>
      <c r="P18" s="17">
        <f>AVERAGE(P9:P14)+P16/6</f>
        <v>3.487548029318301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3.3862466931200805E-2</v>
      </c>
      <c r="I19" s="13"/>
      <c r="J19" s="12"/>
      <c r="K19" s="10">
        <f>STDEV(K9:K14)/SQRT(COUNT(K9:K14))</f>
        <v>8.4656167328001946</v>
      </c>
      <c r="L19" s="10">
        <f>STDEV(L9:L14)/SQRT(COUNT(L9:L14))</f>
        <v>83.322999338584509</v>
      </c>
      <c r="M19" s="11">
        <f>STDEV(M9:M14)/SQRT(COUNT(M9:M14))</f>
        <v>74.339117043836879</v>
      </c>
      <c r="N19" s="10">
        <f>STDEV(N9:N14)/SQRT(COUNT(N9:N14))</f>
        <v>29.82963376321327</v>
      </c>
      <c r="O19" s="10">
        <f>STDEV(O9:O14)/SQRT(COUNT(O9:O14))</f>
        <v>26.613403901693623</v>
      </c>
      <c r="P19" s="9">
        <f>STDEV(P9:P14)/SQRT(COUNT(P9:P14))</f>
        <v>5.5444591461861689E-2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349D3-387C-4730-9A2F-33B53AE7D2EC}">
  <sheetPr codeName="Sheet26">
    <pageSetUpPr fitToPage="1"/>
  </sheetPr>
  <dimension ref="A1:R26"/>
  <sheetViews>
    <sheetView topLeftCell="F1" workbookViewId="0">
      <selection activeCell="N6" sqref="N6:P6"/>
    </sheetView>
  </sheetViews>
  <sheetFormatPr defaultRowHeight="12.75" x14ac:dyDescent="0.2"/>
  <cols>
    <col min="1" max="8" width="9.140625" style="8"/>
    <col min="9" max="9" width="26.28515625" style="8" customWidth="1"/>
    <col min="10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35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2536.6</v>
      </c>
      <c r="N3" s="51" t="s">
        <v>116</v>
      </c>
      <c r="O3" s="50">
        <f>(L3-(L4+L5))/L3</f>
        <v>2.9251754316801947E-2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912</v>
      </c>
      <c r="N4" s="51" t="s">
        <v>111</v>
      </c>
      <c r="O4" s="50">
        <f>L4/L3</f>
        <v>0.35953638729007337</v>
      </c>
    </row>
    <row r="5" spans="1:18" ht="17.25" thickTop="1" thickBot="1" x14ac:dyDescent="0.25">
      <c r="B5" s="54" t="s">
        <v>110</v>
      </c>
      <c r="C5" s="53">
        <v>0.61875000000000002</v>
      </c>
      <c r="F5" s="49"/>
      <c r="G5" s="49"/>
      <c r="K5" s="51" t="s">
        <v>109</v>
      </c>
      <c r="L5" s="52">
        <v>1550.4</v>
      </c>
      <c r="N5" s="51" t="s">
        <v>108</v>
      </c>
      <c r="O5" s="50">
        <f>L5/L3</f>
        <v>0.61121185839312475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1.02</v>
      </c>
      <c r="F9" s="31">
        <v>1.1399999999999999</v>
      </c>
      <c r="G9" s="26"/>
      <c r="H9" s="26">
        <f>SUM(E9:G9)</f>
        <v>2.16</v>
      </c>
      <c r="I9" s="38"/>
      <c r="K9" s="24">
        <f>H9/D9*1000</f>
        <v>540</v>
      </c>
      <c r="L9" s="24">
        <f>K9/1.016*10</f>
        <v>5314.9606299212601</v>
      </c>
      <c r="M9" s="23">
        <f>L9/1.12085</f>
        <v>4741.9017976725345</v>
      </c>
      <c r="N9" s="22">
        <f>L9*$O$4</f>
        <v>1910.9217434708626</v>
      </c>
      <c r="O9" s="22">
        <f>M9*$O$4</f>
        <v>1704.8862412194874</v>
      </c>
      <c r="P9" s="21">
        <f>O9/480</f>
        <v>3.5518463358739321</v>
      </c>
    </row>
    <row r="10" spans="1:18" ht="13.5" thickBot="1" x14ac:dyDescent="0.25">
      <c r="C10" s="37">
        <v>4</v>
      </c>
      <c r="D10" s="37">
        <v>4</v>
      </c>
      <c r="E10" s="31">
        <v>1.25</v>
      </c>
      <c r="F10" s="31">
        <v>0.38</v>
      </c>
      <c r="G10" s="26"/>
      <c r="H10" s="26">
        <f>SUM(E10:G10)</f>
        <v>1.63</v>
      </c>
      <c r="I10" s="38"/>
      <c r="K10" s="24">
        <f>H10/D10*1000</f>
        <v>407.5</v>
      </c>
      <c r="L10" s="24">
        <f>K10/1.016*10</f>
        <v>4010.8267716535429</v>
      </c>
      <c r="M10" s="23">
        <f>L10/1.12085</f>
        <v>3578.3795973176993</v>
      </c>
      <c r="N10" s="22">
        <f>L10*$O$4</f>
        <v>1442.0381675266228</v>
      </c>
      <c r="O10" s="22">
        <f>M10*$O$4</f>
        <v>1286.5576727721132</v>
      </c>
      <c r="P10" s="21">
        <f>O10/480</f>
        <v>2.6803284849419025</v>
      </c>
    </row>
    <row r="11" spans="1:18" ht="13.5" thickBot="1" x14ac:dyDescent="0.25">
      <c r="C11" s="37">
        <v>5</v>
      </c>
      <c r="D11" s="37">
        <v>4</v>
      </c>
      <c r="E11" s="31">
        <v>1.1399999999999999</v>
      </c>
      <c r="F11" s="31">
        <v>0.74</v>
      </c>
      <c r="G11" s="26"/>
      <c r="H11" s="26">
        <f>SUM(E11:G11)</f>
        <v>1.88</v>
      </c>
      <c r="I11" s="38"/>
      <c r="K11" s="24">
        <f>H11/D11*1000</f>
        <v>470</v>
      </c>
      <c r="L11" s="24">
        <f>K11/1.016*10</f>
        <v>4625.9842519685035</v>
      </c>
      <c r="M11" s="23">
        <f>L11/1.12085</f>
        <v>4127.2108239001682</v>
      </c>
      <c r="N11" s="22">
        <f>L11*$O$4</f>
        <v>1663.2096656135282</v>
      </c>
      <c r="O11" s="22">
        <f>M11*$O$4</f>
        <v>1483.8824692095536</v>
      </c>
      <c r="P11" s="21">
        <f>O11/480</f>
        <v>3.0914218108532365</v>
      </c>
    </row>
    <row r="12" spans="1:18" ht="13.5" thickBot="1" x14ac:dyDescent="0.25">
      <c r="C12" s="37">
        <v>6</v>
      </c>
      <c r="D12" s="37">
        <v>4</v>
      </c>
      <c r="E12" s="31">
        <v>1.05</v>
      </c>
      <c r="F12" s="31">
        <v>0.45</v>
      </c>
      <c r="G12" s="26"/>
      <c r="H12" s="26">
        <f>SUM(E12:G12)</f>
        <v>1.5</v>
      </c>
      <c r="I12" s="38"/>
      <c r="K12" s="24">
        <f>H12/D12*1000</f>
        <v>375</v>
      </c>
      <c r="L12" s="24">
        <f>K12/1.016*10</f>
        <v>3690.9448818897636</v>
      </c>
      <c r="M12" s="23">
        <f>L12/1.12085</f>
        <v>3292.9873594948153</v>
      </c>
      <c r="N12" s="22">
        <f>L12*$O$4</f>
        <v>1327.0289885214322</v>
      </c>
      <c r="O12" s="22">
        <f>M12*$O$4</f>
        <v>1183.9487786246441</v>
      </c>
      <c r="P12" s="21">
        <f>O12/480</f>
        <v>2.4665599554680084</v>
      </c>
    </row>
    <row r="13" spans="1:18" ht="13.5" thickBot="1" x14ac:dyDescent="0.25">
      <c r="C13" s="37">
        <v>7</v>
      </c>
      <c r="D13" s="37">
        <v>4</v>
      </c>
      <c r="E13" s="31">
        <v>0.77</v>
      </c>
      <c r="F13" s="31">
        <v>0.9</v>
      </c>
      <c r="G13" s="26">
        <v>0.68</v>
      </c>
      <c r="H13" s="26">
        <f>SUM(E13:G13)</f>
        <v>2.35</v>
      </c>
      <c r="I13" s="38"/>
      <c r="K13" s="24">
        <f>H13/D13*1000</f>
        <v>587.5</v>
      </c>
      <c r="L13" s="24">
        <f>K13/1.016*10</f>
        <v>5782.4803149606296</v>
      </c>
      <c r="M13" s="23">
        <f>L13/1.12085</f>
        <v>5159.0135298752111</v>
      </c>
      <c r="N13" s="22">
        <f>L13*$O$4</f>
        <v>2079.0120820169104</v>
      </c>
      <c r="O13" s="22">
        <f>M13*$O$4</f>
        <v>1854.8530865119424</v>
      </c>
      <c r="P13" s="21">
        <f>O13/480</f>
        <v>3.8642772635665468</v>
      </c>
    </row>
    <row r="14" spans="1:18" ht="13.5" thickBot="1" x14ac:dyDescent="0.25">
      <c r="C14" s="37">
        <v>8</v>
      </c>
      <c r="D14" s="37">
        <v>4</v>
      </c>
      <c r="E14" s="31">
        <v>0.92</v>
      </c>
      <c r="F14" s="31">
        <v>0.57999999999999996</v>
      </c>
      <c r="G14" s="26"/>
      <c r="H14" s="26">
        <f>SUM(E14:G14)</f>
        <v>1.5</v>
      </c>
      <c r="I14" s="38" t="s">
        <v>128</v>
      </c>
      <c r="K14" s="24">
        <f>H14/D14*1000</f>
        <v>375</v>
      </c>
      <c r="L14" s="24">
        <f>K14/1.016*10</f>
        <v>3690.9448818897636</v>
      </c>
      <c r="M14" s="23">
        <f>L14/1.12085</f>
        <v>3292.9873594948153</v>
      </c>
      <c r="N14" s="22">
        <f>L14*$O$4</f>
        <v>1327.0289885214322</v>
      </c>
      <c r="O14" s="22">
        <f>M14*$O$4</f>
        <v>1183.9487786246441</v>
      </c>
      <c r="P14" s="21">
        <f>O14/480</f>
        <v>2.4665599554680084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2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2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11.02</v>
      </c>
      <c r="I18" s="13"/>
      <c r="J18" s="12"/>
      <c r="K18" s="17">
        <f>AVERAGE(K9:K14)+K16/6</f>
        <v>459.16666666666669</v>
      </c>
      <c r="L18" s="17">
        <f>AVERAGE(L9:L14)+L16/6</f>
        <v>4519.3569553805783</v>
      </c>
      <c r="M18" s="19">
        <f>AVERAGE(M9:M14)+M16/6</f>
        <v>4032.0800779592068</v>
      </c>
      <c r="N18" s="18">
        <f>AVERAGE(N9:N14)+N16/6</f>
        <v>1624.873272611798</v>
      </c>
      <c r="O18" s="18">
        <f>AVERAGE(O9:O14)+O16/6</f>
        <v>1449.679504493731</v>
      </c>
      <c r="P18" s="17">
        <f>AVERAGE(P9:P14)+P16/6</f>
        <v>3.020165634361939</v>
      </c>
    </row>
    <row r="19" spans="2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0.14598325626972125</v>
      </c>
      <c r="I19" s="13"/>
      <c r="J19" s="12"/>
      <c r="K19" s="10">
        <f>STDEV(K9:K14)/SQRT(COUNT(K9:K14))</f>
        <v>36.495814067430281</v>
      </c>
      <c r="L19" s="10">
        <f>STDEV(L9:L14)/SQRT(COUNT(L9:L14))</f>
        <v>359.21076838021793</v>
      </c>
      <c r="M19" s="11">
        <f>STDEV(M9:M14)/SQRT(COUNT(M9:M14))</f>
        <v>320.48067839605693</v>
      </c>
      <c r="N19" s="10">
        <f>STDEV(N9:N14)/SQRT(COUNT(N9:N14))</f>
        <v>129.14934193911571</v>
      </c>
      <c r="O19" s="10">
        <f>STDEV(O9:O14)/SQRT(COUNT(O9:O14))</f>
        <v>115.22446530678901</v>
      </c>
      <c r="P19" s="9">
        <f>STDEV(P9:P14)/SQRT(COUNT(P9:P14))</f>
        <v>0.24005096938914625</v>
      </c>
    </row>
    <row r="21" spans="2:16" x14ac:dyDescent="0.2">
      <c r="C21" s="8" t="s">
        <v>89</v>
      </c>
    </row>
    <row r="22" spans="2:16" x14ac:dyDescent="0.2">
      <c r="C22" s="8" t="s">
        <v>88</v>
      </c>
    </row>
    <row r="23" spans="2:16" x14ac:dyDescent="0.2">
      <c r="B23" s="71"/>
    </row>
    <row r="26" spans="2:16" x14ac:dyDescent="0.2">
      <c r="K26" s="8" t="s">
        <v>127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7DBF2B-B833-47DE-96A7-08CEEC28ED2A}">
  <sheetPr codeName="Sheet27">
    <pageSetUpPr fitToPage="1"/>
  </sheetPr>
  <dimension ref="A1:R22"/>
  <sheetViews>
    <sheetView topLeftCell="F1" workbookViewId="0">
      <selection activeCell="N6" sqref="N6:P6"/>
    </sheetView>
  </sheetViews>
  <sheetFormatPr defaultRowHeight="12.75" x14ac:dyDescent="0.2"/>
  <cols>
    <col min="1" max="8" width="9.140625" style="8"/>
    <col min="9" max="9" width="24" style="8" customWidth="1"/>
    <col min="10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36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2754.2</v>
      </c>
      <c r="N3" s="51" t="s">
        <v>116</v>
      </c>
      <c r="O3" s="50">
        <f>(L3-(L4+L5))/L3</f>
        <v>3.6671265703289525E-2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982.2</v>
      </c>
      <c r="N4" s="51" t="s">
        <v>111</v>
      </c>
      <c r="O4" s="50">
        <f>L4/L3</f>
        <v>0.35661898191852448</v>
      </c>
    </row>
    <row r="5" spans="1:18" ht="17.25" thickTop="1" thickBot="1" x14ac:dyDescent="0.25">
      <c r="B5" s="54" t="s">
        <v>110</v>
      </c>
      <c r="C5" s="53">
        <v>0.62638888888888888</v>
      </c>
      <c r="F5" s="49"/>
      <c r="G5" s="49"/>
      <c r="K5" s="51" t="s">
        <v>109</v>
      </c>
      <c r="L5" s="52">
        <v>1671</v>
      </c>
      <c r="N5" s="51" t="s">
        <v>108</v>
      </c>
      <c r="O5" s="50">
        <f>L5/L3</f>
        <v>0.60670975237818603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1.02</v>
      </c>
      <c r="F9" s="31">
        <v>1.43</v>
      </c>
      <c r="G9" s="26"/>
      <c r="H9" s="26">
        <f>SUM(E9:G9)</f>
        <v>2.4500000000000002</v>
      </c>
      <c r="I9" s="38"/>
      <c r="K9" s="24">
        <f>H9/D9*1000</f>
        <v>612.5</v>
      </c>
      <c r="L9" s="24">
        <f>K9/1.016*10</f>
        <v>6028.5433070866147</v>
      </c>
      <c r="M9" s="23">
        <f>L9/1.12085</f>
        <v>5378.546020508199</v>
      </c>
      <c r="N9" s="22">
        <f>L9*$O$4</f>
        <v>2149.892976624963</v>
      </c>
      <c r="O9" s="22">
        <f>M9*$O$4</f>
        <v>1918.0916060355653</v>
      </c>
      <c r="P9" s="21">
        <f>O9/480</f>
        <v>3.9960241792407611</v>
      </c>
    </row>
    <row r="10" spans="1:18" ht="13.5" thickBot="1" x14ac:dyDescent="0.25">
      <c r="C10" s="37">
        <v>4</v>
      </c>
      <c r="D10" s="37">
        <v>4</v>
      </c>
      <c r="E10" s="31">
        <v>0.86</v>
      </c>
      <c r="F10" s="31">
        <v>0.74</v>
      </c>
      <c r="G10" s="26">
        <v>0.63</v>
      </c>
      <c r="H10" s="26">
        <f>SUM(E10:G10)</f>
        <v>2.23</v>
      </c>
      <c r="I10" s="38"/>
      <c r="K10" s="24">
        <f>H10/D10*1000</f>
        <v>557.5</v>
      </c>
      <c r="L10" s="24">
        <f>K10/1.016*10</f>
        <v>5487.2047244094483</v>
      </c>
      <c r="M10" s="23">
        <f>L10/1.12085</f>
        <v>4895.5745411156258</v>
      </c>
      <c r="N10" s="22">
        <f>L10*$O$4</f>
        <v>1956.8413623974152</v>
      </c>
      <c r="O10" s="22">
        <f>M10*$O$4</f>
        <v>1745.8548087589022</v>
      </c>
      <c r="P10" s="21">
        <f>O10/480</f>
        <v>3.6371975182477128</v>
      </c>
    </row>
    <row r="11" spans="1:18" ht="13.5" thickBot="1" x14ac:dyDescent="0.25">
      <c r="C11" s="37">
        <v>5</v>
      </c>
      <c r="D11" s="37">
        <v>4</v>
      </c>
      <c r="E11" s="31">
        <v>1.03</v>
      </c>
      <c r="F11" s="31">
        <v>1.01</v>
      </c>
      <c r="G11" s="26"/>
      <c r="H11" s="26">
        <f>SUM(E11:G11)</f>
        <v>2.04</v>
      </c>
      <c r="I11" s="38"/>
      <c r="K11" s="24">
        <f>H11/D11*1000</f>
        <v>510</v>
      </c>
      <c r="L11" s="24">
        <f>K11/1.016*10</f>
        <v>5019.6850393700788</v>
      </c>
      <c r="M11" s="23">
        <f>L11/1.12085</f>
        <v>4478.4628089129492</v>
      </c>
      <c r="N11" s="22">
        <f>L11*$O$4</f>
        <v>1790.114968291806</v>
      </c>
      <c r="O11" s="22">
        <f>M11*$O$4</f>
        <v>1597.1048474745114</v>
      </c>
      <c r="P11" s="21">
        <f>O11/480</f>
        <v>3.3273017655718986</v>
      </c>
    </row>
    <row r="12" spans="1:18" ht="13.5" thickBot="1" x14ac:dyDescent="0.25">
      <c r="C12" s="37">
        <v>6</v>
      </c>
      <c r="D12" s="37">
        <v>4</v>
      </c>
      <c r="E12" s="31">
        <v>0.96</v>
      </c>
      <c r="F12" s="31">
        <v>1.21</v>
      </c>
      <c r="G12" s="26"/>
      <c r="H12" s="26">
        <f>SUM(E12:G12)</f>
        <v>2.17</v>
      </c>
      <c r="I12" s="38"/>
      <c r="K12" s="24">
        <f>H12/D12*1000</f>
        <v>542.5</v>
      </c>
      <c r="L12" s="24">
        <f>K12/1.016*10</f>
        <v>5339.5669291338581</v>
      </c>
      <c r="M12" s="23">
        <f>L12/1.12085</f>
        <v>4763.8550467358327</v>
      </c>
      <c r="N12" s="22">
        <f>L12*$O$4</f>
        <v>1904.1909221535386</v>
      </c>
      <c r="O12" s="22">
        <f>M12*$O$4</f>
        <v>1698.8811367743576</v>
      </c>
      <c r="P12" s="21">
        <f>O12/480</f>
        <v>3.5393357016132452</v>
      </c>
    </row>
    <row r="13" spans="1:18" ht="13.5" thickBot="1" x14ac:dyDescent="0.25">
      <c r="C13" s="37">
        <v>7</v>
      </c>
      <c r="D13" s="37">
        <v>4</v>
      </c>
      <c r="E13" s="31">
        <v>0.54</v>
      </c>
      <c r="F13" s="31">
        <v>1.25</v>
      </c>
      <c r="G13" s="26"/>
      <c r="H13" s="26">
        <f>SUM(E13:G13)</f>
        <v>1.79</v>
      </c>
      <c r="I13" s="38" t="s">
        <v>130</v>
      </c>
      <c r="K13" s="24">
        <f>H13/D13*1000</f>
        <v>447.5</v>
      </c>
      <c r="L13" s="24">
        <f>K13/1.016*10</f>
        <v>4404.5275590551182</v>
      </c>
      <c r="M13" s="23">
        <f>L13/1.12085</f>
        <v>3929.6315823304799</v>
      </c>
      <c r="N13" s="22">
        <f>L13*$O$4</f>
        <v>1570.73813394232</v>
      </c>
      <c r="O13" s="22">
        <f>M13*$O$4</f>
        <v>1401.381214205576</v>
      </c>
      <c r="P13" s="21">
        <f>O13/480</f>
        <v>2.9195441962616169</v>
      </c>
    </row>
    <row r="14" spans="1:18" ht="13.5" thickBot="1" x14ac:dyDescent="0.25">
      <c r="C14" s="37">
        <v>8</v>
      </c>
      <c r="D14" s="37">
        <v>4</v>
      </c>
      <c r="E14" s="31">
        <v>1.1200000000000001</v>
      </c>
      <c r="F14" s="31">
        <v>0.86</v>
      </c>
      <c r="G14" s="26"/>
      <c r="H14" s="26">
        <f>SUM(E14:G14)</f>
        <v>1.98</v>
      </c>
      <c r="I14" s="38" t="s">
        <v>128</v>
      </c>
      <c r="K14" s="24">
        <f>H14/D14*1000</f>
        <v>495</v>
      </c>
      <c r="L14" s="24">
        <f>K14/1.016*10</f>
        <v>4872.0472440944886</v>
      </c>
      <c r="M14" s="23">
        <f>L14/1.12085</f>
        <v>4346.743314533157</v>
      </c>
      <c r="N14" s="22">
        <f>L14*$O$4</f>
        <v>1737.4645280479294</v>
      </c>
      <c r="O14" s="22">
        <f>M14*$O$4</f>
        <v>1550.1311754899671</v>
      </c>
      <c r="P14" s="21">
        <f>O14/480</f>
        <v>3.2294399489374315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 t="s">
        <v>129</v>
      </c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12.66</v>
      </c>
      <c r="I18" s="13"/>
      <c r="J18" s="12"/>
      <c r="K18" s="17">
        <f>AVERAGE(K9:K14)+K16/6</f>
        <v>527.5</v>
      </c>
      <c r="L18" s="17">
        <f>AVERAGE(L9:L14)+L16/6</f>
        <v>5191.9291338582671</v>
      </c>
      <c r="M18" s="19">
        <f>AVERAGE(M9:M14)+M16/6</f>
        <v>4632.1355523560405</v>
      </c>
      <c r="N18" s="18">
        <f>AVERAGE(N9:N14)+N16/6</f>
        <v>1851.5404819096618</v>
      </c>
      <c r="O18" s="18">
        <f>AVERAGE(O9:O14)+O16/6</f>
        <v>1651.9074647898133</v>
      </c>
      <c r="P18" s="17">
        <f>AVERAGE(P9:P14)+P16/6</f>
        <v>3.441473884978778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9.270023372857987E-2</v>
      </c>
      <c r="I19" s="13"/>
      <c r="J19" s="12"/>
      <c r="K19" s="10">
        <f>STDEV(K9:K14)/SQRT(COUNT(K9:K14))</f>
        <v>23.175058432144965</v>
      </c>
      <c r="L19" s="10">
        <f>STDEV(L9:L14)/SQRT(COUNT(L9:L14))</f>
        <v>228.10096882032445</v>
      </c>
      <c r="M19" s="11">
        <f>STDEV(M9:M14)/SQRT(COUNT(M9:M14))</f>
        <v>203.5071319269523</v>
      </c>
      <c r="N19" s="10">
        <f>STDEV(N9:N14)/SQRT(COUNT(N9:N14))</f>
        <v>81.345135275333178</v>
      </c>
      <c r="O19" s="10">
        <f>STDEV(O9:O14)/SQRT(COUNT(O9:O14))</f>
        <v>72.574506200948605</v>
      </c>
      <c r="P19" s="9">
        <f>STDEV(P9:P14)/SQRT(COUNT(P9:P14))</f>
        <v>0.15119688791864291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909CD6-2812-4CD3-8926-2C39E3993D0A}">
  <sheetPr codeName="Sheet28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37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2058.6999999999998</v>
      </c>
      <c r="N3" s="51" t="s">
        <v>116</v>
      </c>
      <c r="O3" s="50">
        <f>(L3-(L4+L5))/L3</f>
        <v>5.5714771457715952E-2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745.9</v>
      </c>
      <c r="N4" s="51" t="s">
        <v>111</v>
      </c>
      <c r="O4" s="50">
        <f>L4/L3</f>
        <v>0.36231602467576629</v>
      </c>
    </row>
    <row r="5" spans="1:18" ht="17.25" thickTop="1" thickBot="1" x14ac:dyDescent="0.25">
      <c r="B5" s="54" t="s">
        <v>110</v>
      </c>
      <c r="C5" s="53">
        <v>0.61527777777777781</v>
      </c>
      <c r="F5" s="49"/>
      <c r="G5" s="49"/>
      <c r="K5" s="51" t="s">
        <v>109</v>
      </c>
      <c r="L5" s="52">
        <v>1198.0999999999999</v>
      </c>
      <c r="N5" s="51" t="s">
        <v>108</v>
      </c>
      <c r="O5" s="50">
        <f>L5/L3</f>
        <v>0.58196920386651774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1.07</v>
      </c>
      <c r="F9" s="31"/>
      <c r="G9" s="26"/>
      <c r="H9" s="26">
        <f>SUM(E9:G9)</f>
        <v>1.07</v>
      </c>
      <c r="I9" s="38"/>
      <c r="K9" s="24">
        <f>H9/D9*1000</f>
        <v>267.5</v>
      </c>
      <c r="L9" s="24">
        <f>K9/1.016*10</f>
        <v>2632.8740157480315</v>
      </c>
      <c r="M9" s="23">
        <f>L9/1.12085</f>
        <v>2348.9976497729685</v>
      </c>
      <c r="N9" s="22">
        <f>L9*$O$4</f>
        <v>953.93244685794764</v>
      </c>
      <c r="O9" s="22">
        <f>M9*$O$4</f>
        <v>851.07949043845986</v>
      </c>
      <c r="P9" s="21">
        <f>O9/480</f>
        <v>1.7730822717467913</v>
      </c>
    </row>
    <row r="10" spans="1:18" ht="13.5" thickBot="1" x14ac:dyDescent="0.25">
      <c r="C10" s="37">
        <v>4</v>
      </c>
      <c r="D10" s="37">
        <v>4</v>
      </c>
      <c r="E10" s="31">
        <v>1.08</v>
      </c>
      <c r="F10" s="31">
        <v>0.68</v>
      </c>
      <c r="G10" s="26">
        <v>0.64</v>
      </c>
      <c r="H10" s="26">
        <f>SUM(E10:G10)</f>
        <v>2.4000000000000004</v>
      </c>
      <c r="I10" s="38"/>
      <c r="K10" s="24">
        <f>H10/D10*1000</f>
        <v>600.00000000000011</v>
      </c>
      <c r="L10" s="24">
        <f>K10/1.016*10</f>
        <v>5905.5118110236235</v>
      </c>
      <c r="M10" s="23">
        <f>L10/1.12085</f>
        <v>5268.779775191706</v>
      </c>
      <c r="N10" s="22">
        <f>L10*$O$4</f>
        <v>2139.6615630458646</v>
      </c>
      <c r="O10" s="22">
        <f>M10*$O$4</f>
        <v>1908.9633430395365</v>
      </c>
      <c r="P10" s="21">
        <f>O10/480</f>
        <v>3.9770069646657009</v>
      </c>
    </row>
    <row r="11" spans="1:18" ht="13.5" thickBot="1" x14ac:dyDescent="0.25">
      <c r="C11" s="37">
        <v>5</v>
      </c>
      <c r="D11" s="37">
        <v>4</v>
      </c>
      <c r="E11" s="31">
        <v>1.29</v>
      </c>
      <c r="F11" s="31">
        <v>0.72</v>
      </c>
      <c r="G11" s="26"/>
      <c r="H11" s="26">
        <f>SUM(E11:G11)</f>
        <v>2.0099999999999998</v>
      </c>
      <c r="I11" s="38"/>
      <c r="K11" s="24">
        <f>H11/D11*1000</f>
        <v>502.49999999999994</v>
      </c>
      <c r="L11" s="24">
        <f>K11/1.016*10</f>
        <v>4945.8661417322828</v>
      </c>
      <c r="M11" s="23">
        <f>L11/1.12085</f>
        <v>4412.6030617230526</v>
      </c>
      <c r="N11" s="22">
        <f>L11*$O$4</f>
        <v>1791.9665590509107</v>
      </c>
      <c r="O11" s="22">
        <f>M11*$O$4</f>
        <v>1598.7567997956114</v>
      </c>
      <c r="P11" s="21">
        <f>O11/480</f>
        <v>3.3307433329075238</v>
      </c>
    </row>
    <row r="12" spans="1:18" ht="13.5" thickBot="1" x14ac:dyDescent="0.25">
      <c r="C12" s="37">
        <v>6</v>
      </c>
      <c r="D12" s="37">
        <v>4</v>
      </c>
      <c r="E12" s="31">
        <v>1.43</v>
      </c>
      <c r="F12" s="31">
        <v>0.82</v>
      </c>
      <c r="G12" s="26"/>
      <c r="H12" s="26">
        <f>SUM(E12:G12)</f>
        <v>2.25</v>
      </c>
      <c r="I12" s="38"/>
      <c r="K12" s="24">
        <f>H12/D12*1000</f>
        <v>562.5</v>
      </c>
      <c r="L12" s="24">
        <f>K12/1.016*10</f>
        <v>5536.4173228346453</v>
      </c>
      <c r="M12" s="23">
        <f>L12/1.12085</f>
        <v>4939.4810392422232</v>
      </c>
      <c r="N12" s="22">
        <f>L12*$O$4</f>
        <v>2005.9327153554973</v>
      </c>
      <c r="O12" s="22">
        <f>M12*$O$4</f>
        <v>1789.653134099565</v>
      </c>
      <c r="P12" s="21">
        <f>O12/480</f>
        <v>3.7284440293740939</v>
      </c>
    </row>
    <row r="13" spans="1:18" ht="13.5" thickBot="1" x14ac:dyDescent="0.25">
      <c r="C13" s="37">
        <v>7</v>
      </c>
      <c r="D13" s="37">
        <v>4</v>
      </c>
      <c r="E13" s="31">
        <v>0.99</v>
      </c>
      <c r="F13" s="31">
        <v>0.56000000000000005</v>
      </c>
      <c r="G13" s="26"/>
      <c r="H13" s="26">
        <f>SUM(E13:G13)</f>
        <v>1.55</v>
      </c>
      <c r="I13" s="38"/>
      <c r="K13" s="24">
        <f>H13/D13*1000</f>
        <v>387.5</v>
      </c>
      <c r="L13" s="24">
        <f>K13/1.016*10</f>
        <v>3813.9763779527557</v>
      </c>
      <c r="M13" s="23">
        <f>L13/1.12085</f>
        <v>3402.7536048113093</v>
      </c>
      <c r="N13" s="22">
        <f>L13*$O$4</f>
        <v>1381.8647594671204</v>
      </c>
      <c r="O13" s="22">
        <f>M13*$O$4</f>
        <v>1232.872159046367</v>
      </c>
      <c r="P13" s="21">
        <f>O13/480</f>
        <v>2.5684836646799312</v>
      </c>
    </row>
    <row r="14" spans="1:18" ht="13.5" thickBot="1" x14ac:dyDescent="0.25">
      <c r="C14" s="37">
        <v>8</v>
      </c>
      <c r="D14" s="37">
        <v>4</v>
      </c>
      <c r="E14" s="31">
        <v>0.99</v>
      </c>
      <c r="F14" s="31">
        <v>1.03</v>
      </c>
      <c r="G14" s="26"/>
      <c r="H14" s="26">
        <f>SUM(E14:G14)</f>
        <v>2.02</v>
      </c>
      <c r="I14" s="38"/>
      <c r="K14" s="24">
        <f>H14/D14*1000</f>
        <v>505</v>
      </c>
      <c r="L14" s="24">
        <f>K14/1.016*10</f>
        <v>4970.4724409448818</v>
      </c>
      <c r="M14" s="23">
        <f>L14/1.12085</f>
        <v>4434.5563107863518</v>
      </c>
      <c r="N14" s="22">
        <f>L14*$O$4</f>
        <v>1800.881815563602</v>
      </c>
      <c r="O14" s="22">
        <f>M14*$O$4</f>
        <v>1606.7108137249429</v>
      </c>
      <c r="P14" s="21">
        <f>O14/480</f>
        <v>3.3473141952602976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11.3</v>
      </c>
      <c r="I18" s="13"/>
      <c r="J18" s="12"/>
      <c r="K18" s="17">
        <f>AVERAGE(K9:K14)+K16/6</f>
        <v>470.83333333333331</v>
      </c>
      <c r="L18" s="17">
        <f>AVERAGE(L9:L14)+L16/6</f>
        <v>4634.1863517060365</v>
      </c>
      <c r="M18" s="19">
        <f>AVERAGE(M9:M14)+M16/6</f>
        <v>4134.5285735879361</v>
      </c>
      <c r="N18" s="18">
        <f>AVERAGE(N9:N14)+N16/6</f>
        <v>1679.0399765568236</v>
      </c>
      <c r="O18" s="18">
        <f>AVERAGE(O9:O14)+O16/6</f>
        <v>1498.0059566907473</v>
      </c>
      <c r="P18" s="17">
        <f>AVERAGE(P9:P14)+P16/6</f>
        <v>3.1208457431057233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0.20072645842317613</v>
      </c>
      <c r="I19" s="13"/>
      <c r="J19" s="12"/>
      <c r="K19" s="10">
        <f>STDEV(K9:K14)/SQRT(COUNT(K9:K14))</f>
        <v>50.181614605794046</v>
      </c>
      <c r="L19" s="10">
        <f>STDEV(L9:L14)/SQRT(COUNT(L9:L14))</f>
        <v>493.91352958458725</v>
      </c>
      <c r="M19" s="11">
        <f>STDEV(M9:M14)/SQRT(COUNT(M9:M14))</f>
        <v>440.65979353578672</v>
      </c>
      <c r="N19" s="10">
        <f>STDEV(N9:N14)/SQRT(COUNT(N9:N14))</f>
        <v>178.95278657266451</v>
      </c>
      <c r="O19" s="10">
        <f>STDEV(O9:O14)/SQRT(COUNT(O9:O14))</f>
        <v>159.65810462833008</v>
      </c>
      <c r="P19" s="9">
        <f>STDEV(P9:P14)/SQRT(COUNT(P9:P14))</f>
        <v>0.33262105130902198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5B44E-B5AF-4553-98E1-5E94AC6B1EE2}">
  <sheetPr codeName="Sheet29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38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2748</v>
      </c>
      <c r="N3" s="51" t="s">
        <v>116</v>
      </c>
      <c r="O3" s="50">
        <f>(L3-(L4+L5))/L3</f>
        <v>4.1957787481805016E-2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1013.3</v>
      </c>
      <c r="N4" s="51" t="s">
        <v>111</v>
      </c>
      <c r="O4" s="50">
        <f>L4/L3</f>
        <v>0.3687409024745269</v>
      </c>
    </row>
    <row r="5" spans="1:18" ht="17.25" thickTop="1" thickBot="1" x14ac:dyDescent="0.25">
      <c r="B5" s="54" t="s">
        <v>110</v>
      </c>
      <c r="C5" s="53">
        <v>0.51041666666666663</v>
      </c>
      <c r="F5" s="49"/>
      <c r="G5" s="49"/>
      <c r="K5" s="51" t="s">
        <v>109</v>
      </c>
      <c r="L5" s="52">
        <v>1619.4</v>
      </c>
      <c r="N5" s="51" t="s">
        <v>108</v>
      </c>
      <c r="O5" s="50">
        <f>L5/L3</f>
        <v>0.58930131004366815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1.3</v>
      </c>
      <c r="F9" s="31">
        <v>0.6</v>
      </c>
      <c r="G9" s="26"/>
      <c r="H9" s="26">
        <f>SUM(E9:G9)</f>
        <v>1.9</v>
      </c>
      <c r="I9" s="38"/>
      <c r="K9" s="24">
        <f>H9/D9*1000</f>
        <v>475</v>
      </c>
      <c r="L9" s="24">
        <f>K9/1.016*10</f>
        <v>4675.1968503937005</v>
      </c>
      <c r="M9" s="23">
        <f>L9/1.12085</f>
        <v>4171.1173220267665</v>
      </c>
      <c r="N9" s="22">
        <f>L9*$O$4</f>
        <v>1723.9363058602389</v>
      </c>
      <c r="O9" s="22">
        <f>M9*$O$4</f>
        <v>1538.0615656512816</v>
      </c>
      <c r="P9" s="21">
        <f>O9/480</f>
        <v>3.2042949284401701</v>
      </c>
    </row>
    <row r="10" spans="1:18" ht="13.5" thickBot="1" x14ac:dyDescent="0.25">
      <c r="C10" s="37">
        <v>4</v>
      </c>
      <c r="D10" s="37">
        <v>4</v>
      </c>
      <c r="E10" s="31">
        <v>0.76</v>
      </c>
      <c r="F10" s="31">
        <v>0.85</v>
      </c>
      <c r="G10" s="26"/>
      <c r="H10" s="26">
        <f>SUM(E10:G10)</f>
        <v>1.6099999999999999</v>
      </c>
      <c r="I10" s="38"/>
      <c r="K10" s="24">
        <f>H10/D10*1000</f>
        <v>402.49999999999994</v>
      </c>
      <c r="L10" s="24">
        <f>K10/1.016*10</f>
        <v>3961.6141732283459</v>
      </c>
      <c r="M10" s="23">
        <f>L10/1.12085</f>
        <v>3534.4730991911015</v>
      </c>
      <c r="N10" s="22">
        <f>L10*$O$4</f>
        <v>1460.809185492097</v>
      </c>
      <c r="O10" s="22">
        <f>M10*$O$4</f>
        <v>1303.3048003676647</v>
      </c>
      <c r="P10" s="21">
        <f>O10/480</f>
        <v>2.7152183340993017</v>
      </c>
    </row>
    <row r="11" spans="1:18" ht="13.5" thickBot="1" x14ac:dyDescent="0.25">
      <c r="C11" s="37">
        <v>5</v>
      </c>
      <c r="D11" s="37">
        <v>4</v>
      </c>
      <c r="E11" s="31">
        <v>0.81</v>
      </c>
      <c r="F11" s="31">
        <v>0.73</v>
      </c>
      <c r="G11" s="26">
        <v>0.39</v>
      </c>
      <c r="H11" s="26">
        <f>SUM(E11:G11)</f>
        <v>1.9300000000000002</v>
      </c>
      <c r="I11" s="38"/>
      <c r="K11" s="24">
        <f>H11/D11*1000</f>
        <v>482.50000000000006</v>
      </c>
      <c r="L11" s="24">
        <f>K11/1.016*10</f>
        <v>4749.0157480314965</v>
      </c>
      <c r="M11" s="23">
        <f>L11/1.12085</f>
        <v>4236.977069216663</v>
      </c>
      <c r="N11" s="22">
        <f>L11*$O$4</f>
        <v>1751.1563527948745</v>
      </c>
      <c r="O11" s="22">
        <f>M11*$O$4</f>
        <v>1562.3467482668284</v>
      </c>
      <c r="P11" s="21">
        <f>O11/480</f>
        <v>3.2548890588892259</v>
      </c>
    </row>
    <row r="12" spans="1:18" ht="13.5" thickBot="1" x14ac:dyDescent="0.25">
      <c r="C12" s="37">
        <v>6</v>
      </c>
      <c r="D12" s="37">
        <v>4</v>
      </c>
      <c r="E12" s="31">
        <v>1.04</v>
      </c>
      <c r="F12" s="31">
        <v>0.71</v>
      </c>
      <c r="G12" s="26">
        <v>0.27</v>
      </c>
      <c r="H12" s="26">
        <f>SUM(E12:G12)</f>
        <v>2.02</v>
      </c>
      <c r="I12" s="38"/>
      <c r="K12" s="24">
        <f>H12/D12*1000</f>
        <v>505</v>
      </c>
      <c r="L12" s="24">
        <f>K12/1.016*10</f>
        <v>4970.4724409448818</v>
      </c>
      <c r="M12" s="23">
        <f>L12/1.12085</f>
        <v>4434.5563107863518</v>
      </c>
      <c r="N12" s="22">
        <f>L12*$O$4</f>
        <v>1832.8164935987804</v>
      </c>
      <c r="O12" s="22">
        <f>M12*$O$4</f>
        <v>1635.202296113468</v>
      </c>
      <c r="P12" s="21">
        <f>O12/480</f>
        <v>3.406671450236392</v>
      </c>
    </row>
    <row r="13" spans="1:18" ht="13.5" thickBot="1" x14ac:dyDescent="0.25">
      <c r="C13" s="37">
        <v>7</v>
      </c>
      <c r="D13" s="37">
        <v>4</v>
      </c>
      <c r="E13" s="31">
        <v>0.77</v>
      </c>
      <c r="F13" s="31">
        <v>0.9</v>
      </c>
      <c r="G13" s="26"/>
      <c r="H13" s="26">
        <f>SUM(E13:G13)</f>
        <v>1.67</v>
      </c>
      <c r="I13" s="38"/>
      <c r="K13" s="24">
        <f>H13/D13*1000</f>
        <v>417.5</v>
      </c>
      <c r="L13" s="24">
        <f>K13/1.016*10</f>
        <v>4109.251968503937</v>
      </c>
      <c r="M13" s="23">
        <f>L13/1.12085</f>
        <v>3666.1925935708946</v>
      </c>
      <c r="N13" s="22">
        <f>L13*$O$4</f>
        <v>1515.2492793613678</v>
      </c>
      <c r="O13" s="22">
        <f>M13*$O$4</f>
        <v>1351.875165598758</v>
      </c>
      <c r="P13" s="21">
        <f>O13/480</f>
        <v>2.8164065949974124</v>
      </c>
    </row>
    <row r="14" spans="1:18" ht="13.5" thickBot="1" x14ac:dyDescent="0.25">
      <c r="C14" s="37">
        <v>8</v>
      </c>
      <c r="D14" s="37">
        <v>4</v>
      </c>
      <c r="E14" s="31">
        <v>0.82</v>
      </c>
      <c r="F14" s="31">
        <v>0.91</v>
      </c>
      <c r="G14" s="26"/>
      <c r="H14" s="26">
        <f>SUM(E14:G14)</f>
        <v>1.73</v>
      </c>
      <c r="I14" s="38"/>
      <c r="K14" s="24">
        <f>H14/D14*1000</f>
        <v>432.5</v>
      </c>
      <c r="L14" s="24">
        <f>K14/1.016*10</f>
        <v>4256.889763779528</v>
      </c>
      <c r="M14" s="23">
        <f>L14/1.12085</f>
        <v>3797.9120879506877</v>
      </c>
      <c r="N14" s="22">
        <f>L14*$O$4</f>
        <v>1569.6893732306387</v>
      </c>
      <c r="O14" s="22">
        <f>M14*$O$4</f>
        <v>1400.4455308298514</v>
      </c>
      <c r="P14" s="21">
        <f>O14/480</f>
        <v>2.9175948558955236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10.86</v>
      </c>
      <c r="I18" s="13"/>
      <c r="J18" s="12"/>
      <c r="K18" s="17">
        <f>AVERAGE(K9:K14)+K16/6</f>
        <v>452.5</v>
      </c>
      <c r="L18" s="17">
        <f>AVERAGE(L9:L14)+L16/6</f>
        <v>4453.7401574803143</v>
      </c>
      <c r="M18" s="19">
        <f>AVERAGE(M9:M14)+M16/6</f>
        <v>3973.5380804570777</v>
      </c>
      <c r="N18" s="18">
        <f>AVERAGE(N9:N14)+N16/6</f>
        <v>1642.2761650563327</v>
      </c>
      <c r="O18" s="18">
        <f>AVERAGE(O9:O14)+O16/6</f>
        <v>1465.206017804642</v>
      </c>
      <c r="P18" s="17">
        <f>AVERAGE(P9:P14)+P16/6</f>
        <v>3.0525125370930044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6.6483080554378682E-2</v>
      </c>
      <c r="I19" s="13"/>
      <c r="J19" s="12"/>
      <c r="K19" s="10">
        <f>STDEV(K9:K14)/SQRT(COUNT(K9:K14))</f>
        <v>16.620770138594672</v>
      </c>
      <c r="L19" s="10">
        <f>STDEV(L9:L14)/SQRT(COUNT(L9:L14))</f>
        <v>163.59025726963256</v>
      </c>
      <c r="M19" s="11">
        <f>STDEV(M9:M14)/SQRT(COUNT(M9:M14))</f>
        <v>145.95196259056306</v>
      </c>
      <c r="N19" s="10">
        <f>STDEV(N9:N14)/SQRT(COUNT(N9:N14))</f>
        <v>60.322419101644364</v>
      </c>
      <c r="O19" s="10">
        <f>STDEV(O9:O14)/SQRT(COUNT(O9:O14))</f>
        <v>53.818458403572635</v>
      </c>
      <c r="P19" s="9">
        <f>STDEV(P9:P14)/SQRT(COUNT(P9:P14))</f>
        <v>0.11212178834077635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393A7D-F77D-431C-814A-77AF089FD929}">
  <sheetPr codeName="Sheet30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41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1682.1</v>
      </c>
      <c r="N3" s="51" t="s">
        <v>116</v>
      </c>
      <c r="O3" s="50">
        <f>(L3-(L4+L5))/L3</f>
        <v>7.567921051067103E-2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557.6</v>
      </c>
      <c r="N4" s="51" t="s">
        <v>111</v>
      </c>
      <c r="O4" s="50">
        <f>L4/L3</f>
        <v>0.3314903989061293</v>
      </c>
    </row>
    <row r="5" spans="1:18" ht="17.25" thickTop="1" thickBot="1" x14ac:dyDescent="0.25">
      <c r="B5" s="54" t="s">
        <v>110</v>
      </c>
      <c r="C5" s="53">
        <v>0.53472222222222221</v>
      </c>
      <c r="F5" s="49"/>
      <c r="G5" s="49"/>
      <c r="K5" s="51" t="s">
        <v>109</v>
      </c>
      <c r="L5" s="52">
        <v>997.2</v>
      </c>
      <c r="N5" s="51" t="s">
        <v>108</v>
      </c>
      <c r="O5" s="50">
        <f>L5/L3</f>
        <v>0.59283039058319964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0.93</v>
      </c>
      <c r="F9" s="31"/>
      <c r="G9" s="26"/>
      <c r="H9" s="26">
        <f>SUM(E9:G9)</f>
        <v>0.93</v>
      </c>
      <c r="I9" s="38"/>
      <c r="K9" s="24">
        <f>H9/D9*1000</f>
        <v>232.5</v>
      </c>
      <c r="L9" s="24">
        <f>K9/1.016*10</f>
        <v>2288.3858267716537</v>
      </c>
      <c r="M9" s="23">
        <f>L9/1.12085</f>
        <v>2041.6521628867858</v>
      </c>
      <c r="N9" s="22">
        <f>L9*$O$4</f>
        <v>758.57793056766798</v>
      </c>
      <c r="O9" s="22">
        <f>M9*$O$4</f>
        <v>676.78808990290236</v>
      </c>
      <c r="P9" s="21">
        <f>O9/480</f>
        <v>1.4099751872977133</v>
      </c>
    </row>
    <row r="10" spans="1:18" ht="13.5" thickBot="1" x14ac:dyDescent="0.25">
      <c r="C10" s="37">
        <v>4</v>
      </c>
      <c r="D10" s="37">
        <v>4</v>
      </c>
      <c r="E10" s="31">
        <v>0.86</v>
      </c>
      <c r="F10" s="31"/>
      <c r="G10" s="26"/>
      <c r="H10" s="26">
        <f>SUM(E10:G10)</f>
        <v>0.86</v>
      </c>
      <c r="I10" s="38"/>
      <c r="K10" s="24">
        <f>H10/D10*1000</f>
        <v>215</v>
      </c>
      <c r="L10" s="24">
        <f>K10/1.016*10</f>
        <v>2116.1417322834645</v>
      </c>
      <c r="M10" s="23">
        <f>L10/1.12085</f>
        <v>1887.9794194436943</v>
      </c>
      <c r="N10" s="22">
        <f>L10*$O$4</f>
        <v>701.48066697655315</v>
      </c>
      <c r="O10" s="22">
        <f>M10*$O$4</f>
        <v>625.8470508779526</v>
      </c>
      <c r="P10" s="21">
        <f>O10/480</f>
        <v>1.3038480226624012</v>
      </c>
    </row>
    <row r="11" spans="1:18" ht="13.5" thickBot="1" x14ac:dyDescent="0.25">
      <c r="C11" s="37">
        <v>5</v>
      </c>
      <c r="D11" s="37">
        <v>4</v>
      </c>
      <c r="E11" s="31">
        <v>0.97</v>
      </c>
      <c r="F11" s="31"/>
      <c r="G11" s="26"/>
      <c r="H11" s="26">
        <f>SUM(E11:G11)</f>
        <v>0.97</v>
      </c>
      <c r="I11" s="38"/>
      <c r="K11" s="24">
        <f>H11/D11*1000</f>
        <v>242.5</v>
      </c>
      <c r="L11" s="24">
        <f>K11/1.016*10</f>
        <v>2386.8110236220473</v>
      </c>
      <c r="M11" s="23">
        <f>L11/1.12085</f>
        <v>2129.4651591399806</v>
      </c>
      <c r="N11" s="22">
        <f>L11*$O$4</f>
        <v>791.20493833401929</v>
      </c>
      <c r="O11" s="22">
        <f>M11*$O$4</f>
        <v>705.89725506001628</v>
      </c>
      <c r="P11" s="21">
        <f>O11/480</f>
        <v>1.4706192813750338</v>
      </c>
    </row>
    <row r="12" spans="1:18" ht="13.5" thickBot="1" x14ac:dyDescent="0.25">
      <c r="C12" s="37">
        <v>6</v>
      </c>
      <c r="D12" s="37">
        <v>4</v>
      </c>
      <c r="E12" s="31">
        <v>1.1000000000000001</v>
      </c>
      <c r="F12" s="31"/>
      <c r="G12" s="26"/>
      <c r="H12" s="26">
        <f>SUM(E12:G12)</f>
        <v>1.1000000000000001</v>
      </c>
      <c r="I12" s="38"/>
      <c r="K12" s="24">
        <f>H12/D12*1000</f>
        <v>275</v>
      </c>
      <c r="L12" s="24">
        <f>K12/1.016*10</f>
        <v>2706.6929133858271</v>
      </c>
      <c r="M12" s="23">
        <f>L12/1.12085</f>
        <v>2414.8573969628651</v>
      </c>
      <c r="N12" s="22">
        <f>L12*$O$4</f>
        <v>897.24271357466114</v>
      </c>
      <c r="O12" s="22">
        <f>M12*$O$4</f>
        <v>800.50204182063715</v>
      </c>
      <c r="P12" s="21">
        <f>O12/480</f>
        <v>1.6677125871263274</v>
      </c>
    </row>
    <row r="13" spans="1:18" ht="13.5" thickBot="1" x14ac:dyDescent="0.25">
      <c r="C13" s="37">
        <v>7</v>
      </c>
      <c r="D13" s="37">
        <v>4</v>
      </c>
      <c r="E13" s="31">
        <v>1.34</v>
      </c>
      <c r="F13" s="31"/>
      <c r="G13" s="26"/>
      <c r="H13" s="26">
        <f>SUM(E13:G13)</f>
        <v>1.34</v>
      </c>
      <c r="I13" s="38"/>
      <c r="K13" s="24">
        <f>H13/D13*1000</f>
        <v>335</v>
      </c>
      <c r="L13" s="24">
        <f>K13/1.016*10</f>
        <v>3297.2440944881891</v>
      </c>
      <c r="M13" s="23">
        <f>L13/1.12085</f>
        <v>2941.7353744820352</v>
      </c>
      <c r="N13" s="22">
        <f>L13*$O$4</f>
        <v>1093.004760172769</v>
      </c>
      <c r="O13" s="22">
        <f>M13*$O$4</f>
        <v>975.15703276332158</v>
      </c>
      <c r="P13" s="21">
        <f>O13/480</f>
        <v>2.0315771515902532</v>
      </c>
    </row>
    <row r="14" spans="1:18" ht="13.5" thickBot="1" x14ac:dyDescent="0.25">
      <c r="C14" s="37">
        <v>8</v>
      </c>
      <c r="D14" s="37">
        <v>4</v>
      </c>
      <c r="E14" s="31">
        <v>1.29</v>
      </c>
      <c r="F14" s="31"/>
      <c r="G14" s="26"/>
      <c r="H14" s="26">
        <f>SUM(E14:G14)</f>
        <v>1.29</v>
      </c>
      <c r="I14" s="38"/>
      <c r="K14" s="24">
        <f>H14/D14*1000</f>
        <v>322.5</v>
      </c>
      <c r="L14" s="24">
        <f>K14/1.016*10</f>
        <v>3174.212598425197</v>
      </c>
      <c r="M14" s="23">
        <f>L14/1.12085</f>
        <v>2831.9691291655417</v>
      </c>
      <c r="N14" s="22">
        <f>L14*$O$4</f>
        <v>1052.2210004648298</v>
      </c>
      <c r="O14" s="22">
        <f>M14*$O$4</f>
        <v>938.77057631692901</v>
      </c>
      <c r="P14" s="21">
        <f>O14/480</f>
        <v>1.955772033993602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6.49</v>
      </c>
      <c r="I18" s="13"/>
      <c r="J18" s="12"/>
      <c r="K18" s="17">
        <f>AVERAGE(K9:K14)+K16/6</f>
        <v>270.41666666666669</v>
      </c>
      <c r="L18" s="17">
        <f>AVERAGE(L9:L14)+L16/6</f>
        <v>2661.5813648293965</v>
      </c>
      <c r="M18" s="19">
        <f>AVERAGE(M9:M14)+M16/6</f>
        <v>2374.6097736801507</v>
      </c>
      <c r="N18" s="18">
        <f>AVERAGE(N9:N14)+N16/6</f>
        <v>882.28866834841665</v>
      </c>
      <c r="O18" s="18">
        <f>AVERAGE(O9:O14)+O16/6</f>
        <v>787.16034112362649</v>
      </c>
      <c r="P18" s="17">
        <f>AVERAGE(P9:P14)+P16/6</f>
        <v>1.6399173773408886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8.0639802689353043E-2</v>
      </c>
      <c r="I19" s="13"/>
      <c r="J19" s="12"/>
      <c r="K19" s="10">
        <f>STDEV(K9:K14)/SQRT(COUNT(K9:K14))</f>
        <v>20.15995067233823</v>
      </c>
      <c r="L19" s="10">
        <f>STDEV(L9:L14)/SQRT(COUNT(L9:L14))</f>
        <v>198.42471134191149</v>
      </c>
      <c r="M19" s="11">
        <f>STDEV(M9:M14)/SQRT(COUNT(M9:M14))</f>
        <v>177.03056728546341</v>
      </c>
      <c r="N19" s="10">
        <f>STDEV(N9:N14)/SQRT(COUNT(N9:N14))</f>
        <v>65.775886715564027</v>
      </c>
      <c r="O19" s="10">
        <f>STDEV(O9:O14)/SQRT(COUNT(O9:O14))</f>
        <v>58.683933368036634</v>
      </c>
      <c r="P19" s="9">
        <f>STDEV(P9:P14)/SQRT(COUNT(P9:P14))</f>
        <v>0.122258194516743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83FC6-7E3B-4E11-936F-C9DB5C3A7076}">
  <sheetPr codeName="Sheet31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42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1979.2</v>
      </c>
      <c r="N3" s="51" t="s">
        <v>116</v>
      </c>
      <c r="O3" s="50">
        <f>(L3-(L4+L5))/L3</f>
        <v>7.275666936135812E-2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654.20000000000005</v>
      </c>
      <c r="N4" s="51" t="s">
        <v>111</v>
      </c>
      <c r="O4" s="50">
        <f>L4/L3</f>
        <v>0.33053759094583673</v>
      </c>
    </row>
    <row r="5" spans="1:18" ht="17.25" thickTop="1" thickBot="1" x14ac:dyDescent="0.25">
      <c r="B5" s="54" t="s">
        <v>110</v>
      </c>
      <c r="C5" s="53">
        <v>0.64375000000000004</v>
      </c>
      <c r="F5" s="49"/>
      <c r="G5" s="49"/>
      <c r="K5" s="51" t="s">
        <v>109</v>
      </c>
      <c r="L5" s="52">
        <v>1181</v>
      </c>
      <c r="N5" s="51" t="s">
        <v>108</v>
      </c>
      <c r="O5" s="50">
        <f>L5/L3</f>
        <v>0.59670573969280516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1.31</v>
      </c>
      <c r="F9" s="31"/>
      <c r="G9" s="26"/>
      <c r="H9" s="26">
        <f>SUM(E9:G9)</f>
        <v>1.31</v>
      </c>
      <c r="I9" s="38"/>
      <c r="K9" s="24">
        <f>H9/D9*1000</f>
        <v>327.5</v>
      </c>
      <c r="L9" s="24">
        <f>K9/1.016*10</f>
        <v>3223.4251968503936</v>
      </c>
      <c r="M9" s="23">
        <f>L9/1.12085</f>
        <v>2875.8756272921387</v>
      </c>
      <c r="N9" s="22">
        <f>L9*$O$4</f>
        <v>1065.4631991610386</v>
      </c>
      <c r="O9" s="22">
        <f>M9*$O$4</f>
        <v>950.58500170499053</v>
      </c>
      <c r="P9" s="21">
        <f>O9/480</f>
        <v>1.9803854202187303</v>
      </c>
    </row>
    <row r="10" spans="1:18" ht="13.5" thickBot="1" x14ac:dyDescent="0.25">
      <c r="C10" s="37">
        <v>4</v>
      </c>
      <c r="D10" s="37">
        <v>4</v>
      </c>
      <c r="E10" s="31">
        <v>1.21</v>
      </c>
      <c r="F10" s="31"/>
      <c r="G10" s="26"/>
      <c r="H10" s="26">
        <f>SUM(E10:G10)</f>
        <v>1.21</v>
      </c>
      <c r="I10" s="38"/>
      <c r="K10" s="24">
        <f>H10/D10*1000</f>
        <v>302.5</v>
      </c>
      <c r="L10" s="24">
        <f>K10/1.016*10</f>
        <v>2977.3622047244094</v>
      </c>
      <c r="M10" s="23">
        <f>L10/1.12085</f>
        <v>2656.3431366591512</v>
      </c>
      <c r="N10" s="22">
        <f>L10*$O$4</f>
        <v>984.13013052279143</v>
      </c>
      <c r="O10" s="22">
        <f>M10*$O$4</f>
        <v>878.02126111682344</v>
      </c>
      <c r="P10" s="21">
        <f>O10/480</f>
        <v>1.8292109606600488</v>
      </c>
    </row>
    <row r="11" spans="1:18" ht="13.5" thickBot="1" x14ac:dyDescent="0.25">
      <c r="C11" s="37">
        <v>5</v>
      </c>
      <c r="D11" s="37">
        <v>4</v>
      </c>
      <c r="E11" s="31">
        <v>1.21</v>
      </c>
      <c r="F11" s="31"/>
      <c r="G11" s="26"/>
      <c r="H11" s="26">
        <f>SUM(E11:G11)</f>
        <v>1.21</v>
      </c>
      <c r="I11" s="38"/>
      <c r="K11" s="24">
        <f>H11/D11*1000</f>
        <v>302.5</v>
      </c>
      <c r="L11" s="24">
        <f>K11/1.016*10</f>
        <v>2977.3622047244094</v>
      </c>
      <c r="M11" s="23">
        <f>L11/1.12085</f>
        <v>2656.3431366591512</v>
      </c>
      <c r="N11" s="22">
        <f>L11*$O$4</f>
        <v>984.13013052279143</v>
      </c>
      <c r="O11" s="22">
        <f>M11*$O$4</f>
        <v>878.02126111682344</v>
      </c>
      <c r="P11" s="21">
        <f>O11/480</f>
        <v>1.8292109606600488</v>
      </c>
    </row>
    <row r="12" spans="1:18" ht="13.5" thickBot="1" x14ac:dyDescent="0.25">
      <c r="C12" s="37">
        <v>6</v>
      </c>
      <c r="D12" s="37">
        <v>4</v>
      </c>
      <c r="E12" s="31">
        <v>1.24</v>
      </c>
      <c r="F12" s="31"/>
      <c r="G12" s="26"/>
      <c r="H12" s="26">
        <f>SUM(E12:G12)</f>
        <v>1.24</v>
      </c>
      <c r="I12" s="38"/>
      <c r="K12" s="24">
        <f>H12/D12*1000</f>
        <v>310</v>
      </c>
      <c r="L12" s="24">
        <f>K12/1.016*10</f>
        <v>3051.1811023622045</v>
      </c>
      <c r="M12" s="23">
        <f>L12/1.12085</f>
        <v>2722.2028838490473</v>
      </c>
      <c r="N12" s="22">
        <f>L12*$O$4</f>
        <v>1008.5300511142656</v>
      </c>
      <c r="O12" s="22">
        <f>M12*$O$4</f>
        <v>899.79038329327352</v>
      </c>
      <c r="P12" s="21">
        <f>O12/480</f>
        <v>1.8745632985276532</v>
      </c>
    </row>
    <row r="13" spans="1:18" ht="13.5" thickBot="1" x14ac:dyDescent="0.25">
      <c r="C13" s="37">
        <v>7</v>
      </c>
      <c r="D13" s="37">
        <v>4</v>
      </c>
      <c r="E13" s="31">
        <v>1.68</v>
      </c>
      <c r="F13" s="31"/>
      <c r="G13" s="26"/>
      <c r="H13" s="26">
        <f>SUM(E13:G13)</f>
        <v>1.68</v>
      </c>
      <c r="I13" s="38"/>
      <c r="K13" s="24">
        <f>H13/D13*1000</f>
        <v>420</v>
      </c>
      <c r="L13" s="24">
        <f>K13/1.016*10</f>
        <v>4133.858267716535</v>
      </c>
      <c r="M13" s="23">
        <f>L13/1.12085</f>
        <v>3688.1458426341933</v>
      </c>
      <c r="N13" s="22">
        <f>L13*$O$4</f>
        <v>1366.3955531225533</v>
      </c>
      <c r="O13" s="22">
        <f>M13*$O$4</f>
        <v>1219.0708418812094</v>
      </c>
      <c r="P13" s="21">
        <f>O13/480</f>
        <v>2.5397309205858529</v>
      </c>
    </row>
    <row r="14" spans="1:18" ht="13.5" thickBot="1" x14ac:dyDescent="0.25">
      <c r="C14" s="37">
        <v>8</v>
      </c>
      <c r="D14" s="37">
        <v>4</v>
      </c>
      <c r="E14" s="31">
        <v>1.1599999999999999</v>
      </c>
      <c r="F14" s="31">
        <v>0.62</v>
      </c>
      <c r="G14" s="26"/>
      <c r="H14" s="26">
        <f>SUM(E14:G14)</f>
        <v>1.7799999999999998</v>
      </c>
      <c r="I14" s="38"/>
      <c r="K14" s="24">
        <f>H14/D14*1000</f>
        <v>444.99999999999994</v>
      </c>
      <c r="L14" s="24">
        <f>K14/1.016*10</f>
        <v>4379.9212598425192</v>
      </c>
      <c r="M14" s="23">
        <f>L14/1.12085</f>
        <v>3907.6783332671807</v>
      </c>
      <c r="N14" s="22">
        <f>L14*$O$4</f>
        <v>1447.7286217608005</v>
      </c>
      <c r="O14" s="22">
        <f>M14*$O$4</f>
        <v>1291.6345824693765</v>
      </c>
      <c r="P14" s="21">
        <f>O14/480</f>
        <v>2.6909053801445344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8.43</v>
      </c>
      <c r="I18" s="13"/>
      <c r="J18" s="12"/>
      <c r="K18" s="17">
        <f>AVERAGE(K9:K14)+K16/6</f>
        <v>351.25</v>
      </c>
      <c r="L18" s="17">
        <f>AVERAGE(L9:L14)+L16/6</f>
        <v>3457.1850393700784</v>
      </c>
      <c r="M18" s="19">
        <f>AVERAGE(M9:M14)+M16/6</f>
        <v>3084.431493393477</v>
      </c>
      <c r="N18" s="18">
        <f>AVERAGE(N9:N14)+N16/6</f>
        <v>1142.7296143673736</v>
      </c>
      <c r="O18" s="18">
        <f>AVERAGE(O9:O14)+O16/6</f>
        <v>1019.5205552637494</v>
      </c>
      <c r="P18" s="17">
        <f>AVERAGE(P9:P14)+P16/6</f>
        <v>2.1240011567994781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0.10465021102065043</v>
      </c>
      <c r="I19" s="13"/>
      <c r="J19" s="12"/>
      <c r="K19" s="10">
        <f>STDEV(K9:K14)/SQRT(COUNT(K9:K14))</f>
        <v>26.162552755162608</v>
      </c>
      <c r="L19" s="10">
        <f>STDEV(L9:L14)/SQRT(COUNT(L9:L14))</f>
        <v>257.5054405035703</v>
      </c>
      <c r="M19" s="11">
        <f>STDEV(M9:M14)/SQRT(COUNT(M9:M14))</f>
        <v>229.74121470631107</v>
      </c>
      <c r="N19" s="10">
        <f>STDEV(N9:N14)/SQRT(COUNT(N9:N14))</f>
        <v>85.115227959495869</v>
      </c>
      <c r="O19" s="10">
        <f>STDEV(O9:O14)/SQRT(COUNT(O9:O14))</f>
        <v>75.93810764999445</v>
      </c>
      <c r="P19" s="9">
        <f>STDEV(P9:P14)/SQRT(COUNT(P9:P14))</f>
        <v>0.15820439093748809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3D528-53E8-406A-A1A6-E1FF58D5D768}">
  <sheetPr codeName="Sheet32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43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2174</v>
      </c>
      <c r="N3" s="51" t="s">
        <v>116</v>
      </c>
      <c r="O3" s="50">
        <f>(L3-(L4+L5))/L3</f>
        <v>3.7948482060717569E-2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766.8</v>
      </c>
      <c r="N4" s="51" t="s">
        <v>111</v>
      </c>
      <c r="O4" s="50">
        <f>L4/L3</f>
        <v>0.35271389144434223</v>
      </c>
    </row>
    <row r="5" spans="1:18" ht="17.25" thickTop="1" thickBot="1" x14ac:dyDescent="0.25">
      <c r="B5" s="54" t="s">
        <v>110</v>
      </c>
      <c r="C5" s="53">
        <v>0.52777777777777779</v>
      </c>
      <c r="F5" s="49"/>
      <c r="G5" s="49"/>
      <c r="K5" s="51" t="s">
        <v>109</v>
      </c>
      <c r="L5" s="52">
        <v>1324.7</v>
      </c>
      <c r="N5" s="51" t="s">
        <v>108</v>
      </c>
      <c r="O5" s="50">
        <f>L5/L3</f>
        <v>0.60933762649494028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1.93</v>
      </c>
      <c r="F9" s="31"/>
      <c r="G9" s="26"/>
      <c r="H9" s="26">
        <f>SUM(E9:G9)</f>
        <v>1.93</v>
      </c>
      <c r="I9" s="38"/>
      <c r="K9" s="24">
        <f>H9/D9*1000</f>
        <v>482.5</v>
      </c>
      <c r="L9" s="24">
        <f>K9/1.016*10</f>
        <v>4749.0157480314956</v>
      </c>
      <c r="M9" s="23">
        <f>L9/1.12085</f>
        <v>4236.9770692166621</v>
      </c>
      <c r="N9" s="22">
        <f>L9*$O$4</f>
        <v>1675.0438250186526</v>
      </c>
      <c r="O9" s="22">
        <f>M9*$O$4</f>
        <v>1494.4406700438531</v>
      </c>
      <c r="P9" s="21">
        <f>O9/480</f>
        <v>3.1134180625913603</v>
      </c>
    </row>
    <row r="10" spans="1:18" ht="13.5" thickBot="1" x14ac:dyDescent="0.25">
      <c r="C10" s="37">
        <v>4</v>
      </c>
      <c r="D10" s="37">
        <v>4</v>
      </c>
      <c r="E10" s="31">
        <v>0.74</v>
      </c>
      <c r="F10" s="31">
        <v>1.03</v>
      </c>
      <c r="G10" s="26"/>
      <c r="H10" s="26">
        <f>SUM(E10:G10)</f>
        <v>1.77</v>
      </c>
      <c r="I10" s="38"/>
      <c r="K10" s="24">
        <f>H10/D10*1000</f>
        <v>442.5</v>
      </c>
      <c r="L10" s="24">
        <f>K10/1.016*10</f>
        <v>4355.3149606299212</v>
      </c>
      <c r="M10" s="23">
        <f>L10/1.12085</f>
        <v>3885.7250842038825</v>
      </c>
      <c r="N10" s="22">
        <f>L10*$O$4</f>
        <v>1536.1800882295418</v>
      </c>
      <c r="O10" s="22">
        <f>M10*$O$4</f>
        <v>1370.5492155324457</v>
      </c>
      <c r="P10" s="21">
        <f>O10/480</f>
        <v>2.8553108656925952</v>
      </c>
    </row>
    <row r="11" spans="1:18" ht="13.5" thickBot="1" x14ac:dyDescent="0.25">
      <c r="C11" s="37">
        <v>5</v>
      </c>
      <c r="D11" s="37">
        <v>4</v>
      </c>
      <c r="E11" s="31">
        <v>1.25</v>
      </c>
      <c r="F11" s="31"/>
      <c r="G11" s="26"/>
      <c r="H11" s="26">
        <f>SUM(E11:G11)</f>
        <v>1.25</v>
      </c>
      <c r="I11" s="38"/>
      <c r="K11" s="24">
        <f>H11/D11*1000</f>
        <v>312.5</v>
      </c>
      <c r="L11" s="24">
        <f>K11/1.016*10</f>
        <v>3075.787401574803</v>
      </c>
      <c r="M11" s="23">
        <f>L11/1.12085</f>
        <v>2744.156132912346</v>
      </c>
      <c r="N11" s="22">
        <f>L11*$O$4</f>
        <v>1084.8729436649305</v>
      </c>
      <c r="O11" s="22">
        <f>M11*$O$4</f>
        <v>967.90198837037121</v>
      </c>
      <c r="P11" s="21">
        <f>O11/480</f>
        <v>2.0164624757716068</v>
      </c>
    </row>
    <row r="12" spans="1:18" ht="13.5" thickBot="1" x14ac:dyDescent="0.25">
      <c r="C12" s="37">
        <v>6</v>
      </c>
      <c r="D12" s="37">
        <v>4</v>
      </c>
      <c r="E12" s="31">
        <v>1.57</v>
      </c>
      <c r="F12" s="31">
        <v>0.68</v>
      </c>
      <c r="G12" s="26"/>
      <c r="H12" s="26">
        <f>SUM(E12:G12)</f>
        <v>2.25</v>
      </c>
      <c r="I12" s="38"/>
      <c r="K12" s="24">
        <f>H12/D12*1000</f>
        <v>562.5</v>
      </c>
      <c r="L12" s="24">
        <f>K12/1.016*10</f>
        <v>5536.4173228346453</v>
      </c>
      <c r="M12" s="23">
        <f>L12/1.12085</f>
        <v>4939.4810392422232</v>
      </c>
      <c r="N12" s="22">
        <f>L12*$O$4</f>
        <v>1952.7712985968749</v>
      </c>
      <c r="O12" s="22">
        <f>M12*$O$4</f>
        <v>1742.2235790666682</v>
      </c>
      <c r="P12" s="21">
        <f>O12/480</f>
        <v>3.629632456388892</v>
      </c>
    </row>
    <row r="13" spans="1:18" ht="13.5" thickBot="1" x14ac:dyDescent="0.25">
      <c r="C13" s="37">
        <v>7</v>
      </c>
      <c r="D13" s="37">
        <v>4</v>
      </c>
      <c r="E13" s="31">
        <v>0.88</v>
      </c>
      <c r="F13" s="31">
        <v>1.1599999999999999</v>
      </c>
      <c r="G13" s="26"/>
      <c r="H13" s="26">
        <f>SUM(E13:G13)</f>
        <v>2.04</v>
      </c>
      <c r="I13" s="38"/>
      <c r="K13" s="24">
        <f>H13/D13*1000</f>
        <v>510</v>
      </c>
      <c r="L13" s="24">
        <f>K13/1.016*10</f>
        <v>5019.6850393700788</v>
      </c>
      <c r="M13" s="23">
        <f>L13/1.12085</f>
        <v>4478.4628089129492</v>
      </c>
      <c r="N13" s="22">
        <f>L13*$O$4</f>
        <v>1770.5126440611668</v>
      </c>
      <c r="O13" s="22">
        <f>M13*$O$4</f>
        <v>1579.6160450204459</v>
      </c>
      <c r="P13" s="21">
        <f>O13/480</f>
        <v>3.2908667604592621</v>
      </c>
    </row>
    <row r="14" spans="1:18" ht="13.5" thickBot="1" x14ac:dyDescent="0.25">
      <c r="C14" s="37">
        <v>8</v>
      </c>
      <c r="D14" s="37">
        <v>4</v>
      </c>
      <c r="E14" s="31">
        <v>1.77</v>
      </c>
      <c r="F14" s="31">
        <v>0.65</v>
      </c>
      <c r="G14" s="26"/>
      <c r="H14" s="26">
        <f>SUM(E14:G14)</f>
        <v>2.42</v>
      </c>
      <c r="I14" s="38"/>
      <c r="K14" s="24">
        <f>H14/D14*1000</f>
        <v>605</v>
      </c>
      <c r="L14" s="24">
        <f>K14/1.016*10</f>
        <v>5954.7244094488187</v>
      </c>
      <c r="M14" s="23">
        <f>L14/1.12085</f>
        <v>5312.6862733183025</v>
      </c>
      <c r="N14" s="22">
        <f>L14*$O$4</f>
        <v>2100.3140189353057</v>
      </c>
      <c r="O14" s="22">
        <f>M14*$O$4</f>
        <v>1873.8582494850389</v>
      </c>
      <c r="P14" s="21">
        <f>O14/480</f>
        <v>3.9038713530938312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11.66</v>
      </c>
      <c r="I18" s="13"/>
      <c r="J18" s="12"/>
      <c r="K18" s="17">
        <f>AVERAGE(K9:K14)+K16/6</f>
        <v>485.83333333333331</v>
      </c>
      <c r="L18" s="17">
        <f>AVERAGE(L9:L14)+L16/6</f>
        <v>4781.8241469816276</v>
      </c>
      <c r="M18" s="19">
        <f>AVERAGE(M9:M14)+M16/6</f>
        <v>4266.2480679677274</v>
      </c>
      <c r="N18" s="18">
        <f>AVERAGE(N9:N14)+N16/6</f>
        <v>1686.6158030844119</v>
      </c>
      <c r="O18" s="18">
        <f>AVERAGE(O9:O14)+O16/6</f>
        <v>1504.7649579198039</v>
      </c>
      <c r="P18" s="17">
        <f>AVERAGE(P9:P14)+P16/6</f>
        <v>3.1349269956662575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0.16748465933067169</v>
      </c>
      <c r="I19" s="13"/>
      <c r="J19" s="12"/>
      <c r="K19" s="10">
        <f>STDEV(K9:K14)/SQRT(COUNT(K9:K14))</f>
        <v>41.871164832667866</v>
      </c>
      <c r="L19" s="10">
        <f>STDEV(L9:L14)/SQRT(COUNT(L9:L14))</f>
        <v>412.11776410106063</v>
      </c>
      <c r="M19" s="11">
        <f>STDEV(M9:M14)/SQRT(COUNT(M9:M14))</f>
        <v>367.68324405679908</v>
      </c>
      <c r="N19" s="10">
        <f>STDEV(N9:N14)/SQRT(COUNT(N9:N14))</f>
        <v>145.35966030942711</v>
      </c>
      <c r="O19" s="10">
        <f>STDEV(O9:O14)/SQRT(COUNT(O9:O14))</f>
        <v>129.68698783015299</v>
      </c>
      <c r="P19" s="9">
        <f>STDEV(P9:P14)/SQRT(COUNT(P9:P14))</f>
        <v>0.27018122464615285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FC6CA0-52C8-4B4D-AB67-848CEEC122D3}">
  <sheetPr codeName="Sheet33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44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2665.7</v>
      </c>
      <c r="N3" s="51" t="s">
        <v>116</v>
      </c>
      <c r="O3" s="50">
        <f>(L3-(L4+L5))/L3</f>
        <v>3.5600405146865605E-2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939.9</v>
      </c>
      <c r="N4" s="51" t="s">
        <v>111</v>
      </c>
      <c r="O4" s="50">
        <f>L4/L3</f>
        <v>0.35259031398882096</v>
      </c>
    </row>
    <row r="5" spans="1:18" ht="17.25" thickTop="1" thickBot="1" x14ac:dyDescent="0.25">
      <c r="B5" s="54" t="s">
        <v>110</v>
      </c>
      <c r="C5" s="53">
        <v>0.54305555555555551</v>
      </c>
      <c r="F5" s="49"/>
      <c r="G5" s="49"/>
      <c r="K5" s="51" t="s">
        <v>109</v>
      </c>
      <c r="L5" s="52">
        <v>1630.9</v>
      </c>
      <c r="N5" s="51" t="s">
        <v>108</v>
      </c>
      <c r="O5" s="50">
        <f>L5/L3</f>
        <v>0.61180928086431341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1.61</v>
      </c>
      <c r="F9" s="31"/>
      <c r="G9" s="26"/>
      <c r="H9" s="26">
        <f>SUM(E9:G9)</f>
        <v>1.61</v>
      </c>
      <c r="I9" s="38"/>
      <c r="K9" s="24">
        <f>H9/D9*1000</f>
        <v>402.5</v>
      </c>
      <c r="L9" s="24">
        <f>K9/1.016*10</f>
        <v>3961.6141732283468</v>
      </c>
      <c r="M9" s="23">
        <f>L9/1.12085</f>
        <v>3534.4730991911024</v>
      </c>
      <c r="N9" s="22">
        <f>L9*$O$4</f>
        <v>1396.8267852411461</v>
      </c>
      <c r="O9" s="22">
        <f>M9*$O$4</f>
        <v>1246.220979828832</v>
      </c>
      <c r="P9" s="21">
        <f>O9/480</f>
        <v>2.5962937079767334</v>
      </c>
    </row>
    <row r="10" spans="1:18" ht="13.5" thickBot="1" x14ac:dyDescent="0.25">
      <c r="C10" s="37">
        <v>4</v>
      </c>
      <c r="D10" s="37">
        <v>4</v>
      </c>
      <c r="E10" s="31">
        <v>1.05</v>
      </c>
      <c r="F10" s="31">
        <v>0.74</v>
      </c>
      <c r="G10" s="26"/>
      <c r="H10" s="26">
        <f>SUM(E10:G10)</f>
        <v>1.79</v>
      </c>
      <c r="I10" s="38"/>
      <c r="K10" s="24">
        <f>H10/D10*1000</f>
        <v>447.5</v>
      </c>
      <c r="L10" s="24">
        <f>K10/1.016*10</f>
        <v>4404.5275590551182</v>
      </c>
      <c r="M10" s="23">
        <f>L10/1.12085</f>
        <v>3929.6315823304799</v>
      </c>
      <c r="N10" s="22">
        <f>L10*$O$4</f>
        <v>1552.9937550196594</v>
      </c>
      <c r="O10" s="22">
        <f>M10*$O$4</f>
        <v>1385.5500334742912</v>
      </c>
      <c r="P10" s="21">
        <f>O10/480</f>
        <v>2.8865625697381065</v>
      </c>
    </row>
    <row r="11" spans="1:18" ht="13.5" thickBot="1" x14ac:dyDescent="0.25">
      <c r="C11" s="37">
        <v>5</v>
      </c>
      <c r="D11" s="37">
        <v>4</v>
      </c>
      <c r="E11" s="31">
        <v>1.32</v>
      </c>
      <c r="F11" s="31">
        <v>0.89</v>
      </c>
      <c r="G11" s="26"/>
      <c r="H11" s="26">
        <f>SUM(E11:G11)</f>
        <v>2.21</v>
      </c>
      <c r="I11" s="38"/>
      <c r="K11" s="24">
        <f>H11/D11*1000</f>
        <v>552.5</v>
      </c>
      <c r="L11" s="24">
        <f>K11/1.016*10</f>
        <v>5437.9921259842522</v>
      </c>
      <c r="M11" s="23">
        <f>L11/1.12085</f>
        <v>4851.6680429890284</v>
      </c>
      <c r="N11" s="22">
        <f>L11*$O$4</f>
        <v>1917.3833511695234</v>
      </c>
      <c r="O11" s="22">
        <f>M11*$O$4</f>
        <v>1710.6511586470301</v>
      </c>
      <c r="P11" s="21">
        <f>O11/480</f>
        <v>3.563856580514646</v>
      </c>
    </row>
    <row r="12" spans="1:18" ht="13.5" thickBot="1" x14ac:dyDescent="0.25">
      <c r="C12" s="37">
        <v>6</v>
      </c>
      <c r="D12" s="37">
        <v>4</v>
      </c>
      <c r="E12" s="31">
        <v>2.0499999999999998</v>
      </c>
      <c r="F12" s="31"/>
      <c r="G12" s="26"/>
      <c r="H12" s="26">
        <f>SUM(E12:G12)</f>
        <v>2.0499999999999998</v>
      </c>
      <c r="I12" s="38"/>
      <c r="K12" s="24">
        <f>H12/D12*1000</f>
        <v>512.5</v>
      </c>
      <c r="L12" s="24">
        <f>K12/1.016*10</f>
        <v>5044.2913385826778</v>
      </c>
      <c r="M12" s="23">
        <f>L12/1.12085</f>
        <v>4500.4160579762483</v>
      </c>
      <c r="N12" s="22">
        <f>L12*$O$4</f>
        <v>1778.5682669219564</v>
      </c>
      <c r="O12" s="22">
        <f>M12*$O$4</f>
        <v>1586.8031109621772</v>
      </c>
      <c r="P12" s="21">
        <f>O12/480</f>
        <v>3.305839814504536</v>
      </c>
    </row>
    <row r="13" spans="1:18" ht="13.5" thickBot="1" x14ac:dyDescent="0.25">
      <c r="C13" s="37">
        <v>7</v>
      </c>
      <c r="D13" s="37">
        <v>4</v>
      </c>
      <c r="E13" s="31">
        <v>1.46</v>
      </c>
      <c r="F13" s="31">
        <v>0.64</v>
      </c>
      <c r="G13" s="26"/>
      <c r="H13" s="26">
        <f>SUM(E13:G13)</f>
        <v>2.1</v>
      </c>
      <c r="I13" s="38"/>
      <c r="K13" s="24">
        <f>H13/D13*1000</f>
        <v>525</v>
      </c>
      <c r="L13" s="24">
        <f>K13/1.016*10</f>
        <v>5167.322834645669</v>
      </c>
      <c r="M13" s="23">
        <f>L13/1.12085</f>
        <v>4610.1823032927414</v>
      </c>
      <c r="N13" s="22">
        <f>L13*$O$4</f>
        <v>1821.9479807493208</v>
      </c>
      <c r="O13" s="22">
        <f>M13*$O$4</f>
        <v>1625.5056258636935</v>
      </c>
      <c r="P13" s="21">
        <f>O13/480</f>
        <v>3.3864700538826948</v>
      </c>
    </row>
    <row r="14" spans="1:18" ht="13.5" thickBot="1" x14ac:dyDescent="0.25">
      <c r="C14" s="37">
        <v>8</v>
      </c>
      <c r="D14" s="37">
        <v>4</v>
      </c>
      <c r="E14" s="31">
        <v>1.4</v>
      </c>
      <c r="F14" s="31"/>
      <c r="G14" s="26"/>
      <c r="H14" s="26">
        <f>SUM(E14:G14)</f>
        <v>1.4</v>
      </c>
      <c r="I14" s="38"/>
      <c r="K14" s="24">
        <f>H14/D14*1000</f>
        <v>350</v>
      </c>
      <c r="L14" s="24">
        <f>K14/1.016*10</f>
        <v>3444.8818897637793</v>
      </c>
      <c r="M14" s="23">
        <f>L14/1.12085</f>
        <v>3073.4548688618279</v>
      </c>
      <c r="N14" s="22">
        <f>L14*$O$4</f>
        <v>1214.6319871662138</v>
      </c>
      <c r="O14" s="22">
        <f>M14*$O$4</f>
        <v>1083.6704172424625</v>
      </c>
      <c r="P14" s="21">
        <f>O14/480</f>
        <v>2.2576467025884637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11.16</v>
      </c>
      <c r="I18" s="13"/>
      <c r="J18" s="12"/>
      <c r="K18" s="17">
        <f>AVERAGE(K9:K14)+K16/6</f>
        <v>465</v>
      </c>
      <c r="L18" s="17">
        <f>AVERAGE(L9:L14)+L16/6</f>
        <v>4576.7716535433074</v>
      </c>
      <c r="M18" s="19">
        <f>AVERAGE(M9:M14)+M16/6</f>
        <v>4083.3043257735717</v>
      </c>
      <c r="N18" s="18">
        <f>AVERAGE(N9:N14)+N16/6</f>
        <v>1613.72535437797</v>
      </c>
      <c r="O18" s="18">
        <f>AVERAGE(O9:O14)+O16/6</f>
        <v>1439.7335543364143</v>
      </c>
      <c r="P18" s="17">
        <f>AVERAGE(P9:P14)+P16/6</f>
        <v>2.9994449048675302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0.12847827313077759</v>
      </c>
      <c r="I19" s="13"/>
      <c r="J19" s="12"/>
      <c r="K19" s="10">
        <f>STDEV(K9:K14)/SQRT(COUNT(K9:K14))</f>
        <v>32.119568282694381</v>
      </c>
      <c r="L19" s="10">
        <f>STDEV(L9:L14)/SQRT(COUNT(L9:L14))</f>
        <v>316.13748309738634</v>
      </c>
      <c r="M19" s="11">
        <f>STDEV(M9:M14)/SQRT(COUNT(M9:M14))</f>
        <v>282.05155292624676</v>
      </c>
      <c r="N19" s="10">
        <f>STDEV(N9:N14)/SQRT(COUNT(N9:N14))</f>
        <v>111.46701442894231</v>
      </c>
      <c r="O19" s="10">
        <f>STDEV(O9:O14)/SQRT(COUNT(O9:O14))</f>
        <v>99.448645607300548</v>
      </c>
      <c r="P19" s="9">
        <f>STDEV(P9:P14)/SQRT(COUNT(P9:P14))</f>
        <v>0.20718467834854234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EAE49E-7C7A-4556-835D-A781DC847767}">
  <sheetPr codeName="Sheet34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45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2485.8000000000002</v>
      </c>
      <c r="N3" s="51" t="s">
        <v>116</v>
      </c>
      <c r="O3" s="50">
        <f>(L3-(L4+L5))/L3</f>
        <v>5.0164936841258452E-2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886.9</v>
      </c>
      <c r="N4" s="51" t="s">
        <v>111</v>
      </c>
      <c r="O4" s="50">
        <f>L4/L3</f>
        <v>0.35678654759031292</v>
      </c>
    </row>
    <row r="5" spans="1:18" ht="17.25" thickTop="1" thickBot="1" x14ac:dyDescent="0.25">
      <c r="B5" s="54" t="s">
        <v>110</v>
      </c>
      <c r="C5" s="53">
        <v>0.5</v>
      </c>
      <c r="F5" s="49"/>
      <c r="G5" s="49"/>
      <c r="K5" s="51" t="s">
        <v>109</v>
      </c>
      <c r="L5" s="52">
        <v>1474.2</v>
      </c>
      <c r="N5" s="51" t="s">
        <v>108</v>
      </c>
      <c r="O5" s="50">
        <f>L5/L3</f>
        <v>0.59304851556842864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0.7</v>
      </c>
      <c r="F9" s="31">
        <v>0.91</v>
      </c>
      <c r="G9" s="26"/>
      <c r="H9" s="26">
        <f>SUM(E9:G9)</f>
        <v>1.6099999999999999</v>
      </c>
      <c r="I9" s="38"/>
      <c r="K9" s="24">
        <f>H9/D9*1000</f>
        <v>402.49999999999994</v>
      </c>
      <c r="L9" s="24">
        <f>K9/1.016*10</f>
        <v>3961.6141732283459</v>
      </c>
      <c r="M9" s="23">
        <f>L9/1.12085</f>
        <v>3534.4730991911015</v>
      </c>
      <c r="N9" s="22">
        <f>L9*$O$4</f>
        <v>1413.4506437509933</v>
      </c>
      <c r="O9" s="22">
        <f>M9*$O$4</f>
        <v>1261.0524546112267</v>
      </c>
      <c r="P9" s="21">
        <f>O9/480</f>
        <v>2.627192613773389</v>
      </c>
    </row>
    <row r="10" spans="1:18" ht="13.5" thickBot="1" x14ac:dyDescent="0.25">
      <c r="C10" s="37">
        <v>4</v>
      </c>
      <c r="D10" s="37">
        <v>4</v>
      </c>
      <c r="E10" s="31">
        <v>1.41</v>
      </c>
      <c r="F10" s="31">
        <v>0.47</v>
      </c>
      <c r="G10" s="26"/>
      <c r="H10" s="26">
        <f>SUM(E10:G10)</f>
        <v>1.88</v>
      </c>
      <c r="I10" s="38"/>
      <c r="K10" s="24">
        <f>H10/D10*1000</f>
        <v>470</v>
      </c>
      <c r="L10" s="24">
        <f>K10/1.016*10</f>
        <v>4625.9842519685035</v>
      </c>
      <c r="M10" s="23">
        <f>L10/1.12085</f>
        <v>4127.2108239001682</v>
      </c>
      <c r="N10" s="22">
        <f>L10*$O$4</f>
        <v>1650.4889504669986</v>
      </c>
      <c r="O10" s="22">
        <f>M10*$O$4</f>
        <v>1472.5333010367119</v>
      </c>
      <c r="P10" s="21">
        <f>O10/480</f>
        <v>3.0677777104931496</v>
      </c>
    </row>
    <row r="11" spans="1:18" ht="13.5" thickBot="1" x14ac:dyDescent="0.25">
      <c r="C11" s="37">
        <v>5</v>
      </c>
      <c r="D11" s="37">
        <v>4</v>
      </c>
      <c r="E11" s="31">
        <v>1.06</v>
      </c>
      <c r="F11" s="31">
        <v>0.86</v>
      </c>
      <c r="G11" s="26">
        <v>0.28999999999999998</v>
      </c>
      <c r="H11" s="26">
        <f>SUM(E11:G11)</f>
        <v>2.21</v>
      </c>
      <c r="I11" s="38"/>
      <c r="K11" s="24">
        <f>H11/D11*1000</f>
        <v>552.5</v>
      </c>
      <c r="L11" s="24">
        <f>K11/1.016*10</f>
        <v>5437.9921259842522</v>
      </c>
      <c r="M11" s="23">
        <f>L11/1.12085</f>
        <v>4851.6680429890284</v>
      </c>
      <c r="N11" s="22">
        <f>L11*$O$4</f>
        <v>1940.2024364532274</v>
      </c>
      <c r="O11" s="22">
        <f>M11*$O$4</f>
        <v>1731.0098911123052</v>
      </c>
      <c r="P11" s="21">
        <f>O11/480</f>
        <v>3.6062706064839691</v>
      </c>
    </row>
    <row r="12" spans="1:18" ht="13.5" thickBot="1" x14ac:dyDescent="0.25">
      <c r="C12" s="37">
        <v>6</v>
      </c>
      <c r="D12" s="37">
        <v>4</v>
      </c>
      <c r="E12" s="31">
        <v>0.77</v>
      </c>
      <c r="F12" s="31">
        <v>0.97</v>
      </c>
      <c r="G12" s="26"/>
      <c r="H12" s="26">
        <f>SUM(E12:G12)</f>
        <v>1.74</v>
      </c>
      <c r="I12" s="38"/>
      <c r="K12" s="24">
        <f>H12/D12*1000</f>
        <v>435</v>
      </c>
      <c r="L12" s="24">
        <f>K12/1.016*10</f>
        <v>4281.4960629921261</v>
      </c>
      <c r="M12" s="23">
        <f>L12/1.12085</f>
        <v>3819.8653370139864</v>
      </c>
      <c r="N12" s="22">
        <f>L12*$O$4</f>
        <v>1527.5801988364776</v>
      </c>
      <c r="O12" s="22">
        <f>M12*$O$4</f>
        <v>1362.8765658531274</v>
      </c>
      <c r="P12" s="21">
        <f>O12/480</f>
        <v>2.8393261788606821</v>
      </c>
    </row>
    <row r="13" spans="1:18" ht="13.5" thickBot="1" x14ac:dyDescent="0.25">
      <c r="C13" s="37">
        <v>7</v>
      </c>
      <c r="D13" s="37">
        <v>4</v>
      </c>
      <c r="E13" s="31">
        <v>1.4</v>
      </c>
      <c r="F13" s="31">
        <v>0.72</v>
      </c>
      <c r="G13" s="26"/>
      <c r="H13" s="26">
        <f>SUM(E13:G13)</f>
        <v>2.12</v>
      </c>
      <c r="I13" s="38"/>
      <c r="K13" s="24">
        <f>H13/D13*1000</f>
        <v>530</v>
      </c>
      <c r="L13" s="24">
        <f>K13/1.016*10</f>
        <v>5216.535433070866</v>
      </c>
      <c r="M13" s="23">
        <f>L13/1.12085</f>
        <v>4654.0888014193397</v>
      </c>
      <c r="N13" s="22">
        <f>L13*$O$4</f>
        <v>1861.1896675478922</v>
      </c>
      <c r="O13" s="22">
        <f>M13*$O$4</f>
        <v>1660.5162756371437</v>
      </c>
      <c r="P13" s="21">
        <f>O13/480</f>
        <v>3.4594089075773828</v>
      </c>
    </row>
    <row r="14" spans="1:18" ht="13.5" thickBot="1" x14ac:dyDescent="0.25">
      <c r="C14" s="37">
        <v>8</v>
      </c>
      <c r="D14" s="37">
        <v>4</v>
      </c>
      <c r="E14" s="31">
        <v>1.0900000000000001</v>
      </c>
      <c r="F14" s="31">
        <v>0.49</v>
      </c>
      <c r="G14" s="26"/>
      <c r="H14" s="26">
        <f>SUM(E14:G14)</f>
        <v>1.58</v>
      </c>
      <c r="I14" s="38"/>
      <c r="K14" s="24">
        <f>H14/D14*1000</f>
        <v>395</v>
      </c>
      <c r="L14" s="24">
        <f>K14/1.016*10</f>
        <v>3887.7952755905512</v>
      </c>
      <c r="M14" s="23">
        <f>L14/1.12085</f>
        <v>3468.6133520012058</v>
      </c>
      <c r="N14" s="22">
        <f>L14*$O$4</f>
        <v>1387.1130541158818</v>
      </c>
      <c r="O14" s="22">
        <f>M14*$O$4</f>
        <v>1237.5545827861731</v>
      </c>
      <c r="P14" s="21">
        <f>O14/480</f>
        <v>2.5782387141378607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11.139999999999999</v>
      </c>
      <c r="I18" s="13"/>
      <c r="J18" s="12"/>
      <c r="K18" s="17">
        <f>AVERAGE(K9:K14)+K16/6</f>
        <v>464.16666666666669</v>
      </c>
      <c r="L18" s="17">
        <f>AVERAGE(L9:L14)+L16/6</f>
        <v>4568.5695538057735</v>
      </c>
      <c r="M18" s="19">
        <f>AVERAGE(M9:M14)+M16/6</f>
        <v>4075.9865760858052</v>
      </c>
      <c r="N18" s="18">
        <f>AVERAGE(N9:N14)+N16/6</f>
        <v>1630.0041585285783</v>
      </c>
      <c r="O18" s="18">
        <f>AVERAGE(O9:O14)+O16/6</f>
        <v>1454.2571785061145</v>
      </c>
      <c r="P18" s="17">
        <f>AVERAGE(P9:P14)+P16/6</f>
        <v>3.0297024552210723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0.10735196525655571</v>
      </c>
      <c r="I19" s="13"/>
      <c r="J19" s="12"/>
      <c r="K19" s="10">
        <f>STDEV(K9:K14)/SQRT(COUNT(K9:K14))</f>
        <v>26.837991314138531</v>
      </c>
      <c r="L19" s="10">
        <f>STDEV(L9:L14)/SQRT(COUNT(L9:L14))</f>
        <v>264.15345781632624</v>
      </c>
      <c r="M19" s="11">
        <f>STDEV(M9:M14)/SQRT(COUNT(M9:M14))</f>
        <v>235.67244307117215</v>
      </c>
      <c r="N19" s="10">
        <f>STDEV(N9:N14)/SQRT(COUNT(N9:N14))</f>
        <v>94.246400248330588</v>
      </c>
      <c r="O19" s="10">
        <f>STDEV(O9:O14)/SQRT(COUNT(O9:O14))</f>
        <v>84.084757325539243</v>
      </c>
      <c r="P19" s="9">
        <f>STDEV(P9:P14)/SQRT(COUNT(P9:P14))</f>
        <v>0.17517657776153861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79A15-E4C9-4624-9D69-C761AF63A26C}">
  <sheetPr codeName="Sheet35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46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2902.1</v>
      </c>
      <c r="N3" s="51" t="s">
        <v>116</v>
      </c>
      <c r="O3" s="50">
        <f>(L3-(L4+L5))/L3</f>
        <v>3.8971779056545232E-2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1033.4000000000001</v>
      </c>
      <c r="N4" s="51" t="s">
        <v>111</v>
      </c>
      <c r="O4" s="50">
        <f>L4/L3</f>
        <v>0.35608697150339413</v>
      </c>
    </row>
    <row r="5" spans="1:18" ht="17.25" thickTop="1" thickBot="1" x14ac:dyDescent="0.25">
      <c r="B5" s="54" t="s">
        <v>110</v>
      </c>
      <c r="C5" s="53">
        <v>0.56041666666666667</v>
      </c>
      <c r="F5" s="49"/>
      <c r="G5" s="49"/>
      <c r="K5" s="51" t="s">
        <v>109</v>
      </c>
      <c r="L5" s="52">
        <v>1755.6</v>
      </c>
      <c r="N5" s="51" t="s">
        <v>108</v>
      </c>
      <c r="O5" s="50">
        <f>L5/L3</f>
        <v>0.60494124944006067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1.1599999999999999</v>
      </c>
      <c r="F9" s="31">
        <v>0.92</v>
      </c>
      <c r="G9" s="26"/>
      <c r="H9" s="26">
        <f>SUM(E9:G9)</f>
        <v>2.08</v>
      </c>
      <c r="I9" s="38"/>
      <c r="K9" s="24">
        <f>H9/D9*1000</f>
        <v>520</v>
      </c>
      <c r="L9" s="24">
        <f>K9/1.016*10</f>
        <v>5118.110236220472</v>
      </c>
      <c r="M9" s="23">
        <f>L9/1.12085</f>
        <v>4566.275805166144</v>
      </c>
      <c r="N9" s="22">
        <f>L9*$O$4</f>
        <v>1822.4923738362691</v>
      </c>
      <c r="O9" s="22">
        <f>M9*$O$4</f>
        <v>1625.9913225108348</v>
      </c>
      <c r="P9" s="21">
        <f>O9/480</f>
        <v>3.3874819218975727</v>
      </c>
    </row>
    <row r="10" spans="1:18" ht="13.5" thickBot="1" x14ac:dyDescent="0.25">
      <c r="C10" s="37">
        <v>4</v>
      </c>
      <c r="D10" s="37">
        <v>4</v>
      </c>
      <c r="E10" s="31">
        <v>0.76</v>
      </c>
      <c r="F10" s="31">
        <v>0.96</v>
      </c>
      <c r="G10" s="26"/>
      <c r="H10" s="26">
        <f>SUM(E10:G10)</f>
        <v>1.72</v>
      </c>
      <c r="I10" s="38"/>
      <c r="K10" s="24">
        <f>H10/D10*1000</f>
        <v>430</v>
      </c>
      <c r="L10" s="24">
        <f>K10/1.016*10</f>
        <v>4232.2834645669291</v>
      </c>
      <c r="M10" s="23">
        <f>L10/1.12085</f>
        <v>3775.9588388873885</v>
      </c>
      <c r="N10" s="22">
        <f>L10*$O$4</f>
        <v>1507.0610014415304</v>
      </c>
      <c r="O10" s="22">
        <f>M10*$O$4</f>
        <v>1344.5697474608828</v>
      </c>
      <c r="P10" s="21">
        <f>O10/480</f>
        <v>2.8011869738768391</v>
      </c>
    </row>
    <row r="11" spans="1:18" ht="13.5" thickBot="1" x14ac:dyDescent="0.25">
      <c r="C11" s="37">
        <v>5</v>
      </c>
      <c r="D11" s="37">
        <v>4</v>
      </c>
      <c r="E11" s="31">
        <v>0.8</v>
      </c>
      <c r="F11" s="31">
        <v>0.71</v>
      </c>
      <c r="G11" s="26">
        <v>0.7</v>
      </c>
      <c r="H11" s="26">
        <f>SUM(E11:G11)</f>
        <v>2.21</v>
      </c>
      <c r="I11" s="38"/>
      <c r="K11" s="24">
        <f>H11/D11*1000</f>
        <v>552.5</v>
      </c>
      <c r="L11" s="24">
        <f>K11/1.016*10</f>
        <v>5437.9921259842522</v>
      </c>
      <c r="M11" s="23">
        <f>L11/1.12085</f>
        <v>4851.6680429890284</v>
      </c>
      <c r="N11" s="22">
        <f>L11*$O$4</f>
        <v>1936.3981472010362</v>
      </c>
      <c r="O11" s="22">
        <f>M11*$O$4</f>
        <v>1727.6157801677621</v>
      </c>
      <c r="P11" s="21">
        <f>O11/480</f>
        <v>3.5991995420161711</v>
      </c>
    </row>
    <row r="12" spans="1:18" ht="13.5" thickBot="1" x14ac:dyDescent="0.25">
      <c r="C12" s="37">
        <v>6</v>
      </c>
      <c r="D12" s="37">
        <v>4</v>
      </c>
      <c r="E12" s="31">
        <v>1.48</v>
      </c>
      <c r="F12" s="31">
        <v>0.83</v>
      </c>
      <c r="G12" s="26"/>
      <c r="H12" s="26">
        <f>SUM(E12:G12)</f>
        <v>2.31</v>
      </c>
      <c r="I12" s="38"/>
      <c r="K12" s="24">
        <f>H12/D12*1000</f>
        <v>577.5</v>
      </c>
      <c r="L12" s="24">
        <f>K12/1.016*10</f>
        <v>5684.0551181102364</v>
      </c>
      <c r="M12" s="23">
        <f>L12/1.12085</f>
        <v>5071.2005336220163</v>
      </c>
      <c r="N12" s="22">
        <f>L12*$O$4</f>
        <v>2024.0179728662413</v>
      </c>
      <c r="O12" s="22">
        <f>M12*$O$4</f>
        <v>1805.7884399038601</v>
      </c>
      <c r="P12" s="21">
        <f>O12/480</f>
        <v>3.7620592497997083</v>
      </c>
    </row>
    <row r="13" spans="1:18" ht="13.5" thickBot="1" x14ac:dyDescent="0.25">
      <c r="C13" s="37">
        <v>7</v>
      </c>
      <c r="D13" s="37">
        <v>4</v>
      </c>
      <c r="E13" s="31">
        <v>1.1499999999999999</v>
      </c>
      <c r="F13" s="31">
        <v>1.07</v>
      </c>
      <c r="G13" s="26"/>
      <c r="H13" s="26">
        <f>SUM(E13:G13)</f>
        <v>2.2199999999999998</v>
      </c>
      <c r="I13" s="38"/>
      <c r="K13" s="24">
        <f>H13/D13*1000</f>
        <v>554.99999999999989</v>
      </c>
      <c r="L13" s="24">
        <f>K13/1.016*10</f>
        <v>5462.5984251968484</v>
      </c>
      <c r="M13" s="23">
        <f>L13/1.12085</f>
        <v>4873.6212920523258</v>
      </c>
      <c r="N13" s="22">
        <f>L13*$O$4</f>
        <v>1945.1601297675559</v>
      </c>
      <c r="O13" s="22">
        <f>M13*$O$4</f>
        <v>1735.4330461413715</v>
      </c>
      <c r="P13" s="21">
        <f>O13/480</f>
        <v>3.6154855127945238</v>
      </c>
    </row>
    <row r="14" spans="1:18" ht="13.5" thickBot="1" x14ac:dyDescent="0.25">
      <c r="C14" s="37">
        <v>8</v>
      </c>
      <c r="D14" s="37">
        <v>4</v>
      </c>
      <c r="E14" s="31">
        <v>1.08</v>
      </c>
      <c r="F14" s="31">
        <v>1.23</v>
      </c>
      <c r="G14" s="26"/>
      <c r="H14" s="26">
        <f>SUM(E14:G14)</f>
        <v>2.31</v>
      </c>
      <c r="I14" s="38"/>
      <c r="K14" s="24">
        <f>H14/D14*1000</f>
        <v>577.5</v>
      </c>
      <c r="L14" s="24">
        <f>K14/1.016*10</f>
        <v>5684.0551181102364</v>
      </c>
      <c r="M14" s="23">
        <f>L14/1.12085</f>
        <v>5071.2005336220163</v>
      </c>
      <c r="N14" s="22">
        <f>L14*$O$4</f>
        <v>2024.0179728662413</v>
      </c>
      <c r="O14" s="22">
        <f>M14*$O$4</f>
        <v>1805.7884399038601</v>
      </c>
      <c r="P14" s="21">
        <f>O14/480</f>
        <v>3.7620592497997083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12.85</v>
      </c>
      <c r="I18" s="13"/>
      <c r="J18" s="12"/>
      <c r="K18" s="17">
        <f>AVERAGE(K9:K14)+K16/6</f>
        <v>535.41666666666663</v>
      </c>
      <c r="L18" s="17">
        <f>AVERAGE(L9:L14)+L16/6</f>
        <v>5269.8490813648286</v>
      </c>
      <c r="M18" s="19">
        <f>AVERAGE(M9:M14)+M16/6</f>
        <v>4701.6541743898206</v>
      </c>
      <c r="N18" s="18">
        <f>AVERAGE(N9:N14)+N16/6</f>
        <v>1876.5245996631456</v>
      </c>
      <c r="O18" s="18">
        <f>AVERAGE(O9:O14)+O16/6</f>
        <v>1674.1977960147617</v>
      </c>
      <c r="P18" s="17">
        <f>AVERAGE(P9:P14)+P16/6</f>
        <v>3.4879120750307542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9.1119579552244312E-2</v>
      </c>
      <c r="I19" s="13"/>
      <c r="J19" s="12"/>
      <c r="K19" s="10">
        <f>STDEV(K9:K14)/SQRT(COUNT(K9:K14))</f>
        <v>22.779894888061072</v>
      </c>
      <c r="L19" s="10">
        <f>STDEV(L9:L14)/SQRT(COUNT(L9:L14))</f>
        <v>224.21156385886889</v>
      </c>
      <c r="M19" s="11">
        <f>STDEV(M9:M14)/SQRT(COUNT(M9:M14))</f>
        <v>200.03708244534855</v>
      </c>
      <c r="N19" s="10">
        <f>STDEV(N9:N14)/SQRT(COUNT(N9:N14))</f>
        <v>79.838816750544439</v>
      </c>
      <c r="O19" s="10">
        <f>STDEV(O9:O14)/SQRT(COUNT(O9:O14))</f>
        <v>71.230598876338931</v>
      </c>
      <c r="P19" s="9">
        <f>STDEV(P9:P14)/SQRT(COUNT(P9:P14))</f>
        <v>0.14839708099237273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B7350C-B797-4897-BCD9-28A4A6FDBF12}">
  <sheetPr codeName="Sheet36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47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1920.4</v>
      </c>
      <c r="N3" s="51" t="s">
        <v>116</v>
      </c>
      <c r="O3" s="50">
        <f>(L3-(L4+L5))/L3</f>
        <v>5.4467819204332496E-2</v>
      </c>
    </row>
    <row r="4" spans="1:18" ht="17.25" thickTop="1" thickBot="1" x14ac:dyDescent="0.25">
      <c r="B4" s="54" t="s">
        <v>115</v>
      </c>
      <c r="C4" s="56">
        <v>39388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663.7</v>
      </c>
      <c r="N4" s="51" t="s">
        <v>111</v>
      </c>
      <c r="O4" s="50">
        <f>L4/L3</f>
        <v>0.34560508227452613</v>
      </c>
    </row>
    <row r="5" spans="1:18" ht="17.25" thickTop="1" thickBot="1" x14ac:dyDescent="0.25">
      <c r="B5" s="54" t="s">
        <v>110</v>
      </c>
      <c r="C5" s="53">
        <v>0.51597222222222217</v>
      </c>
      <c r="F5" s="49"/>
      <c r="G5" s="49"/>
      <c r="K5" s="51" t="s">
        <v>109</v>
      </c>
      <c r="L5" s="52">
        <v>1152.0999999999999</v>
      </c>
      <c r="N5" s="51" t="s">
        <v>108</v>
      </c>
      <c r="O5" s="50">
        <f>L5/L3</f>
        <v>0.59992709852114134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0.72</v>
      </c>
      <c r="F9" s="31">
        <v>0.96</v>
      </c>
      <c r="G9" s="26"/>
      <c r="H9" s="26">
        <f>SUM(E9:G9)</f>
        <v>1.68</v>
      </c>
      <c r="I9" s="38"/>
      <c r="K9" s="24">
        <f>H9/D9*1000</f>
        <v>420</v>
      </c>
      <c r="L9" s="24">
        <f>K9/1.016*10</f>
        <v>4133.858267716535</v>
      </c>
      <c r="M9" s="23">
        <f>L9/1.12085</f>
        <v>3688.1458426341933</v>
      </c>
      <c r="N9" s="22">
        <f>L9*$O$4</f>
        <v>1428.682426725403</v>
      </c>
      <c r="O9" s="22">
        <f>M9*$O$4</f>
        <v>1274.6419473840419</v>
      </c>
      <c r="P9" s="21">
        <f>O9/480</f>
        <v>2.6555040570500874</v>
      </c>
    </row>
    <row r="10" spans="1:18" ht="13.5" thickBot="1" x14ac:dyDescent="0.25">
      <c r="C10" s="37">
        <v>4</v>
      </c>
      <c r="D10" s="37">
        <v>4</v>
      </c>
      <c r="E10" s="31">
        <v>1.41</v>
      </c>
      <c r="F10" s="31"/>
      <c r="G10" s="26"/>
      <c r="H10" s="26">
        <f>SUM(E10:G10)</f>
        <v>1.41</v>
      </c>
      <c r="I10" s="38"/>
      <c r="K10" s="24">
        <f>H10/D10*1000</f>
        <v>352.5</v>
      </c>
      <c r="L10" s="24">
        <f>K10/1.016*10</f>
        <v>3469.4881889763783</v>
      </c>
      <c r="M10" s="23">
        <f>L10/1.12085</f>
        <v>3095.408117925127</v>
      </c>
      <c r="N10" s="22">
        <f>L10*$O$4</f>
        <v>1199.0727510016779</v>
      </c>
      <c r="O10" s="22">
        <f>M10*$O$4</f>
        <v>1069.7887772687495</v>
      </c>
      <c r="P10" s="21">
        <f>O10/480</f>
        <v>2.2287266193098949</v>
      </c>
    </row>
    <row r="11" spans="1:18" ht="13.5" thickBot="1" x14ac:dyDescent="0.25">
      <c r="C11" s="37">
        <v>5</v>
      </c>
      <c r="D11" s="37">
        <v>4</v>
      </c>
      <c r="E11" s="31">
        <v>1.06</v>
      </c>
      <c r="F11" s="31">
        <v>0.61</v>
      </c>
      <c r="G11" s="26"/>
      <c r="H11" s="26">
        <f>SUM(E11:G11)</f>
        <v>1.67</v>
      </c>
      <c r="I11" s="38"/>
      <c r="K11" s="24">
        <f>H11/D11*1000</f>
        <v>417.5</v>
      </c>
      <c r="L11" s="24">
        <f>K11/1.016*10</f>
        <v>4109.251968503937</v>
      </c>
      <c r="M11" s="23">
        <f>L11/1.12085</f>
        <v>3666.1925935708946</v>
      </c>
      <c r="N11" s="22">
        <f>L11*$O$4</f>
        <v>1420.1783646615615</v>
      </c>
      <c r="O11" s="22">
        <f>M11*$O$4</f>
        <v>1267.0547929353274</v>
      </c>
      <c r="P11" s="21">
        <f>O11/480</f>
        <v>2.6396974852819324</v>
      </c>
    </row>
    <row r="12" spans="1:18" ht="13.5" thickBot="1" x14ac:dyDescent="0.25">
      <c r="C12" s="37">
        <v>6</v>
      </c>
      <c r="D12" s="37">
        <v>4</v>
      </c>
      <c r="E12" s="31">
        <v>0.73</v>
      </c>
      <c r="F12" s="31">
        <v>0.63</v>
      </c>
      <c r="G12" s="26"/>
      <c r="H12" s="26">
        <f>SUM(E12:G12)</f>
        <v>1.3599999999999999</v>
      </c>
      <c r="I12" s="38"/>
      <c r="K12" s="24">
        <f>H12/D12*1000</f>
        <v>339.99999999999994</v>
      </c>
      <c r="L12" s="24">
        <f>K12/1.016*10</f>
        <v>3346.4566929133853</v>
      </c>
      <c r="M12" s="23">
        <f>L12/1.12085</f>
        <v>2985.6418726086322</v>
      </c>
      <c r="N12" s="22">
        <f>L12*$O$4</f>
        <v>1156.5524406824691</v>
      </c>
      <c r="O12" s="22">
        <f>M12*$O$4</f>
        <v>1031.8530050251766</v>
      </c>
      <c r="P12" s="21">
        <f>O12/480</f>
        <v>2.149693760469118</v>
      </c>
    </row>
    <row r="13" spans="1:18" ht="13.5" thickBot="1" x14ac:dyDescent="0.25">
      <c r="C13" s="37">
        <v>7</v>
      </c>
      <c r="D13" s="37">
        <v>4</v>
      </c>
      <c r="E13" s="31">
        <v>0.82</v>
      </c>
      <c r="F13" s="31"/>
      <c r="G13" s="26"/>
      <c r="H13" s="26">
        <f>SUM(E13:G13)</f>
        <v>0.82</v>
      </c>
      <c r="I13" s="38"/>
      <c r="K13" s="24">
        <f>H13/D13*1000</f>
        <v>205</v>
      </c>
      <c r="L13" s="24">
        <f>K13/1.016*10</f>
        <v>2017.7165354330709</v>
      </c>
      <c r="M13" s="23">
        <f>L13/1.12085</f>
        <v>1800.1664231904992</v>
      </c>
      <c r="N13" s="22">
        <f>L13*$O$4</f>
        <v>697.33308923501829</v>
      </c>
      <c r="O13" s="22">
        <f>M13*$O$4</f>
        <v>622.14666479459197</v>
      </c>
      <c r="P13" s="21">
        <f>O13/480</f>
        <v>1.2961388849887332</v>
      </c>
    </row>
    <row r="14" spans="1:18" ht="13.5" thickBot="1" x14ac:dyDescent="0.25">
      <c r="C14" s="37">
        <v>8</v>
      </c>
      <c r="D14" s="37">
        <v>4</v>
      </c>
      <c r="E14" s="31">
        <v>0.67</v>
      </c>
      <c r="F14" s="31">
        <v>0.83</v>
      </c>
      <c r="G14" s="26"/>
      <c r="H14" s="26">
        <f>SUM(E14:G14)</f>
        <v>1.5</v>
      </c>
      <c r="I14" s="38"/>
      <c r="K14" s="24">
        <f>H14/D14*1000</f>
        <v>375</v>
      </c>
      <c r="L14" s="24">
        <f>K14/1.016*10</f>
        <v>3690.9448818897636</v>
      </c>
      <c r="M14" s="23">
        <f>L14/1.12085</f>
        <v>3292.9873594948153</v>
      </c>
      <c r="N14" s="22">
        <f>L14*$O$4</f>
        <v>1275.6093095762528</v>
      </c>
      <c r="O14" s="22">
        <f>M14*$O$4</f>
        <v>1138.0731673071803</v>
      </c>
      <c r="P14" s="21">
        <f>O14/480</f>
        <v>2.3709857652232924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8.44</v>
      </c>
      <c r="I18" s="13"/>
      <c r="J18" s="12"/>
      <c r="K18" s="17">
        <f>AVERAGE(K9:K14)+K16/6</f>
        <v>351.66666666666669</v>
      </c>
      <c r="L18" s="17">
        <f>AVERAGE(L9:L14)+L16/6</f>
        <v>3461.2860892388453</v>
      </c>
      <c r="M18" s="19">
        <f>AVERAGE(M9:M14)+M16/6</f>
        <v>3088.0903682373605</v>
      </c>
      <c r="N18" s="18">
        <f>AVERAGE(N9:N14)+N16/6</f>
        <v>1196.2380636470637</v>
      </c>
      <c r="O18" s="18">
        <f>AVERAGE(O9:O14)+O16/6</f>
        <v>1067.2597257858447</v>
      </c>
      <c r="P18" s="17">
        <f>AVERAGE(P9:P14)+P16/6</f>
        <v>2.2234577620538429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0.1289875101619444</v>
      </c>
      <c r="I19" s="13"/>
      <c r="J19" s="12"/>
      <c r="K19" s="10">
        <f>STDEV(K9:K14)/SQRT(COUNT(K9:K14))</f>
        <v>32.246877540486189</v>
      </c>
      <c r="L19" s="10">
        <f>STDEV(L9:L14)/SQRT(COUNT(L9:L14))</f>
        <v>317.39052697328799</v>
      </c>
      <c r="M19" s="11">
        <f>STDEV(M9:M14)/SQRT(COUNT(M9:M14))</f>
        <v>283.16949366399422</v>
      </c>
      <c r="N19" s="10">
        <f>STDEV(N9:N14)/SQRT(COUNT(N9:N14))</f>
        <v>109.6917791877588</v>
      </c>
      <c r="O19" s="10">
        <f>STDEV(O9:O14)/SQRT(COUNT(O9:O14))</f>
        <v>97.864816155380879</v>
      </c>
      <c r="P19" s="9">
        <f>STDEV(P9:P14)/SQRT(COUNT(P9:P14))</f>
        <v>0.20388503365704391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74858A-B02A-4182-AC66-B663D97A48D0}">
  <sheetPr codeName="Sheet37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60">
        <v>48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39379</v>
      </c>
      <c r="I3" s="57"/>
      <c r="K3" s="51" t="s">
        <v>117</v>
      </c>
      <c r="L3" s="52">
        <v>2862.3</v>
      </c>
      <c r="N3" s="51" t="s">
        <v>116</v>
      </c>
      <c r="O3" s="50">
        <f>(L3-(L4+L5))/L3</f>
        <v>4.339167802117172E-2</v>
      </c>
    </row>
    <row r="4" spans="1:18" ht="17.25" thickTop="1" thickBot="1" x14ac:dyDescent="0.25">
      <c r="B4" s="54" t="s">
        <v>115</v>
      </c>
      <c r="C4" s="56">
        <v>39392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1028.7</v>
      </c>
      <c r="N4" s="51" t="s">
        <v>111</v>
      </c>
      <c r="O4" s="50">
        <f>L4/L3</f>
        <v>0.35939628969709675</v>
      </c>
    </row>
    <row r="5" spans="1:18" ht="17.25" thickTop="1" thickBot="1" x14ac:dyDescent="0.25">
      <c r="B5" s="54" t="s">
        <v>110</v>
      </c>
      <c r="C5" s="53">
        <v>0.38750000000000001</v>
      </c>
      <c r="F5" s="49"/>
      <c r="G5" s="49"/>
      <c r="K5" s="51" t="s">
        <v>109</v>
      </c>
      <c r="L5" s="52">
        <v>1709.4</v>
      </c>
      <c r="N5" s="51" t="s">
        <v>108</v>
      </c>
      <c r="O5" s="50">
        <f>L5/L3</f>
        <v>0.59721203228173148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0.88</v>
      </c>
      <c r="F9" s="31">
        <v>1.47</v>
      </c>
      <c r="G9" s="26"/>
      <c r="H9" s="26">
        <f>SUM(E9:G9)</f>
        <v>2.35</v>
      </c>
      <c r="I9" s="38"/>
      <c r="K9" s="24">
        <f>H9/D9*1000</f>
        <v>587.5</v>
      </c>
      <c r="L9" s="24">
        <f>K9/1.016*10</f>
        <v>5782.4803149606296</v>
      </c>
      <c r="M9" s="23">
        <f>L9/1.12085</f>
        <v>5159.0135298752111</v>
      </c>
      <c r="N9" s="22">
        <f>L9*$O$4</f>
        <v>2078.2019704433496</v>
      </c>
      <c r="O9" s="22">
        <f>M9*$O$4</f>
        <v>1854.1303211342731</v>
      </c>
      <c r="P9" s="21">
        <f>O9/480</f>
        <v>3.8627715023630689</v>
      </c>
    </row>
    <row r="10" spans="1:18" ht="13.5" thickBot="1" x14ac:dyDescent="0.25">
      <c r="C10" s="37">
        <v>4</v>
      </c>
      <c r="D10" s="37">
        <v>4</v>
      </c>
      <c r="E10" s="31">
        <v>0.8</v>
      </c>
      <c r="F10" s="31">
        <v>0.67</v>
      </c>
      <c r="G10" s="26"/>
      <c r="H10" s="26">
        <f>SUM(E10:G10)</f>
        <v>1.4700000000000002</v>
      </c>
      <c r="I10" s="38"/>
      <c r="K10" s="24">
        <f>H10/D10*1000</f>
        <v>367.50000000000006</v>
      </c>
      <c r="L10" s="24">
        <f>K10/1.016*10</f>
        <v>3617.1259842519694</v>
      </c>
      <c r="M10" s="23">
        <f>L10/1.12085</f>
        <v>3227.1276123049201</v>
      </c>
      <c r="N10" s="22">
        <f>L10*$O$4</f>
        <v>1299.981658107117</v>
      </c>
      <c r="O10" s="22">
        <f>M10*$O$4</f>
        <v>1159.8176902414391</v>
      </c>
      <c r="P10" s="21">
        <f>O10/480</f>
        <v>2.4162868546696648</v>
      </c>
    </row>
    <row r="11" spans="1:18" ht="13.5" thickBot="1" x14ac:dyDescent="0.25">
      <c r="C11" s="37">
        <v>5</v>
      </c>
      <c r="D11" s="37">
        <v>4</v>
      </c>
      <c r="E11" s="31">
        <v>0.67</v>
      </c>
      <c r="F11" s="31">
        <v>0.78</v>
      </c>
      <c r="G11" s="26"/>
      <c r="H11" s="26">
        <f>SUM(E11:G11)</f>
        <v>1.4500000000000002</v>
      </c>
      <c r="I11" s="38"/>
      <c r="K11" s="24">
        <f>H11/D11*1000</f>
        <v>362.50000000000006</v>
      </c>
      <c r="L11" s="24">
        <f>K11/1.016*10</f>
        <v>3567.9133858267724</v>
      </c>
      <c r="M11" s="23">
        <f>L11/1.12085</f>
        <v>3183.2211141783223</v>
      </c>
      <c r="N11" s="22">
        <f>L11*$O$4</f>
        <v>1282.294832826748</v>
      </c>
      <c r="O11" s="22">
        <f>M11*$O$4</f>
        <v>1144.0378577211475</v>
      </c>
      <c r="P11" s="21">
        <f>O11/480</f>
        <v>2.3834122035857237</v>
      </c>
    </row>
    <row r="12" spans="1:18" ht="13.5" thickBot="1" x14ac:dyDescent="0.25">
      <c r="C12" s="37">
        <v>6</v>
      </c>
      <c r="D12" s="37">
        <v>4</v>
      </c>
      <c r="E12" s="31">
        <v>1.0900000000000001</v>
      </c>
      <c r="F12" s="31">
        <v>0.9</v>
      </c>
      <c r="G12" s="26"/>
      <c r="H12" s="26">
        <f>SUM(E12:G12)</f>
        <v>1.9900000000000002</v>
      </c>
      <c r="I12" s="38"/>
      <c r="K12" s="24">
        <f>H12/D12*1000</f>
        <v>497.50000000000006</v>
      </c>
      <c r="L12" s="24">
        <f>K12/1.016*10</f>
        <v>4896.6535433070876</v>
      </c>
      <c r="M12" s="23">
        <f>L12/1.12085</f>
        <v>4368.6965635964561</v>
      </c>
      <c r="N12" s="22">
        <f>L12*$O$4</f>
        <v>1759.8391153967093</v>
      </c>
      <c r="O12" s="22">
        <f>M12*$O$4</f>
        <v>1570.093335769023</v>
      </c>
      <c r="P12" s="21">
        <f>O12/480</f>
        <v>3.2710277828521312</v>
      </c>
    </row>
    <row r="13" spans="1:18" ht="13.5" thickBot="1" x14ac:dyDescent="0.25">
      <c r="C13" s="37">
        <v>7</v>
      </c>
      <c r="D13" s="37">
        <v>4</v>
      </c>
      <c r="E13" s="31">
        <v>0.67</v>
      </c>
      <c r="F13" s="31">
        <v>0.56000000000000005</v>
      </c>
      <c r="G13" s="26">
        <v>0.99</v>
      </c>
      <c r="H13" s="26">
        <f>SUM(E13:G13)</f>
        <v>2.2199999999999998</v>
      </c>
      <c r="I13" s="38"/>
      <c r="K13" s="24">
        <f>H13/D13*1000</f>
        <v>554.99999999999989</v>
      </c>
      <c r="L13" s="24">
        <f>K13/1.016*10</f>
        <v>5462.5984251968484</v>
      </c>
      <c r="M13" s="23">
        <f>L13/1.12085</f>
        <v>4873.6212920523258</v>
      </c>
      <c r="N13" s="22">
        <f>L13*$O$4</f>
        <v>1963.2376061209511</v>
      </c>
      <c r="O13" s="22">
        <f>M13*$O$4</f>
        <v>1751.5614097523767</v>
      </c>
      <c r="P13" s="21">
        <f>O13/480</f>
        <v>3.6490862703174516</v>
      </c>
    </row>
    <row r="14" spans="1:18" ht="13.5" thickBot="1" x14ac:dyDescent="0.25">
      <c r="C14" s="37">
        <v>8</v>
      </c>
      <c r="D14" s="37">
        <v>4</v>
      </c>
      <c r="E14" s="31">
        <v>0.76</v>
      </c>
      <c r="F14" s="31">
        <v>1.29</v>
      </c>
      <c r="G14" s="26"/>
      <c r="H14" s="26">
        <f>SUM(E14:G14)</f>
        <v>2.0499999999999998</v>
      </c>
      <c r="I14" s="38"/>
      <c r="K14" s="24">
        <f>H14/D14*1000</f>
        <v>512.5</v>
      </c>
      <c r="L14" s="24">
        <f>K14/1.016*10</f>
        <v>5044.2913385826778</v>
      </c>
      <c r="M14" s="23">
        <f>L14/1.12085</f>
        <v>4500.4160579762483</v>
      </c>
      <c r="N14" s="22">
        <f>L14*$O$4</f>
        <v>1812.8995912378159</v>
      </c>
      <c r="O14" s="22">
        <f>M14*$O$4</f>
        <v>1617.4328333298979</v>
      </c>
      <c r="P14" s="21">
        <f>O14/480</f>
        <v>3.369651736103954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11.530000000000001</v>
      </c>
      <c r="I18" s="13"/>
      <c r="J18" s="12"/>
      <c r="K18" s="17">
        <f>AVERAGE(K9:K14)+K16/6</f>
        <v>480.41666666666669</v>
      </c>
      <c r="L18" s="17">
        <f>AVERAGE(L9:L14)+L16/6</f>
        <v>4728.510498687664</v>
      </c>
      <c r="M18" s="19">
        <f>AVERAGE(M9:M14)+M16/6</f>
        <v>4218.6826949972465</v>
      </c>
      <c r="N18" s="18">
        <f>AVERAGE(N9:N14)+N16/6</f>
        <v>1699.4091290221152</v>
      </c>
      <c r="O18" s="18">
        <f>AVERAGE(O9:O14)+O16/6</f>
        <v>1516.1789079913594</v>
      </c>
      <c r="P18" s="17">
        <f>AVERAGE(P9:P14)+P16/6</f>
        <v>3.1587060583153321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0.15492829882812797</v>
      </c>
      <c r="I19" s="13"/>
      <c r="J19" s="12"/>
      <c r="K19" s="10">
        <f>STDEV(K9:K14)/SQRT(COUNT(K9:K14))</f>
        <v>38.732074707032012</v>
      </c>
      <c r="L19" s="10">
        <f>STDEV(L9:L14)/SQRT(COUNT(L9:L14))</f>
        <v>381.22120774637932</v>
      </c>
      <c r="M19" s="11">
        <f>STDEV(M9:M14)/SQRT(COUNT(M9:M14))</f>
        <v>340.11795311270868</v>
      </c>
      <c r="N19" s="10">
        <f>STDEV(N9:N14)/SQRT(COUNT(N9:N14))</f>
        <v>137.00948761789431</v>
      </c>
      <c r="O19" s="10">
        <f>STDEV(O9:O14)/SQRT(COUNT(O9:O14))</f>
        <v>122.23713040807871</v>
      </c>
      <c r="P19" s="9">
        <f>STDEV(P9:P14)/SQRT(COUNT(P9:P14))</f>
        <v>0.25466068835016287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F6425-5564-46F9-9DAF-D92C464DCDF1}">
  <sheetPr codeName="Sheet45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8" width="9.140625" style="8"/>
    <col min="9" max="9" width="9.7109375" style="8" customWidth="1"/>
    <col min="10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72">
        <v>2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39384</v>
      </c>
      <c r="I3" s="57"/>
      <c r="K3" s="51" t="s">
        <v>117</v>
      </c>
      <c r="L3" s="52">
        <v>3160.4</v>
      </c>
      <c r="N3" s="51" t="s">
        <v>116</v>
      </c>
      <c r="O3" s="50">
        <f>(L3-(L4+L5))/L3</f>
        <v>4.9740539172256765E-2</v>
      </c>
    </row>
    <row r="4" spans="1:18" ht="17.25" thickTop="1" thickBot="1" x14ac:dyDescent="0.25">
      <c r="B4" s="54" t="s">
        <v>115</v>
      </c>
      <c r="C4" s="56">
        <v>39386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1166.8</v>
      </c>
      <c r="N4" s="51" t="s">
        <v>111</v>
      </c>
      <c r="O4" s="50">
        <f>L4/L3</f>
        <v>0.36919377294013411</v>
      </c>
    </row>
    <row r="5" spans="1:18" ht="17.25" thickTop="1" thickBot="1" x14ac:dyDescent="0.25">
      <c r="B5" s="54" t="s">
        <v>110</v>
      </c>
      <c r="C5" s="53">
        <v>0.58333333333333337</v>
      </c>
      <c r="F5" s="49"/>
      <c r="G5" s="49"/>
      <c r="K5" s="51" t="s">
        <v>109</v>
      </c>
      <c r="L5" s="52">
        <v>1836.4</v>
      </c>
      <c r="N5" s="51" t="s">
        <v>108</v>
      </c>
      <c r="O5" s="50">
        <f>L5/L3</f>
        <v>0.58106568788760915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0.4</v>
      </c>
      <c r="F9" s="31">
        <v>1.0900000000000001</v>
      </c>
      <c r="G9" s="26"/>
      <c r="H9" s="26">
        <f>SUM(E9:G9)</f>
        <v>1.4900000000000002</v>
      </c>
      <c r="I9" s="38"/>
      <c r="K9" s="24">
        <f>H9/D9*1000</f>
        <v>372.50000000000006</v>
      </c>
      <c r="L9" s="24">
        <f>K9/1.016*10</f>
        <v>3666.3385826771655</v>
      </c>
      <c r="M9" s="23">
        <f>L9/1.12085</f>
        <v>3271.0341104315171</v>
      </c>
      <c r="N9" s="22">
        <f>L9*$O$4</f>
        <v>1353.5893742145665</v>
      </c>
      <c r="O9" s="22">
        <f>M9*$O$4</f>
        <v>1207.6454246460871</v>
      </c>
      <c r="P9" s="21">
        <f>O9/480</f>
        <v>2.5159279680126816</v>
      </c>
    </row>
    <row r="10" spans="1:18" ht="13.5" thickBot="1" x14ac:dyDescent="0.25">
      <c r="C10" s="37">
        <v>4</v>
      </c>
      <c r="D10" s="37">
        <v>4</v>
      </c>
      <c r="E10" s="31">
        <v>0.85</v>
      </c>
      <c r="F10" s="31">
        <v>0.91</v>
      </c>
      <c r="G10" s="26"/>
      <c r="H10" s="26">
        <f>SUM(E10:G10)</f>
        <v>1.76</v>
      </c>
      <c r="I10" s="38"/>
      <c r="K10" s="24">
        <f>H10/D10*1000</f>
        <v>440</v>
      </c>
      <c r="L10" s="24">
        <f>K10/1.016*10</f>
        <v>4330.7086614173222</v>
      </c>
      <c r="M10" s="23">
        <f>L10/1.12085</f>
        <v>3863.7718351405833</v>
      </c>
      <c r="N10" s="22">
        <f>L10*$O$4</f>
        <v>1598.870670213179</v>
      </c>
      <c r="O10" s="22">
        <f>M10*$O$4</f>
        <v>1426.4805015953777</v>
      </c>
      <c r="P10" s="21">
        <f>O10/480</f>
        <v>2.9718343783237038</v>
      </c>
    </row>
    <row r="11" spans="1:18" ht="13.5" thickBot="1" x14ac:dyDescent="0.25">
      <c r="C11" s="37">
        <v>5</v>
      </c>
      <c r="D11" s="37">
        <v>4</v>
      </c>
      <c r="E11" s="31">
        <v>0.94</v>
      </c>
      <c r="F11" s="31">
        <v>0.34</v>
      </c>
      <c r="G11" s="26"/>
      <c r="H11" s="26">
        <f>SUM(E11:G11)</f>
        <v>1.28</v>
      </c>
      <c r="I11" s="38"/>
      <c r="K11" s="24">
        <f>H11/D11*1000</f>
        <v>320</v>
      </c>
      <c r="L11" s="24">
        <f>K11/1.016*10</f>
        <v>3149.6062992125985</v>
      </c>
      <c r="M11" s="23">
        <f>L11/1.12085</f>
        <v>2810.0158801022426</v>
      </c>
      <c r="N11" s="22">
        <f>L11*$O$4</f>
        <v>1162.8150328823122</v>
      </c>
      <c r="O11" s="22">
        <f>M11*$O$4</f>
        <v>1037.4403647966385</v>
      </c>
      <c r="P11" s="21">
        <f>O11/480</f>
        <v>2.1613340933263303</v>
      </c>
    </row>
    <row r="12" spans="1:18" ht="13.5" thickBot="1" x14ac:dyDescent="0.25">
      <c r="C12" s="37">
        <v>6</v>
      </c>
      <c r="D12" s="37">
        <v>4</v>
      </c>
      <c r="E12" s="31">
        <v>1.01</v>
      </c>
      <c r="F12" s="31">
        <v>0.93</v>
      </c>
      <c r="G12" s="26"/>
      <c r="H12" s="26">
        <f>SUM(E12:G12)</f>
        <v>1.94</v>
      </c>
      <c r="I12" s="38"/>
      <c r="K12" s="24">
        <f>H12/D12*1000</f>
        <v>485</v>
      </c>
      <c r="L12" s="24">
        <f>K12/1.016*10</f>
        <v>4773.6220472440946</v>
      </c>
      <c r="M12" s="23">
        <f>L12/1.12085</f>
        <v>4258.9303182799613</v>
      </c>
      <c r="N12" s="22">
        <f>L12*$O$4</f>
        <v>1762.3915342122543</v>
      </c>
      <c r="O12" s="22">
        <f>M12*$O$4</f>
        <v>1572.3705528949051</v>
      </c>
      <c r="P12" s="21">
        <f>O12/480</f>
        <v>3.2757719851977192</v>
      </c>
    </row>
    <row r="13" spans="1:18" ht="13.5" thickBot="1" x14ac:dyDescent="0.25">
      <c r="C13" s="37">
        <v>7</v>
      </c>
      <c r="D13" s="37">
        <v>4</v>
      </c>
      <c r="E13" s="31">
        <v>1.04</v>
      </c>
      <c r="F13" s="31">
        <v>0.7</v>
      </c>
      <c r="G13" s="26"/>
      <c r="H13" s="26">
        <f>SUM(E13:G13)</f>
        <v>1.74</v>
      </c>
      <c r="I13" s="38"/>
      <c r="K13" s="24">
        <f>H13/D13*1000</f>
        <v>435</v>
      </c>
      <c r="L13" s="24">
        <f>K13/1.016*10</f>
        <v>4281.4960629921261</v>
      </c>
      <c r="M13" s="23">
        <f>L13/1.12085</f>
        <v>3819.8653370139864</v>
      </c>
      <c r="N13" s="22">
        <f>L13*$O$4</f>
        <v>1580.7016853243931</v>
      </c>
      <c r="O13" s="22">
        <f>M13*$O$4</f>
        <v>1410.2704958954305</v>
      </c>
      <c r="P13" s="21">
        <f>O13/480</f>
        <v>2.9380635331154803</v>
      </c>
    </row>
    <row r="14" spans="1:18" ht="13.5" thickBot="1" x14ac:dyDescent="0.25">
      <c r="C14" s="37">
        <v>8</v>
      </c>
      <c r="D14" s="37">
        <v>4</v>
      </c>
      <c r="E14" s="31">
        <v>1.18</v>
      </c>
      <c r="F14" s="31">
        <v>0.88</v>
      </c>
      <c r="G14" s="26"/>
      <c r="H14" s="26">
        <f>SUM(E14:G14)</f>
        <v>2.06</v>
      </c>
      <c r="I14" s="38"/>
      <c r="K14" s="24">
        <f>H14/D14*1000</f>
        <v>515</v>
      </c>
      <c r="L14" s="24">
        <f>K14/1.016*10</f>
        <v>5068.8976377952749</v>
      </c>
      <c r="M14" s="23">
        <f>L14/1.12085</f>
        <v>4522.3693070395466</v>
      </c>
      <c r="N14" s="22">
        <f>L14*$O$4</f>
        <v>1871.4054435449709</v>
      </c>
      <c r="O14" s="22">
        <f>M14*$O$4</f>
        <v>1669.6305870945901</v>
      </c>
      <c r="P14" s="21">
        <f>O14/480</f>
        <v>3.4783970564470628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10.270000000000001</v>
      </c>
      <c r="I18" s="13"/>
      <c r="J18" s="12"/>
      <c r="K18" s="17">
        <f>AVERAGE(K9:K14)+K16/6</f>
        <v>427.91666666666669</v>
      </c>
      <c r="L18" s="17">
        <f>AVERAGE(L9:L14)+L16/6</f>
        <v>4211.7782152230966</v>
      </c>
      <c r="M18" s="19">
        <f>AVERAGE(M9:M14)+M16/6</f>
        <v>3757.6644646679724</v>
      </c>
      <c r="N18" s="18">
        <f>AVERAGE(N9:N14)+N16/6</f>
        <v>1554.9622900652794</v>
      </c>
      <c r="O18" s="18">
        <f>AVERAGE(O9:O14)+O16/6</f>
        <v>1387.3063211538383</v>
      </c>
      <c r="P18" s="17">
        <f>AVERAGE(P9:P14)+P16/6</f>
        <v>2.8902215024038296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0.11720115661166035</v>
      </c>
      <c r="I19" s="13"/>
      <c r="J19" s="12"/>
      <c r="K19" s="10">
        <f>STDEV(K9:K14)/SQRT(COUNT(K9:K14))</f>
        <v>29.300289152915234</v>
      </c>
      <c r="L19" s="10">
        <f>STDEV(L9:L14)/SQRT(COUNT(L9:L14))</f>
        <v>288.38867276491436</v>
      </c>
      <c r="M19" s="11">
        <f>STDEV(M9:M14)/SQRT(COUNT(M9:M14))</f>
        <v>257.29461816024894</v>
      </c>
      <c r="N19" s="10">
        <f>STDEV(N9:N14)/SQRT(COUNT(N9:N14))</f>
        <v>106.47130217127602</v>
      </c>
      <c r="O19" s="10">
        <f>STDEV(O9:O14)/SQRT(COUNT(O9:O14))</f>
        <v>94.991570835772848</v>
      </c>
      <c r="P19" s="9">
        <f>STDEV(P9:P14)/SQRT(COUNT(P9:P14))</f>
        <v>0.19789910590786075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C74007-1A00-4DC6-AA46-C6A05AE174B4}">
  <sheetPr codeName="Sheet39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72">
        <v>4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1033</v>
      </c>
      <c r="I3" s="57"/>
      <c r="K3" s="51" t="s">
        <v>117</v>
      </c>
      <c r="L3" s="52">
        <v>4171.3999999999996</v>
      </c>
      <c r="N3" s="51" t="s">
        <v>116</v>
      </c>
      <c r="O3" s="50">
        <f>(L3-(L4+L5))/L3</f>
        <v>3.8500263700436174E-2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1504.8</v>
      </c>
      <c r="N4" s="51" t="s">
        <v>111</v>
      </c>
      <c r="O4" s="50">
        <f>L4/L3</f>
        <v>0.3607421968643621</v>
      </c>
    </row>
    <row r="5" spans="1:18" ht="17.25" thickTop="1" thickBot="1" x14ac:dyDescent="0.25">
      <c r="B5" s="54" t="s">
        <v>110</v>
      </c>
      <c r="C5" s="53">
        <v>0.54513888888888895</v>
      </c>
      <c r="F5" s="49"/>
      <c r="G5" s="49"/>
      <c r="K5" s="51" t="s">
        <v>109</v>
      </c>
      <c r="L5" s="52">
        <v>2506</v>
      </c>
      <c r="N5" s="51" t="s">
        <v>108</v>
      </c>
      <c r="O5" s="50">
        <f>L5/L3</f>
        <v>0.60075753943520172</v>
      </c>
      <c r="Q5" s="21"/>
    </row>
    <row r="6" spans="1:18" ht="17.25" thickTop="1" thickBot="1" x14ac:dyDescent="0.25">
      <c r="C6" s="73"/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1.06</v>
      </c>
      <c r="F9" s="31">
        <v>0.85</v>
      </c>
      <c r="G9" s="26"/>
      <c r="H9" s="26">
        <f>SUM(E9:G9)</f>
        <v>1.9100000000000001</v>
      </c>
      <c r="I9" s="38"/>
      <c r="K9" s="24">
        <f>H9/D9*1000</f>
        <v>477.50000000000006</v>
      </c>
      <c r="L9" s="24">
        <f>K9/1.016*10</f>
        <v>4699.8031496062995</v>
      </c>
      <c r="M9" s="23">
        <f>L9/1.12085</f>
        <v>4193.0705710900656</v>
      </c>
      <c r="N9" s="22">
        <f>L9*$O$4</f>
        <v>1695.4173130190247</v>
      </c>
      <c r="O9" s="22">
        <f>M9*$O$4</f>
        <v>1512.6174894223357</v>
      </c>
      <c r="P9" s="21">
        <f>O9/480</f>
        <v>3.1512864362965325</v>
      </c>
    </row>
    <row r="10" spans="1:18" ht="13.5" thickBot="1" x14ac:dyDescent="0.25">
      <c r="C10" s="37">
        <v>4</v>
      </c>
      <c r="D10" s="37">
        <v>4</v>
      </c>
      <c r="E10" s="31">
        <v>0.6</v>
      </c>
      <c r="F10" s="31">
        <v>1.0900000000000001</v>
      </c>
      <c r="G10" s="26"/>
      <c r="H10" s="26">
        <f>SUM(E10:G10)</f>
        <v>1.69</v>
      </c>
      <c r="I10" s="38"/>
      <c r="K10" s="24">
        <f>H10/D10*1000</f>
        <v>422.5</v>
      </c>
      <c r="L10" s="24">
        <f>K10/1.016*10</f>
        <v>4158.464566929134</v>
      </c>
      <c r="M10" s="23">
        <f>L10/1.12085</f>
        <v>3710.0990916974924</v>
      </c>
      <c r="N10" s="22">
        <f>L10*$O$4</f>
        <v>1500.133643456624</v>
      </c>
      <c r="O10" s="22">
        <f>M10*$O$4</f>
        <v>1338.3892969234278</v>
      </c>
      <c r="P10" s="21">
        <f>O10/480</f>
        <v>2.788311035257141</v>
      </c>
    </row>
    <row r="11" spans="1:18" ht="13.5" thickBot="1" x14ac:dyDescent="0.25">
      <c r="C11" s="37">
        <v>5</v>
      </c>
      <c r="D11" s="37">
        <v>4</v>
      </c>
      <c r="E11" s="31">
        <v>0.84</v>
      </c>
      <c r="F11" s="31">
        <v>0.79</v>
      </c>
      <c r="G11" s="26"/>
      <c r="H11" s="26">
        <f>SUM(E11:G11)</f>
        <v>1.63</v>
      </c>
      <c r="I11" s="38"/>
      <c r="K11" s="24">
        <f>H11/D11*1000</f>
        <v>407.5</v>
      </c>
      <c r="L11" s="24">
        <f>K11/1.016*10</f>
        <v>4010.8267716535429</v>
      </c>
      <c r="M11" s="23">
        <f>L11/1.12085</f>
        <v>3578.3795973176993</v>
      </c>
      <c r="N11" s="22">
        <f>L11*$O$4</f>
        <v>1446.8744608486963</v>
      </c>
      <c r="O11" s="22">
        <f>M11*$O$4</f>
        <v>1290.8725171509982</v>
      </c>
      <c r="P11" s="21">
        <f>O11/480</f>
        <v>2.6893177440645797</v>
      </c>
    </row>
    <row r="12" spans="1:18" ht="13.5" thickBot="1" x14ac:dyDescent="0.25">
      <c r="C12" s="37">
        <v>6</v>
      </c>
      <c r="D12" s="37">
        <v>4</v>
      </c>
      <c r="E12" s="31">
        <v>1.64</v>
      </c>
      <c r="F12" s="31">
        <v>0.23</v>
      </c>
      <c r="G12" s="26"/>
      <c r="H12" s="26">
        <f>SUM(E12:G12)</f>
        <v>1.8699999999999999</v>
      </c>
      <c r="I12" s="38"/>
      <c r="K12" s="24">
        <f>H12/D12*1000</f>
        <v>467.49999999999994</v>
      </c>
      <c r="L12" s="24">
        <f>K12/1.016*10</f>
        <v>4601.3779527559045</v>
      </c>
      <c r="M12" s="23">
        <f>L12/1.12085</f>
        <v>4105.257574836869</v>
      </c>
      <c r="N12" s="22">
        <f>L12*$O$4</f>
        <v>1659.911191280406</v>
      </c>
      <c r="O12" s="22">
        <f>M12*$O$4</f>
        <v>1480.9396362407156</v>
      </c>
      <c r="P12" s="21">
        <f>O12/480</f>
        <v>3.0852909088348239</v>
      </c>
    </row>
    <row r="13" spans="1:18" ht="13.5" thickBot="1" x14ac:dyDescent="0.25">
      <c r="C13" s="37">
        <v>7</v>
      </c>
      <c r="D13" s="37">
        <v>4</v>
      </c>
      <c r="E13" s="31">
        <v>1.1599999999999999</v>
      </c>
      <c r="F13" s="31">
        <v>0.4</v>
      </c>
      <c r="G13" s="26"/>
      <c r="H13" s="26">
        <f>SUM(E13:G13)</f>
        <v>1.56</v>
      </c>
      <c r="I13" s="38"/>
      <c r="K13" s="24">
        <f>H13/D13*1000</f>
        <v>390</v>
      </c>
      <c r="L13" s="24">
        <f>K13/1.016*10</f>
        <v>3838.5826771653542</v>
      </c>
      <c r="M13" s="23">
        <f>L13/1.12085</f>
        <v>3424.706853874608</v>
      </c>
      <c r="N13" s="22">
        <f>L13*$O$4</f>
        <v>1384.7387478061144</v>
      </c>
      <c r="O13" s="22">
        <f>M13*$O$4</f>
        <v>1235.4362740831639</v>
      </c>
      <c r="P13" s="21">
        <f>O13/480</f>
        <v>2.5738255710065916</v>
      </c>
    </row>
    <row r="14" spans="1:18" ht="13.5" thickBot="1" x14ac:dyDescent="0.25">
      <c r="C14" s="37">
        <v>8</v>
      </c>
      <c r="D14" s="37">
        <v>4</v>
      </c>
      <c r="E14" s="31">
        <v>0.75</v>
      </c>
      <c r="F14" s="31">
        <v>0.83</v>
      </c>
      <c r="G14" s="26"/>
      <c r="H14" s="26">
        <f>SUM(E14:G14)</f>
        <v>1.58</v>
      </c>
      <c r="I14" s="38"/>
      <c r="K14" s="24">
        <f>H14/D14*1000</f>
        <v>395</v>
      </c>
      <c r="L14" s="24">
        <f>K14/1.016*10</f>
        <v>3887.7952755905512</v>
      </c>
      <c r="M14" s="23">
        <f>L14/1.12085</f>
        <v>3468.6133520012058</v>
      </c>
      <c r="N14" s="22">
        <f>L14*$O$4</f>
        <v>1402.4918086754235</v>
      </c>
      <c r="O14" s="22">
        <f>M14*$O$4</f>
        <v>1251.2752006739738</v>
      </c>
      <c r="P14" s="21">
        <f>O14/480</f>
        <v>2.6068233347374457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10.24</v>
      </c>
      <c r="I18" s="13"/>
      <c r="J18" s="12"/>
      <c r="K18" s="17">
        <f>AVERAGE(K9:K14)+K16/6</f>
        <v>426.66666666666669</v>
      </c>
      <c r="L18" s="17">
        <f>AVERAGE(L9:L14)+L16/6</f>
        <v>4199.4750656167971</v>
      </c>
      <c r="M18" s="19">
        <f>AVERAGE(M9:M14)+M16/6</f>
        <v>3746.6878401363228</v>
      </c>
      <c r="N18" s="18">
        <f>AVERAGE(N9:N14)+N16/6</f>
        <v>1514.9278608477146</v>
      </c>
      <c r="O18" s="18">
        <f>AVERAGE(O9:O14)+O16/6</f>
        <v>1351.5884024157692</v>
      </c>
      <c r="P18" s="17">
        <f>AVERAGE(P9:P14)+P16/6</f>
        <v>2.8158091716995188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6.1028226620510981E-2</v>
      </c>
      <c r="I19" s="13"/>
      <c r="J19" s="12"/>
      <c r="K19" s="10">
        <f>STDEV(K9:K14)/SQRT(COUNT(K9:K14))</f>
        <v>15.257056655127748</v>
      </c>
      <c r="L19" s="10">
        <f>STDEV(L9:L14)/SQRT(COUNT(L9:L14))</f>
        <v>150.16788046385574</v>
      </c>
      <c r="M19" s="11">
        <f>STDEV(M9:M14)/SQRT(COUNT(M9:M14))</f>
        <v>133.97678588915176</v>
      </c>
      <c r="N19" s="10">
        <f>STDEV(N9:N14)/SQRT(COUNT(N9:N14))</f>
        <v>54.171891096996234</v>
      </c>
      <c r="O19" s="10">
        <f>STDEV(O9:O14)/SQRT(COUNT(O9:O14))</f>
        <v>48.331080070478897</v>
      </c>
      <c r="P19" s="9">
        <f>STDEV(P9:P14)/SQRT(COUNT(P9:P14))</f>
        <v>0.10068975014683097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EB6044-CEA2-406F-BE7B-94F50F3E4F02}">
  <sheetPr codeName="Sheet44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72">
        <v>5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39384</v>
      </c>
      <c r="I3" s="57"/>
      <c r="K3" s="51" t="s">
        <v>117</v>
      </c>
      <c r="L3" s="52">
        <v>1824.4</v>
      </c>
      <c r="N3" s="51" t="s">
        <v>116</v>
      </c>
      <c r="O3" s="50">
        <f>(L3-(L4+L5))/L3</f>
        <v>3.8588028941021757E-2</v>
      </c>
    </row>
    <row r="4" spans="1:18" ht="17.25" thickTop="1" thickBot="1" x14ac:dyDescent="0.25">
      <c r="B4" s="54" t="s">
        <v>115</v>
      </c>
      <c r="C4" s="56">
        <v>39392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625.6</v>
      </c>
      <c r="N4" s="51" t="s">
        <v>111</v>
      </c>
      <c r="O4" s="50">
        <f>L4/L3</f>
        <v>0.3429072571804429</v>
      </c>
    </row>
    <row r="5" spans="1:18" ht="17.25" thickTop="1" thickBot="1" x14ac:dyDescent="0.25">
      <c r="B5" s="54" t="s">
        <v>110</v>
      </c>
      <c r="C5" s="53">
        <v>0.40416666666666662</v>
      </c>
      <c r="F5" s="49"/>
      <c r="G5" s="49"/>
      <c r="K5" s="51" t="s">
        <v>109</v>
      </c>
      <c r="L5" s="52">
        <v>1128.4000000000001</v>
      </c>
      <c r="N5" s="51" t="s">
        <v>108</v>
      </c>
      <c r="O5" s="50">
        <f>L5/L3</f>
        <v>0.61850471387853545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0.9</v>
      </c>
      <c r="F9" s="31">
        <v>0.54</v>
      </c>
      <c r="G9" s="26"/>
      <c r="H9" s="26">
        <f>SUM(E9:G9)</f>
        <v>1.44</v>
      </c>
      <c r="I9" s="38"/>
      <c r="K9" s="24">
        <f>H9/D9*1000</f>
        <v>360</v>
      </c>
      <c r="L9" s="24">
        <f>K9/1.016*10</f>
        <v>3543.3070866141729</v>
      </c>
      <c r="M9" s="23">
        <f>L9/1.12085</f>
        <v>3161.2678651150227</v>
      </c>
      <c r="N9" s="22">
        <f>L9*$O$4</f>
        <v>1215.025714418892</v>
      </c>
      <c r="O9" s="22">
        <f>M9*$O$4</f>
        <v>1084.0216928392667</v>
      </c>
      <c r="P9" s="21">
        <f>O9/480</f>
        <v>2.2583785267484724</v>
      </c>
    </row>
    <row r="10" spans="1:18" ht="13.5" thickBot="1" x14ac:dyDescent="0.25">
      <c r="C10" s="37">
        <v>4</v>
      </c>
      <c r="D10" s="37">
        <v>4</v>
      </c>
      <c r="E10" s="31">
        <v>1.06</v>
      </c>
      <c r="F10" s="31">
        <v>0.47</v>
      </c>
      <c r="G10" s="26"/>
      <c r="H10" s="26">
        <f>SUM(E10:G10)</f>
        <v>1.53</v>
      </c>
      <c r="I10" s="38"/>
      <c r="K10" s="24">
        <f>H10/D10*1000</f>
        <v>382.5</v>
      </c>
      <c r="L10" s="24">
        <f>K10/1.016*10</f>
        <v>3764.7637795275591</v>
      </c>
      <c r="M10" s="23">
        <f>L10/1.12085</f>
        <v>3358.8471066847119</v>
      </c>
      <c r="N10" s="22">
        <f>L10*$O$4</f>
        <v>1290.9648215700729</v>
      </c>
      <c r="O10" s="22">
        <f>M10*$O$4</f>
        <v>1151.7730486417211</v>
      </c>
      <c r="P10" s="21">
        <f>O10/480</f>
        <v>2.3995271846702524</v>
      </c>
    </row>
    <row r="11" spans="1:18" ht="13.5" thickBot="1" x14ac:dyDescent="0.25">
      <c r="C11" s="37">
        <v>5</v>
      </c>
      <c r="D11" s="37">
        <v>4</v>
      </c>
      <c r="E11" s="31">
        <v>1.62</v>
      </c>
      <c r="F11" s="31"/>
      <c r="G11" s="26"/>
      <c r="H11" s="26">
        <f>SUM(E11:G11)</f>
        <v>1.62</v>
      </c>
      <c r="I11" s="38"/>
      <c r="K11" s="24">
        <f>H11/D11*1000</f>
        <v>405</v>
      </c>
      <c r="L11" s="24">
        <f>K11/1.016*10</f>
        <v>3986.2204724409448</v>
      </c>
      <c r="M11" s="23">
        <f>L11/1.12085</f>
        <v>3556.4263482544006</v>
      </c>
      <c r="N11" s="22">
        <f>L11*$O$4</f>
        <v>1366.9039287212536</v>
      </c>
      <c r="O11" s="22">
        <f>M11*$O$4</f>
        <v>1219.5244044441752</v>
      </c>
      <c r="P11" s="21">
        <f>O11/480</f>
        <v>2.5406758425920315</v>
      </c>
    </row>
    <row r="12" spans="1:18" ht="13.5" thickBot="1" x14ac:dyDescent="0.25">
      <c r="C12" s="37">
        <v>6</v>
      </c>
      <c r="D12" s="37">
        <v>4</v>
      </c>
      <c r="E12" s="31">
        <v>1.05</v>
      </c>
      <c r="F12" s="31">
        <v>0.44</v>
      </c>
      <c r="G12" s="26"/>
      <c r="H12" s="26">
        <f>SUM(E12:G12)</f>
        <v>1.49</v>
      </c>
      <c r="I12" s="38"/>
      <c r="K12" s="24">
        <f>H12/D12*1000</f>
        <v>372.5</v>
      </c>
      <c r="L12" s="24">
        <f>K12/1.016*10</f>
        <v>3666.338582677165</v>
      </c>
      <c r="M12" s="23">
        <f>L12/1.12085</f>
        <v>3271.0341104315166</v>
      </c>
      <c r="N12" s="22">
        <f>L12*$O$4</f>
        <v>1257.2141072806592</v>
      </c>
      <c r="O12" s="22">
        <f>M12*$O$4</f>
        <v>1121.6613349517413</v>
      </c>
      <c r="P12" s="21">
        <f>O12/480</f>
        <v>2.3367944478161276</v>
      </c>
    </row>
    <row r="13" spans="1:18" ht="13.5" thickBot="1" x14ac:dyDescent="0.25">
      <c r="C13" s="37">
        <v>7</v>
      </c>
      <c r="D13" s="37">
        <v>4</v>
      </c>
      <c r="E13" s="31">
        <v>1.32</v>
      </c>
      <c r="F13" s="31"/>
      <c r="G13" s="26"/>
      <c r="H13" s="26">
        <f>SUM(E13:G13)</f>
        <v>1.32</v>
      </c>
      <c r="I13" s="38"/>
      <c r="K13" s="24">
        <f>H13/D13*1000</f>
        <v>330</v>
      </c>
      <c r="L13" s="24">
        <f>K13/1.016*10</f>
        <v>3248.0314960629921</v>
      </c>
      <c r="M13" s="23">
        <f>L13/1.12085</f>
        <v>2897.8288763554378</v>
      </c>
      <c r="N13" s="22">
        <f>L13*$O$4</f>
        <v>1113.7735715506512</v>
      </c>
      <c r="O13" s="22">
        <f>M13*$O$4</f>
        <v>993.68655176932805</v>
      </c>
      <c r="P13" s="21">
        <f>O13/480</f>
        <v>2.0701803161861001</v>
      </c>
    </row>
    <row r="14" spans="1:18" ht="13.5" thickBot="1" x14ac:dyDescent="0.25">
      <c r="C14" s="37">
        <v>8</v>
      </c>
      <c r="D14" s="37">
        <v>4</v>
      </c>
      <c r="E14" s="31">
        <v>1.04</v>
      </c>
      <c r="F14" s="31">
        <v>0.62</v>
      </c>
      <c r="G14" s="26"/>
      <c r="H14" s="26">
        <f>SUM(E14:G14)</f>
        <v>1.6600000000000001</v>
      </c>
      <c r="I14" s="38"/>
      <c r="K14" s="24">
        <f>H14/D14*1000</f>
        <v>415.00000000000006</v>
      </c>
      <c r="L14" s="24">
        <f>K14/1.016*10</f>
        <v>4084.6456692913393</v>
      </c>
      <c r="M14" s="23">
        <f>L14/1.12085</f>
        <v>3644.2393445075968</v>
      </c>
      <c r="N14" s="22">
        <f>L14*$O$4</f>
        <v>1400.6546430106675</v>
      </c>
      <c r="O14" s="22">
        <f>M14*$O$4</f>
        <v>1249.6361181341551</v>
      </c>
      <c r="P14" s="21">
        <f>O14/480</f>
        <v>2.6034085794461563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9.06</v>
      </c>
      <c r="I18" s="13"/>
      <c r="J18" s="12"/>
      <c r="K18" s="17">
        <f>AVERAGE(K9:K14)+K16/6</f>
        <v>377.5</v>
      </c>
      <c r="L18" s="17">
        <f>AVERAGE(L9:L14)+L16/6</f>
        <v>3715.5511811023621</v>
      </c>
      <c r="M18" s="19">
        <f>AVERAGE(M9:M14)+M16/6</f>
        <v>3314.9406085581145</v>
      </c>
      <c r="N18" s="18">
        <f>AVERAGE(N9:N14)+N16/6</f>
        <v>1274.089464425366</v>
      </c>
      <c r="O18" s="18">
        <f>AVERAGE(O9:O14)+O16/6</f>
        <v>1136.7171917967312</v>
      </c>
      <c r="P18" s="17">
        <f>AVERAGE(P9:P14)+P16/6</f>
        <v>2.36816081624319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5.0464508980734853E-2</v>
      </c>
      <c r="I19" s="13"/>
      <c r="J19" s="12"/>
      <c r="K19" s="10">
        <f>STDEV(K9:K14)/SQRT(COUNT(K9:K14))</f>
        <v>12.616127245183716</v>
      </c>
      <c r="L19" s="10">
        <f>STDEV(L9:L14)/SQRT(COUNT(L9:L14))</f>
        <v>124.17448075968227</v>
      </c>
      <c r="M19" s="11">
        <f>STDEV(M9:M14)/SQRT(COUNT(M9:M14))</f>
        <v>110.78599345111502</v>
      </c>
      <c r="N19" s="10">
        <f>STDEV(N9:N14)/SQRT(COUNT(N9:N14))</f>
        <v>42.580330609108309</v>
      </c>
      <c r="O19" s="10">
        <f>STDEV(O9:O14)/SQRT(COUNT(O9:O14))</f>
        <v>37.989321148332358</v>
      </c>
      <c r="P19" s="9">
        <f>STDEV(P9:P14)/SQRT(COUNT(P9:P14))</f>
        <v>7.9144419059025709E-2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93BD80-6FC7-4A60-B28B-500BC13A4527}">
  <sheetPr codeName="Sheet40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72">
        <v>6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39384</v>
      </c>
      <c r="I3" s="57"/>
      <c r="K3" s="51" t="s">
        <v>117</v>
      </c>
      <c r="L3" s="52">
        <v>2842.1</v>
      </c>
      <c r="N3" s="51" t="s">
        <v>116</v>
      </c>
      <c r="O3" s="50">
        <f>(L3-(L4+L5))/L3</f>
        <v>4.5353787692199464E-2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1052.5</v>
      </c>
      <c r="N4" s="51" t="s">
        <v>111</v>
      </c>
      <c r="O4" s="50">
        <f>L4/L3</f>
        <v>0.37032475986066643</v>
      </c>
    </row>
    <row r="5" spans="1:18" ht="17.25" thickTop="1" thickBot="1" x14ac:dyDescent="0.25">
      <c r="B5" s="54" t="s">
        <v>110</v>
      </c>
      <c r="C5" s="53">
        <v>0.56944444444444442</v>
      </c>
      <c r="F5" s="49"/>
      <c r="G5" s="49"/>
      <c r="K5" s="51" t="s">
        <v>109</v>
      </c>
      <c r="L5" s="52">
        <v>1660.7</v>
      </c>
      <c r="N5" s="51" t="s">
        <v>108</v>
      </c>
      <c r="O5" s="50">
        <f>L5/L3</f>
        <v>0.58432145244713418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0.91</v>
      </c>
      <c r="F9" s="31">
        <v>0.97</v>
      </c>
      <c r="G9" s="26"/>
      <c r="H9" s="26">
        <f>SUM(E9:G9)</f>
        <v>1.88</v>
      </c>
      <c r="I9" s="38"/>
      <c r="K9" s="24">
        <f>H9/D9*1000</f>
        <v>470</v>
      </c>
      <c r="L9" s="24">
        <f>K9/1.016*10</f>
        <v>4625.9842519685035</v>
      </c>
      <c r="M9" s="23">
        <f>L9/1.12085</f>
        <v>4127.2108239001682</v>
      </c>
      <c r="N9" s="22">
        <f>L9*$O$4</f>
        <v>1713.1165072294607</v>
      </c>
      <c r="O9" s="22">
        <f>M9*$O$4</f>
        <v>1528.4083572551731</v>
      </c>
      <c r="P9" s="21">
        <f>O9/480</f>
        <v>3.1841840776149439</v>
      </c>
    </row>
    <row r="10" spans="1:18" ht="13.5" thickBot="1" x14ac:dyDescent="0.25">
      <c r="C10" s="37">
        <v>4</v>
      </c>
      <c r="D10" s="37">
        <v>4</v>
      </c>
      <c r="E10" s="31">
        <v>1.2</v>
      </c>
      <c r="F10" s="31">
        <v>0.46</v>
      </c>
      <c r="G10" s="26"/>
      <c r="H10" s="26">
        <f>SUM(E10:G10)</f>
        <v>1.66</v>
      </c>
      <c r="I10" s="38"/>
      <c r="K10" s="24">
        <f>H10/D10*1000</f>
        <v>415</v>
      </c>
      <c r="L10" s="24">
        <f>K10/1.016*10</f>
        <v>4084.6456692913389</v>
      </c>
      <c r="M10" s="23">
        <f>L10/1.12085</f>
        <v>3644.2393445075963</v>
      </c>
      <c r="N10" s="22">
        <f>L10*$O$4</f>
        <v>1512.6454265962261</v>
      </c>
      <c r="O10" s="22">
        <f>M10*$O$4</f>
        <v>1349.552060129568</v>
      </c>
      <c r="P10" s="21">
        <f>O10/480</f>
        <v>2.8115667919365999</v>
      </c>
    </row>
    <row r="11" spans="1:18" ht="13.5" thickBot="1" x14ac:dyDescent="0.25">
      <c r="C11" s="37">
        <v>5</v>
      </c>
      <c r="D11" s="37">
        <v>4</v>
      </c>
      <c r="E11" s="31">
        <v>0.93</v>
      </c>
      <c r="F11" s="31">
        <v>0.88</v>
      </c>
      <c r="G11" s="26"/>
      <c r="H11" s="26">
        <f>SUM(E11:G11)</f>
        <v>1.81</v>
      </c>
      <c r="I11" s="38"/>
      <c r="K11" s="24">
        <f>H11/D11*1000</f>
        <v>452.5</v>
      </c>
      <c r="L11" s="24">
        <f>K11/1.016*10</f>
        <v>4453.7401574803143</v>
      </c>
      <c r="M11" s="23">
        <f>L11/1.12085</f>
        <v>3973.5380804570768</v>
      </c>
      <c r="N11" s="22">
        <f>L11*$O$4</f>
        <v>1649.3302543007042</v>
      </c>
      <c r="O11" s="22">
        <f>M11*$O$4</f>
        <v>1471.4995354424805</v>
      </c>
      <c r="P11" s="21">
        <f>O11/480</f>
        <v>3.0656240321718342</v>
      </c>
    </row>
    <row r="12" spans="1:18" ht="13.5" thickBot="1" x14ac:dyDescent="0.25">
      <c r="C12" s="37">
        <v>6</v>
      </c>
      <c r="D12" s="37">
        <v>4</v>
      </c>
      <c r="E12" s="31">
        <v>1.38</v>
      </c>
      <c r="F12" s="31">
        <v>0.64</v>
      </c>
      <c r="G12" s="26"/>
      <c r="H12" s="26">
        <f>SUM(E12:G12)</f>
        <v>2.02</v>
      </c>
      <c r="I12" s="38"/>
      <c r="K12" s="24">
        <f>H12/D12*1000</f>
        <v>505</v>
      </c>
      <c r="L12" s="24">
        <f>K12/1.016*10</f>
        <v>4970.4724409448818</v>
      </c>
      <c r="M12" s="23">
        <f>L12/1.12085</f>
        <v>4434.5563107863518</v>
      </c>
      <c r="N12" s="22">
        <f>L12*$O$4</f>
        <v>1840.6890130869738</v>
      </c>
      <c r="O12" s="22">
        <f>M12*$O$4</f>
        <v>1642.2260008805586</v>
      </c>
      <c r="P12" s="21">
        <f>O12/480</f>
        <v>3.4213041685011638</v>
      </c>
    </row>
    <row r="13" spans="1:18" ht="13.5" thickBot="1" x14ac:dyDescent="0.25">
      <c r="C13" s="37">
        <v>7</v>
      </c>
      <c r="D13" s="37">
        <v>4</v>
      </c>
      <c r="E13" s="31">
        <v>0.77</v>
      </c>
      <c r="F13" s="31"/>
      <c r="G13" s="26"/>
      <c r="H13" s="26">
        <f>SUM(E13:G13)</f>
        <v>0.77</v>
      </c>
      <c r="I13" s="38"/>
      <c r="K13" s="24">
        <f>H13/D13*1000</f>
        <v>192.5</v>
      </c>
      <c r="L13" s="24">
        <f>K13/1.016*10</f>
        <v>1894.6850393700788</v>
      </c>
      <c r="M13" s="23">
        <f>L13/1.12085</f>
        <v>1690.4001778740055</v>
      </c>
      <c r="N13" s="22">
        <f>L13*$O$4</f>
        <v>701.64878221632171</v>
      </c>
      <c r="O13" s="22">
        <f>M13*$O$4</f>
        <v>625.99703993961896</v>
      </c>
      <c r="P13" s="21">
        <f>O13/480</f>
        <v>1.3041604998742062</v>
      </c>
    </row>
    <row r="14" spans="1:18" ht="13.5" thickBot="1" x14ac:dyDescent="0.25">
      <c r="C14" s="37">
        <v>8</v>
      </c>
      <c r="D14" s="37">
        <v>4</v>
      </c>
      <c r="E14" s="31">
        <v>1.36</v>
      </c>
      <c r="F14" s="31">
        <v>0.49</v>
      </c>
      <c r="G14" s="26"/>
      <c r="H14" s="26">
        <f>SUM(E14:G14)</f>
        <v>1.85</v>
      </c>
      <c r="I14" s="38"/>
      <c r="K14" s="24">
        <f>H14/D14*1000</f>
        <v>462.5</v>
      </c>
      <c r="L14" s="24">
        <f>K14/1.016*10</f>
        <v>4552.1653543307084</v>
      </c>
      <c r="M14" s="23">
        <f>L14/1.12085</f>
        <v>4061.3510767102725</v>
      </c>
      <c r="N14" s="22">
        <f>L14*$O$4</f>
        <v>1685.7795416885651</v>
      </c>
      <c r="O14" s="22">
        <f>M14*$O$4</f>
        <v>1504.0188621925906</v>
      </c>
      <c r="P14" s="21">
        <f>O14/480</f>
        <v>3.133372629567897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9.9899999999999984</v>
      </c>
      <c r="I18" s="13"/>
      <c r="J18" s="12"/>
      <c r="K18" s="17">
        <f>AVERAGE(K9:K14)+K16/6</f>
        <v>416.25</v>
      </c>
      <c r="L18" s="17">
        <f>AVERAGE(L9:L14)+L16/6</f>
        <v>4096.9488188976375</v>
      </c>
      <c r="M18" s="19">
        <f>AVERAGE(M9:M14)+M16/6</f>
        <v>3655.215969039245</v>
      </c>
      <c r="N18" s="18">
        <f>AVERAGE(N9:N14)+N16/6</f>
        <v>1517.2015875197087</v>
      </c>
      <c r="O18" s="18">
        <f>AVERAGE(O9:O14)+O16/6</f>
        <v>1353.6169759733316</v>
      </c>
      <c r="P18" s="17">
        <f>AVERAGE(P9:P14)+P16/6</f>
        <v>2.8200353666111071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0.18516209115259014</v>
      </c>
      <c r="I19" s="13"/>
      <c r="J19" s="12"/>
      <c r="K19" s="10">
        <f>STDEV(K9:K14)/SQRT(COUNT(K9:K14))</f>
        <v>46.290522788147477</v>
      </c>
      <c r="L19" s="10">
        <f>STDEV(L9:L14)/SQRT(COUNT(L9:L14))</f>
        <v>455.61538177310427</v>
      </c>
      <c r="M19" s="11">
        <f>STDEV(M9:M14)/SQRT(COUNT(M9:M14))</f>
        <v>406.49095041540454</v>
      </c>
      <c r="N19" s="10">
        <f>STDEV(N9:N14)/SQRT(COUNT(N9:N14))</f>
        <v>168.72565684395039</v>
      </c>
      <c r="O19" s="10">
        <f>STDEV(O9:O14)/SQRT(COUNT(O9:O14))</f>
        <v>150.53366359811844</v>
      </c>
      <c r="P19" s="9">
        <f>STDEV(P9:P14)/SQRT(COUNT(P9:P14))</f>
        <v>0.31361179916274734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52382C-1243-432D-82CC-78834073ED27}">
  <sheetPr codeName="Sheet38">
    <pageSetUpPr fitToPage="1"/>
  </sheetPr>
  <dimension ref="A1:R22"/>
  <sheetViews>
    <sheetView topLeftCell="D1" workbookViewId="0">
      <selection activeCell="N6" sqref="N6:P6"/>
    </sheetView>
  </sheetViews>
  <sheetFormatPr defaultRowHeight="12.75" x14ac:dyDescent="0.2"/>
  <cols>
    <col min="1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72">
        <v>7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39384</v>
      </c>
      <c r="I3" s="57"/>
      <c r="K3" s="51" t="s">
        <v>117</v>
      </c>
      <c r="L3" s="52">
        <v>3004.7</v>
      </c>
      <c r="N3" s="51" t="s">
        <v>116</v>
      </c>
      <c r="O3" s="50">
        <f>(L3-(L4+L5))/L3</f>
        <v>3.7474623090491384E-2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1129.7</v>
      </c>
      <c r="N4" s="51" t="s">
        <v>111</v>
      </c>
      <c r="O4" s="50">
        <f>L4/L3</f>
        <v>0.37597763503843984</v>
      </c>
    </row>
    <row r="5" spans="1:18" ht="17.25" thickTop="1" thickBot="1" x14ac:dyDescent="0.25">
      <c r="B5" s="54" t="s">
        <v>110</v>
      </c>
      <c r="C5" s="53">
        <v>0.54513888888888895</v>
      </c>
      <c r="F5" s="49"/>
      <c r="G5" s="49"/>
      <c r="K5" s="51" t="s">
        <v>109</v>
      </c>
      <c r="L5" s="52">
        <v>1762.4</v>
      </c>
      <c r="N5" s="51" t="s">
        <v>108</v>
      </c>
      <c r="O5" s="50">
        <f>L5/L3</f>
        <v>0.58654774187106873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0.84</v>
      </c>
      <c r="F9" s="31">
        <v>0.96</v>
      </c>
      <c r="G9" s="26"/>
      <c r="H9" s="26">
        <f>SUM(E9:G9)</f>
        <v>1.7999999999999998</v>
      </c>
      <c r="I9" s="38"/>
      <c r="K9" s="24">
        <f>H9/D9*1000</f>
        <v>449.99999999999994</v>
      </c>
      <c r="L9" s="24">
        <f>K9/1.016*10</f>
        <v>4429.1338582677163</v>
      </c>
      <c r="M9" s="23">
        <f>L9/1.12085</f>
        <v>3951.5848313937786</v>
      </c>
      <c r="N9" s="22">
        <f>L9*$O$4</f>
        <v>1665.2552733001764</v>
      </c>
      <c r="O9" s="22">
        <f>M9*$O$4</f>
        <v>1485.7075195612049</v>
      </c>
      <c r="P9" s="21">
        <f>O9/480</f>
        <v>3.0952239990858437</v>
      </c>
    </row>
    <row r="10" spans="1:18" ht="13.5" thickBot="1" x14ac:dyDescent="0.25">
      <c r="C10" s="37">
        <v>4</v>
      </c>
      <c r="D10" s="37">
        <v>4</v>
      </c>
      <c r="E10" s="31">
        <v>0.83</v>
      </c>
      <c r="F10" s="31">
        <v>0.82</v>
      </c>
      <c r="G10" s="26"/>
      <c r="H10" s="26">
        <f>SUM(E10:G10)</f>
        <v>1.65</v>
      </c>
      <c r="I10" s="38"/>
      <c r="K10" s="24">
        <f>H10/D10*1000</f>
        <v>412.5</v>
      </c>
      <c r="L10" s="24">
        <f>K10/1.016*10</f>
        <v>4060.0393700787399</v>
      </c>
      <c r="M10" s="23">
        <f>L10/1.12085</f>
        <v>3622.2860954442972</v>
      </c>
      <c r="N10" s="22">
        <f>L10*$O$4</f>
        <v>1526.4840005251617</v>
      </c>
      <c r="O10" s="22">
        <f>M10*$O$4</f>
        <v>1361.8985595977713</v>
      </c>
      <c r="P10" s="21">
        <f>O10/480</f>
        <v>2.83728866582869</v>
      </c>
    </row>
    <row r="11" spans="1:18" ht="13.5" thickBot="1" x14ac:dyDescent="0.25">
      <c r="C11" s="37">
        <v>5</v>
      </c>
      <c r="D11" s="37">
        <v>4</v>
      </c>
      <c r="E11" s="31">
        <v>0.56000000000000005</v>
      </c>
      <c r="F11" s="31">
        <v>1.3</v>
      </c>
      <c r="G11" s="26"/>
      <c r="H11" s="26">
        <f>SUM(E11:G11)</f>
        <v>1.86</v>
      </c>
      <c r="I11" s="38"/>
      <c r="K11" s="24">
        <f>H11/D11*1000</f>
        <v>465</v>
      </c>
      <c r="L11" s="24">
        <f>K11/1.016*10</f>
        <v>4576.7716535433074</v>
      </c>
      <c r="M11" s="23">
        <f>L11/1.12085</f>
        <v>4083.3043257735717</v>
      </c>
      <c r="N11" s="22">
        <f>L11*$O$4</f>
        <v>1720.7637824101823</v>
      </c>
      <c r="O11" s="22">
        <f>M11*$O$4</f>
        <v>1535.2311035465787</v>
      </c>
      <c r="P11" s="21">
        <f>O11/480</f>
        <v>3.1983981323887054</v>
      </c>
    </row>
    <row r="12" spans="1:18" ht="13.5" thickBot="1" x14ac:dyDescent="0.25">
      <c r="C12" s="37">
        <v>6</v>
      </c>
      <c r="D12" s="37">
        <v>4</v>
      </c>
      <c r="E12" s="31">
        <v>0.9</v>
      </c>
      <c r="F12" s="31">
        <v>0.82</v>
      </c>
      <c r="G12" s="26"/>
      <c r="H12" s="26">
        <f>SUM(E12:G12)</f>
        <v>1.72</v>
      </c>
      <c r="I12" s="38"/>
      <c r="K12" s="24">
        <f>H12/D12*1000</f>
        <v>430</v>
      </c>
      <c r="L12" s="24">
        <f>K12/1.016*10</f>
        <v>4232.2834645669291</v>
      </c>
      <c r="M12" s="23">
        <f>L12/1.12085</f>
        <v>3775.9588388873885</v>
      </c>
      <c r="N12" s="22">
        <f>L12*$O$4</f>
        <v>1591.2439278201687</v>
      </c>
      <c r="O12" s="22">
        <f>M12*$O$4</f>
        <v>1419.6760742473737</v>
      </c>
      <c r="P12" s="21">
        <f>O12/480</f>
        <v>2.9576584880153618</v>
      </c>
    </row>
    <row r="13" spans="1:18" ht="13.5" thickBot="1" x14ac:dyDescent="0.25">
      <c r="C13" s="37">
        <v>7</v>
      </c>
      <c r="D13" s="37">
        <v>4</v>
      </c>
      <c r="E13" s="31">
        <v>0.5</v>
      </c>
      <c r="F13" s="31"/>
      <c r="G13" s="26"/>
      <c r="H13" s="26">
        <f>SUM(E13:G13)</f>
        <v>0.5</v>
      </c>
      <c r="I13" s="38"/>
      <c r="K13" s="24">
        <f>H13/D13*1000</f>
        <v>125</v>
      </c>
      <c r="L13" s="24">
        <f>K13/1.016*10</f>
        <v>1230.3149606299212</v>
      </c>
      <c r="M13" s="23">
        <f>L13/1.12085</f>
        <v>1097.6624531649384</v>
      </c>
      <c r="N13" s="22">
        <f>L13*$O$4</f>
        <v>462.570909250049</v>
      </c>
      <c r="O13" s="22">
        <f>M13*$O$4</f>
        <v>412.69653321144574</v>
      </c>
      <c r="P13" s="21">
        <f>O13/480</f>
        <v>0.85978444419051192</v>
      </c>
    </row>
    <row r="14" spans="1:18" ht="13.5" thickBot="1" x14ac:dyDescent="0.25">
      <c r="C14" s="37">
        <v>8</v>
      </c>
      <c r="D14" s="37">
        <v>4</v>
      </c>
      <c r="E14" s="31">
        <v>1.1100000000000001</v>
      </c>
      <c r="F14" s="31">
        <v>0.5</v>
      </c>
      <c r="G14" s="26"/>
      <c r="H14" s="26">
        <f>SUM(E14:G14)</f>
        <v>1.61</v>
      </c>
      <c r="I14" s="38"/>
      <c r="K14" s="24">
        <f>H14/D14*1000</f>
        <v>402.5</v>
      </c>
      <c r="L14" s="24">
        <f>K14/1.016*10</f>
        <v>3961.6141732283468</v>
      </c>
      <c r="M14" s="23">
        <f>L14/1.12085</f>
        <v>3534.4730991911024</v>
      </c>
      <c r="N14" s="22">
        <f>L14*$O$4</f>
        <v>1489.4783277851579</v>
      </c>
      <c r="O14" s="22">
        <f>M14*$O$4</f>
        <v>1328.8828369408557</v>
      </c>
      <c r="P14" s="21">
        <f>O14/480</f>
        <v>2.7685059102934493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9.1399999999999988</v>
      </c>
      <c r="I18" s="13"/>
      <c r="J18" s="12"/>
      <c r="K18" s="17">
        <f>AVERAGE(K9:K14)+K16/6</f>
        <v>380.83333333333331</v>
      </c>
      <c r="L18" s="17">
        <f>AVERAGE(L9:L14)+L16/6</f>
        <v>3748.3595800524931</v>
      </c>
      <c r="M18" s="19">
        <f>AVERAGE(M9:M14)+M16/6</f>
        <v>3344.2116073091797</v>
      </c>
      <c r="N18" s="18">
        <f>AVERAGE(N9:N14)+N16/6</f>
        <v>1409.2993701818161</v>
      </c>
      <c r="O18" s="18">
        <f>AVERAGE(O9:O14)+O16/6</f>
        <v>1257.3487711842049</v>
      </c>
      <c r="P18" s="17">
        <f>AVERAGE(P9:P14)+P16/6</f>
        <v>2.6194766066337603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0.20811321705050637</v>
      </c>
      <c r="I19" s="13"/>
      <c r="J19" s="12"/>
      <c r="K19" s="10">
        <f>STDEV(K9:K14)/SQRT(COUNT(K9:K14))</f>
        <v>52.02830426262657</v>
      </c>
      <c r="L19" s="10">
        <f>STDEV(L9:L14)/SQRT(COUNT(L9:L14))</f>
        <v>512.08960888412003</v>
      </c>
      <c r="M19" s="11">
        <f>STDEV(M9:M14)/SQRT(COUNT(M9:M14))</f>
        <v>456.87612872741164</v>
      </c>
      <c r="N19" s="10">
        <f>STDEV(N9:N14)/SQRT(COUNT(N9:N14))</f>
        <v>192.53424007601075</v>
      </c>
      <c r="O19" s="10">
        <f>STDEV(O9:O14)/SQRT(COUNT(O9:O14))</f>
        <v>171.77520638445043</v>
      </c>
      <c r="P19" s="9">
        <f>STDEV(P9:P14)/SQRT(COUNT(P9:P14))</f>
        <v>0.35786501330093839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6">
    <mergeCell ref="C18:G18"/>
    <mergeCell ref="C19:G19"/>
    <mergeCell ref="K6:M6"/>
    <mergeCell ref="N6:P6"/>
    <mergeCell ref="C16:D16"/>
    <mergeCell ref="F16:G16"/>
  </mergeCells>
  <pageMargins left="0.75" right="0.75" top="1" bottom="0.52" header="0.5" footer="0.5"/>
  <pageSetup scale="75" orientation="landscape" r:id="rId1"/>
  <headerFooter alignWithMargins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74A7-09C6-4A0F-8E82-0A8CBBD81F2F}">
  <sheetPr codeName="Sheet41">
    <pageSetUpPr fitToPage="1"/>
  </sheetPr>
  <dimension ref="A1:R22"/>
  <sheetViews>
    <sheetView topLeftCell="F1" workbookViewId="0">
      <selection activeCell="N6" sqref="N6:P6"/>
    </sheetView>
  </sheetViews>
  <sheetFormatPr defaultRowHeight="12.75" x14ac:dyDescent="0.2"/>
  <cols>
    <col min="1" max="8" width="9.140625" style="8"/>
    <col min="9" max="9" width="20.140625" style="8" customWidth="1"/>
    <col min="10" max="16384" width="9.140625" style="8"/>
  </cols>
  <sheetData>
    <row r="1" spans="1:18" ht="37.5" x14ac:dyDescent="0.2">
      <c r="A1" s="62" t="s">
        <v>121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</row>
    <row r="2" spans="1:18" ht="21" thickBot="1" x14ac:dyDescent="0.35">
      <c r="H2" s="61" t="s">
        <v>120</v>
      </c>
      <c r="I2" s="72">
        <v>8</v>
      </c>
      <c r="J2" s="59"/>
      <c r="K2" s="51" t="s">
        <v>119</v>
      </c>
      <c r="L2" s="58">
        <v>39400</v>
      </c>
      <c r="N2" s="51"/>
      <c r="O2" s="52"/>
    </row>
    <row r="3" spans="1:18" ht="17.25" thickTop="1" thickBot="1" x14ac:dyDescent="0.25">
      <c r="B3" s="54" t="s">
        <v>118</v>
      </c>
      <c r="C3" s="56">
        <v>39384</v>
      </c>
      <c r="I3" s="57"/>
      <c r="K3" s="51" t="s">
        <v>117</v>
      </c>
      <c r="L3" s="52">
        <v>1658.7</v>
      </c>
      <c r="N3" s="51" t="s">
        <v>116</v>
      </c>
      <c r="O3" s="50">
        <f>(L3-(L4+L5))/L3</f>
        <v>5.0521492735274585E-2</v>
      </c>
    </row>
    <row r="4" spans="1:18" ht="17.25" thickTop="1" thickBot="1" x14ac:dyDescent="0.25">
      <c r="B4" s="54" t="s">
        <v>115</v>
      </c>
      <c r="C4" s="56">
        <v>39387</v>
      </c>
      <c r="F4" s="49"/>
      <c r="G4" s="49"/>
      <c r="H4" s="54" t="s">
        <v>114</v>
      </c>
      <c r="I4" s="55" t="s">
        <v>113</v>
      </c>
      <c r="K4" s="51" t="s">
        <v>112</v>
      </c>
      <c r="L4" s="52">
        <v>582.1</v>
      </c>
      <c r="N4" s="51" t="s">
        <v>111</v>
      </c>
      <c r="O4" s="50">
        <f>L4/L3</f>
        <v>0.35093748115994455</v>
      </c>
    </row>
    <row r="5" spans="1:18" ht="17.25" thickTop="1" thickBot="1" x14ac:dyDescent="0.25">
      <c r="B5" s="54" t="s">
        <v>110</v>
      </c>
      <c r="C5" s="53">
        <v>0.6020833333333333</v>
      </c>
      <c r="F5" s="49"/>
      <c r="G5" s="49"/>
      <c r="K5" s="51" t="s">
        <v>109</v>
      </c>
      <c r="L5" s="52">
        <v>992.8</v>
      </c>
      <c r="N5" s="51" t="s">
        <v>108</v>
      </c>
      <c r="O5" s="50">
        <f>L5/L3</f>
        <v>0.59854102610478077</v>
      </c>
      <c r="Q5" s="21"/>
    </row>
    <row r="6" spans="1:18" ht="17.25" thickTop="1" thickBot="1" x14ac:dyDescent="0.25">
      <c r="F6" s="49"/>
      <c r="G6" s="49"/>
      <c r="K6" s="47" t="s">
        <v>107</v>
      </c>
      <c r="L6" s="47"/>
      <c r="M6" s="48"/>
      <c r="N6" s="47" t="s">
        <v>106</v>
      </c>
      <c r="O6" s="47"/>
      <c r="P6" s="47"/>
    </row>
    <row r="7" spans="1:18" ht="26.25" thickBot="1" x14ac:dyDescent="0.25">
      <c r="A7" s="39"/>
      <c r="B7" s="39"/>
      <c r="C7" s="37" t="s">
        <v>105</v>
      </c>
      <c r="D7" s="42" t="s">
        <v>104</v>
      </c>
      <c r="E7" s="46" t="s">
        <v>103</v>
      </c>
      <c r="F7" s="46" t="s">
        <v>102</v>
      </c>
      <c r="G7" s="46" t="s">
        <v>101</v>
      </c>
      <c r="H7" s="46" t="s">
        <v>100</v>
      </c>
      <c r="I7" s="37" t="s">
        <v>99</v>
      </c>
      <c r="J7" s="41"/>
      <c r="K7" s="45" t="s">
        <v>98</v>
      </c>
      <c r="L7" s="41" t="s">
        <v>97</v>
      </c>
      <c r="M7" s="44" t="s">
        <v>96</v>
      </c>
      <c r="N7" s="41" t="s">
        <v>97</v>
      </c>
      <c r="O7" s="41" t="s">
        <v>96</v>
      </c>
      <c r="P7" s="43" t="s">
        <v>95</v>
      </c>
      <c r="Q7" s="39"/>
      <c r="R7" s="39"/>
    </row>
    <row r="8" spans="1:18" ht="13.5" thickBot="1" x14ac:dyDescent="0.25">
      <c r="A8" s="39"/>
      <c r="B8" s="39"/>
      <c r="C8" s="37"/>
      <c r="D8" s="42"/>
      <c r="E8" s="37"/>
      <c r="F8" s="37"/>
      <c r="G8" s="37"/>
      <c r="H8" s="37"/>
      <c r="I8" s="37"/>
      <c r="J8" s="41"/>
      <c r="K8" s="39"/>
      <c r="L8" s="39"/>
      <c r="M8" s="40"/>
      <c r="N8" s="39"/>
      <c r="O8" s="39"/>
      <c r="P8" s="39"/>
      <c r="Q8" s="39"/>
      <c r="R8" s="39"/>
    </row>
    <row r="9" spans="1:18" ht="13.5" thickBot="1" x14ac:dyDescent="0.25">
      <c r="C9" s="37">
        <v>3</v>
      </c>
      <c r="D9" s="37">
        <v>4</v>
      </c>
      <c r="E9" s="31">
        <v>0.86</v>
      </c>
      <c r="F9" s="31">
        <v>0.8</v>
      </c>
      <c r="G9" s="26"/>
      <c r="H9" s="26">
        <f>SUM(E9:G9)</f>
        <v>1.6600000000000001</v>
      </c>
      <c r="I9" s="76" t="s">
        <v>131</v>
      </c>
      <c r="K9" s="24">
        <f>H9/D9*1000</f>
        <v>415.00000000000006</v>
      </c>
      <c r="L9" s="24">
        <f>K9/1.016*10</f>
        <v>4084.6456692913393</v>
      </c>
      <c r="M9" s="23">
        <f>L9/1.12085</f>
        <v>3644.2393445075968</v>
      </c>
      <c r="N9" s="22">
        <f>L9*$O$4</f>
        <v>1433.4552626119785</v>
      </c>
      <c r="O9" s="22">
        <f>M9*$O$4</f>
        <v>1278.9001763054634</v>
      </c>
      <c r="P9" s="21">
        <f>O9/480</f>
        <v>2.664375367303049</v>
      </c>
    </row>
    <row r="10" spans="1:18" ht="13.5" thickBot="1" x14ac:dyDescent="0.25">
      <c r="C10" s="37">
        <v>4</v>
      </c>
      <c r="D10" s="37">
        <v>4</v>
      </c>
      <c r="E10" s="31">
        <v>1.31</v>
      </c>
      <c r="F10" s="31"/>
      <c r="G10" s="26"/>
      <c r="H10" s="26">
        <f>SUM(E10:G10)</f>
        <v>1.31</v>
      </c>
      <c r="I10" s="75"/>
      <c r="K10" s="24">
        <f>H10/D10*1000</f>
        <v>327.5</v>
      </c>
      <c r="L10" s="24">
        <f>K10/1.016*10</f>
        <v>3223.4251968503936</v>
      </c>
      <c r="M10" s="23">
        <f>L10/1.12085</f>
        <v>2875.8756272921387</v>
      </c>
      <c r="N10" s="22">
        <f>L10*$O$4</f>
        <v>1131.2207192901756</v>
      </c>
      <c r="O10" s="22">
        <f>M10*$O$4</f>
        <v>1009.2525487711787</v>
      </c>
      <c r="P10" s="21">
        <f>O10/480</f>
        <v>2.1026094766066223</v>
      </c>
    </row>
    <row r="11" spans="1:18" ht="13.5" thickBot="1" x14ac:dyDescent="0.25">
      <c r="C11" s="37">
        <v>5</v>
      </c>
      <c r="D11" s="37">
        <v>4</v>
      </c>
      <c r="E11" s="31">
        <v>1.35</v>
      </c>
      <c r="F11" s="31"/>
      <c r="G11" s="26"/>
      <c r="H11" s="26">
        <f>SUM(E11:G11)</f>
        <v>1.35</v>
      </c>
      <c r="I11" s="75"/>
      <c r="K11" s="24">
        <f>H11/D11*1000</f>
        <v>337.5</v>
      </c>
      <c r="L11" s="24">
        <f>K11/1.016*10</f>
        <v>3321.8503937007877</v>
      </c>
      <c r="M11" s="23">
        <f>L11/1.12085</f>
        <v>2963.6886235453344</v>
      </c>
      <c r="N11" s="22">
        <f>L11*$O$4</f>
        <v>1165.7618099555245</v>
      </c>
      <c r="O11" s="22">
        <f>M11*$O$4</f>
        <v>1040.0694204893828</v>
      </c>
      <c r="P11" s="21">
        <f>O11/480</f>
        <v>2.166811292686214</v>
      </c>
    </row>
    <row r="12" spans="1:18" ht="13.5" thickBot="1" x14ac:dyDescent="0.25">
      <c r="C12" s="37">
        <v>6</v>
      </c>
      <c r="D12" s="37">
        <v>4</v>
      </c>
      <c r="E12" s="31">
        <v>0.9</v>
      </c>
      <c r="F12" s="31">
        <v>0.56999999999999995</v>
      </c>
      <c r="G12" s="26"/>
      <c r="H12" s="26">
        <f>SUM(E12:G12)</f>
        <v>1.47</v>
      </c>
      <c r="I12" s="75"/>
      <c r="K12" s="24">
        <f>H12/D12*1000</f>
        <v>367.5</v>
      </c>
      <c r="L12" s="24">
        <f>K12/1.016*10</f>
        <v>3617.1259842519685</v>
      </c>
      <c r="M12" s="23">
        <f>L12/1.12085</f>
        <v>3227.1276123049192</v>
      </c>
      <c r="N12" s="22">
        <f>L12*$O$4</f>
        <v>1269.385081951571</v>
      </c>
      <c r="O12" s="22">
        <f>M12*$O$4</f>
        <v>1132.5200356439943</v>
      </c>
      <c r="P12" s="21">
        <f>O12/480</f>
        <v>2.359416740924988</v>
      </c>
    </row>
    <row r="13" spans="1:18" ht="13.5" thickBot="1" x14ac:dyDescent="0.25">
      <c r="C13" s="37">
        <v>7</v>
      </c>
      <c r="D13" s="37">
        <v>4</v>
      </c>
      <c r="E13" s="31">
        <v>0.92</v>
      </c>
      <c r="F13" s="31"/>
      <c r="G13" s="26"/>
      <c r="H13" s="26">
        <f>SUM(E13:G13)</f>
        <v>0.92</v>
      </c>
      <c r="I13" s="75"/>
      <c r="K13" s="24">
        <f>H13/D13*1000</f>
        <v>230</v>
      </c>
      <c r="L13" s="24">
        <f>K13/1.016*10</f>
        <v>2263.7795275590552</v>
      </c>
      <c r="M13" s="23">
        <f>L13/1.12085</f>
        <v>2019.6989138234869</v>
      </c>
      <c r="N13" s="22">
        <f>L13*$O$4</f>
        <v>794.44508530302414</v>
      </c>
      <c r="O13" s="22">
        <f>M13*$O$4</f>
        <v>708.7880495186904</v>
      </c>
      <c r="P13" s="21">
        <f>O13/480</f>
        <v>1.4766417698306049</v>
      </c>
    </row>
    <row r="14" spans="1:18" ht="13.5" thickBot="1" x14ac:dyDescent="0.25">
      <c r="C14" s="37">
        <v>8</v>
      </c>
      <c r="D14" s="37">
        <v>4</v>
      </c>
      <c r="E14" s="31">
        <v>0.47</v>
      </c>
      <c r="F14" s="31"/>
      <c r="G14" s="26"/>
      <c r="H14" s="26">
        <f>SUM(E14:G14)</f>
        <v>0.47</v>
      </c>
      <c r="I14" s="74"/>
      <c r="K14" s="24">
        <f>H14/D14*1000</f>
        <v>117.5</v>
      </c>
      <c r="L14" s="24">
        <f>K14/1.016*10</f>
        <v>1156.4960629921259</v>
      </c>
      <c r="M14" s="23">
        <f>L14/1.12085</f>
        <v>1031.802705975042</v>
      </c>
      <c r="N14" s="22">
        <f>L14*$O$4</f>
        <v>405.8578153178492</v>
      </c>
      <c r="O14" s="22">
        <f>M14*$O$4</f>
        <v>362.09824268889611</v>
      </c>
      <c r="P14" s="21">
        <f>O14/480</f>
        <v>0.75437133893520025</v>
      </c>
    </row>
    <row r="15" spans="1:18" ht="13.5" thickBot="1" x14ac:dyDescent="0.25">
      <c r="C15" s="37"/>
      <c r="D15" s="37"/>
      <c r="E15" s="25"/>
      <c r="F15" s="25"/>
      <c r="G15" s="25"/>
      <c r="H15" s="26"/>
      <c r="I15" s="25"/>
      <c r="K15" s="24"/>
      <c r="L15" s="24"/>
      <c r="M15" s="23"/>
    </row>
    <row r="16" spans="1:18" ht="13.5" thickBot="1" x14ac:dyDescent="0.25">
      <c r="C16" s="36" t="s">
        <v>94</v>
      </c>
      <c r="D16" s="35"/>
      <c r="E16" s="34" t="s">
        <v>93</v>
      </c>
      <c r="F16" s="33" t="s">
        <v>92</v>
      </c>
      <c r="G16" s="32"/>
      <c r="H16" s="31"/>
      <c r="I16" s="25"/>
      <c r="K16" s="24">
        <f>H16/SUM($D$9:$D$14)</f>
        <v>0</v>
      </c>
      <c r="L16" s="24">
        <f>K16/1.016*10</f>
        <v>0</v>
      </c>
      <c r="M16" s="23">
        <f>L16/1.12085</f>
        <v>0</v>
      </c>
      <c r="N16" s="22">
        <f>L16*$O$4</f>
        <v>0</v>
      </c>
      <c r="O16" s="22">
        <f>M16*$O$4</f>
        <v>0</v>
      </c>
      <c r="P16" s="21">
        <f>O16/480</f>
        <v>0</v>
      </c>
    </row>
    <row r="17" spans="3:16" ht="13.5" thickBot="1" x14ac:dyDescent="0.25">
      <c r="C17" s="30"/>
      <c r="D17" s="28"/>
      <c r="E17" s="29"/>
      <c r="F17" s="28"/>
      <c r="G17" s="27"/>
      <c r="H17" s="26"/>
      <c r="I17" s="25"/>
      <c r="K17" s="24"/>
      <c r="L17" s="24"/>
      <c r="M17" s="23"/>
      <c r="N17" s="22"/>
      <c r="O17" s="22"/>
      <c r="P17" s="21"/>
    </row>
    <row r="18" spans="3:16" ht="16.5" thickBot="1" x14ac:dyDescent="0.25">
      <c r="C18" s="16" t="s">
        <v>91</v>
      </c>
      <c r="D18" s="15"/>
      <c r="E18" s="15"/>
      <c r="F18" s="15"/>
      <c r="G18" s="20"/>
      <c r="H18" s="14">
        <f>SUM(H9:H14,H16)</f>
        <v>7.18</v>
      </c>
      <c r="I18" s="13"/>
      <c r="J18" s="12"/>
      <c r="K18" s="17">
        <f>AVERAGE(K9:K14)+K16/6</f>
        <v>299.16666666666669</v>
      </c>
      <c r="L18" s="17">
        <f>AVERAGE(L9:L14)+L16/6</f>
        <v>2944.5538057742783</v>
      </c>
      <c r="M18" s="19">
        <f>AVERAGE(M9:M14)+M16/6</f>
        <v>2627.0721379080865</v>
      </c>
      <c r="N18" s="18">
        <f>AVERAGE(N9:N14)+N16/6</f>
        <v>1033.3542957383538</v>
      </c>
      <c r="O18" s="18">
        <f>AVERAGE(O9:O14)+O16/6</f>
        <v>921.93807890293419</v>
      </c>
      <c r="P18" s="17">
        <f>AVERAGE(P9:P14)+P16/6</f>
        <v>1.92070433104778</v>
      </c>
    </row>
    <row r="19" spans="3:16" ht="16.5" thickBot="1" x14ac:dyDescent="0.25">
      <c r="C19" s="16" t="s">
        <v>90</v>
      </c>
      <c r="D19" s="15"/>
      <c r="E19" s="15"/>
      <c r="F19" s="15"/>
      <c r="G19" s="15"/>
      <c r="H19" s="14">
        <f>STDEV(H9:H14)/SQRT(COUNT(H9:H14))</f>
        <v>0.17609971922496406</v>
      </c>
      <c r="I19" s="13"/>
      <c r="J19" s="12"/>
      <c r="K19" s="10">
        <f>STDEV(K9:K14)/SQRT(COUNT(K9:K14))</f>
        <v>44.024929806240984</v>
      </c>
      <c r="L19" s="10">
        <f>STDEV(L9:L14)/SQRT(COUNT(L9:L14))</f>
        <v>433.31623825040305</v>
      </c>
      <c r="M19" s="11">
        <f>STDEV(M9:M14)/SQRT(COUNT(M9:M14))</f>
        <v>386.59609961226107</v>
      </c>
      <c r="N19" s="10">
        <f>STDEV(N9:N14)/SQRT(COUNT(N9:N14))</f>
        <v>152.06690919729897</v>
      </c>
      <c r="O19" s="10">
        <f>STDEV(O9:O14)/SQRT(COUNT(O9:O14))</f>
        <v>135.67106142418626</v>
      </c>
      <c r="P19" s="9">
        <f>STDEV(P9:P14)/SQRT(COUNT(P9:P14))</f>
        <v>0.28264804463372067</v>
      </c>
    </row>
    <row r="21" spans="3:16" x14ac:dyDescent="0.2">
      <c r="C21" s="8" t="s">
        <v>89</v>
      </c>
    </row>
    <row r="22" spans="3:16" x14ac:dyDescent="0.2">
      <c r="C22" s="8" t="s">
        <v>88</v>
      </c>
    </row>
  </sheetData>
  <mergeCells count="7">
    <mergeCell ref="C18:G18"/>
    <mergeCell ref="C19:G19"/>
    <mergeCell ref="K6:M6"/>
    <mergeCell ref="N6:P6"/>
    <mergeCell ref="C16:D16"/>
    <mergeCell ref="F16:G16"/>
    <mergeCell ref="I9:I14"/>
  </mergeCells>
  <pageMargins left="0.75" right="0.75" top="1" bottom="0.52" header="0.5" footer="0.5"/>
  <pageSetup scale="75" orientation="landscape" r:id="rId1"/>
  <headerFooter alignWithMargins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6E0EBC-421B-49A4-892B-F6E34798A94A}">
  <sheetPr>
    <pageSetUpPr fitToPage="1"/>
  </sheetPr>
  <dimension ref="B1:I59"/>
  <sheetViews>
    <sheetView zoomScaleNormal="100" workbookViewId="0">
      <selection activeCell="H1" sqref="H1:H2"/>
    </sheetView>
  </sheetViews>
  <sheetFormatPr defaultRowHeight="12.75" x14ac:dyDescent="0.2"/>
  <cols>
    <col min="1" max="1" width="9.140625" style="8"/>
    <col min="2" max="2" width="6.5703125" style="57" customWidth="1"/>
    <col min="3" max="8" width="11.7109375" style="8" customWidth="1"/>
    <col min="9" max="9" width="15.42578125" style="8" customWidth="1"/>
    <col min="10" max="16384" width="9.140625" style="8"/>
  </cols>
  <sheetData>
    <row r="1" spans="2:9" ht="18" x14ac:dyDescent="0.25">
      <c r="B1" s="114" t="s">
        <v>149</v>
      </c>
      <c r="C1" s="113"/>
      <c r="D1" s="113"/>
      <c r="E1" s="113"/>
      <c r="F1" s="113"/>
      <c r="G1" s="113"/>
      <c r="H1" s="113"/>
      <c r="I1" s="113"/>
    </row>
    <row r="2" spans="2:9" ht="18" x14ac:dyDescent="0.25">
      <c r="B2" s="114" t="s">
        <v>148</v>
      </c>
      <c r="C2" s="113"/>
      <c r="D2" s="113"/>
      <c r="E2" s="113"/>
      <c r="F2" s="113"/>
      <c r="G2" s="113"/>
      <c r="H2" s="113"/>
      <c r="I2" s="113"/>
    </row>
    <row r="3" spans="2:9" ht="15" x14ac:dyDescent="0.25">
      <c r="B3" s="113"/>
      <c r="C3" s="113"/>
      <c r="D3" s="113"/>
      <c r="E3" s="113"/>
      <c r="F3" s="113"/>
      <c r="G3" s="113"/>
      <c r="H3" s="113"/>
      <c r="I3" s="113"/>
    </row>
    <row r="4" spans="2:9" ht="15" x14ac:dyDescent="0.25">
      <c r="E4" s="112"/>
      <c r="F4" s="112"/>
      <c r="G4" s="112" t="s">
        <v>147</v>
      </c>
      <c r="H4" s="111" t="s">
        <v>146</v>
      </c>
      <c r="I4" s="104"/>
    </row>
    <row r="5" spans="2:9" ht="15" x14ac:dyDescent="0.25">
      <c r="E5" s="112"/>
      <c r="F5" s="112"/>
      <c r="G5" s="112"/>
      <c r="H5" s="111"/>
      <c r="I5" s="104"/>
    </row>
    <row r="6" spans="2:9" ht="15.75" x14ac:dyDescent="0.25">
      <c r="B6" s="110" t="s">
        <v>145</v>
      </c>
      <c r="I6" s="104"/>
    </row>
    <row r="7" spans="2:9" x14ac:dyDescent="0.2">
      <c r="I7" s="104"/>
    </row>
    <row r="8" spans="2:9" ht="23.25" customHeight="1" x14ac:dyDescent="0.25">
      <c r="B8" s="109" t="s">
        <v>144</v>
      </c>
      <c r="C8" s="109"/>
      <c r="D8" s="109"/>
      <c r="E8" s="109"/>
      <c r="F8" s="109"/>
      <c r="G8" s="109"/>
      <c r="H8" s="109"/>
      <c r="I8" s="108"/>
    </row>
    <row r="9" spans="2:9" ht="23.25" customHeight="1" x14ac:dyDescent="0.2">
      <c r="B9" s="109" t="s">
        <v>143</v>
      </c>
      <c r="C9" s="109"/>
      <c r="D9" s="109"/>
      <c r="E9" s="109"/>
      <c r="F9" s="109"/>
      <c r="G9" s="109"/>
      <c r="H9" s="109"/>
      <c r="I9" s="108"/>
    </row>
    <row r="10" spans="2:9" x14ac:dyDescent="0.2">
      <c r="B10" s="105"/>
      <c r="C10" s="105"/>
      <c r="D10" s="105"/>
      <c r="E10" s="105"/>
      <c r="F10" s="105"/>
      <c r="G10" s="105"/>
      <c r="H10" s="105"/>
      <c r="I10" s="104"/>
    </row>
    <row r="11" spans="2:9" ht="38.25" x14ac:dyDescent="0.2">
      <c r="C11" s="107" t="s">
        <v>142</v>
      </c>
      <c r="D11" s="105">
        <v>124.1</v>
      </c>
      <c r="E11" s="107" t="s">
        <v>141</v>
      </c>
      <c r="F11" s="105">
        <v>21.1</v>
      </c>
      <c r="G11" s="107" t="s">
        <v>140</v>
      </c>
      <c r="H11" s="105">
        <v>61.9</v>
      </c>
      <c r="I11" s="104"/>
    </row>
    <row r="12" spans="2:9" ht="25.7" customHeight="1" x14ac:dyDescent="0.2">
      <c r="B12" s="105"/>
      <c r="C12" s="106"/>
      <c r="D12" s="106"/>
      <c r="E12" s="105"/>
      <c r="F12" s="105"/>
      <c r="G12" s="105"/>
      <c r="H12" s="105"/>
      <c r="I12" s="104"/>
    </row>
    <row r="14" spans="2:9" ht="15.75" x14ac:dyDescent="0.25">
      <c r="B14" s="103"/>
      <c r="C14" s="102" t="s">
        <v>139</v>
      </c>
      <c r="D14" s="101" t="s">
        <v>138</v>
      </c>
      <c r="E14" s="102" t="s">
        <v>137</v>
      </c>
      <c r="F14" s="101" t="s">
        <v>136</v>
      </c>
      <c r="G14" s="102" t="s">
        <v>135</v>
      </c>
      <c r="H14" s="101" t="s">
        <v>134</v>
      </c>
      <c r="I14" s="100"/>
    </row>
    <row r="15" spans="2:9" ht="15.75" x14ac:dyDescent="0.25">
      <c r="B15" s="99" t="s">
        <v>133</v>
      </c>
      <c r="C15" s="98"/>
      <c r="D15" s="97"/>
      <c r="E15" s="98"/>
      <c r="F15" s="97"/>
      <c r="G15" s="98"/>
      <c r="H15" s="97"/>
      <c r="I15" s="96" t="s">
        <v>132</v>
      </c>
    </row>
    <row r="16" spans="2:9" ht="20.100000000000001" customHeight="1" x14ac:dyDescent="0.25">
      <c r="B16" s="89">
        <v>1</v>
      </c>
      <c r="C16" s="95"/>
      <c r="D16" s="95"/>
      <c r="E16" s="95"/>
      <c r="F16" s="95"/>
      <c r="G16" s="95"/>
      <c r="H16" s="90"/>
      <c r="I16" s="90"/>
    </row>
    <row r="17" spans="2:9" ht="20.100000000000001" customHeight="1" x14ac:dyDescent="0.25">
      <c r="B17" s="89">
        <v>2</v>
      </c>
      <c r="C17" s="79">
        <v>3284.5</v>
      </c>
      <c r="D17" s="80">
        <f>C17-$D$11</f>
        <v>3160.4</v>
      </c>
      <c r="E17" s="81">
        <v>1187.9000000000001</v>
      </c>
      <c r="F17" s="80">
        <f>E17-$F$11</f>
        <v>1166.8000000000002</v>
      </c>
      <c r="G17" s="79">
        <v>1898.3</v>
      </c>
      <c r="H17" s="78">
        <f>G17-$H$11</f>
        <v>1836.3999999999999</v>
      </c>
      <c r="I17" s="77"/>
    </row>
    <row r="18" spans="2:9" ht="20.100000000000001" customHeight="1" x14ac:dyDescent="0.25">
      <c r="B18" s="89">
        <v>3</v>
      </c>
      <c r="C18" s="92"/>
      <c r="D18" s="93"/>
      <c r="E18" s="94"/>
      <c r="F18" s="93"/>
      <c r="G18" s="92"/>
      <c r="H18" s="91"/>
      <c r="I18" s="90"/>
    </row>
    <row r="19" spans="2:9" ht="20.100000000000001" customHeight="1" x14ac:dyDescent="0.25">
      <c r="B19" s="89">
        <v>4</v>
      </c>
      <c r="C19" s="79">
        <v>4295.5</v>
      </c>
      <c r="D19" s="80">
        <f>C19-$D$11</f>
        <v>4171.3999999999996</v>
      </c>
      <c r="E19" s="81">
        <v>1525.9</v>
      </c>
      <c r="F19" s="80">
        <f>E19-$F$11</f>
        <v>1504.8000000000002</v>
      </c>
      <c r="G19" s="79">
        <v>2567.9</v>
      </c>
      <c r="H19" s="78">
        <f>G19-$H$11</f>
        <v>2506</v>
      </c>
      <c r="I19" s="77"/>
    </row>
    <row r="20" spans="2:9" ht="20.100000000000001" customHeight="1" x14ac:dyDescent="0.25">
      <c r="B20" s="89">
        <v>5</v>
      </c>
      <c r="C20" s="79">
        <v>1948.5</v>
      </c>
      <c r="D20" s="80">
        <f>C20-$D$11</f>
        <v>1824.4</v>
      </c>
      <c r="E20" s="81">
        <v>646.70000000000005</v>
      </c>
      <c r="F20" s="80">
        <f>E20-$F$11</f>
        <v>625.6</v>
      </c>
      <c r="G20" s="79">
        <v>1190.3</v>
      </c>
      <c r="H20" s="78">
        <f>G20-$H$11</f>
        <v>1128.3999999999999</v>
      </c>
      <c r="I20" s="77"/>
    </row>
    <row r="21" spans="2:9" ht="20.100000000000001" customHeight="1" x14ac:dyDescent="0.25">
      <c r="B21" s="89">
        <v>6</v>
      </c>
      <c r="C21" s="79">
        <v>2966.2</v>
      </c>
      <c r="D21" s="80">
        <f>C21-$D$11</f>
        <v>2842.1</v>
      </c>
      <c r="E21" s="81">
        <v>1073.5999999999999</v>
      </c>
      <c r="F21" s="80">
        <f>E21-$F$11</f>
        <v>1052.5</v>
      </c>
      <c r="G21" s="79">
        <v>1722.6</v>
      </c>
      <c r="H21" s="78">
        <f>G21-$H$11</f>
        <v>1660.6999999999998</v>
      </c>
      <c r="I21" s="77"/>
    </row>
    <row r="22" spans="2:9" ht="20.100000000000001" customHeight="1" x14ac:dyDescent="0.25">
      <c r="B22" s="89">
        <v>7</v>
      </c>
      <c r="C22" s="79">
        <v>3128.8</v>
      </c>
      <c r="D22" s="80">
        <f>C22-$D$11</f>
        <v>3004.7000000000003</v>
      </c>
      <c r="E22" s="81">
        <v>1150.8</v>
      </c>
      <c r="F22" s="80">
        <f>E22-$F$11</f>
        <v>1129.7</v>
      </c>
      <c r="G22" s="79">
        <v>1824.3</v>
      </c>
      <c r="H22" s="78">
        <f>G22-$H$11</f>
        <v>1762.3999999999999</v>
      </c>
      <c r="I22" s="77"/>
    </row>
    <row r="23" spans="2:9" ht="20.100000000000001" customHeight="1" x14ac:dyDescent="0.25">
      <c r="B23" s="89">
        <v>8</v>
      </c>
      <c r="C23" s="79">
        <v>1782.8</v>
      </c>
      <c r="D23" s="80">
        <f>C23-$D$11</f>
        <v>1658.7</v>
      </c>
      <c r="E23" s="81">
        <v>603.20000000000005</v>
      </c>
      <c r="F23" s="80">
        <f>E23-$F$11</f>
        <v>582.1</v>
      </c>
      <c r="G23" s="79">
        <v>1054.7</v>
      </c>
      <c r="H23" s="78">
        <f>G23-$H$11</f>
        <v>992.80000000000007</v>
      </c>
      <c r="I23" s="77"/>
    </row>
    <row r="24" spans="2:9" ht="10.15" customHeight="1" x14ac:dyDescent="0.25">
      <c r="B24" s="88"/>
      <c r="C24" s="85"/>
      <c r="D24" s="86"/>
      <c r="E24" s="87"/>
      <c r="F24" s="86"/>
      <c r="G24" s="85"/>
      <c r="H24" s="84"/>
      <c r="I24" s="83"/>
    </row>
    <row r="25" spans="2:9" ht="20.100000000000001" customHeight="1" x14ac:dyDescent="0.25">
      <c r="B25" s="82">
        <v>11</v>
      </c>
      <c r="C25" s="79">
        <v>3054.8</v>
      </c>
      <c r="D25" s="80">
        <f>C25-$D$11</f>
        <v>2930.7000000000003</v>
      </c>
      <c r="E25" s="81">
        <v>1067.0999999999999</v>
      </c>
      <c r="F25" s="80">
        <f>E25-$F$11</f>
        <v>1046</v>
      </c>
      <c r="G25" s="79">
        <v>1828.9</v>
      </c>
      <c r="H25" s="78">
        <f>G25-$H$11</f>
        <v>1767</v>
      </c>
      <c r="I25" s="77"/>
    </row>
    <row r="26" spans="2:9" ht="20.100000000000001" customHeight="1" x14ac:dyDescent="0.25">
      <c r="B26" s="82">
        <v>12</v>
      </c>
      <c r="C26" s="79">
        <v>2824.8</v>
      </c>
      <c r="D26" s="80">
        <f>C26-$D$11</f>
        <v>2700.7000000000003</v>
      </c>
      <c r="E26" s="81">
        <v>984.5</v>
      </c>
      <c r="F26" s="80">
        <f>E26-$F$11</f>
        <v>963.4</v>
      </c>
      <c r="G26" s="79">
        <v>1682.9</v>
      </c>
      <c r="H26" s="78">
        <f>G26-$H$11</f>
        <v>1621</v>
      </c>
      <c r="I26" s="77"/>
    </row>
    <row r="27" spans="2:9" ht="20.100000000000001" customHeight="1" x14ac:dyDescent="0.25">
      <c r="B27" s="82">
        <v>13</v>
      </c>
      <c r="C27" s="79">
        <v>3743.8</v>
      </c>
      <c r="D27" s="80">
        <f>C27-$D$11</f>
        <v>3619.7000000000003</v>
      </c>
      <c r="E27" s="81">
        <v>1341.3</v>
      </c>
      <c r="F27" s="80">
        <f>E27-$F$11</f>
        <v>1320.2</v>
      </c>
      <c r="G27" s="79">
        <v>2227.6</v>
      </c>
      <c r="H27" s="78">
        <f>G27-$H$11</f>
        <v>2165.6999999999998</v>
      </c>
      <c r="I27" s="77"/>
    </row>
    <row r="28" spans="2:9" ht="20.100000000000001" customHeight="1" x14ac:dyDescent="0.25">
      <c r="B28" s="82">
        <v>14</v>
      </c>
      <c r="C28" s="79">
        <v>2928.6</v>
      </c>
      <c r="D28" s="80">
        <f>C28-$D$11</f>
        <v>2804.5</v>
      </c>
      <c r="E28" s="81">
        <v>1048.2</v>
      </c>
      <c r="F28" s="80">
        <f>E28-$F$11</f>
        <v>1027.1000000000001</v>
      </c>
      <c r="G28" s="79">
        <v>1705.2</v>
      </c>
      <c r="H28" s="78">
        <f>G28-$H$11</f>
        <v>1643.3</v>
      </c>
      <c r="I28" s="77"/>
    </row>
    <row r="29" spans="2:9" ht="20.100000000000001" customHeight="1" x14ac:dyDescent="0.25">
      <c r="B29" s="82">
        <v>15</v>
      </c>
      <c r="C29" s="79">
        <v>3584.3</v>
      </c>
      <c r="D29" s="80">
        <f>C29-$D$11</f>
        <v>3460.2000000000003</v>
      </c>
      <c r="E29" s="81">
        <v>1301.2</v>
      </c>
      <c r="F29" s="80">
        <f>E29-$F$11</f>
        <v>1280.1000000000001</v>
      </c>
      <c r="G29" s="79">
        <v>2167.5</v>
      </c>
      <c r="H29" s="78">
        <f>G29-$H$11</f>
        <v>2105.6</v>
      </c>
      <c r="I29" s="77"/>
    </row>
    <row r="30" spans="2:9" ht="20.100000000000001" customHeight="1" x14ac:dyDescent="0.25">
      <c r="B30" s="82">
        <v>16</v>
      </c>
      <c r="C30" s="79">
        <v>3386.9</v>
      </c>
      <c r="D30" s="80">
        <f>C30-$D$11</f>
        <v>3262.8</v>
      </c>
      <c r="E30" s="81">
        <v>1241.9000000000001</v>
      </c>
      <c r="F30" s="80">
        <f>E30-$F$11</f>
        <v>1220.8000000000002</v>
      </c>
      <c r="G30" s="79">
        <v>2007.7</v>
      </c>
      <c r="H30" s="78">
        <f>G30-$H$11</f>
        <v>1945.8</v>
      </c>
      <c r="I30" s="77"/>
    </row>
    <row r="31" spans="2:9" ht="20.100000000000001" customHeight="1" x14ac:dyDescent="0.25">
      <c r="B31" s="82">
        <v>17</v>
      </c>
      <c r="C31" s="79">
        <v>2749</v>
      </c>
      <c r="D31" s="80">
        <f>C31-$D$11</f>
        <v>2624.9</v>
      </c>
      <c r="E31" s="81">
        <v>972.7</v>
      </c>
      <c r="F31" s="80">
        <f>E31-$F$11</f>
        <v>951.6</v>
      </c>
      <c r="G31" s="79">
        <v>1649</v>
      </c>
      <c r="H31" s="78">
        <f>G31-$H$11</f>
        <v>1587.1</v>
      </c>
      <c r="I31" s="77"/>
    </row>
    <row r="32" spans="2:9" ht="20.100000000000001" customHeight="1" x14ac:dyDescent="0.25">
      <c r="B32" s="82">
        <v>18</v>
      </c>
      <c r="C32" s="79">
        <v>2664.4</v>
      </c>
      <c r="D32" s="80">
        <f>C32-$D$11</f>
        <v>2540.3000000000002</v>
      </c>
      <c r="E32" s="81">
        <v>968.5</v>
      </c>
      <c r="F32" s="80">
        <f>E32-$F$11</f>
        <v>947.4</v>
      </c>
      <c r="G32" s="79">
        <v>1577.6</v>
      </c>
      <c r="H32" s="78">
        <f>G32-$H$11</f>
        <v>1515.6999999999998</v>
      </c>
      <c r="I32" s="77"/>
    </row>
    <row r="33" spans="2:9" ht="10.15" customHeight="1" x14ac:dyDescent="0.25">
      <c r="B33" s="88"/>
      <c r="C33" s="85"/>
      <c r="D33" s="86"/>
      <c r="E33" s="87"/>
      <c r="F33" s="86"/>
      <c r="G33" s="85"/>
      <c r="H33" s="84"/>
      <c r="I33" s="83"/>
    </row>
    <row r="34" spans="2:9" ht="20.100000000000001" customHeight="1" x14ac:dyDescent="0.25">
      <c r="B34" s="82">
        <v>21</v>
      </c>
      <c r="C34" s="79">
        <v>2070.9</v>
      </c>
      <c r="D34" s="80">
        <f>C34-$D$11</f>
        <v>1946.8000000000002</v>
      </c>
      <c r="E34" s="81">
        <v>715.2</v>
      </c>
      <c r="F34" s="80">
        <f>E34-$F$11</f>
        <v>694.1</v>
      </c>
      <c r="G34" s="79">
        <v>1234.5</v>
      </c>
      <c r="H34" s="78">
        <f>G34-$H$11</f>
        <v>1172.5999999999999</v>
      </c>
      <c r="I34" s="77"/>
    </row>
    <row r="35" spans="2:9" ht="20.100000000000001" customHeight="1" x14ac:dyDescent="0.25">
      <c r="B35" s="82">
        <v>22</v>
      </c>
      <c r="C35" s="79">
        <v>2466.1999999999998</v>
      </c>
      <c r="D35" s="80">
        <f>C35-$D$11</f>
        <v>2342.1</v>
      </c>
      <c r="E35" s="81">
        <v>878.8</v>
      </c>
      <c r="F35" s="80">
        <f>E35-$F$11</f>
        <v>857.69999999999993</v>
      </c>
      <c r="G35" s="79">
        <v>1448.1</v>
      </c>
      <c r="H35" s="78">
        <f>G35-$H$11</f>
        <v>1386.1999999999998</v>
      </c>
      <c r="I35" s="77"/>
    </row>
    <row r="36" spans="2:9" ht="20.100000000000001" customHeight="1" x14ac:dyDescent="0.25">
      <c r="B36" s="82">
        <v>23</v>
      </c>
      <c r="C36" s="79">
        <v>3014.6</v>
      </c>
      <c r="D36" s="80">
        <f>C36-$D$11</f>
        <v>2890.5</v>
      </c>
      <c r="E36" s="81">
        <v>1086.5</v>
      </c>
      <c r="F36" s="80">
        <f>E36-$F$11</f>
        <v>1065.4000000000001</v>
      </c>
      <c r="G36" s="79">
        <v>1772.8</v>
      </c>
      <c r="H36" s="78">
        <f>G36-$H$11</f>
        <v>1710.8999999999999</v>
      </c>
      <c r="I36" s="77"/>
    </row>
    <row r="37" spans="2:9" ht="20.100000000000001" customHeight="1" x14ac:dyDescent="0.25">
      <c r="B37" s="82">
        <v>24</v>
      </c>
      <c r="C37" s="79">
        <v>2637.6</v>
      </c>
      <c r="D37" s="80">
        <f>C37-$D$11</f>
        <v>2513.5</v>
      </c>
      <c r="E37" s="81">
        <v>923.2</v>
      </c>
      <c r="F37" s="80">
        <f>E37-$F$11</f>
        <v>902.1</v>
      </c>
      <c r="G37" s="79">
        <v>1553.6</v>
      </c>
      <c r="H37" s="78">
        <f>G37-$H$11</f>
        <v>1491.6999999999998</v>
      </c>
      <c r="I37" s="77"/>
    </row>
    <row r="38" spans="2:9" ht="20.100000000000001" customHeight="1" x14ac:dyDescent="0.25">
      <c r="B38" s="82">
        <v>25</v>
      </c>
      <c r="C38" s="79">
        <v>2915.4</v>
      </c>
      <c r="D38" s="80">
        <f>C38-$D$11</f>
        <v>2791.3</v>
      </c>
      <c r="E38" s="81">
        <v>1025.4000000000001</v>
      </c>
      <c r="F38" s="80">
        <f>E38-$F$11</f>
        <v>1004.3000000000001</v>
      </c>
      <c r="G38" s="79">
        <v>1745.1</v>
      </c>
      <c r="H38" s="78">
        <f>G38-$H$11</f>
        <v>1683.1999999999998</v>
      </c>
      <c r="I38" s="77"/>
    </row>
    <row r="39" spans="2:9" ht="20.100000000000001" customHeight="1" x14ac:dyDescent="0.25">
      <c r="B39" s="82">
        <v>26</v>
      </c>
      <c r="C39" s="79">
        <v>3082.9</v>
      </c>
      <c r="D39" s="80">
        <f>C39-$D$11</f>
        <v>2958.8</v>
      </c>
      <c r="E39" s="81">
        <v>1109.2</v>
      </c>
      <c r="F39" s="80">
        <f>E39-$F$11</f>
        <v>1088.1000000000001</v>
      </c>
      <c r="G39" s="79">
        <v>1844</v>
      </c>
      <c r="H39" s="78">
        <f>G39-$H$11</f>
        <v>1782.1</v>
      </c>
      <c r="I39" s="77"/>
    </row>
    <row r="40" spans="2:9" ht="20.100000000000001" customHeight="1" x14ac:dyDescent="0.25">
      <c r="B40" s="82">
        <v>27</v>
      </c>
      <c r="C40" s="79">
        <v>2730.3</v>
      </c>
      <c r="D40" s="80">
        <f>C40-$D$11</f>
        <v>2606.2000000000003</v>
      </c>
      <c r="E40" s="81">
        <v>943</v>
      </c>
      <c r="F40" s="80">
        <f>E40-$F$11</f>
        <v>921.9</v>
      </c>
      <c r="G40" s="79">
        <v>1604.8</v>
      </c>
      <c r="H40" s="78">
        <f>G40-$H$11</f>
        <v>1542.8999999999999</v>
      </c>
      <c r="I40" s="77"/>
    </row>
    <row r="41" spans="2:9" ht="20.100000000000001" customHeight="1" x14ac:dyDescent="0.25">
      <c r="B41" s="82">
        <v>28</v>
      </c>
      <c r="C41" s="79">
        <v>2623.7</v>
      </c>
      <c r="D41" s="80">
        <f>C41-$D$11</f>
        <v>2499.6</v>
      </c>
      <c r="E41" s="81">
        <v>918.9</v>
      </c>
      <c r="F41" s="80">
        <f>E41-$F$11</f>
        <v>897.8</v>
      </c>
      <c r="G41" s="79">
        <v>1537.4</v>
      </c>
      <c r="H41" s="78">
        <f>G41-$H$11</f>
        <v>1475.5</v>
      </c>
      <c r="I41" s="77"/>
    </row>
    <row r="42" spans="2:9" ht="10.15" customHeight="1" x14ac:dyDescent="0.25">
      <c r="B42" s="88"/>
      <c r="C42" s="85"/>
      <c r="D42" s="86"/>
      <c r="E42" s="87"/>
      <c r="F42" s="86"/>
      <c r="G42" s="85"/>
      <c r="H42" s="84"/>
      <c r="I42" s="83"/>
    </row>
    <row r="43" spans="2:9" ht="20.100000000000001" customHeight="1" x14ac:dyDescent="0.25">
      <c r="B43" s="82">
        <v>31</v>
      </c>
      <c r="C43" s="79">
        <v>4091</v>
      </c>
      <c r="D43" s="80">
        <f>C43-$D$11</f>
        <v>3966.9</v>
      </c>
      <c r="E43" s="81">
        <v>1461.2</v>
      </c>
      <c r="F43" s="80">
        <f>E43-$F$11</f>
        <v>1440.1000000000001</v>
      </c>
      <c r="G43" s="79">
        <v>2405</v>
      </c>
      <c r="H43" s="78">
        <f>G43-$H$11</f>
        <v>2343.1</v>
      </c>
      <c r="I43" s="77"/>
    </row>
    <row r="44" spans="2:9" ht="20.100000000000001" customHeight="1" x14ac:dyDescent="0.25">
      <c r="B44" s="82">
        <v>32</v>
      </c>
      <c r="C44" s="79">
        <v>2433.4</v>
      </c>
      <c r="D44" s="80">
        <f>C44-$D$11</f>
        <v>2309.3000000000002</v>
      </c>
      <c r="E44" s="81">
        <v>849.9</v>
      </c>
      <c r="F44" s="80">
        <f>E44-$F$11</f>
        <v>828.8</v>
      </c>
      <c r="G44" s="79">
        <v>1444</v>
      </c>
      <c r="H44" s="78">
        <f>G44-$H$11</f>
        <v>1382.1</v>
      </c>
      <c r="I44" s="77"/>
    </row>
    <row r="45" spans="2:9" ht="20.100000000000001" customHeight="1" x14ac:dyDescent="0.25">
      <c r="B45" s="82">
        <v>33</v>
      </c>
      <c r="C45" s="79">
        <v>2707.3</v>
      </c>
      <c r="D45" s="80">
        <f>C45-$D$11</f>
        <v>2583.2000000000003</v>
      </c>
      <c r="E45" s="81">
        <v>951.2</v>
      </c>
      <c r="F45" s="80">
        <f>E45-$F$11</f>
        <v>930.1</v>
      </c>
      <c r="G45" s="79">
        <v>1616.6</v>
      </c>
      <c r="H45" s="78">
        <f>G45-$H$11</f>
        <v>1554.6999999999998</v>
      </c>
      <c r="I45" s="77"/>
    </row>
    <row r="46" spans="2:9" ht="20.100000000000001" customHeight="1" x14ac:dyDescent="0.25">
      <c r="B46" s="82">
        <v>34</v>
      </c>
      <c r="C46" s="79">
        <v>2824.1</v>
      </c>
      <c r="D46" s="80">
        <f>C46-$D$11</f>
        <v>2700</v>
      </c>
      <c r="E46" s="81">
        <v>987.7</v>
      </c>
      <c r="F46" s="80">
        <f>E46-$F$11</f>
        <v>966.6</v>
      </c>
      <c r="G46" s="79">
        <v>1686.3</v>
      </c>
      <c r="H46" s="78">
        <f>G46-$H$11</f>
        <v>1624.3999999999999</v>
      </c>
      <c r="I46" s="77"/>
    </row>
    <row r="47" spans="2:9" ht="20.100000000000001" customHeight="1" x14ac:dyDescent="0.25">
      <c r="B47" s="82">
        <v>35</v>
      </c>
      <c r="C47" s="79">
        <v>2660.7</v>
      </c>
      <c r="D47" s="80">
        <f>C47-$D$11</f>
        <v>2536.6</v>
      </c>
      <c r="E47" s="81">
        <v>933.1</v>
      </c>
      <c r="F47" s="80">
        <f>E47-$F$11</f>
        <v>912</v>
      </c>
      <c r="G47" s="79">
        <v>1612.3</v>
      </c>
      <c r="H47" s="78">
        <f>G47-$H$11</f>
        <v>1550.3999999999999</v>
      </c>
      <c r="I47" s="77"/>
    </row>
    <row r="48" spans="2:9" ht="20.100000000000001" customHeight="1" x14ac:dyDescent="0.25">
      <c r="B48" s="82">
        <v>36</v>
      </c>
      <c r="C48" s="79">
        <v>2878.3</v>
      </c>
      <c r="D48" s="80">
        <f>C48-$D$11</f>
        <v>2754.2000000000003</v>
      </c>
      <c r="E48" s="81">
        <v>1003.3</v>
      </c>
      <c r="F48" s="80">
        <f>E48-$F$11</f>
        <v>982.19999999999993</v>
      </c>
      <c r="G48" s="79">
        <v>1732.9</v>
      </c>
      <c r="H48" s="78">
        <f>G48-$H$11</f>
        <v>1671</v>
      </c>
      <c r="I48" s="77"/>
    </row>
    <row r="49" spans="2:9" ht="20.100000000000001" customHeight="1" x14ac:dyDescent="0.25">
      <c r="B49" s="82">
        <v>37</v>
      </c>
      <c r="C49" s="79">
        <v>2182.8000000000002</v>
      </c>
      <c r="D49" s="80">
        <f>C49-$D$11</f>
        <v>2058.7000000000003</v>
      </c>
      <c r="E49" s="81">
        <v>767</v>
      </c>
      <c r="F49" s="80">
        <f>E49-$F$11</f>
        <v>745.9</v>
      </c>
      <c r="G49" s="79">
        <v>1260</v>
      </c>
      <c r="H49" s="78">
        <f>G49-$H$11</f>
        <v>1198.0999999999999</v>
      </c>
      <c r="I49" s="77"/>
    </row>
    <row r="50" spans="2:9" ht="20.100000000000001" customHeight="1" x14ac:dyDescent="0.25">
      <c r="B50" s="82">
        <v>38</v>
      </c>
      <c r="C50" s="79">
        <v>2872.1</v>
      </c>
      <c r="D50" s="80">
        <f>C50-$D$11</f>
        <v>2748</v>
      </c>
      <c r="E50" s="81">
        <v>1034.4000000000001</v>
      </c>
      <c r="F50" s="80">
        <f>E50-$F$11</f>
        <v>1013.3000000000001</v>
      </c>
      <c r="G50" s="79">
        <v>1681.3</v>
      </c>
      <c r="H50" s="78">
        <f>G50-$H$11</f>
        <v>1619.3999999999999</v>
      </c>
      <c r="I50" s="77"/>
    </row>
    <row r="51" spans="2:9" ht="10.15" customHeight="1" x14ac:dyDescent="0.25">
      <c r="B51" s="88"/>
      <c r="C51" s="85"/>
      <c r="D51" s="86"/>
      <c r="E51" s="87"/>
      <c r="F51" s="86"/>
      <c r="G51" s="85"/>
      <c r="H51" s="84"/>
      <c r="I51" s="83"/>
    </row>
    <row r="52" spans="2:9" ht="20.100000000000001" customHeight="1" x14ac:dyDescent="0.25">
      <c r="B52" s="82">
        <v>41</v>
      </c>
      <c r="C52" s="79">
        <v>1806.2</v>
      </c>
      <c r="D52" s="80">
        <f>C52-$D$11</f>
        <v>1682.1000000000001</v>
      </c>
      <c r="E52" s="81">
        <v>578.70000000000005</v>
      </c>
      <c r="F52" s="80">
        <f>E52-$F$11</f>
        <v>557.6</v>
      </c>
      <c r="G52" s="79">
        <v>1059.0999999999999</v>
      </c>
      <c r="H52" s="78">
        <f>G52-$H$11</f>
        <v>997.19999999999993</v>
      </c>
      <c r="I52" s="77"/>
    </row>
    <row r="53" spans="2:9" ht="20.100000000000001" customHeight="1" x14ac:dyDescent="0.25">
      <c r="B53" s="82">
        <v>42</v>
      </c>
      <c r="C53" s="79">
        <v>2103.3000000000002</v>
      </c>
      <c r="D53" s="80">
        <f>C53-$D$11</f>
        <v>1979.2000000000003</v>
      </c>
      <c r="E53" s="81">
        <v>675.3</v>
      </c>
      <c r="F53" s="80">
        <f>E53-$F$11</f>
        <v>654.19999999999993</v>
      </c>
      <c r="G53" s="79">
        <v>1242.9000000000001</v>
      </c>
      <c r="H53" s="78">
        <f>G53-$H$11</f>
        <v>1181</v>
      </c>
      <c r="I53" s="77"/>
    </row>
    <row r="54" spans="2:9" ht="20.100000000000001" customHeight="1" x14ac:dyDescent="0.25">
      <c r="B54" s="82">
        <v>43</v>
      </c>
      <c r="C54" s="79">
        <v>2298.1</v>
      </c>
      <c r="D54" s="80">
        <f>C54-$D$11</f>
        <v>2174</v>
      </c>
      <c r="E54" s="81">
        <v>787.9</v>
      </c>
      <c r="F54" s="80">
        <f>E54-$F$11</f>
        <v>766.8</v>
      </c>
      <c r="G54" s="79">
        <v>1386.6</v>
      </c>
      <c r="H54" s="78">
        <f>G54-$H$11</f>
        <v>1324.6999999999998</v>
      </c>
      <c r="I54" s="77"/>
    </row>
    <row r="55" spans="2:9" ht="20.100000000000001" customHeight="1" x14ac:dyDescent="0.25">
      <c r="B55" s="82">
        <v>44</v>
      </c>
      <c r="C55" s="79">
        <v>2789.8</v>
      </c>
      <c r="D55" s="80">
        <f>C55-$D$11</f>
        <v>2665.7000000000003</v>
      </c>
      <c r="E55" s="81">
        <v>961</v>
      </c>
      <c r="F55" s="80">
        <f>E55-$F$11</f>
        <v>939.9</v>
      </c>
      <c r="G55" s="79">
        <v>1692.8</v>
      </c>
      <c r="H55" s="78">
        <f>G55-$H$11</f>
        <v>1630.8999999999999</v>
      </c>
      <c r="I55" s="77"/>
    </row>
    <row r="56" spans="2:9" ht="20.100000000000001" customHeight="1" x14ac:dyDescent="0.25">
      <c r="B56" s="82">
        <v>45</v>
      </c>
      <c r="C56" s="79">
        <v>2609.9</v>
      </c>
      <c r="D56" s="80">
        <f>C56-$D$11</f>
        <v>2485.8000000000002</v>
      </c>
      <c r="E56" s="81">
        <v>908</v>
      </c>
      <c r="F56" s="80">
        <f>E56-$F$11</f>
        <v>886.9</v>
      </c>
      <c r="G56" s="79">
        <v>1536.1</v>
      </c>
      <c r="H56" s="78">
        <f>G56-$H$11</f>
        <v>1474.1999999999998</v>
      </c>
      <c r="I56" s="77"/>
    </row>
    <row r="57" spans="2:9" ht="20.100000000000001" customHeight="1" x14ac:dyDescent="0.25">
      <c r="B57" s="82">
        <v>46</v>
      </c>
      <c r="C57" s="79">
        <v>3026.2</v>
      </c>
      <c r="D57" s="80">
        <f>C57-$D$11</f>
        <v>2902.1</v>
      </c>
      <c r="E57" s="81">
        <v>1054.5</v>
      </c>
      <c r="F57" s="80">
        <f>E57-$F$11</f>
        <v>1033.4000000000001</v>
      </c>
      <c r="G57" s="79">
        <v>1817.5</v>
      </c>
      <c r="H57" s="78">
        <f>G57-$H$11</f>
        <v>1755.6</v>
      </c>
      <c r="I57" s="77"/>
    </row>
    <row r="58" spans="2:9" ht="20.100000000000001" customHeight="1" x14ac:dyDescent="0.25">
      <c r="B58" s="82">
        <v>47</v>
      </c>
      <c r="C58" s="79">
        <v>2044.5</v>
      </c>
      <c r="D58" s="80">
        <f>C58-$D$11</f>
        <v>1920.4</v>
      </c>
      <c r="E58" s="81">
        <v>684.8</v>
      </c>
      <c r="F58" s="80">
        <f>E58-$F$11</f>
        <v>663.69999999999993</v>
      </c>
      <c r="G58" s="79">
        <v>1214</v>
      </c>
      <c r="H58" s="78">
        <f>G58-$H$11</f>
        <v>1152.0999999999999</v>
      </c>
      <c r="I58" s="77"/>
    </row>
    <row r="59" spans="2:9" ht="20.100000000000001" customHeight="1" x14ac:dyDescent="0.25">
      <c r="B59" s="82">
        <v>48</v>
      </c>
      <c r="C59" s="79">
        <v>2986.4</v>
      </c>
      <c r="D59" s="80">
        <f>C59-$D$11</f>
        <v>2862.3</v>
      </c>
      <c r="E59" s="81">
        <v>1049.8</v>
      </c>
      <c r="F59" s="80">
        <f>E59-$F$11</f>
        <v>1028.7</v>
      </c>
      <c r="G59" s="79">
        <v>1771.3</v>
      </c>
      <c r="H59" s="78">
        <f>G59-$H$11</f>
        <v>1709.3999999999999</v>
      </c>
      <c r="I59" s="77"/>
    </row>
  </sheetData>
  <mergeCells count="7">
    <mergeCell ref="H14:H15"/>
    <mergeCell ref="C14:C15"/>
    <mergeCell ref="E14:E15"/>
    <mergeCell ref="G14:G15"/>
    <mergeCell ref="C12:D12"/>
    <mergeCell ref="D14:D15"/>
    <mergeCell ref="F14:F15"/>
  </mergeCells>
  <pageMargins left="0.75" right="0.75" top="0.48" bottom="0.26" header="0.51" footer="0.27"/>
  <pageSetup scale="83" orientation="portrait" r:id="rId1"/>
  <headerFooter alignWithMargins="0"/>
  <rowBreaks count="1" manualBreakCount="1">
    <brk id="42" min="1" max="8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42</vt:i4>
      </vt:variant>
      <vt:variant>
        <vt:lpstr>Named Ranges</vt:lpstr>
      </vt:variant>
      <vt:variant>
        <vt:i4>40</vt:i4>
      </vt:variant>
    </vt:vector>
  </HeadingPairs>
  <TitlesOfParts>
    <vt:vector size="82" baseType="lpstr">
      <vt:lpstr>Raw Scale</vt:lpstr>
      <vt:lpstr>Plot Scale</vt:lpstr>
      <vt:lpstr>Compare</vt:lpstr>
      <vt:lpstr>11</vt:lpstr>
      <vt:lpstr>12</vt:lpstr>
      <vt:lpstr>13</vt:lpstr>
      <vt:lpstr>14</vt:lpstr>
      <vt:lpstr>15</vt:lpstr>
      <vt:lpstr>16</vt:lpstr>
      <vt:lpstr>17</vt:lpstr>
      <vt:lpstr>18</vt:lpstr>
      <vt:lpstr>21</vt:lpstr>
      <vt:lpstr>22</vt:lpstr>
      <vt:lpstr>23</vt:lpstr>
      <vt:lpstr>24</vt:lpstr>
      <vt:lpstr>25</vt:lpstr>
      <vt:lpstr>26</vt:lpstr>
      <vt:lpstr>27</vt:lpstr>
      <vt:lpstr>28</vt:lpstr>
      <vt:lpstr>31</vt:lpstr>
      <vt:lpstr>32</vt:lpstr>
      <vt:lpstr>33</vt:lpstr>
      <vt:lpstr>34</vt:lpstr>
      <vt:lpstr>35</vt:lpstr>
      <vt:lpstr>36</vt:lpstr>
      <vt:lpstr>37</vt:lpstr>
      <vt:lpstr>38</vt:lpstr>
      <vt:lpstr>41</vt:lpstr>
      <vt:lpstr>42</vt:lpstr>
      <vt:lpstr>43</vt:lpstr>
      <vt:lpstr>44</vt:lpstr>
      <vt:lpstr>45</vt:lpstr>
      <vt:lpstr>46</vt:lpstr>
      <vt:lpstr>47</vt:lpstr>
      <vt:lpstr>48</vt:lpstr>
      <vt:lpstr>02</vt:lpstr>
      <vt:lpstr>04</vt:lpstr>
      <vt:lpstr>05</vt:lpstr>
      <vt:lpstr>06</vt:lpstr>
      <vt:lpstr>07</vt:lpstr>
      <vt:lpstr>08</vt:lpstr>
      <vt:lpstr>Ginning</vt:lpstr>
      <vt:lpstr>'02'!Print_Area</vt:lpstr>
      <vt:lpstr>'04'!Print_Area</vt:lpstr>
      <vt:lpstr>'05'!Print_Area</vt:lpstr>
      <vt:lpstr>'06'!Print_Area</vt:lpstr>
      <vt:lpstr>'07'!Print_Area</vt:lpstr>
      <vt:lpstr>'08'!Print_Area</vt:lpstr>
      <vt:lpstr>'11'!Print_Area</vt:lpstr>
      <vt:lpstr>'12'!Print_Area</vt:lpstr>
      <vt:lpstr>'13'!Print_Area</vt:lpstr>
      <vt:lpstr>'14'!Print_Area</vt:lpstr>
      <vt:lpstr>'15'!Print_Area</vt:lpstr>
      <vt:lpstr>'16'!Print_Area</vt:lpstr>
      <vt:lpstr>'17'!Print_Area</vt:lpstr>
      <vt:lpstr>'18'!Print_Area</vt:lpstr>
      <vt:lpstr>'21'!Print_Area</vt:lpstr>
      <vt:lpstr>'22'!Print_Area</vt:lpstr>
      <vt:lpstr>'23'!Print_Area</vt:lpstr>
      <vt:lpstr>'24'!Print_Area</vt:lpstr>
      <vt:lpstr>'25'!Print_Area</vt:lpstr>
      <vt:lpstr>'26'!Print_Area</vt:lpstr>
      <vt:lpstr>'27'!Print_Area</vt:lpstr>
      <vt:lpstr>'28'!Print_Area</vt:lpstr>
      <vt:lpstr>'31'!Print_Area</vt:lpstr>
      <vt:lpstr>'32'!Print_Area</vt:lpstr>
      <vt:lpstr>'33'!Print_Area</vt:lpstr>
      <vt:lpstr>'34'!Print_Area</vt:lpstr>
      <vt:lpstr>'35'!Print_Area</vt:lpstr>
      <vt:lpstr>'36'!Print_Area</vt:lpstr>
      <vt:lpstr>'37'!Print_Area</vt:lpstr>
      <vt:lpstr>'38'!Print_Area</vt:lpstr>
      <vt:lpstr>'41'!Print_Area</vt:lpstr>
      <vt:lpstr>'42'!Print_Area</vt:lpstr>
      <vt:lpstr>'43'!Print_Area</vt:lpstr>
      <vt:lpstr>'44'!Print_Area</vt:lpstr>
      <vt:lpstr>'45'!Print_Area</vt:lpstr>
      <vt:lpstr>'46'!Print_Area</vt:lpstr>
      <vt:lpstr>'47'!Print_Area</vt:lpstr>
      <vt:lpstr>'48'!Print_Area</vt:lpstr>
      <vt:lpstr>Ginning!Print_Area</vt:lpstr>
      <vt:lpstr>Ginning!Print_Titles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Reviewer</dc:creator>
  <cp:lastModifiedBy>Reviewer</cp:lastModifiedBy>
  <dcterms:created xsi:type="dcterms:W3CDTF">2023-09-06T13:49:24Z</dcterms:created>
  <dcterms:modified xsi:type="dcterms:W3CDTF">2025-05-27T22:48:23Z</dcterms:modified>
</cp:coreProperties>
</file>