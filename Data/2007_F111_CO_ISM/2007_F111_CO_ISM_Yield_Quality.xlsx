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07_F111_CO_ISM\"/>
    </mc:Choice>
  </mc:AlternateContent>
  <xr:revisionPtr revIDLastSave="0" documentId="13_ncr:1_{83635671-796D-43B5-9EF8-FC42F21BF2CD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K36" i="1"/>
  <c r="M36" i="1" s="1"/>
  <c r="K29" i="1"/>
  <c r="M29" i="1" s="1"/>
  <c r="L29" i="1"/>
  <c r="K30" i="1"/>
  <c r="L30" i="1"/>
  <c r="K31" i="1"/>
  <c r="L31" i="1"/>
  <c r="K32" i="1"/>
  <c r="L32" i="1"/>
  <c r="M32" i="1"/>
  <c r="K33" i="1"/>
  <c r="L33" i="1"/>
  <c r="K34" i="1"/>
  <c r="L34" i="1"/>
  <c r="K35" i="1"/>
  <c r="L35" i="1"/>
  <c r="L36" i="1"/>
  <c r="K37" i="1"/>
  <c r="M37" i="1" s="1"/>
  <c r="K38" i="1"/>
  <c r="M38" i="1" s="1"/>
  <c r="L38" i="1"/>
  <c r="K39" i="1"/>
  <c r="L39" i="1"/>
  <c r="K40" i="1"/>
  <c r="L40" i="1"/>
  <c r="M40" i="1"/>
  <c r="K41" i="1"/>
  <c r="L41" i="1"/>
  <c r="K42" i="1"/>
  <c r="L42" i="1"/>
  <c r="K43" i="1"/>
  <c r="L43" i="1"/>
  <c r="K44" i="1"/>
  <c r="L44" i="1"/>
  <c r="K45" i="1"/>
  <c r="M45" i="1" s="1"/>
  <c r="L45" i="1"/>
  <c r="K46" i="1"/>
  <c r="L46" i="1"/>
  <c r="K47" i="1"/>
  <c r="L47" i="1"/>
  <c r="K48" i="1"/>
  <c r="L48" i="1"/>
  <c r="K49" i="1"/>
  <c r="L49" i="1"/>
  <c r="K50" i="1"/>
  <c r="L50" i="1"/>
  <c r="K51" i="1"/>
  <c r="M51" i="1" s="1"/>
  <c r="L51" i="1"/>
  <c r="K52" i="1"/>
  <c r="L52" i="1"/>
  <c r="M52" i="1" s="1"/>
  <c r="K53" i="1"/>
  <c r="L53" i="1"/>
  <c r="K54" i="1"/>
  <c r="L54" i="1"/>
  <c r="M54" i="1" s="1"/>
  <c r="K55" i="1"/>
  <c r="L55" i="1"/>
  <c r="K56" i="1"/>
  <c r="L56" i="1"/>
  <c r="M56" i="1" s="1"/>
  <c r="K57" i="1"/>
  <c r="M57" i="1" s="1"/>
  <c r="L57" i="1"/>
  <c r="K58" i="1"/>
  <c r="L58" i="1"/>
  <c r="M58" i="1" s="1"/>
  <c r="K59" i="1"/>
  <c r="L59" i="1"/>
  <c r="K60" i="1"/>
  <c r="L60" i="1"/>
  <c r="M60" i="1"/>
  <c r="K61" i="1"/>
  <c r="L61" i="1"/>
  <c r="K62" i="1"/>
  <c r="L62" i="1"/>
  <c r="K63" i="1"/>
  <c r="M63" i="1" s="1"/>
  <c r="L63" i="1"/>
  <c r="K64" i="1"/>
  <c r="M64" i="1" s="1"/>
  <c r="L64" i="1"/>
  <c r="K65" i="1"/>
  <c r="L65" i="1"/>
  <c r="M61" i="1" l="1"/>
  <c r="M42" i="1"/>
  <c r="M65" i="1"/>
  <c r="M49" i="1"/>
  <c r="M46" i="1"/>
  <c r="M44" i="1"/>
  <c r="M34" i="1"/>
  <c r="M30" i="1"/>
  <c r="M47" i="1"/>
  <c r="M31" i="1"/>
  <c r="M39" i="1"/>
  <c r="M62" i="1"/>
  <c r="M55" i="1"/>
  <c r="M53" i="1"/>
  <c r="M50" i="1"/>
  <c r="M48" i="1"/>
  <c r="M43" i="1"/>
  <c r="M35" i="1"/>
  <c r="M59" i="1"/>
  <c r="M41" i="1"/>
  <c r="M33" i="1"/>
  <c r="K28" i="1" l="1"/>
  <c r="A19" i="1" l="1"/>
  <c r="F31" i="1" l="1"/>
  <c r="F40" i="1"/>
  <c r="F48" i="1"/>
  <c r="F56" i="1"/>
  <c r="F64" i="1"/>
  <c r="F57" i="1"/>
  <c r="F33" i="1"/>
  <c r="F50" i="1"/>
  <c r="F28" i="1"/>
  <c r="N28" i="1" s="1"/>
  <c r="F34" i="1"/>
  <c r="F43" i="1"/>
  <c r="F51" i="1"/>
  <c r="F37" i="1"/>
  <c r="F45" i="1"/>
  <c r="F61" i="1"/>
  <c r="F35" i="1"/>
  <c r="F29" i="1"/>
  <c r="F46" i="1"/>
  <c r="F55" i="1"/>
  <c r="F32" i="1"/>
  <c r="F41" i="1"/>
  <c r="F49" i="1"/>
  <c r="F65" i="1"/>
  <c r="F42" i="1"/>
  <c r="F58" i="1"/>
  <c r="F59" i="1"/>
  <c r="F53" i="1"/>
  <c r="F38" i="1"/>
  <c r="F54" i="1"/>
  <c r="F39" i="1"/>
  <c r="F47" i="1"/>
  <c r="F63" i="1"/>
  <c r="F36" i="1"/>
  <c r="F44" i="1"/>
  <c r="F52" i="1"/>
  <c r="F60" i="1"/>
  <c r="F62" i="1"/>
  <c r="F30" i="1"/>
  <c r="N36" i="1" l="1"/>
  <c r="O36" i="1"/>
  <c r="N29" i="1"/>
  <c r="P29" i="1" s="1"/>
  <c r="O29" i="1"/>
  <c r="N63" i="1"/>
  <c r="O63" i="1"/>
  <c r="N42" i="1"/>
  <c r="O42" i="1"/>
  <c r="P42" i="1" s="1"/>
  <c r="N35" i="1"/>
  <c r="P35" i="1" s="1"/>
  <c r="O35" i="1"/>
  <c r="N50" i="1"/>
  <c r="P50" i="1" s="1"/>
  <c r="O50" i="1"/>
  <c r="N47" i="1"/>
  <c r="O47" i="1"/>
  <c r="O65" i="1"/>
  <c r="N65" i="1"/>
  <c r="P65" i="1" s="1"/>
  <c r="O61" i="1"/>
  <c r="N61" i="1"/>
  <c r="N33" i="1"/>
  <c r="P33" i="1" s="1"/>
  <c r="O33" i="1"/>
  <c r="N39" i="1"/>
  <c r="O39" i="1"/>
  <c r="O45" i="1"/>
  <c r="N45" i="1"/>
  <c r="P45" i="1" s="1"/>
  <c r="N54" i="1"/>
  <c r="O54" i="1"/>
  <c r="N38" i="1"/>
  <c r="P38" i="1" s="1"/>
  <c r="O38" i="1"/>
  <c r="N56" i="1"/>
  <c r="O56" i="1"/>
  <c r="P56" i="1" s="1"/>
  <c r="N58" i="1"/>
  <c r="O58" i="1"/>
  <c r="N31" i="1"/>
  <c r="P31" i="1" s="1"/>
  <c r="O31" i="1"/>
  <c r="O30" i="1"/>
  <c r="N30" i="1"/>
  <c r="N49" i="1"/>
  <c r="O49" i="1"/>
  <c r="N57" i="1"/>
  <c r="O57" i="1"/>
  <c r="P57" i="1" s="1"/>
  <c r="N62" i="1"/>
  <c r="P62" i="1" s="1"/>
  <c r="O62" i="1"/>
  <c r="N41" i="1"/>
  <c r="P41" i="1" s="1"/>
  <c r="O41" i="1"/>
  <c r="O37" i="1"/>
  <c r="N37" i="1"/>
  <c r="P37" i="1" s="1"/>
  <c r="O64" i="1"/>
  <c r="N64" i="1"/>
  <c r="P64" i="1" s="1"/>
  <c r="N60" i="1"/>
  <c r="P60" i="1" s="1"/>
  <c r="O60" i="1"/>
  <c r="N32" i="1"/>
  <c r="P32" i="1" s="1"/>
  <c r="O32" i="1"/>
  <c r="N51" i="1"/>
  <c r="O51" i="1"/>
  <c r="N52" i="1"/>
  <c r="O52" i="1"/>
  <c r="P52" i="1" s="1"/>
  <c r="N53" i="1"/>
  <c r="P53" i="1" s="1"/>
  <c r="O53" i="1"/>
  <c r="N55" i="1"/>
  <c r="P55" i="1" s="1"/>
  <c r="O55" i="1"/>
  <c r="N43" i="1"/>
  <c r="O43" i="1"/>
  <c r="N48" i="1"/>
  <c r="O48" i="1"/>
  <c r="P48" i="1" s="1"/>
  <c r="N44" i="1"/>
  <c r="O44" i="1"/>
  <c r="N59" i="1"/>
  <c r="P59" i="1" s="1"/>
  <c r="O59" i="1"/>
  <c r="N46" i="1"/>
  <c r="O46" i="1"/>
  <c r="N34" i="1"/>
  <c r="O34" i="1"/>
  <c r="N40" i="1"/>
  <c r="P40" i="1" s="1"/>
  <c r="O40" i="1"/>
  <c r="L28" i="1"/>
  <c r="O28" i="1" s="1"/>
  <c r="P28" i="1" s="1"/>
  <c r="P34" i="1" l="1"/>
  <c r="P58" i="1"/>
  <c r="P46" i="1"/>
  <c r="P51" i="1"/>
  <c r="P39" i="1"/>
  <c r="P63" i="1"/>
  <c r="P30" i="1"/>
  <c r="P43" i="1"/>
  <c r="P49" i="1"/>
  <c r="P47" i="1"/>
  <c r="P44" i="1"/>
  <c r="P54" i="1"/>
  <c r="P61" i="1"/>
  <c r="P36" i="1"/>
  <c r="M28" i="1"/>
</calcChain>
</file>

<file path=xl/sharedStrings.xml><?xml version="1.0" encoding="utf-8"?>
<sst xmlns="http://schemas.openxmlformats.org/spreadsheetml/2006/main" count="330" uniqueCount="88">
  <si>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</si>
  <si>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</si>
  <si>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</si>
  <si>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</si>
  <si>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</si>
  <si>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</si>
  <si>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</si>
  <si>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</si>
  <si>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</si>
  <si>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</si>
  <si>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</si>
  <si>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</si>
  <si>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</si>
  <si>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</si>
  <si>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</si>
  <si>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</si>
  <si>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</si>
  <si>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</si>
  <si>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</si>
  <si>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</si>
  <si>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</si>
  <si>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</si>
  <si>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Column H - Weight of bulk cotton subsample prior to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</si>
  <si>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</si>
  <si>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</si>
  <si>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</si>
  <si>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</si>
  <si>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</si>
  <si>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HARM</t>
  </si>
  <si>
    <t>Hand</t>
  </si>
  <si>
    <t>Column C - Harvest method (HARM)</t>
  </si>
  <si>
    <t>Size of harvest area (6 40-inch rows by 4 m) (m2)</t>
  </si>
  <si>
    <t>Column F - Wet bulk weight at harvest (fiber + seed + trash) (WBWAH, kg/ha)</t>
  </si>
  <si>
    <t>Date</t>
  </si>
  <si>
    <t>GNDAT</t>
  </si>
  <si>
    <t>Column D - Harvest date (HADAT, mm/dd/yyyy)</t>
  </si>
  <si>
    <t>Column G - Ginning Date (GNDAT,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</si>
  <si>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</si>
  <si>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</si>
  <si>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</si>
  <si>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</si>
  <si>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</si>
  <si>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</si>
  <si>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</si>
  <si>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</si>
  <si>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p12</t>
  </si>
  <si>
    <t>p13</t>
  </si>
  <si>
    <t>p14</t>
  </si>
  <si>
    <t>p15</t>
  </si>
  <si>
    <t>p16</t>
  </si>
  <si>
    <t>p17</t>
  </si>
  <si>
    <t>p18</t>
  </si>
  <si>
    <t>p21</t>
  </si>
  <si>
    <t>p22</t>
  </si>
  <si>
    <t>p23</t>
  </si>
  <si>
    <t>p24</t>
  </si>
  <si>
    <t>p25</t>
  </si>
  <si>
    <t>p26</t>
  </si>
  <si>
    <t>p27</t>
  </si>
  <si>
    <t>p28</t>
  </si>
  <si>
    <t>p31</t>
  </si>
  <si>
    <t>p32</t>
  </si>
  <si>
    <t>p33</t>
  </si>
  <si>
    <t>p34</t>
  </si>
  <si>
    <t>p35</t>
  </si>
  <si>
    <t>p36</t>
  </si>
  <si>
    <t>p37</t>
  </si>
  <si>
    <t>p38</t>
  </si>
  <si>
    <t>p41</t>
  </si>
  <si>
    <t>p42</t>
  </si>
  <si>
    <t>p43</t>
  </si>
  <si>
    <t>p44</t>
  </si>
  <si>
    <t>p45</t>
  </si>
  <si>
    <t>p46</t>
  </si>
  <si>
    <t>p47</t>
  </si>
  <si>
    <t>p48</t>
  </si>
  <si>
    <t>ID</t>
  </si>
  <si>
    <t>Column A - ID (ID)</t>
  </si>
  <si>
    <t>Column B - Harvest Area ID (HID)</t>
  </si>
  <si>
    <t>(kg)</t>
  </si>
  <si>
    <t>Column E - Weight of bulk hand-picked cotton in six 4 m rows (kg)</t>
  </si>
  <si>
    <t>Column I - Weight of fiber after ginning (g)</t>
  </si>
  <si>
    <t>Column M - Trash fraction after ginning (TFRAC, g/g)</t>
  </si>
  <si>
    <t>Lint Yield</t>
  </si>
  <si>
    <t>SCYield</t>
  </si>
  <si>
    <t>Original</t>
  </si>
  <si>
    <t>Spreadsheet</t>
  </si>
  <si>
    <t>Column J - Weight of fuzzy seed after ginning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</si>
</sst>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xVal>
          <c:yVal>
            <c:numRef>
              <c:f>Compare!$N$6:$N$7</c:f>
              <c:numCache>
                <c:formatCode>General</c:formatCode>
                <c:ptCount val="2"/>
                <c:pt idx="0">
                  <c:v>0</c:v>
                </c:pt>
                <c:pt idx="1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C-41B0-8C41-01AA45C8272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Compare!$B$7:$B$44</c:f>
              <c:numCache>
                <c:formatCode>General</c:formatCode>
                <c:ptCount val="38"/>
                <c:pt idx="0">
                  <c:v>1555</c:v>
                </c:pt>
                <c:pt idx="1">
                  <c:v>1514.9</c:v>
                </c:pt>
                <c:pt idx="2">
                  <c:v>1274.0999999999999</c:v>
                </c:pt>
                <c:pt idx="3">
                  <c:v>1517.2</c:v>
                </c:pt>
                <c:pt idx="4">
                  <c:v>1409.3</c:v>
                </c:pt>
                <c:pt idx="5">
                  <c:v>1033.4000000000001</c:v>
                </c:pt>
                <c:pt idx="6">
                  <c:v>2030.2</c:v>
                </c:pt>
                <c:pt idx="7">
                  <c:v>1957.4</c:v>
                </c:pt>
                <c:pt idx="8">
                  <c:v>2109</c:v>
                </c:pt>
                <c:pt idx="9">
                  <c:v>1758.8</c:v>
                </c:pt>
                <c:pt idx="10">
                  <c:v>2087.6</c:v>
                </c:pt>
                <c:pt idx="11">
                  <c:v>2079.1999999999998</c:v>
                </c:pt>
                <c:pt idx="12">
                  <c:v>1989.3</c:v>
                </c:pt>
                <c:pt idx="13">
                  <c:v>2251.4</c:v>
                </c:pt>
                <c:pt idx="14">
                  <c:v>1459.2</c:v>
                </c:pt>
                <c:pt idx="15">
                  <c:v>1700.1</c:v>
                </c:pt>
                <c:pt idx="16">
                  <c:v>2007.4</c:v>
                </c:pt>
                <c:pt idx="17">
                  <c:v>1947.3</c:v>
                </c:pt>
                <c:pt idx="18">
                  <c:v>2015.6</c:v>
                </c:pt>
                <c:pt idx="19">
                  <c:v>2040.5</c:v>
                </c:pt>
                <c:pt idx="20">
                  <c:v>1719.1</c:v>
                </c:pt>
                <c:pt idx="21">
                  <c:v>1642.4</c:v>
                </c:pt>
                <c:pt idx="22">
                  <c:v>1972.7</c:v>
                </c:pt>
                <c:pt idx="23">
                  <c:v>1864.8</c:v>
                </c:pt>
                <c:pt idx="24">
                  <c:v>1640.5</c:v>
                </c:pt>
                <c:pt idx="25">
                  <c:v>1876.3</c:v>
                </c:pt>
                <c:pt idx="26">
                  <c:v>1624.9</c:v>
                </c:pt>
                <c:pt idx="27">
                  <c:v>1851.5</c:v>
                </c:pt>
                <c:pt idx="28">
                  <c:v>1679</c:v>
                </c:pt>
                <c:pt idx="29">
                  <c:v>1642.3</c:v>
                </c:pt>
                <c:pt idx="30">
                  <c:v>882.3</c:v>
                </c:pt>
                <c:pt idx="31">
                  <c:v>1142.7</c:v>
                </c:pt>
                <c:pt idx="32">
                  <c:v>1686.6</c:v>
                </c:pt>
                <c:pt idx="33">
                  <c:v>1613.7</c:v>
                </c:pt>
                <c:pt idx="34">
                  <c:v>1630</c:v>
                </c:pt>
                <c:pt idx="35">
                  <c:v>1876.5</c:v>
                </c:pt>
                <c:pt idx="36">
                  <c:v>1196.2</c:v>
                </c:pt>
                <c:pt idx="37">
                  <c:v>1699.4</c:v>
                </c:pt>
              </c:numCache>
            </c:numRef>
          </c:xVal>
          <c:yVal>
            <c:numRef>
              <c:f>'Raw Scale'!$N$28:$N$65</c:f>
              <c:numCache>
                <c:formatCode>0.0</c:formatCode>
                <c:ptCount val="38"/>
                <c:pt idx="0">
                  <c:v>1554.9622900652791</c:v>
                </c:pt>
                <c:pt idx="1">
                  <c:v>1514.9278608477148</c:v>
                </c:pt>
                <c:pt idx="2">
                  <c:v>1274.089464425366</c:v>
                </c:pt>
                <c:pt idx="3">
                  <c:v>1517.2015875197085</c:v>
                </c:pt>
                <c:pt idx="4">
                  <c:v>1409.2993701818161</c:v>
                </c:pt>
                <c:pt idx="5">
                  <c:v>1033.3542957383538</c:v>
                </c:pt>
                <c:pt idx="6">
                  <c:v>2030.1673155580706</c:v>
                </c:pt>
                <c:pt idx="7">
                  <c:v>1957.4084613233842</c:v>
                </c:pt>
                <c:pt idx="8">
                  <c:v>2109.0229885932599</c:v>
                </c:pt>
                <c:pt idx="9">
                  <c:v>1758.770733808479</c:v>
                </c:pt>
                <c:pt idx="10">
                  <c:v>2087.6427424203325</c:v>
                </c:pt>
                <c:pt idx="11">
                  <c:v>2079.1623992017549</c:v>
                </c:pt>
                <c:pt idx="12">
                  <c:v>1989.2658827947853</c:v>
                </c:pt>
                <c:pt idx="13">
                  <c:v>2251.3925908062811</c:v>
                </c:pt>
                <c:pt idx="14">
                  <c:v>1459.2385640450689</c:v>
                </c:pt>
                <c:pt idx="15">
                  <c:v>1700.088200675953</c:v>
                </c:pt>
                <c:pt idx="16">
                  <c:v>2007.39502787891</c:v>
                </c:pt>
                <c:pt idx="17">
                  <c:v>1947.2902429244286</c:v>
                </c:pt>
                <c:pt idx="18">
                  <c:v>2015.5923288267356</c:v>
                </c:pt>
                <c:pt idx="19">
                  <c:v>2040.5443916665508</c:v>
                </c:pt>
                <c:pt idx="20">
                  <c:v>1719.0538257649687</c:v>
                </c:pt>
                <c:pt idx="21">
                  <c:v>1642.4002512317982</c:v>
                </c:pt>
                <c:pt idx="22">
                  <c:v>1972.6603994842094</c:v>
                </c:pt>
                <c:pt idx="23">
                  <c:v>1864.837750085725</c:v>
                </c:pt>
                <c:pt idx="24">
                  <c:v>1640.5169489570812</c:v>
                </c:pt>
                <c:pt idx="25">
                  <c:v>1876.3287401574801</c:v>
                </c:pt>
                <c:pt idx="26">
                  <c:v>1624.873272611798</c:v>
                </c:pt>
                <c:pt idx="27">
                  <c:v>1851.5404819096618</c:v>
                </c:pt>
                <c:pt idx="28">
                  <c:v>1679.0399765568241</c:v>
                </c:pt>
                <c:pt idx="29">
                  <c:v>1642.276165056333</c:v>
                </c:pt>
                <c:pt idx="30">
                  <c:v>882.28866834841654</c:v>
                </c:pt>
                <c:pt idx="31">
                  <c:v>1142.7296143673736</c:v>
                </c:pt>
                <c:pt idx="32">
                  <c:v>1686.6158030844122</c:v>
                </c:pt>
                <c:pt idx="33">
                  <c:v>1613.72535437797</c:v>
                </c:pt>
                <c:pt idx="34">
                  <c:v>1630.0041585285785</c:v>
                </c:pt>
                <c:pt idx="35">
                  <c:v>1876.5245996631459</c:v>
                </c:pt>
                <c:pt idx="36">
                  <c:v>1196.2380636470639</c:v>
                </c:pt>
                <c:pt idx="37">
                  <c:v>1699.4091290221152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9C-41B0-8C41-01AA45C8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4264"/>
        <c:axId val="777372464"/>
      </c:scatterChart>
      <c:valAx>
        <c:axId val="77737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2464"/>
        <c:crosses val="autoZero"/>
        <c:crossBetween val="midCat"/>
      </c:valAx>
      <c:valAx>
        <c:axId val="7773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4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WSCWAH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Compare!$N$27:$N$28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xVal>
          <c:yVal>
            <c:numRef>
              <c:f>Compare!$N$27:$N$28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0-4CBA-8C58-ACF6CD3BE4B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Compare!$C$7:$C$44</c:f>
              <c:numCache>
                <c:formatCode>General</c:formatCode>
                <c:ptCount val="38"/>
                <c:pt idx="0">
                  <c:v>4211.78</c:v>
                </c:pt>
                <c:pt idx="1">
                  <c:v>4199.4799999999996</c:v>
                </c:pt>
                <c:pt idx="2">
                  <c:v>3715.55</c:v>
                </c:pt>
                <c:pt idx="3">
                  <c:v>4096.95</c:v>
                </c:pt>
                <c:pt idx="4">
                  <c:v>3748.36</c:v>
                </c:pt>
                <c:pt idx="5">
                  <c:v>2944.55</c:v>
                </c:pt>
                <c:pt idx="6">
                  <c:v>5688.16</c:v>
                </c:pt>
                <c:pt idx="7">
                  <c:v>5487.2</c:v>
                </c:pt>
                <c:pt idx="8">
                  <c:v>5782.48</c:v>
                </c:pt>
                <c:pt idx="9">
                  <c:v>4802.33</c:v>
                </c:pt>
                <c:pt idx="10">
                  <c:v>5643.04</c:v>
                </c:pt>
                <c:pt idx="11">
                  <c:v>5556.92</c:v>
                </c:pt>
                <c:pt idx="12">
                  <c:v>5487.2</c:v>
                </c:pt>
                <c:pt idx="13">
                  <c:v>6036.75</c:v>
                </c:pt>
                <c:pt idx="14">
                  <c:v>4092.85</c:v>
                </c:pt>
                <c:pt idx="15">
                  <c:v>4642.3900000000003</c:v>
                </c:pt>
                <c:pt idx="16">
                  <c:v>5446.19</c:v>
                </c:pt>
                <c:pt idx="17">
                  <c:v>5425.69</c:v>
                </c:pt>
                <c:pt idx="18">
                  <c:v>5602.03</c:v>
                </c:pt>
                <c:pt idx="19">
                  <c:v>5548.72</c:v>
                </c:pt>
                <c:pt idx="20">
                  <c:v>4859.74</c:v>
                </c:pt>
                <c:pt idx="21">
                  <c:v>4572.67</c:v>
                </c:pt>
                <c:pt idx="22">
                  <c:v>5433.89</c:v>
                </c:pt>
                <c:pt idx="23">
                  <c:v>5196.03</c:v>
                </c:pt>
                <c:pt idx="24">
                  <c:v>4556.2700000000004</c:v>
                </c:pt>
                <c:pt idx="25">
                  <c:v>5241.1400000000003</c:v>
                </c:pt>
                <c:pt idx="26">
                  <c:v>4519.3599999999997</c:v>
                </c:pt>
                <c:pt idx="27">
                  <c:v>5191.93</c:v>
                </c:pt>
                <c:pt idx="28">
                  <c:v>4634.1899999999996</c:v>
                </c:pt>
                <c:pt idx="29">
                  <c:v>4453.74</c:v>
                </c:pt>
                <c:pt idx="30">
                  <c:v>2661.58</c:v>
                </c:pt>
                <c:pt idx="31">
                  <c:v>3457.19</c:v>
                </c:pt>
                <c:pt idx="32">
                  <c:v>4781.82</c:v>
                </c:pt>
                <c:pt idx="33">
                  <c:v>4576.7700000000004</c:v>
                </c:pt>
                <c:pt idx="34">
                  <c:v>4568.57</c:v>
                </c:pt>
                <c:pt idx="35">
                  <c:v>5269.85</c:v>
                </c:pt>
                <c:pt idx="36">
                  <c:v>3461.29</c:v>
                </c:pt>
                <c:pt idx="37">
                  <c:v>4728.51</c:v>
                </c:pt>
              </c:numCache>
            </c:numRef>
          </c:xVal>
          <c:yVal>
            <c:numRef>
              <c:f>'Raw Scale'!$P$28:$P$65</c:f>
              <c:numCache>
                <c:formatCode>0.0</c:formatCode>
                <c:ptCount val="38"/>
                <c:pt idx="0">
                  <c:v>4002.2820959239343</c:v>
                </c:pt>
                <c:pt idx="1">
                  <c:v>4037.7941681871448</c:v>
                </c:pt>
                <c:pt idx="2">
                  <c:v>3572.1753845941366</c:v>
                </c:pt>
                <c:pt idx="3">
                  <c:v>3911.1366719795469</c:v>
                </c:pt>
                <c:pt idx="4">
                  <c:v>3607.8912175823934</c:v>
                </c:pt>
                <c:pt idx="5">
                  <c:v>2795.7905520672275</c:v>
                </c:pt>
                <c:pt idx="6">
                  <c:v>5459.7138228153472</c:v>
                </c:pt>
                <c:pt idx="7">
                  <c:v>5250.909723317578</c:v>
                </c:pt>
                <c:pt idx="8">
                  <c:v>5568.7344613977011</c:v>
                </c:pt>
                <c:pt idx="9">
                  <c:v>4572.7011659645241</c:v>
                </c:pt>
                <c:pt idx="10">
                  <c:v>5521.5467799488479</c:v>
                </c:pt>
                <c:pt idx="11">
                  <c:v>5393.0829401312876</c:v>
                </c:pt>
                <c:pt idx="12">
                  <c:v>5307.0085084606144</c:v>
                </c:pt>
                <c:pt idx="13">
                  <c:v>5853.2880413921794</c:v>
                </c:pt>
                <c:pt idx="14">
                  <c:v>3924.4498307202562</c:v>
                </c:pt>
                <c:pt idx="15">
                  <c:v>4447.7415337492967</c:v>
                </c:pt>
                <c:pt idx="16">
                  <c:v>5231.0219785059298</c:v>
                </c:pt>
                <c:pt idx="17">
                  <c:v>5167.3022763690251</c:v>
                </c:pt>
                <c:pt idx="18">
                  <c:v>5393.7114245960884</c:v>
                </c:pt>
                <c:pt idx="19">
                  <c:v>5382.5664120589418</c:v>
                </c:pt>
                <c:pt idx="20">
                  <c:v>4596.0775244012311</c:v>
                </c:pt>
                <c:pt idx="21">
                  <c:v>4341.6223170510439</c:v>
                </c:pt>
                <c:pt idx="22">
                  <c:v>5182.2573594393871</c:v>
                </c:pt>
                <c:pt idx="23">
                  <c:v>4974.625701815311</c:v>
                </c:pt>
                <c:pt idx="24">
                  <c:v>4382.7077892361631</c:v>
                </c:pt>
                <c:pt idx="25">
                  <c:v>5029.5548993875764</c:v>
                </c:pt>
                <c:pt idx="26">
                  <c:v>4387.1578360518552</c:v>
                </c:pt>
                <c:pt idx="27">
                  <c:v>5001.5345210779005</c:v>
                </c:pt>
                <c:pt idx="28">
                  <c:v>4375.9937182282683</c:v>
                </c:pt>
                <c:pt idx="29">
                  <c:v>4266.8710744535756</c:v>
                </c:pt>
                <c:pt idx="30">
                  <c:v>2460.1549884291931</c:v>
                </c:pt>
                <c:pt idx="31">
                  <c:v>3205.6517705395963</c:v>
                </c:pt>
                <c:pt idx="32">
                  <c:v>4600.3611791223893</c:v>
                </c:pt>
                <c:pt idx="33">
                  <c:v>4413.8367284124752</c:v>
                </c:pt>
                <c:pt idx="34">
                  <c:v>4339.3875506842114</c:v>
                </c:pt>
                <c:pt idx="35">
                  <c:v>5064.4736873045422</c:v>
                </c:pt>
                <c:pt idx="36">
                  <c:v>3272.7573843157124</c:v>
                </c:pt>
                <c:pt idx="37">
                  <c:v>4523.3324936088784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0-4CBA-8C58-ACF6CD3B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4264"/>
        <c:axId val="777372464"/>
      </c:scatterChart>
      <c:valAx>
        <c:axId val="77737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2464"/>
        <c:crosses val="autoZero"/>
        <c:crossBetween val="midCat"/>
      </c:valAx>
      <c:valAx>
        <c:axId val="7773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74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7</xdr:row>
      <xdr:rowOff>21906</xdr:rowOff>
    </xdr:from>
    <xdr:to>
      <xdr:col>12</xdr:col>
      <xdr:colOff>114300</xdr:colOff>
      <xdr:row>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4E088-4A30-CCB7-E823-EC8A64B9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26</xdr:row>
      <xdr:rowOff>66675</xdr:rowOff>
    </xdr:from>
    <xdr:to>
      <xdr:col>12</xdr:col>
      <xdr:colOff>133350</xdr:colOff>
      <xdr:row>44</xdr:row>
      <xdr:rowOff>159068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C954C6-D56F-4CD1-9CF6-581147AE9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Q65"/>
  <sheetViews>
    <sheetView tabSelected="1" workbookViewId="0"/>
  </sheetViews>
  <sheetFormatPr defaultRowHeight="14.4" x14ac:dyDescent="0.3"/>
  <cols>
    <col min="1" max="2" width="8.88671875" customWidth="1"/>
    <col min="3" max="7" width="10.5546875" bestFit="1" customWidth="1"/>
  </cols>
  <sheetData>
    <row r="1" spans="1:1" x14ac:dyDescent="0.3">
      <c r="A1" t="s">
        <v>77</v>
      </c>
    </row>
    <row r="2" spans="1:1" x14ac:dyDescent="0.3">
      <c r="A2" t="s">
        <v>78</v>
      </c>
    </row>
    <row r="3" spans="1:1" x14ac:dyDescent="0.3">
      <c r="A3" t="s">
        <v>30</v>
      </c>
    </row>
    <row r="4" spans="1:1" x14ac:dyDescent="0.3">
      <c r="A4" t="s">
        <v>35</v>
      </c>
    </row>
    <row r="5" spans="1:1" x14ac:dyDescent="0.3">
      <c r="A5" t="s">
        <v>80</v>
      </c>
    </row>
    <row r="6" spans="1:1" x14ac:dyDescent="0.3">
      <c r="A6" t="s">
        <v>32</v>
      </c>
    </row>
    <row r="7" spans="1:1" x14ac:dyDescent="0.3">
      <c r="A7" t="s">
        <v>36</v>
      </c>
    </row>
    <row r="8" spans="1:1" x14ac:dyDescent="0.3">
      <c r="A8" t="s">
        <v>22</v>
      </c>
    </row>
    <row r="9" spans="1:1" x14ac:dyDescent="0.3">
      <c r="A9" t="s">
        <v>81</v>
      </c>
    </row>
    <row r="10" spans="1:1" x14ac:dyDescent="0.3">
      <c r="A10" t="s">
        <v>87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82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8" spans="1:17" x14ac:dyDescent="0.3">
      <c r="A18" t="s">
        <v>5</v>
      </c>
    </row>
    <row r="19" spans="1:17" x14ac:dyDescent="0.3">
      <c r="A19">
        <f>6*1.016*4</f>
        <v>24.384</v>
      </c>
      <c r="B19" t="s">
        <v>31</v>
      </c>
    </row>
    <row r="20" spans="1:17" x14ac:dyDescent="0.3">
      <c r="A20">
        <v>10000</v>
      </c>
      <c r="B20" t="s">
        <v>6</v>
      </c>
    </row>
    <row r="22" spans="1:17" x14ac:dyDescent="0.3">
      <c r="B22" s="1"/>
      <c r="C22" s="1" t="s">
        <v>0</v>
      </c>
      <c r="D22" s="1" t="s">
        <v>0</v>
      </c>
      <c r="E22" t="s">
        <v>0</v>
      </c>
      <c r="F22" s="1" t="s">
        <v>0</v>
      </c>
      <c r="G22" s="1" t="s">
        <v>7</v>
      </c>
      <c r="H22" t="s">
        <v>7</v>
      </c>
      <c r="I22" t="s">
        <v>7</v>
      </c>
      <c r="J22" t="s">
        <v>7</v>
      </c>
      <c r="K22" s="1" t="s">
        <v>7</v>
      </c>
      <c r="L22" s="1" t="s">
        <v>7</v>
      </c>
      <c r="M22" s="1" t="s">
        <v>7</v>
      </c>
      <c r="N22" s="1" t="s">
        <v>17</v>
      </c>
      <c r="O22" s="1" t="s">
        <v>17</v>
      </c>
      <c r="P22" s="1" t="s">
        <v>17</v>
      </c>
    </row>
    <row r="23" spans="1:17" x14ac:dyDescent="0.3">
      <c r="B23" s="1"/>
      <c r="C23" s="1"/>
      <c r="D23" s="1"/>
      <c r="F23" s="1"/>
      <c r="G23" s="1"/>
      <c r="K23" s="1"/>
      <c r="L23" s="1"/>
      <c r="M23" s="1"/>
      <c r="N23" s="1"/>
      <c r="O23" s="1"/>
      <c r="P23" s="1"/>
    </row>
    <row r="24" spans="1:17" x14ac:dyDescent="0.3">
      <c r="B24" s="1"/>
      <c r="C24" s="1"/>
      <c r="D24" s="1"/>
      <c r="E24" t="s">
        <v>1</v>
      </c>
      <c r="F24" s="1"/>
      <c r="G24" s="1" t="s">
        <v>33</v>
      </c>
      <c r="H24" t="s">
        <v>8</v>
      </c>
      <c r="I24" t="s">
        <v>11</v>
      </c>
      <c r="J24" t="s">
        <v>12</v>
      </c>
      <c r="K24" s="1"/>
      <c r="L24" s="1"/>
      <c r="M24" s="1"/>
      <c r="N24" s="1"/>
      <c r="O24" s="1"/>
      <c r="P24" s="1"/>
    </row>
    <row r="25" spans="1:17" x14ac:dyDescent="0.3">
      <c r="A25" t="s">
        <v>76</v>
      </c>
      <c r="B25" s="1" t="s">
        <v>37</v>
      </c>
      <c r="C25" s="1" t="s">
        <v>28</v>
      </c>
      <c r="D25" s="1" t="s">
        <v>2</v>
      </c>
      <c r="F25" s="1" t="s">
        <v>3</v>
      </c>
      <c r="G25" s="1" t="s">
        <v>34</v>
      </c>
      <c r="H25" t="s">
        <v>9</v>
      </c>
      <c r="I25" t="s">
        <v>9</v>
      </c>
      <c r="J25" t="s">
        <v>9</v>
      </c>
      <c r="K25" s="1" t="s">
        <v>13</v>
      </c>
      <c r="L25" s="1" t="s">
        <v>14</v>
      </c>
      <c r="M25" s="1" t="s">
        <v>15</v>
      </c>
      <c r="N25" s="1" t="s">
        <v>18</v>
      </c>
      <c r="O25" s="1" t="s">
        <v>19</v>
      </c>
      <c r="P25" s="1" t="s">
        <v>20</v>
      </c>
    </row>
    <row r="26" spans="1:17" x14ac:dyDescent="0.3">
      <c r="B26" s="1"/>
      <c r="C26" s="1"/>
      <c r="D26" s="1"/>
      <c r="E26" t="s">
        <v>79</v>
      </c>
      <c r="F26" s="1" t="s">
        <v>4</v>
      </c>
      <c r="G26" s="1"/>
      <c r="H26" t="s">
        <v>10</v>
      </c>
      <c r="I26" t="s">
        <v>10</v>
      </c>
      <c r="J26" t="s">
        <v>10</v>
      </c>
      <c r="K26" s="5" t="s">
        <v>16</v>
      </c>
      <c r="L26" s="5" t="s">
        <v>16</v>
      </c>
      <c r="M26" s="5" t="s">
        <v>16</v>
      </c>
      <c r="N26" s="5" t="s">
        <v>4</v>
      </c>
      <c r="O26" s="5" t="s">
        <v>4</v>
      </c>
      <c r="P26" s="5" t="s">
        <v>4</v>
      </c>
    </row>
    <row r="27" spans="1:17" x14ac:dyDescent="0.3">
      <c r="A27" t="s">
        <v>76</v>
      </c>
      <c r="B27" s="1" t="s">
        <v>37</v>
      </c>
      <c r="C27" s="1" t="s">
        <v>28</v>
      </c>
      <c r="D27" s="1" t="s">
        <v>2</v>
      </c>
      <c r="F27" s="1" t="s">
        <v>3</v>
      </c>
      <c r="G27" s="1" t="s">
        <v>34</v>
      </c>
      <c r="K27" s="1" t="s">
        <v>13</v>
      </c>
      <c r="L27" s="1" t="s">
        <v>14</v>
      </c>
      <c r="M27" s="1" t="s">
        <v>15</v>
      </c>
      <c r="N27" s="1" t="s">
        <v>18</v>
      </c>
      <c r="O27" s="1" t="s">
        <v>19</v>
      </c>
      <c r="P27" s="1" t="s">
        <v>20</v>
      </c>
    </row>
    <row r="28" spans="1:17" x14ac:dyDescent="0.3">
      <c r="A28">
        <v>1</v>
      </c>
      <c r="B28" s="1" t="s">
        <v>38</v>
      </c>
      <c r="C28" s="1" t="s">
        <v>29</v>
      </c>
      <c r="D28" s="2">
        <v>39384</v>
      </c>
      <c r="E28" s="7">
        <v>10.27</v>
      </c>
      <c r="F28" s="4">
        <f>E28/$A$19*$A$20</f>
        <v>4211.7782152230966</v>
      </c>
      <c r="G28" s="2">
        <v>39400</v>
      </c>
      <c r="H28" s="3">
        <v>3160.4</v>
      </c>
      <c r="I28" s="3">
        <v>1166.8</v>
      </c>
      <c r="J28" s="3">
        <v>1836.4</v>
      </c>
      <c r="K28" s="6">
        <f>I28/H28</f>
        <v>0.36919377294013411</v>
      </c>
      <c r="L28" s="6">
        <f>J28/H28</f>
        <v>0.58106568788760915</v>
      </c>
      <c r="M28" s="6">
        <f>1-K28-L28</f>
        <v>4.9740539172256737E-2</v>
      </c>
      <c r="N28" s="4">
        <f>F28*K28</f>
        <v>1554.9622900652791</v>
      </c>
      <c r="O28" s="4">
        <f>F28*L28</f>
        <v>2447.3198058586554</v>
      </c>
      <c r="P28" s="4">
        <f>N28+O28</f>
        <v>4002.2820959239343</v>
      </c>
      <c r="Q28" s="3"/>
    </row>
    <row r="29" spans="1:17" x14ac:dyDescent="0.3">
      <c r="A29">
        <v>2</v>
      </c>
      <c r="B29" s="1" t="s">
        <v>39</v>
      </c>
      <c r="C29" s="1" t="s">
        <v>29</v>
      </c>
      <c r="D29" s="2">
        <v>39384</v>
      </c>
      <c r="E29" s="7">
        <v>10.24</v>
      </c>
      <c r="F29" s="4">
        <f t="shared" ref="F29:F65" si="0">E29/$A$19*$A$20</f>
        <v>4199.475065616798</v>
      </c>
      <c r="G29" s="2">
        <v>39400</v>
      </c>
      <c r="H29" s="3">
        <v>4171.3999999999996</v>
      </c>
      <c r="I29" s="3">
        <v>1504.8</v>
      </c>
      <c r="J29" s="3">
        <v>2506</v>
      </c>
      <c r="K29" s="6">
        <f t="shared" ref="K29:K65" si="1">I29/H29</f>
        <v>0.3607421968643621</v>
      </c>
      <c r="L29" s="6">
        <f t="shared" ref="L29:L65" si="2">J29/H29</f>
        <v>0.60075753943520172</v>
      </c>
      <c r="M29" s="6">
        <f t="shared" ref="M29:M65" si="3">1-K29-L29</f>
        <v>3.8500263700436244E-2</v>
      </c>
      <c r="N29" s="4">
        <f t="shared" ref="N29:N65" si="4">F29*K29</f>
        <v>1514.9278608477148</v>
      </c>
      <c r="O29" s="4">
        <f t="shared" ref="O29:O65" si="5">F29*L29</f>
        <v>2522.86630733943</v>
      </c>
      <c r="P29" s="4">
        <f t="shared" ref="P29:P65" si="6">N29+O29</f>
        <v>4037.7941681871448</v>
      </c>
      <c r="Q29" s="3"/>
    </row>
    <row r="30" spans="1:17" x14ac:dyDescent="0.3">
      <c r="A30">
        <v>3</v>
      </c>
      <c r="B30" s="1" t="s">
        <v>40</v>
      </c>
      <c r="C30" s="1" t="s">
        <v>29</v>
      </c>
      <c r="D30" s="2">
        <v>39384</v>
      </c>
      <c r="E30" s="7">
        <v>9.06</v>
      </c>
      <c r="F30" s="4">
        <f t="shared" si="0"/>
        <v>3715.5511811023621</v>
      </c>
      <c r="G30" s="2">
        <v>39400</v>
      </c>
      <c r="H30" s="3">
        <v>1824.4</v>
      </c>
      <c r="I30" s="3">
        <v>625.6</v>
      </c>
      <c r="J30" s="3">
        <v>1128.4000000000001</v>
      </c>
      <c r="K30" s="6">
        <f t="shared" si="1"/>
        <v>0.3429072571804429</v>
      </c>
      <c r="L30" s="6">
        <f t="shared" si="2"/>
        <v>0.61850471387853545</v>
      </c>
      <c r="M30" s="6">
        <f t="shared" si="3"/>
        <v>3.8588028941021646E-2</v>
      </c>
      <c r="N30" s="4">
        <f t="shared" si="4"/>
        <v>1274.089464425366</v>
      </c>
      <c r="O30" s="4">
        <f t="shared" si="5"/>
        <v>2298.0859201687708</v>
      </c>
      <c r="P30" s="4">
        <f t="shared" si="6"/>
        <v>3572.1753845941366</v>
      </c>
      <c r="Q30" s="3"/>
    </row>
    <row r="31" spans="1:17" x14ac:dyDescent="0.3">
      <c r="A31">
        <v>4</v>
      </c>
      <c r="B31" s="1" t="s">
        <v>41</v>
      </c>
      <c r="C31" s="1" t="s">
        <v>29</v>
      </c>
      <c r="D31" s="2">
        <v>39384</v>
      </c>
      <c r="E31" s="7">
        <v>9.99</v>
      </c>
      <c r="F31" s="4">
        <f t="shared" si="0"/>
        <v>4096.9488188976375</v>
      </c>
      <c r="G31" s="2">
        <v>39400</v>
      </c>
      <c r="H31" s="3">
        <v>2842.1</v>
      </c>
      <c r="I31" s="3">
        <v>1052.5</v>
      </c>
      <c r="J31" s="3">
        <v>1660.7</v>
      </c>
      <c r="K31" s="6">
        <f t="shared" si="1"/>
        <v>0.37032475986066643</v>
      </c>
      <c r="L31" s="6">
        <f t="shared" si="2"/>
        <v>0.58432145244713418</v>
      </c>
      <c r="M31" s="6">
        <f t="shared" si="3"/>
        <v>4.5353787692199332E-2</v>
      </c>
      <c r="N31" s="4">
        <f t="shared" si="4"/>
        <v>1517.2015875197085</v>
      </c>
      <c r="O31" s="4">
        <f t="shared" si="5"/>
        <v>2393.9350844598384</v>
      </c>
      <c r="P31" s="4">
        <f t="shared" si="6"/>
        <v>3911.1366719795469</v>
      </c>
      <c r="Q31" s="3"/>
    </row>
    <row r="32" spans="1:17" x14ac:dyDescent="0.3">
      <c r="A32">
        <v>5</v>
      </c>
      <c r="B32" s="1" t="s">
        <v>42</v>
      </c>
      <c r="C32" s="1" t="s">
        <v>29</v>
      </c>
      <c r="D32" s="2">
        <v>39384</v>
      </c>
      <c r="E32" s="7">
        <v>9.14</v>
      </c>
      <c r="F32" s="4">
        <f t="shared" si="0"/>
        <v>3748.3595800524936</v>
      </c>
      <c r="G32" s="2">
        <v>39400</v>
      </c>
      <c r="H32" s="3">
        <v>3004.7</v>
      </c>
      <c r="I32" s="3">
        <v>1129.7</v>
      </c>
      <c r="J32" s="3">
        <v>1762.4</v>
      </c>
      <c r="K32" s="6">
        <f t="shared" si="1"/>
        <v>0.37597763503843984</v>
      </c>
      <c r="L32" s="6">
        <f t="shared" si="2"/>
        <v>0.58654774187106873</v>
      </c>
      <c r="M32" s="6">
        <f t="shared" si="3"/>
        <v>3.7474623090491432E-2</v>
      </c>
      <c r="N32" s="4">
        <f t="shared" si="4"/>
        <v>1409.2993701818161</v>
      </c>
      <c r="O32" s="4">
        <f t="shared" si="5"/>
        <v>2198.5918474005775</v>
      </c>
      <c r="P32" s="4">
        <f t="shared" si="6"/>
        <v>3607.8912175823934</v>
      </c>
      <c r="Q32" s="3"/>
    </row>
    <row r="33" spans="1:17" x14ac:dyDescent="0.3">
      <c r="A33">
        <v>6</v>
      </c>
      <c r="B33" s="1" t="s">
        <v>43</v>
      </c>
      <c r="C33" s="1" t="s">
        <v>29</v>
      </c>
      <c r="D33" s="2">
        <v>39384</v>
      </c>
      <c r="E33" s="7">
        <v>7.18</v>
      </c>
      <c r="F33" s="4">
        <f t="shared" si="0"/>
        <v>2944.5538057742783</v>
      </c>
      <c r="G33" s="2">
        <v>39400</v>
      </c>
      <c r="H33" s="3">
        <v>1658.7</v>
      </c>
      <c r="I33" s="3">
        <v>582.1</v>
      </c>
      <c r="J33" s="3">
        <v>992.8</v>
      </c>
      <c r="K33" s="6">
        <f t="shared" si="1"/>
        <v>0.35093748115994455</v>
      </c>
      <c r="L33" s="6">
        <f t="shared" si="2"/>
        <v>0.59854102610478077</v>
      </c>
      <c r="M33" s="6">
        <f t="shared" si="3"/>
        <v>5.052149273527462E-2</v>
      </c>
      <c r="N33" s="4">
        <f t="shared" si="4"/>
        <v>1033.3542957383538</v>
      </c>
      <c r="O33" s="4">
        <f t="shared" si="5"/>
        <v>1762.4362563288739</v>
      </c>
      <c r="P33" s="4">
        <f t="shared" si="6"/>
        <v>2795.7905520672275</v>
      </c>
      <c r="Q33" s="3"/>
    </row>
    <row r="34" spans="1:17" x14ac:dyDescent="0.3">
      <c r="A34">
        <v>7</v>
      </c>
      <c r="B34" s="1" t="s">
        <v>44</v>
      </c>
      <c r="C34" s="1" t="s">
        <v>29</v>
      </c>
      <c r="D34" s="2">
        <v>39381</v>
      </c>
      <c r="E34" s="7">
        <v>13.87</v>
      </c>
      <c r="F34" s="4">
        <f t="shared" si="0"/>
        <v>5688.1561679790029</v>
      </c>
      <c r="G34" s="2">
        <v>39400</v>
      </c>
      <c r="H34" s="3">
        <v>2930.7</v>
      </c>
      <c r="I34" s="3">
        <v>1046</v>
      </c>
      <c r="J34" s="3">
        <v>1767</v>
      </c>
      <c r="K34" s="6">
        <f t="shared" si="1"/>
        <v>0.35691131811512611</v>
      </c>
      <c r="L34" s="6">
        <f t="shared" si="2"/>
        <v>0.6029276282116901</v>
      </c>
      <c r="M34" s="6">
        <f t="shared" si="3"/>
        <v>4.0161053673183789E-2</v>
      </c>
      <c r="N34" s="4">
        <f t="shared" si="4"/>
        <v>2030.1673155580706</v>
      </c>
      <c r="O34" s="4">
        <f t="shared" si="5"/>
        <v>3429.5465072572761</v>
      </c>
      <c r="P34" s="4">
        <f t="shared" si="6"/>
        <v>5459.7138228153472</v>
      </c>
      <c r="Q34" s="3"/>
    </row>
    <row r="35" spans="1:17" x14ac:dyDescent="0.3">
      <c r="A35">
        <v>8</v>
      </c>
      <c r="B35" s="1" t="s">
        <v>45</v>
      </c>
      <c r="C35" s="1" t="s">
        <v>29</v>
      </c>
      <c r="D35" s="2">
        <v>39381</v>
      </c>
      <c r="E35" s="7">
        <v>13.38</v>
      </c>
      <c r="F35" s="4">
        <f>E35/$A$19*$A$20</f>
        <v>5487.2047244094492</v>
      </c>
      <c r="G35" s="2">
        <v>39400</v>
      </c>
      <c r="H35" s="3">
        <v>2700.7</v>
      </c>
      <c r="I35" s="3">
        <v>963.4</v>
      </c>
      <c r="J35" s="3">
        <v>1621</v>
      </c>
      <c r="K35" s="6">
        <f t="shared" si="1"/>
        <v>0.35672233124745439</v>
      </c>
      <c r="L35" s="6">
        <f t="shared" si="2"/>
        <v>0.60021475913652023</v>
      </c>
      <c r="M35" s="6">
        <f t="shared" si="3"/>
        <v>4.3062909616025435E-2</v>
      </c>
      <c r="N35" s="4">
        <f t="shared" si="4"/>
        <v>1957.4084613233842</v>
      </c>
      <c r="O35" s="4">
        <f t="shared" si="5"/>
        <v>3293.5012619941936</v>
      </c>
      <c r="P35" s="4">
        <f t="shared" si="6"/>
        <v>5250.909723317578</v>
      </c>
      <c r="Q35" s="3"/>
    </row>
    <row r="36" spans="1:17" x14ac:dyDescent="0.3">
      <c r="A36">
        <v>9</v>
      </c>
      <c r="B36" s="1" t="s">
        <v>46</v>
      </c>
      <c r="C36" s="1" t="s">
        <v>29</v>
      </c>
      <c r="D36" s="2">
        <v>39381</v>
      </c>
      <c r="E36" s="7">
        <v>14.1</v>
      </c>
      <c r="F36" s="4">
        <f t="shared" si="0"/>
        <v>5782.4803149606296</v>
      </c>
      <c r="G36" s="2">
        <v>39400</v>
      </c>
      <c r="H36" s="3">
        <v>3619.7</v>
      </c>
      <c r="I36" s="3">
        <v>1320.2</v>
      </c>
      <c r="J36" s="3">
        <v>2165.6999999999998</v>
      </c>
      <c r="K36" s="6">
        <f>I36/H36</f>
        <v>0.36472635853800039</v>
      </c>
      <c r="L36" s="6">
        <f t="shared" si="2"/>
        <v>0.59830925214796804</v>
      </c>
      <c r="M36" s="6">
        <f t="shared" si="3"/>
        <v>3.6964389314031565E-2</v>
      </c>
      <c r="N36" s="4">
        <f t="shared" si="4"/>
        <v>2109.0229885932599</v>
      </c>
      <c r="O36" s="4">
        <f t="shared" si="5"/>
        <v>3459.7114728044412</v>
      </c>
      <c r="P36" s="4">
        <f t="shared" si="6"/>
        <v>5568.7344613977011</v>
      </c>
      <c r="Q36" s="3"/>
    </row>
    <row r="37" spans="1:17" x14ac:dyDescent="0.3">
      <c r="A37">
        <v>10</v>
      </c>
      <c r="B37" s="1" t="s">
        <v>47</v>
      </c>
      <c r="C37" s="1" t="s">
        <v>29</v>
      </c>
      <c r="D37" s="2">
        <v>39381</v>
      </c>
      <c r="E37" s="7">
        <v>11.71</v>
      </c>
      <c r="F37" s="4">
        <f t="shared" si="0"/>
        <v>4802.32939632546</v>
      </c>
      <c r="G37" s="2">
        <v>39400</v>
      </c>
      <c r="H37" s="3">
        <v>2804.5</v>
      </c>
      <c r="I37" s="3">
        <v>1027.0999999999999</v>
      </c>
      <c r="J37" s="3">
        <v>1643.3</v>
      </c>
      <c r="K37" s="6">
        <f t="shared" si="1"/>
        <v>0.36623284007844531</v>
      </c>
      <c r="L37" s="6">
        <f>J37/H37</f>
        <v>0.58595114993760022</v>
      </c>
      <c r="M37" s="6">
        <f t="shared" si="3"/>
        <v>4.7816009983954411E-2</v>
      </c>
      <c r="N37" s="4">
        <f t="shared" si="4"/>
        <v>1758.770733808479</v>
      </c>
      <c r="O37" s="4">
        <f t="shared" si="5"/>
        <v>2813.9304321560448</v>
      </c>
      <c r="P37" s="4">
        <f t="shared" si="6"/>
        <v>4572.7011659645241</v>
      </c>
      <c r="Q37" s="3"/>
    </row>
    <row r="38" spans="1:17" x14ac:dyDescent="0.3">
      <c r="A38">
        <v>11</v>
      </c>
      <c r="B38" s="1" t="s">
        <v>48</v>
      </c>
      <c r="C38" s="1" t="s">
        <v>29</v>
      </c>
      <c r="D38" s="2">
        <v>39381</v>
      </c>
      <c r="E38" s="7">
        <v>13.76</v>
      </c>
      <c r="F38" s="4">
        <f t="shared" si="0"/>
        <v>5643.0446194225724</v>
      </c>
      <c r="G38" s="2">
        <v>39400</v>
      </c>
      <c r="H38" s="3">
        <v>3460.2</v>
      </c>
      <c r="I38" s="3">
        <v>1280.0999999999999</v>
      </c>
      <c r="J38" s="3">
        <v>2105.6</v>
      </c>
      <c r="K38" s="6">
        <f t="shared" si="1"/>
        <v>0.36994971388937054</v>
      </c>
      <c r="L38" s="6">
        <f t="shared" si="2"/>
        <v>0.60851973874342524</v>
      </c>
      <c r="M38" s="6">
        <f>1-K38-L38</f>
        <v>2.1530547367204167E-2</v>
      </c>
      <c r="N38" s="4">
        <f t="shared" si="4"/>
        <v>2087.6427424203325</v>
      </c>
      <c r="O38" s="4">
        <f t="shared" si="5"/>
        <v>3433.9040375285153</v>
      </c>
      <c r="P38" s="4">
        <f t="shared" si="6"/>
        <v>5521.5467799488479</v>
      </c>
      <c r="Q38" s="3"/>
    </row>
    <row r="39" spans="1:17" x14ac:dyDescent="0.3">
      <c r="A39">
        <v>12</v>
      </c>
      <c r="B39" s="1" t="s">
        <v>49</v>
      </c>
      <c r="C39" s="1" t="s">
        <v>29</v>
      </c>
      <c r="D39" s="2">
        <v>39381</v>
      </c>
      <c r="E39" s="7">
        <v>13.55</v>
      </c>
      <c r="F39" s="4">
        <f t="shared" si="0"/>
        <v>5556.9225721784778</v>
      </c>
      <c r="G39" s="2">
        <v>39400</v>
      </c>
      <c r="H39" s="3">
        <v>3262.8</v>
      </c>
      <c r="I39" s="3">
        <v>1220.8</v>
      </c>
      <c r="J39" s="3">
        <v>1945.8</v>
      </c>
      <c r="K39" s="6">
        <f t="shared" si="1"/>
        <v>0.37415716562461687</v>
      </c>
      <c r="L39" s="6">
        <f t="shared" si="2"/>
        <v>0.59635895549834494</v>
      </c>
      <c r="M39" s="6">
        <f t="shared" si="3"/>
        <v>2.9483878877038183E-2</v>
      </c>
      <c r="N39" s="4">
        <f>F39*K39</f>
        <v>2079.1623992017549</v>
      </c>
      <c r="O39" s="4">
        <f t="shared" si="5"/>
        <v>3313.9205409295332</v>
      </c>
      <c r="P39" s="4">
        <f t="shared" si="6"/>
        <v>5393.0829401312876</v>
      </c>
      <c r="Q39" s="3"/>
    </row>
    <row r="40" spans="1:17" x14ac:dyDescent="0.3">
      <c r="A40">
        <v>13</v>
      </c>
      <c r="B40" s="1" t="s">
        <v>50</v>
      </c>
      <c r="C40" s="1" t="s">
        <v>29</v>
      </c>
      <c r="D40" s="2">
        <v>39381</v>
      </c>
      <c r="E40" s="7">
        <v>13.38</v>
      </c>
      <c r="F40" s="4">
        <f t="shared" si="0"/>
        <v>5487.2047244094492</v>
      </c>
      <c r="G40" s="2">
        <v>39400</v>
      </c>
      <c r="H40" s="3">
        <v>2624.9</v>
      </c>
      <c r="I40" s="3">
        <v>951.6</v>
      </c>
      <c r="J40" s="3">
        <v>1587.1</v>
      </c>
      <c r="K40" s="6">
        <f t="shared" si="1"/>
        <v>0.3625280963084308</v>
      </c>
      <c r="L40" s="6">
        <f t="shared" si="2"/>
        <v>0.60463255743075917</v>
      </c>
      <c r="M40" s="6">
        <f t="shared" si="3"/>
        <v>3.2839346260810087E-2</v>
      </c>
      <c r="N40" s="4">
        <f t="shared" si="4"/>
        <v>1989.2658827947853</v>
      </c>
      <c r="O40" s="4">
        <f>F40*L40</f>
        <v>3317.7426256658291</v>
      </c>
      <c r="P40" s="4">
        <f t="shared" si="6"/>
        <v>5307.0085084606144</v>
      </c>
      <c r="Q40" s="3"/>
    </row>
    <row r="41" spans="1:17" x14ac:dyDescent="0.3">
      <c r="A41">
        <v>14</v>
      </c>
      <c r="B41" s="1" t="s">
        <v>51</v>
      </c>
      <c r="C41" s="1" t="s">
        <v>29</v>
      </c>
      <c r="D41" s="2">
        <v>39380</v>
      </c>
      <c r="E41" s="7">
        <v>14.72</v>
      </c>
      <c r="F41" s="4">
        <f t="shared" si="0"/>
        <v>6036.7454068241468</v>
      </c>
      <c r="G41" s="2">
        <v>39400</v>
      </c>
      <c r="H41" s="3">
        <v>2540.3000000000002</v>
      </c>
      <c r="I41" s="3">
        <v>947.4</v>
      </c>
      <c r="J41" s="3">
        <v>1515.7</v>
      </c>
      <c r="K41" s="6">
        <f t="shared" si="1"/>
        <v>0.37294807699877963</v>
      </c>
      <c r="L41" s="6">
        <f t="shared" si="2"/>
        <v>0.59666181159705545</v>
      </c>
      <c r="M41" s="6">
        <f t="shared" si="3"/>
        <v>3.0390111404164921E-2</v>
      </c>
      <c r="N41" s="4">
        <f t="shared" si="4"/>
        <v>2251.3925908062811</v>
      </c>
      <c r="O41" s="4">
        <f t="shared" si="5"/>
        <v>3601.8954505858987</v>
      </c>
      <c r="P41" s="4">
        <f>N41+O41</f>
        <v>5853.2880413921794</v>
      </c>
      <c r="Q41" s="3"/>
    </row>
    <row r="42" spans="1:17" x14ac:dyDescent="0.3">
      <c r="A42">
        <v>15</v>
      </c>
      <c r="B42" s="1" t="s">
        <v>52</v>
      </c>
      <c r="C42" s="1" t="s">
        <v>29</v>
      </c>
      <c r="D42" s="2">
        <v>39380</v>
      </c>
      <c r="E42" s="7">
        <v>9.98</v>
      </c>
      <c r="F42" s="4">
        <f t="shared" si="0"/>
        <v>4092.8477690288719</v>
      </c>
      <c r="G42" s="2">
        <v>39400</v>
      </c>
      <c r="H42" s="3">
        <v>1946.8</v>
      </c>
      <c r="I42" s="3">
        <v>694.1</v>
      </c>
      <c r="J42" s="3">
        <v>1172.5999999999999</v>
      </c>
      <c r="K42" s="6">
        <f t="shared" si="1"/>
        <v>0.35653379905485927</v>
      </c>
      <c r="L42" s="6">
        <f t="shared" si="2"/>
        <v>0.60232175878364491</v>
      </c>
      <c r="M42" s="6">
        <f t="shared" si="3"/>
        <v>4.114444216149582E-2</v>
      </c>
      <c r="N42" s="4">
        <f t="shared" si="4"/>
        <v>1459.2385640450689</v>
      </c>
      <c r="O42" s="4">
        <f t="shared" si="5"/>
        <v>2465.2112666751873</v>
      </c>
      <c r="P42" s="4">
        <f t="shared" si="6"/>
        <v>3924.4498307202562</v>
      </c>
      <c r="Q42" s="3"/>
    </row>
    <row r="43" spans="1:17" x14ac:dyDescent="0.3">
      <c r="A43">
        <v>16</v>
      </c>
      <c r="B43" s="1" t="s">
        <v>53</v>
      </c>
      <c r="C43" s="1" t="s">
        <v>29</v>
      </c>
      <c r="D43" s="2">
        <v>39380</v>
      </c>
      <c r="E43" s="7">
        <v>11.32</v>
      </c>
      <c r="F43" s="4">
        <f t="shared" si="0"/>
        <v>4642.3884514435695</v>
      </c>
      <c r="G43" s="2">
        <v>39400</v>
      </c>
      <c r="H43" s="3">
        <v>2342.1</v>
      </c>
      <c r="I43" s="3">
        <v>857.7</v>
      </c>
      <c r="J43" s="3">
        <v>1386.2</v>
      </c>
      <c r="K43" s="6">
        <f t="shared" si="1"/>
        <v>0.36620981170744205</v>
      </c>
      <c r="L43" s="6">
        <f t="shared" si="2"/>
        <v>0.59186200418427914</v>
      </c>
      <c r="M43" s="6">
        <f t="shared" si="3"/>
        <v>4.192818410827881E-2</v>
      </c>
      <c r="N43" s="4">
        <f t="shared" si="4"/>
        <v>1700.088200675953</v>
      </c>
      <c r="O43" s="4">
        <f t="shared" si="5"/>
        <v>2747.6533330733432</v>
      </c>
      <c r="P43" s="4">
        <f t="shared" si="6"/>
        <v>4447.7415337492967</v>
      </c>
      <c r="Q43" s="3"/>
    </row>
    <row r="44" spans="1:17" x14ac:dyDescent="0.3">
      <c r="A44">
        <v>17</v>
      </c>
      <c r="B44" s="1" t="s">
        <v>54</v>
      </c>
      <c r="C44" s="1" t="s">
        <v>29</v>
      </c>
      <c r="D44" s="2">
        <v>39380</v>
      </c>
      <c r="E44" s="7">
        <v>13.28</v>
      </c>
      <c r="F44" s="4">
        <f t="shared" si="0"/>
        <v>5446.1942257217843</v>
      </c>
      <c r="G44" s="2">
        <v>39400</v>
      </c>
      <c r="H44" s="3">
        <v>2890.5</v>
      </c>
      <c r="I44" s="3">
        <v>1065.4000000000001</v>
      </c>
      <c r="J44" s="3">
        <v>1710.9</v>
      </c>
      <c r="K44" s="6">
        <f t="shared" si="1"/>
        <v>0.36858674969728422</v>
      </c>
      <c r="L44" s="6">
        <f t="shared" si="2"/>
        <v>0.59190451478982875</v>
      </c>
      <c r="M44" s="6">
        <f t="shared" si="3"/>
        <v>3.9508735512887028E-2</v>
      </c>
      <c r="N44" s="4">
        <f t="shared" si="4"/>
        <v>2007.39502787891</v>
      </c>
      <c r="O44" s="4">
        <f t="shared" si="5"/>
        <v>3223.6269506270196</v>
      </c>
      <c r="P44" s="4">
        <f t="shared" si="6"/>
        <v>5231.0219785059298</v>
      </c>
      <c r="Q44" s="3"/>
    </row>
    <row r="45" spans="1:17" x14ac:dyDescent="0.3">
      <c r="A45">
        <v>18</v>
      </c>
      <c r="B45" s="1" t="s">
        <v>55</v>
      </c>
      <c r="C45" s="1" t="s">
        <v>29</v>
      </c>
      <c r="D45" s="2">
        <v>39380</v>
      </c>
      <c r="E45" s="7">
        <v>13.23</v>
      </c>
      <c r="F45" s="4">
        <f t="shared" si="0"/>
        <v>5425.6889763779527</v>
      </c>
      <c r="G45" s="2">
        <v>39400</v>
      </c>
      <c r="H45" s="3">
        <v>2513.5</v>
      </c>
      <c r="I45" s="3">
        <v>902.1</v>
      </c>
      <c r="J45" s="3">
        <v>1491.7</v>
      </c>
      <c r="K45" s="6">
        <f t="shared" si="1"/>
        <v>0.35890192958026657</v>
      </c>
      <c r="L45" s="6">
        <f t="shared" si="2"/>
        <v>0.59347523373781585</v>
      </c>
      <c r="M45" s="6">
        <f t="shared" si="3"/>
        <v>4.762283668191758E-2</v>
      </c>
      <c r="N45" s="4">
        <f t="shared" si="4"/>
        <v>1947.2902429244286</v>
      </c>
      <c r="O45" s="4">
        <f t="shared" si="5"/>
        <v>3220.0120334445965</v>
      </c>
      <c r="P45" s="4">
        <f t="shared" si="6"/>
        <v>5167.3022763690251</v>
      </c>
      <c r="Q45" s="3"/>
    </row>
    <row r="46" spans="1:17" x14ac:dyDescent="0.3">
      <c r="A46">
        <v>19</v>
      </c>
      <c r="B46" s="1" t="s">
        <v>56</v>
      </c>
      <c r="C46" s="1" t="s">
        <v>29</v>
      </c>
      <c r="D46" s="2">
        <v>39380</v>
      </c>
      <c r="E46" s="7">
        <v>13.66</v>
      </c>
      <c r="F46" s="4">
        <f t="shared" si="0"/>
        <v>5602.0341207349074</v>
      </c>
      <c r="G46" s="2">
        <v>39400</v>
      </c>
      <c r="H46" s="3">
        <v>2791.3</v>
      </c>
      <c r="I46" s="3">
        <v>1004.3</v>
      </c>
      <c r="J46" s="3">
        <v>1683.2</v>
      </c>
      <c r="K46" s="6">
        <f t="shared" si="1"/>
        <v>0.35979651058646506</v>
      </c>
      <c r="L46" s="6">
        <f t="shared" si="2"/>
        <v>0.60301651560204916</v>
      </c>
      <c r="M46" s="6">
        <f t="shared" si="3"/>
        <v>3.7186973811485724E-2</v>
      </c>
      <c r="N46" s="4">
        <f t="shared" si="4"/>
        <v>2015.5923288267356</v>
      </c>
      <c r="O46" s="4">
        <f t="shared" si="5"/>
        <v>3378.119095769353</v>
      </c>
      <c r="P46" s="4">
        <f t="shared" si="6"/>
        <v>5393.7114245960884</v>
      </c>
      <c r="Q46" s="3"/>
    </row>
    <row r="47" spans="1:17" x14ac:dyDescent="0.3">
      <c r="A47">
        <v>20</v>
      </c>
      <c r="B47" s="1" t="s">
        <v>57</v>
      </c>
      <c r="C47" s="1" t="s">
        <v>29</v>
      </c>
      <c r="D47" s="2">
        <v>39380</v>
      </c>
      <c r="E47" s="7">
        <v>13.53</v>
      </c>
      <c r="F47" s="4">
        <f t="shared" si="0"/>
        <v>5548.7204724409448</v>
      </c>
      <c r="G47" s="2">
        <v>39400</v>
      </c>
      <c r="H47" s="3">
        <v>2958.8</v>
      </c>
      <c r="I47" s="3">
        <v>1088.0999999999999</v>
      </c>
      <c r="J47" s="3">
        <v>1782.1</v>
      </c>
      <c r="K47" s="6">
        <f t="shared" si="1"/>
        <v>0.367750439367311</v>
      </c>
      <c r="L47" s="6">
        <f t="shared" si="2"/>
        <v>0.60230498850885483</v>
      </c>
      <c r="M47" s="6">
        <f t="shared" si="3"/>
        <v>2.9944572123834168E-2</v>
      </c>
      <c r="N47" s="4">
        <f t="shared" si="4"/>
        <v>2040.5443916665508</v>
      </c>
      <c r="O47" s="4">
        <f t="shared" si="5"/>
        <v>3342.0220203923909</v>
      </c>
      <c r="P47" s="4">
        <f t="shared" si="6"/>
        <v>5382.5664120589418</v>
      </c>
      <c r="Q47" s="3"/>
    </row>
    <row r="48" spans="1:17" x14ac:dyDescent="0.3">
      <c r="A48">
        <v>21</v>
      </c>
      <c r="B48" s="1" t="s">
        <v>58</v>
      </c>
      <c r="C48" s="1" t="s">
        <v>29</v>
      </c>
      <c r="D48" s="2">
        <v>39380</v>
      </c>
      <c r="E48" s="7">
        <v>11.85</v>
      </c>
      <c r="F48" s="4">
        <f t="shared" si="0"/>
        <v>4859.7440944881882</v>
      </c>
      <c r="G48" s="2">
        <v>39400</v>
      </c>
      <c r="H48" s="3">
        <v>2606.1999999999998</v>
      </c>
      <c r="I48" s="3">
        <v>921.9</v>
      </c>
      <c r="J48" s="3">
        <v>1542.9</v>
      </c>
      <c r="K48" s="6">
        <f t="shared" si="1"/>
        <v>0.35373340495740929</v>
      </c>
      <c r="L48" s="6">
        <f t="shared" si="2"/>
        <v>0.59201135753203904</v>
      </c>
      <c r="M48" s="6">
        <f t="shared" si="3"/>
        <v>5.4255237510551724E-2</v>
      </c>
      <c r="N48" s="4">
        <f t="shared" si="4"/>
        <v>1719.0538257649687</v>
      </c>
      <c r="O48" s="4">
        <f t="shared" si="5"/>
        <v>2877.023698636262</v>
      </c>
      <c r="P48" s="4">
        <f t="shared" si="6"/>
        <v>4596.0775244012311</v>
      </c>
      <c r="Q48" s="3"/>
    </row>
    <row r="49" spans="1:17" x14ac:dyDescent="0.3">
      <c r="A49">
        <v>22</v>
      </c>
      <c r="B49" s="1" t="s">
        <v>59</v>
      </c>
      <c r="C49" s="1" t="s">
        <v>29</v>
      </c>
      <c r="D49" s="2">
        <v>39380</v>
      </c>
      <c r="E49" s="7">
        <v>11.15</v>
      </c>
      <c r="F49" s="4">
        <f t="shared" si="0"/>
        <v>4572.6706036745409</v>
      </c>
      <c r="G49" s="2">
        <v>39400</v>
      </c>
      <c r="H49" s="3">
        <v>2499.6</v>
      </c>
      <c r="I49" s="3">
        <v>897.8</v>
      </c>
      <c r="J49" s="3">
        <v>1475.5</v>
      </c>
      <c r="K49" s="6">
        <f t="shared" si="1"/>
        <v>0.35917746839494319</v>
      </c>
      <c r="L49" s="6">
        <f t="shared" si="2"/>
        <v>0.59029444711153789</v>
      </c>
      <c r="M49" s="6">
        <f t="shared" si="3"/>
        <v>5.0528084493518977E-2</v>
      </c>
      <c r="N49" s="4">
        <f t="shared" si="4"/>
        <v>1642.4002512317982</v>
      </c>
      <c r="O49" s="4">
        <f t="shared" si="5"/>
        <v>2699.2220658192455</v>
      </c>
      <c r="P49" s="4">
        <f t="shared" si="6"/>
        <v>4341.6223170510439</v>
      </c>
      <c r="Q49" s="3"/>
    </row>
    <row r="50" spans="1:17" x14ac:dyDescent="0.3">
      <c r="A50">
        <v>23</v>
      </c>
      <c r="B50" s="1" t="s">
        <v>60</v>
      </c>
      <c r="C50" s="1" t="s">
        <v>29</v>
      </c>
      <c r="D50" s="2">
        <v>39380</v>
      </c>
      <c r="E50" s="7">
        <v>13.25</v>
      </c>
      <c r="F50" s="4">
        <f t="shared" si="0"/>
        <v>5433.8910761154857</v>
      </c>
      <c r="G50" s="2">
        <v>39400</v>
      </c>
      <c r="H50" s="3">
        <v>3966.9</v>
      </c>
      <c r="I50" s="3">
        <v>1440.1</v>
      </c>
      <c r="J50" s="3">
        <v>2343.1</v>
      </c>
      <c r="K50" s="6">
        <f t="shared" si="1"/>
        <v>0.36302906551715441</v>
      </c>
      <c r="L50" s="6">
        <f t="shared" si="2"/>
        <v>0.59066273412488335</v>
      </c>
      <c r="M50" s="6">
        <f t="shared" si="3"/>
        <v>4.6308200357962237E-2</v>
      </c>
      <c r="N50" s="4">
        <f t="shared" si="4"/>
        <v>1972.6603994842094</v>
      </c>
      <c r="O50" s="4">
        <f t="shared" si="5"/>
        <v>3209.5969599551772</v>
      </c>
      <c r="P50" s="4">
        <f t="shared" si="6"/>
        <v>5182.2573594393871</v>
      </c>
      <c r="Q50" s="3"/>
    </row>
    <row r="51" spans="1:17" x14ac:dyDescent="0.3">
      <c r="A51">
        <v>24</v>
      </c>
      <c r="B51" s="1" t="s">
        <v>61</v>
      </c>
      <c r="C51" s="1" t="s">
        <v>29</v>
      </c>
      <c r="D51" s="2">
        <v>39380</v>
      </c>
      <c r="E51" s="7">
        <v>12.67</v>
      </c>
      <c r="F51" s="4">
        <f t="shared" si="0"/>
        <v>5196.0301837270335</v>
      </c>
      <c r="G51" s="2">
        <v>39400</v>
      </c>
      <c r="H51" s="3">
        <v>2309.3000000000002</v>
      </c>
      <c r="I51" s="3">
        <v>828.8</v>
      </c>
      <c r="J51" s="3">
        <v>1382.1</v>
      </c>
      <c r="K51" s="6">
        <f t="shared" si="1"/>
        <v>0.35889663534404359</v>
      </c>
      <c r="L51" s="6">
        <f t="shared" si="2"/>
        <v>0.5984930498419434</v>
      </c>
      <c r="M51" s="6">
        <f t="shared" si="3"/>
        <v>4.2610314814013006E-2</v>
      </c>
      <c r="N51" s="4">
        <f t="shared" si="4"/>
        <v>1864.837750085725</v>
      </c>
      <c r="O51" s="4">
        <f t="shared" si="5"/>
        <v>3109.787951729586</v>
      </c>
      <c r="P51" s="4">
        <f t="shared" si="6"/>
        <v>4974.625701815311</v>
      </c>
      <c r="Q51" s="3"/>
    </row>
    <row r="52" spans="1:17" x14ac:dyDescent="0.3">
      <c r="A52">
        <v>25</v>
      </c>
      <c r="B52" s="1" t="s">
        <v>62</v>
      </c>
      <c r="C52" s="1" t="s">
        <v>29</v>
      </c>
      <c r="D52" s="2">
        <v>39380</v>
      </c>
      <c r="E52" s="7">
        <v>11.11</v>
      </c>
      <c r="F52" s="4">
        <f t="shared" si="0"/>
        <v>4556.2664041994749</v>
      </c>
      <c r="G52" s="2">
        <v>39400</v>
      </c>
      <c r="H52" s="3">
        <v>2583.1999999999998</v>
      </c>
      <c r="I52" s="3">
        <v>930.1</v>
      </c>
      <c r="J52" s="3">
        <v>1554.7</v>
      </c>
      <c r="K52" s="6">
        <f t="shared" si="1"/>
        <v>0.36005729327965319</v>
      </c>
      <c r="L52" s="6">
        <f t="shared" si="2"/>
        <v>0.60185041808609485</v>
      </c>
      <c r="M52" s="6">
        <f t="shared" si="3"/>
        <v>3.8092288634251958E-2</v>
      </c>
      <c r="N52" s="4">
        <f t="shared" si="4"/>
        <v>1640.5169489570812</v>
      </c>
      <c r="O52" s="4">
        <f t="shared" si="5"/>
        <v>2742.1908402790818</v>
      </c>
      <c r="P52" s="4">
        <f t="shared" si="6"/>
        <v>4382.7077892361631</v>
      </c>
      <c r="Q52" s="3"/>
    </row>
    <row r="53" spans="1:17" x14ac:dyDescent="0.3">
      <c r="A53">
        <v>26</v>
      </c>
      <c r="B53" s="1" t="s">
        <v>63</v>
      </c>
      <c r="C53" s="1" t="s">
        <v>29</v>
      </c>
      <c r="D53" s="2">
        <v>39379</v>
      </c>
      <c r="E53" s="7">
        <v>12.78</v>
      </c>
      <c r="F53" s="4">
        <f t="shared" si="0"/>
        <v>5241.1417322834641</v>
      </c>
      <c r="G53" s="2">
        <v>39400</v>
      </c>
      <c r="H53" s="3">
        <v>2700</v>
      </c>
      <c r="I53" s="3">
        <v>966.6</v>
      </c>
      <c r="J53" s="3">
        <v>1624.4</v>
      </c>
      <c r="K53" s="6">
        <f t="shared" si="1"/>
        <v>0.35799999999999998</v>
      </c>
      <c r="L53" s="6">
        <f t="shared" si="2"/>
        <v>0.60162962962962963</v>
      </c>
      <c r="M53" s="6">
        <f t="shared" si="3"/>
        <v>4.037037037037039E-2</v>
      </c>
      <c r="N53" s="4">
        <f t="shared" si="4"/>
        <v>1876.3287401574801</v>
      </c>
      <c r="O53" s="4">
        <f t="shared" si="5"/>
        <v>3153.2261592300961</v>
      </c>
      <c r="P53" s="4">
        <f t="shared" si="6"/>
        <v>5029.5548993875764</v>
      </c>
      <c r="Q53" s="3"/>
    </row>
    <row r="54" spans="1:17" x14ac:dyDescent="0.3">
      <c r="A54">
        <v>27</v>
      </c>
      <c r="B54" s="1" t="s">
        <v>64</v>
      </c>
      <c r="C54" s="1" t="s">
        <v>29</v>
      </c>
      <c r="D54" s="2">
        <v>39379</v>
      </c>
      <c r="E54" s="7">
        <v>11.02</v>
      </c>
      <c r="F54" s="4">
        <f t="shared" si="0"/>
        <v>4519.3569553805773</v>
      </c>
      <c r="G54" s="2">
        <v>39400</v>
      </c>
      <c r="H54" s="3">
        <v>2536.6</v>
      </c>
      <c r="I54" s="3">
        <v>912</v>
      </c>
      <c r="J54" s="3">
        <v>1550.4</v>
      </c>
      <c r="K54" s="6">
        <f t="shared" si="1"/>
        <v>0.35953638729007337</v>
      </c>
      <c r="L54" s="6">
        <f t="shared" si="2"/>
        <v>0.61121185839312475</v>
      </c>
      <c r="M54" s="6">
        <f t="shared" si="3"/>
        <v>2.9251754316801826E-2</v>
      </c>
      <c r="N54" s="4">
        <f t="shared" si="4"/>
        <v>1624.873272611798</v>
      </c>
      <c r="O54" s="4">
        <f t="shared" si="5"/>
        <v>2762.2845634400569</v>
      </c>
      <c r="P54" s="4">
        <f t="shared" si="6"/>
        <v>4387.1578360518552</v>
      </c>
      <c r="Q54" s="3"/>
    </row>
    <row r="55" spans="1:17" x14ac:dyDescent="0.3">
      <c r="A55">
        <v>28</v>
      </c>
      <c r="B55" s="1" t="s">
        <v>65</v>
      </c>
      <c r="C55" s="1" t="s">
        <v>29</v>
      </c>
      <c r="D55" s="2">
        <v>39379</v>
      </c>
      <c r="E55" s="7">
        <v>12.66</v>
      </c>
      <c r="F55" s="4">
        <f t="shared" si="0"/>
        <v>5191.9291338582671</v>
      </c>
      <c r="G55" s="2">
        <v>39400</v>
      </c>
      <c r="H55" s="3">
        <v>2754.2</v>
      </c>
      <c r="I55" s="3">
        <v>982.2</v>
      </c>
      <c r="J55" s="3">
        <v>1671</v>
      </c>
      <c r="K55" s="6">
        <f t="shared" si="1"/>
        <v>0.35661898191852448</v>
      </c>
      <c r="L55" s="6">
        <f t="shared" si="2"/>
        <v>0.60670975237818603</v>
      </c>
      <c r="M55" s="6">
        <f t="shared" si="3"/>
        <v>3.6671265703289491E-2</v>
      </c>
      <c r="N55" s="4">
        <f t="shared" si="4"/>
        <v>1851.5404819096618</v>
      </c>
      <c r="O55" s="4">
        <f t="shared" si="5"/>
        <v>3149.9940391682389</v>
      </c>
      <c r="P55" s="4">
        <f t="shared" si="6"/>
        <v>5001.5345210779005</v>
      </c>
      <c r="Q55" s="3"/>
    </row>
    <row r="56" spans="1:17" x14ac:dyDescent="0.3">
      <c r="A56">
        <v>29</v>
      </c>
      <c r="B56" s="1" t="s">
        <v>66</v>
      </c>
      <c r="C56" s="1" t="s">
        <v>29</v>
      </c>
      <c r="D56" s="2">
        <v>39379</v>
      </c>
      <c r="E56" s="7">
        <v>11.3</v>
      </c>
      <c r="F56" s="4">
        <f t="shared" si="0"/>
        <v>4634.1863517060374</v>
      </c>
      <c r="G56" s="2">
        <v>39400</v>
      </c>
      <c r="H56" s="3">
        <v>2058.6999999999998</v>
      </c>
      <c r="I56" s="3">
        <v>745.9</v>
      </c>
      <c r="J56" s="3">
        <v>1198.0999999999999</v>
      </c>
      <c r="K56" s="6">
        <f t="shared" si="1"/>
        <v>0.36231602467576629</v>
      </c>
      <c r="L56" s="6">
        <f t="shared" si="2"/>
        <v>0.58196920386651774</v>
      </c>
      <c r="M56" s="6">
        <f t="shared" si="3"/>
        <v>5.5714771457715973E-2</v>
      </c>
      <c r="N56" s="4">
        <f t="shared" si="4"/>
        <v>1679.0399765568241</v>
      </c>
      <c r="O56" s="4">
        <f t="shared" si="5"/>
        <v>2696.9537416714447</v>
      </c>
      <c r="P56" s="4">
        <f t="shared" si="6"/>
        <v>4375.9937182282683</v>
      </c>
      <c r="Q56" s="3"/>
    </row>
    <row r="57" spans="1:17" x14ac:dyDescent="0.3">
      <c r="A57">
        <v>30</v>
      </c>
      <c r="B57" s="1" t="s">
        <v>67</v>
      </c>
      <c r="C57" s="1" t="s">
        <v>29</v>
      </c>
      <c r="D57" s="2">
        <v>39379</v>
      </c>
      <c r="E57" s="7">
        <v>10.86</v>
      </c>
      <c r="F57" s="4">
        <f t="shared" si="0"/>
        <v>4453.7401574803152</v>
      </c>
      <c r="G57" s="2">
        <v>39400</v>
      </c>
      <c r="H57" s="3">
        <v>2748</v>
      </c>
      <c r="I57" s="3">
        <v>1013.3</v>
      </c>
      <c r="J57" s="3">
        <v>1619.4</v>
      </c>
      <c r="K57" s="6">
        <f t="shared" si="1"/>
        <v>0.3687409024745269</v>
      </c>
      <c r="L57" s="6">
        <f t="shared" si="2"/>
        <v>0.58930131004366815</v>
      </c>
      <c r="M57" s="6">
        <f t="shared" si="3"/>
        <v>4.1957787481804898E-2</v>
      </c>
      <c r="N57" s="4">
        <f t="shared" si="4"/>
        <v>1642.276165056333</v>
      </c>
      <c r="O57" s="4">
        <f t="shared" si="5"/>
        <v>2624.5949093972426</v>
      </c>
      <c r="P57" s="4">
        <f t="shared" si="6"/>
        <v>4266.8710744535756</v>
      </c>
      <c r="Q57" s="3"/>
    </row>
    <row r="58" spans="1:17" x14ac:dyDescent="0.3">
      <c r="A58">
        <v>31</v>
      </c>
      <c r="B58" s="1" t="s">
        <v>68</v>
      </c>
      <c r="C58" s="1" t="s">
        <v>29</v>
      </c>
      <c r="D58" s="2">
        <v>39379</v>
      </c>
      <c r="E58" s="7">
        <v>6.49</v>
      </c>
      <c r="F58" s="4">
        <f t="shared" si="0"/>
        <v>2661.5813648293961</v>
      </c>
      <c r="G58" s="2">
        <v>39400</v>
      </c>
      <c r="H58" s="3">
        <v>1682.1</v>
      </c>
      <c r="I58" s="3">
        <v>557.6</v>
      </c>
      <c r="J58" s="3">
        <v>997.2</v>
      </c>
      <c r="K58" s="6">
        <f t="shared" si="1"/>
        <v>0.3314903989061293</v>
      </c>
      <c r="L58" s="6">
        <f t="shared" si="2"/>
        <v>0.59283039058319964</v>
      </c>
      <c r="M58" s="6">
        <f t="shared" si="3"/>
        <v>7.5679210510671058E-2</v>
      </c>
      <c r="N58" s="4">
        <f t="shared" si="4"/>
        <v>882.28866834841654</v>
      </c>
      <c r="O58" s="4">
        <f t="shared" si="5"/>
        <v>1577.8663200807764</v>
      </c>
      <c r="P58" s="4">
        <f t="shared" si="6"/>
        <v>2460.1549884291931</v>
      </c>
      <c r="Q58" s="3"/>
    </row>
    <row r="59" spans="1:17" x14ac:dyDescent="0.3">
      <c r="A59">
        <v>32</v>
      </c>
      <c r="B59" s="1" t="s">
        <v>69</v>
      </c>
      <c r="C59" s="1" t="s">
        <v>29</v>
      </c>
      <c r="D59" s="2">
        <v>39379</v>
      </c>
      <c r="E59" s="7">
        <v>8.43</v>
      </c>
      <c r="F59" s="4">
        <f t="shared" si="0"/>
        <v>3457.1850393700788</v>
      </c>
      <c r="G59" s="2">
        <v>39400</v>
      </c>
      <c r="H59" s="3">
        <v>1979.2</v>
      </c>
      <c r="I59" s="3">
        <v>654.20000000000005</v>
      </c>
      <c r="J59" s="3">
        <v>1181</v>
      </c>
      <c r="K59" s="6">
        <f t="shared" si="1"/>
        <v>0.33053759094583673</v>
      </c>
      <c r="L59" s="6">
        <f t="shared" si="2"/>
        <v>0.59670573969280516</v>
      </c>
      <c r="M59" s="6">
        <f t="shared" si="3"/>
        <v>7.2756669361358051E-2</v>
      </c>
      <c r="N59" s="4">
        <f t="shared" si="4"/>
        <v>1142.7296143673736</v>
      </c>
      <c r="O59" s="4">
        <f t="shared" si="5"/>
        <v>2062.9221561722225</v>
      </c>
      <c r="P59" s="4">
        <f t="shared" si="6"/>
        <v>3205.6517705395963</v>
      </c>
      <c r="Q59" s="3"/>
    </row>
    <row r="60" spans="1:17" x14ac:dyDescent="0.3">
      <c r="A60">
        <v>33</v>
      </c>
      <c r="B60" s="1" t="s">
        <v>70</v>
      </c>
      <c r="C60" s="1" t="s">
        <v>29</v>
      </c>
      <c r="D60" s="2">
        <v>39379</v>
      </c>
      <c r="E60" s="7">
        <v>11.66</v>
      </c>
      <c r="F60" s="4">
        <f t="shared" si="0"/>
        <v>4781.8241469816276</v>
      </c>
      <c r="G60" s="2">
        <v>39400</v>
      </c>
      <c r="H60" s="3">
        <v>2174</v>
      </c>
      <c r="I60" s="3">
        <v>766.8</v>
      </c>
      <c r="J60" s="3">
        <v>1324.7</v>
      </c>
      <c r="K60" s="6">
        <f t="shared" si="1"/>
        <v>0.35271389144434223</v>
      </c>
      <c r="L60" s="6">
        <f t="shared" si="2"/>
        <v>0.60933762649494028</v>
      </c>
      <c r="M60" s="6">
        <f t="shared" si="3"/>
        <v>3.7948482060717548E-2</v>
      </c>
      <c r="N60" s="4">
        <f t="shared" si="4"/>
        <v>1686.6158030844122</v>
      </c>
      <c r="O60" s="4">
        <f t="shared" si="5"/>
        <v>2913.7453760379772</v>
      </c>
      <c r="P60" s="4">
        <f t="shared" si="6"/>
        <v>4600.3611791223893</v>
      </c>
      <c r="Q60" s="3"/>
    </row>
    <row r="61" spans="1:17" x14ac:dyDescent="0.3">
      <c r="A61">
        <v>34</v>
      </c>
      <c r="B61" s="1" t="s">
        <v>71</v>
      </c>
      <c r="C61" s="1" t="s">
        <v>29</v>
      </c>
      <c r="D61" s="2">
        <v>39379</v>
      </c>
      <c r="E61" s="7">
        <v>11.16</v>
      </c>
      <c r="F61" s="4">
        <f t="shared" si="0"/>
        <v>4576.7716535433074</v>
      </c>
      <c r="G61" s="2">
        <v>39400</v>
      </c>
      <c r="H61" s="3">
        <v>2665.7</v>
      </c>
      <c r="I61" s="3">
        <v>939.9</v>
      </c>
      <c r="J61" s="3">
        <v>1630.9</v>
      </c>
      <c r="K61" s="6">
        <f t="shared" si="1"/>
        <v>0.35259031398882096</v>
      </c>
      <c r="L61" s="6">
        <f t="shared" si="2"/>
        <v>0.61180928086431341</v>
      </c>
      <c r="M61" s="6">
        <f t="shared" si="3"/>
        <v>3.5600405146865688E-2</v>
      </c>
      <c r="N61" s="4">
        <f t="shared" si="4"/>
        <v>1613.72535437797</v>
      </c>
      <c r="O61" s="4">
        <f t="shared" si="5"/>
        <v>2800.1113740345054</v>
      </c>
      <c r="P61" s="4">
        <f t="shared" si="6"/>
        <v>4413.8367284124752</v>
      </c>
      <c r="Q61" s="3"/>
    </row>
    <row r="62" spans="1:17" x14ac:dyDescent="0.3">
      <c r="A62">
        <v>35</v>
      </c>
      <c r="B62" s="1" t="s">
        <v>72</v>
      </c>
      <c r="C62" s="1" t="s">
        <v>29</v>
      </c>
      <c r="D62" s="2">
        <v>39379</v>
      </c>
      <c r="E62" s="7">
        <v>11.14</v>
      </c>
      <c r="F62" s="4">
        <f t="shared" si="0"/>
        <v>4568.5695538057744</v>
      </c>
      <c r="G62" s="2">
        <v>39400</v>
      </c>
      <c r="H62" s="3">
        <v>2485.8000000000002</v>
      </c>
      <c r="I62" s="3">
        <v>886.9</v>
      </c>
      <c r="J62" s="3">
        <v>1474.2</v>
      </c>
      <c r="K62" s="6">
        <f t="shared" si="1"/>
        <v>0.35678654759031292</v>
      </c>
      <c r="L62" s="6">
        <f t="shared" si="2"/>
        <v>0.59304851556842864</v>
      </c>
      <c r="M62" s="6">
        <f t="shared" si="3"/>
        <v>5.0164936841258445E-2</v>
      </c>
      <c r="N62" s="4">
        <f t="shared" si="4"/>
        <v>1630.0041585285785</v>
      </c>
      <c r="O62" s="4">
        <f t="shared" si="5"/>
        <v>2709.3833921556329</v>
      </c>
      <c r="P62" s="4">
        <f t="shared" si="6"/>
        <v>4339.3875506842114</v>
      </c>
      <c r="Q62" s="3"/>
    </row>
    <row r="63" spans="1:17" x14ac:dyDescent="0.3">
      <c r="A63">
        <v>36</v>
      </c>
      <c r="B63" s="1" t="s">
        <v>73</v>
      </c>
      <c r="C63" s="1" t="s">
        <v>29</v>
      </c>
      <c r="D63" s="2">
        <v>39379</v>
      </c>
      <c r="E63" s="7">
        <v>12.85</v>
      </c>
      <c r="F63" s="4">
        <f t="shared" si="0"/>
        <v>5269.8490813648295</v>
      </c>
      <c r="G63" s="2">
        <v>39400</v>
      </c>
      <c r="H63" s="3">
        <v>2902.1</v>
      </c>
      <c r="I63" s="3">
        <v>1033.4000000000001</v>
      </c>
      <c r="J63" s="3">
        <v>1755.6</v>
      </c>
      <c r="K63" s="6">
        <f t="shared" si="1"/>
        <v>0.35608697150339413</v>
      </c>
      <c r="L63" s="6">
        <f t="shared" si="2"/>
        <v>0.60494124944006067</v>
      </c>
      <c r="M63" s="6">
        <f t="shared" si="3"/>
        <v>3.8971779056545253E-2</v>
      </c>
      <c r="N63" s="4">
        <f t="shared" si="4"/>
        <v>1876.5245996631459</v>
      </c>
      <c r="O63" s="4">
        <f t="shared" si="5"/>
        <v>3187.9490876413961</v>
      </c>
      <c r="P63" s="4">
        <f t="shared" si="6"/>
        <v>5064.4736873045422</v>
      </c>
      <c r="Q63" s="3"/>
    </row>
    <row r="64" spans="1:17" x14ac:dyDescent="0.3">
      <c r="A64">
        <v>37</v>
      </c>
      <c r="B64" s="1" t="s">
        <v>74</v>
      </c>
      <c r="C64" s="1" t="s">
        <v>29</v>
      </c>
      <c r="D64" s="2">
        <v>39379</v>
      </c>
      <c r="E64" s="7">
        <v>8.44</v>
      </c>
      <c r="F64" s="4">
        <f t="shared" si="0"/>
        <v>3461.2860892388449</v>
      </c>
      <c r="G64" s="2">
        <v>39400</v>
      </c>
      <c r="H64" s="3">
        <v>1920.4</v>
      </c>
      <c r="I64" s="3">
        <v>663.7</v>
      </c>
      <c r="J64" s="3">
        <v>1152.0999999999999</v>
      </c>
      <c r="K64" s="6">
        <f t="shared" si="1"/>
        <v>0.34560508227452613</v>
      </c>
      <c r="L64" s="6">
        <f t="shared" si="2"/>
        <v>0.59992709852114134</v>
      </c>
      <c r="M64" s="6">
        <f t="shared" si="3"/>
        <v>5.4467819204332524E-2</v>
      </c>
      <c r="N64" s="4">
        <f t="shared" si="4"/>
        <v>1196.2380636470639</v>
      </c>
      <c r="O64" s="4">
        <f t="shared" si="5"/>
        <v>2076.5193206686486</v>
      </c>
      <c r="P64" s="4">
        <f t="shared" si="6"/>
        <v>3272.7573843157124</v>
      </c>
    </row>
    <row r="65" spans="1:16" x14ac:dyDescent="0.3">
      <c r="A65">
        <v>38</v>
      </c>
      <c r="B65" s="1" t="s">
        <v>75</v>
      </c>
      <c r="C65" s="1" t="s">
        <v>29</v>
      </c>
      <c r="D65" s="2">
        <v>39379</v>
      </c>
      <c r="E65" s="7">
        <v>11.53</v>
      </c>
      <c r="F65" s="4">
        <f t="shared" si="0"/>
        <v>4728.510498687664</v>
      </c>
      <c r="G65" s="2">
        <v>39400</v>
      </c>
      <c r="H65" s="3">
        <v>2862.3</v>
      </c>
      <c r="I65" s="3">
        <v>1028.7</v>
      </c>
      <c r="J65" s="3">
        <v>1709.4</v>
      </c>
      <c r="K65" s="6">
        <f t="shared" si="1"/>
        <v>0.35939628969709675</v>
      </c>
      <c r="L65" s="6">
        <f t="shared" si="2"/>
        <v>0.59721203228173148</v>
      </c>
      <c r="M65" s="6">
        <f t="shared" si="3"/>
        <v>4.339167802117172E-2</v>
      </c>
      <c r="N65" s="4">
        <f t="shared" si="4"/>
        <v>1699.4091290221152</v>
      </c>
      <c r="O65" s="4">
        <f t="shared" si="5"/>
        <v>2823.9233645867635</v>
      </c>
      <c r="P65" s="4">
        <f t="shared" si="6"/>
        <v>4523.3324936088784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44"/>
  <sheetViews>
    <sheetView workbookViewId="0"/>
  </sheetViews>
  <sheetFormatPr defaultRowHeight="14.4" x14ac:dyDescent="0.3"/>
  <cols>
    <col min="4" max="4" width="10.5546875" bestFit="1" customWidth="1"/>
    <col min="7" max="7" width="10.5546875" bestFit="1" customWidth="1"/>
    <col min="17" max="17" width="9.5546875" bestFit="1" customWidth="1"/>
  </cols>
  <sheetData>
    <row r="1" spans="1:17" x14ac:dyDescent="0.3">
      <c r="B1" s="1"/>
      <c r="C1" s="1" t="s">
        <v>0</v>
      </c>
      <c r="D1" s="1" t="s">
        <v>0</v>
      </c>
      <c r="E1" t="s">
        <v>0</v>
      </c>
      <c r="F1" s="1" t="s">
        <v>0</v>
      </c>
      <c r="G1" s="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17</v>
      </c>
      <c r="O1" s="1" t="s">
        <v>17</v>
      </c>
      <c r="P1" s="1" t="s">
        <v>17</v>
      </c>
    </row>
    <row r="2" spans="1:17" x14ac:dyDescent="0.3">
      <c r="B2" s="1"/>
      <c r="C2" s="1"/>
      <c r="D2" s="1"/>
      <c r="F2" s="1"/>
      <c r="G2" s="1"/>
      <c r="K2" s="1"/>
      <c r="L2" s="1"/>
      <c r="M2" s="1"/>
      <c r="N2" s="1"/>
      <c r="O2" s="1"/>
      <c r="P2" s="1"/>
    </row>
    <row r="3" spans="1:17" x14ac:dyDescent="0.3">
      <c r="B3" s="1"/>
      <c r="C3" s="1"/>
      <c r="D3" s="1"/>
      <c r="E3" t="s">
        <v>1</v>
      </c>
      <c r="F3" s="1"/>
      <c r="G3" s="1" t="s">
        <v>33</v>
      </c>
      <c r="H3" t="s">
        <v>8</v>
      </c>
      <c r="I3" t="s">
        <v>11</v>
      </c>
      <c r="J3" t="s">
        <v>12</v>
      </c>
      <c r="K3" s="1"/>
      <c r="L3" s="1"/>
      <c r="M3" s="1"/>
      <c r="N3" s="1"/>
      <c r="O3" s="1"/>
      <c r="P3" s="1"/>
    </row>
    <row r="4" spans="1:17" x14ac:dyDescent="0.3">
      <c r="A4" t="s">
        <v>76</v>
      </c>
      <c r="B4" s="1" t="s">
        <v>21</v>
      </c>
      <c r="C4" s="1" t="s">
        <v>28</v>
      </c>
      <c r="D4" s="1" t="s">
        <v>2</v>
      </c>
      <c r="F4" s="1" t="s">
        <v>3</v>
      </c>
      <c r="G4" s="1" t="s">
        <v>34</v>
      </c>
      <c r="H4" t="s">
        <v>9</v>
      </c>
      <c r="I4" t="s">
        <v>9</v>
      </c>
      <c r="J4" t="s">
        <v>9</v>
      </c>
      <c r="K4" s="1" t="s">
        <v>13</v>
      </c>
      <c r="L4" s="1" t="s">
        <v>14</v>
      </c>
      <c r="M4" s="1" t="s">
        <v>15</v>
      </c>
      <c r="N4" s="1" t="s">
        <v>18</v>
      </c>
      <c r="O4" s="1" t="s">
        <v>19</v>
      </c>
      <c r="P4" s="1" t="s">
        <v>20</v>
      </c>
    </row>
    <row r="5" spans="1:17" x14ac:dyDescent="0.3">
      <c r="B5" s="1"/>
      <c r="C5" s="1"/>
      <c r="D5" s="1"/>
      <c r="E5" t="s">
        <v>79</v>
      </c>
      <c r="F5" s="1" t="s">
        <v>4</v>
      </c>
      <c r="G5" s="1"/>
      <c r="H5" t="s">
        <v>10</v>
      </c>
      <c r="I5" t="s">
        <v>10</v>
      </c>
      <c r="J5" t="s">
        <v>10</v>
      </c>
      <c r="K5" s="5" t="s">
        <v>16</v>
      </c>
      <c r="L5" s="5" t="s">
        <v>16</v>
      </c>
      <c r="M5" s="5" t="s">
        <v>16</v>
      </c>
      <c r="N5" s="5" t="s">
        <v>4</v>
      </c>
      <c r="O5" s="5" t="s">
        <v>4</v>
      </c>
      <c r="P5" s="5" t="s">
        <v>4</v>
      </c>
    </row>
    <row r="6" spans="1:17" x14ac:dyDescent="0.3">
      <c r="A6" t="s">
        <v>76</v>
      </c>
      <c r="B6" s="1" t="s">
        <v>21</v>
      </c>
      <c r="C6" s="1" t="s">
        <v>28</v>
      </c>
      <c r="D6" s="1" t="s">
        <v>2</v>
      </c>
      <c r="F6" s="1" t="s">
        <v>3</v>
      </c>
      <c r="G6" s="1" t="s">
        <v>34</v>
      </c>
      <c r="K6" s="1" t="s">
        <v>13</v>
      </c>
      <c r="L6" s="1" t="s">
        <v>14</v>
      </c>
      <c r="M6" s="1" t="s">
        <v>15</v>
      </c>
      <c r="N6" s="1" t="s">
        <v>18</v>
      </c>
      <c r="O6" s="1" t="s">
        <v>19</v>
      </c>
      <c r="P6" s="1" t="s">
        <v>20</v>
      </c>
    </row>
    <row r="7" spans="1:17" x14ac:dyDescent="0.3">
      <c r="A7">
        <v>1</v>
      </c>
      <c r="B7" s="1" t="s">
        <v>38</v>
      </c>
      <c r="C7" s="1" t="s">
        <v>29</v>
      </c>
      <c r="D7" s="2">
        <v>39384</v>
      </c>
      <c r="E7" s="3">
        <v>10.27</v>
      </c>
      <c r="F7" s="4">
        <v>4211.7782152230966</v>
      </c>
      <c r="G7" s="2">
        <v>39400</v>
      </c>
      <c r="H7" s="3">
        <v>3160.4</v>
      </c>
      <c r="I7" s="3">
        <v>1166.8</v>
      </c>
      <c r="J7" s="3">
        <v>1836.4</v>
      </c>
      <c r="K7" s="6">
        <v>0.36919377294013411</v>
      </c>
      <c r="L7" s="6">
        <v>0.58106568788760915</v>
      </c>
      <c r="M7" s="6">
        <v>4.9740539172256737E-2</v>
      </c>
      <c r="N7" s="4">
        <v>1554.9622900652791</v>
      </c>
      <c r="O7" s="4">
        <v>2447.3198058586554</v>
      </c>
      <c r="P7" s="4">
        <v>4002.2820959239343</v>
      </c>
      <c r="Q7" s="3"/>
    </row>
    <row r="8" spans="1:17" x14ac:dyDescent="0.3">
      <c r="A8">
        <v>2</v>
      </c>
      <c r="B8" s="1" t="s">
        <v>39</v>
      </c>
      <c r="C8" s="1" t="s">
        <v>29</v>
      </c>
      <c r="D8" s="2">
        <v>39384</v>
      </c>
      <c r="E8" s="3">
        <v>10.24</v>
      </c>
      <c r="F8" s="4">
        <v>4199.475065616798</v>
      </c>
      <c r="G8" s="2">
        <v>39400</v>
      </c>
      <c r="H8" s="3">
        <v>4171.3999999999996</v>
      </c>
      <c r="I8" s="3">
        <v>1504.8</v>
      </c>
      <c r="J8" s="3">
        <v>2506</v>
      </c>
      <c r="K8" s="6">
        <v>0.3607421968643621</v>
      </c>
      <c r="L8" s="6">
        <v>0.60075753943520172</v>
      </c>
      <c r="M8" s="6">
        <v>3.8500263700436244E-2</v>
      </c>
      <c r="N8" s="4">
        <v>1514.9278608477148</v>
      </c>
      <c r="O8" s="4">
        <v>2522.86630733943</v>
      </c>
      <c r="P8" s="4">
        <v>4037.7941681871448</v>
      </c>
      <c r="Q8" s="3"/>
    </row>
    <row r="9" spans="1:17" x14ac:dyDescent="0.3">
      <c r="A9">
        <v>3</v>
      </c>
      <c r="B9" s="1" t="s">
        <v>40</v>
      </c>
      <c r="C9" s="1" t="s">
        <v>29</v>
      </c>
      <c r="D9" s="2">
        <v>39384</v>
      </c>
      <c r="E9" s="3">
        <v>9.06</v>
      </c>
      <c r="F9" s="4">
        <v>3715.5511811023621</v>
      </c>
      <c r="G9" s="2">
        <v>39400</v>
      </c>
      <c r="H9" s="3">
        <v>1824.4</v>
      </c>
      <c r="I9" s="3">
        <v>625.6</v>
      </c>
      <c r="J9" s="3">
        <v>1128.4000000000001</v>
      </c>
      <c r="K9" s="6">
        <v>0.3429072571804429</v>
      </c>
      <c r="L9" s="6">
        <v>0.61850471387853545</v>
      </c>
      <c r="M9" s="6">
        <v>3.8588028941021646E-2</v>
      </c>
      <c r="N9" s="4">
        <v>1274.089464425366</v>
      </c>
      <c r="O9" s="4">
        <v>2298.0859201687708</v>
      </c>
      <c r="P9" s="4">
        <v>3572.1753845941366</v>
      </c>
      <c r="Q9" s="3"/>
    </row>
    <row r="10" spans="1:17" x14ac:dyDescent="0.3">
      <c r="A10">
        <v>4</v>
      </c>
      <c r="B10" s="1" t="s">
        <v>41</v>
      </c>
      <c r="C10" s="1" t="s">
        <v>29</v>
      </c>
      <c r="D10" s="2">
        <v>39384</v>
      </c>
      <c r="E10" s="3">
        <v>9.99</v>
      </c>
      <c r="F10" s="4">
        <v>4096.9488188976375</v>
      </c>
      <c r="G10" s="2">
        <v>39400</v>
      </c>
      <c r="H10" s="3">
        <v>2842.1</v>
      </c>
      <c r="I10" s="3">
        <v>1052.5</v>
      </c>
      <c r="J10" s="3">
        <v>1660.7</v>
      </c>
      <c r="K10" s="6">
        <v>0.37032475986066643</v>
      </c>
      <c r="L10" s="6">
        <v>0.58432145244713418</v>
      </c>
      <c r="M10" s="6">
        <v>4.5353787692199332E-2</v>
      </c>
      <c r="N10" s="4">
        <v>1517.2015875197085</v>
      </c>
      <c r="O10" s="4">
        <v>2393.9350844598384</v>
      </c>
      <c r="P10" s="4">
        <v>3911.1366719795469</v>
      </c>
      <c r="Q10" s="3"/>
    </row>
    <row r="11" spans="1:17" x14ac:dyDescent="0.3">
      <c r="A11">
        <v>5</v>
      </c>
      <c r="B11" s="1" t="s">
        <v>42</v>
      </c>
      <c r="C11" s="1" t="s">
        <v>29</v>
      </c>
      <c r="D11" s="2">
        <v>39384</v>
      </c>
      <c r="E11" s="3">
        <v>9.14</v>
      </c>
      <c r="F11" s="4">
        <v>3748.3595800524936</v>
      </c>
      <c r="G11" s="2">
        <v>39400</v>
      </c>
      <c r="H11" s="3">
        <v>3004.7</v>
      </c>
      <c r="I11" s="3">
        <v>1129.7</v>
      </c>
      <c r="J11" s="3">
        <v>1762.4</v>
      </c>
      <c r="K11" s="6">
        <v>0.37597763503843984</v>
      </c>
      <c r="L11" s="6">
        <v>0.58654774187106873</v>
      </c>
      <c r="M11" s="6">
        <v>3.7474623090491432E-2</v>
      </c>
      <c r="N11" s="4">
        <v>1409.2993701818161</v>
      </c>
      <c r="O11" s="4">
        <v>2198.5918474005775</v>
      </c>
      <c r="P11" s="4">
        <v>3607.8912175823934</v>
      </c>
      <c r="Q11" s="3"/>
    </row>
    <row r="12" spans="1:17" x14ac:dyDescent="0.3">
      <c r="A12">
        <v>6</v>
      </c>
      <c r="B12" s="1" t="s">
        <v>43</v>
      </c>
      <c r="C12" s="1" t="s">
        <v>29</v>
      </c>
      <c r="D12" s="2">
        <v>39384</v>
      </c>
      <c r="E12" s="3">
        <v>7.18</v>
      </c>
      <c r="F12" s="4">
        <v>2944.5538057742783</v>
      </c>
      <c r="G12" s="2">
        <v>39400</v>
      </c>
      <c r="H12" s="3">
        <v>1658.7</v>
      </c>
      <c r="I12" s="3">
        <v>582.1</v>
      </c>
      <c r="J12" s="3">
        <v>992.8</v>
      </c>
      <c r="K12" s="6">
        <v>0.35093748115994455</v>
      </c>
      <c r="L12" s="6">
        <v>0.59854102610478077</v>
      </c>
      <c r="M12" s="6">
        <v>5.052149273527462E-2</v>
      </c>
      <c r="N12" s="4">
        <v>1033.3542957383538</v>
      </c>
      <c r="O12" s="4">
        <v>1762.4362563288739</v>
      </c>
      <c r="P12" s="4">
        <v>2795.7905520672275</v>
      </c>
      <c r="Q12" s="3"/>
    </row>
    <row r="13" spans="1:17" x14ac:dyDescent="0.3">
      <c r="A13">
        <v>7</v>
      </c>
      <c r="B13" s="1" t="s">
        <v>44</v>
      </c>
      <c r="C13" s="1" t="s">
        <v>29</v>
      </c>
      <c r="D13" s="2">
        <v>39381</v>
      </c>
      <c r="E13" s="3">
        <v>13.87</v>
      </c>
      <c r="F13" s="4">
        <v>5688.1561679790029</v>
      </c>
      <c r="G13" s="2">
        <v>39400</v>
      </c>
      <c r="H13" s="3">
        <v>2930.7</v>
      </c>
      <c r="I13" s="3">
        <v>1046</v>
      </c>
      <c r="J13" s="3">
        <v>1767</v>
      </c>
      <c r="K13" s="6">
        <v>0.35691131811512611</v>
      </c>
      <c r="L13" s="6">
        <v>0.6029276282116901</v>
      </c>
      <c r="M13" s="6">
        <v>4.0161053673183789E-2</v>
      </c>
      <c r="N13" s="4">
        <v>2030.1673155580706</v>
      </c>
      <c r="O13" s="4">
        <v>3429.5465072572761</v>
      </c>
      <c r="P13" s="4">
        <v>5459.7138228153472</v>
      </c>
      <c r="Q13" s="3"/>
    </row>
    <row r="14" spans="1:17" x14ac:dyDescent="0.3">
      <c r="A14">
        <v>8</v>
      </c>
      <c r="B14" s="1" t="s">
        <v>45</v>
      </c>
      <c r="C14" s="1" t="s">
        <v>29</v>
      </c>
      <c r="D14" s="2">
        <v>39381</v>
      </c>
      <c r="E14" s="3">
        <v>13.38</v>
      </c>
      <c r="F14" s="4">
        <v>5487.2047244094492</v>
      </c>
      <c r="G14" s="2">
        <v>39400</v>
      </c>
      <c r="H14" s="3">
        <v>2700.7</v>
      </c>
      <c r="I14" s="3">
        <v>963.4</v>
      </c>
      <c r="J14" s="3">
        <v>1621</v>
      </c>
      <c r="K14" s="6">
        <v>0.35672233124745439</v>
      </c>
      <c r="L14" s="6">
        <v>0.60021475913652023</v>
      </c>
      <c r="M14" s="6">
        <v>4.3062909616025435E-2</v>
      </c>
      <c r="N14" s="4">
        <v>1957.4084613233842</v>
      </c>
      <c r="O14" s="4">
        <v>3293.5012619941936</v>
      </c>
      <c r="P14" s="4">
        <v>5250.909723317578</v>
      </c>
      <c r="Q14" s="3"/>
    </row>
    <row r="15" spans="1:17" x14ac:dyDescent="0.3">
      <c r="A15">
        <v>9</v>
      </c>
      <c r="B15" s="1" t="s">
        <v>46</v>
      </c>
      <c r="C15" s="1" t="s">
        <v>29</v>
      </c>
      <c r="D15" s="2">
        <v>39381</v>
      </c>
      <c r="E15" s="3">
        <v>14.1</v>
      </c>
      <c r="F15" s="4">
        <v>5782.4803149606296</v>
      </c>
      <c r="G15" s="2">
        <v>39400</v>
      </c>
      <c r="H15" s="3">
        <v>3619.7</v>
      </c>
      <c r="I15" s="3">
        <v>1320.2</v>
      </c>
      <c r="J15" s="3">
        <v>2165.6999999999998</v>
      </c>
      <c r="K15" s="6">
        <v>0.36472635853800039</v>
      </c>
      <c r="L15" s="6">
        <v>0.59830925214796804</v>
      </c>
      <c r="M15" s="6">
        <v>3.6964389314031565E-2</v>
      </c>
      <c r="N15" s="4">
        <v>2109.0229885932599</v>
      </c>
      <c r="O15" s="4">
        <v>3459.7114728044412</v>
      </c>
      <c r="P15" s="4">
        <v>5568.7344613977011</v>
      </c>
      <c r="Q15" s="3"/>
    </row>
    <row r="16" spans="1:17" x14ac:dyDescent="0.3">
      <c r="A16">
        <v>10</v>
      </c>
      <c r="B16" s="1" t="s">
        <v>47</v>
      </c>
      <c r="C16" s="1" t="s">
        <v>29</v>
      </c>
      <c r="D16" s="2">
        <v>39381</v>
      </c>
      <c r="E16" s="3">
        <v>11.71</v>
      </c>
      <c r="F16" s="4">
        <v>4802.32939632546</v>
      </c>
      <c r="G16" s="2">
        <v>39400</v>
      </c>
      <c r="H16" s="3">
        <v>2804.5</v>
      </c>
      <c r="I16" s="3">
        <v>1027.0999999999999</v>
      </c>
      <c r="J16" s="3">
        <v>1643.3</v>
      </c>
      <c r="K16" s="6">
        <v>0.36623284007844531</v>
      </c>
      <c r="L16" s="6">
        <v>0.58595114993760022</v>
      </c>
      <c r="M16" s="6">
        <v>4.7816009983954411E-2</v>
      </c>
      <c r="N16" s="4">
        <v>1758.770733808479</v>
      </c>
      <c r="O16" s="4">
        <v>2813.9304321560448</v>
      </c>
      <c r="P16" s="4">
        <v>4572.7011659645241</v>
      </c>
      <c r="Q16" s="3"/>
    </row>
    <row r="17" spans="1:17" x14ac:dyDescent="0.3">
      <c r="A17">
        <v>11</v>
      </c>
      <c r="B17" s="1" t="s">
        <v>48</v>
      </c>
      <c r="C17" s="1" t="s">
        <v>29</v>
      </c>
      <c r="D17" s="2">
        <v>39381</v>
      </c>
      <c r="E17" s="3">
        <v>13.76</v>
      </c>
      <c r="F17" s="4">
        <v>5643.0446194225724</v>
      </c>
      <c r="G17" s="2">
        <v>39400</v>
      </c>
      <c r="H17" s="3">
        <v>3460.2</v>
      </c>
      <c r="I17" s="3">
        <v>1280.0999999999999</v>
      </c>
      <c r="J17" s="3">
        <v>2105.6</v>
      </c>
      <c r="K17" s="6">
        <v>0.36994971388937054</v>
      </c>
      <c r="L17" s="6">
        <v>0.60851973874342524</v>
      </c>
      <c r="M17" s="6">
        <v>2.1530547367204167E-2</v>
      </c>
      <c r="N17" s="4">
        <v>2087.6427424203325</v>
      </c>
      <c r="O17" s="4">
        <v>3433.9040375285153</v>
      </c>
      <c r="P17" s="4">
        <v>5521.5467799488479</v>
      </c>
      <c r="Q17" s="3"/>
    </row>
    <row r="18" spans="1:17" x14ac:dyDescent="0.3">
      <c r="A18">
        <v>12</v>
      </c>
      <c r="B18" s="1" t="s">
        <v>49</v>
      </c>
      <c r="C18" s="1" t="s">
        <v>29</v>
      </c>
      <c r="D18" s="2">
        <v>39381</v>
      </c>
      <c r="E18" s="3">
        <v>13.55</v>
      </c>
      <c r="F18" s="4">
        <v>5556.9225721784778</v>
      </c>
      <c r="G18" s="2">
        <v>39400</v>
      </c>
      <c r="H18" s="3">
        <v>3262.8</v>
      </c>
      <c r="I18" s="3">
        <v>1220.8</v>
      </c>
      <c r="J18" s="3">
        <v>1945.8</v>
      </c>
      <c r="K18" s="6">
        <v>0.37415716562461687</v>
      </c>
      <c r="L18" s="6">
        <v>0.59635895549834494</v>
      </c>
      <c r="M18" s="6">
        <v>2.9483878877038183E-2</v>
      </c>
      <c r="N18" s="4">
        <v>2079.1623992017549</v>
      </c>
      <c r="O18" s="4">
        <v>3313.9205409295332</v>
      </c>
      <c r="P18" s="4">
        <v>5393.0829401312876</v>
      </c>
      <c r="Q18" s="3"/>
    </row>
    <row r="19" spans="1:17" x14ac:dyDescent="0.3">
      <c r="A19">
        <v>13</v>
      </c>
      <c r="B19" s="1" t="s">
        <v>50</v>
      </c>
      <c r="C19" s="1" t="s">
        <v>29</v>
      </c>
      <c r="D19" s="2">
        <v>39381</v>
      </c>
      <c r="E19" s="3">
        <v>13.38</v>
      </c>
      <c r="F19" s="4">
        <v>5487.2047244094492</v>
      </c>
      <c r="G19" s="2">
        <v>39400</v>
      </c>
      <c r="H19" s="3">
        <v>2624.9</v>
      </c>
      <c r="I19" s="3">
        <v>951.6</v>
      </c>
      <c r="J19" s="3">
        <v>1587.1</v>
      </c>
      <c r="K19" s="6">
        <v>0.3625280963084308</v>
      </c>
      <c r="L19" s="6">
        <v>0.60463255743075917</v>
      </c>
      <c r="M19" s="6">
        <v>3.2839346260810087E-2</v>
      </c>
      <c r="N19" s="4">
        <v>1989.2658827947853</v>
      </c>
      <c r="O19" s="4">
        <v>3317.7426256658291</v>
      </c>
      <c r="P19" s="4">
        <v>5307.0085084606144</v>
      </c>
      <c r="Q19" s="3"/>
    </row>
    <row r="20" spans="1:17" x14ac:dyDescent="0.3">
      <c r="A20">
        <v>14</v>
      </c>
      <c r="B20" s="1" t="s">
        <v>51</v>
      </c>
      <c r="C20" s="1" t="s">
        <v>29</v>
      </c>
      <c r="D20" s="2">
        <v>39380</v>
      </c>
      <c r="E20" s="3">
        <v>14.72</v>
      </c>
      <c r="F20" s="4">
        <v>6036.7454068241468</v>
      </c>
      <c r="G20" s="2">
        <v>39400</v>
      </c>
      <c r="H20" s="3">
        <v>2540.3000000000002</v>
      </c>
      <c r="I20" s="3">
        <v>947.4</v>
      </c>
      <c r="J20" s="3">
        <v>1515.7</v>
      </c>
      <c r="K20" s="6">
        <v>0.37294807699877963</v>
      </c>
      <c r="L20" s="6">
        <v>0.59666181159705545</v>
      </c>
      <c r="M20" s="6">
        <v>3.0390111404164921E-2</v>
      </c>
      <c r="N20" s="4">
        <v>2251.3925908062811</v>
      </c>
      <c r="O20" s="4">
        <v>3601.8954505858987</v>
      </c>
      <c r="P20" s="4">
        <v>5853.2880413921794</v>
      </c>
      <c r="Q20" s="3"/>
    </row>
    <row r="21" spans="1:17" x14ac:dyDescent="0.3">
      <c r="A21">
        <v>15</v>
      </c>
      <c r="B21" s="1" t="s">
        <v>52</v>
      </c>
      <c r="C21" s="1" t="s">
        <v>29</v>
      </c>
      <c r="D21" s="2">
        <v>39380</v>
      </c>
      <c r="E21" s="3">
        <v>9.98</v>
      </c>
      <c r="F21" s="4">
        <v>4092.8477690288719</v>
      </c>
      <c r="G21" s="2">
        <v>39400</v>
      </c>
      <c r="H21" s="3">
        <v>1946.8</v>
      </c>
      <c r="I21" s="3">
        <v>694.1</v>
      </c>
      <c r="J21" s="3">
        <v>1172.5999999999999</v>
      </c>
      <c r="K21" s="6">
        <v>0.35653379905485927</v>
      </c>
      <c r="L21" s="6">
        <v>0.60232175878364491</v>
      </c>
      <c r="M21" s="6">
        <v>4.114444216149582E-2</v>
      </c>
      <c r="N21" s="4">
        <v>1459.2385640450689</v>
      </c>
      <c r="O21" s="4">
        <v>2465.2112666751873</v>
      </c>
      <c r="P21" s="4">
        <v>3924.4498307202562</v>
      </c>
      <c r="Q21" s="3"/>
    </row>
    <row r="22" spans="1:17" x14ac:dyDescent="0.3">
      <c r="A22">
        <v>16</v>
      </c>
      <c r="B22" s="1" t="s">
        <v>53</v>
      </c>
      <c r="C22" s="1" t="s">
        <v>29</v>
      </c>
      <c r="D22" s="2">
        <v>39380</v>
      </c>
      <c r="E22" s="3">
        <v>11.32</v>
      </c>
      <c r="F22" s="4">
        <v>4642.3884514435695</v>
      </c>
      <c r="G22" s="2">
        <v>39400</v>
      </c>
      <c r="H22" s="3">
        <v>2342.1</v>
      </c>
      <c r="I22" s="3">
        <v>857.7</v>
      </c>
      <c r="J22" s="3">
        <v>1386.2</v>
      </c>
      <c r="K22" s="6">
        <v>0.36620981170744205</v>
      </c>
      <c r="L22" s="6">
        <v>0.59186200418427914</v>
      </c>
      <c r="M22" s="6">
        <v>4.192818410827881E-2</v>
      </c>
      <c r="N22" s="4">
        <v>1700.088200675953</v>
      </c>
      <c r="O22" s="4">
        <v>2747.6533330733432</v>
      </c>
      <c r="P22" s="4">
        <v>4447.7415337492967</v>
      </c>
      <c r="Q22" s="3"/>
    </row>
    <row r="23" spans="1:17" x14ac:dyDescent="0.3">
      <c r="A23">
        <v>17</v>
      </c>
      <c r="B23" s="1" t="s">
        <v>54</v>
      </c>
      <c r="C23" s="1" t="s">
        <v>29</v>
      </c>
      <c r="D23" s="2">
        <v>39380</v>
      </c>
      <c r="E23" s="3">
        <v>13.28</v>
      </c>
      <c r="F23" s="4">
        <v>5446.1942257217843</v>
      </c>
      <c r="G23" s="2">
        <v>39400</v>
      </c>
      <c r="H23" s="3">
        <v>2890.5</v>
      </c>
      <c r="I23" s="3">
        <v>1065.4000000000001</v>
      </c>
      <c r="J23" s="3">
        <v>1710.9</v>
      </c>
      <c r="K23" s="6">
        <v>0.36858674969728422</v>
      </c>
      <c r="L23" s="6">
        <v>0.59190451478982875</v>
      </c>
      <c r="M23" s="6">
        <v>3.9508735512887028E-2</v>
      </c>
      <c r="N23" s="4">
        <v>2007.39502787891</v>
      </c>
      <c r="O23" s="4">
        <v>3223.6269506270196</v>
      </c>
      <c r="P23" s="4">
        <v>5231.0219785059298</v>
      </c>
      <c r="Q23" s="3"/>
    </row>
    <row r="24" spans="1:17" x14ac:dyDescent="0.3">
      <c r="A24">
        <v>18</v>
      </c>
      <c r="B24" s="1" t="s">
        <v>55</v>
      </c>
      <c r="C24" s="1" t="s">
        <v>29</v>
      </c>
      <c r="D24" s="2">
        <v>39380</v>
      </c>
      <c r="E24" s="3">
        <v>13.23</v>
      </c>
      <c r="F24" s="4">
        <v>5425.6889763779527</v>
      </c>
      <c r="G24" s="2">
        <v>39400</v>
      </c>
      <c r="H24" s="3">
        <v>2513.5</v>
      </c>
      <c r="I24" s="3">
        <v>902.1</v>
      </c>
      <c r="J24" s="3">
        <v>1491.7</v>
      </c>
      <c r="K24" s="6">
        <v>0.35890192958026657</v>
      </c>
      <c r="L24" s="6">
        <v>0.59347523373781585</v>
      </c>
      <c r="M24" s="6">
        <v>4.762283668191758E-2</v>
      </c>
      <c r="N24" s="4">
        <v>1947.2902429244286</v>
      </c>
      <c r="O24" s="4">
        <v>3220.0120334445965</v>
      </c>
      <c r="P24" s="4">
        <v>5167.3022763690251</v>
      </c>
      <c r="Q24" s="3"/>
    </row>
    <row r="25" spans="1:17" x14ac:dyDescent="0.3">
      <c r="A25">
        <v>19</v>
      </c>
      <c r="B25" s="1" t="s">
        <v>56</v>
      </c>
      <c r="C25" s="1" t="s">
        <v>29</v>
      </c>
      <c r="D25" s="2">
        <v>39380</v>
      </c>
      <c r="E25" s="3">
        <v>13.66</v>
      </c>
      <c r="F25" s="4">
        <v>5602.0341207349074</v>
      </c>
      <c r="G25" s="2">
        <v>39400</v>
      </c>
      <c r="H25" s="3">
        <v>2791.3</v>
      </c>
      <c r="I25" s="3">
        <v>1004.3</v>
      </c>
      <c r="J25" s="3">
        <v>1683.2</v>
      </c>
      <c r="K25" s="6">
        <v>0.35979651058646506</v>
      </c>
      <c r="L25" s="6">
        <v>0.60301651560204916</v>
      </c>
      <c r="M25" s="6">
        <v>3.7186973811485724E-2</v>
      </c>
      <c r="N25" s="4">
        <v>2015.5923288267356</v>
      </c>
      <c r="O25" s="4">
        <v>3378.119095769353</v>
      </c>
      <c r="P25" s="4">
        <v>5393.7114245960884</v>
      </c>
      <c r="Q25" s="3"/>
    </row>
    <row r="26" spans="1:17" x14ac:dyDescent="0.3">
      <c r="A26">
        <v>20</v>
      </c>
      <c r="B26" s="1" t="s">
        <v>57</v>
      </c>
      <c r="C26" s="1" t="s">
        <v>29</v>
      </c>
      <c r="D26" s="2">
        <v>39380</v>
      </c>
      <c r="E26" s="3">
        <v>13.53</v>
      </c>
      <c r="F26" s="4">
        <v>5548.7204724409448</v>
      </c>
      <c r="G26" s="2">
        <v>39400</v>
      </c>
      <c r="H26" s="3">
        <v>2958.8</v>
      </c>
      <c r="I26" s="3">
        <v>1088.0999999999999</v>
      </c>
      <c r="J26" s="3">
        <v>1782.1</v>
      </c>
      <c r="K26" s="6">
        <v>0.367750439367311</v>
      </c>
      <c r="L26" s="6">
        <v>0.60230498850885483</v>
      </c>
      <c r="M26" s="6">
        <v>2.9944572123834168E-2</v>
      </c>
      <c r="N26" s="4">
        <v>2040.5443916665508</v>
      </c>
      <c r="O26" s="4">
        <v>3342.0220203923909</v>
      </c>
      <c r="P26" s="4">
        <v>5382.5664120589418</v>
      </c>
      <c r="Q26" s="3"/>
    </row>
    <row r="27" spans="1:17" x14ac:dyDescent="0.3">
      <c r="A27">
        <v>21</v>
      </c>
      <c r="B27" s="1" t="s">
        <v>58</v>
      </c>
      <c r="C27" s="1" t="s">
        <v>29</v>
      </c>
      <c r="D27" s="2">
        <v>39380</v>
      </c>
      <c r="E27" s="3">
        <v>11.85</v>
      </c>
      <c r="F27" s="4">
        <v>4859.7440944881882</v>
      </c>
      <c r="G27" s="2">
        <v>39400</v>
      </c>
      <c r="H27" s="3">
        <v>2606.1999999999998</v>
      </c>
      <c r="I27" s="3">
        <v>921.9</v>
      </c>
      <c r="J27" s="3">
        <v>1542.9</v>
      </c>
      <c r="K27" s="6">
        <v>0.35373340495740929</v>
      </c>
      <c r="L27" s="6">
        <v>0.59201135753203904</v>
      </c>
      <c r="M27" s="6">
        <v>5.4255237510551724E-2</v>
      </c>
      <c r="N27" s="4">
        <v>1719.0538257649687</v>
      </c>
      <c r="O27" s="4">
        <v>2877.023698636262</v>
      </c>
      <c r="P27" s="4">
        <v>4596.0775244012311</v>
      </c>
      <c r="Q27" s="3"/>
    </row>
    <row r="28" spans="1:17" x14ac:dyDescent="0.3">
      <c r="A28">
        <v>22</v>
      </c>
      <c r="B28" s="1" t="s">
        <v>59</v>
      </c>
      <c r="C28" s="1" t="s">
        <v>29</v>
      </c>
      <c r="D28" s="2">
        <v>39380</v>
      </c>
      <c r="E28" s="3">
        <v>11.15</v>
      </c>
      <c r="F28" s="4">
        <v>4572.6706036745409</v>
      </c>
      <c r="G28" s="2">
        <v>39400</v>
      </c>
      <c r="H28" s="3">
        <v>2499.6</v>
      </c>
      <c r="I28" s="3">
        <v>897.8</v>
      </c>
      <c r="J28" s="3">
        <v>1475.5</v>
      </c>
      <c r="K28" s="6">
        <v>0.35917746839494319</v>
      </c>
      <c r="L28" s="6">
        <v>0.59029444711153789</v>
      </c>
      <c r="M28" s="6">
        <v>5.0528084493518977E-2</v>
      </c>
      <c r="N28" s="4">
        <v>1642.4002512317982</v>
      </c>
      <c r="O28" s="4">
        <v>2699.2220658192455</v>
      </c>
      <c r="P28" s="4">
        <v>4341.6223170510439</v>
      </c>
      <c r="Q28" s="3"/>
    </row>
    <row r="29" spans="1:17" x14ac:dyDescent="0.3">
      <c r="A29">
        <v>23</v>
      </c>
      <c r="B29" s="1" t="s">
        <v>60</v>
      </c>
      <c r="C29" s="1" t="s">
        <v>29</v>
      </c>
      <c r="D29" s="2">
        <v>39380</v>
      </c>
      <c r="E29" s="3">
        <v>13.25</v>
      </c>
      <c r="F29" s="4">
        <v>5433.8910761154857</v>
      </c>
      <c r="G29" s="2">
        <v>39400</v>
      </c>
      <c r="H29" s="3">
        <v>3966.9</v>
      </c>
      <c r="I29" s="3">
        <v>1440.1</v>
      </c>
      <c r="J29" s="3">
        <v>2343.1</v>
      </c>
      <c r="K29" s="6">
        <v>0.36302906551715441</v>
      </c>
      <c r="L29" s="6">
        <v>0.59066273412488335</v>
      </c>
      <c r="M29" s="6">
        <v>4.6308200357962237E-2</v>
      </c>
      <c r="N29" s="4">
        <v>1972.6603994842094</v>
      </c>
      <c r="O29" s="4">
        <v>3209.5969599551772</v>
      </c>
      <c r="P29" s="4">
        <v>5182.2573594393871</v>
      </c>
      <c r="Q29" s="3"/>
    </row>
    <row r="30" spans="1:17" x14ac:dyDescent="0.3">
      <c r="A30">
        <v>24</v>
      </c>
      <c r="B30" s="1" t="s">
        <v>61</v>
      </c>
      <c r="C30" s="1" t="s">
        <v>29</v>
      </c>
      <c r="D30" s="2">
        <v>39380</v>
      </c>
      <c r="E30" s="3">
        <v>12.67</v>
      </c>
      <c r="F30" s="4">
        <v>5196.0301837270335</v>
      </c>
      <c r="G30" s="2">
        <v>39400</v>
      </c>
      <c r="H30" s="3">
        <v>2309.3000000000002</v>
      </c>
      <c r="I30" s="3">
        <v>828.8</v>
      </c>
      <c r="J30" s="3">
        <v>1382.1</v>
      </c>
      <c r="K30" s="6">
        <v>0.35889663534404359</v>
      </c>
      <c r="L30" s="6">
        <v>0.5984930498419434</v>
      </c>
      <c r="M30" s="6">
        <v>4.2610314814013006E-2</v>
      </c>
      <c r="N30" s="4">
        <v>1864.837750085725</v>
      </c>
      <c r="O30" s="4">
        <v>3109.787951729586</v>
      </c>
      <c r="P30" s="4">
        <v>4974.625701815311</v>
      </c>
      <c r="Q30" s="3"/>
    </row>
    <row r="31" spans="1:17" x14ac:dyDescent="0.3">
      <c r="A31">
        <v>25</v>
      </c>
      <c r="B31" s="1" t="s">
        <v>62</v>
      </c>
      <c r="C31" s="1" t="s">
        <v>29</v>
      </c>
      <c r="D31" s="2">
        <v>39380</v>
      </c>
      <c r="E31" s="3">
        <v>11.11</v>
      </c>
      <c r="F31" s="4">
        <v>4556.2664041994749</v>
      </c>
      <c r="G31" s="2">
        <v>39400</v>
      </c>
      <c r="H31" s="3">
        <v>2583.1999999999998</v>
      </c>
      <c r="I31" s="3">
        <v>930.1</v>
      </c>
      <c r="J31" s="3">
        <v>1554.7</v>
      </c>
      <c r="K31" s="6">
        <v>0.36005729327965319</v>
      </c>
      <c r="L31" s="6">
        <v>0.60185041808609485</v>
      </c>
      <c r="M31" s="6">
        <v>3.8092288634251958E-2</v>
      </c>
      <c r="N31" s="4">
        <v>1640.5169489570812</v>
      </c>
      <c r="O31" s="4">
        <v>2742.1908402790818</v>
      </c>
      <c r="P31" s="4">
        <v>4382.7077892361631</v>
      </c>
      <c r="Q31" s="3"/>
    </row>
    <row r="32" spans="1:17" x14ac:dyDescent="0.3">
      <c r="A32">
        <v>26</v>
      </c>
      <c r="B32" s="1" t="s">
        <v>63</v>
      </c>
      <c r="C32" s="1" t="s">
        <v>29</v>
      </c>
      <c r="D32" s="2">
        <v>39379</v>
      </c>
      <c r="E32" s="3">
        <v>12.78</v>
      </c>
      <c r="F32" s="4">
        <v>5241.1417322834641</v>
      </c>
      <c r="G32" s="2">
        <v>39400</v>
      </c>
      <c r="H32" s="3">
        <v>2700</v>
      </c>
      <c r="I32" s="3">
        <v>966.6</v>
      </c>
      <c r="J32" s="3">
        <v>1624.4</v>
      </c>
      <c r="K32" s="6">
        <v>0.35799999999999998</v>
      </c>
      <c r="L32" s="6">
        <v>0.60162962962962963</v>
      </c>
      <c r="M32" s="6">
        <v>4.037037037037039E-2</v>
      </c>
      <c r="N32" s="4">
        <v>1876.3287401574801</v>
      </c>
      <c r="O32" s="4">
        <v>3153.2261592300961</v>
      </c>
      <c r="P32" s="4">
        <v>5029.5548993875764</v>
      </c>
      <c r="Q32" s="3"/>
    </row>
    <row r="33" spans="1:17" x14ac:dyDescent="0.3">
      <c r="A33">
        <v>27</v>
      </c>
      <c r="B33" s="1" t="s">
        <v>64</v>
      </c>
      <c r="C33" s="1" t="s">
        <v>29</v>
      </c>
      <c r="D33" s="2">
        <v>39379</v>
      </c>
      <c r="E33" s="3">
        <v>11.02</v>
      </c>
      <c r="F33" s="4">
        <v>4519.3569553805773</v>
      </c>
      <c r="G33" s="2">
        <v>39400</v>
      </c>
      <c r="H33" s="3">
        <v>2536.6</v>
      </c>
      <c r="I33" s="3">
        <v>912</v>
      </c>
      <c r="J33" s="3">
        <v>1550.4</v>
      </c>
      <c r="K33" s="6">
        <v>0.35953638729007337</v>
      </c>
      <c r="L33" s="6">
        <v>0.61121185839312475</v>
      </c>
      <c r="M33" s="6">
        <v>2.9251754316801826E-2</v>
      </c>
      <c r="N33" s="4">
        <v>1624.873272611798</v>
      </c>
      <c r="O33" s="4">
        <v>2762.2845634400569</v>
      </c>
      <c r="P33" s="4">
        <v>4387.1578360518552</v>
      </c>
      <c r="Q33" s="3"/>
    </row>
    <row r="34" spans="1:17" x14ac:dyDescent="0.3">
      <c r="A34">
        <v>28</v>
      </c>
      <c r="B34" s="1" t="s">
        <v>65</v>
      </c>
      <c r="C34" s="1" t="s">
        <v>29</v>
      </c>
      <c r="D34" s="2">
        <v>39379</v>
      </c>
      <c r="E34" s="3">
        <v>12.66</v>
      </c>
      <c r="F34" s="4">
        <v>5191.9291338582671</v>
      </c>
      <c r="G34" s="2">
        <v>39400</v>
      </c>
      <c r="H34" s="3">
        <v>2754.2</v>
      </c>
      <c r="I34" s="3">
        <v>982.2</v>
      </c>
      <c r="J34" s="3">
        <v>1671</v>
      </c>
      <c r="K34" s="6">
        <v>0.35661898191852448</v>
      </c>
      <c r="L34" s="6">
        <v>0.60670975237818603</v>
      </c>
      <c r="M34" s="6">
        <v>3.6671265703289491E-2</v>
      </c>
      <c r="N34" s="4">
        <v>1851.5404819096618</v>
      </c>
      <c r="O34" s="4">
        <v>3149.9940391682389</v>
      </c>
      <c r="P34" s="4">
        <v>5001.5345210779005</v>
      </c>
      <c r="Q34" s="3"/>
    </row>
    <row r="35" spans="1:17" x14ac:dyDescent="0.3">
      <c r="A35">
        <v>29</v>
      </c>
      <c r="B35" s="1" t="s">
        <v>66</v>
      </c>
      <c r="C35" s="1" t="s">
        <v>29</v>
      </c>
      <c r="D35" s="2">
        <v>39379</v>
      </c>
      <c r="E35" s="3">
        <v>11.3</v>
      </c>
      <c r="F35" s="4">
        <v>4634.1863517060374</v>
      </c>
      <c r="G35" s="2">
        <v>39400</v>
      </c>
      <c r="H35" s="3">
        <v>2058.6999999999998</v>
      </c>
      <c r="I35" s="3">
        <v>745.9</v>
      </c>
      <c r="J35" s="3">
        <v>1198.0999999999999</v>
      </c>
      <c r="K35" s="6">
        <v>0.36231602467576629</v>
      </c>
      <c r="L35" s="6">
        <v>0.58196920386651774</v>
      </c>
      <c r="M35" s="6">
        <v>5.5714771457715973E-2</v>
      </c>
      <c r="N35" s="4">
        <v>1679.0399765568241</v>
      </c>
      <c r="O35" s="4">
        <v>2696.9537416714447</v>
      </c>
      <c r="P35" s="4">
        <v>4375.9937182282683</v>
      </c>
      <c r="Q35" s="3"/>
    </row>
    <row r="36" spans="1:17" x14ac:dyDescent="0.3">
      <c r="A36">
        <v>30</v>
      </c>
      <c r="B36" s="1" t="s">
        <v>67</v>
      </c>
      <c r="C36" s="1" t="s">
        <v>29</v>
      </c>
      <c r="D36" s="2">
        <v>39379</v>
      </c>
      <c r="E36" s="3">
        <v>10.86</v>
      </c>
      <c r="F36" s="4">
        <v>4453.7401574803152</v>
      </c>
      <c r="G36" s="2">
        <v>39400</v>
      </c>
      <c r="H36" s="3">
        <v>2748</v>
      </c>
      <c r="I36" s="3">
        <v>1013.3</v>
      </c>
      <c r="J36" s="3">
        <v>1619.4</v>
      </c>
      <c r="K36" s="6">
        <v>0.3687409024745269</v>
      </c>
      <c r="L36" s="6">
        <v>0.58930131004366815</v>
      </c>
      <c r="M36" s="6">
        <v>4.1957787481804898E-2</v>
      </c>
      <c r="N36" s="4">
        <v>1642.276165056333</v>
      </c>
      <c r="O36" s="4">
        <v>2624.5949093972426</v>
      </c>
      <c r="P36" s="4">
        <v>4266.8710744535756</v>
      </c>
      <c r="Q36" s="3"/>
    </row>
    <row r="37" spans="1:17" x14ac:dyDescent="0.3">
      <c r="A37">
        <v>31</v>
      </c>
      <c r="B37" s="1" t="s">
        <v>68</v>
      </c>
      <c r="C37" s="1" t="s">
        <v>29</v>
      </c>
      <c r="D37" s="2">
        <v>39379</v>
      </c>
      <c r="E37" s="3">
        <v>6.49</v>
      </c>
      <c r="F37" s="4">
        <v>2661.5813648293961</v>
      </c>
      <c r="G37" s="2">
        <v>39400</v>
      </c>
      <c r="H37" s="3">
        <v>1682.1</v>
      </c>
      <c r="I37" s="3">
        <v>557.6</v>
      </c>
      <c r="J37" s="3">
        <v>997.2</v>
      </c>
      <c r="K37" s="6">
        <v>0.3314903989061293</v>
      </c>
      <c r="L37" s="6">
        <v>0.59283039058319964</v>
      </c>
      <c r="M37" s="6">
        <v>7.5679210510671058E-2</v>
      </c>
      <c r="N37" s="4">
        <v>882.28866834841654</v>
      </c>
      <c r="O37" s="4">
        <v>1577.8663200807764</v>
      </c>
      <c r="P37" s="4">
        <v>2460.1549884291931</v>
      </c>
      <c r="Q37" s="3"/>
    </row>
    <row r="38" spans="1:17" x14ac:dyDescent="0.3">
      <c r="A38">
        <v>32</v>
      </c>
      <c r="B38" s="1" t="s">
        <v>69</v>
      </c>
      <c r="C38" s="1" t="s">
        <v>29</v>
      </c>
      <c r="D38" s="2">
        <v>39379</v>
      </c>
      <c r="E38" s="3">
        <v>8.43</v>
      </c>
      <c r="F38" s="4">
        <v>3457.1850393700788</v>
      </c>
      <c r="G38" s="2">
        <v>39400</v>
      </c>
      <c r="H38" s="3">
        <v>1979.2</v>
      </c>
      <c r="I38" s="3">
        <v>654.20000000000005</v>
      </c>
      <c r="J38" s="3">
        <v>1181</v>
      </c>
      <c r="K38" s="6">
        <v>0.33053759094583673</v>
      </c>
      <c r="L38" s="6">
        <v>0.59670573969280516</v>
      </c>
      <c r="M38" s="6">
        <v>7.2756669361358051E-2</v>
      </c>
      <c r="N38" s="4">
        <v>1142.7296143673736</v>
      </c>
      <c r="O38" s="4">
        <v>2062.9221561722225</v>
      </c>
      <c r="P38" s="4">
        <v>3205.6517705395963</v>
      </c>
      <c r="Q38" s="3"/>
    </row>
    <row r="39" spans="1:17" x14ac:dyDescent="0.3">
      <c r="A39">
        <v>33</v>
      </c>
      <c r="B39" s="1" t="s">
        <v>70</v>
      </c>
      <c r="C39" s="1" t="s">
        <v>29</v>
      </c>
      <c r="D39" s="2">
        <v>39379</v>
      </c>
      <c r="E39" s="3">
        <v>11.66</v>
      </c>
      <c r="F39" s="4">
        <v>4781.8241469816276</v>
      </c>
      <c r="G39" s="2">
        <v>39400</v>
      </c>
      <c r="H39">
        <v>2174</v>
      </c>
      <c r="I39">
        <v>766.8</v>
      </c>
      <c r="J39">
        <v>1324.7</v>
      </c>
      <c r="K39" s="6">
        <v>0.35271389144434223</v>
      </c>
      <c r="L39" s="6">
        <v>0.60933762649494028</v>
      </c>
      <c r="M39" s="6">
        <v>3.7948482060717548E-2</v>
      </c>
      <c r="N39" s="4">
        <v>1686.6158030844122</v>
      </c>
      <c r="O39" s="4">
        <v>2913.7453760379772</v>
      </c>
      <c r="P39" s="4">
        <v>4600.3611791223893</v>
      </c>
      <c r="Q39" s="3"/>
    </row>
    <row r="40" spans="1:17" x14ac:dyDescent="0.3">
      <c r="A40">
        <v>34</v>
      </c>
      <c r="B40" s="1" t="s">
        <v>71</v>
      </c>
      <c r="C40" s="1" t="s">
        <v>29</v>
      </c>
      <c r="D40" s="2">
        <v>39379</v>
      </c>
      <c r="E40" s="3">
        <v>11.16</v>
      </c>
      <c r="F40" s="4">
        <v>4576.7716535433074</v>
      </c>
      <c r="G40" s="2">
        <v>39400</v>
      </c>
      <c r="H40">
        <v>2665.7</v>
      </c>
      <c r="I40">
        <v>939.9</v>
      </c>
      <c r="J40">
        <v>1630.9</v>
      </c>
      <c r="K40" s="6">
        <v>0.35259031398882096</v>
      </c>
      <c r="L40" s="6">
        <v>0.61180928086431341</v>
      </c>
      <c r="M40" s="6">
        <v>3.5600405146865688E-2</v>
      </c>
      <c r="N40" s="4">
        <v>1613.72535437797</v>
      </c>
      <c r="O40" s="4">
        <v>2800.1113740345054</v>
      </c>
      <c r="P40" s="4">
        <v>4413.8367284124752</v>
      </c>
      <c r="Q40" s="3"/>
    </row>
    <row r="41" spans="1:17" x14ac:dyDescent="0.3">
      <c r="A41">
        <v>35</v>
      </c>
      <c r="B41" s="1" t="s">
        <v>72</v>
      </c>
      <c r="C41" s="1" t="s">
        <v>29</v>
      </c>
      <c r="D41" s="2">
        <v>39379</v>
      </c>
      <c r="E41" s="3">
        <v>11.14</v>
      </c>
      <c r="F41" s="4">
        <v>4568.5695538057744</v>
      </c>
      <c r="G41" s="2">
        <v>39400</v>
      </c>
      <c r="H41">
        <v>2485.8000000000002</v>
      </c>
      <c r="I41">
        <v>886.9</v>
      </c>
      <c r="J41">
        <v>1474.2</v>
      </c>
      <c r="K41" s="6">
        <v>0.35678654759031292</v>
      </c>
      <c r="L41" s="6">
        <v>0.59304851556842864</v>
      </c>
      <c r="M41" s="6">
        <v>5.0164936841258445E-2</v>
      </c>
      <c r="N41" s="4">
        <v>1630.0041585285785</v>
      </c>
      <c r="O41" s="4">
        <v>2709.3833921556329</v>
      </c>
      <c r="P41" s="4">
        <v>4339.3875506842114</v>
      </c>
      <c r="Q41" s="3"/>
    </row>
    <row r="42" spans="1:17" x14ac:dyDescent="0.3">
      <c r="A42">
        <v>36</v>
      </c>
      <c r="B42" s="1" t="s">
        <v>73</v>
      </c>
      <c r="C42" s="1" t="s">
        <v>29</v>
      </c>
      <c r="D42" s="2">
        <v>39379</v>
      </c>
      <c r="E42" s="3">
        <v>12.85</v>
      </c>
      <c r="F42" s="4">
        <v>5269.8490813648295</v>
      </c>
      <c r="G42" s="2">
        <v>39400</v>
      </c>
      <c r="H42">
        <v>2902.1</v>
      </c>
      <c r="I42">
        <v>1033.4000000000001</v>
      </c>
      <c r="J42">
        <v>1755.6</v>
      </c>
      <c r="K42" s="6">
        <v>0.35608697150339413</v>
      </c>
      <c r="L42" s="6">
        <v>0.60494124944006067</v>
      </c>
      <c r="M42" s="6">
        <v>3.8971779056545253E-2</v>
      </c>
      <c r="N42" s="4">
        <v>1876.5245996631459</v>
      </c>
      <c r="O42" s="4">
        <v>3187.9490876413961</v>
      </c>
      <c r="P42" s="4">
        <v>5064.4736873045422</v>
      </c>
      <c r="Q42" s="3"/>
    </row>
    <row r="43" spans="1:17" x14ac:dyDescent="0.3">
      <c r="A43">
        <v>37</v>
      </c>
      <c r="B43" s="1" t="s">
        <v>74</v>
      </c>
      <c r="C43" s="1" t="s">
        <v>29</v>
      </c>
      <c r="D43" s="2">
        <v>39379</v>
      </c>
      <c r="E43" s="3">
        <v>8.44</v>
      </c>
      <c r="F43" s="4">
        <v>3461.2860892388449</v>
      </c>
      <c r="G43" s="2">
        <v>39400</v>
      </c>
      <c r="H43">
        <v>1920.4</v>
      </c>
      <c r="I43">
        <v>663.7</v>
      </c>
      <c r="J43">
        <v>1152.0999999999999</v>
      </c>
      <c r="K43" s="6">
        <v>0.34560508227452613</v>
      </c>
      <c r="L43" s="6">
        <v>0.59992709852114134</v>
      </c>
      <c r="M43" s="6">
        <v>5.4467819204332524E-2</v>
      </c>
      <c r="N43" s="4">
        <v>1196.2380636470639</v>
      </c>
      <c r="O43" s="4">
        <v>2076.5193206686486</v>
      </c>
      <c r="P43" s="4">
        <v>3272.7573843157124</v>
      </c>
    </row>
    <row r="44" spans="1:17" x14ac:dyDescent="0.3">
      <c r="A44">
        <v>38</v>
      </c>
      <c r="B44" s="1" t="s">
        <v>75</v>
      </c>
      <c r="C44" s="1" t="s">
        <v>29</v>
      </c>
      <c r="D44" s="2">
        <v>39379</v>
      </c>
      <c r="E44" s="3">
        <v>11.53</v>
      </c>
      <c r="F44" s="4">
        <v>4728.510498687664</v>
      </c>
      <c r="G44" s="2">
        <v>39400</v>
      </c>
      <c r="H44">
        <v>2862.3</v>
      </c>
      <c r="I44">
        <v>1028.7</v>
      </c>
      <c r="J44">
        <v>1709.4</v>
      </c>
      <c r="K44" s="6">
        <v>0.35939628969709675</v>
      </c>
      <c r="L44" s="6">
        <v>0.59721203228173148</v>
      </c>
      <c r="M44" s="6">
        <v>4.339167802117172E-2</v>
      </c>
      <c r="N44" s="4">
        <v>1699.4091290221152</v>
      </c>
      <c r="O44" s="4">
        <v>2823.9233645867635</v>
      </c>
      <c r="P44" s="4">
        <v>4523.3324936088784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5F50-7A5C-42B4-8EDE-231CED7EDFC6}">
  <dimension ref="A1:N44"/>
  <sheetViews>
    <sheetView workbookViewId="0"/>
  </sheetViews>
  <sheetFormatPr defaultRowHeight="14.4" x14ac:dyDescent="0.3"/>
  <sheetData>
    <row r="1" spans="1:14" x14ac:dyDescent="0.3">
      <c r="B1" t="s">
        <v>85</v>
      </c>
      <c r="C1" t="s">
        <v>85</v>
      </c>
    </row>
    <row r="2" spans="1:14" x14ac:dyDescent="0.3">
      <c r="B2" t="s">
        <v>86</v>
      </c>
      <c r="C2" t="s">
        <v>86</v>
      </c>
    </row>
    <row r="4" spans="1:14" x14ac:dyDescent="0.3">
      <c r="B4" t="s">
        <v>83</v>
      </c>
      <c r="C4" t="s">
        <v>84</v>
      </c>
    </row>
    <row r="6" spans="1:14" x14ac:dyDescent="0.3">
      <c r="A6" t="s">
        <v>37</v>
      </c>
      <c r="N6">
        <v>0</v>
      </c>
    </row>
    <row r="7" spans="1:14" x14ac:dyDescent="0.3">
      <c r="A7" t="s">
        <v>38</v>
      </c>
      <c r="B7">
        <v>1555</v>
      </c>
      <c r="C7">
        <v>4211.78</v>
      </c>
      <c r="N7">
        <v>2500</v>
      </c>
    </row>
    <row r="8" spans="1:14" x14ac:dyDescent="0.3">
      <c r="A8" t="s">
        <v>39</v>
      </c>
      <c r="B8">
        <v>1514.9</v>
      </c>
      <c r="C8">
        <v>4199.4799999999996</v>
      </c>
    </row>
    <row r="9" spans="1:14" x14ac:dyDescent="0.3">
      <c r="A9" t="s">
        <v>40</v>
      </c>
      <c r="B9">
        <v>1274.0999999999999</v>
      </c>
      <c r="C9">
        <v>3715.55</v>
      </c>
    </row>
    <row r="10" spans="1:14" x14ac:dyDescent="0.3">
      <c r="A10" t="s">
        <v>41</v>
      </c>
      <c r="B10">
        <v>1517.2</v>
      </c>
      <c r="C10">
        <v>4096.95</v>
      </c>
    </row>
    <row r="11" spans="1:14" x14ac:dyDescent="0.3">
      <c r="A11" t="s">
        <v>42</v>
      </c>
      <c r="B11">
        <v>1409.3</v>
      </c>
      <c r="C11">
        <v>3748.36</v>
      </c>
    </row>
    <row r="12" spans="1:14" x14ac:dyDescent="0.3">
      <c r="A12" t="s">
        <v>43</v>
      </c>
      <c r="B12">
        <v>1033.4000000000001</v>
      </c>
      <c r="C12">
        <v>2944.55</v>
      </c>
    </row>
    <row r="13" spans="1:14" x14ac:dyDescent="0.3">
      <c r="A13" t="s">
        <v>44</v>
      </c>
      <c r="B13">
        <v>2030.2</v>
      </c>
      <c r="C13">
        <v>5688.16</v>
      </c>
    </row>
    <row r="14" spans="1:14" x14ac:dyDescent="0.3">
      <c r="A14" t="s">
        <v>45</v>
      </c>
      <c r="B14">
        <v>1957.4</v>
      </c>
      <c r="C14">
        <v>5487.2</v>
      </c>
    </row>
    <row r="15" spans="1:14" x14ac:dyDescent="0.3">
      <c r="A15" t="s">
        <v>46</v>
      </c>
      <c r="B15">
        <v>2109</v>
      </c>
      <c r="C15">
        <v>5782.48</v>
      </c>
    </row>
    <row r="16" spans="1:14" x14ac:dyDescent="0.3">
      <c r="A16" t="s">
        <v>47</v>
      </c>
      <c r="B16">
        <v>1758.8</v>
      </c>
      <c r="C16">
        <v>4802.33</v>
      </c>
    </row>
    <row r="17" spans="1:14" x14ac:dyDescent="0.3">
      <c r="A17" t="s">
        <v>48</v>
      </c>
      <c r="B17">
        <v>2087.6</v>
      </c>
      <c r="C17">
        <v>5643.04</v>
      </c>
    </row>
    <row r="18" spans="1:14" x14ac:dyDescent="0.3">
      <c r="A18" t="s">
        <v>49</v>
      </c>
      <c r="B18">
        <v>2079.1999999999998</v>
      </c>
      <c r="C18">
        <v>5556.92</v>
      </c>
    </row>
    <row r="19" spans="1:14" x14ac:dyDescent="0.3">
      <c r="A19" t="s">
        <v>50</v>
      </c>
      <c r="B19">
        <v>1989.3</v>
      </c>
      <c r="C19">
        <v>5487.2</v>
      </c>
    </row>
    <row r="20" spans="1:14" x14ac:dyDescent="0.3">
      <c r="A20" t="s">
        <v>51</v>
      </c>
      <c r="B20">
        <v>2251.4</v>
      </c>
      <c r="C20">
        <v>6036.75</v>
      </c>
    </row>
    <row r="21" spans="1:14" x14ac:dyDescent="0.3">
      <c r="A21" t="s">
        <v>52</v>
      </c>
      <c r="B21">
        <v>1459.2</v>
      </c>
      <c r="C21">
        <v>4092.85</v>
      </c>
    </row>
    <row r="22" spans="1:14" x14ac:dyDescent="0.3">
      <c r="A22" t="s">
        <v>53</v>
      </c>
      <c r="B22">
        <v>1700.1</v>
      </c>
      <c r="C22">
        <v>4642.3900000000003</v>
      </c>
    </row>
    <row r="23" spans="1:14" x14ac:dyDescent="0.3">
      <c r="A23" t="s">
        <v>54</v>
      </c>
      <c r="B23">
        <v>2007.4</v>
      </c>
      <c r="C23">
        <v>5446.19</v>
      </c>
    </row>
    <row r="24" spans="1:14" x14ac:dyDescent="0.3">
      <c r="A24" t="s">
        <v>55</v>
      </c>
      <c r="B24">
        <v>1947.3</v>
      </c>
      <c r="C24">
        <v>5425.69</v>
      </c>
    </row>
    <row r="25" spans="1:14" x14ac:dyDescent="0.3">
      <c r="A25" t="s">
        <v>56</v>
      </c>
      <c r="B25">
        <v>2015.6</v>
      </c>
      <c r="C25">
        <v>5602.03</v>
      </c>
    </row>
    <row r="26" spans="1:14" x14ac:dyDescent="0.3">
      <c r="A26" t="s">
        <v>57</v>
      </c>
      <c r="B26">
        <v>2040.5</v>
      </c>
      <c r="C26">
        <v>5548.72</v>
      </c>
    </row>
    <row r="27" spans="1:14" x14ac:dyDescent="0.3">
      <c r="A27" t="s">
        <v>58</v>
      </c>
      <c r="B27">
        <v>1719.1</v>
      </c>
      <c r="C27">
        <v>4859.74</v>
      </c>
      <c r="N27">
        <v>0</v>
      </c>
    </row>
    <row r="28" spans="1:14" x14ac:dyDescent="0.3">
      <c r="A28" t="s">
        <v>59</v>
      </c>
      <c r="B28">
        <v>1642.4</v>
      </c>
      <c r="C28">
        <v>4572.67</v>
      </c>
      <c r="N28">
        <v>6000</v>
      </c>
    </row>
    <row r="29" spans="1:14" x14ac:dyDescent="0.3">
      <c r="A29" t="s">
        <v>60</v>
      </c>
      <c r="B29">
        <v>1972.7</v>
      </c>
      <c r="C29">
        <v>5433.89</v>
      </c>
    </row>
    <row r="30" spans="1:14" x14ac:dyDescent="0.3">
      <c r="A30" t="s">
        <v>61</v>
      </c>
      <c r="B30">
        <v>1864.8</v>
      </c>
      <c r="C30">
        <v>5196.03</v>
      </c>
    </row>
    <row r="31" spans="1:14" x14ac:dyDescent="0.3">
      <c r="A31" t="s">
        <v>62</v>
      </c>
      <c r="B31">
        <v>1640.5</v>
      </c>
      <c r="C31">
        <v>4556.2700000000004</v>
      </c>
    </row>
    <row r="32" spans="1:14" x14ac:dyDescent="0.3">
      <c r="A32" t="s">
        <v>63</v>
      </c>
      <c r="B32">
        <v>1876.3</v>
      </c>
      <c r="C32">
        <v>5241.1400000000003</v>
      </c>
    </row>
    <row r="33" spans="1:3" x14ac:dyDescent="0.3">
      <c r="A33" t="s">
        <v>64</v>
      </c>
      <c r="B33">
        <v>1624.9</v>
      </c>
      <c r="C33">
        <v>4519.3599999999997</v>
      </c>
    </row>
    <row r="34" spans="1:3" x14ac:dyDescent="0.3">
      <c r="A34" t="s">
        <v>65</v>
      </c>
      <c r="B34">
        <v>1851.5</v>
      </c>
      <c r="C34">
        <v>5191.93</v>
      </c>
    </row>
    <row r="35" spans="1:3" x14ac:dyDescent="0.3">
      <c r="A35" t="s">
        <v>66</v>
      </c>
      <c r="B35">
        <v>1679</v>
      </c>
      <c r="C35">
        <v>4634.1899999999996</v>
      </c>
    </row>
    <row r="36" spans="1:3" x14ac:dyDescent="0.3">
      <c r="A36" t="s">
        <v>67</v>
      </c>
      <c r="B36">
        <v>1642.3</v>
      </c>
      <c r="C36">
        <v>4453.74</v>
      </c>
    </row>
    <row r="37" spans="1:3" x14ac:dyDescent="0.3">
      <c r="A37" t="s">
        <v>68</v>
      </c>
      <c r="B37">
        <v>882.3</v>
      </c>
      <c r="C37">
        <v>2661.58</v>
      </c>
    </row>
    <row r="38" spans="1:3" x14ac:dyDescent="0.3">
      <c r="A38" t="s">
        <v>69</v>
      </c>
      <c r="B38">
        <v>1142.7</v>
      </c>
      <c r="C38">
        <v>3457.19</v>
      </c>
    </row>
    <row r="39" spans="1:3" x14ac:dyDescent="0.3">
      <c r="A39" t="s">
        <v>70</v>
      </c>
      <c r="B39">
        <v>1686.6</v>
      </c>
      <c r="C39">
        <v>4781.82</v>
      </c>
    </row>
    <row r="40" spans="1:3" x14ac:dyDescent="0.3">
      <c r="A40" t="s">
        <v>71</v>
      </c>
      <c r="B40">
        <v>1613.7</v>
      </c>
      <c r="C40">
        <v>4576.7700000000004</v>
      </c>
    </row>
    <row r="41" spans="1:3" x14ac:dyDescent="0.3">
      <c r="A41" t="s">
        <v>72</v>
      </c>
      <c r="B41">
        <v>1630</v>
      </c>
      <c r="C41">
        <v>4568.57</v>
      </c>
    </row>
    <row r="42" spans="1:3" x14ac:dyDescent="0.3">
      <c r="A42" t="s">
        <v>73</v>
      </c>
      <c r="B42">
        <v>1876.5</v>
      </c>
      <c r="C42">
        <v>5269.85</v>
      </c>
    </row>
    <row r="43" spans="1:3" x14ac:dyDescent="0.3">
      <c r="A43" t="s">
        <v>74</v>
      </c>
      <c r="B43">
        <v>1196.2</v>
      </c>
      <c r="C43">
        <v>3461.29</v>
      </c>
    </row>
    <row r="44" spans="1:3" x14ac:dyDescent="0.3">
      <c r="A44" t="s">
        <v>75</v>
      </c>
      <c r="B44">
        <v>1699.4</v>
      </c>
      <c r="C44">
        <v>4728.51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2023-10-05T14:41:09Z</dcterms:modified>
</cp:coreProperties>
</file>