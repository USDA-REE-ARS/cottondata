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1_F013B4_CO_ISSWC\"/>
    </mc:Choice>
  </mc:AlternateContent>
  <xr:revisionPtr revIDLastSave="0" documentId="13_ncr:1_{3BE06B8D-7A46-4D4A-A3C2-6DC808FDBA70}" xr6:coauthVersionLast="47" xr6:coauthVersionMax="47" xr10:uidLastSave="{00000000-0000-0000-0000-000000000000}"/>
  <bookViews>
    <workbookView xWindow="-1470" yWindow="-24510" windowWidth="17805" windowHeight="20370" activeTab="2" xr2:uid="{00000000-000D-0000-FFFF-FFFF00000000}"/>
  </bookViews>
  <sheets>
    <sheet name="Height" sheetId="9" r:id="rId1"/>
    <sheet name="Width" sheetId="10" r:id="rId2"/>
    <sheet name="Density" sheetId="12" r:id="rId3"/>
    <sheet name="Develop" sheetId="13" r:id="rId4"/>
    <sheet name="Ordering" sheetId="11" r:id="rId5"/>
    <sheet name="Blank Data Sheet" sheetId="1" r:id="rId6"/>
    <sheet name="Height Summary" sheetId="5" r:id="rId7"/>
    <sheet name="Cover Summary" sheetId="7" r:id="rId8"/>
    <sheet name="Averages" sheetId="8" r:id="rId9"/>
    <sheet name="Emergence" sheetId="15" r:id="rId10"/>
    <sheet name="1stLeaf" sheetId="16" r:id="rId11"/>
    <sheet name="Counts1" sheetId="18" r:id="rId12"/>
    <sheet name="Counts2" sheetId="19" r:id="rId13"/>
    <sheet name="Flowering" sheetId="17" r:id="rId14"/>
    <sheet name="NAWFd182" sheetId="20" r:id="rId15"/>
    <sheet name="NAWFd194" sheetId="21" r:id="rId16"/>
    <sheet name="NAWFd200" sheetId="22" r:id="rId17"/>
    <sheet name="NAWFd217" sheetId="23" r:id="rId18"/>
    <sheet name="NAWFd224" sheetId="24" r:id="rId19"/>
    <sheet name="NAWFd238" sheetId="25" r:id="rId20"/>
    <sheet name="NAWFd250" sheetId="26" r:id="rId21"/>
  </sheets>
  <definedNames>
    <definedName name="_xlnm.Print_Area" localSheetId="5">'Blank Data Sheet'!$A$1:$J$152</definedName>
    <definedName name="_xlnm.Print_Area" localSheetId="11">Counts1!$A$1:$N$30</definedName>
    <definedName name="_xlnm.Print_Area" localSheetId="7">'Cover Summary'!$A$1:$M$60</definedName>
    <definedName name="_xlnm.Print_Area" localSheetId="13">Flowering!$A$1:$J$155</definedName>
    <definedName name="_xlnm.Print_Area" localSheetId="6">'Height Summary'!$A$1:$X$84</definedName>
    <definedName name="_xlnm.Print_Area" localSheetId="14">NAWFd182!$A$1:$L$30</definedName>
    <definedName name="_xlnm.Print_Area" localSheetId="15">NAWFd194!$A$1:$L$30</definedName>
    <definedName name="_xlnm.Print_Area" localSheetId="16">NAWFd200!$A$1:$L$30</definedName>
    <definedName name="_xlnm.Print_Area" localSheetId="17">NAWFd217!$A$1:$L$30</definedName>
    <definedName name="_xlnm.Print_Area" localSheetId="18">NAWFd224!$A$1:$L$30</definedName>
    <definedName name="_xlnm.Print_Area" localSheetId="19">NAWFd238!$A$1:$L$30</definedName>
    <definedName name="_xlnm.Print_Area" localSheetId="20">NAWFd250!$A$1:$L$30</definedName>
    <definedName name="_xlnm.Print_Titles" localSheetId="10">'1stLeaf'!$12:$12</definedName>
    <definedName name="_xlnm.Print_Titles" localSheetId="5">'Blank Data Sheet'!$8:$8</definedName>
    <definedName name="_xlnm.Print_Titles" localSheetId="11">Counts1!$5:$6</definedName>
    <definedName name="_xlnm.Print_Titles" localSheetId="7">'Cover Summary'!$12:$12</definedName>
    <definedName name="_xlnm.Print_Titles" localSheetId="9">Emergence!$12:$12</definedName>
    <definedName name="_xlnm.Print_Titles" localSheetId="13">Flowering!$11:$11</definedName>
    <definedName name="_xlnm.Print_Titles" localSheetId="6">'Height Summary'!$12:$12</definedName>
    <definedName name="_xlnm.Print_Titles" localSheetId="14">NAWFd182!$6:$6</definedName>
    <definedName name="_xlnm.Print_Titles" localSheetId="15">NAWFd194!$6:$6</definedName>
    <definedName name="_xlnm.Print_Titles" localSheetId="16">NAWFd200!$6:$6</definedName>
    <definedName name="_xlnm.Print_Titles" localSheetId="17">NAWFd217!$6:$6</definedName>
    <definedName name="_xlnm.Print_Titles" localSheetId="18">NAWFd224!$6:$6</definedName>
    <definedName name="_xlnm.Print_Titles" localSheetId="19">NAWFd238!$6:$6</definedName>
    <definedName name="_xlnm.Print_Titles" localSheetId="20">NAWFd250!$6:$6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26" l="1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M42" i="25"/>
  <c r="M43" i="25"/>
  <c r="M44" i="25"/>
  <c r="M45" i="25"/>
  <c r="M46" i="25"/>
  <c r="M47" i="25"/>
  <c r="M48" i="25"/>
  <c r="M49" i="25"/>
  <c r="M50" i="25"/>
  <c r="M51" i="25"/>
  <c r="M52" i="25"/>
  <c r="M53" i="25"/>
  <c r="M54" i="25"/>
  <c r="M7" i="24"/>
  <c r="M8" i="24"/>
  <c r="L9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G4" i="19" l="1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3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G7" i="18"/>
  <c r="N7" i="18"/>
  <c r="G8" i="18"/>
  <c r="N8" i="18"/>
  <c r="G9" i="18"/>
  <c r="N9" i="18"/>
  <c r="G10" i="18"/>
  <c r="N10" i="18"/>
  <c r="G11" i="18"/>
  <c r="N11" i="18"/>
  <c r="G12" i="18"/>
  <c r="N12" i="18"/>
  <c r="G13" i="18"/>
  <c r="N13" i="18"/>
  <c r="G14" i="18"/>
  <c r="R27" i="18" s="1"/>
  <c r="S27" i="18" s="1"/>
  <c r="N14" i="18"/>
  <c r="G15" i="18"/>
  <c r="N15" i="18"/>
  <c r="G16" i="18"/>
  <c r="N16" i="18"/>
  <c r="G17" i="18"/>
  <c r="N17" i="18"/>
  <c r="G18" i="18"/>
  <c r="G32" i="18" s="1"/>
  <c r="N18" i="18"/>
  <c r="N32" i="18" s="1"/>
  <c r="G19" i="18"/>
  <c r="R26" i="18" s="1"/>
  <c r="S26" i="18" s="1"/>
  <c r="N19" i="18"/>
  <c r="G20" i="18"/>
  <c r="N20" i="18"/>
  <c r="G21" i="18"/>
  <c r="N21" i="18"/>
  <c r="G22" i="18"/>
  <c r="N22" i="18"/>
  <c r="G23" i="18"/>
  <c r="N23" i="18"/>
  <c r="G24" i="18"/>
  <c r="N24" i="18"/>
  <c r="G25" i="18"/>
  <c r="N25" i="18"/>
  <c r="G26" i="18"/>
  <c r="N26" i="18"/>
  <c r="G27" i="18"/>
  <c r="N27" i="18"/>
  <c r="G28" i="18"/>
  <c r="N28" i="18"/>
  <c r="G29" i="18"/>
  <c r="N29" i="18"/>
  <c r="G30" i="18"/>
  <c r="N30" i="18"/>
  <c r="O32" i="18" l="1"/>
  <c r="O33" i="18" s="1"/>
  <c r="L154" i="17" l="1"/>
  <c r="L151" i="17"/>
  <c r="L148" i="17"/>
  <c r="L145" i="17"/>
  <c r="L142" i="17"/>
  <c r="L139" i="17"/>
  <c r="L136" i="17"/>
  <c r="L133" i="17"/>
  <c r="L130" i="17"/>
  <c r="L127" i="17"/>
  <c r="L124" i="17"/>
  <c r="L121" i="17"/>
  <c r="L118" i="17"/>
  <c r="L115" i="17"/>
  <c r="L112" i="17"/>
  <c r="L110" i="17"/>
  <c r="L109" i="17"/>
  <c r="L108" i="17"/>
  <c r="L106" i="17"/>
  <c r="L103" i="17"/>
  <c r="L100" i="17"/>
  <c r="L97" i="17"/>
  <c r="L94" i="17"/>
  <c r="L91" i="17"/>
  <c r="L88" i="17"/>
  <c r="L85" i="17"/>
  <c r="L83" i="17"/>
  <c r="L82" i="17"/>
  <c r="L81" i="17"/>
  <c r="L80" i="17"/>
  <c r="L79" i="17"/>
  <c r="L78" i="17"/>
  <c r="L76" i="17"/>
  <c r="L73" i="17"/>
  <c r="L70" i="17"/>
  <c r="L67" i="17"/>
  <c r="L64" i="17"/>
  <c r="L61" i="17"/>
  <c r="L58" i="17"/>
  <c r="L55" i="17"/>
  <c r="L52" i="17"/>
  <c r="L49" i="17"/>
  <c r="L46" i="17"/>
  <c r="L43" i="17"/>
  <c r="L40" i="17"/>
  <c r="L37" i="17"/>
  <c r="L34" i="17"/>
  <c r="L31" i="17"/>
  <c r="L28" i="17"/>
  <c r="L25" i="17"/>
  <c r="L22" i="17"/>
  <c r="L19" i="17"/>
  <c r="L16" i="17"/>
  <c r="L13" i="17"/>
  <c r="K17" i="16"/>
  <c r="L17" i="16"/>
  <c r="K18" i="16"/>
  <c r="L18" i="16"/>
  <c r="K19" i="16"/>
  <c r="L19" i="16"/>
  <c r="K20" i="16"/>
  <c r="L20" i="16"/>
  <c r="K21" i="16"/>
  <c r="L21" i="16"/>
  <c r="K22" i="16"/>
  <c r="L22" i="16"/>
  <c r="K23" i="16"/>
  <c r="L23" i="16"/>
  <c r="K24" i="16"/>
  <c r="L24" i="16"/>
  <c r="K25" i="16"/>
  <c r="L25" i="16"/>
  <c r="K26" i="16"/>
  <c r="L26" i="16"/>
  <c r="K27" i="16"/>
  <c r="L27" i="16"/>
  <c r="K28" i="16"/>
  <c r="L28" i="16"/>
  <c r="K29" i="16"/>
  <c r="L29" i="16"/>
  <c r="K30" i="16"/>
  <c r="L30" i="16"/>
  <c r="K31" i="16"/>
  <c r="L31" i="16"/>
  <c r="K32" i="16"/>
  <c r="L32" i="16"/>
  <c r="K33" i="16"/>
  <c r="L33" i="16"/>
  <c r="K34" i="16"/>
  <c r="L34" i="16"/>
  <c r="K35" i="16"/>
  <c r="L35" i="16"/>
  <c r="K36" i="16"/>
  <c r="L36" i="16"/>
  <c r="K37" i="16"/>
  <c r="L37" i="16"/>
  <c r="K38" i="16"/>
  <c r="L38" i="16"/>
  <c r="K39" i="16"/>
  <c r="L39" i="16"/>
  <c r="K40" i="16"/>
  <c r="L40" i="16"/>
  <c r="K41" i="16"/>
  <c r="L41" i="16"/>
  <c r="K42" i="16"/>
  <c r="L42" i="16"/>
  <c r="K43" i="16"/>
  <c r="K44" i="16"/>
  <c r="L44" i="16"/>
  <c r="K45" i="16"/>
  <c r="L45" i="16"/>
  <c r="K46" i="16"/>
  <c r="L46" i="16"/>
  <c r="K47" i="16"/>
  <c r="L47" i="16"/>
  <c r="K48" i="16"/>
  <c r="L48" i="16"/>
  <c r="K49" i="16"/>
  <c r="L49" i="16"/>
  <c r="K50" i="16"/>
  <c r="L50" i="16"/>
  <c r="K51" i="16"/>
  <c r="L51" i="16"/>
  <c r="K52" i="16"/>
  <c r="L52" i="16"/>
  <c r="K53" i="16"/>
  <c r="L53" i="16"/>
  <c r="K54" i="16"/>
  <c r="L54" i="16"/>
  <c r="K55" i="16"/>
  <c r="L55" i="16"/>
  <c r="K56" i="16"/>
  <c r="L56" i="16"/>
  <c r="K57" i="16"/>
  <c r="L57" i="16"/>
  <c r="K58" i="16"/>
  <c r="L58" i="16"/>
  <c r="K59" i="16"/>
  <c r="L59" i="16"/>
  <c r="K60" i="16"/>
  <c r="L60" i="16"/>
  <c r="K61" i="16"/>
  <c r="L61" i="16"/>
  <c r="K62" i="16"/>
  <c r="L62" i="16"/>
  <c r="K63" i="16"/>
  <c r="L63" i="16"/>
  <c r="L16" i="16"/>
  <c r="K16" i="16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72" i="15"/>
  <c r="E65" i="15" l="1"/>
  <c r="G65" i="15"/>
  <c r="I65" i="15"/>
  <c r="K65" i="15"/>
  <c r="M65" i="15"/>
  <c r="N65" i="15"/>
  <c r="O65" i="15"/>
  <c r="E66" i="15"/>
  <c r="G66" i="15"/>
  <c r="I66" i="15"/>
  <c r="K66" i="15"/>
  <c r="M66" i="15"/>
  <c r="N66" i="15"/>
  <c r="O66" i="15"/>
  <c r="E67" i="15"/>
  <c r="G67" i="15"/>
  <c r="I67" i="15"/>
  <c r="K67" i="15"/>
  <c r="M67" i="15"/>
  <c r="N67" i="15"/>
  <c r="O67" i="15"/>
  <c r="D1" i="11" l="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N34" i="8" l="1"/>
  <c r="M34" i="8"/>
  <c r="L34" i="8"/>
  <c r="K34" i="8"/>
  <c r="J34" i="8"/>
  <c r="I34" i="8"/>
  <c r="H34" i="8"/>
  <c r="F34" i="8"/>
  <c r="E34" i="8"/>
  <c r="D34" i="8"/>
  <c r="Q97" i="5" l="1"/>
  <c r="Q96" i="5"/>
  <c r="L11" i="8" l="1"/>
  <c r="AA13" i="8"/>
  <c r="AA17" i="8"/>
  <c r="L13" i="8"/>
  <c r="L7" i="8"/>
  <c r="AA11" i="8"/>
  <c r="L15" i="8"/>
  <c r="L9" i="8"/>
  <c r="Y17" i="8"/>
  <c r="J15" i="8"/>
  <c r="J17" i="8"/>
  <c r="J13" i="8"/>
  <c r="Y7" i="8"/>
  <c r="Y13" i="8"/>
  <c r="H7" i="8"/>
  <c r="W17" i="8"/>
  <c r="W11" i="8"/>
  <c r="H11" i="8"/>
  <c r="H17" i="8"/>
  <c r="H13" i="8"/>
  <c r="W9" i="8"/>
  <c r="W13" i="8"/>
  <c r="H15" i="8"/>
  <c r="W7" i="8"/>
  <c r="W15" i="8"/>
  <c r="E13" i="8"/>
  <c r="E9" i="8"/>
  <c r="T13" i="8"/>
  <c r="E7" i="8"/>
  <c r="T17" i="8"/>
  <c r="T11" i="8"/>
  <c r="U15" i="8"/>
  <c r="F15" i="8"/>
  <c r="E11" i="8"/>
  <c r="AC23" i="8"/>
  <c r="AB23" i="8"/>
  <c r="AA23" i="8"/>
  <c r="Z23" i="8"/>
  <c r="Y23" i="8"/>
  <c r="X23" i="8"/>
  <c r="W23" i="8"/>
  <c r="V23" i="8"/>
  <c r="U23" i="8"/>
  <c r="T23" i="8"/>
  <c r="AC22" i="8"/>
  <c r="AB22" i="8"/>
  <c r="AA22" i="8"/>
  <c r="Z22" i="8"/>
  <c r="Y22" i="8"/>
  <c r="X22" i="8"/>
  <c r="W22" i="8"/>
  <c r="V22" i="8"/>
  <c r="U22" i="8"/>
  <c r="T22" i="8"/>
  <c r="S23" i="8"/>
  <c r="S22" i="8"/>
  <c r="AC34" i="8"/>
  <c r="AB34" i="8"/>
  <c r="AA34" i="8"/>
  <c r="Z34" i="8"/>
  <c r="Y34" i="8"/>
  <c r="X34" i="8"/>
  <c r="W34" i="8"/>
  <c r="V34" i="8"/>
  <c r="U34" i="8"/>
  <c r="T34" i="8"/>
  <c r="S34" i="8"/>
  <c r="AC32" i="8"/>
  <c r="AB32" i="8"/>
  <c r="AA32" i="8"/>
  <c r="Z32" i="8"/>
  <c r="Y32" i="8"/>
  <c r="X32" i="8"/>
  <c r="W32" i="8"/>
  <c r="V32" i="8"/>
  <c r="U32" i="8"/>
  <c r="T32" i="8"/>
  <c r="S32" i="8"/>
  <c r="AC30" i="8"/>
  <c r="AB30" i="8"/>
  <c r="AA30" i="8"/>
  <c r="Z30" i="8"/>
  <c r="Y30" i="8"/>
  <c r="X30" i="8"/>
  <c r="W30" i="8"/>
  <c r="V30" i="8"/>
  <c r="U30" i="8"/>
  <c r="T30" i="8"/>
  <c r="S30" i="8"/>
  <c r="AC28" i="8"/>
  <c r="AB28" i="8"/>
  <c r="AA28" i="8"/>
  <c r="Z28" i="8"/>
  <c r="Y28" i="8"/>
  <c r="X28" i="8"/>
  <c r="W28" i="8"/>
  <c r="V28" i="8"/>
  <c r="U28" i="8"/>
  <c r="T28" i="8"/>
  <c r="S28" i="8"/>
  <c r="AC26" i="8"/>
  <c r="AB26" i="8"/>
  <c r="AA26" i="8"/>
  <c r="Z26" i="8"/>
  <c r="Y26" i="8"/>
  <c r="X26" i="8"/>
  <c r="W26" i="8"/>
  <c r="V26" i="8"/>
  <c r="U26" i="8"/>
  <c r="T26" i="8"/>
  <c r="S26" i="8"/>
  <c r="AC24" i="8"/>
  <c r="AB24" i="8"/>
  <c r="AA24" i="8"/>
  <c r="Z24" i="8"/>
  <c r="Y24" i="8"/>
  <c r="X24" i="8"/>
  <c r="W24" i="8"/>
  <c r="V24" i="8"/>
  <c r="U24" i="8"/>
  <c r="T24" i="8"/>
  <c r="S24" i="8"/>
  <c r="N32" i="8"/>
  <c r="M32" i="8"/>
  <c r="L32" i="8"/>
  <c r="K32" i="8"/>
  <c r="J32" i="8"/>
  <c r="I32" i="8"/>
  <c r="H32" i="8"/>
  <c r="N30" i="8"/>
  <c r="M30" i="8"/>
  <c r="L30" i="8"/>
  <c r="K30" i="8"/>
  <c r="J30" i="8"/>
  <c r="I30" i="8"/>
  <c r="H30" i="8"/>
  <c r="N28" i="8"/>
  <c r="M28" i="8"/>
  <c r="L28" i="8"/>
  <c r="K28" i="8"/>
  <c r="J28" i="8"/>
  <c r="I28" i="8"/>
  <c r="H28" i="8"/>
  <c r="N26" i="8"/>
  <c r="M26" i="8"/>
  <c r="L26" i="8"/>
  <c r="K26" i="8"/>
  <c r="J26" i="8"/>
  <c r="I26" i="8"/>
  <c r="H26" i="8"/>
  <c r="N24" i="8"/>
  <c r="M24" i="8"/>
  <c r="L24" i="8"/>
  <c r="K24" i="8"/>
  <c r="J24" i="8"/>
  <c r="I24" i="8"/>
  <c r="H24" i="8"/>
  <c r="N23" i="8"/>
  <c r="M23" i="8"/>
  <c r="L23" i="8"/>
  <c r="K23" i="8"/>
  <c r="J23" i="8"/>
  <c r="I23" i="8"/>
  <c r="H23" i="8"/>
  <c r="N22" i="8"/>
  <c r="M22" i="8"/>
  <c r="L22" i="8"/>
  <c r="K22" i="8"/>
  <c r="J22" i="8"/>
  <c r="I22" i="8"/>
  <c r="H22" i="8"/>
  <c r="F32" i="8"/>
  <c r="E32" i="8"/>
  <c r="D32" i="8"/>
  <c r="F30" i="8"/>
  <c r="E30" i="8"/>
  <c r="D30" i="8"/>
  <c r="F28" i="8"/>
  <c r="E28" i="8"/>
  <c r="D28" i="8"/>
  <c r="F26" i="8"/>
  <c r="E26" i="8"/>
  <c r="D26" i="8"/>
  <c r="F24" i="8"/>
  <c r="E24" i="8"/>
  <c r="D24" i="8"/>
  <c r="F23" i="8"/>
  <c r="E23" i="8"/>
  <c r="D23" i="8"/>
  <c r="F22" i="8"/>
  <c r="E22" i="8"/>
  <c r="D22" i="8"/>
  <c r="G24" i="8"/>
  <c r="AC17" i="8"/>
  <c r="AB17" i="8"/>
  <c r="Z17" i="8"/>
  <c r="X17" i="8"/>
  <c r="AC15" i="8"/>
  <c r="AB15" i="8"/>
  <c r="Z15" i="8"/>
  <c r="Y15" i="8"/>
  <c r="X15" i="8"/>
  <c r="AC13" i="8"/>
  <c r="AB13" i="8"/>
  <c r="Z13" i="8"/>
  <c r="X13" i="8"/>
  <c r="AC11" i="8"/>
  <c r="AB11" i="8"/>
  <c r="Z11" i="8"/>
  <c r="Y11" i="8"/>
  <c r="X11" i="8"/>
  <c r="AC9" i="8"/>
  <c r="AB9" i="8"/>
  <c r="AA9" i="8"/>
  <c r="Z9" i="8"/>
  <c r="Y9" i="8"/>
  <c r="X9" i="8"/>
  <c r="AC7" i="8"/>
  <c r="AB7" i="8"/>
  <c r="AA7" i="8"/>
  <c r="Z7" i="8"/>
  <c r="X7" i="8"/>
  <c r="AC6" i="8"/>
  <c r="AB6" i="8"/>
  <c r="AA6" i="8"/>
  <c r="Z6" i="8"/>
  <c r="Y6" i="8"/>
  <c r="X6" i="8"/>
  <c r="W6" i="8"/>
  <c r="AC5" i="8"/>
  <c r="AB5" i="8"/>
  <c r="AA5" i="8"/>
  <c r="Z5" i="8"/>
  <c r="Y5" i="8"/>
  <c r="X5" i="8"/>
  <c r="W5" i="8"/>
  <c r="T15" i="8"/>
  <c r="T7" i="8"/>
  <c r="U6" i="8"/>
  <c r="T6" i="8"/>
  <c r="U5" i="8"/>
  <c r="T5" i="8"/>
  <c r="S17" i="8"/>
  <c r="S15" i="8"/>
  <c r="S13" i="8"/>
  <c r="S11" i="8"/>
  <c r="S9" i="8"/>
  <c r="S7" i="8"/>
  <c r="S6" i="8"/>
  <c r="S5" i="8"/>
  <c r="V17" i="8"/>
  <c r="V15" i="8"/>
  <c r="V13" i="8"/>
  <c r="V11" i="8"/>
  <c r="V9" i="8"/>
  <c r="V7" i="8"/>
  <c r="N17" i="8"/>
  <c r="M17" i="8"/>
  <c r="L17" i="8"/>
  <c r="K17" i="8"/>
  <c r="I17" i="8"/>
  <c r="N15" i="8"/>
  <c r="M15" i="8"/>
  <c r="K15" i="8"/>
  <c r="I15" i="8"/>
  <c r="N13" i="8"/>
  <c r="M13" i="8"/>
  <c r="K13" i="8"/>
  <c r="I13" i="8"/>
  <c r="N11" i="8"/>
  <c r="M11" i="8"/>
  <c r="K11" i="8"/>
  <c r="J11" i="8"/>
  <c r="I11" i="8"/>
  <c r="N9" i="8"/>
  <c r="M9" i="8"/>
  <c r="K9" i="8"/>
  <c r="J9" i="8"/>
  <c r="I9" i="8"/>
  <c r="H9" i="8"/>
  <c r="N7" i="8"/>
  <c r="M7" i="8"/>
  <c r="K7" i="8"/>
  <c r="J7" i="8"/>
  <c r="I7" i="8"/>
  <c r="N6" i="8"/>
  <c r="M6" i="8"/>
  <c r="L6" i="8"/>
  <c r="K6" i="8"/>
  <c r="J6" i="8"/>
  <c r="I6" i="8"/>
  <c r="H6" i="8"/>
  <c r="N5" i="8"/>
  <c r="M5" i="8"/>
  <c r="L5" i="8"/>
  <c r="K5" i="8"/>
  <c r="J5" i="8"/>
  <c r="I5" i="8"/>
  <c r="H5" i="8"/>
  <c r="F6" i="8"/>
  <c r="F5" i="8"/>
  <c r="E15" i="8"/>
  <c r="E6" i="8"/>
  <c r="E5" i="8"/>
  <c r="D17" i="8"/>
  <c r="D15" i="8"/>
  <c r="D13" i="8"/>
  <c r="D11" i="8"/>
  <c r="D9" i="8"/>
  <c r="D7" i="8"/>
  <c r="D6" i="8"/>
  <c r="D5" i="8"/>
  <c r="G7" i="8"/>
  <c r="G5" i="8"/>
  <c r="G6" i="8"/>
  <c r="V5" i="8"/>
  <c r="V6" i="8"/>
  <c r="AA15" i="8" l="1"/>
  <c r="E17" i="8"/>
  <c r="U7" i="8"/>
  <c r="U9" i="8"/>
  <c r="F11" i="8"/>
  <c r="U17" i="8"/>
  <c r="T9" i="8"/>
  <c r="F17" i="8"/>
  <c r="U11" i="8"/>
  <c r="F7" i="8"/>
  <c r="U13" i="8"/>
  <c r="F9" i="8"/>
  <c r="F13" i="8"/>
  <c r="G17" i="8" l="1"/>
  <c r="G23" i="8"/>
  <c r="G22" i="8"/>
  <c r="G34" i="8"/>
  <c r="G32" i="8"/>
  <c r="G30" i="8"/>
  <c r="G28" i="8"/>
  <c r="G26" i="8"/>
  <c r="G9" i="8" l="1"/>
  <c r="G11" i="8"/>
  <c r="G13" i="8"/>
  <c r="G15" i="8"/>
</calcChain>
</file>

<file path=xl/sharedStrings.xml><?xml version="1.0" encoding="utf-8"?>
<sst xmlns="http://schemas.openxmlformats.org/spreadsheetml/2006/main" count="3751" uniqueCount="449">
  <si>
    <t>01-</t>
  </si>
  <si>
    <t>02-</t>
  </si>
  <si>
    <t>03-</t>
  </si>
  <si>
    <t>04-</t>
  </si>
  <si>
    <t>05-</t>
  </si>
  <si>
    <t>06-</t>
  </si>
  <si>
    <t>Cotton</t>
  </si>
  <si>
    <t>Plot</t>
  </si>
  <si>
    <t>date:</t>
  </si>
  <si>
    <t>Canopy Heights &amp; Widths</t>
  </si>
  <si>
    <t>North</t>
  </si>
  <si>
    <t>South</t>
  </si>
  <si>
    <t>Flag</t>
  </si>
  <si>
    <t>by:</t>
  </si>
  <si>
    <t>time:</t>
  </si>
  <si>
    <t>Canopy Height (cm)</t>
  </si>
  <si>
    <t>Canopy Width (cm)</t>
  </si>
  <si>
    <t>doy:</t>
  </si>
  <si>
    <t>Summary</t>
  </si>
  <si>
    <t>Canopy Heights - Summary</t>
  </si>
  <si>
    <t>Height (cm)</t>
  </si>
  <si>
    <t>Averages by treatments</t>
  </si>
  <si>
    <t>Average Canopy Heights</t>
  </si>
  <si>
    <t>Average Canopy Widths</t>
  </si>
  <si>
    <t>TRT</t>
  </si>
  <si>
    <t>F13b4</t>
  </si>
  <si>
    <t>Initials:</t>
  </si>
  <si>
    <t>Date:</t>
  </si>
  <si>
    <t>Time:</t>
  </si>
  <si>
    <t>DOY:</t>
  </si>
  <si>
    <t>NAWF</t>
  </si>
  <si>
    <t>"--" = closed canopy</t>
  </si>
  <si>
    <t xml:space="preserve"> </t>
  </si>
  <si>
    <t>Canopy Height &amp; LAI flags may not be exactly at the GPS points - I adjusted depending on skips in rows. SMM</t>
  </si>
  <si>
    <t>Mid</t>
  </si>
  <si>
    <t>07-</t>
  </si>
  <si>
    <t>08-</t>
  </si>
  <si>
    <t>09-</t>
  </si>
  <si>
    <t>10-</t>
  </si>
  <si>
    <t>11-</t>
  </si>
  <si>
    <t>12-</t>
  </si>
  <si>
    <t>At both the Canopy Measurement points and the LAI measurement point.</t>
  </si>
  <si>
    <t xml:space="preserve">Canopy Heights/LAI in row 5. Three measurements per plot. </t>
  </si>
  <si>
    <t>NG3195</t>
  </si>
  <si>
    <t>AQC</t>
  </si>
  <si>
    <t>AQC-N</t>
  </si>
  <si>
    <t>CSM</t>
  </si>
  <si>
    <t>CSM-N</t>
  </si>
  <si>
    <t>FAO</t>
  </si>
  <si>
    <t>FAO-N</t>
  </si>
  <si>
    <t>NG4936</t>
  </si>
  <si>
    <t>SMM</t>
  </si>
  <si>
    <t>1015-1130</t>
  </si>
  <si>
    <t>1130-1245</t>
  </si>
  <si>
    <t>Variety</t>
  </si>
  <si>
    <t>1430-1600</t>
  </si>
  <si>
    <t>1000-1245</t>
  </si>
  <si>
    <t>1000-1315</t>
  </si>
  <si>
    <t>0915-1300</t>
  </si>
  <si>
    <t>0930-1245</t>
  </si>
  <si>
    <t>0930-1230</t>
  </si>
  <si>
    <t>0900-1330</t>
  </si>
  <si>
    <t>--</t>
  </si>
  <si>
    <t>1000-1130</t>
  </si>
  <si>
    <t>0945-1145</t>
  </si>
  <si>
    <t>__</t>
  </si>
  <si>
    <t>1000-1115</t>
  </si>
  <si>
    <t>1030-1200</t>
  </si>
  <si>
    <t>calculated</t>
  </si>
  <si>
    <t>Removed</t>
  </si>
  <si>
    <t>data 9/18/2024</t>
  </si>
  <si>
    <t>p12-4S</t>
  </si>
  <si>
    <t>p12-4M</t>
  </si>
  <si>
    <t>p12-4N</t>
  </si>
  <si>
    <t>p12-3S</t>
  </si>
  <si>
    <t>p12-3M</t>
  </si>
  <si>
    <t>p12-3N</t>
  </si>
  <si>
    <t>p12-2S</t>
  </si>
  <si>
    <t>p12-2M</t>
  </si>
  <si>
    <t>p12-2N</t>
  </si>
  <si>
    <t>p12-1S</t>
  </si>
  <si>
    <t>p12-1M</t>
  </si>
  <si>
    <t>p12-1N</t>
  </si>
  <si>
    <t>p11-4S</t>
  </si>
  <si>
    <t>p11-4M</t>
  </si>
  <si>
    <t>p11-4N</t>
  </si>
  <si>
    <t>p11-3S</t>
  </si>
  <si>
    <t>p11-3M</t>
  </si>
  <si>
    <t>p11-3N</t>
  </si>
  <si>
    <t>p11-2S</t>
  </si>
  <si>
    <t>p11-2M</t>
  </si>
  <si>
    <t>p11-2N</t>
  </si>
  <si>
    <t>p11-1S</t>
  </si>
  <si>
    <t>p11-1M</t>
  </si>
  <si>
    <t>p11-1N</t>
  </si>
  <si>
    <t>p10-4S</t>
  </si>
  <si>
    <t>p10-4M</t>
  </si>
  <si>
    <t>p10-4N</t>
  </si>
  <si>
    <t>p10-3S</t>
  </si>
  <si>
    <t>p10-3M</t>
  </si>
  <si>
    <t>p10-3N</t>
  </si>
  <si>
    <t>p10-2S</t>
  </si>
  <si>
    <t>p10-2M</t>
  </si>
  <si>
    <t>p10-2N</t>
  </si>
  <si>
    <t>p10-1S</t>
  </si>
  <si>
    <t>p10-1M</t>
  </si>
  <si>
    <t>p10-1N</t>
  </si>
  <si>
    <t>p09-4S</t>
  </si>
  <si>
    <t>p09-4M</t>
  </si>
  <si>
    <t>p09-4N</t>
  </si>
  <si>
    <t>p09-3S</t>
  </si>
  <si>
    <t>p09-3M</t>
  </si>
  <si>
    <t>p09-3N</t>
  </si>
  <si>
    <t>p09-2S</t>
  </si>
  <si>
    <t>p09-2M</t>
  </si>
  <si>
    <t>p09-2N</t>
  </si>
  <si>
    <t>p09-1S</t>
  </si>
  <si>
    <t>p09-1M</t>
  </si>
  <si>
    <t>p09-1N</t>
  </si>
  <si>
    <t>p08-4S</t>
  </si>
  <si>
    <t>p08-4M</t>
  </si>
  <si>
    <t>p08-4N</t>
  </si>
  <si>
    <t>p08-3S</t>
  </si>
  <si>
    <t>p08-3M</t>
  </si>
  <si>
    <t>p08-3N</t>
  </si>
  <si>
    <t>p08-2S</t>
  </si>
  <si>
    <t>p08-2M</t>
  </si>
  <si>
    <t>p08-2N</t>
  </si>
  <si>
    <t>p08-1S</t>
  </si>
  <si>
    <t>p08-1M</t>
  </si>
  <si>
    <t>p08-1N</t>
  </si>
  <si>
    <t>p07-4S</t>
  </si>
  <si>
    <t>p07-4M</t>
  </si>
  <si>
    <t>p07-4N</t>
  </si>
  <si>
    <t>p07-3S</t>
  </si>
  <si>
    <t>p07-3M</t>
  </si>
  <si>
    <t>p07-3N</t>
  </si>
  <si>
    <t>p07-2S</t>
  </si>
  <si>
    <t>p07-2M</t>
  </si>
  <si>
    <t>p07-2N</t>
  </si>
  <si>
    <t>p07-1S</t>
  </si>
  <si>
    <t>p07-1M</t>
  </si>
  <si>
    <t>p07-1N</t>
  </si>
  <si>
    <t>p06-4S</t>
  </si>
  <si>
    <t>p06-4M</t>
  </si>
  <si>
    <t>p06-4N</t>
  </si>
  <si>
    <t>p06-3S</t>
  </si>
  <si>
    <t>p06-3M</t>
  </si>
  <si>
    <t>p06-3N</t>
  </si>
  <si>
    <t>p06-2S</t>
  </si>
  <si>
    <t>p06-2M</t>
  </si>
  <si>
    <t>p06-2N</t>
  </si>
  <si>
    <t>p06-1S</t>
  </si>
  <si>
    <t>p06-1M</t>
  </si>
  <si>
    <t>p06-1N</t>
  </si>
  <si>
    <t>p05-4S</t>
  </si>
  <si>
    <t>p05-4M</t>
  </si>
  <si>
    <t>p05-4N</t>
  </si>
  <si>
    <t>p05-3S</t>
  </si>
  <si>
    <t>p05-3M</t>
  </si>
  <si>
    <t>p05-3N</t>
  </si>
  <si>
    <t>p05-2S</t>
  </si>
  <si>
    <t>p05-2M</t>
  </si>
  <si>
    <t>p05-2N</t>
  </si>
  <si>
    <t>p05-1S</t>
  </si>
  <si>
    <t>p05-1M</t>
  </si>
  <si>
    <t>p05-1N</t>
  </si>
  <si>
    <t>p04-4S</t>
  </si>
  <si>
    <t>p04-4M</t>
  </si>
  <si>
    <t>p04-4N</t>
  </si>
  <si>
    <t>p04-3S</t>
  </si>
  <si>
    <t>p04-3M</t>
  </si>
  <si>
    <t>p04-3N</t>
  </si>
  <si>
    <t>p04-2S</t>
  </si>
  <si>
    <t>p04-2M</t>
  </si>
  <si>
    <t>p04-2N</t>
  </si>
  <si>
    <t>p04-1S</t>
  </si>
  <si>
    <t>p04-1M</t>
  </si>
  <si>
    <t>p04-1N</t>
  </si>
  <si>
    <t>p03-4S</t>
  </si>
  <si>
    <t>p03-4M</t>
  </si>
  <si>
    <t>p03-4N</t>
  </si>
  <si>
    <t>p03-3S</t>
  </si>
  <si>
    <t>p03-3M</t>
  </si>
  <si>
    <t>p03-3N</t>
  </si>
  <si>
    <t>p03-2S</t>
  </si>
  <si>
    <t>p03-2M</t>
  </si>
  <si>
    <t>p03-2N</t>
  </si>
  <si>
    <t>p03-1S</t>
  </si>
  <si>
    <t>p03-1M</t>
  </si>
  <si>
    <t>p03-1N</t>
  </si>
  <si>
    <t>p02-4S</t>
  </si>
  <si>
    <t>p02-4M</t>
  </si>
  <si>
    <t>p02-4N</t>
  </si>
  <si>
    <t>p02-3S</t>
  </si>
  <si>
    <t>p02-3M</t>
  </si>
  <si>
    <t>p02-3N</t>
  </si>
  <si>
    <t>p02-2S</t>
  </si>
  <si>
    <t>p02-2M</t>
  </si>
  <si>
    <t>p02-2N</t>
  </si>
  <si>
    <t>p02-1S</t>
  </si>
  <si>
    <t>p02-1M</t>
  </si>
  <si>
    <t>p02-1N</t>
  </si>
  <si>
    <t>p01-4S</t>
  </si>
  <si>
    <t>p01-4M</t>
  </si>
  <si>
    <t>p01-4N</t>
  </si>
  <si>
    <t>p01-3S</t>
  </si>
  <si>
    <t>p01-3M</t>
  </si>
  <si>
    <t>p01-3N</t>
  </si>
  <si>
    <t>p01-2S</t>
  </si>
  <si>
    <t>p01-2M</t>
  </si>
  <si>
    <t>p01-2N</t>
  </si>
  <si>
    <t>p01-1S</t>
  </si>
  <si>
    <t>p01-1M</t>
  </si>
  <si>
    <t>p01-1N</t>
  </si>
  <si>
    <t>DOY250</t>
  </si>
  <si>
    <t>DOY231</t>
  </si>
  <si>
    <t>DOY224</t>
  </si>
  <si>
    <t>DOY217</t>
  </si>
  <si>
    <t>DOY200</t>
  </si>
  <si>
    <t>DOY194</t>
  </si>
  <si>
    <t>DOY182</t>
  </si>
  <si>
    <t>DOY175</t>
  </si>
  <si>
    <t>DOY168</t>
  </si>
  <si>
    <t>DOY158</t>
  </si>
  <si>
    <t>DOY152</t>
  </si>
  <si>
    <t>N</t>
  </si>
  <si>
    <t>M</t>
  </si>
  <si>
    <t>S</t>
  </si>
  <si>
    <t>CCID</t>
  </si>
  <si>
    <t>Ave NG4936:</t>
  </si>
  <si>
    <t>Ave NG3195:</t>
  </si>
  <si>
    <t>Ave:</t>
  </si>
  <si>
    <t>11-1</t>
  </si>
  <si>
    <t>24a</t>
  </si>
  <si>
    <t>Northeast corner of span 4</t>
  </si>
  <si>
    <t>12-1</t>
  </si>
  <si>
    <t>24b</t>
  </si>
  <si>
    <t>12-2</t>
  </si>
  <si>
    <t>23b</t>
  </si>
  <si>
    <t>11-2</t>
  </si>
  <si>
    <t>23a</t>
  </si>
  <si>
    <t>11-3</t>
  </si>
  <si>
    <t>22a</t>
  </si>
  <si>
    <t>12-3</t>
  </si>
  <si>
    <t>22b</t>
  </si>
  <si>
    <t>12-4</t>
  </si>
  <si>
    <t>21b</t>
  </si>
  <si>
    <t>11-4</t>
  </si>
  <si>
    <t>21a</t>
  </si>
  <si>
    <t>09-4</t>
  </si>
  <si>
    <t>20a</t>
  </si>
  <si>
    <t>10-4</t>
  </si>
  <si>
    <t>20b</t>
  </si>
  <si>
    <t>10-3</t>
  </si>
  <si>
    <t>19b</t>
  </si>
  <si>
    <t>09-3</t>
  </si>
  <si>
    <t>19a</t>
  </si>
  <si>
    <t>09-2</t>
  </si>
  <si>
    <t>18a</t>
  </si>
  <si>
    <t>10-2</t>
  </si>
  <si>
    <t>18b</t>
  </si>
  <si>
    <t>10-1</t>
  </si>
  <si>
    <t>17b</t>
  </si>
  <si>
    <t>09-1</t>
  </si>
  <si>
    <t>17a</t>
  </si>
  <si>
    <t>Northwest  corner   span 4</t>
  </si>
  <si>
    <t>07-1</t>
  </si>
  <si>
    <t>16a</t>
  </si>
  <si>
    <t>Northeast corner of span 5</t>
  </si>
  <si>
    <t>08-1</t>
  </si>
  <si>
    <t>16b</t>
  </si>
  <si>
    <t>08-2</t>
  </si>
  <si>
    <t>15b</t>
  </si>
  <si>
    <t>07-2</t>
  </si>
  <si>
    <t>15a</t>
  </si>
  <si>
    <t>07-3</t>
  </si>
  <si>
    <t>14a</t>
  </si>
  <si>
    <t>08-3</t>
  </si>
  <si>
    <t>14b</t>
  </si>
  <si>
    <t>08-4</t>
  </si>
  <si>
    <t>13b</t>
  </si>
  <si>
    <t>07-4</t>
  </si>
  <si>
    <t>13a</t>
  </si>
  <si>
    <t>05-4</t>
  </si>
  <si>
    <t>12a</t>
  </si>
  <si>
    <t>06-4</t>
  </si>
  <si>
    <t>12b</t>
  </si>
  <si>
    <t>06-3</t>
  </si>
  <si>
    <t>11b</t>
  </si>
  <si>
    <t>05-3</t>
  </si>
  <si>
    <t>11a</t>
  </si>
  <si>
    <t>05-2</t>
  </si>
  <si>
    <t>10a</t>
  </si>
  <si>
    <t>06-2</t>
  </si>
  <si>
    <t>10b</t>
  </si>
  <si>
    <t>06-1</t>
  </si>
  <si>
    <t>9b</t>
  </si>
  <si>
    <t>05-1</t>
  </si>
  <si>
    <t>9a</t>
  </si>
  <si>
    <t>Northwest  corner   span 5</t>
  </si>
  <si>
    <t>03-1</t>
  </si>
  <si>
    <t>8a</t>
  </si>
  <si>
    <t>Northeast corner of span 6</t>
  </si>
  <si>
    <t>04-1</t>
  </si>
  <si>
    <t>8b</t>
  </si>
  <si>
    <t>04-2</t>
  </si>
  <si>
    <t>7b</t>
  </si>
  <si>
    <t>03-2</t>
  </si>
  <si>
    <t>7a</t>
  </si>
  <si>
    <t>03-3</t>
  </si>
  <si>
    <t>6a</t>
  </si>
  <si>
    <t>04-3</t>
  </si>
  <si>
    <t>6b</t>
  </si>
  <si>
    <t>04-4</t>
  </si>
  <si>
    <t>5b</t>
  </si>
  <si>
    <t>03-4</t>
  </si>
  <si>
    <t>5a</t>
  </si>
  <si>
    <t>01-4</t>
  </si>
  <si>
    <t>4a</t>
  </si>
  <si>
    <t>02-4</t>
  </si>
  <si>
    <t>4b</t>
  </si>
  <si>
    <t>02-3</t>
  </si>
  <si>
    <t>3b</t>
  </si>
  <si>
    <t>01-3</t>
  </si>
  <si>
    <t>3a</t>
  </si>
  <si>
    <t>01-2</t>
  </si>
  <si>
    <t>2a</t>
  </si>
  <si>
    <t>02-2</t>
  </si>
  <si>
    <t>2b</t>
  </si>
  <si>
    <t>02-1</t>
  </si>
  <si>
    <t>1b</t>
  </si>
  <si>
    <t>01-1</t>
  </si>
  <si>
    <t>1a</t>
  </si>
  <si>
    <t>Northwest  corner   span 6</t>
  </si>
  <si>
    <t>plants/1 m</t>
  </si>
  <si>
    <t>plants starting to emerge</t>
  </si>
  <si>
    <t>"a" =  West                   "b" = East</t>
  </si>
  <si>
    <t>1320-1355</t>
  </si>
  <si>
    <t>1100-11300</t>
  </si>
  <si>
    <t>1000-1030</t>
  </si>
  <si>
    <t>0930-1000h</t>
  </si>
  <si>
    <t>0955-1030h</t>
  </si>
  <si>
    <t>1000-1030h</t>
  </si>
  <si>
    <t>1000-1100h</t>
  </si>
  <si>
    <t>flag point</t>
  </si>
  <si>
    <t>Sun 2 May</t>
  </si>
  <si>
    <t>Th 29 April</t>
  </si>
  <si>
    <t>out sick 5 May</t>
  </si>
  <si>
    <t># plants per 1 meter (1 meter North of each flag)</t>
  </si>
  <si>
    <t xml:space="preserve">Flags zig-zag through the field. </t>
  </si>
  <si>
    <t>Counting emerged plants 1 fro North of the flag.</t>
  </si>
  <si>
    <t>Flags placed 1 row East of the neutron tubes, and 1.5-2 meters North of the tube.</t>
  </si>
  <si>
    <t>Emergence counts taken at a flag placed in each plot for emergence.</t>
  </si>
  <si>
    <t>Emergence</t>
  </si>
  <si>
    <t>F13 b4</t>
  </si>
  <si>
    <t>EDATE</t>
  </si>
  <si>
    <t>PLYRE</t>
  </si>
  <si>
    <t>PLDOE</t>
  </si>
  <si>
    <t>LF1D</t>
  </si>
  <si>
    <t>p01-1E</t>
  </si>
  <si>
    <t>p01-2E</t>
  </si>
  <si>
    <t>p01-3E</t>
  </si>
  <si>
    <t>p01-4E</t>
  </si>
  <si>
    <t>p02-1E</t>
  </si>
  <si>
    <t>p02-2E</t>
  </si>
  <si>
    <t>p02-3E</t>
  </si>
  <si>
    <t>p02-4E</t>
  </si>
  <si>
    <t>p03-1E</t>
  </si>
  <si>
    <t>p03-2E</t>
  </si>
  <si>
    <t>p03-3E</t>
  </si>
  <si>
    <t>p03-4E</t>
  </si>
  <si>
    <t>p04-1E</t>
  </si>
  <si>
    <t>p04-2E</t>
  </si>
  <si>
    <t>p04-3E</t>
  </si>
  <si>
    <t>p04-4E</t>
  </si>
  <si>
    <t>p05-1E</t>
  </si>
  <si>
    <t>p05-2E</t>
  </si>
  <si>
    <t>p05-3E</t>
  </si>
  <si>
    <t>p05-4E</t>
  </si>
  <si>
    <t>p06-1E</t>
  </si>
  <si>
    <t>p06-2E</t>
  </si>
  <si>
    <t>p06-3E</t>
  </si>
  <si>
    <t>p06-4E</t>
  </si>
  <si>
    <t>p07-1E</t>
  </si>
  <si>
    <t>p07-2E</t>
  </si>
  <si>
    <t>p07-3E</t>
  </si>
  <si>
    <t>p07-4E</t>
  </si>
  <si>
    <t>p08-1E</t>
  </si>
  <si>
    <t>p08-2E</t>
  </si>
  <si>
    <t>p08-3E</t>
  </si>
  <si>
    <t>p08-4E</t>
  </si>
  <si>
    <t>p09-1E</t>
  </si>
  <si>
    <t>p09-2E</t>
  </si>
  <si>
    <t>p09-3E</t>
  </si>
  <si>
    <t>p09-4E</t>
  </si>
  <si>
    <t>p10-1E</t>
  </si>
  <si>
    <t>p10-2E</t>
  </si>
  <si>
    <t>p10-3E</t>
  </si>
  <si>
    <t>p10-4E</t>
  </si>
  <si>
    <t>p11-1E</t>
  </si>
  <si>
    <t>p11-2E</t>
  </si>
  <si>
    <t>p11-3E</t>
  </si>
  <si>
    <t>p11-4E</t>
  </si>
  <si>
    <t>p12-1E</t>
  </si>
  <si>
    <t>p12-2E</t>
  </si>
  <si>
    <t>p12-3E</t>
  </si>
  <si>
    <t>p12-4E</t>
  </si>
  <si>
    <t>50% DOY</t>
  </si>
  <si>
    <t>7</t>
  </si>
  <si>
    <t>10</t>
  </si>
  <si>
    <t>11</t>
  </si>
  <si>
    <t>9</t>
  </si>
  <si>
    <t>8</t>
  </si>
  <si>
    <t>12</t>
  </si>
  <si>
    <t>6</t>
  </si>
  <si>
    <t>5</t>
  </si>
  <si>
    <t>plants w/ 1st leaf in 1 m</t>
  </si>
  <si>
    <t>total plants/1 m</t>
  </si>
  <si>
    <t>1 True Leaf</t>
  </si>
  <si>
    <t>flowering plants/10 plants</t>
  </si>
  <si>
    <t>Counted North of the cent flag for Canopy Heights. Except for plots 6-1, 6-2 &amp; 9-1 (taken at all 3 flag points for collaborators)</t>
  </si>
  <si>
    <t xml:space="preserve"># of plants flowering of 10 plants </t>
  </si>
  <si>
    <t>Flowering</t>
  </si>
  <si>
    <t>ADAT</t>
  </si>
  <si>
    <t>ADOY</t>
  </si>
  <si>
    <t>plant/m</t>
  </si>
  <si>
    <t>Ave plants/meter</t>
  </si>
  <si>
    <t># plants /1.5 m</t>
  </si>
  <si>
    <t>1 row West of flag</t>
  </si>
  <si>
    <t>At  flag</t>
  </si>
  <si>
    <t>1 row East of flag</t>
  </si>
  <si>
    <r>
      <t>Counted plants in</t>
    </r>
    <r>
      <rPr>
        <sz val="10"/>
        <color theme="1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1.5</t>
    </r>
    <r>
      <rPr>
        <sz val="10"/>
        <color theme="1"/>
        <rFont val="Calibri"/>
        <family val="2"/>
      </rPr>
      <t xml:space="preserve"> </t>
    </r>
    <r>
      <rPr>
        <sz val="9"/>
        <color theme="1"/>
        <rFont val="Calibri"/>
        <family val="2"/>
      </rPr>
      <t>meter North of orange "LAI" flag (&amp; same relative location in the rows to the East and West of the flagged row).</t>
    </r>
  </si>
  <si>
    <t>Final density counts</t>
  </si>
  <si>
    <t>24 May &amp; 7 June</t>
  </si>
  <si>
    <t>PLAPD</t>
  </si>
  <si>
    <t>Average</t>
  </si>
  <si>
    <t>Counting the nodes of the upermost white flower in the 1st position of 9 plants per plot - between the 2 pink flags that mark the location for the Northern and Southern plant heights in a plot.</t>
  </si>
  <si>
    <t>Nodes Above White Flower</t>
  </si>
  <si>
    <t>Hard to find WF</t>
  </si>
  <si>
    <t>often hard to find WF, even on other nodes. Cohort abscised?</t>
  </si>
  <si>
    <t>NAWF182</t>
  </si>
  <si>
    <t>NAWF194</t>
  </si>
  <si>
    <t>NAWF200</t>
  </si>
  <si>
    <t>NAWF217</t>
  </si>
  <si>
    <t>NAWF224</t>
  </si>
  <si>
    <t>NAWF238</t>
  </si>
  <si>
    <t>NAWF250</t>
  </si>
  <si>
    <t>PLPD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</si>
</sst>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mm/dd/yyyy"/>
    <numFmt numFmtId="167" formatCode="[$-409]d\-mmm\-yy;@"/>
  </numFmts>
  <fonts count="41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Calibri Light"/>
      <family val="2"/>
    </font>
    <font>
      <b/>
      <sz val="8"/>
      <color rgb="FFFF000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8"/>
      <name val="Calibri"/>
      <family val="2"/>
    </font>
    <font>
      <b/>
      <i/>
      <sz val="10"/>
      <color theme="1"/>
      <name val="Calibri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/>
      <diagonal/>
    </border>
    <border>
      <left/>
      <right/>
      <top style="medium">
        <color theme="2" tint="-0.499984740745262"/>
      </top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medium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1" fillId="0" borderId="0"/>
  </cellStyleXfs>
  <cellXfs count="28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top"/>
    </xf>
    <xf numFmtId="0" fontId="8" fillId="0" borderId="2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 wrapText="1"/>
    </xf>
    <xf numFmtId="15" fontId="5" fillId="0" borderId="0" xfId="0" applyNumberFormat="1" applyFont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164" fontId="11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165" fontId="0" fillId="0" borderId="0" xfId="0" quotePrefix="1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7" fillId="0" borderId="13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15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164" fontId="5" fillId="0" borderId="17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horizontal="left" vertical="center"/>
    </xf>
    <xf numFmtId="0" fontId="0" fillId="0" borderId="17" xfId="0" applyBorder="1"/>
    <xf numFmtId="0" fontId="0" fillId="0" borderId="6" xfId="0" applyBorder="1"/>
    <xf numFmtId="0" fontId="6" fillId="0" borderId="0" xfId="0" applyFont="1" applyAlignment="1">
      <alignment horizontal="left" vertical="top"/>
    </xf>
    <xf numFmtId="164" fontId="19" fillId="0" borderId="17" xfId="0" applyNumberFormat="1" applyFont="1" applyBorder="1" applyAlignment="1">
      <alignment horizontal="right" vertical="center"/>
    </xf>
    <xf numFmtId="0" fontId="19" fillId="0" borderId="17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164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164" fontId="19" fillId="0" borderId="6" xfId="0" applyNumberFormat="1" applyFont="1" applyBorder="1" applyAlignment="1">
      <alignment horizontal="right" vertical="center"/>
    </xf>
    <xf numFmtId="0" fontId="19" fillId="0" borderId="6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8" fillId="0" borderId="0" xfId="0" applyFont="1" applyAlignment="1">
      <alignment horizontal="left" vertical="center"/>
    </xf>
    <xf numFmtId="164" fontId="17" fillId="0" borderId="18" xfId="0" applyNumberFormat="1" applyFont="1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22" fillId="3" borderId="0" xfId="0" applyFont="1" applyFill="1" applyAlignment="1">
      <alignment horizontal="right" vertical="center"/>
    </xf>
    <xf numFmtId="0" fontId="23" fillId="3" borderId="0" xfId="0" applyFont="1" applyFill="1"/>
    <xf numFmtId="0" fontId="23" fillId="0" borderId="0" xfId="0" applyFont="1"/>
    <xf numFmtId="0" fontId="22" fillId="2" borderId="0" xfId="0" applyFont="1" applyFill="1" applyAlignment="1">
      <alignment horizontal="right" vertical="center"/>
    </xf>
    <xf numFmtId="0" fontId="23" fillId="2" borderId="0" xfId="0" applyFont="1" applyFill="1"/>
    <xf numFmtId="0" fontId="24" fillId="0" borderId="0" xfId="0" applyFont="1"/>
    <xf numFmtId="0" fontId="22" fillId="0" borderId="0" xfId="0" applyFont="1"/>
    <xf numFmtId="0" fontId="0" fillId="0" borderId="3" xfId="0" quotePrefix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0" fontId="21" fillId="0" borderId="0" xfId="0" applyFont="1"/>
    <xf numFmtId="0" fontId="19" fillId="0" borderId="0" xfId="0" applyFont="1"/>
    <xf numFmtId="16" fontId="21" fillId="0" borderId="0" xfId="0" applyNumberFormat="1" applyFont="1" applyAlignment="1">
      <alignment horizontal="center"/>
    </xf>
    <xf numFmtId="15" fontId="19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2" xfId="0" quotePrefix="1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6" xfId="0" quotePrefix="1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 vertical="center"/>
    </xf>
    <xf numFmtId="0" fontId="4" fillId="0" borderId="0" xfId="1"/>
    <xf numFmtId="0" fontId="4" fillId="0" borderId="0" xfId="2"/>
    <xf numFmtId="0" fontId="3" fillId="0" borderId="0" xfId="1" applyFont="1"/>
    <xf numFmtId="0" fontId="2" fillId="0" borderId="0" xfId="1" applyFont="1"/>
    <xf numFmtId="0" fontId="1" fillId="0" borderId="0" xfId="3"/>
    <xf numFmtId="0" fontId="1" fillId="0" borderId="0" xfId="3" applyAlignment="1">
      <alignment horizontal="center"/>
    </xf>
    <xf numFmtId="0" fontId="1" fillId="0" borderId="0" xfId="3" applyAlignment="1">
      <alignment horizontal="right"/>
    </xf>
    <xf numFmtId="2" fontId="26" fillId="0" borderId="0" xfId="3" applyNumberFormat="1" applyFont="1" applyAlignment="1">
      <alignment horizontal="center" vertical="center"/>
    </xf>
    <xf numFmtId="0" fontId="25" fillId="0" borderId="0" xfId="3" applyFont="1"/>
    <xf numFmtId="0" fontId="26" fillId="0" borderId="0" xfId="3" applyFont="1"/>
    <xf numFmtId="0" fontId="26" fillId="0" borderId="0" xfId="3" applyFont="1" applyAlignment="1">
      <alignment horizontal="right"/>
    </xf>
    <xf numFmtId="0" fontId="27" fillId="0" borderId="0" xfId="3" applyFont="1" applyAlignment="1">
      <alignment horizontal="center"/>
    </xf>
    <xf numFmtId="2" fontId="28" fillId="0" borderId="0" xfId="3" applyNumberFormat="1" applyFont="1" applyAlignment="1">
      <alignment horizontal="center" vertical="center"/>
    </xf>
    <xf numFmtId="0" fontId="29" fillId="0" borderId="0" xfId="3" applyFont="1"/>
    <xf numFmtId="2" fontId="28" fillId="0" borderId="0" xfId="3" applyNumberFormat="1" applyFont="1"/>
    <xf numFmtId="0" fontId="30" fillId="0" borderId="0" xfId="3" applyFont="1"/>
    <xf numFmtId="2" fontId="30" fillId="0" borderId="0" xfId="3" applyNumberFormat="1" applyFont="1"/>
    <xf numFmtId="16" fontId="30" fillId="0" borderId="0" xfId="3" applyNumberFormat="1" applyFont="1"/>
    <xf numFmtId="0" fontId="28" fillId="4" borderId="5" xfId="3" applyFont="1" applyFill="1" applyBorder="1" applyAlignment="1">
      <alignment horizontal="center" vertical="center"/>
    </xf>
    <xf numFmtId="0" fontId="29" fillId="4" borderId="5" xfId="3" applyFont="1" applyFill="1" applyBorder="1" applyAlignment="1">
      <alignment horizontal="center" vertical="center"/>
    </xf>
    <xf numFmtId="0" fontId="31" fillId="5" borderId="5" xfId="3" applyFont="1" applyFill="1" applyBorder="1" applyAlignment="1">
      <alignment horizontal="center" vertical="center"/>
    </xf>
    <xf numFmtId="0" fontId="28" fillId="5" borderId="5" xfId="3" applyFont="1" applyFill="1" applyBorder="1" applyAlignment="1">
      <alignment horizontal="center" vertical="center"/>
    </xf>
    <xf numFmtId="0" fontId="31" fillId="4" borderId="5" xfId="3" applyFont="1" applyFill="1" applyBorder="1" applyAlignment="1">
      <alignment horizontal="center" vertical="center"/>
    </xf>
    <xf numFmtId="49" fontId="1" fillId="0" borderId="19" xfId="3" applyNumberFormat="1" applyBorder="1" applyAlignment="1">
      <alignment horizontal="center" vertical="center"/>
    </xf>
    <xf numFmtId="49" fontId="25" fillId="0" borderId="19" xfId="3" applyNumberFormat="1" applyFont="1" applyBorder="1" applyAlignment="1">
      <alignment horizontal="center" vertical="center"/>
    </xf>
    <xf numFmtId="0" fontId="1" fillId="0" borderId="5" xfId="3" applyBorder="1" applyAlignment="1">
      <alignment horizontal="center" vertical="center"/>
    </xf>
    <xf numFmtId="0" fontId="32" fillId="0" borderId="16" xfId="3" applyFont="1" applyBorder="1" applyAlignment="1">
      <alignment horizontal="right" vertical="center" wrapText="1"/>
    </xf>
    <xf numFmtId="0" fontId="28" fillId="4" borderId="19" xfId="3" applyFont="1" applyFill="1" applyBorder="1" applyAlignment="1">
      <alignment horizontal="center" vertical="center"/>
    </xf>
    <xf numFmtId="0" fontId="29" fillId="4" borderId="19" xfId="3" applyFont="1" applyFill="1" applyBorder="1" applyAlignment="1">
      <alignment horizontal="center" vertical="center"/>
    </xf>
    <xf numFmtId="0" fontId="31" fillId="5" borderId="19" xfId="3" applyFont="1" applyFill="1" applyBorder="1" applyAlignment="1">
      <alignment horizontal="center" vertical="center"/>
    </xf>
    <xf numFmtId="0" fontId="28" fillId="5" borderId="19" xfId="3" applyFont="1" applyFill="1" applyBorder="1" applyAlignment="1">
      <alignment horizontal="center" vertical="center"/>
    </xf>
    <xf numFmtId="0" fontId="31" fillId="4" borderId="19" xfId="3" applyFont="1" applyFill="1" applyBorder="1" applyAlignment="1">
      <alignment horizontal="center" vertical="center"/>
    </xf>
    <xf numFmtId="49" fontId="25" fillId="0" borderId="5" xfId="3" applyNumberFormat="1" applyFont="1" applyBorder="1" applyAlignment="1">
      <alignment horizontal="center" vertical="center"/>
    </xf>
    <xf numFmtId="0" fontId="1" fillId="0" borderId="0" xfId="3" applyAlignment="1">
      <alignment horizontal="right" vertical="center"/>
    </xf>
    <xf numFmtId="0" fontId="28" fillId="4" borderId="20" xfId="3" applyFont="1" applyFill="1" applyBorder="1" applyAlignment="1">
      <alignment horizontal="center" vertical="center"/>
    </xf>
    <xf numFmtId="0" fontId="29" fillId="4" borderId="20" xfId="3" applyFont="1" applyFill="1" applyBorder="1" applyAlignment="1">
      <alignment horizontal="center" vertical="center"/>
    </xf>
    <xf numFmtId="0" fontId="31" fillId="5" borderId="20" xfId="3" applyFont="1" applyFill="1" applyBorder="1" applyAlignment="1">
      <alignment horizontal="center" vertical="center"/>
    </xf>
    <xf numFmtId="0" fontId="28" fillId="5" borderId="20" xfId="3" applyFont="1" applyFill="1" applyBorder="1" applyAlignment="1">
      <alignment horizontal="center" vertical="center"/>
    </xf>
    <xf numFmtId="0" fontId="31" fillId="4" borderId="20" xfId="3" applyFont="1" applyFill="1" applyBorder="1" applyAlignment="1">
      <alignment horizontal="center" vertical="center"/>
    </xf>
    <xf numFmtId="49" fontId="1" fillId="0" borderId="20" xfId="3" applyNumberFormat="1" applyBorder="1" applyAlignment="1">
      <alignment horizontal="center" vertical="center"/>
    </xf>
    <xf numFmtId="49" fontId="25" fillId="0" borderId="20" xfId="3" applyNumberFormat="1" applyFont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31" fillId="5" borderId="21" xfId="3" applyFont="1" applyFill="1" applyBorder="1" applyAlignment="1">
      <alignment horizontal="center" vertical="center"/>
    </xf>
    <xf numFmtId="0" fontId="28" fillId="5" borderId="21" xfId="3" applyFont="1" applyFill="1" applyBorder="1" applyAlignment="1">
      <alignment horizontal="center" vertical="center"/>
    </xf>
    <xf numFmtId="0" fontId="31" fillId="4" borderId="21" xfId="3" applyFont="1" applyFill="1" applyBorder="1" applyAlignment="1">
      <alignment horizontal="center" vertical="center"/>
    </xf>
    <xf numFmtId="49" fontId="1" fillId="0" borderId="21" xfId="3" applyNumberFormat="1" applyBorder="1" applyAlignment="1">
      <alignment horizontal="center" vertical="center"/>
    </xf>
    <xf numFmtId="49" fontId="25" fillId="0" borderId="21" xfId="3" applyNumberFormat="1" applyFont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31" fillId="5" borderId="3" xfId="3" applyFont="1" applyFill="1" applyBorder="1" applyAlignment="1">
      <alignment horizontal="center" vertical="center"/>
    </xf>
    <xf numFmtId="0" fontId="28" fillId="5" borderId="3" xfId="3" applyFont="1" applyFill="1" applyBorder="1" applyAlignment="1">
      <alignment horizontal="center" vertical="center"/>
    </xf>
    <xf numFmtId="0" fontId="31" fillId="4" borderId="3" xfId="3" applyFont="1" applyFill="1" applyBorder="1" applyAlignment="1">
      <alignment horizontal="center" vertical="center"/>
    </xf>
    <xf numFmtId="49" fontId="1" fillId="0" borderId="3" xfId="3" applyNumberFormat="1" applyBorder="1" applyAlignment="1">
      <alignment horizontal="center" vertical="center"/>
    </xf>
    <xf numFmtId="49" fontId="25" fillId="0" borderId="3" xfId="3" applyNumberFormat="1" applyFont="1" applyBorder="1" applyAlignment="1">
      <alignment horizontal="center" vertical="center"/>
    </xf>
    <xf numFmtId="49" fontId="1" fillId="0" borderId="5" xfId="3" applyNumberFormat="1" applyBorder="1" applyAlignment="1">
      <alignment horizontal="center" vertical="center"/>
    </xf>
    <xf numFmtId="0" fontId="1" fillId="0" borderId="16" xfId="3" applyBorder="1" applyAlignment="1">
      <alignment horizontal="right" vertical="center"/>
    </xf>
    <xf numFmtId="20" fontId="33" fillId="4" borderId="22" xfId="3" applyNumberFormat="1" applyFont="1" applyFill="1" applyBorder="1" applyAlignment="1">
      <alignment horizontal="center" wrapText="1"/>
    </xf>
    <xf numFmtId="20" fontId="34" fillId="4" borderId="22" xfId="3" applyNumberFormat="1" applyFont="1" applyFill="1" applyBorder="1" applyAlignment="1">
      <alignment horizontal="center" wrapText="1"/>
    </xf>
    <xf numFmtId="20" fontId="34" fillId="5" borderId="22" xfId="3" applyNumberFormat="1" applyFont="1" applyFill="1" applyBorder="1" applyAlignment="1">
      <alignment horizontal="center" wrapText="1"/>
    </xf>
    <xf numFmtId="20" fontId="33" fillId="5" borderId="22" xfId="3" applyNumberFormat="1" applyFont="1" applyFill="1" applyBorder="1" applyAlignment="1">
      <alignment horizontal="center" wrapText="1"/>
    </xf>
    <xf numFmtId="0" fontId="25" fillId="0" borderId="0" xfId="3" applyFont="1" applyAlignment="1">
      <alignment horizontal="center" wrapText="1"/>
    </xf>
    <xf numFmtId="0" fontId="35" fillId="0" borderId="0" xfId="3" applyFont="1" applyAlignment="1">
      <alignment horizontal="right" wrapText="1"/>
    </xf>
    <xf numFmtId="20" fontId="35" fillId="5" borderId="23" xfId="3" applyNumberFormat="1" applyFont="1" applyFill="1" applyBorder="1" applyAlignment="1">
      <alignment horizontal="center" vertical="center"/>
    </xf>
    <xf numFmtId="0" fontId="35" fillId="0" borderId="0" xfId="3" applyFont="1"/>
    <xf numFmtId="0" fontId="35" fillId="5" borderId="25" xfId="3" applyFont="1" applyFill="1" applyBorder="1" applyAlignment="1">
      <alignment horizontal="center" vertical="center"/>
    </xf>
    <xf numFmtId="0" fontId="35" fillId="0" borderId="27" xfId="3" applyFont="1" applyBorder="1" applyAlignment="1">
      <alignment horizontal="right"/>
    </xf>
    <xf numFmtId="0" fontId="35" fillId="0" borderId="0" xfId="3" applyFont="1" applyAlignment="1">
      <alignment horizontal="right"/>
    </xf>
    <xf numFmtId="0" fontId="25" fillId="4" borderId="25" xfId="3" applyFont="1" applyFill="1" applyBorder="1" applyAlignment="1">
      <alignment horizontal="center" vertical="center"/>
    </xf>
    <xf numFmtId="0" fontId="25" fillId="5" borderId="27" xfId="3" applyFont="1" applyFill="1" applyBorder="1" applyAlignment="1">
      <alignment horizontal="center" vertical="center"/>
    </xf>
    <xf numFmtId="0" fontId="1" fillId="0" borderId="27" xfId="3" applyBorder="1" applyAlignment="1">
      <alignment horizontal="right"/>
    </xf>
    <xf numFmtId="16" fontId="25" fillId="4" borderId="28" xfId="3" applyNumberFormat="1" applyFont="1" applyFill="1" applyBorder="1" applyAlignment="1">
      <alignment horizontal="center" vertical="center"/>
    </xf>
    <xf numFmtId="16" fontId="25" fillId="5" borderId="30" xfId="3" applyNumberFormat="1" applyFont="1" applyFill="1" applyBorder="1" applyAlignment="1">
      <alignment horizontal="center" vertical="center"/>
    </xf>
    <xf numFmtId="0" fontId="1" fillId="0" borderId="30" xfId="3" applyBorder="1" applyAlignment="1">
      <alignment horizontal="right"/>
    </xf>
    <xf numFmtId="0" fontId="1" fillId="0" borderId="0" xfId="3" applyAlignment="1">
      <alignment horizontal="left"/>
    </xf>
    <xf numFmtId="0" fontId="26" fillId="0" borderId="0" xfId="3" applyFont="1" applyAlignment="1">
      <alignment horizontal="left"/>
    </xf>
    <xf numFmtId="0" fontId="36" fillId="0" borderId="0" xfId="0" applyFont="1"/>
    <xf numFmtId="9" fontId="1" fillId="0" borderId="0" xfId="3" applyNumberFormat="1"/>
    <xf numFmtId="1" fontId="1" fillId="0" borderId="0" xfId="3" applyNumberFormat="1"/>
    <xf numFmtId="1" fontId="36" fillId="0" borderId="0" xfId="0" applyNumberFormat="1" applyFont="1"/>
    <xf numFmtId="1" fontId="1" fillId="0" borderId="0" xfId="3" applyNumberFormat="1" applyAlignment="1">
      <alignment horizontal="center"/>
    </xf>
    <xf numFmtId="1" fontId="26" fillId="0" borderId="0" xfId="3" applyNumberFormat="1" applyFont="1" applyAlignment="1">
      <alignment horizontal="right"/>
    </xf>
    <xf numFmtId="2" fontId="1" fillId="0" borderId="0" xfId="3" applyNumberFormat="1"/>
    <xf numFmtId="16" fontId="1" fillId="0" borderId="0" xfId="3" applyNumberFormat="1"/>
    <xf numFmtId="0" fontId="26" fillId="4" borderId="5" xfId="3" applyFont="1" applyFill="1" applyBorder="1" applyAlignment="1">
      <alignment horizontal="center" vertical="center"/>
    </xf>
    <xf numFmtId="0" fontId="26" fillId="5" borderId="5" xfId="3" applyFont="1" applyFill="1" applyBorder="1" applyAlignment="1">
      <alignment horizontal="center" vertical="center"/>
    </xf>
    <xf numFmtId="1" fontId="1" fillId="0" borderId="19" xfId="3" applyNumberFormat="1" applyBorder="1" applyAlignment="1">
      <alignment horizontal="center" vertical="center"/>
    </xf>
    <xf numFmtId="0" fontId="26" fillId="4" borderId="19" xfId="3" applyFont="1" applyFill="1" applyBorder="1" applyAlignment="1">
      <alignment horizontal="center" vertical="center"/>
    </xf>
    <xf numFmtId="0" fontId="26" fillId="5" borderId="19" xfId="3" applyFont="1" applyFill="1" applyBorder="1" applyAlignment="1">
      <alignment horizontal="center" vertical="center"/>
    </xf>
    <xf numFmtId="0" fontId="26" fillId="4" borderId="20" xfId="3" applyFont="1" applyFill="1" applyBorder="1" applyAlignment="1">
      <alignment horizontal="center" vertical="center"/>
    </xf>
    <xf numFmtId="0" fontId="26" fillId="5" borderId="20" xfId="3" applyFont="1" applyFill="1" applyBorder="1" applyAlignment="1">
      <alignment horizontal="center" vertical="center"/>
    </xf>
    <xf numFmtId="1" fontId="1" fillId="0" borderId="20" xfId="3" applyNumberFormat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5" borderId="21" xfId="3" applyFont="1" applyFill="1" applyBorder="1" applyAlignment="1">
      <alignment horizontal="center" vertical="center"/>
    </xf>
    <xf numFmtId="1" fontId="1" fillId="0" borderId="21" xfId="3" applyNumberFormat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0" fontId="26" fillId="5" borderId="3" xfId="3" applyFont="1" applyFill="1" applyBorder="1" applyAlignment="1">
      <alignment horizontal="center" vertical="center"/>
    </xf>
    <xf numFmtId="1" fontId="1" fillId="0" borderId="3" xfId="3" applyNumberFormat="1" applyBorder="1" applyAlignment="1">
      <alignment horizontal="center" vertical="center"/>
    </xf>
    <xf numFmtId="1" fontId="1" fillId="0" borderId="5" xfId="3" applyNumberFormat="1" applyBorder="1" applyAlignment="1">
      <alignment horizontal="center" vertical="center"/>
    </xf>
    <xf numFmtId="0" fontId="37" fillId="4" borderId="19" xfId="3" applyFont="1" applyFill="1" applyBorder="1" applyAlignment="1">
      <alignment horizontal="center" vertical="center"/>
    </xf>
    <xf numFmtId="1" fontId="1" fillId="0" borderId="15" xfId="3" applyNumberFormat="1" applyBorder="1" applyAlignment="1">
      <alignment horizontal="center" vertical="center"/>
    </xf>
    <xf numFmtId="1" fontId="32" fillId="0" borderId="0" xfId="3" applyNumberFormat="1" applyFont="1" applyAlignment="1">
      <alignment horizontal="center" vertical="center" wrapText="1"/>
    </xf>
    <xf numFmtId="1" fontId="25" fillId="0" borderId="0" xfId="3" applyNumberFormat="1" applyFont="1" applyAlignment="1">
      <alignment horizontal="center" wrapText="1"/>
    </xf>
    <xf numFmtId="1" fontId="35" fillId="0" borderId="27" xfId="3" applyNumberFormat="1" applyFont="1" applyBorder="1" applyAlignment="1">
      <alignment horizontal="right"/>
    </xf>
    <xf numFmtId="1" fontId="1" fillId="0" borderId="27" xfId="3" applyNumberFormat="1" applyBorder="1" applyAlignment="1">
      <alignment horizontal="right"/>
    </xf>
    <xf numFmtId="1" fontId="1" fillId="0" borderId="30" xfId="3" applyNumberFormat="1" applyBorder="1" applyAlignment="1">
      <alignment horizontal="right"/>
    </xf>
    <xf numFmtId="1" fontId="25" fillId="0" borderId="0" xfId="3" applyNumberFormat="1" applyFont="1"/>
    <xf numFmtId="1" fontId="26" fillId="0" borderId="0" xfId="3" applyNumberFormat="1" applyFont="1" applyAlignment="1">
      <alignment horizontal="left"/>
    </xf>
    <xf numFmtId="9" fontId="1" fillId="0" borderId="0" xfId="3" applyNumberFormat="1" applyAlignment="1">
      <alignment horizontal="center"/>
    </xf>
    <xf numFmtId="166" fontId="36" fillId="0" borderId="0" xfId="0" applyNumberFormat="1" applyFont="1"/>
    <xf numFmtId="0" fontId="18" fillId="0" borderId="0" xfId="0" applyFont="1"/>
    <xf numFmtId="15" fontId="0" fillId="0" borderId="0" xfId="0" applyNumberFormat="1" applyAlignment="1">
      <alignment horizontal="center"/>
    </xf>
    <xf numFmtId="1" fontId="1" fillId="0" borderId="0" xfId="3" applyNumberFormat="1" applyAlignment="1">
      <alignment horizontal="center" vertical="center"/>
    </xf>
    <xf numFmtId="165" fontId="0" fillId="0" borderId="0" xfId="0" applyNumberFormat="1"/>
    <xf numFmtId="165" fontId="0" fillId="0" borderId="5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right" vertical="center"/>
    </xf>
    <xf numFmtId="165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164" fontId="5" fillId="0" borderId="27" xfId="0" applyNumberFormat="1" applyFont="1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21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15" fontId="0" fillId="0" borderId="0" xfId="0" quotePrefix="1" applyNumberFormat="1"/>
    <xf numFmtId="15" fontId="0" fillId="0" borderId="0" xfId="0" applyNumberFormat="1"/>
    <xf numFmtId="165" fontId="36" fillId="0" borderId="0" xfId="0" applyNumberFormat="1" applyFont="1"/>
    <xf numFmtId="165" fontId="5" fillId="0" borderId="3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39" fillId="0" borderId="32" xfId="0" applyFont="1" applyBorder="1" applyAlignment="1">
      <alignment horizontal="center" wrapText="1"/>
    </xf>
    <xf numFmtId="0" fontId="7" fillId="0" borderId="33" xfId="0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/>
    <xf numFmtId="15" fontId="5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40" fillId="0" borderId="0" xfId="0" applyFon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16" fontId="25" fillId="5" borderId="30" xfId="3" applyNumberFormat="1" applyFont="1" applyFill="1" applyBorder="1" applyAlignment="1">
      <alignment horizontal="center" vertical="center"/>
    </xf>
    <xf numFmtId="0" fontId="1" fillId="0" borderId="29" xfId="3" applyBorder="1" applyAlignment="1">
      <alignment horizontal="center" vertical="center"/>
    </xf>
    <xf numFmtId="0" fontId="25" fillId="5" borderId="27" xfId="3" applyFont="1" applyFill="1" applyBorder="1" applyAlignment="1">
      <alignment horizontal="center" vertical="center"/>
    </xf>
    <xf numFmtId="0" fontId="1" fillId="0" borderId="26" xfId="3" applyBorder="1" applyAlignment="1">
      <alignment horizontal="center" vertical="center"/>
    </xf>
    <xf numFmtId="0" fontId="25" fillId="4" borderId="25" xfId="3" applyFont="1" applyFill="1" applyBorder="1" applyAlignment="1">
      <alignment horizontal="center" vertical="center"/>
    </xf>
    <xf numFmtId="16" fontId="25" fillId="4" borderId="28" xfId="3" applyNumberFormat="1" applyFont="1" applyFill="1" applyBorder="1" applyAlignment="1">
      <alignment horizontal="center" vertical="center"/>
    </xf>
    <xf numFmtId="20" fontId="35" fillId="5" borderId="23" xfId="3" applyNumberFormat="1" applyFont="1" applyFill="1" applyBorder="1" applyAlignment="1">
      <alignment horizontal="center" vertical="center"/>
    </xf>
    <xf numFmtId="0" fontId="1" fillId="0" borderId="24" xfId="3" applyBorder="1" applyAlignment="1">
      <alignment horizontal="center" vertical="center"/>
    </xf>
    <xf numFmtId="0" fontId="35" fillId="5" borderId="25" xfId="3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4">
    <cellStyle name="Normal" xfId="0" builtinId="0"/>
    <cellStyle name="Normal 2" xfId="1" xr:uid="{F9219A2B-FDD6-4DD6-B7BC-32EECB6CB3B7}"/>
    <cellStyle name="Normal 3" xfId="2" xr:uid="{381A73D2-3282-48CB-BC1D-85B1F6359388}"/>
    <cellStyle name="Normal 4" xfId="3" xr:uid="{4EFA59E2-9CCF-4762-A34D-7A5C1715B7CB}"/>
  </cellStyles>
  <dxfs count="38"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C1E0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0386-0F68-4225-87B1-50261F5AE23F}">
  <dimension ref="A1:L145"/>
  <sheetViews>
    <sheetView workbookViewId="0"/>
  </sheetViews>
  <sheetFormatPr defaultRowHeight="15" x14ac:dyDescent="0.25"/>
  <cols>
    <col min="1" max="16384" width="9.140625" style="119"/>
  </cols>
  <sheetData>
    <row r="1" spans="1:12" x14ac:dyDescent="0.25">
      <c r="A1" s="121" t="s">
        <v>229</v>
      </c>
      <c r="B1" s="119" t="s">
        <v>225</v>
      </c>
      <c r="C1" s="119" t="s">
        <v>224</v>
      </c>
      <c r="D1" s="119" t="s">
        <v>223</v>
      </c>
      <c r="E1" s="119" t="s">
        <v>222</v>
      </c>
      <c r="F1" s="119" t="s">
        <v>221</v>
      </c>
      <c r="G1" s="119" t="s">
        <v>220</v>
      </c>
      <c r="H1" s="119" t="s">
        <v>219</v>
      </c>
      <c r="I1" s="119" t="s">
        <v>218</v>
      </c>
      <c r="J1" s="119" t="s">
        <v>217</v>
      </c>
      <c r="K1" s="119" t="s">
        <v>216</v>
      </c>
      <c r="L1" s="119" t="s">
        <v>215</v>
      </c>
    </row>
    <row r="2" spans="1:12" x14ac:dyDescent="0.25">
      <c r="A2" s="119" t="s">
        <v>214</v>
      </c>
      <c r="B2" s="119">
        <v>18</v>
      </c>
      <c r="C2" s="119">
        <v>23</v>
      </c>
      <c r="D2" s="119">
        <v>31</v>
      </c>
      <c r="E2" s="119">
        <v>37</v>
      </c>
      <c r="F2" s="119">
        <v>53</v>
      </c>
      <c r="G2" s="119">
        <v>85</v>
      </c>
      <c r="H2" s="119">
        <v>100</v>
      </c>
      <c r="I2" s="119">
        <v>118</v>
      </c>
      <c r="J2" s="122"/>
      <c r="K2" s="119">
        <v>162</v>
      </c>
      <c r="L2" s="119">
        <v>170</v>
      </c>
    </row>
    <row r="3" spans="1:12" x14ac:dyDescent="0.25">
      <c r="A3" s="119" t="s">
        <v>213</v>
      </c>
      <c r="B3" s="119">
        <v>17</v>
      </c>
      <c r="C3" s="119">
        <v>25</v>
      </c>
      <c r="D3" s="119">
        <v>32</v>
      </c>
      <c r="E3" s="119">
        <v>43</v>
      </c>
      <c r="F3" s="119">
        <v>61</v>
      </c>
      <c r="G3" s="119">
        <v>95</v>
      </c>
      <c r="H3" s="119">
        <v>113</v>
      </c>
      <c r="I3" s="119">
        <v>130</v>
      </c>
      <c r="J3" s="119">
        <v>139</v>
      </c>
      <c r="K3" s="119">
        <v>147</v>
      </c>
      <c r="L3" s="122"/>
    </row>
    <row r="4" spans="1:12" x14ac:dyDescent="0.25">
      <c r="A4" s="119" t="s">
        <v>212</v>
      </c>
      <c r="B4" s="119">
        <v>12</v>
      </c>
      <c r="C4" s="119">
        <v>17</v>
      </c>
      <c r="D4" s="119">
        <v>22</v>
      </c>
      <c r="E4" s="119">
        <v>30</v>
      </c>
      <c r="F4" s="119">
        <v>43</v>
      </c>
      <c r="G4" s="119">
        <v>70</v>
      </c>
      <c r="H4" s="119">
        <v>93</v>
      </c>
      <c r="I4" s="119">
        <v>114</v>
      </c>
      <c r="J4" s="119">
        <v>138</v>
      </c>
      <c r="K4" s="119">
        <v>155</v>
      </c>
      <c r="L4" s="122"/>
    </row>
    <row r="5" spans="1:12" x14ac:dyDescent="0.25">
      <c r="A5" s="119" t="s">
        <v>211</v>
      </c>
      <c r="B5" s="119">
        <v>12</v>
      </c>
      <c r="C5" s="119">
        <v>19</v>
      </c>
      <c r="D5" s="119">
        <v>25</v>
      </c>
      <c r="E5" s="119">
        <v>36</v>
      </c>
      <c r="F5" s="119">
        <v>42</v>
      </c>
      <c r="G5" s="119">
        <v>52</v>
      </c>
      <c r="H5" s="119">
        <v>70</v>
      </c>
      <c r="I5" s="119">
        <v>88</v>
      </c>
      <c r="J5" s="119">
        <v>114</v>
      </c>
      <c r="K5" s="119">
        <v>136</v>
      </c>
      <c r="L5" s="122"/>
    </row>
    <row r="6" spans="1:12" x14ac:dyDescent="0.25">
      <c r="A6" s="119" t="s">
        <v>210</v>
      </c>
      <c r="B6" s="119">
        <v>10</v>
      </c>
      <c r="C6" s="119">
        <v>19</v>
      </c>
      <c r="D6" s="119">
        <v>26</v>
      </c>
      <c r="E6" s="119">
        <v>38</v>
      </c>
      <c r="F6" s="119">
        <v>41</v>
      </c>
      <c r="G6" s="119">
        <v>46</v>
      </c>
      <c r="H6" s="119">
        <v>68</v>
      </c>
      <c r="I6" s="119">
        <v>89</v>
      </c>
      <c r="J6" s="119">
        <v>119</v>
      </c>
      <c r="K6" s="119">
        <v>142</v>
      </c>
      <c r="L6" s="122"/>
    </row>
    <row r="7" spans="1:12" x14ac:dyDescent="0.25">
      <c r="A7" s="119" t="s">
        <v>209</v>
      </c>
      <c r="B7" s="119">
        <v>9</v>
      </c>
      <c r="C7" s="119">
        <v>14</v>
      </c>
      <c r="D7" s="119">
        <v>21</v>
      </c>
      <c r="E7" s="119">
        <v>28</v>
      </c>
      <c r="F7" s="119">
        <v>34</v>
      </c>
      <c r="G7" s="119">
        <v>45</v>
      </c>
      <c r="H7" s="119">
        <v>55</v>
      </c>
      <c r="I7" s="119">
        <v>68</v>
      </c>
      <c r="J7" s="119">
        <v>84</v>
      </c>
      <c r="K7" s="119">
        <v>100</v>
      </c>
      <c r="L7" s="122"/>
    </row>
    <row r="8" spans="1:12" x14ac:dyDescent="0.25">
      <c r="A8" s="119" t="s">
        <v>208</v>
      </c>
      <c r="B8" s="119">
        <v>12</v>
      </c>
      <c r="C8" s="119">
        <v>18</v>
      </c>
      <c r="D8" s="119">
        <v>26</v>
      </c>
      <c r="E8" s="119">
        <v>33</v>
      </c>
      <c r="F8" s="119">
        <v>38</v>
      </c>
      <c r="G8" s="119">
        <v>53</v>
      </c>
      <c r="H8" s="119">
        <v>68</v>
      </c>
      <c r="I8" s="119">
        <v>82</v>
      </c>
      <c r="J8" s="119">
        <v>105</v>
      </c>
      <c r="K8" s="119">
        <v>126</v>
      </c>
      <c r="L8" s="122"/>
    </row>
    <row r="9" spans="1:12" x14ac:dyDescent="0.25">
      <c r="A9" s="119" t="s">
        <v>207</v>
      </c>
      <c r="B9" s="119">
        <v>12</v>
      </c>
      <c r="C9" s="119">
        <v>22</v>
      </c>
      <c r="D9" s="119">
        <v>33</v>
      </c>
      <c r="E9" s="119">
        <v>45</v>
      </c>
      <c r="F9" s="119">
        <v>53</v>
      </c>
      <c r="G9" s="119">
        <v>71</v>
      </c>
      <c r="H9" s="119">
        <v>87</v>
      </c>
      <c r="I9" s="119">
        <v>103</v>
      </c>
      <c r="J9" s="119">
        <v>131</v>
      </c>
      <c r="K9" s="119">
        <v>154</v>
      </c>
      <c r="L9" s="122"/>
    </row>
    <row r="10" spans="1:12" x14ac:dyDescent="0.25">
      <c r="A10" s="119" t="s">
        <v>206</v>
      </c>
      <c r="B10" s="119">
        <v>13</v>
      </c>
      <c r="C10" s="119">
        <v>19</v>
      </c>
      <c r="D10" s="119">
        <v>26</v>
      </c>
      <c r="E10" s="119">
        <v>31</v>
      </c>
      <c r="F10" s="119">
        <v>42</v>
      </c>
      <c r="G10" s="119">
        <v>67</v>
      </c>
      <c r="H10" s="119">
        <v>79</v>
      </c>
      <c r="I10" s="119">
        <v>90</v>
      </c>
      <c r="J10" s="119">
        <v>113</v>
      </c>
      <c r="K10" s="119">
        <v>134</v>
      </c>
      <c r="L10" s="122"/>
    </row>
    <row r="11" spans="1:12" x14ac:dyDescent="0.25">
      <c r="A11" s="119" t="s">
        <v>205</v>
      </c>
      <c r="B11" s="119">
        <v>9</v>
      </c>
      <c r="C11" s="119">
        <v>12</v>
      </c>
      <c r="D11" s="119">
        <v>15</v>
      </c>
      <c r="E11" s="119">
        <v>20</v>
      </c>
      <c r="F11" s="119">
        <v>30</v>
      </c>
      <c r="G11" s="119">
        <v>48</v>
      </c>
      <c r="H11" s="119">
        <v>63</v>
      </c>
      <c r="I11" s="119">
        <v>80</v>
      </c>
      <c r="J11" s="119">
        <v>102</v>
      </c>
      <c r="K11" s="119">
        <v>119</v>
      </c>
      <c r="L11" s="122"/>
    </row>
    <row r="12" spans="1:12" x14ac:dyDescent="0.25">
      <c r="A12" s="119" t="s">
        <v>204</v>
      </c>
      <c r="B12" s="119">
        <v>10</v>
      </c>
      <c r="C12" s="119">
        <v>14</v>
      </c>
      <c r="D12" s="119">
        <v>17</v>
      </c>
      <c r="E12" s="119">
        <v>23</v>
      </c>
      <c r="F12" s="119">
        <v>38</v>
      </c>
      <c r="G12" s="119">
        <v>70</v>
      </c>
      <c r="H12" s="119">
        <v>85</v>
      </c>
      <c r="I12" s="119">
        <v>101</v>
      </c>
      <c r="J12" s="119">
        <v>125</v>
      </c>
      <c r="K12" s="119">
        <v>144</v>
      </c>
      <c r="L12" s="122"/>
    </row>
    <row r="13" spans="1:12" x14ac:dyDescent="0.25">
      <c r="A13" s="119" t="s">
        <v>203</v>
      </c>
      <c r="B13" s="119">
        <v>15</v>
      </c>
      <c r="C13" s="119">
        <v>23</v>
      </c>
      <c r="D13" s="119">
        <v>31</v>
      </c>
      <c r="E13" s="119">
        <v>42</v>
      </c>
      <c r="F13" s="119">
        <v>64</v>
      </c>
      <c r="G13" s="119">
        <v>103</v>
      </c>
      <c r="H13" s="119">
        <v>121</v>
      </c>
      <c r="I13" s="119">
        <v>137</v>
      </c>
      <c r="J13" s="119">
        <v>153</v>
      </c>
      <c r="K13" s="119">
        <v>169</v>
      </c>
      <c r="L13" s="119">
        <v>193</v>
      </c>
    </row>
    <row r="14" spans="1:12" x14ac:dyDescent="0.25">
      <c r="A14" s="119" t="s">
        <v>202</v>
      </c>
      <c r="B14" s="119">
        <v>18</v>
      </c>
      <c r="C14" s="119">
        <v>28</v>
      </c>
      <c r="D14" s="119">
        <v>41</v>
      </c>
      <c r="E14" s="119">
        <v>52</v>
      </c>
      <c r="F14" s="119">
        <v>68</v>
      </c>
      <c r="G14" s="119">
        <v>97</v>
      </c>
      <c r="H14" s="119">
        <v>115</v>
      </c>
      <c r="I14" s="119">
        <v>133</v>
      </c>
      <c r="J14" s="119">
        <v>160</v>
      </c>
      <c r="K14" s="119">
        <v>185</v>
      </c>
      <c r="L14" s="119">
        <v>97</v>
      </c>
    </row>
    <row r="15" spans="1:12" x14ac:dyDescent="0.25">
      <c r="A15" s="119" t="s">
        <v>201</v>
      </c>
      <c r="B15" s="119">
        <v>17</v>
      </c>
      <c r="C15" s="119">
        <v>26</v>
      </c>
      <c r="D15" s="119">
        <v>35</v>
      </c>
      <c r="E15" s="119">
        <v>48</v>
      </c>
      <c r="F15" s="119">
        <v>58</v>
      </c>
      <c r="G15" s="119">
        <v>78</v>
      </c>
      <c r="H15" s="119">
        <v>91</v>
      </c>
      <c r="I15" s="119">
        <v>106</v>
      </c>
      <c r="J15" s="119">
        <v>141</v>
      </c>
      <c r="K15" s="119">
        <v>167</v>
      </c>
      <c r="L15" s="119">
        <v>186</v>
      </c>
    </row>
    <row r="16" spans="1:12" x14ac:dyDescent="0.25">
      <c r="A16" s="119" t="s">
        <v>200</v>
      </c>
      <c r="B16" s="119">
        <v>19</v>
      </c>
      <c r="C16" s="119">
        <v>30</v>
      </c>
      <c r="D16" s="119">
        <v>43</v>
      </c>
      <c r="E16" s="119">
        <v>56</v>
      </c>
      <c r="F16" s="119">
        <v>68</v>
      </c>
      <c r="G16" s="119">
        <v>95</v>
      </c>
      <c r="H16" s="119">
        <v>113</v>
      </c>
      <c r="I16" s="119">
        <v>130</v>
      </c>
      <c r="J16" s="119">
        <v>160</v>
      </c>
      <c r="K16" s="119">
        <v>184</v>
      </c>
      <c r="L16" s="119">
        <v>196</v>
      </c>
    </row>
    <row r="17" spans="1:12" x14ac:dyDescent="0.25">
      <c r="A17" s="119" t="s">
        <v>199</v>
      </c>
      <c r="B17" s="119">
        <v>21</v>
      </c>
      <c r="C17" s="119">
        <v>33</v>
      </c>
      <c r="D17" s="119">
        <v>45</v>
      </c>
      <c r="E17" s="119">
        <v>58</v>
      </c>
      <c r="F17" s="119">
        <v>68</v>
      </c>
      <c r="G17" s="119">
        <v>86</v>
      </c>
      <c r="H17" s="119">
        <v>101</v>
      </c>
      <c r="I17" s="119">
        <v>117</v>
      </c>
      <c r="J17" s="119">
        <v>140</v>
      </c>
      <c r="K17" s="119">
        <v>159</v>
      </c>
      <c r="L17" s="119">
        <v>179</v>
      </c>
    </row>
    <row r="18" spans="1:12" x14ac:dyDescent="0.25">
      <c r="A18" s="119" t="s">
        <v>198</v>
      </c>
      <c r="B18" s="119">
        <v>23</v>
      </c>
      <c r="C18" s="119">
        <v>32</v>
      </c>
      <c r="D18" s="119">
        <v>42</v>
      </c>
      <c r="E18" s="119">
        <v>55</v>
      </c>
      <c r="F18" s="119">
        <v>62</v>
      </c>
      <c r="G18" s="119">
        <v>76</v>
      </c>
      <c r="H18" s="119">
        <v>97</v>
      </c>
      <c r="I18" s="119">
        <v>117</v>
      </c>
      <c r="J18" s="119">
        <v>142</v>
      </c>
      <c r="K18" s="119">
        <v>165</v>
      </c>
      <c r="L18" s="119">
        <v>184</v>
      </c>
    </row>
    <row r="19" spans="1:12" x14ac:dyDescent="0.25">
      <c r="A19" s="119" t="s">
        <v>197</v>
      </c>
      <c r="B19" s="119">
        <v>18</v>
      </c>
      <c r="C19" s="119">
        <v>28</v>
      </c>
      <c r="D19" s="119">
        <v>40</v>
      </c>
      <c r="E19" s="119">
        <v>53</v>
      </c>
      <c r="F19" s="119">
        <v>59</v>
      </c>
      <c r="G19" s="119">
        <v>70</v>
      </c>
      <c r="H19" s="119">
        <v>84</v>
      </c>
      <c r="I19" s="119">
        <v>98</v>
      </c>
      <c r="J19" s="119">
        <v>122</v>
      </c>
      <c r="K19" s="119">
        <v>141</v>
      </c>
      <c r="L19" s="122"/>
    </row>
    <row r="20" spans="1:12" x14ac:dyDescent="0.25">
      <c r="A20" s="119" t="s">
        <v>196</v>
      </c>
      <c r="B20" s="119">
        <v>17</v>
      </c>
      <c r="C20" s="119">
        <v>26</v>
      </c>
      <c r="D20" s="119">
        <v>32</v>
      </c>
      <c r="E20" s="119">
        <v>40</v>
      </c>
      <c r="F20" s="119">
        <v>51</v>
      </c>
      <c r="G20" s="119">
        <v>73</v>
      </c>
      <c r="H20" s="119">
        <v>88</v>
      </c>
      <c r="I20" s="119">
        <v>102</v>
      </c>
      <c r="J20" s="119">
        <v>130</v>
      </c>
      <c r="K20" s="119">
        <v>151</v>
      </c>
      <c r="L20" s="122"/>
    </row>
    <row r="21" spans="1:12" x14ac:dyDescent="0.25">
      <c r="A21" s="119" t="s">
        <v>195</v>
      </c>
      <c r="B21" s="119">
        <v>17</v>
      </c>
      <c r="C21" s="119">
        <v>24</v>
      </c>
      <c r="D21" s="119">
        <v>30</v>
      </c>
      <c r="E21" s="119">
        <v>37</v>
      </c>
      <c r="F21" s="119">
        <v>49</v>
      </c>
      <c r="G21" s="119">
        <v>74</v>
      </c>
      <c r="H21" s="119">
        <v>91</v>
      </c>
      <c r="I21" s="119">
        <v>105</v>
      </c>
      <c r="J21" s="119">
        <v>126</v>
      </c>
      <c r="K21" s="119">
        <v>143</v>
      </c>
      <c r="L21" s="122"/>
    </row>
    <row r="22" spans="1:12" x14ac:dyDescent="0.25">
      <c r="A22" s="119" t="s">
        <v>194</v>
      </c>
      <c r="B22" s="119">
        <v>15</v>
      </c>
      <c r="C22" s="119">
        <v>23</v>
      </c>
      <c r="D22" s="119">
        <v>30</v>
      </c>
      <c r="E22" s="119">
        <v>38</v>
      </c>
      <c r="F22" s="119">
        <v>50</v>
      </c>
      <c r="G22" s="119">
        <v>71</v>
      </c>
      <c r="H22" s="119">
        <v>86</v>
      </c>
      <c r="I22" s="119">
        <v>99</v>
      </c>
      <c r="J22" s="119">
        <v>128</v>
      </c>
      <c r="K22" s="119">
        <v>152</v>
      </c>
      <c r="L22" s="122"/>
    </row>
    <row r="23" spans="1:12" x14ac:dyDescent="0.25">
      <c r="A23" s="119" t="s">
        <v>193</v>
      </c>
      <c r="B23" s="119">
        <v>15</v>
      </c>
      <c r="C23" s="119">
        <v>22</v>
      </c>
      <c r="D23" s="119">
        <v>30</v>
      </c>
      <c r="E23" s="119">
        <v>41</v>
      </c>
      <c r="F23" s="119">
        <v>56</v>
      </c>
      <c r="G23" s="119">
        <v>89</v>
      </c>
      <c r="H23" s="119">
        <v>100</v>
      </c>
      <c r="I23" s="119">
        <v>115</v>
      </c>
      <c r="J23" s="119">
        <v>142</v>
      </c>
      <c r="K23" s="119">
        <v>162</v>
      </c>
      <c r="L23" s="119">
        <v>182</v>
      </c>
    </row>
    <row r="24" spans="1:12" x14ac:dyDescent="0.25">
      <c r="A24" s="119" t="s">
        <v>192</v>
      </c>
      <c r="B24" s="119">
        <v>16</v>
      </c>
      <c r="C24" s="119">
        <v>23</v>
      </c>
      <c r="D24" s="119">
        <v>32</v>
      </c>
      <c r="E24" s="119">
        <v>42</v>
      </c>
      <c r="F24" s="119">
        <v>60</v>
      </c>
      <c r="G24" s="119">
        <v>97</v>
      </c>
      <c r="H24" s="119">
        <v>111</v>
      </c>
      <c r="I24" s="119">
        <v>133</v>
      </c>
      <c r="J24" s="119">
        <v>156</v>
      </c>
      <c r="K24" s="119">
        <v>175</v>
      </c>
      <c r="L24" s="119">
        <v>183</v>
      </c>
    </row>
    <row r="25" spans="1:12" x14ac:dyDescent="0.25">
      <c r="A25" s="119" t="s">
        <v>191</v>
      </c>
      <c r="B25" s="119">
        <v>16</v>
      </c>
      <c r="C25" s="119">
        <v>26</v>
      </c>
      <c r="D25" s="119">
        <v>37</v>
      </c>
      <c r="E25" s="119">
        <v>48</v>
      </c>
      <c r="F25" s="119">
        <v>63</v>
      </c>
      <c r="G25" s="119">
        <v>99</v>
      </c>
      <c r="H25" s="119">
        <v>114</v>
      </c>
      <c r="I25" s="119">
        <v>131</v>
      </c>
      <c r="J25" s="119">
        <v>151</v>
      </c>
      <c r="K25" s="119">
        <v>167</v>
      </c>
      <c r="L25" s="119">
        <v>187</v>
      </c>
    </row>
    <row r="26" spans="1:12" x14ac:dyDescent="0.25">
      <c r="A26" s="119" t="s">
        <v>190</v>
      </c>
      <c r="B26" s="119">
        <v>23</v>
      </c>
      <c r="C26" s="119">
        <v>34</v>
      </c>
      <c r="D26" s="119">
        <v>48</v>
      </c>
      <c r="E26" s="119">
        <v>63</v>
      </c>
      <c r="F26" s="119">
        <v>73</v>
      </c>
      <c r="G26" s="119">
        <v>96</v>
      </c>
      <c r="H26" s="119">
        <v>113</v>
      </c>
      <c r="I26" s="119">
        <v>129</v>
      </c>
      <c r="J26" s="119">
        <v>151</v>
      </c>
      <c r="K26" s="119">
        <v>171</v>
      </c>
      <c r="L26" s="119">
        <v>191</v>
      </c>
    </row>
    <row r="27" spans="1:12" x14ac:dyDescent="0.25">
      <c r="A27" s="119" t="s">
        <v>189</v>
      </c>
      <c r="B27" s="119">
        <v>15</v>
      </c>
      <c r="C27" s="119">
        <v>25</v>
      </c>
      <c r="D27" s="119">
        <v>37</v>
      </c>
      <c r="E27" s="119">
        <v>51</v>
      </c>
      <c r="F27" s="119">
        <v>62</v>
      </c>
      <c r="G27" s="119">
        <v>79</v>
      </c>
      <c r="H27" s="119">
        <v>95</v>
      </c>
      <c r="I27" s="119">
        <v>111</v>
      </c>
      <c r="J27" s="119">
        <v>136</v>
      </c>
      <c r="K27" s="119">
        <v>157</v>
      </c>
      <c r="L27" s="119">
        <v>178</v>
      </c>
    </row>
    <row r="28" spans="1:12" x14ac:dyDescent="0.25">
      <c r="A28" s="119" t="s">
        <v>188</v>
      </c>
      <c r="B28" s="119">
        <v>18</v>
      </c>
      <c r="C28" s="119">
        <v>30</v>
      </c>
      <c r="D28" s="119">
        <v>44</v>
      </c>
      <c r="E28" s="119">
        <v>59</v>
      </c>
      <c r="F28" s="119">
        <v>71</v>
      </c>
      <c r="G28" s="119">
        <v>99</v>
      </c>
      <c r="H28" s="119">
        <v>122</v>
      </c>
      <c r="I28" s="119">
        <v>143</v>
      </c>
      <c r="J28" s="119">
        <v>160</v>
      </c>
      <c r="K28" s="119">
        <v>174</v>
      </c>
      <c r="L28" s="119">
        <v>190</v>
      </c>
    </row>
    <row r="29" spans="1:12" x14ac:dyDescent="0.25">
      <c r="A29" s="119" t="s">
        <v>187</v>
      </c>
      <c r="B29" s="119">
        <v>21</v>
      </c>
      <c r="C29" s="119">
        <v>21</v>
      </c>
      <c r="D29" s="119">
        <v>21</v>
      </c>
      <c r="E29" s="119">
        <v>58</v>
      </c>
      <c r="F29" s="119">
        <v>73</v>
      </c>
      <c r="G29" s="119">
        <v>100</v>
      </c>
      <c r="H29" s="119">
        <v>139</v>
      </c>
      <c r="I29" s="119">
        <v>159</v>
      </c>
      <c r="J29" s="119">
        <v>183</v>
      </c>
      <c r="K29" s="119">
        <v>203</v>
      </c>
      <c r="L29" s="119">
        <v>200</v>
      </c>
    </row>
    <row r="30" spans="1:12" x14ac:dyDescent="0.25">
      <c r="A30" s="119" t="s">
        <v>186</v>
      </c>
      <c r="B30" s="119">
        <v>20</v>
      </c>
      <c r="C30" s="119">
        <v>32</v>
      </c>
      <c r="D30" s="119">
        <v>44</v>
      </c>
      <c r="E30" s="119">
        <v>54</v>
      </c>
      <c r="F30" s="119">
        <v>69</v>
      </c>
      <c r="G30" s="119">
        <v>98</v>
      </c>
      <c r="H30" s="119">
        <v>115</v>
      </c>
      <c r="I30" s="119">
        <v>132</v>
      </c>
      <c r="J30" s="119">
        <v>169</v>
      </c>
      <c r="K30" s="119">
        <v>197</v>
      </c>
      <c r="L30" s="119">
        <v>201</v>
      </c>
    </row>
    <row r="31" spans="1:12" x14ac:dyDescent="0.25">
      <c r="A31" s="119" t="s">
        <v>185</v>
      </c>
      <c r="B31" s="119">
        <v>22</v>
      </c>
      <c r="C31" s="119">
        <v>35</v>
      </c>
      <c r="D31" s="119">
        <v>49</v>
      </c>
      <c r="E31" s="119">
        <v>62</v>
      </c>
      <c r="F31" s="119">
        <v>75</v>
      </c>
      <c r="G31" s="119">
        <v>103</v>
      </c>
      <c r="H31" s="119">
        <v>118</v>
      </c>
      <c r="I31" s="119">
        <v>133</v>
      </c>
      <c r="J31" s="119">
        <v>165</v>
      </c>
      <c r="K31" s="119">
        <v>191</v>
      </c>
      <c r="L31" s="119">
        <v>193</v>
      </c>
    </row>
    <row r="32" spans="1:12" x14ac:dyDescent="0.25">
      <c r="A32" s="119" t="s">
        <v>184</v>
      </c>
      <c r="B32" s="119">
        <v>19</v>
      </c>
      <c r="C32" s="119">
        <v>29</v>
      </c>
      <c r="D32" s="119">
        <v>38</v>
      </c>
      <c r="E32" s="119">
        <v>48</v>
      </c>
      <c r="F32" s="119">
        <v>62</v>
      </c>
      <c r="G32" s="119">
        <v>92</v>
      </c>
      <c r="H32" s="119">
        <v>104</v>
      </c>
      <c r="I32" s="119">
        <v>117</v>
      </c>
      <c r="J32" s="119">
        <v>165</v>
      </c>
      <c r="K32" s="119">
        <v>205</v>
      </c>
      <c r="L32" s="119">
        <v>195</v>
      </c>
    </row>
    <row r="33" spans="1:12" x14ac:dyDescent="0.25">
      <c r="A33" s="119" t="s">
        <v>183</v>
      </c>
      <c r="B33" s="119">
        <v>19</v>
      </c>
      <c r="C33" s="119">
        <v>29</v>
      </c>
      <c r="D33" s="119">
        <v>42</v>
      </c>
      <c r="E33" s="119">
        <v>51</v>
      </c>
      <c r="F33" s="119">
        <v>68</v>
      </c>
      <c r="G33" s="119">
        <v>104</v>
      </c>
      <c r="H33" s="119">
        <v>125</v>
      </c>
      <c r="I33" s="119">
        <v>147</v>
      </c>
      <c r="J33" s="119">
        <v>173</v>
      </c>
      <c r="K33" s="119">
        <v>197</v>
      </c>
      <c r="L33" s="119">
        <v>194</v>
      </c>
    </row>
    <row r="34" spans="1:12" x14ac:dyDescent="0.25">
      <c r="A34" s="119" t="s">
        <v>182</v>
      </c>
      <c r="B34" s="119">
        <v>19</v>
      </c>
      <c r="C34" s="119">
        <v>31</v>
      </c>
      <c r="D34" s="119">
        <v>43</v>
      </c>
      <c r="E34" s="119">
        <v>54</v>
      </c>
      <c r="F34" s="119">
        <v>69</v>
      </c>
      <c r="G34" s="119">
        <v>103</v>
      </c>
      <c r="H34" s="119">
        <v>125</v>
      </c>
      <c r="I34" s="119">
        <v>146</v>
      </c>
      <c r="J34" s="119">
        <v>172</v>
      </c>
      <c r="K34" s="119">
        <v>195</v>
      </c>
      <c r="L34" s="119">
        <v>201</v>
      </c>
    </row>
    <row r="35" spans="1:12" x14ac:dyDescent="0.25">
      <c r="A35" s="119" t="s">
        <v>181</v>
      </c>
      <c r="B35" s="119">
        <v>18</v>
      </c>
      <c r="C35" s="119">
        <v>18</v>
      </c>
      <c r="D35" s="119">
        <v>39</v>
      </c>
      <c r="E35" s="119">
        <v>48</v>
      </c>
      <c r="F35" s="119">
        <v>62</v>
      </c>
      <c r="G35" s="119">
        <v>91</v>
      </c>
      <c r="H35" s="119">
        <v>102</v>
      </c>
      <c r="I35" s="119">
        <v>114</v>
      </c>
      <c r="J35" s="119">
        <v>144</v>
      </c>
      <c r="K35" s="119">
        <v>170</v>
      </c>
      <c r="L35" s="119">
        <v>185</v>
      </c>
    </row>
    <row r="36" spans="1:12" x14ac:dyDescent="0.25">
      <c r="A36" s="119" t="s">
        <v>180</v>
      </c>
      <c r="B36" s="119">
        <v>13</v>
      </c>
      <c r="C36" s="119">
        <v>17</v>
      </c>
      <c r="D36" s="119">
        <v>25</v>
      </c>
      <c r="E36" s="119">
        <v>32</v>
      </c>
      <c r="F36" s="119">
        <v>41</v>
      </c>
      <c r="G36" s="119">
        <v>63</v>
      </c>
      <c r="H36" s="119">
        <v>79</v>
      </c>
      <c r="I36" s="119">
        <v>95</v>
      </c>
      <c r="J36" s="119">
        <v>118</v>
      </c>
      <c r="K36" s="119">
        <v>132</v>
      </c>
      <c r="L36" s="122"/>
    </row>
    <row r="37" spans="1:12" x14ac:dyDescent="0.25">
      <c r="A37" s="119" t="s">
        <v>179</v>
      </c>
      <c r="B37" s="119">
        <v>16</v>
      </c>
      <c r="C37" s="119">
        <v>26</v>
      </c>
      <c r="D37" s="119">
        <v>39</v>
      </c>
      <c r="E37" s="119">
        <v>52</v>
      </c>
      <c r="F37" s="119">
        <v>67</v>
      </c>
      <c r="G37" s="119">
        <v>98</v>
      </c>
      <c r="H37" s="119">
        <v>119</v>
      </c>
      <c r="I37" s="119">
        <v>137</v>
      </c>
      <c r="J37" s="119">
        <v>163</v>
      </c>
      <c r="K37" s="119">
        <v>185</v>
      </c>
      <c r="L37" s="119">
        <v>198</v>
      </c>
    </row>
    <row r="38" spans="1:12" x14ac:dyDescent="0.25">
      <c r="A38" s="119" t="s">
        <v>178</v>
      </c>
      <c r="B38" s="119">
        <v>15</v>
      </c>
      <c r="C38" s="119">
        <v>23</v>
      </c>
      <c r="D38" s="119">
        <v>33</v>
      </c>
      <c r="E38" s="119">
        <v>45</v>
      </c>
      <c r="F38" s="119">
        <v>61</v>
      </c>
      <c r="G38" s="119">
        <v>92</v>
      </c>
      <c r="H38" s="119">
        <v>116</v>
      </c>
      <c r="I38" s="119">
        <v>143</v>
      </c>
      <c r="J38" s="119">
        <v>174</v>
      </c>
      <c r="K38" s="119">
        <v>200</v>
      </c>
      <c r="L38" s="119">
        <v>192</v>
      </c>
    </row>
    <row r="39" spans="1:12" x14ac:dyDescent="0.25">
      <c r="A39" s="119" t="s">
        <v>177</v>
      </c>
      <c r="B39" s="119">
        <v>11</v>
      </c>
      <c r="C39" s="119">
        <v>21</v>
      </c>
      <c r="D39" s="119">
        <v>30</v>
      </c>
      <c r="E39" s="119">
        <v>40</v>
      </c>
      <c r="F39" s="119">
        <v>57</v>
      </c>
      <c r="G39" s="119">
        <v>91</v>
      </c>
      <c r="H39" s="119">
        <v>109</v>
      </c>
      <c r="I39" s="119">
        <v>126</v>
      </c>
      <c r="J39" s="119">
        <v>163</v>
      </c>
      <c r="K39" s="119">
        <v>196</v>
      </c>
      <c r="L39" s="119">
        <v>199</v>
      </c>
    </row>
    <row r="40" spans="1:12" x14ac:dyDescent="0.25">
      <c r="A40" s="119" t="s">
        <v>176</v>
      </c>
      <c r="B40" s="119">
        <v>11</v>
      </c>
      <c r="C40" s="119">
        <v>11</v>
      </c>
      <c r="D40" s="119">
        <v>11</v>
      </c>
      <c r="E40" s="119">
        <v>38</v>
      </c>
      <c r="F40" s="119">
        <v>54</v>
      </c>
      <c r="G40" s="119">
        <v>83</v>
      </c>
      <c r="H40" s="119">
        <v>106</v>
      </c>
      <c r="I40" s="119">
        <v>129</v>
      </c>
      <c r="J40" s="119">
        <v>163</v>
      </c>
      <c r="K40" s="119">
        <v>191</v>
      </c>
      <c r="L40" s="119">
        <v>200</v>
      </c>
    </row>
    <row r="41" spans="1:12" x14ac:dyDescent="0.25">
      <c r="A41" s="119" t="s">
        <v>175</v>
      </c>
      <c r="B41" s="119">
        <v>10</v>
      </c>
      <c r="C41" s="119">
        <v>10</v>
      </c>
      <c r="D41" s="119">
        <v>10</v>
      </c>
      <c r="E41" s="119">
        <v>37</v>
      </c>
      <c r="F41" s="119">
        <v>52</v>
      </c>
      <c r="G41" s="119">
        <v>80</v>
      </c>
      <c r="H41" s="119">
        <v>110</v>
      </c>
      <c r="I41" s="119">
        <v>139</v>
      </c>
      <c r="J41" s="119">
        <v>173</v>
      </c>
      <c r="K41" s="119">
        <v>203</v>
      </c>
      <c r="L41" s="119">
        <v>197</v>
      </c>
    </row>
    <row r="42" spans="1:12" x14ac:dyDescent="0.25">
      <c r="A42" s="119" t="s">
        <v>174</v>
      </c>
      <c r="B42" s="119">
        <v>11</v>
      </c>
      <c r="C42" s="119">
        <v>11</v>
      </c>
      <c r="D42" s="119">
        <v>11</v>
      </c>
      <c r="E42" s="119">
        <v>35</v>
      </c>
      <c r="F42" s="119">
        <v>54</v>
      </c>
      <c r="G42" s="119">
        <v>90</v>
      </c>
      <c r="H42" s="119">
        <v>112</v>
      </c>
      <c r="I42" s="119">
        <v>134</v>
      </c>
      <c r="J42" s="119">
        <v>168</v>
      </c>
      <c r="K42" s="119">
        <v>195</v>
      </c>
      <c r="L42" s="119">
        <v>185</v>
      </c>
    </row>
    <row r="43" spans="1:12" x14ac:dyDescent="0.25">
      <c r="A43" s="119" t="s">
        <v>173</v>
      </c>
      <c r="B43" s="119">
        <v>13</v>
      </c>
      <c r="C43" s="119">
        <v>22</v>
      </c>
      <c r="D43" s="119">
        <v>31</v>
      </c>
      <c r="E43" s="119">
        <v>38</v>
      </c>
      <c r="F43" s="119">
        <v>52</v>
      </c>
      <c r="G43" s="119">
        <v>79</v>
      </c>
      <c r="H43" s="119">
        <v>104</v>
      </c>
      <c r="I43" s="119">
        <v>129</v>
      </c>
      <c r="J43" s="119">
        <v>158</v>
      </c>
      <c r="K43" s="119">
        <v>182</v>
      </c>
      <c r="L43" s="119">
        <v>189</v>
      </c>
    </row>
    <row r="44" spans="1:12" x14ac:dyDescent="0.25">
      <c r="A44" s="119" t="s">
        <v>172</v>
      </c>
      <c r="B44" s="119">
        <v>12</v>
      </c>
      <c r="C44" s="119">
        <v>22</v>
      </c>
      <c r="D44" s="119">
        <v>34</v>
      </c>
      <c r="E44" s="119">
        <v>46</v>
      </c>
      <c r="F44" s="119">
        <v>61</v>
      </c>
      <c r="G44" s="119">
        <v>93</v>
      </c>
      <c r="H44" s="119">
        <v>107</v>
      </c>
      <c r="I44" s="119">
        <v>125</v>
      </c>
      <c r="J44" s="119">
        <v>157</v>
      </c>
      <c r="K44" s="119">
        <v>183</v>
      </c>
      <c r="L44" s="119">
        <v>194</v>
      </c>
    </row>
    <row r="45" spans="1:12" x14ac:dyDescent="0.25">
      <c r="A45" s="119" t="s">
        <v>171</v>
      </c>
      <c r="B45" s="119">
        <v>15</v>
      </c>
      <c r="C45" s="119">
        <v>25</v>
      </c>
      <c r="D45" s="119">
        <v>36</v>
      </c>
      <c r="E45" s="119">
        <v>49</v>
      </c>
      <c r="F45" s="119">
        <v>63</v>
      </c>
      <c r="G45" s="119">
        <v>95</v>
      </c>
      <c r="H45" s="119">
        <v>111</v>
      </c>
      <c r="I45" s="119">
        <v>127</v>
      </c>
      <c r="J45" s="119">
        <v>160</v>
      </c>
      <c r="K45" s="119">
        <v>187</v>
      </c>
      <c r="L45" s="119">
        <v>191</v>
      </c>
    </row>
    <row r="46" spans="1:12" x14ac:dyDescent="0.25">
      <c r="A46" s="119" t="s">
        <v>170</v>
      </c>
      <c r="B46" s="119">
        <v>12</v>
      </c>
      <c r="C46" s="119">
        <v>12</v>
      </c>
      <c r="D46" s="119">
        <v>12</v>
      </c>
      <c r="E46" s="119">
        <v>33</v>
      </c>
      <c r="F46" s="119">
        <v>41</v>
      </c>
      <c r="G46" s="119">
        <v>59</v>
      </c>
      <c r="H46" s="119">
        <v>76</v>
      </c>
      <c r="I46" s="119">
        <v>92</v>
      </c>
      <c r="J46" s="119">
        <v>121</v>
      </c>
      <c r="K46" s="119">
        <v>143</v>
      </c>
      <c r="L46" s="122"/>
    </row>
    <row r="47" spans="1:12" x14ac:dyDescent="0.25">
      <c r="A47" s="119" t="s">
        <v>169</v>
      </c>
      <c r="B47" s="119">
        <v>11</v>
      </c>
      <c r="C47" s="119">
        <v>20</v>
      </c>
      <c r="D47" s="119">
        <v>27</v>
      </c>
      <c r="E47" s="119">
        <v>37</v>
      </c>
      <c r="F47" s="119">
        <v>54</v>
      </c>
      <c r="G47" s="119">
        <v>88</v>
      </c>
      <c r="H47" s="119">
        <v>107</v>
      </c>
      <c r="I47" s="119">
        <v>125</v>
      </c>
      <c r="J47" s="119">
        <v>144</v>
      </c>
      <c r="K47" s="119">
        <v>159</v>
      </c>
      <c r="L47" s="119">
        <v>179</v>
      </c>
    </row>
    <row r="48" spans="1:12" x14ac:dyDescent="0.25">
      <c r="A48" s="119" t="s">
        <v>168</v>
      </c>
      <c r="B48" s="119">
        <v>15</v>
      </c>
      <c r="C48" s="119">
        <v>24</v>
      </c>
      <c r="D48" s="119">
        <v>33</v>
      </c>
      <c r="E48" s="119">
        <v>41</v>
      </c>
      <c r="F48" s="119">
        <v>56</v>
      </c>
      <c r="G48" s="119">
        <v>85</v>
      </c>
      <c r="H48" s="119">
        <v>104</v>
      </c>
      <c r="I48" s="119">
        <v>121</v>
      </c>
      <c r="J48" s="119">
        <v>146</v>
      </c>
      <c r="K48" s="119">
        <v>166</v>
      </c>
      <c r="L48" s="119">
        <v>190</v>
      </c>
    </row>
    <row r="49" spans="1:12" x14ac:dyDescent="0.25">
      <c r="A49" s="119" t="s">
        <v>167</v>
      </c>
      <c r="B49" s="119">
        <v>17</v>
      </c>
      <c r="C49" s="119">
        <v>23</v>
      </c>
      <c r="D49" s="119">
        <v>30</v>
      </c>
      <c r="E49" s="119">
        <v>38</v>
      </c>
      <c r="F49" s="119">
        <v>54</v>
      </c>
      <c r="G49" s="119">
        <v>85</v>
      </c>
      <c r="H49" s="119">
        <v>105</v>
      </c>
      <c r="I49" s="119">
        <v>123</v>
      </c>
      <c r="J49" s="119">
        <v>141</v>
      </c>
      <c r="K49" s="119">
        <v>156</v>
      </c>
      <c r="L49" s="119">
        <v>182</v>
      </c>
    </row>
    <row r="50" spans="1:12" x14ac:dyDescent="0.25">
      <c r="A50" s="119" t="s">
        <v>166</v>
      </c>
      <c r="B50" s="119">
        <v>21</v>
      </c>
      <c r="C50" s="119">
        <v>31</v>
      </c>
      <c r="D50" s="119">
        <v>44</v>
      </c>
      <c r="E50" s="119">
        <v>57</v>
      </c>
      <c r="F50" s="119">
        <v>71</v>
      </c>
      <c r="G50" s="119">
        <v>99</v>
      </c>
      <c r="H50" s="119">
        <v>119</v>
      </c>
      <c r="I50" s="119">
        <v>140</v>
      </c>
      <c r="J50" s="122"/>
      <c r="K50" s="119">
        <v>166</v>
      </c>
      <c r="L50" s="119">
        <v>184</v>
      </c>
    </row>
    <row r="51" spans="1:12" x14ac:dyDescent="0.25">
      <c r="A51" s="119" t="s">
        <v>165</v>
      </c>
      <c r="B51" s="119">
        <v>20</v>
      </c>
      <c r="C51" s="119">
        <v>30</v>
      </c>
      <c r="D51" s="119">
        <v>42</v>
      </c>
      <c r="E51" s="119">
        <v>53</v>
      </c>
      <c r="F51" s="119">
        <v>70</v>
      </c>
      <c r="G51" s="119">
        <v>101</v>
      </c>
      <c r="H51" s="119">
        <v>119</v>
      </c>
      <c r="I51" s="119">
        <v>137</v>
      </c>
      <c r="J51" s="122"/>
      <c r="K51" s="119">
        <v>160</v>
      </c>
      <c r="L51" s="119">
        <v>175</v>
      </c>
    </row>
    <row r="52" spans="1:12" x14ac:dyDescent="0.25">
      <c r="A52" s="119" t="s">
        <v>164</v>
      </c>
      <c r="B52" s="119">
        <v>19</v>
      </c>
      <c r="C52" s="119">
        <v>28</v>
      </c>
      <c r="D52" s="119">
        <v>39</v>
      </c>
      <c r="E52" s="119">
        <v>50</v>
      </c>
      <c r="F52" s="119">
        <v>62</v>
      </c>
      <c r="G52" s="119">
        <v>87</v>
      </c>
      <c r="H52" s="119">
        <v>103</v>
      </c>
      <c r="I52" s="119">
        <v>119</v>
      </c>
      <c r="J52" s="122"/>
      <c r="K52" s="119">
        <v>141</v>
      </c>
      <c r="L52" s="119">
        <v>160</v>
      </c>
    </row>
    <row r="53" spans="1:12" x14ac:dyDescent="0.25">
      <c r="A53" s="119" t="s">
        <v>163</v>
      </c>
      <c r="B53" s="119">
        <v>21</v>
      </c>
      <c r="C53" s="119">
        <v>30</v>
      </c>
      <c r="D53" s="119">
        <v>41</v>
      </c>
      <c r="E53" s="119">
        <v>50</v>
      </c>
      <c r="F53" s="119">
        <v>62</v>
      </c>
      <c r="G53" s="119">
        <v>87</v>
      </c>
      <c r="H53" s="119">
        <v>117</v>
      </c>
      <c r="I53" s="119">
        <v>145</v>
      </c>
      <c r="J53" s="122"/>
      <c r="K53" s="119">
        <v>182</v>
      </c>
      <c r="L53" s="119">
        <v>195</v>
      </c>
    </row>
    <row r="54" spans="1:12" x14ac:dyDescent="0.25">
      <c r="A54" s="119" t="s">
        <v>162</v>
      </c>
      <c r="B54" s="119">
        <v>18</v>
      </c>
      <c r="C54" s="119">
        <v>29</v>
      </c>
      <c r="D54" s="119">
        <v>42</v>
      </c>
      <c r="E54" s="119">
        <v>54</v>
      </c>
      <c r="F54" s="119">
        <v>69</v>
      </c>
      <c r="G54" s="119">
        <v>99</v>
      </c>
      <c r="H54" s="119">
        <v>119</v>
      </c>
      <c r="I54" s="119">
        <v>139</v>
      </c>
      <c r="J54" s="122"/>
      <c r="K54" s="119">
        <v>165</v>
      </c>
      <c r="L54" s="119">
        <v>183</v>
      </c>
    </row>
    <row r="55" spans="1:12" x14ac:dyDescent="0.25">
      <c r="A55" s="119" t="s">
        <v>161</v>
      </c>
      <c r="B55" s="119">
        <v>17</v>
      </c>
      <c r="C55" s="119">
        <v>26</v>
      </c>
      <c r="D55" s="119">
        <v>35</v>
      </c>
      <c r="E55" s="119">
        <v>44</v>
      </c>
      <c r="F55" s="119">
        <v>57</v>
      </c>
      <c r="G55" s="119">
        <v>88</v>
      </c>
      <c r="H55" s="119">
        <v>102</v>
      </c>
      <c r="I55" s="119">
        <v>115</v>
      </c>
      <c r="J55" s="122"/>
      <c r="K55" s="119">
        <v>133</v>
      </c>
      <c r="L55" s="119">
        <v>158</v>
      </c>
    </row>
    <row r="56" spans="1:12" x14ac:dyDescent="0.25">
      <c r="A56" s="119" t="s">
        <v>160</v>
      </c>
      <c r="B56" s="119">
        <v>17</v>
      </c>
      <c r="C56" s="119">
        <v>26</v>
      </c>
      <c r="D56" s="119">
        <v>25</v>
      </c>
      <c r="E56" s="119">
        <v>46</v>
      </c>
      <c r="F56" s="119">
        <v>56</v>
      </c>
      <c r="G56" s="119">
        <v>77</v>
      </c>
      <c r="H56" s="119">
        <v>92</v>
      </c>
      <c r="I56" s="119">
        <v>106</v>
      </c>
      <c r="J56" s="122"/>
      <c r="K56" s="119">
        <v>125</v>
      </c>
      <c r="L56" s="122"/>
    </row>
    <row r="57" spans="1:12" x14ac:dyDescent="0.25">
      <c r="A57" s="119" t="s">
        <v>159</v>
      </c>
      <c r="B57" s="119">
        <v>13</v>
      </c>
      <c r="C57" s="119">
        <v>16</v>
      </c>
      <c r="D57" s="119">
        <v>18</v>
      </c>
      <c r="E57" s="119">
        <v>23</v>
      </c>
      <c r="F57" s="119">
        <v>36</v>
      </c>
      <c r="G57" s="119">
        <v>59</v>
      </c>
      <c r="H57" s="119">
        <v>74</v>
      </c>
      <c r="I57" s="119">
        <v>89</v>
      </c>
      <c r="J57" s="122"/>
      <c r="K57" s="119">
        <v>111</v>
      </c>
      <c r="L57" s="122"/>
    </row>
    <row r="58" spans="1:12" x14ac:dyDescent="0.25">
      <c r="A58" s="119" t="s">
        <v>158</v>
      </c>
      <c r="B58" s="119">
        <v>15</v>
      </c>
      <c r="C58" s="119">
        <v>28</v>
      </c>
      <c r="D58" s="119">
        <v>42</v>
      </c>
      <c r="E58" s="119">
        <v>55</v>
      </c>
      <c r="F58" s="119">
        <v>64</v>
      </c>
      <c r="G58" s="119">
        <v>83</v>
      </c>
      <c r="H58" s="119">
        <v>102</v>
      </c>
      <c r="I58" s="119">
        <v>122</v>
      </c>
      <c r="J58" s="122"/>
      <c r="K58" s="119">
        <v>148</v>
      </c>
      <c r="L58" s="122"/>
    </row>
    <row r="59" spans="1:12" x14ac:dyDescent="0.25">
      <c r="A59" s="119" t="s">
        <v>157</v>
      </c>
      <c r="B59" s="119">
        <v>15</v>
      </c>
      <c r="C59" s="119">
        <v>15</v>
      </c>
      <c r="D59" s="119">
        <v>15</v>
      </c>
      <c r="E59" s="119">
        <v>45</v>
      </c>
      <c r="F59" s="119">
        <v>57</v>
      </c>
      <c r="G59" s="119">
        <v>84</v>
      </c>
      <c r="H59" s="119">
        <v>100</v>
      </c>
      <c r="I59" s="119">
        <v>115</v>
      </c>
      <c r="J59" s="122"/>
      <c r="K59" s="119">
        <v>136</v>
      </c>
      <c r="L59" s="122"/>
    </row>
    <row r="60" spans="1:12" x14ac:dyDescent="0.25">
      <c r="A60" s="119" t="s">
        <v>156</v>
      </c>
      <c r="B60" s="119">
        <v>18</v>
      </c>
      <c r="C60" s="119">
        <v>30</v>
      </c>
      <c r="D60" s="119">
        <v>41</v>
      </c>
      <c r="E60" s="119">
        <v>52</v>
      </c>
      <c r="F60" s="119">
        <v>64</v>
      </c>
      <c r="G60" s="119">
        <v>89</v>
      </c>
      <c r="H60" s="119">
        <v>102</v>
      </c>
      <c r="I60" s="119">
        <v>115</v>
      </c>
      <c r="J60" s="122"/>
      <c r="K60" s="119">
        <v>133</v>
      </c>
      <c r="L60" s="122"/>
    </row>
    <row r="61" spans="1:12" x14ac:dyDescent="0.25">
      <c r="A61" s="119" t="s">
        <v>155</v>
      </c>
      <c r="B61" s="119">
        <v>16</v>
      </c>
      <c r="C61" s="119">
        <v>25</v>
      </c>
      <c r="D61" s="119">
        <v>35</v>
      </c>
      <c r="E61" s="119">
        <v>47</v>
      </c>
      <c r="F61" s="119">
        <v>56</v>
      </c>
      <c r="G61" s="119">
        <v>73</v>
      </c>
      <c r="H61" s="119">
        <v>87</v>
      </c>
      <c r="I61" s="119">
        <v>101</v>
      </c>
      <c r="J61" s="122"/>
      <c r="K61" s="119">
        <v>120</v>
      </c>
      <c r="L61" s="122"/>
    </row>
    <row r="62" spans="1:12" x14ac:dyDescent="0.25">
      <c r="A62" s="119" t="s">
        <v>154</v>
      </c>
      <c r="B62" s="119">
        <v>16</v>
      </c>
      <c r="C62" s="119">
        <v>27</v>
      </c>
      <c r="D62" s="119">
        <v>38</v>
      </c>
      <c r="E62" s="119">
        <v>49</v>
      </c>
      <c r="F62" s="119">
        <v>58</v>
      </c>
      <c r="G62" s="119">
        <v>88</v>
      </c>
      <c r="H62" s="119">
        <v>108</v>
      </c>
      <c r="I62" s="119">
        <v>127</v>
      </c>
      <c r="J62" s="122"/>
      <c r="K62" s="119">
        <v>141</v>
      </c>
      <c r="L62" s="122"/>
    </row>
    <row r="63" spans="1:12" x14ac:dyDescent="0.25">
      <c r="A63" s="119" t="s">
        <v>153</v>
      </c>
      <c r="B63" s="119">
        <v>14</v>
      </c>
      <c r="C63" s="119">
        <v>22</v>
      </c>
      <c r="D63" s="119">
        <v>33</v>
      </c>
      <c r="E63" s="119">
        <v>42</v>
      </c>
      <c r="F63" s="119">
        <v>63</v>
      </c>
      <c r="G63" s="119">
        <v>105</v>
      </c>
      <c r="H63" s="119">
        <v>125</v>
      </c>
      <c r="I63" s="119">
        <v>147</v>
      </c>
      <c r="J63" s="122"/>
      <c r="K63" s="119">
        <v>177</v>
      </c>
      <c r="L63" s="119">
        <v>195</v>
      </c>
    </row>
    <row r="64" spans="1:12" x14ac:dyDescent="0.25">
      <c r="A64" s="119" t="s">
        <v>152</v>
      </c>
      <c r="B64" s="119">
        <v>13</v>
      </c>
      <c r="C64" s="119">
        <v>22</v>
      </c>
      <c r="D64" s="119">
        <v>32</v>
      </c>
      <c r="E64" s="119">
        <v>42</v>
      </c>
      <c r="F64" s="119">
        <v>64</v>
      </c>
      <c r="G64" s="119">
        <v>98</v>
      </c>
      <c r="H64" s="119">
        <v>119</v>
      </c>
      <c r="I64" s="119">
        <v>139</v>
      </c>
      <c r="J64" s="122"/>
      <c r="K64" s="119">
        <v>166</v>
      </c>
      <c r="L64" s="119">
        <v>186</v>
      </c>
    </row>
    <row r="65" spans="1:12" x14ac:dyDescent="0.25">
      <c r="A65" s="119" t="s">
        <v>151</v>
      </c>
      <c r="B65" s="119">
        <v>11</v>
      </c>
      <c r="C65" s="119">
        <v>26</v>
      </c>
      <c r="D65" s="119">
        <v>41</v>
      </c>
      <c r="E65" s="119">
        <v>54</v>
      </c>
      <c r="F65" s="119">
        <v>62</v>
      </c>
      <c r="G65" s="119">
        <v>102</v>
      </c>
      <c r="H65" s="119">
        <v>122</v>
      </c>
      <c r="I65" s="119">
        <v>142</v>
      </c>
      <c r="J65" s="122"/>
      <c r="K65" s="119">
        <v>167</v>
      </c>
      <c r="L65" s="119">
        <v>184</v>
      </c>
    </row>
    <row r="66" spans="1:12" x14ac:dyDescent="0.25">
      <c r="A66" s="119" t="s">
        <v>150</v>
      </c>
      <c r="B66" s="119">
        <v>12</v>
      </c>
      <c r="C66" s="119">
        <v>20</v>
      </c>
      <c r="D66" s="119">
        <v>31</v>
      </c>
      <c r="E66" s="119">
        <v>40</v>
      </c>
      <c r="F66" s="119">
        <v>64</v>
      </c>
      <c r="G66" s="119">
        <v>100</v>
      </c>
      <c r="H66" s="119">
        <v>122</v>
      </c>
      <c r="I66" s="119">
        <v>144</v>
      </c>
      <c r="J66" s="122"/>
      <c r="K66" s="119">
        <v>172</v>
      </c>
      <c r="L66" s="119">
        <v>199</v>
      </c>
    </row>
    <row r="67" spans="1:12" x14ac:dyDescent="0.25">
      <c r="A67" s="119" t="s">
        <v>149</v>
      </c>
      <c r="B67" s="119">
        <v>13</v>
      </c>
      <c r="C67" s="119">
        <v>20</v>
      </c>
      <c r="D67" s="119">
        <v>32</v>
      </c>
      <c r="E67" s="119">
        <v>41</v>
      </c>
      <c r="F67" s="119">
        <v>64</v>
      </c>
      <c r="G67" s="119">
        <v>92</v>
      </c>
      <c r="H67" s="119">
        <v>111</v>
      </c>
      <c r="I67" s="119">
        <v>130</v>
      </c>
      <c r="J67" s="122"/>
      <c r="K67" s="119">
        <v>156</v>
      </c>
      <c r="L67" s="119">
        <v>175</v>
      </c>
    </row>
    <row r="68" spans="1:12" x14ac:dyDescent="0.25">
      <c r="A68" s="119" t="s">
        <v>148</v>
      </c>
      <c r="B68" s="119">
        <v>12</v>
      </c>
      <c r="C68" s="119">
        <v>20</v>
      </c>
      <c r="D68" s="119">
        <v>30</v>
      </c>
      <c r="E68" s="119">
        <v>39</v>
      </c>
      <c r="F68" s="119">
        <v>61</v>
      </c>
      <c r="G68" s="119">
        <v>99</v>
      </c>
      <c r="H68" s="119">
        <v>120</v>
      </c>
      <c r="I68" s="119">
        <v>143</v>
      </c>
      <c r="J68" s="122"/>
      <c r="K68" s="119">
        <v>175</v>
      </c>
      <c r="L68" s="119">
        <v>191</v>
      </c>
    </row>
    <row r="69" spans="1:12" x14ac:dyDescent="0.25">
      <c r="A69" s="119" t="s">
        <v>147</v>
      </c>
      <c r="B69" s="119">
        <v>10</v>
      </c>
      <c r="C69" s="119">
        <v>17</v>
      </c>
      <c r="D69" s="119">
        <v>25</v>
      </c>
      <c r="E69" s="119">
        <v>33</v>
      </c>
      <c r="F69" s="119">
        <v>50</v>
      </c>
      <c r="G69" s="119">
        <v>87</v>
      </c>
      <c r="H69" s="119">
        <v>109</v>
      </c>
      <c r="I69" s="119">
        <v>131</v>
      </c>
      <c r="J69" s="122"/>
      <c r="K69" s="119">
        <v>160</v>
      </c>
      <c r="L69" s="119">
        <v>184</v>
      </c>
    </row>
    <row r="70" spans="1:12" x14ac:dyDescent="0.25">
      <c r="A70" s="119" t="s">
        <v>146</v>
      </c>
      <c r="B70" s="119">
        <v>14</v>
      </c>
      <c r="C70" s="119">
        <v>23</v>
      </c>
      <c r="D70" s="119">
        <v>34</v>
      </c>
      <c r="E70" s="119">
        <v>43</v>
      </c>
      <c r="F70" s="119">
        <v>65</v>
      </c>
      <c r="G70" s="119">
        <v>98</v>
      </c>
      <c r="H70" s="119">
        <v>113</v>
      </c>
      <c r="I70" s="119">
        <v>127</v>
      </c>
      <c r="J70" s="122"/>
      <c r="K70" s="119">
        <v>147</v>
      </c>
      <c r="L70" s="122"/>
    </row>
    <row r="71" spans="1:12" x14ac:dyDescent="0.25">
      <c r="A71" s="119" t="s">
        <v>145</v>
      </c>
      <c r="B71" s="119">
        <v>11</v>
      </c>
      <c r="C71" s="119">
        <v>22</v>
      </c>
      <c r="D71" s="119">
        <v>34</v>
      </c>
      <c r="E71" s="119">
        <v>45</v>
      </c>
      <c r="F71" s="119">
        <v>61</v>
      </c>
      <c r="G71" s="119">
        <v>93</v>
      </c>
      <c r="H71" s="119">
        <v>113</v>
      </c>
      <c r="I71" s="119">
        <v>133</v>
      </c>
      <c r="J71" s="122"/>
      <c r="K71" s="119">
        <v>161</v>
      </c>
      <c r="L71" s="119">
        <v>189</v>
      </c>
    </row>
    <row r="72" spans="1:12" x14ac:dyDescent="0.25">
      <c r="A72" s="119" t="s">
        <v>144</v>
      </c>
      <c r="B72" s="119">
        <v>10</v>
      </c>
      <c r="C72" s="119">
        <v>20</v>
      </c>
      <c r="D72" s="119">
        <v>29</v>
      </c>
      <c r="E72" s="119">
        <v>38</v>
      </c>
      <c r="F72" s="119">
        <v>52</v>
      </c>
      <c r="G72" s="119">
        <v>78</v>
      </c>
      <c r="H72" s="119">
        <v>92</v>
      </c>
      <c r="I72" s="119">
        <v>106</v>
      </c>
      <c r="J72" s="122"/>
      <c r="K72" s="119">
        <v>125</v>
      </c>
      <c r="L72" s="122"/>
    </row>
    <row r="73" spans="1:12" x14ac:dyDescent="0.25">
      <c r="A73" s="119" t="s">
        <v>143</v>
      </c>
      <c r="B73" s="119">
        <v>15</v>
      </c>
      <c r="C73" s="119">
        <v>25</v>
      </c>
      <c r="D73" s="119">
        <v>36</v>
      </c>
      <c r="E73" s="119">
        <v>46</v>
      </c>
      <c r="F73" s="119">
        <v>58</v>
      </c>
      <c r="G73" s="119">
        <v>80</v>
      </c>
      <c r="H73" s="119">
        <v>92</v>
      </c>
      <c r="I73" s="119">
        <v>103</v>
      </c>
      <c r="J73" s="122"/>
      <c r="K73" s="119">
        <v>117</v>
      </c>
      <c r="L73" s="122"/>
    </row>
    <row r="74" spans="1:12" x14ac:dyDescent="0.25">
      <c r="A74" s="119" t="s">
        <v>142</v>
      </c>
      <c r="B74" s="119">
        <v>12</v>
      </c>
      <c r="C74" s="119">
        <v>21</v>
      </c>
      <c r="D74" s="119">
        <v>32</v>
      </c>
      <c r="E74" s="119">
        <v>42</v>
      </c>
      <c r="F74" s="119">
        <v>52</v>
      </c>
      <c r="G74" s="119">
        <v>70</v>
      </c>
      <c r="H74" s="119">
        <v>86</v>
      </c>
      <c r="I74" s="119">
        <v>102</v>
      </c>
      <c r="J74" s="122"/>
      <c r="K74" s="119">
        <v>124</v>
      </c>
      <c r="L74" s="122"/>
    </row>
    <row r="75" spans="1:12" x14ac:dyDescent="0.25">
      <c r="A75" s="119" t="s">
        <v>141</v>
      </c>
      <c r="B75" s="119">
        <v>13</v>
      </c>
      <c r="C75" s="119">
        <v>22</v>
      </c>
      <c r="D75" s="119">
        <v>33</v>
      </c>
      <c r="E75" s="119">
        <v>44</v>
      </c>
      <c r="F75" s="119">
        <v>54</v>
      </c>
      <c r="G75" s="119">
        <v>75</v>
      </c>
      <c r="H75" s="119">
        <v>90</v>
      </c>
      <c r="I75" s="119">
        <v>105</v>
      </c>
      <c r="J75" s="122"/>
      <c r="K75" s="119">
        <v>126</v>
      </c>
      <c r="L75" s="122"/>
    </row>
    <row r="76" spans="1:12" x14ac:dyDescent="0.25">
      <c r="A76" s="119" t="s">
        <v>140</v>
      </c>
      <c r="B76" s="119">
        <v>12</v>
      </c>
      <c r="C76" s="119">
        <v>23</v>
      </c>
      <c r="D76" s="119">
        <v>32</v>
      </c>
      <c r="E76" s="119">
        <v>43</v>
      </c>
      <c r="F76" s="119">
        <v>54</v>
      </c>
      <c r="G76" s="119">
        <v>75</v>
      </c>
      <c r="H76" s="119">
        <v>88</v>
      </c>
      <c r="I76" s="119">
        <v>98</v>
      </c>
      <c r="J76" s="122"/>
      <c r="K76" s="119">
        <v>111</v>
      </c>
      <c r="L76" s="122"/>
    </row>
    <row r="77" spans="1:12" x14ac:dyDescent="0.25">
      <c r="A77" s="119" t="s">
        <v>139</v>
      </c>
      <c r="B77" s="119">
        <v>11</v>
      </c>
      <c r="C77" s="119">
        <v>19</v>
      </c>
      <c r="D77" s="119">
        <v>28</v>
      </c>
      <c r="E77" s="119">
        <v>38</v>
      </c>
      <c r="F77" s="119">
        <v>51</v>
      </c>
      <c r="G77" s="119">
        <v>81</v>
      </c>
      <c r="H77" s="119">
        <v>105</v>
      </c>
      <c r="I77" s="119">
        <v>126</v>
      </c>
      <c r="J77" s="122"/>
      <c r="K77" s="119">
        <v>155</v>
      </c>
      <c r="L77" s="122"/>
    </row>
    <row r="78" spans="1:12" x14ac:dyDescent="0.25">
      <c r="A78" s="119" t="s">
        <v>138</v>
      </c>
      <c r="B78" s="119">
        <v>9</v>
      </c>
      <c r="C78" s="119">
        <v>13</v>
      </c>
      <c r="D78" s="119">
        <v>20</v>
      </c>
      <c r="E78" s="119">
        <v>26</v>
      </c>
      <c r="F78" s="119">
        <v>40</v>
      </c>
      <c r="G78" s="119">
        <v>72</v>
      </c>
      <c r="H78" s="119">
        <v>91</v>
      </c>
      <c r="I78" s="119">
        <v>109</v>
      </c>
      <c r="J78" s="122"/>
      <c r="K78" s="119">
        <v>132</v>
      </c>
      <c r="L78" s="122"/>
    </row>
    <row r="79" spans="1:12" x14ac:dyDescent="0.25">
      <c r="A79" s="119" t="s">
        <v>137</v>
      </c>
      <c r="B79" s="119">
        <v>12</v>
      </c>
      <c r="C79" s="119">
        <v>19</v>
      </c>
      <c r="D79" s="119">
        <v>30</v>
      </c>
      <c r="E79" s="119">
        <v>40</v>
      </c>
      <c r="F79" s="119">
        <v>54</v>
      </c>
      <c r="G79" s="119">
        <v>81</v>
      </c>
      <c r="H79" s="119">
        <v>98</v>
      </c>
      <c r="I79" s="119">
        <v>114</v>
      </c>
      <c r="J79" s="122"/>
      <c r="K79" s="119">
        <v>136</v>
      </c>
      <c r="L79" s="122"/>
    </row>
    <row r="80" spans="1:12" x14ac:dyDescent="0.25">
      <c r="A80" s="119" t="s">
        <v>136</v>
      </c>
      <c r="B80" s="119">
        <v>12</v>
      </c>
      <c r="C80" s="119">
        <v>20</v>
      </c>
      <c r="D80" s="119">
        <v>27</v>
      </c>
      <c r="E80" s="119">
        <v>38</v>
      </c>
      <c r="F80" s="119">
        <v>49</v>
      </c>
      <c r="G80" s="119">
        <v>74</v>
      </c>
      <c r="H80" s="119">
        <v>90</v>
      </c>
      <c r="I80" s="119">
        <v>105</v>
      </c>
      <c r="J80" s="122"/>
      <c r="K80" s="119">
        <v>125</v>
      </c>
      <c r="L80" s="122"/>
    </row>
    <row r="81" spans="1:12" x14ac:dyDescent="0.25">
      <c r="A81" s="119" t="s">
        <v>135</v>
      </c>
      <c r="B81" s="119">
        <v>13</v>
      </c>
      <c r="C81" s="119">
        <v>20</v>
      </c>
      <c r="D81" s="119">
        <v>31</v>
      </c>
      <c r="E81" s="119">
        <v>39</v>
      </c>
      <c r="F81" s="119">
        <v>49</v>
      </c>
      <c r="G81" s="119">
        <v>70</v>
      </c>
      <c r="H81" s="119">
        <v>87</v>
      </c>
      <c r="I81" s="119">
        <v>104</v>
      </c>
      <c r="J81" s="122"/>
      <c r="K81" s="119">
        <v>127</v>
      </c>
      <c r="L81" s="122"/>
    </row>
    <row r="82" spans="1:12" x14ac:dyDescent="0.25">
      <c r="A82" s="119" t="s">
        <v>134</v>
      </c>
      <c r="B82" s="119">
        <v>11</v>
      </c>
      <c r="C82" s="119">
        <v>19</v>
      </c>
      <c r="D82" s="119">
        <v>25</v>
      </c>
      <c r="E82" s="119">
        <v>32</v>
      </c>
      <c r="F82" s="119">
        <v>45</v>
      </c>
      <c r="G82" s="119">
        <v>71</v>
      </c>
      <c r="H82" s="119">
        <v>83</v>
      </c>
      <c r="I82" s="119">
        <v>95</v>
      </c>
      <c r="J82" s="122"/>
      <c r="K82" s="119">
        <v>112</v>
      </c>
      <c r="L82" s="122"/>
    </row>
    <row r="83" spans="1:12" x14ac:dyDescent="0.25">
      <c r="A83" s="119" t="s">
        <v>133</v>
      </c>
      <c r="B83" s="119">
        <v>11</v>
      </c>
      <c r="C83" s="119">
        <v>15</v>
      </c>
      <c r="D83" s="119">
        <v>21</v>
      </c>
      <c r="E83" s="119">
        <v>28</v>
      </c>
      <c r="F83" s="119">
        <v>48</v>
      </c>
      <c r="G83" s="119">
        <v>87</v>
      </c>
      <c r="H83" s="119">
        <v>103</v>
      </c>
      <c r="I83" s="119">
        <v>117</v>
      </c>
      <c r="J83" s="122"/>
      <c r="K83" s="119">
        <v>134</v>
      </c>
      <c r="L83" s="122"/>
    </row>
    <row r="84" spans="1:12" x14ac:dyDescent="0.25">
      <c r="A84" s="119" t="s">
        <v>132</v>
      </c>
      <c r="B84" s="119">
        <v>13</v>
      </c>
      <c r="C84" s="119">
        <v>21</v>
      </c>
      <c r="D84" s="119">
        <v>28</v>
      </c>
      <c r="E84" s="119">
        <v>37</v>
      </c>
      <c r="F84" s="119">
        <v>56</v>
      </c>
      <c r="G84" s="119">
        <v>93</v>
      </c>
      <c r="H84" s="119">
        <v>112</v>
      </c>
      <c r="I84" s="119">
        <v>132</v>
      </c>
      <c r="J84" s="122"/>
      <c r="K84" s="119">
        <v>160</v>
      </c>
      <c r="L84" s="119">
        <v>176</v>
      </c>
    </row>
    <row r="85" spans="1:12" x14ac:dyDescent="0.25">
      <c r="A85" s="119" t="s">
        <v>131</v>
      </c>
      <c r="B85" s="119">
        <v>13</v>
      </c>
      <c r="C85" s="119">
        <v>25</v>
      </c>
      <c r="D85" s="119">
        <v>38</v>
      </c>
      <c r="E85" s="119">
        <v>50</v>
      </c>
      <c r="F85" s="119">
        <v>68</v>
      </c>
      <c r="G85" s="119">
        <v>103</v>
      </c>
      <c r="H85" s="119">
        <v>114</v>
      </c>
      <c r="I85" s="119">
        <v>124</v>
      </c>
      <c r="J85" s="122"/>
      <c r="K85" s="119">
        <v>140</v>
      </c>
      <c r="L85" s="119">
        <v>160</v>
      </c>
    </row>
    <row r="86" spans="1:12" x14ac:dyDescent="0.25">
      <c r="A86" s="119" t="s">
        <v>130</v>
      </c>
      <c r="B86" s="119">
        <v>17</v>
      </c>
      <c r="C86" s="119">
        <v>27</v>
      </c>
      <c r="D86" s="119">
        <v>36</v>
      </c>
      <c r="E86" s="119">
        <v>49</v>
      </c>
      <c r="F86" s="119">
        <v>55</v>
      </c>
      <c r="G86" s="119">
        <v>64</v>
      </c>
      <c r="H86" s="119">
        <v>83</v>
      </c>
      <c r="I86" s="119">
        <v>104</v>
      </c>
      <c r="J86" s="122"/>
      <c r="K86" s="119">
        <v>131</v>
      </c>
      <c r="L86" s="122"/>
    </row>
    <row r="87" spans="1:12" x14ac:dyDescent="0.25">
      <c r="A87" s="119" t="s">
        <v>129</v>
      </c>
      <c r="B87" s="119">
        <v>16</v>
      </c>
      <c r="C87" s="119">
        <v>28</v>
      </c>
      <c r="D87" s="119">
        <v>42</v>
      </c>
      <c r="E87" s="119">
        <v>55</v>
      </c>
      <c r="F87" s="119">
        <v>64</v>
      </c>
      <c r="G87" s="119">
        <v>83</v>
      </c>
      <c r="H87" s="119">
        <v>98</v>
      </c>
      <c r="I87" s="119">
        <v>113</v>
      </c>
      <c r="J87" s="122"/>
      <c r="K87" s="119">
        <v>133</v>
      </c>
      <c r="L87" s="122"/>
    </row>
    <row r="88" spans="1:12" x14ac:dyDescent="0.25">
      <c r="A88" s="119" t="s">
        <v>128</v>
      </c>
      <c r="B88" s="119">
        <v>15</v>
      </c>
      <c r="C88" s="119">
        <v>26</v>
      </c>
      <c r="D88" s="119">
        <v>35</v>
      </c>
      <c r="E88" s="119">
        <v>47</v>
      </c>
      <c r="F88" s="119">
        <v>58</v>
      </c>
      <c r="G88" s="119">
        <v>77</v>
      </c>
      <c r="H88" s="119">
        <v>98</v>
      </c>
      <c r="I88" s="119">
        <v>121</v>
      </c>
      <c r="J88" s="122"/>
      <c r="K88" s="119">
        <v>153</v>
      </c>
      <c r="L88" s="122"/>
    </row>
    <row r="89" spans="1:12" x14ac:dyDescent="0.25">
      <c r="A89" s="119" t="s">
        <v>127</v>
      </c>
      <c r="B89" s="119">
        <v>15</v>
      </c>
      <c r="C89" s="119">
        <v>29</v>
      </c>
      <c r="D89" s="119">
        <v>41</v>
      </c>
      <c r="E89" s="119">
        <v>56</v>
      </c>
      <c r="F89" s="119">
        <v>71</v>
      </c>
      <c r="G89" s="119">
        <v>102</v>
      </c>
      <c r="H89" s="119">
        <v>112</v>
      </c>
      <c r="I89" s="119">
        <v>124</v>
      </c>
      <c r="J89" s="122"/>
      <c r="K89" s="119">
        <v>170</v>
      </c>
      <c r="L89" s="119">
        <v>188</v>
      </c>
    </row>
    <row r="90" spans="1:12" x14ac:dyDescent="0.25">
      <c r="A90" s="119" t="s">
        <v>126</v>
      </c>
      <c r="B90" s="119">
        <v>15</v>
      </c>
      <c r="C90" s="119">
        <v>25</v>
      </c>
      <c r="D90" s="119">
        <v>35</v>
      </c>
      <c r="E90" s="119">
        <v>46</v>
      </c>
      <c r="F90" s="119">
        <v>61</v>
      </c>
      <c r="G90" s="119">
        <v>88</v>
      </c>
      <c r="H90" s="119">
        <v>108</v>
      </c>
      <c r="I90" s="119">
        <v>126</v>
      </c>
      <c r="J90" s="122"/>
      <c r="K90" s="119">
        <v>151</v>
      </c>
      <c r="L90" s="122"/>
    </row>
    <row r="91" spans="1:12" x14ac:dyDescent="0.25">
      <c r="A91" s="119" t="s">
        <v>125</v>
      </c>
      <c r="B91" s="119">
        <v>13</v>
      </c>
      <c r="C91" s="119">
        <v>24</v>
      </c>
      <c r="D91" s="119">
        <v>35</v>
      </c>
      <c r="E91" s="119">
        <v>47</v>
      </c>
      <c r="F91" s="119">
        <v>59</v>
      </c>
      <c r="G91" s="119">
        <v>83</v>
      </c>
      <c r="H91" s="119">
        <v>102</v>
      </c>
      <c r="I91" s="119">
        <v>120</v>
      </c>
      <c r="J91" s="122"/>
      <c r="K91" s="119">
        <v>144</v>
      </c>
      <c r="L91" s="122"/>
    </row>
    <row r="92" spans="1:12" x14ac:dyDescent="0.25">
      <c r="A92" s="119" t="s">
        <v>124</v>
      </c>
      <c r="B92" s="119">
        <v>17</v>
      </c>
      <c r="C92" s="119">
        <v>25</v>
      </c>
      <c r="D92" s="119">
        <v>35</v>
      </c>
      <c r="E92" s="119">
        <v>46</v>
      </c>
      <c r="F92" s="119">
        <v>58</v>
      </c>
      <c r="G92" s="119">
        <v>82</v>
      </c>
      <c r="H92" s="119">
        <v>94</v>
      </c>
      <c r="I92" s="119">
        <v>107</v>
      </c>
      <c r="J92" s="122"/>
      <c r="K92" s="119">
        <v>125</v>
      </c>
      <c r="L92" s="122"/>
    </row>
    <row r="93" spans="1:12" x14ac:dyDescent="0.25">
      <c r="A93" s="119" t="s">
        <v>123</v>
      </c>
      <c r="B93" s="119">
        <v>14</v>
      </c>
      <c r="C93" s="119">
        <v>22</v>
      </c>
      <c r="D93" s="119">
        <v>31</v>
      </c>
      <c r="E93" s="119">
        <v>42</v>
      </c>
      <c r="F93" s="119">
        <v>54</v>
      </c>
      <c r="G93" s="119">
        <v>84</v>
      </c>
      <c r="H93" s="119">
        <v>98</v>
      </c>
      <c r="I93" s="119">
        <v>112</v>
      </c>
      <c r="J93" s="122"/>
      <c r="K93" s="119">
        <v>130</v>
      </c>
      <c r="L93" s="122"/>
    </row>
    <row r="94" spans="1:12" x14ac:dyDescent="0.25">
      <c r="A94" s="119" t="s">
        <v>122</v>
      </c>
      <c r="B94" s="119">
        <v>13</v>
      </c>
      <c r="C94" s="119">
        <v>22</v>
      </c>
      <c r="D94" s="119">
        <v>30</v>
      </c>
      <c r="E94" s="119">
        <v>39</v>
      </c>
      <c r="F94" s="119">
        <v>49</v>
      </c>
      <c r="G94" s="119">
        <v>70</v>
      </c>
      <c r="H94" s="119">
        <v>79</v>
      </c>
      <c r="I94" s="119">
        <v>90</v>
      </c>
      <c r="J94" s="122"/>
      <c r="K94" s="119">
        <v>105</v>
      </c>
      <c r="L94" s="122"/>
    </row>
    <row r="95" spans="1:12" x14ac:dyDescent="0.25">
      <c r="A95" s="119" t="s">
        <v>121</v>
      </c>
      <c r="B95" s="119">
        <v>15</v>
      </c>
      <c r="C95" s="119">
        <v>24</v>
      </c>
      <c r="D95" s="119">
        <v>34</v>
      </c>
      <c r="E95" s="119">
        <v>45</v>
      </c>
      <c r="F95" s="119">
        <v>61</v>
      </c>
      <c r="G95" s="119">
        <v>94</v>
      </c>
      <c r="H95" s="119">
        <v>110</v>
      </c>
      <c r="I95" s="119">
        <v>126</v>
      </c>
      <c r="J95" s="122"/>
      <c r="K95" s="119">
        <v>148</v>
      </c>
      <c r="L95" s="122"/>
    </row>
    <row r="96" spans="1:12" x14ac:dyDescent="0.25">
      <c r="A96" s="119" t="s">
        <v>120</v>
      </c>
      <c r="B96" s="119">
        <v>17</v>
      </c>
      <c r="C96" s="119">
        <v>26</v>
      </c>
      <c r="D96" s="119">
        <v>37</v>
      </c>
      <c r="E96" s="119">
        <v>49</v>
      </c>
      <c r="F96" s="119">
        <v>64</v>
      </c>
      <c r="G96" s="119">
        <v>93</v>
      </c>
      <c r="H96" s="119">
        <v>106</v>
      </c>
      <c r="I96" s="119">
        <v>119</v>
      </c>
      <c r="J96" s="122"/>
      <c r="K96" s="119">
        <v>168</v>
      </c>
      <c r="L96" s="119">
        <v>180</v>
      </c>
    </row>
    <row r="97" spans="1:12" x14ac:dyDescent="0.25">
      <c r="A97" s="119" t="s">
        <v>119</v>
      </c>
      <c r="B97" s="119">
        <v>14</v>
      </c>
      <c r="C97" s="119">
        <v>23</v>
      </c>
      <c r="D97" s="119">
        <v>34</v>
      </c>
      <c r="E97" s="119">
        <v>43</v>
      </c>
      <c r="F97" s="119">
        <v>58</v>
      </c>
      <c r="G97" s="119">
        <v>89</v>
      </c>
      <c r="H97" s="119">
        <v>105</v>
      </c>
      <c r="I97" s="119">
        <v>123</v>
      </c>
      <c r="J97" s="122"/>
      <c r="K97" s="119">
        <v>146</v>
      </c>
      <c r="L97" s="119">
        <v>166</v>
      </c>
    </row>
    <row r="98" spans="1:12" x14ac:dyDescent="0.25">
      <c r="A98" s="119" t="s">
        <v>118</v>
      </c>
      <c r="B98" s="119">
        <v>16</v>
      </c>
      <c r="C98" s="119">
        <v>24</v>
      </c>
      <c r="D98" s="119">
        <v>33</v>
      </c>
      <c r="E98" s="119">
        <v>41</v>
      </c>
      <c r="F98" s="119">
        <v>56</v>
      </c>
      <c r="G98" s="119">
        <v>85</v>
      </c>
      <c r="H98" s="119">
        <v>109</v>
      </c>
      <c r="I98" s="119">
        <v>132</v>
      </c>
      <c r="J98" s="122"/>
      <c r="K98" s="119">
        <v>163</v>
      </c>
      <c r="L98" s="119">
        <v>180</v>
      </c>
    </row>
    <row r="99" spans="1:12" x14ac:dyDescent="0.25">
      <c r="A99" s="119" t="s">
        <v>117</v>
      </c>
      <c r="B99" s="119">
        <v>17</v>
      </c>
      <c r="C99" s="119">
        <v>25</v>
      </c>
      <c r="D99" s="119">
        <v>33</v>
      </c>
      <c r="E99" s="119">
        <v>42</v>
      </c>
      <c r="F99" s="119">
        <v>55</v>
      </c>
      <c r="G99" s="119">
        <v>86</v>
      </c>
      <c r="H99" s="119">
        <v>107</v>
      </c>
      <c r="I99" s="119">
        <v>127</v>
      </c>
      <c r="J99" s="122"/>
      <c r="K99" s="119">
        <v>156</v>
      </c>
      <c r="L99" s="119">
        <v>174</v>
      </c>
    </row>
    <row r="100" spans="1:12" x14ac:dyDescent="0.25">
      <c r="A100" s="119" t="s">
        <v>116</v>
      </c>
      <c r="B100" s="119">
        <v>12</v>
      </c>
      <c r="C100" s="119">
        <v>18</v>
      </c>
      <c r="D100" s="119">
        <v>23</v>
      </c>
      <c r="E100" s="119">
        <v>30</v>
      </c>
      <c r="F100" s="119">
        <v>52</v>
      </c>
      <c r="G100" s="119">
        <v>88</v>
      </c>
      <c r="H100" s="119">
        <v>116</v>
      </c>
      <c r="I100" s="119">
        <v>141</v>
      </c>
      <c r="J100" s="122"/>
      <c r="K100" s="119">
        <v>175</v>
      </c>
      <c r="L100" s="119">
        <v>182</v>
      </c>
    </row>
    <row r="101" spans="1:12" x14ac:dyDescent="0.25">
      <c r="A101" s="119" t="s">
        <v>115</v>
      </c>
      <c r="B101" s="119">
        <v>16</v>
      </c>
      <c r="C101" s="119">
        <v>22</v>
      </c>
      <c r="D101" s="119">
        <v>27</v>
      </c>
      <c r="E101" s="119">
        <v>34</v>
      </c>
      <c r="F101" s="119">
        <v>45</v>
      </c>
      <c r="G101" s="119">
        <v>69</v>
      </c>
      <c r="H101" s="119">
        <v>88</v>
      </c>
      <c r="I101" s="119">
        <v>106</v>
      </c>
      <c r="J101" s="122"/>
      <c r="K101" s="119">
        <v>130</v>
      </c>
      <c r="L101" s="122"/>
    </row>
    <row r="102" spans="1:12" x14ac:dyDescent="0.25">
      <c r="A102" s="119" t="s">
        <v>114</v>
      </c>
      <c r="B102" s="119">
        <v>11</v>
      </c>
      <c r="C102" s="119">
        <v>19</v>
      </c>
      <c r="D102" s="119">
        <v>28</v>
      </c>
      <c r="E102" s="119">
        <v>38</v>
      </c>
      <c r="F102" s="119">
        <v>56</v>
      </c>
      <c r="G102" s="119">
        <v>92</v>
      </c>
      <c r="H102" s="119">
        <v>112</v>
      </c>
      <c r="I102" s="119">
        <v>134</v>
      </c>
      <c r="J102" s="122"/>
      <c r="K102" s="119">
        <v>167</v>
      </c>
      <c r="L102" s="119">
        <v>183</v>
      </c>
    </row>
    <row r="103" spans="1:12" x14ac:dyDescent="0.25">
      <c r="A103" s="119" t="s">
        <v>113</v>
      </c>
      <c r="B103" s="119">
        <v>11</v>
      </c>
      <c r="C103" s="119">
        <v>18</v>
      </c>
      <c r="D103" s="119">
        <v>23</v>
      </c>
      <c r="E103" s="119">
        <v>29</v>
      </c>
      <c r="F103" s="119">
        <v>40</v>
      </c>
      <c r="G103" s="119">
        <v>61</v>
      </c>
      <c r="H103" s="119">
        <v>74</v>
      </c>
      <c r="I103" s="119">
        <v>86</v>
      </c>
      <c r="J103" s="122"/>
      <c r="K103" s="119">
        <v>103</v>
      </c>
      <c r="L103" s="122"/>
    </row>
    <row r="104" spans="1:12" x14ac:dyDescent="0.25">
      <c r="A104" s="119" t="s">
        <v>112</v>
      </c>
      <c r="B104" s="119">
        <v>13</v>
      </c>
      <c r="C104" s="119">
        <v>24</v>
      </c>
      <c r="D104" s="119">
        <v>36</v>
      </c>
      <c r="E104" s="119">
        <v>48</v>
      </c>
      <c r="F104" s="119">
        <v>64</v>
      </c>
      <c r="G104" s="119">
        <v>97</v>
      </c>
      <c r="H104" s="119">
        <v>116</v>
      </c>
      <c r="I104" s="119">
        <v>136</v>
      </c>
      <c r="J104" s="122"/>
      <c r="K104" s="119">
        <v>164</v>
      </c>
      <c r="L104" s="119">
        <v>184</v>
      </c>
    </row>
    <row r="105" spans="1:12" x14ac:dyDescent="0.25">
      <c r="A105" s="119" t="s">
        <v>111</v>
      </c>
      <c r="B105" s="119">
        <v>11</v>
      </c>
      <c r="C105" s="119">
        <v>21</v>
      </c>
      <c r="D105" s="119">
        <v>32</v>
      </c>
      <c r="E105" s="119">
        <v>43</v>
      </c>
      <c r="F105" s="119">
        <v>59</v>
      </c>
      <c r="G105" s="119">
        <v>88</v>
      </c>
      <c r="H105" s="119">
        <v>107</v>
      </c>
      <c r="I105" s="119">
        <v>128</v>
      </c>
      <c r="J105" s="122"/>
      <c r="K105" s="119">
        <v>156</v>
      </c>
      <c r="L105" s="119">
        <v>177</v>
      </c>
    </row>
    <row r="106" spans="1:12" x14ac:dyDescent="0.25">
      <c r="A106" s="119" t="s">
        <v>110</v>
      </c>
      <c r="B106" s="119">
        <v>12</v>
      </c>
      <c r="C106" s="119">
        <v>22</v>
      </c>
      <c r="D106" s="119">
        <v>34</v>
      </c>
      <c r="E106" s="119">
        <v>45</v>
      </c>
      <c r="F106" s="119">
        <v>60</v>
      </c>
      <c r="G106" s="119">
        <v>89</v>
      </c>
      <c r="H106" s="119">
        <v>107</v>
      </c>
      <c r="I106" s="119">
        <v>124</v>
      </c>
      <c r="J106" s="122"/>
      <c r="K106" s="119">
        <v>150</v>
      </c>
      <c r="L106" s="122"/>
    </row>
    <row r="107" spans="1:12" x14ac:dyDescent="0.25">
      <c r="A107" s="119" t="s">
        <v>109</v>
      </c>
      <c r="B107" s="119">
        <v>12</v>
      </c>
      <c r="C107" s="119">
        <v>19</v>
      </c>
      <c r="D107" s="119">
        <v>30</v>
      </c>
      <c r="E107" s="119">
        <v>42</v>
      </c>
      <c r="F107" s="119">
        <v>55</v>
      </c>
      <c r="G107" s="119">
        <v>82</v>
      </c>
      <c r="H107" s="119">
        <v>93</v>
      </c>
      <c r="I107" s="119">
        <v>104</v>
      </c>
      <c r="J107" s="122"/>
      <c r="K107" s="119">
        <v>119</v>
      </c>
      <c r="L107" s="122"/>
    </row>
    <row r="108" spans="1:12" x14ac:dyDescent="0.25">
      <c r="A108" s="119" t="s">
        <v>108</v>
      </c>
      <c r="B108" s="119">
        <v>13</v>
      </c>
      <c r="C108" s="119">
        <v>23</v>
      </c>
      <c r="D108" s="119">
        <v>32</v>
      </c>
      <c r="E108" s="119">
        <v>42</v>
      </c>
      <c r="F108" s="119">
        <v>56</v>
      </c>
      <c r="G108" s="119">
        <v>85</v>
      </c>
      <c r="H108" s="119">
        <v>100</v>
      </c>
      <c r="I108" s="119">
        <v>116</v>
      </c>
      <c r="J108" s="122"/>
      <c r="K108" s="119">
        <v>138</v>
      </c>
      <c r="L108" s="122"/>
    </row>
    <row r="109" spans="1:12" x14ac:dyDescent="0.25">
      <c r="A109" s="119" t="s">
        <v>107</v>
      </c>
      <c r="B109" s="119">
        <v>12</v>
      </c>
      <c r="C109" s="119">
        <v>22</v>
      </c>
      <c r="D109" s="119">
        <v>32</v>
      </c>
      <c r="E109" s="119">
        <v>43</v>
      </c>
      <c r="F109" s="119">
        <v>56</v>
      </c>
      <c r="G109" s="119">
        <v>84</v>
      </c>
      <c r="H109" s="119">
        <v>101</v>
      </c>
      <c r="I109" s="119">
        <v>120</v>
      </c>
      <c r="J109" s="122"/>
      <c r="K109" s="119">
        <v>144</v>
      </c>
      <c r="L109" s="122"/>
    </row>
    <row r="110" spans="1:12" x14ac:dyDescent="0.25">
      <c r="A110" s="119" t="s">
        <v>106</v>
      </c>
      <c r="B110" s="119">
        <v>16</v>
      </c>
      <c r="C110" s="119">
        <v>27</v>
      </c>
      <c r="D110" s="119">
        <v>38</v>
      </c>
      <c r="E110" s="119">
        <v>49</v>
      </c>
      <c r="F110" s="119">
        <v>60</v>
      </c>
      <c r="G110" s="119">
        <v>91</v>
      </c>
      <c r="H110" s="119">
        <v>109</v>
      </c>
      <c r="I110" s="119">
        <v>131</v>
      </c>
      <c r="J110" s="122"/>
      <c r="K110" s="119">
        <v>161</v>
      </c>
      <c r="L110" s="119">
        <v>180</v>
      </c>
    </row>
    <row r="111" spans="1:12" x14ac:dyDescent="0.25">
      <c r="A111" s="119" t="s">
        <v>105</v>
      </c>
      <c r="B111" s="119">
        <v>16</v>
      </c>
      <c r="C111" s="119">
        <v>28</v>
      </c>
      <c r="D111" s="119">
        <v>40</v>
      </c>
      <c r="E111" s="119">
        <v>52</v>
      </c>
      <c r="F111" s="119">
        <v>68</v>
      </c>
      <c r="G111" s="119">
        <v>98</v>
      </c>
      <c r="H111" s="119">
        <v>123</v>
      </c>
      <c r="I111" s="119">
        <v>146</v>
      </c>
      <c r="J111" s="122"/>
      <c r="K111" s="119">
        <v>176</v>
      </c>
      <c r="L111" s="119">
        <v>189</v>
      </c>
    </row>
    <row r="112" spans="1:12" x14ac:dyDescent="0.25">
      <c r="A112" s="119" t="s">
        <v>104</v>
      </c>
      <c r="B112" s="119">
        <v>15</v>
      </c>
      <c r="C112" s="119">
        <v>27</v>
      </c>
      <c r="D112" s="119">
        <v>40</v>
      </c>
      <c r="E112" s="119">
        <v>51</v>
      </c>
      <c r="F112" s="119">
        <v>60</v>
      </c>
      <c r="G112" s="119">
        <v>79</v>
      </c>
      <c r="H112" s="119">
        <v>101</v>
      </c>
      <c r="I112" s="119">
        <v>119</v>
      </c>
      <c r="J112" s="122"/>
      <c r="K112" s="119">
        <v>143</v>
      </c>
      <c r="L112" s="122"/>
    </row>
    <row r="113" spans="1:12" x14ac:dyDescent="0.25">
      <c r="A113" s="119" t="s">
        <v>103</v>
      </c>
      <c r="B113" s="119">
        <v>16</v>
      </c>
      <c r="C113" s="119">
        <v>29</v>
      </c>
      <c r="D113" s="119">
        <v>43</v>
      </c>
      <c r="E113" s="119">
        <v>56</v>
      </c>
      <c r="F113" s="119">
        <v>71</v>
      </c>
      <c r="G113" s="119">
        <v>101</v>
      </c>
      <c r="H113" s="119">
        <v>121</v>
      </c>
      <c r="I113" s="119">
        <v>142</v>
      </c>
      <c r="J113" s="122"/>
      <c r="K113" s="119">
        <v>166</v>
      </c>
      <c r="L113" s="119">
        <v>184</v>
      </c>
    </row>
    <row r="114" spans="1:12" x14ac:dyDescent="0.25">
      <c r="A114" s="119" t="s">
        <v>102</v>
      </c>
      <c r="B114" s="119">
        <v>15</v>
      </c>
      <c r="C114" s="119">
        <v>24</v>
      </c>
      <c r="D114" s="119">
        <v>33</v>
      </c>
      <c r="E114" s="119">
        <v>44</v>
      </c>
      <c r="F114" s="119">
        <v>53</v>
      </c>
      <c r="G114" s="119">
        <v>72</v>
      </c>
      <c r="H114" s="119">
        <v>90</v>
      </c>
      <c r="I114" s="119">
        <v>108</v>
      </c>
      <c r="J114" s="122"/>
      <c r="K114" s="119">
        <v>131</v>
      </c>
      <c r="L114" s="122"/>
    </row>
    <row r="115" spans="1:12" x14ac:dyDescent="0.25">
      <c r="A115" s="119" t="s">
        <v>101</v>
      </c>
      <c r="B115" s="119">
        <v>17</v>
      </c>
      <c r="C115" s="119">
        <v>30</v>
      </c>
      <c r="D115" s="119">
        <v>44</v>
      </c>
      <c r="E115" s="119">
        <v>57</v>
      </c>
      <c r="F115" s="119">
        <v>73</v>
      </c>
      <c r="G115" s="119">
        <v>104</v>
      </c>
      <c r="H115" s="119">
        <v>118</v>
      </c>
      <c r="I115" s="119">
        <v>133</v>
      </c>
      <c r="J115" s="122"/>
      <c r="K115" s="119">
        <v>153</v>
      </c>
      <c r="L115" s="122"/>
    </row>
    <row r="116" spans="1:12" x14ac:dyDescent="0.25">
      <c r="A116" s="119" t="s">
        <v>100</v>
      </c>
      <c r="B116" s="119">
        <v>14</v>
      </c>
      <c r="C116" s="119">
        <v>23</v>
      </c>
      <c r="D116" s="119">
        <v>34</v>
      </c>
      <c r="E116" s="119">
        <v>43</v>
      </c>
      <c r="F116" s="119">
        <v>63</v>
      </c>
      <c r="G116" s="119">
        <v>84</v>
      </c>
      <c r="H116" s="119">
        <v>99</v>
      </c>
      <c r="I116" s="119">
        <v>116</v>
      </c>
      <c r="J116" s="122"/>
      <c r="K116" s="119">
        <v>134</v>
      </c>
      <c r="L116" s="122"/>
    </row>
    <row r="117" spans="1:12" x14ac:dyDescent="0.25">
      <c r="A117" s="119" t="s">
        <v>99</v>
      </c>
      <c r="B117" s="119">
        <v>15</v>
      </c>
      <c r="C117" s="119">
        <v>25</v>
      </c>
      <c r="D117" s="119">
        <v>35</v>
      </c>
      <c r="E117" s="119">
        <v>44</v>
      </c>
      <c r="F117" s="119">
        <v>64</v>
      </c>
      <c r="G117" s="119">
        <v>95</v>
      </c>
      <c r="H117" s="119">
        <v>114</v>
      </c>
      <c r="I117" s="119">
        <v>131</v>
      </c>
      <c r="J117" s="122"/>
      <c r="K117" s="119">
        <v>154</v>
      </c>
      <c r="L117" s="122"/>
    </row>
    <row r="118" spans="1:12" x14ac:dyDescent="0.25">
      <c r="A118" s="119" t="s">
        <v>98</v>
      </c>
      <c r="B118" s="119">
        <v>15</v>
      </c>
      <c r="C118" s="119">
        <v>23</v>
      </c>
      <c r="D118" s="119">
        <v>34</v>
      </c>
      <c r="E118" s="119">
        <v>43</v>
      </c>
      <c r="F118" s="119">
        <v>59</v>
      </c>
      <c r="G118" s="119">
        <v>92</v>
      </c>
      <c r="H118" s="119">
        <v>105</v>
      </c>
      <c r="I118" s="119">
        <v>118</v>
      </c>
      <c r="J118" s="122"/>
      <c r="K118" s="119">
        <v>136</v>
      </c>
      <c r="L118" s="122"/>
    </row>
    <row r="119" spans="1:12" x14ac:dyDescent="0.25">
      <c r="A119" s="119" t="s">
        <v>97</v>
      </c>
      <c r="B119" s="119">
        <v>12</v>
      </c>
      <c r="C119" s="119">
        <v>23</v>
      </c>
      <c r="D119" s="119">
        <v>35</v>
      </c>
      <c r="E119" s="119">
        <v>46</v>
      </c>
      <c r="F119" s="119">
        <v>61</v>
      </c>
      <c r="G119" s="119">
        <v>86</v>
      </c>
      <c r="H119" s="119">
        <v>101</v>
      </c>
      <c r="I119" s="119">
        <v>116</v>
      </c>
      <c r="J119" s="122"/>
      <c r="K119" s="119">
        <v>135</v>
      </c>
      <c r="L119" s="122"/>
    </row>
    <row r="120" spans="1:12" x14ac:dyDescent="0.25">
      <c r="A120" s="119" t="s">
        <v>96</v>
      </c>
      <c r="B120" s="119">
        <v>14</v>
      </c>
      <c r="C120" s="119">
        <v>23</v>
      </c>
      <c r="D120" s="119">
        <v>33</v>
      </c>
      <c r="E120" s="119">
        <v>43</v>
      </c>
      <c r="F120" s="119">
        <v>51</v>
      </c>
      <c r="G120" s="119">
        <v>65</v>
      </c>
      <c r="H120" s="119">
        <v>75</v>
      </c>
      <c r="I120" s="119">
        <v>85</v>
      </c>
      <c r="J120" s="122"/>
      <c r="K120" s="119">
        <v>99</v>
      </c>
      <c r="L120" s="119">
        <v>123</v>
      </c>
    </row>
    <row r="121" spans="1:12" x14ac:dyDescent="0.25">
      <c r="A121" s="119" t="s">
        <v>95</v>
      </c>
      <c r="B121" s="119">
        <v>14</v>
      </c>
      <c r="C121" s="119">
        <v>22</v>
      </c>
      <c r="D121" s="119">
        <v>31</v>
      </c>
      <c r="E121" s="119">
        <v>40</v>
      </c>
      <c r="F121" s="119">
        <v>53</v>
      </c>
      <c r="G121" s="119">
        <v>78</v>
      </c>
      <c r="H121" s="119">
        <v>88</v>
      </c>
      <c r="I121" s="119">
        <v>97</v>
      </c>
      <c r="J121" s="122"/>
      <c r="K121" s="119">
        <v>110</v>
      </c>
      <c r="L121" s="122"/>
    </row>
    <row r="122" spans="1:12" x14ac:dyDescent="0.25">
      <c r="A122" s="119" t="s">
        <v>94</v>
      </c>
      <c r="B122" s="119">
        <v>22</v>
      </c>
      <c r="C122" s="119">
        <v>31</v>
      </c>
      <c r="D122" s="119">
        <v>40</v>
      </c>
      <c r="E122" s="119">
        <v>48</v>
      </c>
      <c r="F122" s="119">
        <v>58</v>
      </c>
      <c r="G122" s="119">
        <v>77</v>
      </c>
      <c r="H122" s="119">
        <v>92</v>
      </c>
      <c r="I122" s="119">
        <v>107</v>
      </c>
      <c r="J122" s="122"/>
      <c r="K122" s="119">
        <v>128</v>
      </c>
      <c r="L122" s="122"/>
    </row>
    <row r="123" spans="1:12" x14ac:dyDescent="0.25">
      <c r="A123" s="119" t="s">
        <v>93</v>
      </c>
      <c r="B123" s="119">
        <v>16</v>
      </c>
      <c r="C123" s="119">
        <v>27</v>
      </c>
      <c r="D123" s="119">
        <v>36</v>
      </c>
      <c r="E123" s="119">
        <v>46</v>
      </c>
      <c r="F123" s="119">
        <v>57</v>
      </c>
      <c r="G123" s="119">
        <v>78</v>
      </c>
      <c r="H123" s="119">
        <v>94</v>
      </c>
      <c r="I123" s="119">
        <v>110</v>
      </c>
      <c r="J123" s="122"/>
      <c r="K123" s="119">
        <v>132</v>
      </c>
      <c r="L123" s="122"/>
    </row>
    <row r="124" spans="1:12" x14ac:dyDescent="0.25">
      <c r="A124" s="119" t="s">
        <v>92</v>
      </c>
      <c r="B124" s="119">
        <v>20</v>
      </c>
      <c r="C124" s="119">
        <v>30</v>
      </c>
      <c r="D124" s="119">
        <v>39</v>
      </c>
      <c r="E124" s="119">
        <v>50</v>
      </c>
      <c r="F124" s="119">
        <v>64</v>
      </c>
      <c r="G124" s="119">
        <v>92</v>
      </c>
      <c r="H124" s="119">
        <v>104</v>
      </c>
      <c r="I124" s="119">
        <v>115</v>
      </c>
      <c r="J124" s="122"/>
      <c r="K124" s="119">
        <v>127</v>
      </c>
      <c r="L124" s="122"/>
    </row>
    <row r="125" spans="1:12" x14ac:dyDescent="0.25">
      <c r="A125" s="119" t="s">
        <v>91</v>
      </c>
      <c r="B125" s="119">
        <v>19</v>
      </c>
      <c r="C125" s="119">
        <v>31</v>
      </c>
      <c r="D125" s="119">
        <v>42</v>
      </c>
      <c r="E125" s="119">
        <v>55</v>
      </c>
      <c r="F125" s="119">
        <v>71</v>
      </c>
      <c r="G125" s="119">
        <v>106</v>
      </c>
      <c r="H125" s="119">
        <v>126</v>
      </c>
      <c r="I125" s="119">
        <v>145</v>
      </c>
      <c r="J125" s="122"/>
      <c r="K125" s="119">
        <v>171</v>
      </c>
      <c r="L125" s="119">
        <v>187</v>
      </c>
    </row>
    <row r="126" spans="1:12" x14ac:dyDescent="0.25">
      <c r="A126" s="119" t="s">
        <v>90</v>
      </c>
      <c r="B126" s="119">
        <v>16</v>
      </c>
      <c r="C126" s="119">
        <v>27</v>
      </c>
      <c r="D126" s="119">
        <v>39</v>
      </c>
      <c r="E126" s="119">
        <v>51</v>
      </c>
      <c r="F126" s="119">
        <v>70</v>
      </c>
      <c r="G126" s="119">
        <v>108</v>
      </c>
      <c r="H126" s="119">
        <v>125</v>
      </c>
      <c r="I126" s="119">
        <v>143</v>
      </c>
      <c r="J126" s="122"/>
      <c r="K126" s="119">
        <v>167</v>
      </c>
      <c r="L126" s="119">
        <v>185</v>
      </c>
    </row>
    <row r="127" spans="1:12" x14ac:dyDescent="0.25">
      <c r="A127" s="119" t="s">
        <v>89</v>
      </c>
      <c r="B127" s="119">
        <v>14</v>
      </c>
      <c r="C127" s="119">
        <v>24</v>
      </c>
      <c r="D127" s="119">
        <v>35</v>
      </c>
      <c r="E127" s="119">
        <v>47</v>
      </c>
      <c r="F127" s="119">
        <v>59</v>
      </c>
      <c r="G127" s="119">
        <v>83</v>
      </c>
      <c r="H127" s="119">
        <v>90</v>
      </c>
      <c r="I127" s="119">
        <v>98</v>
      </c>
      <c r="J127" s="122"/>
      <c r="K127" s="119">
        <v>108</v>
      </c>
      <c r="L127" s="122"/>
    </row>
    <row r="128" spans="1:12" x14ac:dyDescent="0.25">
      <c r="A128" s="119" t="s">
        <v>88</v>
      </c>
      <c r="B128" s="119">
        <v>15</v>
      </c>
      <c r="C128" s="119">
        <v>26</v>
      </c>
      <c r="D128" s="119">
        <v>37</v>
      </c>
      <c r="E128" s="119">
        <v>47</v>
      </c>
      <c r="F128" s="119">
        <v>63</v>
      </c>
      <c r="G128" s="119">
        <v>95</v>
      </c>
      <c r="H128" s="119">
        <v>115</v>
      </c>
      <c r="I128" s="119">
        <v>134</v>
      </c>
      <c r="J128" s="122"/>
      <c r="K128" s="119">
        <v>160</v>
      </c>
      <c r="L128" s="122"/>
    </row>
    <row r="129" spans="1:12" x14ac:dyDescent="0.25">
      <c r="A129" s="119" t="s">
        <v>87</v>
      </c>
      <c r="B129" s="119">
        <v>16</v>
      </c>
      <c r="C129" s="119">
        <v>26</v>
      </c>
      <c r="D129" s="119">
        <v>35</v>
      </c>
      <c r="E129" s="119">
        <v>46</v>
      </c>
      <c r="F129" s="119">
        <v>58</v>
      </c>
      <c r="G129" s="119">
        <v>81</v>
      </c>
      <c r="H129" s="119">
        <v>102</v>
      </c>
      <c r="I129" s="119">
        <v>122</v>
      </c>
      <c r="J129" s="122"/>
      <c r="K129" s="119">
        <v>149</v>
      </c>
      <c r="L129" s="122"/>
    </row>
    <row r="130" spans="1:12" x14ac:dyDescent="0.25">
      <c r="A130" s="119" t="s">
        <v>86</v>
      </c>
      <c r="B130" s="119">
        <v>17</v>
      </c>
      <c r="C130" s="119">
        <v>28</v>
      </c>
      <c r="D130" s="119">
        <v>37</v>
      </c>
      <c r="E130" s="119">
        <v>49</v>
      </c>
      <c r="F130" s="119">
        <v>64</v>
      </c>
      <c r="G130" s="119">
        <v>94</v>
      </c>
      <c r="H130" s="119">
        <v>108</v>
      </c>
      <c r="I130" s="119">
        <v>121</v>
      </c>
      <c r="J130" s="122"/>
      <c r="K130" s="119">
        <v>141</v>
      </c>
      <c r="L130" s="122"/>
    </row>
    <row r="131" spans="1:12" x14ac:dyDescent="0.25">
      <c r="A131" s="119" t="s">
        <v>85</v>
      </c>
      <c r="B131" s="119">
        <v>14</v>
      </c>
      <c r="C131" s="119">
        <v>25</v>
      </c>
      <c r="D131" s="119">
        <v>34</v>
      </c>
      <c r="E131" s="119">
        <v>44</v>
      </c>
      <c r="F131" s="119">
        <v>56</v>
      </c>
      <c r="G131" s="119">
        <v>81</v>
      </c>
      <c r="H131" s="119">
        <v>89</v>
      </c>
      <c r="I131" s="119">
        <v>99</v>
      </c>
      <c r="J131" s="122"/>
      <c r="K131" s="119">
        <v>113</v>
      </c>
      <c r="L131" s="122"/>
    </row>
    <row r="132" spans="1:12" x14ac:dyDescent="0.25">
      <c r="A132" s="119" t="s">
        <v>84</v>
      </c>
      <c r="B132" s="119">
        <v>15</v>
      </c>
      <c r="C132" s="119">
        <v>25</v>
      </c>
      <c r="D132" s="119">
        <v>36</v>
      </c>
      <c r="E132" s="119">
        <v>47</v>
      </c>
      <c r="F132" s="119">
        <v>62</v>
      </c>
      <c r="G132" s="119">
        <v>93</v>
      </c>
      <c r="H132" s="119">
        <v>102</v>
      </c>
      <c r="I132" s="119">
        <v>114</v>
      </c>
      <c r="J132" s="122"/>
      <c r="K132" s="119">
        <v>131</v>
      </c>
      <c r="L132" s="122"/>
    </row>
    <row r="133" spans="1:12" x14ac:dyDescent="0.25">
      <c r="A133" s="119" t="s">
        <v>83</v>
      </c>
      <c r="B133" s="119">
        <v>15</v>
      </c>
      <c r="C133" s="119">
        <v>23</v>
      </c>
      <c r="D133" s="119">
        <v>31</v>
      </c>
      <c r="E133" s="119">
        <v>38</v>
      </c>
      <c r="F133" s="119">
        <v>46</v>
      </c>
      <c r="G133" s="119">
        <v>66</v>
      </c>
      <c r="H133" s="119">
        <v>72</v>
      </c>
      <c r="I133" s="119">
        <v>81</v>
      </c>
      <c r="J133" s="122"/>
      <c r="K133" s="119">
        <v>95</v>
      </c>
      <c r="L133" s="119">
        <v>128</v>
      </c>
    </row>
    <row r="134" spans="1:12" x14ac:dyDescent="0.25">
      <c r="A134" s="119" t="s">
        <v>82</v>
      </c>
      <c r="B134" s="119">
        <v>14</v>
      </c>
      <c r="C134" s="119">
        <v>20</v>
      </c>
      <c r="D134" s="119">
        <v>27</v>
      </c>
      <c r="E134" s="119">
        <v>35</v>
      </c>
      <c r="F134" s="119">
        <v>52</v>
      </c>
      <c r="G134" s="119">
        <v>87</v>
      </c>
      <c r="H134" s="119">
        <v>105</v>
      </c>
      <c r="I134" s="119">
        <v>122</v>
      </c>
      <c r="J134" s="122"/>
      <c r="K134" s="119">
        <v>146</v>
      </c>
      <c r="L134" s="122"/>
    </row>
    <row r="135" spans="1:12" x14ac:dyDescent="0.25">
      <c r="A135" s="119" t="s">
        <v>81</v>
      </c>
      <c r="B135" s="119">
        <v>10</v>
      </c>
      <c r="C135" s="119">
        <v>13</v>
      </c>
      <c r="D135" s="119">
        <v>19</v>
      </c>
      <c r="E135" s="119">
        <v>25</v>
      </c>
      <c r="F135" s="119">
        <v>36</v>
      </c>
      <c r="G135" s="119">
        <v>59</v>
      </c>
      <c r="H135" s="119">
        <v>78</v>
      </c>
      <c r="I135" s="119">
        <v>99</v>
      </c>
      <c r="J135" s="122"/>
      <c r="K135" s="119">
        <v>128</v>
      </c>
      <c r="L135" s="122"/>
    </row>
    <row r="136" spans="1:12" x14ac:dyDescent="0.25">
      <c r="A136" s="119" t="s">
        <v>80</v>
      </c>
      <c r="B136" s="119">
        <v>5</v>
      </c>
      <c r="C136" s="119">
        <v>8</v>
      </c>
      <c r="D136" s="119">
        <v>12</v>
      </c>
      <c r="E136" s="119">
        <v>17</v>
      </c>
      <c r="F136" s="119">
        <v>31</v>
      </c>
      <c r="G136" s="119">
        <v>60</v>
      </c>
      <c r="H136" s="119">
        <v>72</v>
      </c>
      <c r="I136" s="119">
        <v>83</v>
      </c>
      <c r="J136" s="122"/>
      <c r="K136" s="119">
        <v>98</v>
      </c>
      <c r="L136" s="119">
        <v>119</v>
      </c>
    </row>
    <row r="137" spans="1:12" x14ac:dyDescent="0.25">
      <c r="A137" s="119" t="s">
        <v>79</v>
      </c>
      <c r="B137" s="119">
        <v>11</v>
      </c>
      <c r="C137" s="119">
        <v>18</v>
      </c>
      <c r="D137" s="119">
        <v>26</v>
      </c>
      <c r="E137" s="119">
        <v>33</v>
      </c>
      <c r="F137" s="119">
        <v>50</v>
      </c>
      <c r="G137" s="119">
        <v>96</v>
      </c>
      <c r="H137" s="119">
        <v>112</v>
      </c>
      <c r="I137" s="119">
        <v>127</v>
      </c>
      <c r="J137" s="122"/>
      <c r="K137" s="119">
        <v>149</v>
      </c>
      <c r="L137" s="122"/>
    </row>
    <row r="138" spans="1:12" x14ac:dyDescent="0.25">
      <c r="A138" s="119" t="s">
        <v>78</v>
      </c>
      <c r="B138" s="119">
        <v>9</v>
      </c>
      <c r="C138" s="119">
        <v>16</v>
      </c>
      <c r="D138" s="119">
        <v>23</v>
      </c>
      <c r="E138" s="119">
        <v>31</v>
      </c>
      <c r="F138" s="119">
        <v>45</v>
      </c>
      <c r="G138" s="119">
        <v>72</v>
      </c>
      <c r="H138" s="119">
        <v>92</v>
      </c>
      <c r="I138" s="119">
        <v>113</v>
      </c>
      <c r="J138" s="122"/>
      <c r="K138" s="119">
        <v>141</v>
      </c>
      <c r="L138" s="122"/>
    </row>
    <row r="139" spans="1:12" x14ac:dyDescent="0.25">
      <c r="A139" s="119" t="s">
        <v>77</v>
      </c>
      <c r="B139" s="119">
        <v>13</v>
      </c>
      <c r="C139" s="119">
        <v>20</v>
      </c>
      <c r="D139" s="119">
        <v>28</v>
      </c>
      <c r="E139" s="119">
        <v>37</v>
      </c>
      <c r="F139" s="119">
        <v>52</v>
      </c>
      <c r="G139" s="119">
        <v>83</v>
      </c>
      <c r="H139" s="119">
        <v>108</v>
      </c>
      <c r="I139" s="119">
        <v>131</v>
      </c>
      <c r="J139" s="122"/>
      <c r="K139" s="119">
        <v>162</v>
      </c>
      <c r="L139" s="119">
        <v>191</v>
      </c>
    </row>
    <row r="140" spans="1:12" x14ac:dyDescent="0.25">
      <c r="A140" s="119" t="s">
        <v>76</v>
      </c>
      <c r="B140" s="119">
        <v>13</v>
      </c>
      <c r="C140" s="119">
        <v>17</v>
      </c>
      <c r="D140" s="119">
        <v>24</v>
      </c>
      <c r="E140" s="119">
        <v>29</v>
      </c>
      <c r="F140" s="119">
        <v>45</v>
      </c>
      <c r="G140" s="119">
        <v>73</v>
      </c>
      <c r="H140" s="119">
        <v>92</v>
      </c>
      <c r="I140" s="119">
        <v>111</v>
      </c>
      <c r="J140" s="122"/>
      <c r="K140" s="119">
        <v>136</v>
      </c>
      <c r="L140" s="122"/>
    </row>
    <row r="141" spans="1:12" x14ac:dyDescent="0.25">
      <c r="A141" s="119" t="s">
        <v>75</v>
      </c>
      <c r="B141" s="119">
        <v>12</v>
      </c>
      <c r="C141" s="119">
        <v>17</v>
      </c>
      <c r="D141" s="119">
        <v>23</v>
      </c>
      <c r="E141" s="119">
        <v>28</v>
      </c>
      <c r="F141" s="119">
        <v>45</v>
      </c>
      <c r="G141" s="119">
        <v>78</v>
      </c>
      <c r="H141" s="119">
        <v>92</v>
      </c>
      <c r="I141" s="119">
        <v>105</v>
      </c>
      <c r="J141" s="122"/>
      <c r="K141" s="119">
        <v>123</v>
      </c>
      <c r="L141" s="122"/>
    </row>
    <row r="142" spans="1:12" x14ac:dyDescent="0.25">
      <c r="A142" s="119" t="s">
        <v>74</v>
      </c>
      <c r="B142" s="119">
        <v>8</v>
      </c>
      <c r="C142" s="119">
        <v>11</v>
      </c>
      <c r="D142" s="119">
        <v>15</v>
      </c>
      <c r="E142" s="119">
        <v>20</v>
      </c>
      <c r="F142" s="119">
        <v>67</v>
      </c>
      <c r="G142" s="119">
        <v>70</v>
      </c>
      <c r="H142" s="119">
        <v>79</v>
      </c>
      <c r="I142" s="119">
        <v>89</v>
      </c>
      <c r="J142" s="122"/>
      <c r="K142" s="119">
        <v>103</v>
      </c>
      <c r="L142" s="122"/>
    </row>
    <row r="143" spans="1:12" x14ac:dyDescent="0.25">
      <c r="A143" s="119" t="s">
        <v>73</v>
      </c>
      <c r="B143" s="119">
        <v>10</v>
      </c>
      <c r="C143" s="119">
        <v>15</v>
      </c>
      <c r="D143" s="119">
        <v>22</v>
      </c>
      <c r="E143" s="119">
        <v>28</v>
      </c>
      <c r="F143" s="119">
        <v>45</v>
      </c>
      <c r="G143" s="119">
        <v>78</v>
      </c>
      <c r="H143" s="119">
        <v>91</v>
      </c>
      <c r="I143" s="119">
        <v>104</v>
      </c>
      <c r="J143" s="122"/>
      <c r="K143" s="119">
        <v>122</v>
      </c>
      <c r="L143" s="122"/>
    </row>
    <row r="144" spans="1:12" x14ac:dyDescent="0.25">
      <c r="A144" s="119" t="s">
        <v>72</v>
      </c>
      <c r="B144" s="119">
        <v>10</v>
      </c>
      <c r="C144" s="119">
        <v>14</v>
      </c>
      <c r="D144" s="119">
        <v>19</v>
      </c>
      <c r="E144" s="119">
        <v>24</v>
      </c>
      <c r="F144" s="119">
        <v>34</v>
      </c>
      <c r="G144" s="119">
        <v>53</v>
      </c>
      <c r="H144" s="119">
        <v>58</v>
      </c>
      <c r="I144" s="119">
        <v>66</v>
      </c>
      <c r="J144" s="122"/>
      <c r="K144" s="119">
        <v>76</v>
      </c>
      <c r="L144" s="119">
        <v>100</v>
      </c>
    </row>
    <row r="145" spans="1:12" x14ac:dyDescent="0.25">
      <c r="A145" s="119" t="s">
        <v>71</v>
      </c>
      <c r="B145" s="119">
        <v>13</v>
      </c>
      <c r="C145" s="119">
        <v>20</v>
      </c>
      <c r="D145" s="119">
        <v>27</v>
      </c>
      <c r="E145" s="119">
        <v>35</v>
      </c>
      <c r="F145" s="119">
        <v>53</v>
      </c>
      <c r="G145" s="119">
        <v>87</v>
      </c>
      <c r="H145" s="119">
        <v>100</v>
      </c>
      <c r="I145" s="119">
        <v>112</v>
      </c>
      <c r="J145" s="122"/>
      <c r="K145" s="119">
        <v>159</v>
      </c>
      <c r="L145" s="119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D002-B9C6-427F-9419-78113F3B9BD1}">
  <dimension ref="A1:L145"/>
  <sheetViews>
    <sheetView workbookViewId="0"/>
  </sheetViews>
  <sheetFormatPr defaultRowHeight="15" x14ac:dyDescent="0.25"/>
  <cols>
    <col min="1" max="16384" width="9.140625" style="119"/>
  </cols>
  <sheetData>
    <row r="1" spans="1:12" x14ac:dyDescent="0.25">
      <c r="A1" s="121" t="s">
        <v>229</v>
      </c>
      <c r="B1" s="119" t="s">
        <v>225</v>
      </c>
      <c r="C1" s="119" t="s">
        <v>224</v>
      </c>
      <c r="D1" s="119" t="s">
        <v>223</v>
      </c>
      <c r="E1" s="119" t="s">
        <v>222</v>
      </c>
      <c r="F1" s="119" t="s">
        <v>221</v>
      </c>
      <c r="G1" s="119" t="s">
        <v>220</v>
      </c>
      <c r="H1" s="119" t="s">
        <v>219</v>
      </c>
      <c r="I1" s="119" t="s">
        <v>218</v>
      </c>
      <c r="J1" s="119" t="s">
        <v>217</v>
      </c>
      <c r="K1" s="119" t="s">
        <v>216</v>
      </c>
      <c r="L1" s="119" t="s">
        <v>215</v>
      </c>
    </row>
    <row r="2" spans="1:12" x14ac:dyDescent="0.25">
      <c r="A2" s="119" t="s">
        <v>214</v>
      </c>
      <c r="B2" s="119">
        <v>14</v>
      </c>
      <c r="C2" s="119">
        <v>22</v>
      </c>
      <c r="D2" s="119">
        <v>32</v>
      </c>
      <c r="E2" s="119">
        <v>40</v>
      </c>
      <c r="F2" s="119">
        <v>54</v>
      </c>
      <c r="G2" s="119">
        <v>76</v>
      </c>
      <c r="H2" s="119">
        <v>81</v>
      </c>
      <c r="I2" s="119">
        <v>89</v>
      </c>
      <c r="J2" s="119">
        <v>102</v>
      </c>
      <c r="K2" s="119">
        <v>102</v>
      </c>
      <c r="L2" s="119">
        <v>102</v>
      </c>
    </row>
    <row r="3" spans="1:12" x14ac:dyDescent="0.25">
      <c r="A3" s="119" t="s">
        <v>213</v>
      </c>
      <c r="B3" s="119">
        <v>12</v>
      </c>
      <c r="C3" s="119">
        <v>23</v>
      </c>
      <c r="D3" s="119">
        <v>36</v>
      </c>
      <c r="E3" s="119">
        <v>46</v>
      </c>
      <c r="F3" s="119">
        <v>61</v>
      </c>
      <c r="G3" s="119">
        <v>83</v>
      </c>
      <c r="H3" s="119">
        <v>87</v>
      </c>
      <c r="I3" s="119">
        <v>95</v>
      </c>
      <c r="J3" s="119">
        <v>102</v>
      </c>
      <c r="K3" s="119">
        <v>102</v>
      </c>
      <c r="L3" s="119">
        <v>102</v>
      </c>
    </row>
    <row r="4" spans="1:12" x14ac:dyDescent="0.25">
      <c r="A4" s="119" t="s">
        <v>212</v>
      </c>
      <c r="B4" s="119">
        <v>10</v>
      </c>
      <c r="C4" s="119">
        <v>17</v>
      </c>
      <c r="D4" s="119">
        <v>25</v>
      </c>
      <c r="E4" s="119">
        <v>33</v>
      </c>
      <c r="F4" s="119">
        <v>47</v>
      </c>
      <c r="G4" s="119">
        <v>68</v>
      </c>
      <c r="H4" s="119">
        <v>81</v>
      </c>
      <c r="I4" s="119">
        <v>80</v>
      </c>
      <c r="J4" s="119">
        <v>98</v>
      </c>
      <c r="K4" s="119">
        <v>102</v>
      </c>
      <c r="L4" s="119">
        <v>102</v>
      </c>
    </row>
    <row r="5" spans="1:12" x14ac:dyDescent="0.25">
      <c r="A5" s="119" t="s">
        <v>211</v>
      </c>
      <c r="B5" s="119">
        <v>11</v>
      </c>
      <c r="C5" s="119">
        <v>18</v>
      </c>
      <c r="D5" s="119">
        <v>26</v>
      </c>
      <c r="E5" s="119">
        <v>33</v>
      </c>
      <c r="F5" s="119">
        <v>38</v>
      </c>
      <c r="G5" s="119">
        <v>46</v>
      </c>
      <c r="H5" s="119">
        <v>57</v>
      </c>
      <c r="I5" s="119">
        <v>77</v>
      </c>
      <c r="J5" s="119">
        <v>86</v>
      </c>
      <c r="K5" s="119">
        <v>102</v>
      </c>
      <c r="L5" s="119">
        <v>102</v>
      </c>
    </row>
    <row r="6" spans="1:12" x14ac:dyDescent="0.25">
      <c r="A6" s="119" t="s">
        <v>210</v>
      </c>
      <c r="B6" s="119">
        <v>10</v>
      </c>
      <c r="C6" s="119">
        <v>18</v>
      </c>
      <c r="D6" s="119">
        <v>27</v>
      </c>
      <c r="E6" s="119">
        <v>35</v>
      </c>
      <c r="F6" s="119">
        <v>37</v>
      </c>
      <c r="G6" s="119">
        <v>41</v>
      </c>
      <c r="H6" s="119">
        <v>56</v>
      </c>
      <c r="I6" s="119">
        <v>82</v>
      </c>
      <c r="J6" s="119">
        <v>93</v>
      </c>
      <c r="K6" s="119">
        <v>102</v>
      </c>
      <c r="L6" s="119">
        <v>102</v>
      </c>
    </row>
    <row r="7" spans="1:12" x14ac:dyDescent="0.25">
      <c r="A7" s="119" t="s">
        <v>209</v>
      </c>
      <c r="B7" s="119">
        <v>7</v>
      </c>
      <c r="C7" s="119">
        <v>14</v>
      </c>
      <c r="D7" s="119">
        <v>21</v>
      </c>
      <c r="E7" s="119">
        <v>26</v>
      </c>
      <c r="F7" s="119">
        <v>31</v>
      </c>
      <c r="G7" s="119">
        <v>41</v>
      </c>
      <c r="H7" s="119">
        <v>48</v>
      </c>
      <c r="I7" s="119">
        <v>64</v>
      </c>
      <c r="J7" s="119">
        <v>86</v>
      </c>
      <c r="K7" s="119">
        <v>91</v>
      </c>
      <c r="L7" s="119">
        <v>102</v>
      </c>
    </row>
    <row r="8" spans="1:12" x14ac:dyDescent="0.25">
      <c r="A8" s="119" t="s">
        <v>208</v>
      </c>
      <c r="B8" s="119">
        <v>9</v>
      </c>
      <c r="C8" s="119">
        <v>18</v>
      </c>
      <c r="D8" s="119">
        <v>29</v>
      </c>
      <c r="E8" s="119">
        <v>38</v>
      </c>
      <c r="F8" s="119">
        <v>44</v>
      </c>
      <c r="G8" s="119">
        <v>52</v>
      </c>
      <c r="H8" s="119">
        <v>58</v>
      </c>
      <c r="I8" s="119">
        <v>73</v>
      </c>
      <c r="J8" s="119">
        <v>81</v>
      </c>
      <c r="K8" s="119">
        <v>94</v>
      </c>
      <c r="L8" s="119">
        <v>102</v>
      </c>
    </row>
    <row r="9" spans="1:12" x14ac:dyDescent="0.25">
      <c r="A9" s="119" t="s">
        <v>207</v>
      </c>
      <c r="B9" s="119">
        <v>12</v>
      </c>
      <c r="C9" s="119">
        <v>19</v>
      </c>
      <c r="D9" s="119">
        <v>28</v>
      </c>
      <c r="E9" s="119">
        <v>35</v>
      </c>
      <c r="F9" s="119">
        <v>46</v>
      </c>
      <c r="G9" s="119">
        <v>63</v>
      </c>
      <c r="H9" s="119">
        <v>72</v>
      </c>
      <c r="I9" s="119">
        <v>88</v>
      </c>
      <c r="J9" s="119">
        <v>102</v>
      </c>
      <c r="K9" s="119">
        <v>102</v>
      </c>
      <c r="L9" s="119">
        <v>102</v>
      </c>
    </row>
    <row r="10" spans="1:12" x14ac:dyDescent="0.25">
      <c r="A10" s="119" t="s">
        <v>206</v>
      </c>
      <c r="B10" s="119">
        <v>12</v>
      </c>
      <c r="C10" s="119">
        <v>19</v>
      </c>
      <c r="D10" s="119">
        <v>29</v>
      </c>
      <c r="E10" s="119">
        <v>36</v>
      </c>
      <c r="F10" s="119">
        <v>45</v>
      </c>
      <c r="G10" s="119">
        <v>59</v>
      </c>
      <c r="H10" s="119">
        <v>62</v>
      </c>
      <c r="I10" s="119">
        <v>74</v>
      </c>
      <c r="J10" s="119">
        <v>83</v>
      </c>
      <c r="K10" s="119">
        <v>102</v>
      </c>
      <c r="L10" s="119">
        <v>102</v>
      </c>
    </row>
    <row r="11" spans="1:12" x14ac:dyDescent="0.25">
      <c r="A11" s="119" t="s">
        <v>205</v>
      </c>
      <c r="B11" s="119">
        <v>9</v>
      </c>
      <c r="C11" s="119">
        <v>13</v>
      </c>
      <c r="D11" s="119">
        <v>17</v>
      </c>
      <c r="E11" s="119">
        <v>21</v>
      </c>
      <c r="F11" s="119">
        <v>30</v>
      </c>
      <c r="G11" s="119">
        <v>43</v>
      </c>
      <c r="H11" s="119">
        <v>51</v>
      </c>
      <c r="I11" s="119">
        <v>65</v>
      </c>
      <c r="J11" s="119">
        <v>77</v>
      </c>
      <c r="K11" s="119">
        <v>102</v>
      </c>
      <c r="L11" s="119">
        <v>102</v>
      </c>
    </row>
    <row r="12" spans="1:12" x14ac:dyDescent="0.25">
      <c r="A12" s="119" t="s">
        <v>204</v>
      </c>
      <c r="B12" s="119">
        <v>9</v>
      </c>
      <c r="C12" s="119">
        <v>14</v>
      </c>
      <c r="D12" s="119">
        <v>23</v>
      </c>
      <c r="E12" s="119">
        <v>30</v>
      </c>
      <c r="F12" s="119">
        <v>11</v>
      </c>
      <c r="G12" s="119">
        <v>67</v>
      </c>
      <c r="H12" s="119">
        <v>73</v>
      </c>
      <c r="I12" s="119">
        <v>84</v>
      </c>
      <c r="J12" s="119">
        <v>90</v>
      </c>
      <c r="K12" s="119">
        <v>102</v>
      </c>
      <c r="L12" s="119">
        <v>102</v>
      </c>
    </row>
    <row r="13" spans="1:12" x14ac:dyDescent="0.25">
      <c r="A13" s="119" t="s">
        <v>203</v>
      </c>
      <c r="B13" s="119">
        <v>14</v>
      </c>
      <c r="C13" s="119">
        <v>25</v>
      </c>
      <c r="D13" s="119">
        <v>38</v>
      </c>
      <c r="E13" s="119">
        <v>50</v>
      </c>
      <c r="F13" s="119">
        <v>62</v>
      </c>
      <c r="G13" s="119">
        <v>80</v>
      </c>
      <c r="H13" s="119">
        <v>87</v>
      </c>
      <c r="I13" s="119">
        <v>95</v>
      </c>
      <c r="J13" s="119">
        <v>102</v>
      </c>
      <c r="K13" s="119">
        <v>102</v>
      </c>
      <c r="L13" s="119">
        <v>102</v>
      </c>
    </row>
    <row r="14" spans="1:12" x14ac:dyDescent="0.25">
      <c r="A14" s="119" t="s">
        <v>202</v>
      </c>
      <c r="B14" s="119">
        <v>18</v>
      </c>
      <c r="C14" s="119">
        <v>26</v>
      </c>
      <c r="D14" s="119">
        <v>35</v>
      </c>
      <c r="E14" s="119">
        <v>44</v>
      </c>
      <c r="F14" s="119">
        <v>57</v>
      </c>
      <c r="G14" s="119">
        <v>77</v>
      </c>
      <c r="H14" s="119">
        <v>86</v>
      </c>
      <c r="I14" s="119">
        <v>102</v>
      </c>
      <c r="J14" s="119">
        <v>102</v>
      </c>
      <c r="K14" s="119">
        <v>102</v>
      </c>
      <c r="L14" s="119">
        <v>102</v>
      </c>
    </row>
    <row r="15" spans="1:12" x14ac:dyDescent="0.25">
      <c r="A15" s="119" t="s">
        <v>201</v>
      </c>
      <c r="B15" s="119">
        <v>15</v>
      </c>
      <c r="C15" s="119">
        <v>24</v>
      </c>
      <c r="D15" s="119">
        <v>36</v>
      </c>
      <c r="E15" s="119">
        <v>45</v>
      </c>
      <c r="F15" s="119">
        <v>55</v>
      </c>
      <c r="G15" s="119">
        <v>70</v>
      </c>
      <c r="H15" s="119">
        <v>81</v>
      </c>
      <c r="I15" s="119">
        <v>102</v>
      </c>
      <c r="J15" s="119">
        <v>102</v>
      </c>
      <c r="K15" s="119">
        <v>102</v>
      </c>
      <c r="L15" s="119">
        <v>102</v>
      </c>
    </row>
    <row r="16" spans="1:12" x14ac:dyDescent="0.25">
      <c r="A16" s="119" t="s">
        <v>200</v>
      </c>
      <c r="B16" s="119">
        <v>17</v>
      </c>
      <c r="C16" s="119">
        <v>27</v>
      </c>
      <c r="D16" s="119">
        <v>40</v>
      </c>
      <c r="E16" s="119">
        <v>50</v>
      </c>
      <c r="F16" s="119">
        <v>59</v>
      </c>
      <c r="G16" s="119">
        <v>72</v>
      </c>
      <c r="H16" s="119">
        <v>83</v>
      </c>
      <c r="I16" s="119">
        <v>102</v>
      </c>
      <c r="J16" s="119">
        <v>102</v>
      </c>
      <c r="K16" s="119">
        <v>102</v>
      </c>
      <c r="L16" s="119">
        <v>102</v>
      </c>
    </row>
    <row r="17" spans="1:12" x14ac:dyDescent="0.25">
      <c r="A17" s="119" t="s">
        <v>199</v>
      </c>
      <c r="B17" s="119">
        <v>20</v>
      </c>
      <c r="C17" s="119">
        <v>27</v>
      </c>
      <c r="D17" s="119">
        <v>33</v>
      </c>
      <c r="E17" s="119">
        <v>42</v>
      </c>
      <c r="F17" s="119">
        <v>51</v>
      </c>
      <c r="G17" s="119">
        <v>67</v>
      </c>
      <c r="H17" s="119">
        <v>78</v>
      </c>
      <c r="I17" s="119">
        <v>98</v>
      </c>
      <c r="J17" s="119">
        <v>102</v>
      </c>
      <c r="K17" s="119">
        <v>102</v>
      </c>
      <c r="L17" s="119">
        <v>102</v>
      </c>
    </row>
    <row r="18" spans="1:12" x14ac:dyDescent="0.25">
      <c r="A18" s="119" t="s">
        <v>198</v>
      </c>
      <c r="B18" s="119">
        <v>21</v>
      </c>
      <c r="C18" s="119">
        <v>27</v>
      </c>
      <c r="D18" s="119">
        <v>33</v>
      </c>
      <c r="E18" s="119">
        <v>40</v>
      </c>
      <c r="F18" s="119">
        <v>50</v>
      </c>
      <c r="G18" s="119">
        <v>66</v>
      </c>
      <c r="H18" s="119">
        <v>74</v>
      </c>
      <c r="I18" s="119">
        <v>90</v>
      </c>
      <c r="J18" s="119">
        <v>99</v>
      </c>
      <c r="K18" s="119">
        <v>102</v>
      </c>
      <c r="L18" s="119">
        <v>102</v>
      </c>
    </row>
    <row r="19" spans="1:12" x14ac:dyDescent="0.25">
      <c r="A19" s="119" t="s">
        <v>197</v>
      </c>
      <c r="B19" s="119">
        <v>19</v>
      </c>
      <c r="C19" s="119">
        <v>24</v>
      </c>
      <c r="D19" s="119">
        <v>30</v>
      </c>
      <c r="E19" s="119">
        <v>35</v>
      </c>
      <c r="F19" s="119">
        <v>44</v>
      </c>
      <c r="G19" s="119">
        <v>57</v>
      </c>
      <c r="H19" s="119">
        <v>65</v>
      </c>
      <c r="I19" s="119">
        <v>81</v>
      </c>
      <c r="J19" s="119">
        <v>90</v>
      </c>
      <c r="K19" s="119">
        <v>102</v>
      </c>
      <c r="L19" s="119">
        <v>102</v>
      </c>
    </row>
    <row r="20" spans="1:12" x14ac:dyDescent="0.25">
      <c r="A20" s="119" t="s">
        <v>196</v>
      </c>
      <c r="B20" s="119">
        <v>16</v>
      </c>
      <c r="C20" s="119">
        <v>21</v>
      </c>
      <c r="D20" s="119">
        <v>27</v>
      </c>
      <c r="E20" s="119">
        <v>33</v>
      </c>
      <c r="F20" s="119">
        <v>43</v>
      </c>
      <c r="G20" s="119">
        <v>59</v>
      </c>
      <c r="H20" s="119">
        <v>66</v>
      </c>
      <c r="I20" s="119">
        <v>82</v>
      </c>
      <c r="J20" s="119">
        <v>90</v>
      </c>
      <c r="K20" s="119">
        <v>102</v>
      </c>
      <c r="L20" s="119">
        <v>102</v>
      </c>
    </row>
    <row r="21" spans="1:12" x14ac:dyDescent="0.25">
      <c r="A21" s="119" t="s">
        <v>195</v>
      </c>
      <c r="B21" s="119">
        <v>15</v>
      </c>
      <c r="C21" s="119">
        <v>21</v>
      </c>
      <c r="D21" s="119">
        <v>30</v>
      </c>
      <c r="E21" s="119">
        <v>37</v>
      </c>
      <c r="F21" s="119">
        <v>46</v>
      </c>
      <c r="G21" s="119">
        <v>63</v>
      </c>
      <c r="H21" s="119">
        <v>70</v>
      </c>
      <c r="I21" s="119">
        <v>83</v>
      </c>
      <c r="J21" s="119">
        <v>91</v>
      </c>
      <c r="K21" s="119">
        <v>102</v>
      </c>
      <c r="L21" s="119">
        <v>102</v>
      </c>
    </row>
    <row r="22" spans="1:12" x14ac:dyDescent="0.25">
      <c r="A22" s="119" t="s">
        <v>194</v>
      </c>
      <c r="B22" s="119">
        <v>15</v>
      </c>
      <c r="C22" s="119">
        <v>21</v>
      </c>
      <c r="D22" s="119">
        <v>29</v>
      </c>
      <c r="E22" s="119">
        <v>35</v>
      </c>
      <c r="F22" s="119">
        <v>43</v>
      </c>
      <c r="G22" s="119">
        <v>56</v>
      </c>
      <c r="H22" s="119">
        <v>65</v>
      </c>
      <c r="I22" s="119">
        <v>84</v>
      </c>
      <c r="J22" s="119">
        <v>93</v>
      </c>
      <c r="K22" s="119">
        <v>102</v>
      </c>
      <c r="L22" s="119">
        <v>102</v>
      </c>
    </row>
    <row r="23" spans="1:12" x14ac:dyDescent="0.25">
      <c r="A23" s="119" t="s">
        <v>193</v>
      </c>
      <c r="B23" s="119">
        <v>13</v>
      </c>
      <c r="C23" s="119">
        <v>23</v>
      </c>
      <c r="D23" s="119">
        <v>34</v>
      </c>
      <c r="E23" s="119">
        <v>45</v>
      </c>
      <c r="F23" s="119">
        <v>55</v>
      </c>
      <c r="G23" s="119">
        <v>71</v>
      </c>
      <c r="H23" s="119">
        <v>79</v>
      </c>
      <c r="I23" s="119">
        <v>93</v>
      </c>
      <c r="J23" s="119">
        <v>102</v>
      </c>
      <c r="K23" s="119">
        <v>102</v>
      </c>
      <c r="L23" s="119">
        <v>102</v>
      </c>
    </row>
    <row r="24" spans="1:12" x14ac:dyDescent="0.25">
      <c r="A24" s="119" t="s">
        <v>192</v>
      </c>
      <c r="B24" s="119">
        <v>14</v>
      </c>
      <c r="C24" s="119">
        <v>24</v>
      </c>
      <c r="D24" s="119">
        <v>35</v>
      </c>
      <c r="E24" s="119">
        <v>46</v>
      </c>
      <c r="F24" s="119">
        <v>56</v>
      </c>
      <c r="G24" s="119">
        <v>72</v>
      </c>
      <c r="H24" s="119">
        <v>80</v>
      </c>
      <c r="I24" s="119">
        <v>95</v>
      </c>
      <c r="J24" s="119">
        <v>102</v>
      </c>
      <c r="K24" s="119">
        <v>102</v>
      </c>
      <c r="L24" s="119">
        <v>102</v>
      </c>
    </row>
    <row r="25" spans="1:12" x14ac:dyDescent="0.25">
      <c r="A25" s="119" t="s">
        <v>191</v>
      </c>
      <c r="B25" s="119">
        <v>15</v>
      </c>
      <c r="C25" s="119">
        <v>26</v>
      </c>
      <c r="D25" s="119">
        <v>39</v>
      </c>
      <c r="E25" s="119">
        <v>49</v>
      </c>
      <c r="F25" s="119">
        <v>58</v>
      </c>
      <c r="G25" s="119">
        <v>72</v>
      </c>
      <c r="H25" s="119">
        <v>79</v>
      </c>
      <c r="I25" s="119">
        <v>93</v>
      </c>
      <c r="J25" s="119">
        <v>102</v>
      </c>
      <c r="K25" s="119">
        <v>102</v>
      </c>
      <c r="L25" s="119">
        <v>102</v>
      </c>
    </row>
    <row r="26" spans="1:12" x14ac:dyDescent="0.25">
      <c r="A26" s="119" t="s">
        <v>190</v>
      </c>
      <c r="B26" s="119">
        <v>20</v>
      </c>
      <c r="C26" s="119">
        <v>33</v>
      </c>
      <c r="D26" s="119">
        <v>48</v>
      </c>
      <c r="E26" s="119">
        <v>61</v>
      </c>
      <c r="F26" s="119">
        <v>69</v>
      </c>
      <c r="G26" s="119">
        <v>82</v>
      </c>
      <c r="H26" s="119">
        <v>88</v>
      </c>
      <c r="I26" s="119">
        <v>102</v>
      </c>
      <c r="J26" s="119">
        <v>102</v>
      </c>
      <c r="K26" s="119">
        <v>102</v>
      </c>
      <c r="L26" s="119">
        <v>102</v>
      </c>
    </row>
    <row r="27" spans="1:12" x14ac:dyDescent="0.25">
      <c r="A27" s="119" t="s">
        <v>189</v>
      </c>
      <c r="B27" s="119">
        <v>14</v>
      </c>
      <c r="C27" s="119">
        <v>22</v>
      </c>
      <c r="D27" s="119">
        <v>34</v>
      </c>
      <c r="E27" s="119">
        <v>44</v>
      </c>
      <c r="F27" s="119">
        <v>55</v>
      </c>
      <c r="G27" s="119">
        <v>72</v>
      </c>
      <c r="H27" s="119">
        <v>79</v>
      </c>
      <c r="I27" s="119">
        <v>91</v>
      </c>
      <c r="J27" s="119">
        <v>102</v>
      </c>
      <c r="K27" s="119">
        <v>102</v>
      </c>
      <c r="L27" s="119">
        <v>102</v>
      </c>
    </row>
    <row r="28" spans="1:12" x14ac:dyDescent="0.25">
      <c r="A28" s="119" t="s">
        <v>188</v>
      </c>
      <c r="B28" s="119">
        <v>16</v>
      </c>
      <c r="C28" s="119">
        <v>28</v>
      </c>
      <c r="D28" s="119">
        <v>43</v>
      </c>
      <c r="E28" s="119">
        <v>54</v>
      </c>
      <c r="F28" s="119">
        <v>68</v>
      </c>
      <c r="G28" s="119">
        <v>85</v>
      </c>
      <c r="H28" s="119">
        <v>91</v>
      </c>
      <c r="I28" s="119">
        <v>102</v>
      </c>
      <c r="J28" s="119">
        <v>102</v>
      </c>
      <c r="K28" s="119">
        <v>102</v>
      </c>
      <c r="L28" s="119">
        <v>102</v>
      </c>
    </row>
    <row r="29" spans="1:12" x14ac:dyDescent="0.25">
      <c r="A29" s="119" t="s">
        <v>187</v>
      </c>
      <c r="B29" s="119">
        <v>18</v>
      </c>
      <c r="C29" s="119">
        <v>30</v>
      </c>
      <c r="D29" s="119">
        <v>44</v>
      </c>
      <c r="E29" s="119">
        <v>56</v>
      </c>
      <c r="F29" s="119">
        <v>66</v>
      </c>
      <c r="G29" s="119">
        <v>82</v>
      </c>
      <c r="H29" s="119">
        <v>87</v>
      </c>
      <c r="I29" s="119">
        <v>102</v>
      </c>
      <c r="J29" s="119">
        <v>102</v>
      </c>
      <c r="K29" s="119">
        <v>102</v>
      </c>
      <c r="L29" s="119">
        <v>102</v>
      </c>
    </row>
    <row r="30" spans="1:12" x14ac:dyDescent="0.25">
      <c r="A30" s="119" t="s">
        <v>186</v>
      </c>
      <c r="B30" s="119">
        <v>17</v>
      </c>
      <c r="C30" s="119">
        <v>29</v>
      </c>
      <c r="D30" s="119">
        <v>44</v>
      </c>
      <c r="E30" s="119">
        <v>56</v>
      </c>
      <c r="F30" s="119">
        <v>66</v>
      </c>
      <c r="G30" s="119">
        <v>81</v>
      </c>
      <c r="H30" s="119">
        <v>86</v>
      </c>
      <c r="I30" s="119">
        <v>102</v>
      </c>
      <c r="J30" s="119">
        <v>102</v>
      </c>
      <c r="K30" s="119">
        <v>102</v>
      </c>
      <c r="L30" s="119">
        <v>102</v>
      </c>
    </row>
    <row r="31" spans="1:12" x14ac:dyDescent="0.25">
      <c r="A31" s="119" t="s">
        <v>185</v>
      </c>
      <c r="B31" s="119">
        <v>18</v>
      </c>
      <c r="C31" s="119">
        <v>30</v>
      </c>
      <c r="D31" s="119">
        <v>46</v>
      </c>
      <c r="E31" s="119">
        <v>59</v>
      </c>
      <c r="F31" s="119">
        <v>73</v>
      </c>
      <c r="G31" s="119">
        <v>93</v>
      </c>
      <c r="H31" s="119">
        <v>102</v>
      </c>
      <c r="I31" s="119">
        <v>102</v>
      </c>
      <c r="J31" s="119">
        <v>102</v>
      </c>
      <c r="K31" s="119">
        <v>102</v>
      </c>
      <c r="L31" s="119">
        <v>102</v>
      </c>
    </row>
    <row r="32" spans="1:12" x14ac:dyDescent="0.25">
      <c r="A32" s="119" t="s">
        <v>184</v>
      </c>
      <c r="B32" s="119">
        <v>17</v>
      </c>
      <c r="C32" s="119">
        <v>27</v>
      </c>
      <c r="D32" s="119">
        <v>39</v>
      </c>
      <c r="E32" s="119">
        <v>49</v>
      </c>
      <c r="F32" s="119">
        <v>60</v>
      </c>
      <c r="G32" s="119">
        <v>77</v>
      </c>
      <c r="H32" s="119">
        <v>85</v>
      </c>
      <c r="I32" s="119">
        <v>102</v>
      </c>
      <c r="J32" s="119">
        <v>102</v>
      </c>
      <c r="K32" s="119">
        <v>102</v>
      </c>
      <c r="L32" s="119">
        <v>102</v>
      </c>
    </row>
    <row r="33" spans="1:12" x14ac:dyDescent="0.25">
      <c r="A33" s="119" t="s">
        <v>183</v>
      </c>
      <c r="B33" s="119">
        <v>17</v>
      </c>
      <c r="C33" s="119">
        <v>27</v>
      </c>
      <c r="D33" s="119">
        <v>39</v>
      </c>
      <c r="E33" s="119">
        <v>48</v>
      </c>
      <c r="F33" s="119">
        <v>52</v>
      </c>
      <c r="G33" s="119">
        <v>81</v>
      </c>
      <c r="H33" s="119">
        <v>89</v>
      </c>
      <c r="I33" s="119">
        <v>102</v>
      </c>
      <c r="J33" s="119">
        <v>102</v>
      </c>
      <c r="K33" s="119">
        <v>102</v>
      </c>
      <c r="L33" s="119">
        <v>102</v>
      </c>
    </row>
    <row r="34" spans="1:12" x14ac:dyDescent="0.25">
      <c r="A34" s="119" t="s">
        <v>182</v>
      </c>
      <c r="B34" s="119">
        <v>18</v>
      </c>
      <c r="C34" s="119">
        <v>30</v>
      </c>
      <c r="D34" s="119">
        <v>44</v>
      </c>
      <c r="E34" s="119">
        <v>55</v>
      </c>
      <c r="F34" s="119">
        <v>70</v>
      </c>
      <c r="G34" s="119">
        <v>92</v>
      </c>
      <c r="H34" s="119">
        <v>86</v>
      </c>
      <c r="I34" s="119">
        <v>102</v>
      </c>
      <c r="J34" s="119">
        <v>102</v>
      </c>
      <c r="K34" s="119">
        <v>102</v>
      </c>
      <c r="L34" s="119">
        <v>102</v>
      </c>
    </row>
    <row r="35" spans="1:12" x14ac:dyDescent="0.25">
      <c r="A35" s="119" t="s">
        <v>181</v>
      </c>
      <c r="B35" s="119">
        <v>18</v>
      </c>
      <c r="C35" s="119">
        <v>26</v>
      </c>
      <c r="D35" s="119">
        <v>35</v>
      </c>
      <c r="E35" s="119">
        <v>43</v>
      </c>
      <c r="F35" s="119">
        <v>56</v>
      </c>
      <c r="G35" s="119">
        <v>75</v>
      </c>
      <c r="H35" s="119">
        <v>82</v>
      </c>
      <c r="I35" s="119">
        <v>96</v>
      </c>
      <c r="J35" s="119">
        <v>102</v>
      </c>
      <c r="K35" s="119">
        <v>102</v>
      </c>
      <c r="L35" s="119">
        <v>102</v>
      </c>
    </row>
    <row r="36" spans="1:12" x14ac:dyDescent="0.25">
      <c r="A36" s="119" t="s">
        <v>180</v>
      </c>
      <c r="B36" s="119">
        <v>12</v>
      </c>
      <c r="C36" s="119">
        <v>14</v>
      </c>
      <c r="D36" s="119">
        <v>22</v>
      </c>
      <c r="E36" s="119">
        <v>28</v>
      </c>
      <c r="F36" s="119">
        <v>36</v>
      </c>
      <c r="G36" s="119">
        <v>51</v>
      </c>
      <c r="H36" s="119">
        <v>61</v>
      </c>
      <c r="I36" s="119">
        <v>78</v>
      </c>
      <c r="J36" s="119">
        <v>90</v>
      </c>
      <c r="K36" s="119">
        <v>102</v>
      </c>
      <c r="L36" s="119">
        <v>102</v>
      </c>
    </row>
    <row r="37" spans="1:12" x14ac:dyDescent="0.25">
      <c r="A37" s="119" t="s">
        <v>179</v>
      </c>
      <c r="B37" s="119">
        <v>14</v>
      </c>
      <c r="C37" s="119">
        <v>24</v>
      </c>
      <c r="D37" s="119">
        <v>39</v>
      </c>
      <c r="E37" s="119">
        <v>50</v>
      </c>
      <c r="F37" s="119">
        <v>61</v>
      </c>
      <c r="G37" s="119">
        <v>78</v>
      </c>
      <c r="H37" s="119">
        <v>84</v>
      </c>
      <c r="I37" s="119">
        <v>95</v>
      </c>
      <c r="J37" s="119">
        <v>102</v>
      </c>
      <c r="K37" s="119">
        <v>102</v>
      </c>
      <c r="L37" s="119">
        <v>102</v>
      </c>
    </row>
    <row r="38" spans="1:12" x14ac:dyDescent="0.25">
      <c r="A38" s="119" t="s">
        <v>178</v>
      </c>
      <c r="B38" s="119">
        <v>14</v>
      </c>
      <c r="C38" s="119">
        <v>24</v>
      </c>
      <c r="D38" s="119">
        <v>37</v>
      </c>
      <c r="E38" s="119">
        <v>47</v>
      </c>
      <c r="F38" s="119">
        <v>57</v>
      </c>
      <c r="G38" s="119">
        <v>72</v>
      </c>
      <c r="H38" s="119">
        <v>82</v>
      </c>
      <c r="I38" s="119">
        <v>102</v>
      </c>
      <c r="J38" s="119">
        <v>102</v>
      </c>
      <c r="K38" s="119">
        <v>102</v>
      </c>
      <c r="L38" s="119">
        <v>102</v>
      </c>
    </row>
    <row r="39" spans="1:12" x14ac:dyDescent="0.25">
      <c r="A39" s="119" t="s">
        <v>177</v>
      </c>
      <c r="B39" s="119">
        <v>11</v>
      </c>
      <c r="C39" s="119">
        <v>21</v>
      </c>
      <c r="D39" s="119">
        <v>33</v>
      </c>
      <c r="E39" s="119">
        <v>42</v>
      </c>
      <c r="F39" s="119">
        <v>55</v>
      </c>
      <c r="G39" s="119">
        <v>73</v>
      </c>
      <c r="H39" s="119">
        <v>85</v>
      </c>
      <c r="I39" s="119">
        <v>102</v>
      </c>
      <c r="J39" s="119">
        <v>102</v>
      </c>
      <c r="K39" s="119">
        <v>102</v>
      </c>
      <c r="L39" s="119">
        <v>102</v>
      </c>
    </row>
    <row r="40" spans="1:12" x14ac:dyDescent="0.25">
      <c r="A40" s="119" t="s">
        <v>176</v>
      </c>
      <c r="B40" s="119">
        <v>10</v>
      </c>
      <c r="C40" s="119">
        <v>19</v>
      </c>
      <c r="D40" s="119">
        <v>30</v>
      </c>
      <c r="E40" s="119">
        <v>38</v>
      </c>
      <c r="F40" s="119">
        <v>53</v>
      </c>
      <c r="G40" s="119">
        <v>75</v>
      </c>
      <c r="H40" s="119">
        <v>83</v>
      </c>
      <c r="I40" s="119">
        <v>97</v>
      </c>
      <c r="J40" s="119">
        <v>102</v>
      </c>
      <c r="K40" s="119">
        <v>102</v>
      </c>
      <c r="L40" s="119">
        <v>102</v>
      </c>
    </row>
    <row r="41" spans="1:12" x14ac:dyDescent="0.25">
      <c r="A41" s="119" t="s">
        <v>175</v>
      </c>
      <c r="B41" s="119">
        <v>9</v>
      </c>
      <c r="C41" s="119">
        <v>17</v>
      </c>
      <c r="D41" s="119">
        <v>30</v>
      </c>
      <c r="E41" s="119">
        <v>41</v>
      </c>
      <c r="F41" s="119">
        <v>54</v>
      </c>
      <c r="G41" s="119">
        <v>74</v>
      </c>
      <c r="H41" s="119">
        <v>84</v>
      </c>
      <c r="I41" s="119">
        <v>102</v>
      </c>
      <c r="J41" s="119">
        <v>102</v>
      </c>
      <c r="K41" s="119">
        <v>102</v>
      </c>
      <c r="L41" s="119">
        <v>102</v>
      </c>
    </row>
    <row r="42" spans="1:12" x14ac:dyDescent="0.25">
      <c r="A42" s="119" t="s">
        <v>174</v>
      </c>
      <c r="B42" s="119">
        <v>11</v>
      </c>
      <c r="C42" s="119">
        <v>20</v>
      </c>
      <c r="D42" s="119">
        <v>30</v>
      </c>
      <c r="E42" s="119">
        <v>38</v>
      </c>
      <c r="F42" s="119">
        <v>51</v>
      </c>
      <c r="G42" s="119">
        <v>71</v>
      </c>
      <c r="H42" s="119">
        <v>81</v>
      </c>
      <c r="I42" s="119">
        <v>102</v>
      </c>
      <c r="J42" s="119">
        <v>102</v>
      </c>
      <c r="K42" s="119">
        <v>102</v>
      </c>
      <c r="L42" s="119">
        <v>102</v>
      </c>
    </row>
    <row r="43" spans="1:12" x14ac:dyDescent="0.25">
      <c r="A43" s="119" t="s">
        <v>173</v>
      </c>
      <c r="B43" s="119">
        <v>13</v>
      </c>
      <c r="C43" s="119">
        <v>24</v>
      </c>
      <c r="D43" s="119">
        <v>37</v>
      </c>
      <c r="E43" s="119">
        <v>47</v>
      </c>
      <c r="F43" s="119">
        <v>60</v>
      </c>
      <c r="G43" s="119">
        <v>78</v>
      </c>
      <c r="H43" s="119">
        <v>86</v>
      </c>
      <c r="I43" s="119">
        <v>102</v>
      </c>
      <c r="J43" s="119">
        <v>102</v>
      </c>
      <c r="K43" s="119">
        <v>102</v>
      </c>
      <c r="L43" s="119">
        <v>102</v>
      </c>
    </row>
    <row r="44" spans="1:12" x14ac:dyDescent="0.25">
      <c r="A44" s="119" t="s">
        <v>172</v>
      </c>
      <c r="B44" s="119">
        <v>10</v>
      </c>
      <c r="C44" s="119">
        <v>21</v>
      </c>
      <c r="D44" s="119">
        <v>35</v>
      </c>
      <c r="E44" s="119">
        <v>45</v>
      </c>
      <c r="F44" s="119">
        <v>58</v>
      </c>
      <c r="G44" s="119">
        <v>78</v>
      </c>
      <c r="H44" s="119">
        <v>88</v>
      </c>
      <c r="I44" s="119">
        <v>102</v>
      </c>
      <c r="J44" s="119">
        <v>102</v>
      </c>
      <c r="K44" s="119">
        <v>102</v>
      </c>
      <c r="L44" s="119">
        <v>102</v>
      </c>
    </row>
    <row r="45" spans="1:12" x14ac:dyDescent="0.25">
      <c r="A45" s="119" t="s">
        <v>171</v>
      </c>
      <c r="B45" s="119">
        <v>15</v>
      </c>
      <c r="C45" s="119">
        <v>25</v>
      </c>
      <c r="D45" s="119">
        <v>37</v>
      </c>
      <c r="E45" s="119">
        <v>44</v>
      </c>
      <c r="F45" s="119">
        <v>56</v>
      </c>
      <c r="G45" s="119">
        <v>74</v>
      </c>
      <c r="H45" s="119">
        <v>84</v>
      </c>
      <c r="I45" s="119">
        <v>102</v>
      </c>
      <c r="J45" s="119">
        <v>102</v>
      </c>
      <c r="K45" s="119">
        <v>102</v>
      </c>
      <c r="L45" s="119">
        <v>102</v>
      </c>
    </row>
    <row r="46" spans="1:12" x14ac:dyDescent="0.25">
      <c r="A46" s="119" t="s">
        <v>170</v>
      </c>
      <c r="B46" s="119">
        <v>11</v>
      </c>
      <c r="C46" s="119">
        <v>15</v>
      </c>
      <c r="D46" s="119">
        <v>21</v>
      </c>
      <c r="E46" s="119">
        <v>25</v>
      </c>
      <c r="F46" s="119">
        <v>35</v>
      </c>
      <c r="G46" s="119">
        <v>51</v>
      </c>
      <c r="H46" s="119">
        <v>60</v>
      </c>
      <c r="I46" s="119">
        <v>80</v>
      </c>
      <c r="J46" s="119">
        <v>93</v>
      </c>
      <c r="K46" s="119">
        <v>102</v>
      </c>
      <c r="L46" s="119">
        <v>102</v>
      </c>
    </row>
    <row r="47" spans="1:12" x14ac:dyDescent="0.25">
      <c r="A47" s="119" t="s">
        <v>169</v>
      </c>
      <c r="B47" s="119">
        <v>9</v>
      </c>
      <c r="C47" s="119">
        <v>17</v>
      </c>
      <c r="D47" s="119">
        <v>29</v>
      </c>
      <c r="E47" s="119">
        <v>38</v>
      </c>
      <c r="F47" s="119">
        <v>53</v>
      </c>
      <c r="G47" s="119">
        <v>76</v>
      </c>
      <c r="H47" s="119">
        <v>85</v>
      </c>
      <c r="I47" s="119">
        <v>102</v>
      </c>
      <c r="J47" s="119">
        <v>102</v>
      </c>
      <c r="K47" s="119">
        <v>102</v>
      </c>
      <c r="L47" s="119">
        <v>102</v>
      </c>
    </row>
    <row r="48" spans="1:12" x14ac:dyDescent="0.25">
      <c r="A48" s="119" t="s">
        <v>168</v>
      </c>
      <c r="B48" s="119">
        <v>13</v>
      </c>
      <c r="C48" s="119">
        <v>21</v>
      </c>
      <c r="D48" s="119">
        <v>31</v>
      </c>
      <c r="E48" s="119">
        <v>39</v>
      </c>
      <c r="F48" s="119">
        <v>52</v>
      </c>
      <c r="G48" s="119">
        <v>71</v>
      </c>
      <c r="H48" s="119">
        <v>83</v>
      </c>
      <c r="I48" s="119">
        <v>102</v>
      </c>
      <c r="J48" s="119">
        <v>102</v>
      </c>
      <c r="K48" s="119">
        <v>102</v>
      </c>
      <c r="L48" s="119">
        <v>102</v>
      </c>
    </row>
    <row r="49" spans="1:12" x14ac:dyDescent="0.25">
      <c r="A49" s="119" t="s">
        <v>167</v>
      </c>
      <c r="B49" s="119">
        <v>14</v>
      </c>
      <c r="C49" s="119">
        <v>22</v>
      </c>
      <c r="D49" s="119">
        <v>32</v>
      </c>
      <c r="E49" s="119">
        <v>39</v>
      </c>
      <c r="F49" s="119">
        <v>52</v>
      </c>
      <c r="G49" s="119">
        <v>72</v>
      </c>
      <c r="H49" s="119">
        <v>82</v>
      </c>
      <c r="I49" s="119">
        <v>96</v>
      </c>
      <c r="J49" s="119">
        <v>102</v>
      </c>
      <c r="K49" s="119">
        <v>102</v>
      </c>
      <c r="L49" s="119">
        <v>102</v>
      </c>
    </row>
    <row r="50" spans="1:12" x14ac:dyDescent="0.25">
      <c r="A50" s="119" t="s">
        <v>166</v>
      </c>
      <c r="B50" s="119">
        <v>21</v>
      </c>
      <c r="C50" s="119">
        <v>33</v>
      </c>
      <c r="D50" s="119">
        <v>48</v>
      </c>
      <c r="E50" s="119">
        <v>60</v>
      </c>
      <c r="F50" s="119">
        <v>71</v>
      </c>
      <c r="G50" s="119">
        <v>87</v>
      </c>
      <c r="H50" s="119">
        <v>102</v>
      </c>
      <c r="I50" s="119">
        <v>102</v>
      </c>
      <c r="J50" s="119">
        <v>102</v>
      </c>
      <c r="K50" s="119">
        <v>102</v>
      </c>
      <c r="L50" s="119">
        <v>102</v>
      </c>
    </row>
    <row r="51" spans="1:12" x14ac:dyDescent="0.25">
      <c r="A51" s="119" t="s">
        <v>165</v>
      </c>
      <c r="B51" s="119">
        <v>18</v>
      </c>
      <c r="C51" s="119">
        <v>29</v>
      </c>
      <c r="D51" s="119">
        <v>45</v>
      </c>
      <c r="E51" s="119">
        <v>57</v>
      </c>
      <c r="F51" s="119">
        <v>69</v>
      </c>
      <c r="G51" s="119">
        <v>89</v>
      </c>
      <c r="H51" s="119">
        <v>94</v>
      </c>
      <c r="I51" s="119">
        <v>102</v>
      </c>
      <c r="J51" s="119">
        <v>102</v>
      </c>
      <c r="K51" s="119">
        <v>102</v>
      </c>
      <c r="L51" s="119">
        <v>102</v>
      </c>
    </row>
    <row r="52" spans="1:12" x14ac:dyDescent="0.25">
      <c r="A52" s="119" t="s">
        <v>164</v>
      </c>
      <c r="B52" s="119">
        <v>17</v>
      </c>
      <c r="C52" s="119">
        <v>28</v>
      </c>
      <c r="D52" s="119">
        <v>42</v>
      </c>
      <c r="E52" s="119">
        <v>52</v>
      </c>
      <c r="F52" s="119">
        <v>64</v>
      </c>
      <c r="G52" s="119">
        <v>83</v>
      </c>
      <c r="H52" s="119">
        <v>88</v>
      </c>
      <c r="I52" s="119">
        <v>102</v>
      </c>
      <c r="J52" s="119">
        <v>102</v>
      </c>
      <c r="K52" s="119">
        <v>102</v>
      </c>
      <c r="L52" s="119">
        <v>102</v>
      </c>
    </row>
    <row r="53" spans="1:12" x14ac:dyDescent="0.25">
      <c r="A53" s="119" t="s">
        <v>163</v>
      </c>
      <c r="B53" s="119">
        <v>19</v>
      </c>
      <c r="C53" s="119">
        <v>29</v>
      </c>
      <c r="D53" s="119">
        <v>42</v>
      </c>
      <c r="E53" s="119">
        <v>52</v>
      </c>
      <c r="F53" s="119">
        <v>64</v>
      </c>
      <c r="G53" s="119">
        <v>84</v>
      </c>
      <c r="H53" s="119">
        <v>91</v>
      </c>
      <c r="I53" s="119">
        <v>102</v>
      </c>
      <c r="J53" s="119">
        <v>102</v>
      </c>
      <c r="K53" s="119">
        <v>102</v>
      </c>
      <c r="L53" s="119">
        <v>102</v>
      </c>
    </row>
    <row r="54" spans="1:12" x14ac:dyDescent="0.25">
      <c r="A54" s="119" t="s">
        <v>162</v>
      </c>
      <c r="B54" s="119">
        <v>15</v>
      </c>
      <c r="C54" s="119">
        <v>26</v>
      </c>
      <c r="D54" s="119">
        <v>40</v>
      </c>
      <c r="E54" s="119">
        <v>51</v>
      </c>
      <c r="F54" s="119">
        <v>63</v>
      </c>
      <c r="G54" s="119">
        <v>81</v>
      </c>
      <c r="H54" s="119">
        <v>88</v>
      </c>
      <c r="I54" s="119">
        <v>102</v>
      </c>
      <c r="J54" s="119">
        <v>102</v>
      </c>
      <c r="K54" s="119">
        <v>102</v>
      </c>
      <c r="L54" s="119">
        <v>102</v>
      </c>
    </row>
    <row r="55" spans="1:12" x14ac:dyDescent="0.25">
      <c r="A55" s="119" t="s">
        <v>161</v>
      </c>
      <c r="B55" s="119">
        <v>15</v>
      </c>
      <c r="C55" s="119">
        <v>23</v>
      </c>
      <c r="D55" s="119">
        <v>32</v>
      </c>
      <c r="E55" s="119">
        <v>39</v>
      </c>
      <c r="F55" s="119">
        <v>53</v>
      </c>
      <c r="G55" s="119">
        <v>76</v>
      </c>
      <c r="H55" s="119">
        <v>83</v>
      </c>
      <c r="I55" s="119">
        <v>95</v>
      </c>
      <c r="J55" s="119">
        <v>102</v>
      </c>
      <c r="K55" s="119">
        <v>102</v>
      </c>
      <c r="L55" s="119">
        <v>102</v>
      </c>
    </row>
    <row r="56" spans="1:12" x14ac:dyDescent="0.25">
      <c r="A56" s="119" t="s">
        <v>160</v>
      </c>
      <c r="B56" s="119">
        <v>16</v>
      </c>
      <c r="C56" s="119">
        <v>24</v>
      </c>
      <c r="D56" s="119">
        <v>34</v>
      </c>
      <c r="E56" s="119">
        <v>42</v>
      </c>
      <c r="F56" s="119">
        <v>53</v>
      </c>
      <c r="G56" s="119">
        <v>73</v>
      </c>
      <c r="H56" s="119">
        <v>79</v>
      </c>
      <c r="I56" s="119">
        <v>91</v>
      </c>
      <c r="J56" s="119">
        <v>102</v>
      </c>
      <c r="K56" s="119">
        <v>102</v>
      </c>
      <c r="L56" s="119">
        <v>102</v>
      </c>
    </row>
    <row r="57" spans="1:12" x14ac:dyDescent="0.25">
      <c r="A57" s="119" t="s">
        <v>159</v>
      </c>
      <c r="B57" s="119">
        <v>10</v>
      </c>
      <c r="C57" s="119">
        <v>13</v>
      </c>
      <c r="D57" s="119">
        <v>19</v>
      </c>
      <c r="E57" s="119">
        <v>23</v>
      </c>
      <c r="F57" s="119">
        <v>31</v>
      </c>
      <c r="G57" s="119">
        <v>43</v>
      </c>
      <c r="H57" s="119">
        <v>52</v>
      </c>
      <c r="I57" s="119">
        <v>68</v>
      </c>
      <c r="J57" s="119">
        <v>78</v>
      </c>
      <c r="K57" s="119">
        <v>94</v>
      </c>
      <c r="L57" s="119">
        <v>102</v>
      </c>
    </row>
    <row r="58" spans="1:12" x14ac:dyDescent="0.25">
      <c r="A58" s="119" t="s">
        <v>158</v>
      </c>
      <c r="B58" s="119">
        <v>15</v>
      </c>
      <c r="C58" s="119">
        <v>27</v>
      </c>
      <c r="D58" s="119">
        <v>41</v>
      </c>
      <c r="E58" s="119">
        <v>53</v>
      </c>
      <c r="F58" s="119">
        <v>63</v>
      </c>
      <c r="G58" s="119">
        <v>77</v>
      </c>
      <c r="H58" s="119">
        <v>85</v>
      </c>
      <c r="I58" s="119">
        <v>99</v>
      </c>
      <c r="J58" s="119">
        <v>102</v>
      </c>
      <c r="K58" s="119">
        <v>102</v>
      </c>
      <c r="L58" s="119">
        <v>102</v>
      </c>
    </row>
    <row r="59" spans="1:12" x14ac:dyDescent="0.25">
      <c r="A59" s="119" t="s">
        <v>157</v>
      </c>
      <c r="B59" s="119">
        <v>14</v>
      </c>
      <c r="C59" s="119">
        <v>23</v>
      </c>
      <c r="D59" s="119">
        <v>34</v>
      </c>
      <c r="E59" s="119">
        <v>43</v>
      </c>
      <c r="F59" s="119">
        <v>55</v>
      </c>
      <c r="G59" s="119">
        <v>74</v>
      </c>
      <c r="H59" s="119">
        <v>80</v>
      </c>
      <c r="I59" s="119">
        <v>91</v>
      </c>
      <c r="J59" s="119">
        <v>102</v>
      </c>
      <c r="K59" s="119">
        <v>102</v>
      </c>
      <c r="L59" s="119">
        <v>102</v>
      </c>
    </row>
    <row r="60" spans="1:12" x14ac:dyDescent="0.25">
      <c r="A60" s="119" t="s">
        <v>156</v>
      </c>
      <c r="B60" s="119">
        <v>16</v>
      </c>
      <c r="C60" s="119">
        <v>27</v>
      </c>
      <c r="D60" s="119">
        <v>39</v>
      </c>
      <c r="E60" s="119">
        <v>50</v>
      </c>
      <c r="F60" s="119">
        <v>63</v>
      </c>
      <c r="G60" s="119">
        <v>83</v>
      </c>
      <c r="H60" s="119">
        <v>86</v>
      </c>
      <c r="I60" s="119">
        <v>97</v>
      </c>
      <c r="J60" s="119">
        <v>102</v>
      </c>
      <c r="K60" s="119">
        <v>102</v>
      </c>
      <c r="L60" s="119">
        <v>102</v>
      </c>
    </row>
    <row r="61" spans="1:12" x14ac:dyDescent="0.25">
      <c r="A61" s="119" t="s">
        <v>155</v>
      </c>
      <c r="B61" s="119">
        <v>13</v>
      </c>
      <c r="C61" s="119">
        <v>21</v>
      </c>
      <c r="D61" s="119">
        <v>29</v>
      </c>
      <c r="E61" s="119">
        <v>37</v>
      </c>
      <c r="F61" s="119">
        <v>49</v>
      </c>
      <c r="G61" s="119">
        <v>65</v>
      </c>
      <c r="H61" s="119">
        <v>71</v>
      </c>
      <c r="I61" s="119">
        <v>82</v>
      </c>
      <c r="J61" s="119">
        <v>90</v>
      </c>
      <c r="K61" s="119">
        <v>102</v>
      </c>
      <c r="L61" s="119">
        <v>102</v>
      </c>
    </row>
    <row r="62" spans="1:12" x14ac:dyDescent="0.25">
      <c r="A62" s="119" t="s">
        <v>154</v>
      </c>
      <c r="B62" s="119">
        <v>15</v>
      </c>
      <c r="C62" s="119">
        <v>26</v>
      </c>
      <c r="D62" s="119">
        <v>39</v>
      </c>
      <c r="E62" s="119">
        <v>49</v>
      </c>
      <c r="F62" s="119">
        <v>59</v>
      </c>
      <c r="G62" s="119">
        <v>76</v>
      </c>
      <c r="H62" s="119">
        <v>83</v>
      </c>
      <c r="I62" s="119">
        <v>97</v>
      </c>
      <c r="J62" s="119">
        <v>102</v>
      </c>
      <c r="K62" s="119">
        <v>102</v>
      </c>
      <c r="L62" s="119">
        <v>102</v>
      </c>
    </row>
    <row r="63" spans="1:12" x14ac:dyDescent="0.25">
      <c r="A63" s="119" t="s">
        <v>153</v>
      </c>
      <c r="B63" s="119">
        <v>13</v>
      </c>
      <c r="C63" s="119">
        <v>26</v>
      </c>
      <c r="D63" s="119">
        <v>41</v>
      </c>
      <c r="E63" s="119">
        <v>54</v>
      </c>
      <c r="F63" s="119">
        <v>67</v>
      </c>
      <c r="G63" s="119">
        <v>87</v>
      </c>
      <c r="H63" s="119">
        <v>93</v>
      </c>
      <c r="I63" s="119">
        <v>102</v>
      </c>
      <c r="J63" s="119">
        <v>102</v>
      </c>
      <c r="K63" s="119">
        <v>102</v>
      </c>
      <c r="L63" s="119">
        <v>102</v>
      </c>
    </row>
    <row r="64" spans="1:12" x14ac:dyDescent="0.25">
      <c r="A64" s="119" t="s">
        <v>152</v>
      </c>
      <c r="B64" s="119">
        <v>12</v>
      </c>
      <c r="C64" s="119">
        <v>25</v>
      </c>
      <c r="D64" s="119">
        <v>40</v>
      </c>
      <c r="E64" s="119">
        <v>52</v>
      </c>
      <c r="F64" s="119">
        <v>65</v>
      </c>
      <c r="G64" s="119">
        <v>85</v>
      </c>
      <c r="H64" s="119">
        <v>89</v>
      </c>
      <c r="I64" s="119">
        <v>97</v>
      </c>
      <c r="J64" s="119">
        <v>102</v>
      </c>
      <c r="K64" s="119">
        <v>102</v>
      </c>
      <c r="L64" s="119">
        <v>102</v>
      </c>
    </row>
    <row r="65" spans="1:12" x14ac:dyDescent="0.25">
      <c r="A65" s="119" t="s">
        <v>151</v>
      </c>
      <c r="B65" s="119">
        <v>12</v>
      </c>
      <c r="C65" s="119">
        <v>24</v>
      </c>
      <c r="D65" s="119">
        <v>38</v>
      </c>
      <c r="E65" s="119">
        <v>50</v>
      </c>
      <c r="F65" s="119">
        <v>66</v>
      </c>
      <c r="G65" s="119">
        <v>89</v>
      </c>
      <c r="H65" s="119">
        <v>95</v>
      </c>
      <c r="I65" s="119">
        <v>102</v>
      </c>
      <c r="J65" s="119">
        <v>102</v>
      </c>
      <c r="K65" s="119">
        <v>102</v>
      </c>
      <c r="L65" s="119">
        <v>102</v>
      </c>
    </row>
    <row r="66" spans="1:12" x14ac:dyDescent="0.25">
      <c r="A66" s="119" t="s">
        <v>150</v>
      </c>
      <c r="B66" s="119">
        <v>11</v>
      </c>
      <c r="C66" s="119">
        <v>22</v>
      </c>
      <c r="D66" s="119">
        <v>36</v>
      </c>
      <c r="E66" s="119">
        <v>47</v>
      </c>
      <c r="F66" s="119">
        <v>61</v>
      </c>
      <c r="G66" s="119">
        <v>81</v>
      </c>
      <c r="H66" s="119">
        <v>87</v>
      </c>
      <c r="I66" s="119">
        <v>98</v>
      </c>
      <c r="J66" s="119">
        <v>102</v>
      </c>
      <c r="K66" s="119">
        <v>102</v>
      </c>
      <c r="L66" s="119">
        <v>102</v>
      </c>
    </row>
    <row r="67" spans="1:12" x14ac:dyDescent="0.25">
      <c r="A67" s="119" t="s">
        <v>149</v>
      </c>
      <c r="B67" s="119">
        <v>13</v>
      </c>
      <c r="C67" s="119">
        <v>23</v>
      </c>
      <c r="D67" s="119">
        <v>34</v>
      </c>
      <c r="E67" s="119">
        <v>44</v>
      </c>
      <c r="F67" s="119">
        <v>57</v>
      </c>
      <c r="G67" s="119">
        <v>76</v>
      </c>
      <c r="H67" s="119">
        <v>85</v>
      </c>
      <c r="I67" s="119">
        <v>96</v>
      </c>
      <c r="J67" s="119">
        <v>102</v>
      </c>
      <c r="K67" s="119">
        <v>102</v>
      </c>
      <c r="L67" s="119">
        <v>102</v>
      </c>
    </row>
    <row r="68" spans="1:12" x14ac:dyDescent="0.25">
      <c r="A68" s="119" t="s">
        <v>148</v>
      </c>
      <c r="B68" s="119">
        <v>12</v>
      </c>
      <c r="C68" s="119">
        <v>23</v>
      </c>
      <c r="D68" s="119">
        <v>37</v>
      </c>
      <c r="E68" s="119">
        <v>48</v>
      </c>
      <c r="F68" s="119">
        <v>62</v>
      </c>
      <c r="G68" s="119">
        <v>83</v>
      </c>
      <c r="H68" s="119">
        <v>89</v>
      </c>
      <c r="I68" s="119">
        <v>102</v>
      </c>
      <c r="J68" s="119">
        <v>102</v>
      </c>
      <c r="K68" s="119">
        <v>102</v>
      </c>
      <c r="L68" s="119">
        <v>102</v>
      </c>
    </row>
    <row r="69" spans="1:12" x14ac:dyDescent="0.25">
      <c r="A69" s="119" t="s">
        <v>147</v>
      </c>
      <c r="B69" s="119">
        <v>10</v>
      </c>
      <c r="C69" s="119">
        <v>18</v>
      </c>
      <c r="D69" s="119">
        <v>29</v>
      </c>
      <c r="E69" s="119">
        <v>37</v>
      </c>
      <c r="F69" s="119">
        <v>54</v>
      </c>
      <c r="G69" s="119">
        <v>78</v>
      </c>
      <c r="H69" s="119">
        <v>84</v>
      </c>
      <c r="I69" s="119">
        <v>95</v>
      </c>
      <c r="J69" s="119">
        <v>102</v>
      </c>
      <c r="K69" s="119">
        <v>102</v>
      </c>
      <c r="L69" s="119">
        <v>102</v>
      </c>
    </row>
    <row r="70" spans="1:12" x14ac:dyDescent="0.25">
      <c r="A70" s="119" t="s">
        <v>146</v>
      </c>
      <c r="B70" s="119">
        <v>13</v>
      </c>
      <c r="C70" s="119">
        <v>25</v>
      </c>
      <c r="D70" s="119">
        <v>39</v>
      </c>
      <c r="E70" s="119">
        <v>51</v>
      </c>
      <c r="F70" s="119">
        <v>64</v>
      </c>
      <c r="G70" s="119">
        <v>83</v>
      </c>
      <c r="H70" s="119">
        <v>90</v>
      </c>
      <c r="I70" s="119">
        <v>102</v>
      </c>
      <c r="J70" s="119">
        <v>102</v>
      </c>
      <c r="K70" s="119">
        <v>102</v>
      </c>
      <c r="L70" s="119">
        <v>102</v>
      </c>
    </row>
    <row r="71" spans="1:12" x14ac:dyDescent="0.25">
      <c r="A71" s="119" t="s">
        <v>145</v>
      </c>
      <c r="B71" s="119">
        <v>10</v>
      </c>
      <c r="C71" s="119">
        <v>19</v>
      </c>
      <c r="D71" s="119">
        <v>31</v>
      </c>
      <c r="E71" s="119">
        <v>42</v>
      </c>
      <c r="F71" s="119">
        <v>57</v>
      </c>
      <c r="G71" s="119">
        <v>79</v>
      </c>
      <c r="H71" s="119">
        <v>80</v>
      </c>
      <c r="I71" s="119">
        <v>85</v>
      </c>
      <c r="J71" s="119">
        <v>90</v>
      </c>
      <c r="K71" s="119">
        <v>102</v>
      </c>
      <c r="L71" s="119">
        <v>102</v>
      </c>
    </row>
    <row r="72" spans="1:12" x14ac:dyDescent="0.25">
      <c r="A72" s="119" t="s">
        <v>144</v>
      </c>
      <c r="B72" s="119">
        <v>11</v>
      </c>
      <c r="C72" s="119">
        <v>18</v>
      </c>
      <c r="D72" s="119">
        <v>26</v>
      </c>
      <c r="E72" s="119">
        <v>33</v>
      </c>
      <c r="F72" s="119">
        <v>47</v>
      </c>
      <c r="G72" s="119">
        <v>67</v>
      </c>
      <c r="H72" s="119">
        <v>73</v>
      </c>
      <c r="I72" s="119">
        <v>84</v>
      </c>
      <c r="J72" s="119">
        <v>93</v>
      </c>
      <c r="K72" s="119">
        <v>102</v>
      </c>
      <c r="L72" s="119">
        <v>102</v>
      </c>
    </row>
    <row r="73" spans="1:12" x14ac:dyDescent="0.25">
      <c r="A73" s="119" t="s">
        <v>143</v>
      </c>
      <c r="B73" s="119">
        <v>15</v>
      </c>
      <c r="C73" s="119">
        <v>24</v>
      </c>
      <c r="D73" s="119">
        <v>35</v>
      </c>
      <c r="E73" s="119">
        <v>44</v>
      </c>
      <c r="F73" s="119">
        <v>56</v>
      </c>
      <c r="G73" s="119">
        <v>74</v>
      </c>
      <c r="H73" s="119">
        <v>77</v>
      </c>
      <c r="I73" s="119">
        <v>83</v>
      </c>
      <c r="J73" s="119">
        <v>89</v>
      </c>
      <c r="K73" s="119">
        <v>102</v>
      </c>
      <c r="L73" s="119">
        <v>102</v>
      </c>
    </row>
    <row r="74" spans="1:12" x14ac:dyDescent="0.25">
      <c r="A74" s="119" t="s">
        <v>142</v>
      </c>
      <c r="B74" s="119">
        <v>10</v>
      </c>
      <c r="C74" s="119">
        <v>20</v>
      </c>
      <c r="D74" s="119">
        <v>32</v>
      </c>
      <c r="E74" s="119">
        <v>41</v>
      </c>
      <c r="F74" s="119">
        <v>52</v>
      </c>
      <c r="G74" s="119">
        <v>71</v>
      </c>
      <c r="H74" s="119">
        <v>76</v>
      </c>
      <c r="I74" s="119">
        <v>89</v>
      </c>
      <c r="J74" s="119">
        <v>95</v>
      </c>
      <c r="K74" s="119">
        <v>102</v>
      </c>
      <c r="L74" s="119">
        <v>102</v>
      </c>
    </row>
    <row r="75" spans="1:12" x14ac:dyDescent="0.25">
      <c r="A75" s="119" t="s">
        <v>141</v>
      </c>
      <c r="B75" s="119">
        <v>12</v>
      </c>
      <c r="C75" s="119">
        <v>19</v>
      </c>
      <c r="D75" s="119">
        <v>30</v>
      </c>
      <c r="E75" s="119">
        <v>39</v>
      </c>
      <c r="F75" s="119">
        <v>51</v>
      </c>
      <c r="G75" s="119">
        <v>71</v>
      </c>
      <c r="H75" s="119">
        <v>74</v>
      </c>
      <c r="I75" s="119">
        <v>82</v>
      </c>
      <c r="J75" s="119">
        <v>90</v>
      </c>
      <c r="K75" s="119">
        <v>102</v>
      </c>
      <c r="L75" s="119">
        <v>102</v>
      </c>
    </row>
    <row r="76" spans="1:12" x14ac:dyDescent="0.25">
      <c r="A76" s="119" t="s">
        <v>140</v>
      </c>
      <c r="B76" s="119">
        <v>11</v>
      </c>
      <c r="C76" s="119">
        <v>20</v>
      </c>
      <c r="D76" s="119">
        <v>31</v>
      </c>
      <c r="E76" s="119">
        <v>40</v>
      </c>
      <c r="F76" s="119">
        <v>49</v>
      </c>
      <c r="G76" s="119">
        <v>63</v>
      </c>
      <c r="H76" s="119">
        <v>70</v>
      </c>
      <c r="I76" s="119">
        <v>82</v>
      </c>
      <c r="J76" s="119">
        <v>89</v>
      </c>
      <c r="K76" s="119">
        <v>102</v>
      </c>
      <c r="L76" s="119">
        <v>102</v>
      </c>
    </row>
    <row r="77" spans="1:12" x14ac:dyDescent="0.25">
      <c r="A77" s="119" t="s">
        <v>139</v>
      </c>
      <c r="B77" s="119">
        <v>11</v>
      </c>
      <c r="C77" s="119">
        <v>20</v>
      </c>
      <c r="D77" s="119">
        <v>32</v>
      </c>
      <c r="E77" s="119">
        <v>40</v>
      </c>
      <c r="F77" s="119">
        <v>52</v>
      </c>
      <c r="G77" s="119">
        <v>71</v>
      </c>
      <c r="H77" s="119">
        <v>80</v>
      </c>
      <c r="I77" s="119">
        <v>95</v>
      </c>
      <c r="J77" s="119">
        <v>102</v>
      </c>
      <c r="K77" s="119">
        <v>102</v>
      </c>
      <c r="L77" s="119">
        <v>102</v>
      </c>
    </row>
    <row r="78" spans="1:12" x14ac:dyDescent="0.25">
      <c r="A78" s="119" t="s">
        <v>138</v>
      </c>
      <c r="B78" s="119">
        <v>10</v>
      </c>
      <c r="C78" s="119">
        <v>17</v>
      </c>
      <c r="D78" s="119">
        <v>25</v>
      </c>
      <c r="E78" s="119">
        <v>32</v>
      </c>
      <c r="F78" s="119">
        <v>49</v>
      </c>
      <c r="G78" s="119">
        <v>72</v>
      </c>
      <c r="H78" s="119">
        <v>81</v>
      </c>
      <c r="I78" s="119">
        <v>98</v>
      </c>
      <c r="J78" s="119">
        <v>102</v>
      </c>
      <c r="K78" s="119">
        <v>102</v>
      </c>
      <c r="L78" s="119">
        <v>102</v>
      </c>
    </row>
    <row r="79" spans="1:12" x14ac:dyDescent="0.25">
      <c r="A79" s="119" t="s">
        <v>137</v>
      </c>
      <c r="B79" s="119">
        <v>11</v>
      </c>
      <c r="C79" s="119">
        <v>21</v>
      </c>
      <c r="D79" s="119">
        <v>31</v>
      </c>
      <c r="E79" s="119">
        <v>45</v>
      </c>
      <c r="F79" s="119">
        <v>56</v>
      </c>
      <c r="G79" s="119">
        <v>76</v>
      </c>
      <c r="H79" s="119">
        <v>80</v>
      </c>
      <c r="I79" s="119">
        <v>88</v>
      </c>
      <c r="J79" s="119">
        <v>97</v>
      </c>
      <c r="K79" s="119">
        <v>102</v>
      </c>
      <c r="L79" s="119">
        <v>102</v>
      </c>
    </row>
    <row r="80" spans="1:12" x14ac:dyDescent="0.25">
      <c r="A80" s="119" t="s">
        <v>136</v>
      </c>
      <c r="B80" s="119">
        <v>13</v>
      </c>
      <c r="C80" s="119">
        <v>22</v>
      </c>
      <c r="D80" s="119">
        <v>33</v>
      </c>
      <c r="E80" s="119">
        <v>42</v>
      </c>
      <c r="F80" s="119">
        <v>54</v>
      </c>
      <c r="G80" s="119">
        <v>71</v>
      </c>
      <c r="H80" s="119">
        <v>79</v>
      </c>
      <c r="I80" s="119">
        <v>90</v>
      </c>
      <c r="J80" s="119">
        <v>102</v>
      </c>
      <c r="K80" s="119">
        <v>102</v>
      </c>
      <c r="L80" s="119">
        <v>102</v>
      </c>
    </row>
    <row r="81" spans="1:12" x14ac:dyDescent="0.25">
      <c r="A81" s="119" t="s">
        <v>135</v>
      </c>
      <c r="B81" s="119">
        <v>12</v>
      </c>
      <c r="C81" s="119">
        <v>22</v>
      </c>
      <c r="D81" s="119">
        <v>34</v>
      </c>
      <c r="E81" s="119">
        <v>45</v>
      </c>
      <c r="F81" s="119">
        <v>53</v>
      </c>
      <c r="G81" s="119">
        <v>65</v>
      </c>
      <c r="H81" s="119">
        <v>74</v>
      </c>
      <c r="I81" s="119">
        <v>92</v>
      </c>
      <c r="J81" s="119">
        <v>102</v>
      </c>
      <c r="K81" s="119">
        <v>102</v>
      </c>
      <c r="L81" s="119">
        <v>102</v>
      </c>
    </row>
    <row r="82" spans="1:12" x14ac:dyDescent="0.25">
      <c r="A82" s="119" t="s">
        <v>134</v>
      </c>
      <c r="B82" s="119">
        <v>11</v>
      </c>
      <c r="C82" s="119">
        <v>19</v>
      </c>
      <c r="D82" s="119">
        <v>30</v>
      </c>
      <c r="E82" s="119">
        <v>38</v>
      </c>
      <c r="F82" s="119">
        <v>50</v>
      </c>
      <c r="G82" s="119">
        <v>67</v>
      </c>
      <c r="H82" s="119">
        <v>72</v>
      </c>
      <c r="I82" s="119">
        <v>84</v>
      </c>
      <c r="J82" s="119">
        <v>91</v>
      </c>
      <c r="K82" s="119">
        <v>102</v>
      </c>
      <c r="L82" s="119">
        <v>102</v>
      </c>
    </row>
    <row r="83" spans="1:12" x14ac:dyDescent="0.25">
      <c r="A83" s="119" t="s">
        <v>133</v>
      </c>
      <c r="B83" s="119">
        <v>10</v>
      </c>
      <c r="C83" s="119">
        <v>17</v>
      </c>
      <c r="D83" s="119">
        <v>26</v>
      </c>
      <c r="E83" s="119">
        <v>33</v>
      </c>
      <c r="F83" s="119">
        <v>49</v>
      </c>
      <c r="G83" s="119">
        <v>72</v>
      </c>
      <c r="H83" s="119">
        <v>85</v>
      </c>
      <c r="I83" s="119">
        <v>102</v>
      </c>
      <c r="J83" s="119">
        <v>102</v>
      </c>
      <c r="K83" s="119">
        <v>102</v>
      </c>
      <c r="L83" s="119">
        <v>102</v>
      </c>
    </row>
    <row r="84" spans="1:12" x14ac:dyDescent="0.25">
      <c r="A84" s="119" t="s">
        <v>132</v>
      </c>
      <c r="B84" s="119">
        <v>12</v>
      </c>
      <c r="C84" s="119">
        <v>22</v>
      </c>
      <c r="D84" s="119">
        <v>33</v>
      </c>
      <c r="E84" s="119">
        <v>42</v>
      </c>
      <c r="F84" s="119">
        <v>56</v>
      </c>
      <c r="G84" s="119">
        <v>77</v>
      </c>
      <c r="H84" s="119">
        <v>87</v>
      </c>
      <c r="I84" s="119">
        <v>102</v>
      </c>
      <c r="J84" s="119">
        <v>102</v>
      </c>
      <c r="K84" s="119">
        <v>102</v>
      </c>
      <c r="L84" s="119">
        <v>102</v>
      </c>
    </row>
    <row r="85" spans="1:12" x14ac:dyDescent="0.25">
      <c r="A85" s="119" t="s">
        <v>131</v>
      </c>
      <c r="B85" s="119">
        <v>13</v>
      </c>
      <c r="C85" s="119">
        <v>26</v>
      </c>
      <c r="D85" s="119">
        <v>43</v>
      </c>
      <c r="E85" s="119">
        <v>54</v>
      </c>
      <c r="F85" s="119">
        <v>66</v>
      </c>
      <c r="G85" s="119">
        <v>83</v>
      </c>
      <c r="H85" s="119">
        <v>84</v>
      </c>
      <c r="I85" s="119">
        <v>89</v>
      </c>
      <c r="J85" s="119">
        <v>102</v>
      </c>
      <c r="K85" s="119">
        <v>102</v>
      </c>
      <c r="L85" s="119">
        <v>102</v>
      </c>
    </row>
    <row r="86" spans="1:12" x14ac:dyDescent="0.25">
      <c r="A86" s="119" t="s">
        <v>130</v>
      </c>
      <c r="B86" s="119">
        <v>15</v>
      </c>
      <c r="C86" s="119">
        <v>24</v>
      </c>
      <c r="D86" s="119">
        <v>35</v>
      </c>
      <c r="E86" s="119">
        <v>44</v>
      </c>
      <c r="F86" s="119">
        <v>54</v>
      </c>
      <c r="G86" s="119">
        <v>69</v>
      </c>
      <c r="H86" s="119">
        <v>77</v>
      </c>
      <c r="I86" s="119">
        <v>91</v>
      </c>
      <c r="J86" s="119">
        <v>102</v>
      </c>
      <c r="K86" s="119">
        <v>102</v>
      </c>
      <c r="L86" s="119">
        <v>102</v>
      </c>
    </row>
    <row r="87" spans="1:12" x14ac:dyDescent="0.25">
      <c r="A87" s="119" t="s">
        <v>129</v>
      </c>
      <c r="B87" s="119">
        <v>14</v>
      </c>
      <c r="C87" s="119">
        <v>26</v>
      </c>
      <c r="D87" s="119">
        <v>40</v>
      </c>
      <c r="E87" s="119">
        <v>51</v>
      </c>
      <c r="F87" s="119">
        <v>60</v>
      </c>
      <c r="G87" s="119">
        <v>74</v>
      </c>
      <c r="H87" s="119">
        <v>82</v>
      </c>
      <c r="I87" s="119">
        <v>97</v>
      </c>
      <c r="J87" s="119">
        <v>102</v>
      </c>
      <c r="K87" s="119">
        <v>102</v>
      </c>
      <c r="L87" s="119">
        <v>102</v>
      </c>
    </row>
    <row r="88" spans="1:12" x14ac:dyDescent="0.25">
      <c r="A88" s="119" t="s">
        <v>128</v>
      </c>
      <c r="B88" s="119">
        <v>14</v>
      </c>
      <c r="C88" s="119">
        <v>23</v>
      </c>
      <c r="D88" s="119">
        <v>34</v>
      </c>
      <c r="E88" s="119">
        <v>42</v>
      </c>
      <c r="F88" s="119">
        <v>53</v>
      </c>
      <c r="G88" s="119">
        <v>70</v>
      </c>
      <c r="H88" s="119">
        <v>81</v>
      </c>
      <c r="I88" s="119">
        <v>102</v>
      </c>
      <c r="J88" s="119">
        <v>102</v>
      </c>
      <c r="K88" s="119">
        <v>102</v>
      </c>
      <c r="L88" s="119">
        <v>102</v>
      </c>
    </row>
    <row r="89" spans="1:12" x14ac:dyDescent="0.25">
      <c r="A89" s="119" t="s">
        <v>127</v>
      </c>
      <c r="B89" s="119">
        <v>13</v>
      </c>
      <c r="C89" s="119">
        <v>24</v>
      </c>
      <c r="D89" s="119">
        <v>37</v>
      </c>
      <c r="E89" s="119">
        <v>48</v>
      </c>
      <c r="F89" s="119">
        <v>61</v>
      </c>
      <c r="G89" s="119">
        <v>79</v>
      </c>
      <c r="H89" s="119">
        <v>88</v>
      </c>
      <c r="I89" s="119">
        <v>102</v>
      </c>
      <c r="J89" s="119">
        <v>102</v>
      </c>
      <c r="K89" s="119">
        <v>102</v>
      </c>
      <c r="L89" s="119">
        <v>102</v>
      </c>
    </row>
    <row r="90" spans="1:12" x14ac:dyDescent="0.25">
      <c r="A90" s="119" t="s">
        <v>126</v>
      </c>
      <c r="B90" s="119">
        <v>13</v>
      </c>
      <c r="C90" s="119">
        <v>24</v>
      </c>
      <c r="D90" s="119">
        <v>37</v>
      </c>
      <c r="E90" s="119">
        <v>47</v>
      </c>
      <c r="F90" s="119">
        <v>59</v>
      </c>
      <c r="G90" s="119">
        <v>76</v>
      </c>
      <c r="H90" s="119">
        <v>85</v>
      </c>
      <c r="I90" s="119">
        <v>102</v>
      </c>
      <c r="J90" s="119">
        <v>102</v>
      </c>
      <c r="K90" s="119">
        <v>102</v>
      </c>
      <c r="L90" s="119">
        <v>102</v>
      </c>
    </row>
    <row r="91" spans="1:12" x14ac:dyDescent="0.25">
      <c r="A91" s="119" t="s">
        <v>125</v>
      </c>
      <c r="B91" s="119">
        <v>12</v>
      </c>
      <c r="C91" s="119">
        <v>24</v>
      </c>
      <c r="D91" s="119">
        <v>41</v>
      </c>
      <c r="E91" s="119">
        <v>52</v>
      </c>
      <c r="F91" s="119">
        <v>61</v>
      </c>
      <c r="G91" s="119">
        <v>73</v>
      </c>
      <c r="H91" s="119">
        <v>83</v>
      </c>
      <c r="I91" s="119">
        <v>102</v>
      </c>
      <c r="J91" s="119">
        <v>102</v>
      </c>
      <c r="K91" s="119">
        <v>102</v>
      </c>
      <c r="L91" s="119">
        <v>102</v>
      </c>
    </row>
    <row r="92" spans="1:12" x14ac:dyDescent="0.25">
      <c r="A92" s="119" t="s">
        <v>124</v>
      </c>
      <c r="B92" s="119">
        <v>16</v>
      </c>
      <c r="C92" s="119">
        <v>27</v>
      </c>
      <c r="D92" s="119">
        <v>39</v>
      </c>
      <c r="E92" s="119">
        <v>49</v>
      </c>
      <c r="F92" s="119">
        <v>61</v>
      </c>
      <c r="G92" s="119">
        <v>77</v>
      </c>
      <c r="H92" s="119">
        <v>86</v>
      </c>
      <c r="I92" s="119">
        <v>102</v>
      </c>
      <c r="J92" s="119">
        <v>102</v>
      </c>
      <c r="K92" s="119">
        <v>102</v>
      </c>
      <c r="L92" s="119">
        <v>102</v>
      </c>
    </row>
    <row r="93" spans="1:12" x14ac:dyDescent="0.25">
      <c r="A93" s="119" t="s">
        <v>123</v>
      </c>
      <c r="B93" s="119">
        <v>15</v>
      </c>
      <c r="C93" s="119">
        <v>24</v>
      </c>
      <c r="D93" s="119">
        <v>36</v>
      </c>
      <c r="E93" s="119">
        <v>45</v>
      </c>
      <c r="F93" s="119">
        <v>58</v>
      </c>
      <c r="G93" s="119">
        <v>78</v>
      </c>
      <c r="H93" s="119">
        <v>87</v>
      </c>
      <c r="I93" s="119">
        <v>102</v>
      </c>
      <c r="J93" s="119">
        <v>102</v>
      </c>
      <c r="K93" s="119">
        <v>102</v>
      </c>
      <c r="L93" s="119">
        <v>102</v>
      </c>
    </row>
    <row r="94" spans="1:12" x14ac:dyDescent="0.25">
      <c r="A94" s="119" t="s">
        <v>122</v>
      </c>
      <c r="B94" s="119">
        <v>12</v>
      </c>
      <c r="C94" s="119">
        <v>21</v>
      </c>
      <c r="D94" s="119">
        <v>32</v>
      </c>
      <c r="E94" s="119">
        <v>40</v>
      </c>
      <c r="F94" s="119">
        <v>53</v>
      </c>
      <c r="G94" s="119">
        <v>72</v>
      </c>
      <c r="H94" s="119">
        <v>76</v>
      </c>
      <c r="I94" s="119">
        <v>85</v>
      </c>
      <c r="J94" s="119">
        <v>91</v>
      </c>
      <c r="K94" s="119">
        <v>102</v>
      </c>
      <c r="L94" s="119">
        <v>102</v>
      </c>
    </row>
    <row r="95" spans="1:12" x14ac:dyDescent="0.25">
      <c r="A95" s="119" t="s">
        <v>121</v>
      </c>
      <c r="B95" s="119">
        <v>12</v>
      </c>
      <c r="C95" s="119">
        <v>22</v>
      </c>
      <c r="D95" s="119">
        <v>34</v>
      </c>
      <c r="E95" s="119">
        <v>43</v>
      </c>
      <c r="F95" s="119">
        <v>57</v>
      </c>
      <c r="G95" s="119">
        <v>79</v>
      </c>
      <c r="H95" s="119">
        <v>89</v>
      </c>
      <c r="I95" s="119">
        <v>102</v>
      </c>
      <c r="J95" s="119">
        <v>102</v>
      </c>
      <c r="K95" s="119">
        <v>102</v>
      </c>
      <c r="L95" s="119">
        <v>102</v>
      </c>
    </row>
    <row r="96" spans="1:12" x14ac:dyDescent="0.25">
      <c r="A96" s="119" t="s">
        <v>120</v>
      </c>
      <c r="B96" s="119">
        <v>16</v>
      </c>
      <c r="C96" s="119">
        <v>25</v>
      </c>
      <c r="D96" s="119">
        <v>36</v>
      </c>
      <c r="E96" s="119">
        <v>45</v>
      </c>
      <c r="F96" s="119">
        <v>56</v>
      </c>
      <c r="G96" s="119">
        <v>76</v>
      </c>
      <c r="H96" s="119">
        <v>86</v>
      </c>
      <c r="I96" s="119">
        <v>102</v>
      </c>
      <c r="J96" s="119">
        <v>102</v>
      </c>
      <c r="K96" s="119">
        <v>102</v>
      </c>
      <c r="L96" s="119">
        <v>102</v>
      </c>
    </row>
    <row r="97" spans="1:12" x14ac:dyDescent="0.25">
      <c r="A97" s="119" t="s">
        <v>119</v>
      </c>
      <c r="B97" s="119">
        <v>11</v>
      </c>
      <c r="C97" s="119">
        <v>21</v>
      </c>
      <c r="D97" s="119">
        <v>34</v>
      </c>
      <c r="E97" s="119">
        <v>44</v>
      </c>
      <c r="F97" s="119">
        <v>58</v>
      </c>
      <c r="G97" s="119">
        <v>80</v>
      </c>
      <c r="H97" s="119">
        <v>85</v>
      </c>
      <c r="I97" s="119">
        <v>96</v>
      </c>
      <c r="J97" s="119">
        <v>102</v>
      </c>
      <c r="K97" s="119">
        <v>102</v>
      </c>
      <c r="L97" s="119">
        <v>102</v>
      </c>
    </row>
    <row r="98" spans="1:12" x14ac:dyDescent="0.25">
      <c r="A98" s="119" t="s">
        <v>118</v>
      </c>
      <c r="B98" s="119">
        <v>14</v>
      </c>
      <c r="C98" s="119">
        <v>22</v>
      </c>
      <c r="D98" s="119">
        <v>33</v>
      </c>
      <c r="E98" s="119">
        <v>41</v>
      </c>
      <c r="F98" s="119">
        <v>53</v>
      </c>
      <c r="G98" s="119">
        <v>74</v>
      </c>
      <c r="H98" s="119">
        <v>81</v>
      </c>
      <c r="I98" s="119">
        <v>95</v>
      </c>
      <c r="J98" s="119">
        <v>102</v>
      </c>
      <c r="K98" s="119">
        <v>102</v>
      </c>
      <c r="L98" s="119">
        <v>102</v>
      </c>
    </row>
    <row r="99" spans="1:12" x14ac:dyDescent="0.25">
      <c r="A99" s="119" t="s">
        <v>117</v>
      </c>
      <c r="B99" s="119">
        <v>15</v>
      </c>
      <c r="C99" s="119">
        <v>23</v>
      </c>
      <c r="D99" s="119">
        <v>34</v>
      </c>
      <c r="E99" s="119">
        <v>42</v>
      </c>
      <c r="F99" s="119">
        <v>51</v>
      </c>
      <c r="G99" s="119">
        <v>77</v>
      </c>
      <c r="H99" s="119">
        <v>84</v>
      </c>
      <c r="I99" s="119">
        <v>97</v>
      </c>
      <c r="J99" s="119">
        <v>102</v>
      </c>
      <c r="K99" s="119">
        <v>102</v>
      </c>
      <c r="L99" s="119">
        <v>102</v>
      </c>
    </row>
    <row r="100" spans="1:12" x14ac:dyDescent="0.25">
      <c r="A100" s="119" t="s">
        <v>116</v>
      </c>
      <c r="B100" s="119">
        <v>10</v>
      </c>
      <c r="C100" s="119">
        <v>18</v>
      </c>
      <c r="D100" s="119">
        <v>27</v>
      </c>
      <c r="E100" s="119">
        <v>35</v>
      </c>
      <c r="F100" s="119">
        <v>48</v>
      </c>
      <c r="G100" s="119">
        <v>69</v>
      </c>
      <c r="H100" s="119">
        <v>81</v>
      </c>
      <c r="I100" s="119">
        <v>102</v>
      </c>
      <c r="J100" s="119">
        <v>102</v>
      </c>
      <c r="K100" s="119">
        <v>102</v>
      </c>
      <c r="L100" s="119">
        <v>102</v>
      </c>
    </row>
    <row r="101" spans="1:12" x14ac:dyDescent="0.25">
      <c r="A101" s="119" t="s">
        <v>115</v>
      </c>
      <c r="B101" s="119">
        <v>13</v>
      </c>
      <c r="C101" s="119">
        <v>20</v>
      </c>
      <c r="D101" s="119">
        <v>28</v>
      </c>
      <c r="E101" s="119">
        <v>34</v>
      </c>
      <c r="F101" s="119">
        <v>43</v>
      </c>
      <c r="G101" s="119">
        <v>57</v>
      </c>
      <c r="H101" s="119">
        <v>63</v>
      </c>
      <c r="I101" s="119">
        <v>74</v>
      </c>
      <c r="J101" s="119">
        <v>82</v>
      </c>
      <c r="K101" s="119">
        <v>98</v>
      </c>
      <c r="L101" s="119">
        <v>102</v>
      </c>
    </row>
    <row r="102" spans="1:12" x14ac:dyDescent="0.25">
      <c r="A102" s="119" t="s">
        <v>114</v>
      </c>
      <c r="B102" s="119">
        <v>11</v>
      </c>
      <c r="C102" s="119">
        <v>19</v>
      </c>
      <c r="D102" s="119">
        <v>31</v>
      </c>
      <c r="E102" s="119">
        <v>41</v>
      </c>
      <c r="F102" s="119">
        <v>54</v>
      </c>
      <c r="G102" s="119">
        <v>73</v>
      </c>
      <c r="H102" s="119">
        <v>84</v>
      </c>
      <c r="I102" s="119">
        <v>102</v>
      </c>
      <c r="J102" s="119">
        <v>102</v>
      </c>
      <c r="K102" s="119">
        <v>102</v>
      </c>
      <c r="L102" s="119">
        <v>102</v>
      </c>
    </row>
    <row r="103" spans="1:12" x14ac:dyDescent="0.25">
      <c r="A103" s="119" t="s">
        <v>113</v>
      </c>
      <c r="B103" s="119">
        <v>12</v>
      </c>
      <c r="C103" s="119">
        <v>19</v>
      </c>
      <c r="D103" s="119">
        <v>27</v>
      </c>
      <c r="E103" s="119">
        <v>33</v>
      </c>
      <c r="F103" s="119">
        <v>41</v>
      </c>
      <c r="G103" s="119">
        <v>53</v>
      </c>
      <c r="H103" s="119">
        <v>61</v>
      </c>
      <c r="I103" s="119">
        <v>77</v>
      </c>
      <c r="J103" s="119">
        <v>85</v>
      </c>
      <c r="K103" s="119">
        <v>102</v>
      </c>
      <c r="L103" s="119">
        <v>102</v>
      </c>
    </row>
    <row r="104" spans="1:12" x14ac:dyDescent="0.25">
      <c r="A104" s="119" t="s">
        <v>112</v>
      </c>
      <c r="B104" s="119">
        <v>12</v>
      </c>
      <c r="C104" s="119">
        <v>21</v>
      </c>
      <c r="D104" s="119">
        <v>35</v>
      </c>
      <c r="E104" s="119">
        <v>46</v>
      </c>
      <c r="F104" s="119">
        <v>60</v>
      </c>
      <c r="G104" s="119">
        <v>80</v>
      </c>
      <c r="H104" s="119">
        <v>89</v>
      </c>
      <c r="I104" s="119">
        <v>102</v>
      </c>
      <c r="J104" s="119">
        <v>102</v>
      </c>
      <c r="K104" s="119">
        <v>102</v>
      </c>
      <c r="L104" s="119">
        <v>102</v>
      </c>
    </row>
    <row r="105" spans="1:12" x14ac:dyDescent="0.25">
      <c r="A105" s="119" t="s">
        <v>111</v>
      </c>
      <c r="B105" s="119">
        <v>12</v>
      </c>
      <c r="C105" s="119">
        <v>21</v>
      </c>
      <c r="D105" s="119">
        <v>34</v>
      </c>
      <c r="E105" s="119">
        <v>42</v>
      </c>
      <c r="F105" s="119">
        <v>56</v>
      </c>
      <c r="G105" s="119">
        <v>76</v>
      </c>
      <c r="H105" s="119">
        <v>85</v>
      </c>
      <c r="I105" s="119">
        <v>102</v>
      </c>
      <c r="J105" s="119">
        <v>102</v>
      </c>
      <c r="K105" s="119">
        <v>102</v>
      </c>
      <c r="L105" s="119">
        <v>102</v>
      </c>
    </row>
    <row r="106" spans="1:12" x14ac:dyDescent="0.25">
      <c r="A106" s="119" t="s">
        <v>110</v>
      </c>
      <c r="B106" s="119">
        <v>11</v>
      </c>
      <c r="C106" s="119">
        <v>22</v>
      </c>
      <c r="D106" s="119">
        <v>35</v>
      </c>
      <c r="E106" s="119">
        <v>45</v>
      </c>
      <c r="F106" s="119">
        <v>58</v>
      </c>
      <c r="G106" s="119">
        <v>78</v>
      </c>
      <c r="H106" s="119">
        <v>85</v>
      </c>
      <c r="I106" s="119">
        <v>98</v>
      </c>
      <c r="J106" s="119">
        <v>102</v>
      </c>
      <c r="K106" s="119">
        <v>102</v>
      </c>
      <c r="L106" s="119">
        <v>102</v>
      </c>
    </row>
    <row r="107" spans="1:12" x14ac:dyDescent="0.25">
      <c r="A107" s="119" t="s">
        <v>109</v>
      </c>
      <c r="B107" s="119">
        <v>10</v>
      </c>
      <c r="C107" s="119">
        <v>19</v>
      </c>
      <c r="D107" s="119">
        <v>31</v>
      </c>
      <c r="E107" s="119">
        <v>40</v>
      </c>
      <c r="F107" s="119">
        <v>52</v>
      </c>
      <c r="G107" s="119">
        <v>69</v>
      </c>
      <c r="H107" s="119">
        <v>73</v>
      </c>
      <c r="I107" s="119">
        <v>83</v>
      </c>
      <c r="J107" s="119">
        <v>89</v>
      </c>
      <c r="K107" s="119">
        <v>102</v>
      </c>
      <c r="L107" s="119">
        <v>102</v>
      </c>
    </row>
    <row r="108" spans="1:12" x14ac:dyDescent="0.25">
      <c r="A108" s="119" t="s">
        <v>108</v>
      </c>
      <c r="B108" s="119">
        <v>11</v>
      </c>
      <c r="C108" s="119">
        <v>19</v>
      </c>
      <c r="D108" s="119">
        <v>30</v>
      </c>
      <c r="E108" s="119">
        <v>38</v>
      </c>
      <c r="F108" s="119">
        <v>49</v>
      </c>
      <c r="G108" s="119">
        <v>68</v>
      </c>
      <c r="H108" s="119">
        <v>74</v>
      </c>
      <c r="I108" s="119">
        <v>85</v>
      </c>
      <c r="J108" s="119">
        <v>90</v>
      </c>
      <c r="K108" s="119">
        <v>102</v>
      </c>
      <c r="L108" s="119">
        <v>102</v>
      </c>
    </row>
    <row r="109" spans="1:12" x14ac:dyDescent="0.25">
      <c r="A109" s="119" t="s">
        <v>107</v>
      </c>
      <c r="B109" s="119">
        <v>11</v>
      </c>
      <c r="C109" s="119">
        <v>20</v>
      </c>
      <c r="D109" s="119">
        <v>32</v>
      </c>
      <c r="E109" s="119">
        <v>42</v>
      </c>
      <c r="F109" s="119">
        <v>52</v>
      </c>
      <c r="G109" s="119">
        <v>68</v>
      </c>
      <c r="H109" s="119">
        <v>76</v>
      </c>
      <c r="I109" s="119">
        <v>91</v>
      </c>
      <c r="J109" s="119">
        <v>94</v>
      </c>
      <c r="K109" s="119">
        <v>102</v>
      </c>
      <c r="L109" s="119">
        <v>102</v>
      </c>
    </row>
    <row r="110" spans="1:12" x14ac:dyDescent="0.25">
      <c r="A110" s="119" t="s">
        <v>106</v>
      </c>
      <c r="B110" s="119">
        <v>13</v>
      </c>
      <c r="C110" s="119">
        <v>24</v>
      </c>
      <c r="D110" s="119">
        <v>38</v>
      </c>
      <c r="E110" s="119">
        <v>49</v>
      </c>
      <c r="F110" s="119">
        <v>61</v>
      </c>
      <c r="G110" s="119">
        <v>78</v>
      </c>
      <c r="H110" s="119">
        <v>86</v>
      </c>
      <c r="I110" s="119">
        <v>102</v>
      </c>
      <c r="J110" s="119">
        <v>102</v>
      </c>
      <c r="K110" s="119">
        <v>102</v>
      </c>
      <c r="L110" s="119">
        <v>102</v>
      </c>
    </row>
    <row r="111" spans="1:12" x14ac:dyDescent="0.25">
      <c r="A111" s="119" t="s">
        <v>105</v>
      </c>
      <c r="B111" s="119">
        <v>14</v>
      </c>
      <c r="C111" s="119">
        <v>28</v>
      </c>
      <c r="D111" s="119">
        <v>46</v>
      </c>
      <c r="E111" s="119">
        <v>61</v>
      </c>
      <c r="F111" s="119">
        <v>73</v>
      </c>
      <c r="G111" s="119">
        <v>92</v>
      </c>
      <c r="H111" s="119">
        <v>102</v>
      </c>
      <c r="I111" s="119">
        <v>102</v>
      </c>
      <c r="J111" s="119">
        <v>102</v>
      </c>
      <c r="K111" s="119">
        <v>102</v>
      </c>
      <c r="L111" s="119">
        <v>102</v>
      </c>
    </row>
    <row r="112" spans="1:12" x14ac:dyDescent="0.25">
      <c r="A112" s="119" t="s">
        <v>104</v>
      </c>
      <c r="B112" s="119">
        <v>14</v>
      </c>
      <c r="C112" s="119">
        <v>25</v>
      </c>
      <c r="D112" s="119">
        <v>37</v>
      </c>
      <c r="E112" s="119">
        <v>48</v>
      </c>
      <c r="F112" s="119">
        <v>60</v>
      </c>
      <c r="G112" s="119">
        <v>77</v>
      </c>
      <c r="H112" s="119">
        <v>84</v>
      </c>
      <c r="I112" s="119">
        <v>102</v>
      </c>
      <c r="J112" s="119">
        <v>102</v>
      </c>
      <c r="K112" s="119">
        <v>102</v>
      </c>
      <c r="L112" s="119">
        <v>102</v>
      </c>
    </row>
    <row r="113" spans="1:12" x14ac:dyDescent="0.25">
      <c r="A113" s="119" t="s">
        <v>103</v>
      </c>
      <c r="B113" s="119">
        <v>13</v>
      </c>
      <c r="C113" s="119">
        <v>27</v>
      </c>
      <c r="D113" s="119">
        <v>44</v>
      </c>
      <c r="E113" s="119">
        <v>57</v>
      </c>
      <c r="F113" s="119">
        <v>72</v>
      </c>
      <c r="G113" s="119">
        <v>96</v>
      </c>
      <c r="H113" s="119">
        <v>102</v>
      </c>
      <c r="I113" s="119">
        <v>102</v>
      </c>
      <c r="J113" s="119">
        <v>102</v>
      </c>
      <c r="K113" s="119">
        <v>102</v>
      </c>
      <c r="L113" s="119">
        <v>102</v>
      </c>
    </row>
    <row r="114" spans="1:12" x14ac:dyDescent="0.25">
      <c r="A114" s="119" t="s">
        <v>102</v>
      </c>
      <c r="B114" s="119">
        <v>12</v>
      </c>
      <c r="C114" s="119">
        <v>21</v>
      </c>
      <c r="D114" s="119">
        <v>32</v>
      </c>
      <c r="E114" s="119">
        <v>41</v>
      </c>
      <c r="F114" s="119">
        <v>51</v>
      </c>
      <c r="G114" s="119">
        <v>65</v>
      </c>
      <c r="H114" s="119">
        <v>77</v>
      </c>
      <c r="I114" s="119">
        <v>98</v>
      </c>
      <c r="J114" s="119">
        <v>102</v>
      </c>
      <c r="K114" s="119">
        <v>102</v>
      </c>
      <c r="L114" s="119">
        <v>102</v>
      </c>
    </row>
    <row r="115" spans="1:12" x14ac:dyDescent="0.25">
      <c r="A115" s="119" t="s">
        <v>101</v>
      </c>
      <c r="B115" s="119">
        <v>14</v>
      </c>
      <c r="C115" s="119">
        <v>28</v>
      </c>
      <c r="D115" s="119">
        <v>45</v>
      </c>
      <c r="E115" s="119">
        <v>58</v>
      </c>
      <c r="F115" s="119">
        <v>68</v>
      </c>
      <c r="G115" s="119">
        <v>83</v>
      </c>
      <c r="H115" s="119">
        <v>87</v>
      </c>
      <c r="I115" s="119">
        <v>96</v>
      </c>
      <c r="J115" s="119">
        <v>102</v>
      </c>
      <c r="K115" s="119">
        <v>102</v>
      </c>
      <c r="L115" s="119">
        <v>102</v>
      </c>
    </row>
    <row r="116" spans="1:12" x14ac:dyDescent="0.25">
      <c r="A116" s="119" t="s">
        <v>100</v>
      </c>
      <c r="B116" s="119">
        <v>12</v>
      </c>
      <c r="C116" s="119">
        <v>23</v>
      </c>
      <c r="D116" s="119">
        <v>37</v>
      </c>
      <c r="E116" s="119">
        <v>49</v>
      </c>
      <c r="F116" s="119">
        <v>60</v>
      </c>
      <c r="G116" s="119">
        <v>76</v>
      </c>
      <c r="H116" s="119">
        <v>87</v>
      </c>
      <c r="I116" s="119">
        <v>102</v>
      </c>
      <c r="J116" s="119">
        <v>102</v>
      </c>
      <c r="K116" s="119">
        <v>102</v>
      </c>
      <c r="L116" s="119">
        <v>102</v>
      </c>
    </row>
    <row r="117" spans="1:12" x14ac:dyDescent="0.25">
      <c r="A117" s="119" t="s">
        <v>99</v>
      </c>
      <c r="B117" s="119">
        <v>13</v>
      </c>
      <c r="C117" s="119">
        <v>23</v>
      </c>
      <c r="D117" s="119">
        <v>36</v>
      </c>
      <c r="E117" s="119">
        <v>46</v>
      </c>
      <c r="F117" s="119">
        <v>56</v>
      </c>
      <c r="G117" s="119">
        <v>71</v>
      </c>
      <c r="H117" s="119">
        <v>81</v>
      </c>
      <c r="I117" s="119">
        <v>102</v>
      </c>
      <c r="J117" s="119">
        <v>102</v>
      </c>
      <c r="K117" s="119">
        <v>102</v>
      </c>
      <c r="L117" s="119">
        <v>102</v>
      </c>
    </row>
    <row r="118" spans="1:12" x14ac:dyDescent="0.25">
      <c r="A118" s="119" t="s">
        <v>98</v>
      </c>
      <c r="B118" s="119">
        <v>14</v>
      </c>
      <c r="C118" s="119">
        <v>24</v>
      </c>
      <c r="D118" s="119">
        <v>37</v>
      </c>
      <c r="E118" s="119">
        <v>47</v>
      </c>
      <c r="F118" s="119">
        <v>59</v>
      </c>
      <c r="G118" s="119">
        <v>76</v>
      </c>
      <c r="H118" s="119">
        <v>82</v>
      </c>
      <c r="I118" s="119">
        <v>92</v>
      </c>
      <c r="J118" s="119">
        <v>102</v>
      </c>
      <c r="K118" s="119">
        <v>102</v>
      </c>
      <c r="L118" s="119">
        <v>102</v>
      </c>
    </row>
    <row r="119" spans="1:12" x14ac:dyDescent="0.25">
      <c r="A119" s="119" t="s">
        <v>97</v>
      </c>
      <c r="B119" s="119">
        <v>10</v>
      </c>
      <c r="C119" s="119">
        <v>20</v>
      </c>
      <c r="D119" s="119">
        <v>34</v>
      </c>
      <c r="E119" s="119">
        <v>45</v>
      </c>
      <c r="F119" s="119">
        <v>89</v>
      </c>
      <c r="G119" s="119">
        <v>79</v>
      </c>
      <c r="H119" s="119">
        <v>84</v>
      </c>
      <c r="I119" s="119">
        <v>93</v>
      </c>
      <c r="J119" s="119">
        <v>102</v>
      </c>
      <c r="K119" s="119">
        <v>102</v>
      </c>
      <c r="L119" s="119">
        <v>102</v>
      </c>
    </row>
    <row r="120" spans="1:12" x14ac:dyDescent="0.25">
      <c r="A120" s="119" t="s">
        <v>96</v>
      </c>
      <c r="B120" s="119">
        <v>12</v>
      </c>
      <c r="C120" s="119">
        <v>20</v>
      </c>
      <c r="D120" s="119">
        <v>32</v>
      </c>
      <c r="E120" s="119">
        <v>39</v>
      </c>
      <c r="F120" s="119">
        <v>48</v>
      </c>
      <c r="G120" s="119">
        <v>62</v>
      </c>
      <c r="H120" s="119">
        <v>67</v>
      </c>
      <c r="I120" s="119">
        <v>76</v>
      </c>
      <c r="J120" s="119">
        <v>84</v>
      </c>
      <c r="K120" s="119">
        <v>102</v>
      </c>
      <c r="L120" s="119">
        <v>102</v>
      </c>
    </row>
    <row r="121" spans="1:12" x14ac:dyDescent="0.25">
      <c r="A121" s="119" t="s">
        <v>95</v>
      </c>
      <c r="B121" s="119">
        <v>13</v>
      </c>
      <c r="C121" s="119">
        <v>21</v>
      </c>
      <c r="D121" s="119">
        <v>30</v>
      </c>
      <c r="E121" s="119">
        <v>36</v>
      </c>
      <c r="F121" s="119">
        <v>46</v>
      </c>
      <c r="G121" s="119">
        <v>62</v>
      </c>
      <c r="H121" s="119">
        <v>68</v>
      </c>
      <c r="I121" s="119">
        <v>78</v>
      </c>
      <c r="J121" s="119">
        <v>85</v>
      </c>
      <c r="K121" s="119">
        <v>102</v>
      </c>
      <c r="L121" s="119">
        <v>102</v>
      </c>
    </row>
    <row r="122" spans="1:12" x14ac:dyDescent="0.25">
      <c r="A122" s="119" t="s">
        <v>94</v>
      </c>
      <c r="B122" s="119">
        <v>20</v>
      </c>
      <c r="C122" s="119">
        <v>29</v>
      </c>
      <c r="D122" s="119">
        <v>40</v>
      </c>
      <c r="E122" s="119">
        <v>48</v>
      </c>
      <c r="F122" s="119">
        <v>61</v>
      </c>
      <c r="G122" s="119">
        <v>75</v>
      </c>
      <c r="H122" s="119">
        <v>83</v>
      </c>
      <c r="I122" s="119">
        <v>95</v>
      </c>
      <c r="J122" s="119">
        <v>102</v>
      </c>
      <c r="K122" s="119">
        <v>102</v>
      </c>
      <c r="L122" s="119">
        <v>102</v>
      </c>
    </row>
    <row r="123" spans="1:12" x14ac:dyDescent="0.25">
      <c r="A123" s="119" t="s">
        <v>93</v>
      </c>
      <c r="B123" s="119">
        <v>14</v>
      </c>
      <c r="C123" s="119">
        <v>26</v>
      </c>
      <c r="D123" s="119">
        <v>39</v>
      </c>
      <c r="E123" s="119">
        <v>51</v>
      </c>
      <c r="F123" s="119">
        <v>60</v>
      </c>
      <c r="G123" s="119">
        <v>73</v>
      </c>
      <c r="H123" s="119">
        <v>80</v>
      </c>
      <c r="I123" s="119">
        <v>93</v>
      </c>
      <c r="J123" s="119">
        <v>102</v>
      </c>
      <c r="K123" s="119">
        <v>102</v>
      </c>
      <c r="L123" s="119">
        <v>102</v>
      </c>
    </row>
    <row r="124" spans="1:12" x14ac:dyDescent="0.25">
      <c r="A124" s="119" t="s">
        <v>92</v>
      </c>
      <c r="B124" s="119">
        <v>18</v>
      </c>
      <c r="C124" s="119">
        <v>29</v>
      </c>
      <c r="D124" s="119">
        <v>43</v>
      </c>
      <c r="E124" s="119">
        <v>55</v>
      </c>
      <c r="F124" s="119">
        <v>64</v>
      </c>
      <c r="G124" s="119">
        <v>78</v>
      </c>
      <c r="H124" s="119">
        <v>85</v>
      </c>
      <c r="I124" s="119">
        <v>98</v>
      </c>
      <c r="J124" s="119">
        <v>102</v>
      </c>
      <c r="K124" s="119">
        <v>102</v>
      </c>
      <c r="L124" s="119">
        <v>102</v>
      </c>
    </row>
    <row r="125" spans="1:12" x14ac:dyDescent="0.25">
      <c r="A125" s="119" t="s">
        <v>91</v>
      </c>
      <c r="B125" s="119">
        <v>16</v>
      </c>
      <c r="C125" s="119">
        <v>29</v>
      </c>
      <c r="D125" s="119">
        <v>43</v>
      </c>
      <c r="E125" s="119">
        <v>55</v>
      </c>
      <c r="F125" s="119">
        <v>72</v>
      </c>
      <c r="G125" s="119">
        <v>98</v>
      </c>
      <c r="H125" s="119">
        <v>102</v>
      </c>
      <c r="I125" s="119">
        <v>102</v>
      </c>
      <c r="J125" s="119">
        <v>102</v>
      </c>
      <c r="K125" s="119">
        <v>102</v>
      </c>
      <c r="L125" s="119">
        <v>102</v>
      </c>
    </row>
    <row r="126" spans="1:12" x14ac:dyDescent="0.25">
      <c r="A126" s="119" t="s">
        <v>90</v>
      </c>
      <c r="B126" s="119">
        <v>15</v>
      </c>
      <c r="C126" s="119">
        <v>28</v>
      </c>
      <c r="D126" s="119">
        <v>45</v>
      </c>
      <c r="E126" s="119">
        <v>60</v>
      </c>
      <c r="F126" s="119">
        <v>74</v>
      </c>
      <c r="G126" s="119">
        <v>95</v>
      </c>
      <c r="H126" s="119">
        <v>102</v>
      </c>
      <c r="I126" s="119">
        <v>102</v>
      </c>
      <c r="J126" s="119">
        <v>102</v>
      </c>
      <c r="K126" s="119">
        <v>102</v>
      </c>
      <c r="L126" s="119">
        <v>102</v>
      </c>
    </row>
    <row r="127" spans="1:12" x14ac:dyDescent="0.25">
      <c r="A127" s="119" t="s">
        <v>89</v>
      </c>
      <c r="B127" s="119">
        <v>12</v>
      </c>
      <c r="C127" s="119">
        <v>23</v>
      </c>
      <c r="D127" s="119">
        <v>38</v>
      </c>
      <c r="E127" s="119">
        <v>48</v>
      </c>
      <c r="F127" s="119">
        <v>56</v>
      </c>
      <c r="G127" s="119">
        <v>67</v>
      </c>
      <c r="H127" s="119">
        <v>71</v>
      </c>
      <c r="I127" s="119">
        <v>75</v>
      </c>
      <c r="J127" s="119">
        <v>85</v>
      </c>
      <c r="K127" s="119">
        <v>102</v>
      </c>
      <c r="L127" s="119">
        <v>102</v>
      </c>
    </row>
    <row r="128" spans="1:12" x14ac:dyDescent="0.25">
      <c r="A128" s="119" t="s">
        <v>88</v>
      </c>
      <c r="B128" s="119">
        <v>13</v>
      </c>
      <c r="C128" s="119">
        <v>24</v>
      </c>
      <c r="D128" s="119">
        <v>37</v>
      </c>
      <c r="E128" s="119">
        <v>47</v>
      </c>
      <c r="F128" s="119">
        <v>63</v>
      </c>
      <c r="G128" s="119">
        <v>86</v>
      </c>
      <c r="H128" s="119">
        <v>93</v>
      </c>
      <c r="I128" s="119">
        <v>102</v>
      </c>
      <c r="J128" s="119">
        <v>102</v>
      </c>
      <c r="K128" s="119">
        <v>102</v>
      </c>
      <c r="L128" s="119">
        <v>102</v>
      </c>
    </row>
    <row r="129" spans="1:12" x14ac:dyDescent="0.25">
      <c r="A129" s="119" t="s">
        <v>87</v>
      </c>
      <c r="B129" s="119">
        <v>13</v>
      </c>
      <c r="C129" s="119">
        <v>24</v>
      </c>
      <c r="D129" s="119">
        <v>37</v>
      </c>
      <c r="E129" s="119">
        <v>48</v>
      </c>
      <c r="F129" s="119">
        <v>61</v>
      </c>
      <c r="G129" s="119">
        <v>78</v>
      </c>
      <c r="H129" s="119">
        <v>86</v>
      </c>
      <c r="I129" s="119">
        <v>95</v>
      </c>
      <c r="J129" s="119">
        <v>102</v>
      </c>
      <c r="K129" s="119">
        <v>102</v>
      </c>
      <c r="L129" s="119">
        <v>102</v>
      </c>
    </row>
    <row r="130" spans="1:12" x14ac:dyDescent="0.25">
      <c r="A130" s="119" t="s">
        <v>86</v>
      </c>
      <c r="B130" s="119">
        <v>15</v>
      </c>
      <c r="C130" s="119">
        <v>25</v>
      </c>
      <c r="D130" s="119">
        <v>38</v>
      </c>
      <c r="E130" s="119">
        <v>49</v>
      </c>
      <c r="F130" s="119">
        <v>60</v>
      </c>
      <c r="G130" s="119">
        <v>77</v>
      </c>
      <c r="H130" s="119">
        <v>83</v>
      </c>
      <c r="I130" s="119">
        <v>91</v>
      </c>
      <c r="J130" s="119">
        <v>94</v>
      </c>
      <c r="K130" s="119">
        <v>102</v>
      </c>
      <c r="L130" s="119">
        <v>102</v>
      </c>
    </row>
    <row r="131" spans="1:12" x14ac:dyDescent="0.25">
      <c r="A131" s="119" t="s">
        <v>85</v>
      </c>
      <c r="B131" s="119">
        <v>12</v>
      </c>
      <c r="C131" s="119">
        <v>21</v>
      </c>
      <c r="D131" s="119">
        <v>32</v>
      </c>
      <c r="E131" s="119">
        <v>41</v>
      </c>
      <c r="F131" s="119">
        <v>52</v>
      </c>
      <c r="G131" s="119">
        <v>68</v>
      </c>
      <c r="H131" s="119">
        <v>71</v>
      </c>
      <c r="I131" s="119">
        <v>77</v>
      </c>
      <c r="J131" s="119">
        <v>85</v>
      </c>
      <c r="K131" s="119">
        <v>102</v>
      </c>
      <c r="L131" s="119">
        <v>102</v>
      </c>
    </row>
    <row r="132" spans="1:12" x14ac:dyDescent="0.25">
      <c r="A132" s="119" t="s">
        <v>84</v>
      </c>
      <c r="B132" s="119">
        <v>14</v>
      </c>
      <c r="C132" s="119">
        <v>24</v>
      </c>
      <c r="D132" s="119">
        <v>37</v>
      </c>
      <c r="E132" s="119">
        <v>47</v>
      </c>
      <c r="F132" s="119">
        <v>56</v>
      </c>
      <c r="G132" s="119">
        <v>69</v>
      </c>
      <c r="H132" s="119">
        <v>73</v>
      </c>
      <c r="I132" s="119">
        <v>80</v>
      </c>
      <c r="J132" s="119">
        <v>88</v>
      </c>
      <c r="K132" s="119">
        <v>102</v>
      </c>
      <c r="L132" s="119">
        <v>102</v>
      </c>
    </row>
    <row r="133" spans="1:12" x14ac:dyDescent="0.25">
      <c r="A133" s="119" t="s">
        <v>83</v>
      </c>
      <c r="B133" s="119">
        <v>14</v>
      </c>
      <c r="C133" s="119">
        <v>23</v>
      </c>
      <c r="D133" s="119">
        <v>32</v>
      </c>
      <c r="E133" s="119">
        <v>39</v>
      </c>
      <c r="F133" s="119">
        <v>45</v>
      </c>
      <c r="G133" s="119">
        <v>54</v>
      </c>
      <c r="H133" s="119">
        <v>58</v>
      </c>
      <c r="I133" s="119">
        <v>65</v>
      </c>
      <c r="J133" s="119">
        <v>77</v>
      </c>
      <c r="K133" s="119">
        <v>102</v>
      </c>
      <c r="L133" s="119">
        <v>102</v>
      </c>
    </row>
    <row r="134" spans="1:12" x14ac:dyDescent="0.25">
      <c r="A134" s="119" t="s">
        <v>82</v>
      </c>
      <c r="B134" s="119">
        <v>11</v>
      </c>
      <c r="C134" s="119">
        <v>21</v>
      </c>
      <c r="D134" s="119">
        <v>33</v>
      </c>
      <c r="E134" s="119">
        <v>42</v>
      </c>
      <c r="F134" s="119">
        <v>54</v>
      </c>
      <c r="G134" s="119">
        <v>71</v>
      </c>
      <c r="H134" s="119">
        <v>81</v>
      </c>
      <c r="I134" s="119">
        <v>95</v>
      </c>
      <c r="J134" s="119">
        <v>102</v>
      </c>
      <c r="K134" s="119">
        <v>102</v>
      </c>
      <c r="L134" s="119">
        <v>102</v>
      </c>
    </row>
    <row r="135" spans="1:12" x14ac:dyDescent="0.25">
      <c r="A135" s="119" t="s">
        <v>81</v>
      </c>
      <c r="B135" s="119">
        <v>8</v>
      </c>
      <c r="C135" s="119">
        <v>14</v>
      </c>
      <c r="D135" s="119">
        <v>23</v>
      </c>
      <c r="E135" s="119">
        <v>31</v>
      </c>
      <c r="F135" s="119">
        <v>41</v>
      </c>
      <c r="G135" s="119">
        <v>57</v>
      </c>
      <c r="H135" s="119">
        <v>69</v>
      </c>
      <c r="I135" s="119">
        <v>87</v>
      </c>
      <c r="J135" s="119">
        <v>102</v>
      </c>
      <c r="K135" s="119">
        <v>102</v>
      </c>
      <c r="L135" s="119">
        <v>102</v>
      </c>
    </row>
    <row r="136" spans="1:12" x14ac:dyDescent="0.25">
      <c r="A136" s="119" t="s">
        <v>80</v>
      </c>
      <c r="B136" s="119">
        <v>4</v>
      </c>
      <c r="C136" s="119">
        <v>11</v>
      </c>
      <c r="D136" s="119">
        <v>39</v>
      </c>
      <c r="E136" s="119">
        <v>25</v>
      </c>
      <c r="F136" s="119">
        <v>37</v>
      </c>
      <c r="G136" s="119">
        <v>55</v>
      </c>
      <c r="H136" s="119">
        <v>62</v>
      </c>
      <c r="I136" s="119">
        <v>73</v>
      </c>
      <c r="J136" s="119">
        <v>86</v>
      </c>
      <c r="K136" s="119">
        <v>102</v>
      </c>
      <c r="L136" s="119">
        <v>102</v>
      </c>
    </row>
    <row r="137" spans="1:12" x14ac:dyDescent="0.25">
      <c r="A137" s="119" t="s">
        <v>79</v>
      </c>
      <c r="B137" s="119">
        <v>9</v>
      </c>
      <c r="C137" s="119">
        <v>20</v>
      </c>
      <c r="D137" s="119">
        <v>34</v>
      </c>
      <c r="E137" s="119">
        <v>44</v>
      </c>
      <c r="F137" s="119">
        <v>58</v>
      </c>
      <c r="G137" s="119">
        <v>79</v>
      </c>
      <c r="H137" s="119">
        <v>87</v>
      </c>
      <c r="I137" s="119">
        <v>102</v>
      </c>
      <c r="J137" s="119">
        <v>102</v>
      </c>
      <c r="K137" s="119">
        <v>102</v>
      </c>
      <c r="L137" s="119">
        <v>102</v>
      </c>
    </row>
    <row r="138" spans="1:12" x14ac:dyDescent="0.25">
      <c r="A138" s="119" t="s">
        <v>78</v>
      </c>
      <c r="B138" s="119">
        <v>7</v>
      </c>
      <c r="C138" s="119">
        <v>17</v>
      </c>
      <c r="D138" s="119">
        <v>33</v>
      </c>
      <c r="E138" s="119">
        <v>45</v>
      </c>
      <c r="F138" s="119">
        <v>51</v>
      </c>
      <c r="G138" s="119">
        <v>59</v>
      </c>
      <c r="H138" s="119">
        <v>74</v>
      </c>
      <c r="I138" s="119">
        <v>102</v>
      </c>
      <c r="J138" s="119">
        <v>102</v>
      </c>
      <c r="K138" s="119">
        <v>102</v>
      </c>
      <c r="L138" s="119">
        <v>102</v>
      </c>
    </row>
    <row r="139" spans="1:12" x14ac:dyDescent="0.25">
      <c r="A139" s="119" t="s">
        <v>77</v>
      </c>
      <c r="B139" s="119">
        <v>13</v>
      </c>
      <c r="C139" s="119">
        <v>24</v>
      </c>
      <c r="D139" s="119">
        <v>37</v>
      </c>
      <c r="E139" s="119">
        <v>47</v>
      </c>
      <c r="F139" s="119">
        <v>60</v>
      </c>
      <c r="G139" s="119">
        <v>79</v>
      </c>
      <c r="H139" s="119">
        <v>85</v>
      </c>
      <c r="I139" s="119">
        <v>102</v>
      </c>
      <c r="J139" s="119">
        <v>102</v>
      </c>
      <c r="K139" s="119">
        <v>102</v>
      </c>
      <c r="L139" s="119">
        <v>102</v>
      </c>
    </row>
    <row r="140" spans="1:12" x14ac:dyDescent="0.25">
      <c r="A140" s="119" t="s">
        <v>76</v>
      </c>
      <c r="B140" s="119">
        <v>10</v>
      </c>
      <c r="C140" s="119">
        <v>15</v>
      </c>
      <c r="D140" s="119">
        <v>26</v>
      </c>
      <c r="E140" s="119">
        <v>36</v>
      </c>
      <c r="F140" s="119">
        <v>48</v>
      </c>
      <c r="G140" s="119">
        <v>68</v>
      </c>
      <c r="H140" s="119">
        <v>76</v>
      </c>
      <c r="I140" s="119">
        <v>89</v>
      </c>
      <c r="J140" s="119">
        <v>102</v>
      </c>
      <c r="K140" s="119">
        <v>102</v>
      </c>
      <c r="L140" s="119">
        <v>102</v>
      </c>
    </row>
    <row r="141" spans="1:12" x14ac:dyDescent="0.25">
      <c r="A141" s="119" t="s">
        <v>75</v>
      </c>
      <c r="B141" s="119">
        <v>10</v>
      </c>
      <c r="C141" s="119">
        <v>15</v>
      </c>
      <c r="D141" s="119">
        <v>27</v>
      </c>
      <c r="E141" s="119">
        <v>36</v>
      </c>
      <c r="F141" s="119">
        <v>47</v>
      </c>
      <c r="G141" s="119">
        <v>67</v>
      </c>
      <c r="H141" s="119">
        <v>74</v>
      </c>
      <c r="I141" s="119">
        <v>88</v>
      </c>
      <c r="J141" s="119">
        <v>102</v>
      </c>
      <c r="K141" s="119">
        <v>102</v>
      </c>
      <c r="L141" s="119">
        <v>102</v>
      </c>
    </row>
    <row r="142" spans="1:12" x14ac:dyDescent="0.25">
      <c r="A142" s="119" t="s">
        <v>74</v>
      </c>
      <c r="B142" s="119">
        <v>9</v>
      </c>
      <c r="C142" s="119">
        <v>15</v>
      </c>
      <c r="D142" s="119">
        <v>22</v>
      </c>
      <c r="E142" s="119">
        <v>27</v>
      </c>
      <c r="F142" s="119">
        <v>39</v>
      </c>
      <c r="G142" s="119">
        <v>58</v>
      </c>
      <c r="H142" s="119">
        <v>66</v>
      </c>
      <c r="I142" s="119">
        <v>80</v>
      </c>
      <c r="J142" s="119">
        <v>102</v>
      </c>
      <c r="K142" s="119">
        <v>102</v>
      </c>
      <c r="L142" s="119">
        <v>102</v>
      </c>
    </row>
    <row r="143" spans="1:12" x14ac:dyDescent="0.25">
      <c r="A143" s="119" t="s">
        <v>73</v>
      </c>
      <c r="B143" s="119">
        <v>9</v>
      </c>
      <c r="C143" s="119">
        <v>16</v>
      </c>
      <c r="D143" s="119">
        <v>24</v>
      </c>
      <c r="E143" s="119">
        <v>31</v>
      </c>
      <c r="F143" s="119">
        <v>44</v>
      </c>
      <c r="G143" s="119">
        <v>64</v>
      </c>
      <c r="H143" s="119">
        <v>70</v>
      </c>
      <c r="I143" s="119">
        <v>78</v>
      </c>
      <c r="J143" s="119">
        <v>86</v>
      </c>
      <c r="K143" s="119">
        <v>102</v>
      </c>
      <c r="L143" s="119">
        <v>102</v>
      </c>
    </row>
    <row r="144" spans="1:12" x14ac:dyDescent="0.25">
      <c r="A144" s="119" t="s">
        <v>72</v>
      </c>
      <c r="B144" s="119">
        <v>10</v>
      </c>
      <c r="C144" s="119">
        <v>17</v>
      </c>
      <c r="D144" s="119">
        <v>25</v>
      </c>
      <c r="E144" s="119">
        <v>32</v>
      </c>
      <c r="F144" s="119">
        <v>37</v>
      </c>
      <c r="G144" s="119">
        <v>44</v>
      </c>
      <c r="H144" s="119">
        <v>45</v>
      </c>
      <c r="I144" s="119">
        <v>51</v>
      </c>
      <c r="J144" s="119">
        <v>49</v>
      </c>
      <c r="K144" s="119">
        <v>81</v>
      </c>
      <c r="L144" s="119">
        <v>102</v>
      </c>
    </row>
    <row r="145" spans="1:12" x14ac:dyDescent="0.25">
      <c r="A145" s="119" t="s">
        <v>71</v>
      </c>
      <c r="B145" s="119">
        <v>11</v>
      </c>
      <c r="C145" s="119">
        <v>22</v>
      </c>
      <c r="D145" s="119">
        <v>35</v>
      </c>
      <c r="E145" s="119">
        <v>45</v>
      </c>
      <c r="F145" s="119">
        <v>57</v>
      </c>
      <c r="G145" s="119">
        <v>76</v>
      </c>
      <c r="H145" s="119">
        <v>70</v>
      </c>
      <c r="I145" s="119">
        <v>60</v>
      </c>
      <c r="J145" s="119">
        <v>63</v>
      </c>
      <c r="K145" s="119">
        <v>92</v>
      </c>
      <c r="L145" s="119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30FB-1EA9-484D-86DB-14BD94645C58}">
  <dimension ref="A1:B49"/>
  <sheetViews>
    <sheetView tabSelected="1" workbookViewId="0">
      <selection activeCell="B2" sqref="B2"/>
    </sheetView>
  </sheetViews>
  <sheetFormatPr defaultRowHeight="12.75" x14ac:dyDescent="0.2"/>
  <sheetData>
    <row r="1" spans="1:2" ht="15" x14ac:dyDescent="0.25">
      <c r="A1" s="195" t="s">
        <v>229</v>
      </c>
      <c r="B1" s="195" t="s">
        <v>448</v>
      </c>
    </row>
    <row r="2" spans="1:2" ht="15" x14ac:dyDescent="0.25">
      <c r="A2" s="195" t="s">
        <v>213</v>
      </c>
      <c r="B2" s="253">
        <v>8.0927384076990379</v>
      </c>
    </row>
    <row r="3" spans="1:2" ht="15" x14ac:dyDescent="0.25">
      <c r="A3" s="195" t="s">
        <v>210</v>
      </c>
      <c r="B3" s="253">
        <v>8.9676290463692041</v>
      </c>
    </row>
    <row r="4" spans="1:2" ht="15" x14ac:dyDescent="0.25">
      <c r="A4" s="195" t="s">
        <v>207</v>
      </c>
      <c r="B4" s="253">
        <v>7.2178477690288716</v>
      </c>
    </row>
    <row r="5" spans="1:2" ht="15" x14ac:dyDescent="0.25">
      <c r="A5" s="195" t="s">
        <v>204</v>
      </c>
      <c r="B5" s="253">
        <v>7.4365704286964132</v>
      </c>
    </row>
    <row r="6" spans="1:2" ht="15" x14ac:dyDescent="0.25">
      <c r="A6" s="195" t="s">
        <v>201</v>
      </c>
      <c r="B6" s="253">
        <v>8.0927384076990379</v>
      </c>
    </row>
    <row r="7" spans="1:2" ht="15" x14ac:dyDescent="0.25">
      <c r="A7" s="195" t="s">
        <v>198</v>
      </c>
      <c r="B7" s="253">
        <v>7.8740157480314963</v>
      </c>
    </row>
    <row r="8" spans="1:2" ht="15" x14ac:dyDescent="0.25">
      <c r="A8" s="195" t="s">
        <v>195</v>
      </c>
      <c r="B8" s="253">
        <v>9.8425196850393704</v>
      </c>
    </row>
    <row r="9" spans="1:2" ht="15" x14ac:dyDescent="0.25">
      <c r="A9" s="195" t="s">
        <v>192</v>
      </c>
      <c r="B9" s="253">
        <v>9.1863517060367457</v>
      </c>
    </row>
    <row r="10" spans="1:2" ht="15" x14ac:dyDescent="0.25">
      <c r="A10" s="195" t="s">
        <v>189</v>
      </c>
      <c r="B10" s="253">
        <v>10.498687664041995</v>
      </c>
    </row>
    <row r="11" spans="1:2" ht="15" x14ac:dyDescent="0.25">
      <c r="A11" s="195" t="s">
        <v>186</v>
      </c>
      <c r="B11" s="253">
        <v>10.061242344706912</v>
      </c>
    </row>
    <row r="12" spans="1:2" ht="15" x14ac:dyDescent="0.25">
      <c r="A12" s="195" t="s">
        <v>183</v>
      </c>
      <c r="B12" s="253">
        <v>9.4050743657042872</v>
      </c>
    </row>
    <row r="13" spans="1:2" ht="15" x14ac:dyDescent="0.25">
      <c r="A13" s="195" t="s">
        <v>180</v>
      </c>
      <c r="B13" s="253">
        <v>8.530183727034121</v>
      </c>
    </row>
    <row r="14" spans="1:2" ht="15" x14ac:dyDescent="0.25">
      <c r="A14" s="195" t="s">
        <v>177</v>
      </c>
      <c r="B14" s="253">
        <v>9.1863517060367457</v>
      </c>
    </row>
    <row r="15" spans="1:2" ht="15" x14ac:dyDescent="0.25">
      <c r="A15" s="195" t="s">
        <v>174</v>
      </c>
      <c r="B15" s="253">
        <v>10.717410323709537</v>
      </c>
    </row>
    <row r="16" spans="1:2" ht="15" x14ac:dyDescent="0.25">
      <c r="A16" s="195" t="s">
        <v>171</v>
      </c>
      <c r="B16" s="253">
        <v>7.8740157480314963</v>
      </c>
    </row>
    <row r="17" spans="1:2" ht="15" x14ac:dyDescent="0.25">
      <c r="A17" s="195" t="s">
        <v>168</v>
      </c>
      <c r="B17" s="253">
        <v>9.6237970253718288</v>
      </c>
    </row>
    <row r="18" spans="1:2" ht="15" x14ac:dyDescent="0.25">
      <c r="A18" s="195" t="s">
        <v>165</v>
      </c>
      <c r="B18" s="253">
        <v>9.4050743657042872</v>
      </c>
    </row>
    <row r="19" spans="1:2" ht="15" x14ac:dyDescent="0.25">
      <c r="A19" s="195" t="s">
        <v>162</v>
      </c>
      <c r="B19" s="253">
        <v>9.8425196850393704</v>
      </c>
    </row>
    <row r="20" spans="1:2" ht="15" x14ac:dyDescent="0.25">
      <c r="A20" s="195" t="s">
        <v>159</v>
      </c>
      <c r="B20" s="253">
        <v>11.15485564304462</v>
      </c>
    </row>
    <row r="21" spans="1:2" ht="15" x14ac:dyDescent="0.25">
      <c r="A21" s="195" t="s">
        <v>156</v>
      </c>
      <c r="B21" s="253">
        <v>8.3114610673665794</v>
      </c>
    </row>
    <row r="22" spans="1:2" ht="15" x14ac:dyDescent="0.25">
      <c r="A22" s="195" t="s">
        <v>153</v>
      </c>
      <c r="B22" s="253">
        <v>8.7489063867016625</v>
      </c>
    </row>
    <row r="23" spans="1:2" ht="15" x14ac:dyDescent="0.25">
      <c r="A23" s="195" t="s">
        <v>150</v>
      </c>
      <c r="B23" s="253">
        <v>8.3114610673665794</v>
      </c>
    </row>
    <row r="24" spans="1:2" ht="15" x14ac:dyDescent="0.25">
      <c r="A24" s="195" t="s">
        <v>147</v>
      </c>
      <c r="B24" s="253">
        <v>8.530183727034121</v>
      </c>
    </row>
    <row r="25" spans="1:2" ht="15" x14ac:dyDescent="0.25">
      <c r="A25" s="195" t="s">
        <v>144</v>
      </c>
      <c r="B25" s="253">
        <v>8.7489063867016625</v>
      </c>
    </row>
    <row r="26" spans="1:2" ht="15" x14ac:dyDescent="0.25">
      <c r="A26" s="195" t="s">
        <v>141</v>
      </c>
      <c r="B26" s="253">
        <v>7.6552930883639547</v>
      </c>
    </row>
    <row r="27" spans="1:2" ht="15" x14ac:dyDescent="0.25">
      <c r="A27" s="195" t="s">
        <v>138</v>
      </c>
      <c r="B27" s="253">
        <v>9.1863517060367457</v>
      </c>
    </row>
    <row r="28" spans="1:2" ht="15" x14ac:dyDescent="0.25">
      <c r="A28" s="195" t="s">
        <v>135</v>
      </c>
      <c r="B28" s="253">
        <v>9.1863517060367457</v>
      </c>
    </row>
    <row r="29" spans="1:2" ht="15" x14ac:dyDescent="0.25">
      <c r="A29" s="195" t="s">
        <v>132</v>
      </c>
      <c r="B29" s="253">
        <v>6.7804024496937885</v>
      </c>
    </row>
    <row r="30" spans="1:2" ht="15" x14ac:dyDescent="0.25">
      <c r="A30" s="195" t="s">
        <v>129</v>
      </c>
      <c r="B30" s="253">
        <v>9.4050743657042872</v>
      </c>
    </row>
    <row r="31" spans="1:2" ht="15" x14ac:dyDescent="0.25">
      <c r="A31" s="195" t="s">
        <v>126</v>
      </c>
      <c r="B31" s="253">
        <v>10.061242344706912</v>
      </c>
    </row>
    <row r="32" spans="1:2" ht="15" x14ac:dyDescent="0.25">
      <c r="A32" s="195" t="s">
        <v>123</v>
      </c>
      <c r="B32" s="253">
        <v>8.530183727034121</v>
      </c>
    </row>
    <row r="33" spans="1:2" ht="15" x14ac:dyDescent="0.25">
      <c r="A33" s="195" t="s">
        <v>120</v>
      </c>
      <c r="B33" s="253">
        <v>8.7489063867016625</v>
      </c>
    </row>
    <row r="34" spans="1:2" ht="15" x14ac:dyDescent="0.25">
      <c r="A34" s="195" t="s">
        <v>117</v>
      </c>
      <c r="B34" s="253">
        <v>8.3114610673665794</v>
      </c>
    </row>
    <row r="35" spans="1:2" ht="15" x14ac:dyDescent="0.25">
      <c r="A35" s="195" t="s">
        <v>114</v>
      </c>
      <c r="B35" s="253">
        <v>9.4050743657042872</v>
      </c>
    </row>
    <row r="36" spans="1:2" ht="15" x14ac:dyDescent="0.25">
      <c r="A36" s="195" t="s">
        <v>111</v>
      </c>
      <c r="B36" s="253">
        <v>8.0927384076990379</v>
      </c>
    </row>
    <row r="37" spans="1:2" ht="15" x14ac:dyDescent="0.25">
      <c r="A37" s="195" t="s">
        <v>108</v>
      </c>
      <c r="B37" s="253">
        <v>9.1863517060367457</v>
      </c>
    </row>
    <row r="38" spans="1:2" ht="15" x14ac:dyDescent="0.25">
      <c r="A38" s="195" t="s">
        <v>105</v>
      </c>
      <c r="B38" s="253">
        <v>9.1863517060367457</v>
      </c>
    </row>
    <row r="39" spans="1:2" ht="15" x14ac:dyDescent="0.25">
      <c r="A39" s="195" t="s">
        <v>102</v>
      </c>
      <c r="B39" s="253">
        <v>9.8425196850393704</v>
      </c>
    </row>
    <row r="40" spans="1:2" ht="15" x14ac:dyDescent="0.25">
      <c r="A40" s="195" t="s">
        <v>99</v>
      </c>
      <c r="B40" s="253">
        <v>8.0927384076990379</v>
      </c>
    </row>
    <row r="41" spans="1:2" ht="15" x14ac:dyDescent="0.25">
      <c r="A41" s="195" t="s">
        <v>96</v>
      </c>
      <c r="B41" s="253">
        <v>8.7489063867016625</v>
      </c>
    </row>
    <row r="42" spans="1:2" ht="15" x14ac:dyDescent="0.25">
      <c r="A42" s="195" t="s">
        <v>93</v>
      </c>
      <c r="B42" s="253">
        <v>9.8425196850393704</v>
      </c>
    </row>
    <row r="43" spans="1:2" ht="15" x14ac:dyDescent="0.25">
      <c r="A43" s="195" t="s">
        <v>90</v>
      </c>
      <c r="B43" s="253">
        <v>8.9676290463692041</v>
      </c>
    </row>
    <row r="44" spans="1:2" ht="15" x14ac:dyDescent="0.25">
      <c r="A44" s="195" t="s">
        <v>87</v>
      </c>
      <c r="B44" s="253">
        <v>7.2178477690288716</v>
      </c>
    </row>
    <row r="45" spans="1:2" ht="15" x14ac:dyDescent="0.25">
      <c r="A45" s="195" t="s">
        <v>84</v>
      </c>
      <c r="B45" s="253">
        <v>8.3114610673665794</v>
      </c>
    </row>
    <row r="46" spans="1:2" ht="15" x14ac:dyDescent="0.25">
      <c r="A46" s="195" t="s">
        <v>81</v>
      </c>
      <c r="B46" s="253">
        <v>8.3114610673665794</v>
      </c>
    </row>
    <row r="47" spans="1:2" ht="15" x14ac:dyDescent="0.25">
      <c r="A47" s="195" t="s">
        <v>78</v>
      </c>
      <c r="B47" s="253">
        <v>8.530183727034121</v>
      </c>
    </row>
    <row r="48" spans="1:2" ht="15" x14ac:dyDescent="0.25">
      <c r="A48" s="195" t="s">
        <v>75</v>
      </c>
      <c r="B48" s="253">
        <v>8.530183727034121</v>
      </c>
    </row>
    <row r="49" spans="1:2" ht="15" x14ac:dyDescent="0.25">
      <c r="A49" s="195" t="s">
        <v>72</v>
      </c>
      <c r="B49" s="253">
        <v>6.7804024496937885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4C30-667C-46F7-A6B5-EEA1A513C489}">
  <dimension ref="A1:N103"/>
  <sheetViews>
    <sheetView workbookViewId="0"/>
  </sheetViews>
  <sheetFormatPr defaultRowHeight="12.75" x14ac:dyDescent="0.2"/>
  <cols>
    <col min="2" max="2" width="10.7109375" bestFit="1" customWidth="1"/>
    <col min="3" max="4" width="9.28515625" bestFit="1" customWidth="1"/>
    <col min="5" max="5" width="10.7109375" bestFit="1" customWidth="1"/>
    <col min="6" max="6" width="10.7109375" customWidth="1"/>
    <col min="8" max="14" width="9.5703125" bestFit="1" customWidth="1"/>
  </cols>
  <sheetData>
    <row r="1" spans="1:14" ht="15" x14ac:dyDescent="0.25">
      <c r="A1" s="195" t="s">
        <v>229</v>
      </c>
      <c r="B1" s="195" t="s">
        <v>356</v>
      </c>
      <c r="C1" s="195" t="s">
        <v>357</v>
      </c>
      <c r="D1" s="195" t="s">
        <v>358</v>
      </c>
      <c r="E1" s="195" t="s">
        <v>359</v>
      </c>
      <c r="F1" s="195" t="s">
        <v>424</v>
      </c>
      <c r="G1" s="195" t="s">
        <v>425</v>
      </c>
      <c r="H1" s="195" t="s">
        <v>441</v>
      </c>
      <c r="I1" s="195" t="s">
        <v>442</v>
      </c>
      <c r="J1" s="195" t="s">
        <v>443</v>
      </c>
      <c r="K1" s="195" t="s">
        <v>444</v>
      </c>
      <c r="L1" s="195" t="s">
        <v>445</v>
      </c>
      <c r="M1" s="195" t="s">
        <v>446</v>
      </c>
      <c r="N1" s="195" t="s">
        <v>447</v>
      </c>
    </row>
    <row r="2" spans="1:14" ht="15" x14ac:dyDescent="0.25">
      <c r="A2" s="195" t="s">
        <v>360</v>
      </c>
      <c r="B2" s="228">
        <v>44317</v>
      </c>
      <c r="C2" s="195">
        <v>2021</v>
      </c>
      <c r="D2" s="198">
        <v>120.8</v>
      </c>
      <c r="E2" s="228">
        <v>44332</v>
      </c>
      <c r="F2" s="228"/>
      <c r="G2" s="195"/>
      <c r="H2" s="195"/>
      <c r="I2" s="195"/>
      <c r="J2" s="195"/>
      <c r="K2" s="195"/>
      <c r="L2" s="195"/>
      <c r="M2" s="195"/>
      <c r="N2" s="195"/>
    </row>
    <row r="3" spans="1:14" ht="15" x14ac:dyDescent="0.25">
      <c r="A3" s="195" t="s">
        <v>213</v>
      </c>
      <c r="B3" s="195"/>
      <c r="C3" s="195"/>
      <c r="D3" s="195"/>
      <c r="E3" s="195"/>
      <c r="F3" s="228">
        <v>44377</v>
      </c>
      <c r="G3" s="198">
        <v>180.5</v>
      </c>
      <c r="H3" s="253">
        <v>8.375</v>
      </c>
      <c r="I3" s="253">
        <v>6.5555555555555554</v>
      </c>
      <c r="J3" s="253">
        <v>4.4444444444444446</v>
      </c>
      <c r="K3" s="253">
        <v>4.666666666666667</v>
      </c>
      <c r="L3" s="253">
        <v>4.8888888888888893</v>
      </c>
      <c r="M3" s="253">
        <v>6.1111111111111107</v>
      </c>
      <c r="N3" s="253">
        <v>2.7777777777777777</v>
      </c>
    </row>
    <row r="4" spans="1:14" ht="15" x14ac:dyDescent="0.25">
      <c r="A4" s="195" t="s">
        <v>361</v>
      </c>
      <c r="B4" s="228">
        <v>44318</v>
      </c>
      <c r="C4" s="195">
        <v>2021</v>
      </c>
      <c r="D4" s="198">
        <v>122</v>
      </c>
      <c r="E4" s="228">
        <v>44330</v>
      </c>
      <c r="F4" s="228"/>
      <c r="G4" s="195"/>
      <c r="H4" s="253"/>
      <c r="I4" s="253"/>
      <c r="J4" s="253"/>
      <c r="K4" s="253"/>
      <c r="L4" s="253"/>
      <c r="M4" s="253"/>
      <c r="N4" s="253"/>
    </row>
    <row r="5" spans="1:14" ht="15" x14ac:dyDescent="0.25">
      <c r="A5" s="195" t="s">
        <v>210</v>
      </c>
      <c r="B5" s="195"/>
      <c r="C5" s="195"/>
      <c r="D5" s="195"/>
      <c r="E5" s="195"/>
      <c r="F5" s="228">
        <v>44374</v>
      </c>
      <c r="G5" s="198">
        <v>178</v>
      </c>
      <c r="H5" s="253">
        <v>8</v>
      </c>
      <c r="I5" s="253">
        <v>4.4444444444444446</v>
      </c>
      <c r="J5" s="253">
        <v>5.2222222222222223</v>
      </c>
      <c r="K5" s="253">
        <v>5.4444444444444446</v>
      </c>
      <c r="L5" s="253">
        <v>5.7777777777777777</v>
      </c>
      <c r="M5" s="253">
        <v>5.8888888888888893</v>
      </c>
      <c r="N5" s="253">
        <v>3.1111111111111112</v>
      </c>
    </row>
    <row r="6" spans="1:14" ht="15" x14ac:dyDescent="0.25">
      <c r="A6" s="195" t="s">
        <v>362</v>
      </c>
      <c r="B6" s="228">
        <v>44317</v>
      </c>
      <c r="C6" s="195">
        <v>2021</v>
      </c>
      <c r="D6" s="198">
        <v>120.8</v>
      </c>
      <c r="E6" s="228">
        <v>44331</v>
      </c>
      <c r="F6" s="228"/>
      <c r="G6" s="195"/>
      <c r="H6" s="253"/>
      <c r="I6" s="253"/>
      <c r="J6" s="253"/>
      <c r="K6" s="253"/>
      <c r="L6" s="253"/>
      <c r="M6" s="253"/>
      <c r="N6" s="253"/>
    </row>
    <row r="7" spans="1:14" ht="15" x14ac:dyDescent="0.25">
      <c r="A7" s="195" t="s">
        <v>207</v>
      </c>
      <c r="B7" s="195"/>
      <c r="C7" s="195"/>
      <c r="D7" s="195"/>
      <c r="E7" s="195"/>
      <c r="F7" s="228">
        <v>44375</v>
      </c>
      <c r="G7" s="198">
        <v>179</v>
      </c>
      <c r="H7" s="253">
        <v>8.5555555555555554</v>
      </c>
      <c r="I7" s="253">
        <v>4.8888888888888893</v>
      </c>
      <c r="J7" s="253">
        <v>5.666666666666667</v>
      </c>
      <c r="K7" s="253">
        <v>5.333333333333333</v>
      </c>
      <c r="L7" s="253">
        <v>5.2222222222222223</v>
      </c>
      <c r="M7" s="253">
        <v>4.4444444444444446</v>
      </c>
      <c r="N7" s="253">
        <v>3</v>
      </c>
    </row>
    <row r="8" spans="1:14" ht="15" x14ac:dyDescent="0.25">
      <c r="A8" s="195" t="s">
        <v>363</v>
      </c>
      <c r="B8" s="228">
        <v>44318</v>
      </c>
      <c r="C8" s="195">
        <v>2021</v>
      </c>
      <c r="D8" s="198">
        <v>121.625</v>
      </c>
      <c r="E8" s="228">
        <v>44331</v>
      </c>
      <c r="F8" s="228"/>
      <c r="G8" s="195"/>
      <c r="H8" s="253"/>
      <c r="I8" s="253"/>
      <c r="J8" s="253"/>
      <c r="K8" s="253"/>
      <c r="L8" s="253"/>
      <c r="M8" s="253"/>
      <c r="N8" s="253"/>
    </row>
    <row r="9" spans="1:14" ht="15" x14ac:dyDescent="0.25">
      <c r="A9" s="195" t="s">
        <v>204</v>
      </c>
      <c r="B9" s="195"/>
      <c r="C9" s="195"/>
      <c r="D9" s="195"/>
      <c r="E9" s="195"/>
      <c r="F9" s="228">
        <v>44377</v>
      </c>
      <c r="G9" s="198">
        <v>181.25</v>
      </c>
      <c r="H9" s="253">
        <v>8.5555555555555554</v>
      </c>
      <c r="I9" s="253">
        <v>5.8888888888888893</v>
      </c>
      <c r="J9" s="253">
        <v>5.5555555555555554</v>
      </c>
      <c r="K9" s="253">
        <v>5.5555555555555554</v>
      </c>
      <c r="L9" s="253">
        <v>5.4444444444444446</v>
      </c>
      <c r="M9" s="253">
        <v>5.1111111111111107</v>
      </c>
      <c r="N9" s="253">
        <v>3.6666666666666665</v>
      </c>
    </row>
    <row r="10" spans="1:14" ht="15" x14ac:dyDescent="0.25">
      <c r="A10" s="195" t="s">
        <v>364</v>
      </c>
      <c r="B10" s="228">
        <v>44317</v>
      </c>
      <c r="C10" s="195">
        <v>2021</v>
      </c>
      <c r="D10" s="198">
        <v>120.5</v>
      </c>
      <c r="E10" s="228">
        <v>44330</v>
      </c>
      <c r="F10" s="228"/>
      <c r="G10" s="195"/>
      <c r="H10" s="253"/>
      <c r="I10" s="253"/>
      <c r="J10" s="253"/>
      <c r="K10" s="253"/>
      <c r="L10" s="253"/>
      <c r="M10" s="253"/>
      <c r="N10" s="253"/>
    </row>
    <row r="11" spans="1:14" ht="15" x14ac:dyDescent="0.25">
      <c r="A11" s="195" t="s">
        <v>201</v>
      </c>
      <c r="B11" s="195"/>
      <c r="C11" s="195"/>
      <c r="D11" s="195"/>
      <c r="E11" s="195"/>
      <c r="F11" s="228">
        <v>44376</v>
      </c>
      <c r="G11" s="198">
        <v>180</v>
      </c>
      <c r="H11" s="253">
        <v>8.7777777777777786</v>
      </c>
      <c r="I11" s="253">
        <v>5.4444444444444446</v>
      </c>
      <c r="J11" s="253">
        <v>6</v>
      </c>
      <c r="K11" s="253">
        <v>5.4444444444444446</v>
      </c>
      <c r="L11" s="253">
        <v>5.2222222222222223</v>
      </c>
      <c r="M11" s="253">
        <v>5.4444444444444446</v>
      </c>
      <c r="N11" s="253">
        <v>3.6666666666666665</v>
      </c>
    </row>
    <row r="12" spans="1:14" ht="15" x14ac:dyDescent="0.25">
      <c r="A12" s="195" t="s">
        <v>365</v>
      </c>
      <c r="B12" s="228">
        <v>44317</v>
      </c>
      <c r="C12" s="195">
        <v>2021</v>
      </c>
      <c r="D12" s="198">
        <v>120.5</v>
      </c>
      <c r="E12" s="228">
        <v>44331</v>
      </c>
      <c r="F12" s="228"/>
      <c r="G12" s="195"/>
      <c r="H12" s="253"/>
      <c r="I12" s="253"/>
      <c r="J12" s="253"/>
      <c r="K12" s="253"/>
      <c r="L12" s="253"/>
      <c r="M12" s="253"/>
      <c r="N12" s="253"/>
    </row>
    <row r="13" spans="1:14" ht="15" x14ac:dyDescent="0.25">
      <c r="A13" s="195" t="s">
        <v>198</v>
      </c>
      <c r="B13" s="195"/>
      <c r="C13" s="195"/>
      <c r="D13" s="195"/>
      <c r="E13" s="195"/>
      <c r="F13" s="228">
        <v>44378</v>
      </c>
      <c r="G13" s="198">
        <v>182</v>
      </c>
      <c r="H13" s="253">
        <v>8.2222222222222214</v>
      </c>
      <c r="I13" s="253">
        <v>4.7777777777777777</v>
      </c>
      <c r="J13" s="253">
        <v>5.666666666666667</v>
      </c>
      <c r="K13" s="253">
        <v>6</v>
      </c>
      <c r="L13" s="253">
        <v>5.333333333333333</v>
      </c>
      <c r="M13" s="253">
        <v>4.8888888888888893</v>
      </c>
      <c r="N13" s="253">
        <v>3.2222222222222223</v>
      </c>
    </row>
    <row r="14" spans="1:14" ht="15" x14ac:dyDescent="0.25">
      <c r="A14" s="195" t="s">
        <v>366</v>
      </c>
      <c r="B14" s="228">
        <v>44316</v>
      </c>
      <c r="C14" s="195">
        <v>2021</v>
      </c>
      <c r="D14" s="198">
        <v>120.2</v>
      </c>
      <c r="E14" s="228">
        <v>44331</v>
      </c>
      <c r="F14" s="228"/>
      <c r="G14" s="195"/>
      <c r="H14" s="253"/>
      <c r="I14" s="253"/>
      <c r="J14" s="253"/>
      <c r="K14" s="253"/>
      <c r="L14" s="253"/>
      <c r="M14" s="253"/>
      <c r="N14" s="253"/>
    </row>
    <row r="15" spans="1:14" ht="15" x14ac:dyDescent="0.25">
      <c r="A15" s="195" t="s">
        <v>195</v>
      </c>
      <c r="B15" s="195"/>
      <c r="C15" s="195"/>
      <c r="D15" s="195"/>
      <c r="E15" s="195"/>
      <c r="F15" s="228">
        <v>44376</v>
      </c>
      <c r="G15" s="198">
        <v>180</v>
      </c>
      <c r="H15" s="253">
        <v>8</v>
      </c>
      <c r="I15" s="253">
        <v>4.333333333333333</v>
      </c>
      <c r="J15" s="253">
        <v>5.333333333333333</v>
      </c>
      <c r="K15" s="253">
        <v>5.1111111111111107</v>
      </c>
      <c r="L15" s="253">
        <v>5.666666666666667</v>
      </c>
      <c r="M15" s="253">
        <v>4.666666666666667</v>
      </c>
      <c r="N15" s="253">
        <v>3.4444444444444446</v>
      </c>
    </row>
    <row r="16" spans="1:14" ht="15" x14ac:dyDescent="0.25">
      <c r="A16" s="195" t="s">
        <v>367</v>
      </c>
      <c r="B16" s="228">
        <v>44317</v>
      </c>
      <c r="C16" s="195">
        <v>2021</v>
      </c>
      <c r="D16" s="198">
        <v>121.1</v>
      </c>
      <c r="E16" s="228">
        <v>44330</v>
      </c>
      <c r="F16" s="228"/>
      <c r="G16" s="195"/>
      <c r="H16" s="253"/>
      <c r="I16" s="253"/>
      <c r="J16" s="253"/>
      <c r="K16" s="253"/>
      <c r="L16" s="253"/>
      <c r="M16" s="253"/>
      <c r="N16" s="253"/>
    </row>
    <row r="17" spans="1:14" ht="15" x14ac:dyDescent="0.25">
      <c r="A17" s="195" t="s">
        <v>192</v>
      </c>
      <c r="B17" s="195"/>
      <c r="C17" s="195"/>
      <c r="D17" s="195"/>
      <c r="E17" s="195"/>
      <c r="F17" s="228">
        <v>44375</v>
      </c>
      <c r="G17" s="198">
        <v>179</v>
      </c>
      <c r="H17" s="253">
        <v>8.3333333333333339</v>
      </c>
      <c r="I17" s="253">
        <v>6.2222222222222223</v>
      </c>
      <c r="J17" s="253">
        <v>5</v>
      </c>
      <c r="K17" s="253">
        <v>5.666666666666667</v>
      </c>
      <c r="L17" s="253">
        <v>5.333333333333333</v>
      </c>
      <c r="M17" s="253">
        <v>4.333333333333333</v>
      </c>
      <c r="N17" s="253">
        <v>3</v>
      </c>
    </row>
    <row r="18" spans="1:14" ht="15" x14ac:dyDescent="0.25">
      <c r="A18" s="195" t="s">
        <v>368</v>
      </c>
      <c r="B18" s="228">
        <v>44317</v>
      </c>
      <c r="C18" s="195">
        <v>2021</v>
      </c>
      <c r="D18" s="198">
        <v>120.92857142857143</v>
      </c>
      <c r="E18" s="228">
        <v>44331</v>
      </c>
      <c r="F18" s="228"/>
      <c r="G18" s="195"/>
      <c r="H18" s="253"/>
      <c r="I18" s="253"/>
      <c r="J18" s="253"/>
      <c r="K18" s="253"/>
      <c r="L18" s="253"/>
      <c r="M18" s="253"/>
      <c r="N18" s="253"/>
    </row>
    <row r="19" spans="1:14" ht="15" x14ac:dyDescent="0.25">
      <c r="A19" s="195" t="s">
        <v>189</v>
      </c>
      <c r="B19" s="195"/>
      <c r="C19" s="195"/>
      <c r="D19" s="195"/>
      <c r="E19" s="195"/>
      <c r="F19" s="228">
        <v>44377</v>
      </c>
      <c r="G19" s="198">
        <v>181</v>
      </c>
      <c r="H19" s="253">
        <v>7.8888888888888893</v>
      </c>
      <c r="I19" s="253">
        <v>5.5555555555555554</v>
      </c>
      <c r="J19" s="253">
        <v>5.7777777777777777</v>
      </c>
      <c r="K19" s="253">
        <v>5.666666666666667</v>
      </c>
      <c r="L19" s="253">
        <v>5.5555555555555554</v>
      </c>
      <c r="M19" s="253">
        <v>5.2222222222222223</v>
      </c>
      <c r="N19" s="253">
        <v>3.7777777777777777</v>
      </c>
    </row>
    <row r="20" spans="1:14" ht="15" x14ac:dyDescent="0.25">
      <c r="A20" s="195" t="s">
        <v>369</v>
      </c>
      <c r="B20" s="228">
        <v>44317</v>
      </c>
      <c r="C20" s="195">
        <v>2021</v>
      </c>
      <c r="D20" s="198">
        <v>121</v>
      </c>
      <c r="E20" s="228">
        <v>44331</v>
      </c>
      <c r="F20" s="228"/>
      <c r="G20" s="195"/>
      <c r="H20" s="253"/>
      <c r="I20" s="253"/>
      <c r="J20" s="253"/>
      <c r="K20" s="253"/>
      <c r="L20" s="253"/>
      <c r="M20" s="253"/>
      <c r="N20" s="253"/>
    </row>
    <row r="21" spans="1:14" ht="15" x14ac:dyDescent="0.25">
      <c r="A21" s="195" t="s">
        <v>186</v>
      </c>
      <c r="B21" s="195"/>
      <c r="C21" s="195"/>
      <c r="D21" s="195"/>
      <c r="E21" s="195"/>
      <c r="F21" s="228">
        <v>44377</v>
      </c>
      <c r="G21" s="198">
        <v>181</v>
      </c>
      <c r="H21" s="253">
        <v>8.7777777777777786</v>
      </c>
      <c r="I21" s="253">
        <v>6.5555555555555554</v>
      </c>
      <c r="J21" s="253">
        <v>5.2222222222222223</v>
      </c>
      <c r="K21" s="253">
        <v>5.666666666666667</v>
      </c>
      <c r="L21" s="253">
        <v>5.2222222222222223</v>
      </c>
      <c r="M21" s="253">
        <v>5</v>
      </c>
      <c r="N21" s="253">
        <v>3.5555555555555554</v>
      </c>
    </row>
    <row r="22" spans="1:14" ht="15" x14ac:dyDescent="0.25">
      <c r="A22" s="195" t="s">
        <v>370</v>
      </c>
      <c r="B22" s="228">
        <v>44317</v>
      </c>
      <c r="C22" s="195">
        <v>2021</v>
      </c>
      <c r="D22" s="198">
        <v>121.14285714285714</v>
      </c>
      <c r="E22" s="228">
        <v>44331</v>
      </c>
      <c r="F22" s="228"/>
      <c r="G22" s="195"/>
      <c r="H22" s="253"/>
      <c r="I22" s="253"/>
      <c r="J22" s="253"/>
      <c r="K22" s="253"/>
      <c r="L22" s="253"/>
      <c r="M22" s="253"/>
      <c r="N22" s="253"/>
    </row>
    <row r="23" spans="1:14" ht="15" x14ac:dyDescent="0.25">
      <c r="A23" s="195" t="s">
        <v>183</v>
      </c>
      <c r="B23" s="195"/>
      <c r="C23" s="195"/>
      <c r="D23" s="195"/>
      <c r="E23" s="195"/>
      <c r="F23" s="228">
        <v>44377</v>
      </c>
      <c r="G23" s="198">
        <v>180.8</v>
      </c>
      <c r="H23" s="253">
        <v>8.7777777777777786</v>
      </c>
      <c r="I23" s="253">
        <v>6.666666666666667</v>
      </c>
      <c r="J23" s="253">
        <v>5.4444444444444446</v>
      </c>
      <c r="K23" s="253">
        <v>6.2222222222222223</v>
      </c>
      <c r="L23" s="253">
        <v>4.8888888888888893</v>
      </c>
      <c r="M23" s="253">
        <v>4.666666666666667</v>
      </c>
      <c r="N23" s="253">
        <v>3.1111111111111112</v>
      </c>
    </row>
    <row r="24" spans="1:14" ht="15" x14ac:dyDescent="0.25">
      <c r="A24" s="195" t="s">
        <v>371</v>
      </c>
      <c r="B24" s="228">
        <v>44317</v>
      </c>
      <c r="C24" s="195">
        <v>2021</v>
      </c>
      <c r="D24" s="198">
        <v>121</v>
      </c>
      <c r="E24" s="228">
        <v>44331</v>
      </c>
      <c r="F24" s="228"/>
      <c r="G24" s="195"/>
      <c r="H24" s="253"/>
      <c r="I24" s="253"/>
      <c r="J24" s="253"/>
      <c r="K24" s="253"/>
      <c r="L24" s="253"/>
      <c r="M24" s="253"/>
      <c r="N24" s="253"/>
    </row>
    <row r="25" spans="1:14" ht="15" x14ac:dyDescent="0.25">
      <c r="A25" s="195" t="s">
        <v>180</v>
      </c>
      <c r="B25" s="195"/>
      <c r="C25" s="195"/>
      <c r="D25" s="195"/>
      <c r="E25" s="195"/>
      <c r="F25" s="228">
        <v>44375</v>
      </c>
      <c r="G25" s="198">
        <v>179</v>
      </c>
      <c r="H25" s="253">
        <v>7.7777777777777777</v>
      </c>
      <c r="I25" s="253">
        <v>5.5555555555555554</v>
      </c>
      <c r="J25" s="253">
        <v>5</v>
      </c>
      <c r="K25" s="253">
        <v>4.8888888888888893</v>
      </c>
      <c r="L25" s="253">
        <v>5.1111111111111107</v>
      </c>
      <c r="M25" s="253">
        <v>4.8888888888888893</v>
      </c>
      <c r="N25" s="253">
        <v>3.1111111111111112</v>
      </c>
    </row>
    <row r="26" spans="1:14" ht="15" x14ac:dyDescent="0.25">
      <c r="A26" s="195" t="s">
        <v>372</v>
      </c>
      <c r="B26" s="228">
        <v>44317</v>
      </c>
      <c r="C26" s="195">
        <v>2021</v>
      </c>
      <c r="D26" s="198">
        <v>120.75</v>
      </c>
      <c r="E26" s="228">
        <v>44332</v>
      </c>
      <c r="F26" s="228"/>
      <c r="G26" s="195"/>
      <c r="H26" s="253"/>
      <c r="I26" s="253"/>
      <c r="J26" s="253"/>
      <c r="K26" s="253"/>
      <c r="L26" s="253"/>
      <c r="M26" s="253"/>
      <c r="N26" s="253"/>
    </row>
    <row r="27" spans="1:14" ht="15" x14ac:dyDescent="0.25">
      <c r="A27" s="195" t="s">
        <v>177</v>
      </c>
      <c r="B27" s="195"/>
      <c r="C27" s="195"/>
      <c r="D27" s="195"/>
      <c r="E27" s="195"/>
      <c r="F27" s="228">
        <v>44376</v>
      </c>
      <c r="G27" s="198">
        <v>180</v>
      </c>
      <c r="H27" s="253">
        <v>8.2222222222222214</v>
      </c>
      <c r="I27" s="253">
        <v>6.8888888888888893</v>
      </c>
      <c r="J27" s="253">
        <v>5.5555555555555554</v>
      </c>
      <c r="K27" s="253">
        <v>6.333333333333333</v>
      </c>
      <c r="L27" s="253">
        <v>5.2222222222222223</v>
      </c>
      <c r="M27" s="253">
        <v>5.2222222222222223</v>
      </c>
      <c r="N27" s="253">
        <v>3.6666666666666665</v>
      </c>
    </row>
    <row r="28" spans="1:14" ht="15" x14ac:dyDescent="0.25">
      <c r="A28" s="195" t="s">
        <v>373</v>
      </c>
      <c r="B28" s="228">
        <v>44318</v>
      </c>
      <c r="C28" s="195">
        <v>2021</v>
      </c>
      <c r="D28" s="198">
        <v>122</v>
      </c>
      <c r="E28" s="228">
        <v>44331</v>
      </c>
      <c r="F28" s="228"/>
      <c r="G28" s="195"/>
      <c r="H28" s="253"/>
      <c r="I28" s="253"/>
      <c r="J28" s="253"/>
      <c r="K28" s="253"/>
      <c r="L28" s="253"/>
      <c r="M28" s="253"/>
      <c r="N28" s="253"/>
    </row>
    <row r="29" spans="1:14" ht="15" x14ac:dyDescent="0.25">
      <c r="A29" s="195" t="s">
        <v>174</v>
      </c>
      <c r="B29" s="195"/>
      <c r="C29" s="195"/>
      <c r="D29" s="195"/>
      <c r="E29" s="195"/>
      <c r="F29" s="228">
        <v>44377</v>
      </c>
      <c r="G29" s="198">
        <v>180.5</v>
      </c>
      <c r="H29" s="253">
        <v>8.3333333333333339</v>
      </c>
      <c r="I29" s="253">
        <v>7.1111111111111107</v>
      </c>
      <c r="J29" s="253">
        <v>5.666666666666667</v>
      </c>
      <c r="K29" s="253">
        <v>6</v>
      </c>
      <c r="L29" s="253">
        <v>5.1111111111111107</v>
      </c>
      <c r="M29" s="253">
        <v>4.8888888888888893</v>
      </c>
      <c r="N29" s="253">
        <v>3.6666666666666665</v>
      </c>
    </row>
    <row r="30" spans="1:14" ht="15" x14ac:dyDescent="0.25">
      <c r="A30" s="195" t="s">
        <v>374</v>
      </c>
      <c r="B30" s="228">
        <v>44319</v>
      </c>
      <c r="C30" s="195">
        <v>2021</v>
      </c>
      <c r="D30" s="198">
        <v>122.5</v>
      </c>
      <c r="E30" s="228">
        <v>44333</v>
      </c>
      <c r="F30" s="228"/>
      <c r="G30" s="195"/>
      <c r="H30" s="253"/>
      <c r="I30" s="253"/>
      <c r="J30" s="253"/>
      <c r="K30" s="253"/>
      <c r="L30" s="253"/>
      <c r="M30" s="253"/>
      <c r="N30" s="253"/>
    </row>
    <row r="31" spans="1:14" ht="15" x14ac:dyDescent="0.25">
      <c r="A31" s="195" t="s">
        <v>171</v>
      </c>
      <c r="B31" s="195"/>
      <c r="C31" s="195"/>
      <c r="D31" s="195"/>
      <c r="E31" s="195"/>
      <c r="F31" s="228">
        <v>44372</v>
      </c>
      <c r="G31" s="198">
        <v>176</v>
      </c>
      <c r="H31" s="253">
        <v>8.7777777777777786</v>
      </c>
      <c r="I31" s="253">
        <v>7.2222222222222223</v>
      </c>
      <c r="J31" s="253">
        <v>6</v>
      </c>
      <c r="K31" s="253">
        <v>5.666666666666667</v>
      </c>
      <c r="L31" s="253">
        <v>4.666666666666667</v>
      </c>
      <c r="M31" s="253">
        <v>4.1111111111111107</v>
      </c>
      <c r="N31" s="253">
        <v>2.6666666666666665</v>
      </c>
    </row>
    <row r="32" spans="1:14" ht="15" x14ac:dyDescent="0.25">
      <c r="A32" s="195" t="s">
        <v>375</v>
      </c>
      <c r="B32" s="228">
        <v>44319</v>
      </c>
      <c r="C32" s="195">
        <v>2021</v>
      </c>
      <c r="D32" s="198">
        <v>123.4</v>
      </c>
      <c r="E32" s="228">
        <v>44332</v>
      </c>
      <c r="F32" s="228"/>
      <c r="G32" s="195"/>
      <c r="H32" s="253"/>
      <c r="I32" s="253"/>
      <c r="J32" s="253"/>
      <c r="K32" s="253"/>
      <c r="L32" s="253"/>
      <c r="M32" s="253"/>
      <c r="N32" s="253"/>
    </row>
    <row r="33" spans="1:14" ht="15" x14ac:dyDescent="0.25">
      <c r="A33" s="195" t="s">
        <v>168</v>
      </c>
      <c r="B33" s="195"/>
      <c r="C33" s="195"/>
      <c r="D33" s="195"/>
      <c r="E33" s="195"/>
      <c r="F33" s="228">
        <v>44377</v>
      </c>
      <c r="G33" s="198">
        <v>181</v>
      </c>
      <c r="H33" s="253">
        <v>8.4444444444444446</v>
      </c>
      <c r="I33" s="253">
        <v>6.666666666666667</v>
      </c>
      <c r="J33" s="253">
        <v>5.2222222222222223</v>
      </c>
      <c r="K33" s="253">
        <v>4.8888888888888893</v>
      </c>
      <c r="L33" s="253">
        <v>4.666666666666667</v>
      </c>
      <c r="M33" s="253">
        <v>3.3333333333333335</v>
      </c>
      <c r="N33" s="253">
        <v>3</v>
      </c>
    </row>
    <row r="34" spans="1:14" ht="15" x14ac:dyDescent="0.25">
      <c r="A34" s="195" t="s">
        <v>376</v>
      </c>
      <c r="B34" s="228">
        <v>44317</v>
      </c>
      <c r="C34" s="195">
        <v>2021</v>
      </c>
      <c r="D34" s="198">
        <v>121.1</v>
      </c>
      <c r="E34" s="228">
        <v>44330</v>
      </c>
      <c r="F34" s="228"/>
      <c r="G34" s="195"/>
      <c r="H34" s="253"/>
      <c r="I34" s="253"/>
      <c r="J34" s="253"/>
      <c r="K34" s="253"/>
      <c r="L34" s="253"/>
      <c r="M34" s="253"/>
      <c r="N34" s="253"/>
    </row>
    <row r="35" spans="1:14" ht="15" x14ac:dyDescent="0.25">
      <c r="A35" s="195" t="s">
        <v>165</v>
      </c>
      <c r="B35" s="195"/>
      <c r="C35" s="195"/>
      <c r="D35" s="195"/>
      <c r="E35" s="195"/>
      <c r="F35" s="228">
        <v>44377</v>
      </c>
      <c r="G35" s="198">
        <v>181</v>
      </c>
      <c r="H35" s="253">
        <v>8.1111111111111107</v>
      </c>
      <c r="I35" s="253">
        <v>6.2222222222222223</v>
      </c>
      <c r="J35" s="253">
        <v>5.666666666666667</v>
      </c>
      <c r="K35" s="253">
        <v>5.7777777777777777</v>
      </c>
      <c r="L35" s="253">
        <v>4.7777777777777777</v>
      </c>
      <c r="M35" s="253">
        <v>4.2222222222222223</v>
      </c>
      <c r="N35" s="253">
        <v>2.8888888888888888</v>
      </c>
    </row>
    <row r="36" spans="1:14" ht="15" x14ac:dyDescent="0.25">
      <c r="A36" s="195" t="s">
        <v>377</v>
      </c>
      <c r="B36" s="228">
        <v>44318</v>
      </c>
      <c r="C36" s="195">
        <v>2021</v>
      </c>
      <c r="D36" s="198">
        <v>121.75</v>
      </c>
      <c r="E36" s="228">
        <v>44331</v>
      </c>
      <c r="F36" s="228"/>
      <c r="G36" s="195"/>
      <c r="H36" s="253"/>
      <c r="I36" s="253"/>
      <c r="J36" s="253"/>
      <c r="K36" s="253"/>
      <c r="L36" s="253"/>
      <c r="M36" s="253"/>
      <c r="N36" s="253"/>
    </row>
    <row r="37" spans="1:14" ht="15" x14ac:dyDescent="0.25">
      <c r="A37" s="195" t="s">
        <v>162</v>
      </c>
      <c r="B37" s="195"/>
      <c r="C37" s="195"/>
      <c r="D37" s="195"/>
      <c r="E37" s="195"/>
      <c r="F37" s="228">
        <v>44378</v>
      </c>
      <c r="G37" s="198">
        <v>182</v>
      </c>
      <c r="H37" s="253">
        <v>8.4444444444444446</v>
      </c>
      <c r="I37" s="253">
        <v>6.666666666666667</v>
      </c>
      <c r="J37" s="253">
        <v>5.666666666666667</v>
      </c>
      <c r="K37" s="253">
        <v>6.1111111111111107</v>
      </c>
      <c r="L37" s="253">
        <v>5.1111111111111107</v>
      </c>
      <c r="M37" s="253">
        <v>4.5555555555555554</v>
      </c>
      <c r="N37" s="253">
        <v>3</v>
      </c>
    </row>
    <row r="38" spans="1:14" ht="15" x14ac:dyDescent="0.25">
      <c r="A38" s="195" t="s">
        <v>378</v>
      </c>
      <c r="B38" s="228">
        <v>44318</v>
      </c>
      <c r="C38" s="195">
        <v>2021</v>
      </c>
      <c r="D38" s="198">
        <v>121.625</v>
      </c>
      <c r="E38" s="228">
        <v>44332</v>
      </c>
      <c r="F38" s="228"/>
      <c r="G38" s="195"/>
      <c r="H38" s="253"/>
      <c r="I38" s="253"/>
      <c r="J38" s="253"/>
      <c r="K38" s="253"/>
      <c r="L38" s="253"/>
      <c r="M38" s="253"/>
      <c r="N38" s="253"/>
    </row>
    <row r="39" spans="1:14" ht="15" x14ac:dyDescent="0.25">
      <c r="A39" s="195" t="s">
        <v>159</v>
      </c>
      <c r="B39" s="195"/>
      <c r="C39" s="195"/>
      <c r="D39" s="195"/>
      <c r="E39" s="195"/>
      <c r="F39" s="228">
        <v>44377</v>
      </c>
      <c r="G39" s="198">
        <v>180.5</v>
      </c>
      <c r="H39" s="253">
        <v>8.6666666666666661</v>
      </c>
      <c r="I39" s="253">
        <v>5.666666666666667</v>
      </c>
      <c r="J39" s="253">
        <v>6.4444444444444446</v>
      </c>
      <c r="K39" s="253">
        <v>5</v>
      </c>
      <c r="L39" s="253">
        <v>5.333333333333333</v>
      </c>
      <c r="M39" s="253">
        <v>4.8888888888888893</v>
      </c>
      <c r="N39" s="253">
        <v>3.1111111111111112</v>
      </c>
    </row>
    <row r="40" spans="1:14" ht="15" x14ac:dyDescent="0.25">
      <c r="A40" s="195" t="s">
        <v>379</v>
      </c>
      <c r="B40" s="228">
        <v>44317</v>
      </c>
      <c r="C40" s="195">
        <v>2021</v>
      </c>
      <c r="D40" s="198">
        <v>120.5</v>
      </c>
      <c r="E40" s="228">
        <v>44330</v>
      </c>
      <c r="F40" s="228"/>
      <c r="G40" s="195"/>
      <c r="H40" s="253"/>
      <c r="I40" s="253"/>
      <c r="J40" s="253"/>
      <c r="K40" s="253"/>
      <c r="L40" s="253"/>
      <c r="M40" s="253"/>
      <c r="N40" s="253"/>
    </row>
    <row r="41" spans="1:14" ht="15" x14ac:dyDescent="0.25">
      <c r="A41" s="195" t="s">
        <v>156</v>
      </c>
      <c r="B41" s="195"/>
      <c r="C41" s="195"/>
      <c r="D41" s="195"/>
      <c r="E41" s="195"/>
      <c r="F41" s="228">
        <v>44376</v>
      </c>
      <c r="G41" s="198">
        <v>179.75</v>
      </c>
      <c r="H41" s="253">
        <v>7.8888888888888893</v>
      </c>
      <c r="I41" s="253">
        <v>6.1111111111111107</v>
      </c>
      <c r="J41" s="253">
        <v>5.7777777777777777</v>
      </c>
      <c r="K41" s="253">
        <v>5.5555555555555554</v>
      </c>
      <c r="L41" s="253">
        <v>5.4444444444444446</v>
      </c>
      <c r="M41" s="253">
        <v>4.8888888888888893</v>
      </c>
      <c r="N41" s="253">
        <v>3.4444444444444446</v>
      </c>
    </row>
    <row r="42" spans="1:14" ht="15" x14ac:dyDescent="0.25">
      <c r="A42" s="195" t="s">
        <v>380</v>
      </c>
      <c r="B42" s="228">
        <v>44318</v>
      </c>
      <c r="C42" s="195">
        <v>2021</v>
      </c>
      <c r="D42" s="198">
        <v>122</v>
      </c>
      <c r="E42" s="228">
        <v>44330</v>
      </c>
      <c r="F42" s="228"/>
      <c r="G42" s="195"/>
      <c r="H42" s="253"/>
      <c r="I42" s="253"/>
      <c r="J42" s="253"/>
      <c r="K42" s="253"/>
      <c r="L42" s="253"/>
      <c r="M42" s="253"/>
      <c r="N42" s="253"/>
    </row>
    <row r="43" spans="1:14" ht="15" x14ac:dyDescent="0.25">
      <c r="A43" s="195" t="s">
        <v>153</v>
      </c>
      <c r="B43" s="195"/>
      <c r="C43" s="195"/>
      <c r="D43" s="195"/>
      <c r="E43" s="195"/>
      <c r="F43" s="228">
        <v>44375</v>
      </c>
      <c r="G43" s="198">
        <v>179</v>
      </c>
      <c r="H43" s="253">
        <v>8.8888888888888893</v>
      </c>
      <c r="I43" s="253">
        <v>8</v>
      </c>
      <c r="J43" s="253">
        <v>6</v>
      </c>
      <c r="K43" s="253">
        <v>6</v>
      </c>
      <c r="L43" s="253">
        <v>5.1111111111111107</v>
      </c>
      <c r="M43" s="253">
        <v>5.2222222222222223</v>
      </c>
      <c r="N43" s="253">
        <v>3.1111111111111112</v>
      </c>
    </row>
    <row r="44" spans="1:14" ht="15" x14ac:dyDescent="0.25">
      <c r="A44" s="195" t="s">
        <v>154</v>
      </c>
      <c r="B44" s="195"/>
      <c r="C44" s="195"/>
      <c r="D44" s="195"/>
      <c r="E44" s="195"/>
      <c r="F44" s="228">
        <v>44375</v>
      </c>
      <c r="G44" s="198">
        <v>179</v>
      </c>
      <c r="H44" s="253"/>
      <c r="I44" s="253"/>
      <c r="J44" s="253"/>
      <c r="K44" s="253"/>
      <c r="L44" s="253"/>
      <c r="M44" s="253"/>
      <c r="N44" s="253"/>
    </row>
    <row r="45" spans="1:14" ht="15" x14ac:dyDescent="0.25">
      <c r="A45" s="195" t="s">
        <v>152</v>
      </c>
      <c r="B45" s="195"/>
      <c r="C45" s="195"/>
      <c r="D45" s="195"/>
      <c r="E45" s="195"/>
      <c r="F45" s="228">
        <v>44372</v>
      </c>
      <c r="G45" s="198">
        <v>176</v>
      </c>
      <c r="H45" s="253"/>
      <c r="I45" s="253"/>
      <c r="J45" s="253"/>
      <c r="K45" s="253"/>
      <c r="L45" s="253"/>
      <c r="M45" s="253"/>
      <c r="N45" s="253"/>
    </row>
    <row r="46" spans="1:14" ht="15" x14ac:dyDescent="0.25">
      <c r="A46" s="195" t="s">
        <v>381</v>
      </c>
      <c r="B46" s="228">
        <v>44318</v>
      </c>
      <c r="C46" s="195">
        <v>2021</v>
      </c>
      <c r="D46" s="198">
        <v>122.25</v>
      </c>
      <c r="E46" s="228">
        <v>44332</v>
      </c>
      <c r="F46" s="228"/>
      <c r="G46" s="195"/>
      <c r="H46" s="253"/>
      <c r="I46" s="253"/>
      <c r="J46" s="253"/>
      <c r="K46" s="253"/>
      <c r="L46" s="253"/>
      <c r="M46" s="253"/>
      <c r="N46" s="253"/>
    </row>
    <row r="47" spans="1:14" ht="15" x14ac:dyDescent="0.25">
      <c r="A47" s="195" t="s">
        <v>150</v>
      </c>
      <c r="B47" s="195"/>
      <c r="C47" s="195"/>
      <c r="D47" s="195"/>
      <c r="E47" s="195"/>
      <c r="F47" s="228">
        <v>44378</v>
      </c>
      <c r="G47" s="198">
        <v>182</v>
      </c>
      <c r="H47" s="253">
        <v>8.7777777777777786</v>
      </c>
      <c r="I47" s="253">
        <v>7.4444444444444446</v>
      </c>
      <c r="J47" s="253">
        <v>6.4444444444444446</v>
      </c>
      <c r="K47" s="253">
        <v>5.8888888888888893</v>
      </c>
      <c r="L47" s="253">
        <v>4.8888888888888893</v>
      </c>
      <c r="M47" s="253">
        <v>4.1111111111111107</v>
      </c>
      <c r="N47" s="253">
        <v>2.5555555555555554</v>
      </c>
    </row>
    <row r="48" spans="1:14" ht="15" x14ac:dyDescent="0.25">
      <c r="A48" s="195" t="s">
        <v>151</v>
      </c>
      <c r="B48" s="195"/>
      <c r="C48" s="195"/>
      <c r="D48" s="195"/>
      <c r="E48" s="195"/>
      <c r="F48" s="228">
        <v>44375</v>
      </c>
      <c r="G48" s="198">
        <v>179</v>
      </c>
      <c r="H48" s="253"/>
      <c r="I48" s="253"/>
      <c r="J48" s="253"/>
      <c r="K48" s="253"/>
      <c r="L48" s="253"/>
      <c r="M48" s="253"/>
      <c r="N48" s="253"/>
    </row>
    <row r="49" spans="1:14" ht="15" x14ac:dyDescent="0.25">
      <c r="A49" s="195" t="s">
        <v>149</v>
      </c>
      <c r="B49" s="195"/>
      <c r="C49" s="195"/>
      <c r="D49" s="195"/>
      <c r="E49" s="195"/>
      <c r="F49" s="228">
        <v>44376</v>
      </c>
      <c r="G49" s="198">
        <v>180</v>
      </c>
      <c r="H49" s="253"/>
      <c r="I49" s="253"/>
      <c r="J49" s="253"/>
      <c r="K49" s="253"/>
      <c r="L49" s="253"/>
      <c r="M49" s="253"/>
      <c r="N49" s="253"/>
    </row>
    <row r="50" spans="1:14" ht="15" x14ac:dyDescent="0.25">
      <c r="A50" s="195" t="s">
        <v>382</v>
      </c>
      <c r="B50" s="228">
        <v>44318</v>
      </c>
      <c r="C50" s="195">
        <v>2021</v>
      </c>
      <c r="D50" s="198">
        <v>121.5</v>
      </c>
      <c r="E50" s="228">
        <v>44330</v>
      </c>
      <c r="F50" s="228"/>
      <c r="G50" s="195"/>
      <c r="H50" s="253"/>
      <c r="I50" s="253"/>
      <c r="J50" s="253"/>
      <c r="K50" s="253"/>
      <c r="L50" s="253"/>
      <c r="M50" s="253"/>
      <c r="N50" s="253"/>
    </row>
    <row r="51" spans="1:14" ht="15" x14ac:dyDescent="0.25">
      <c r="A51" s="195" t="s">
        <v>147</v>
      </c>
      <c r="B51" s="195"/>
      <c r="C51" s="195"/>
      <c r="D51" s="195"/>
      <c r="E51" s="195"/>
      <c r="F51" s="228">
        <v>44377</v>
      </c>
      <c r="G51" s="198">
        <v>181</v>
      </c>
      <c r="H51" s="253">
        <v>8.3333333333333339</v>
      </c>
      <c r="I51" s="253">
        <v>7.2222222222222223</v>
      </c>
      <c r="J51" s="253">
        <v>6.333333333333333</v>
      </c>
      <c r="K51" s="253">
        <v>5</v>
      </c>
      <c r="L51" s="253">
        <v>5.2222222222222223</v>
      </c>
      <c r="M51" s="253">
        <v>4.7777777777777777</v>
      </c>
      <c r="N51" s="253">
        <v>3.3333333333333335</v>
      </c>
    </row>
    <row r="52" spans="1:14" ht="15" x14ac:dyDescent="0.25">
      <c r="A52" s="195" t="s">
        <v>383</v>
      </c>
      <c r="B52" s="228">
        <v>44317</v>
      </c>
      <c r="C52" s="195">
        <v>2021</v>
      </c>
      <c r="D52" s="198">
        <v>121</v>
      </c>
      <c r="E52" s="228">
        <v>44331</v>
      </c>
      <c r="F52" s="228"/>
      <c r="G52" s="195"/>
      <c r="H52" s="253"/>
      <c r="I52" s="253"/>
      <c r="J52" s="253"/>
      <c r="K52" s="253"/>
      <c r="L52" s="253"/>
      <c r="M52" s="253"/>
      <c r="N52" s="253"/>
    </row>
    <row r="53" spans="1:14" ht="15" x14ac:dyDescent="0.25">
      <c r="A53" s="195" t="s">
        <v>144</v>
      </c>
      <c r="B53" s="195"/>
      <c r="C53" s="195"/>
      <c r="D53" s="195"/>
      <c r="E53" s="195"/>
      <c r="F53" s="228">
        <v>44375</v>
      </c>
      <c r="G53" s="198">
        <v>179</v>
      </c>
      <c r="H53" s="253">
        <v>7.8888888888888893</v>
      </c>
      <c r="I53" s="253">
        <v>6.2222222222222223</v>
      </c>
      <c r="J53" s="253">
        <v>5.666666666666667</v>
      </c>
      <c r="K53" s="253">
        <v>5.8888888888888893</v>
      </c>
      <c r="L53" s="253">
        <v>5.7777777777777777</v>
      </c>
      <c r="M53" s="253">
        <v>5.666666666666667</v>
      </c>
      <c r="N53" s="253">
        <v>3.7777777777777777</v>
      </c>
    </row>
    <row r="54" spans="1:14" ht="15" x14ac:dyDescent="0.25">
      <c r="A54" s="195" t="s">
        <v>384</v>
      </c>
      <c r="B54" s="228">
        <v>44318</v>
      </c>
      <c r="C54" s="195">
        <v>2021</v>
      </c>
      <c r="D54" s="198">
        <v>122</v>
      </c>
      <c r="E54" s="228">
        <v>44332</v>
      </c>
      <c r="F54" s="228"/>
      <c r="G54" s="195"/>
      <c r="H54" s="253"/>
      <c r="I54" s="253"/>
      <c r="J54" s="253"/>
      <c r="K54" s="253"/>
      <c r="L54" s="253"/>
      <c r="M54" s="253"/>
      <c r="N54" s="253"/>
    </row>
    <row r="55" spans="1:14" ht="15" x14ac:dyDescent="0.25">
      <c r="A55" s="195" t="s">
        <v>141</v>
      </c>
      <c r="B55" s="195"/>
      <c r="C55" s="195"/>
      <c r="D55" s="195"/>
      <c r="E55" s="195"/>
      <c r="F55" s="228">
        <v>44378</v>
      </c>
      <c r="G55" s="198">
        <v>182</v>
      </c>
      <c r="H55" s="253">
        <v>7.666666666666667</v>
      </c>
      <c r="I55" s="253">
        <v>5.5555555555555554</v>
      </c>
      <c r="J55" s="253">
        <v>5.8888888888888893</v>
      </c>
      <c r="K55" s="253">
        <v>5.7777777777777777</v>
      </c>
      <c r="L55" s="253">
        <v>5.7777777777777777</v>
      </c>
      <c r="M55" s="253">
        <v>5.666666666666667</v>
      </c>
      <c r="N55" s="253">
        <v>3.6666666666666665</v>
      </c>
    </row>
    <row r="56" spans="1:14" ht="15" x14ac:dyDescent="0.25">
      <c r="A56" s="195" t="s">
        <v>385</v>
      </c>
      <c r="B56" s="228">
        <v>44317</v>
      </c>
      <c r="C56" s="195">
        <v>2021</v>
      </c>
      <c r="D56" s="198">
        <v>120.875</v>
      </c>
      <c r="E56" s="228">
        <v>44330</v>
      </c>
      <c r="F56" s="228"/>
      <c r="G56" s="195"/>
      <c r="H56" s="253"/>
      <c r="I56" s="253"/>
      <c r="J56" s="253"/>
      <c r="K56" s="253"/>
      <c r="L56" s="253"/>
      <c r="M56" s="253"/>
      <c r="N56" s="253"/>
    </row>
    <row r="57" spans="1:14" ht="15" x14ac:dyDescent="0.25">
      <c r="A57" s="195" t="s">
        <v>138</v>
      </c>
      <c r="B57" s="195"/>
      <c r="C57" s="195"/>
      <c r="D57" s="195"/>
      <c r="E57" s="195"/>
      <c r="F57" s="228">
        <v>44377</v>
      </c>
      <c r="G57" s="198">
        <v>181</v>
      </c>
      <c r="H57" s="253">
        <v>8</v>
      </c>
      <c r="I57" s="253">
        <v>6.8888888888888893</v>
      </c>
      <c r="J57" s="253">
        <v>5.8888888888888893</v>
      </c>
      <c r="K57" s="253">
        <v>5.7777777777777777</v>
      </c>
      <c r="L57" s="253">
        <v>5.333333333333333</v>
      </c>
      <c r="M57" s="253">
        <v>5.2222222222222223</v>
      </c>
      <c r="N57" s="253">
        <v>3.3333333333333335</v>
      </c>
    </row>
    <row r="58" spans="1:14" ht="15" x14ac:dyDescent="0.25">
      <c r="A58" s="195" t="s">
        <v>386</v>
      </c>
      <c r="B58" s="228">
        <v>44322</v>
      </c>
      <c r="C58" s="195">
        <v>2021</v>
      </c>
      <c r="D58" s="198">
        <v>126.33333333333333</v>
      </c>
      <c r="E58" s="228">
        <v>44334</v>
      </c>
      <c r="F58" s="228"/>
      <c r="G58" s="195"/>
      <c r="H58" s="253"/>
      <c r="I58" s="253"/>
      <c r="J58" s="253"/>
      <c r="K58" s="253"/>
      <c r="L58" s="253"/>
      <c r="M58" s="253"/>
      <c r="N58" s="253"/>
    </row>
    <row r="59" spans="1:14" ht="15" x14ac:dyDescent="0.25">
      <c r="A59" s="195" t="s">
        <v>135</v>
      </c>
      <c r="B59" s="195"/>
      <c r="C59" s="195"/>
      <c r="D59" s="195"/>
      <c r="E59" s="195"/>
      <c r="F59" s="228">
        <v>44377</v>
      </c>
      <c r="G59" s="198">
        <v>181.25</v>
      </c>
      <c r="H59" s="253">
        <v>8.1111111111111107</v>
      </c>
      <c r="I59" s="253">
        <v>5.5555555555555554</v>
      </c>
      <c r="J59" s="253">
        <v>5.8888888888888893</v>
      </c>
      <c r="K59" s="253">
        <v>4.8888888888888893</v>
      </c>
      <c r="L59" s="253">
        <v>5.4444444444444446</v>
      </c>
      <c r="M59" s="253">
        <v>4.7777777777777777</v>
      </c>
      <c r="N59" s="253">
        <v>3.2222222222222223</v>
      </c>
    </row>
    <row r="60" spans="1:14" ht="15" x14ac:dyDescent="0.25">
      <c r="A60" s="195" t="s">
        <v>387</v>
      </c>
      <c r="B60" s="228">
        <v>44321</v>
      </c>
      <c r="C60" s="195">
        <v>2021</v>
      </c>
      <c r="D60" s="198">
        <v>124.5</v>
      </c>
      <c r="E60" s="228">
        <v>44334</v>
      </c>
      <c r="F60" s="228"/>
      <c r="G60" s="195"/>
      <c r="H60" s="253"/>
      <c r="I60" s="253"/>
      <c r="J60" s="253"/>
      <c r="K60" s="253"/>
      <c r="L60" s="253"/>
      <c r="M60" s="253"/>
      <c r="N60" s="253"/>
    </row>
    <row r="61" spans="1:14" ht="15" x14ac:dyDescent="0.25">
      <c r="A61" s="195" t="s">
        <v>132</v>
      </c>
      <c r="B61" s="195"/>
      <c r="C61" s="195"/>
      <c r="D61" s="195"/>
      <c r="E61" s="195"/>
      <c r="F61" s="228">
        <v>44377</v>
      </c>
      <c r="G61" s="198">
        <v>180.5</v>
      </c>
      <c r="H61" s="253">
        <v>8.3333333333333339</v>
      </c>
      <c r="I61" s="253">
        <v>7.1111111111111107</v>
      </c>
      <c r="J61" s="253">
        <v>6</v>
      </c>
      <c r="K61" s="253">
        <v>5.8888888888888893</v>
      </c>
      <c r="L61" s="253">
        <v>4.7777777777777777</v>
      </c>
      <c r="M61" s="253">
        <v>4.4444444444444446</v>
      </c>
      <c r="N61" s="253">
        <v>2.6666666666666665</v>
      </c>
    </row>
    <row r="62" spans="1:14" ht="15" x14ac:dyDescent="0.25">
      <c r="A62" s="195" t="s">
        <v>388</v>
      </c>
      <c r="B62" s="228">
        <v>44317</v>
      </c>
      <c r="C62" s="195">
        <v>2021</v>
      </c>
      <c r="D62" s="198">
        <v>120.5</v>
      </c>
      <c r="E62" s="228">
        <v>44331</v>
      </c>
      <c r="F62" s="228"/>
      <c r="G62" s="195"/>
      <c r="H62" s="253"/>
      <c r="I62" s="253"/>
      <c r="J62" s="253"/>
      <c r="K62" s="253"/>
      <c r="L62" s="253"/>
      <c r="M62" s="253"/>
      <c r="N62" s="253"/>
    </row>
    <row r="63" spans="1:14" ht="15" x14ac:dyDescent="0.25">
      <c r="A63" s="195" t="s">
        <v>129</v>
      </c>
      <c r="B63" s="195"/>
      <c r="C63" s="195"/>
      <c r="D63" s="195"/>
      <c r="E63" s="195"/>
      <c r="F63" s="228">
        <v>44378</v>
      </c>
      <c r="G63" s="198">
        <v>182</v>
      </c>
      <c r="H63" s="253">
        <v>7.4444444444444446</v>
      </c>
      <c r="I63" s="253">
        <v>5.7777777777777777</v>
      </c>
      <c r="J63" s="253">
        <v>6.4444444444444446</v>
      </c>
      <c r="K63" s="253">
        <v>5.333333333333333</v>
      </c>
      <c r="L63" s="253">
        <v>5</v>
      </c>
      <c r="M63" s="253">
        <v>4.7777777777777777</v>
      </c>
      <c r="N63" s="253">
        <v>3.1111111111111112</v>
      </c>
    </row>
    <row r="64" spans="1:14" ht="15" x14ac:dyDescent="0.25">
      <c r="A64" s="195" t="s">
        <v>389</v>
      </c>
      <c r="B64" s="228">
        <v>44317</v>
      </c>
      <c r="C64" s="195">
        <v>2021</v>
      </c>
      <c r="D64" s="198">
        <v>121.14285714285714</v>
      </c>
      <c r="E64" s="228">
        <v>44329</v>
      </c>
      <c r="F64" s="228"/>
      <c r="G64" s="195"/>
      <c r="H64" s="253"/>
      <c r="I64" s="253"/>
      <c r="J64" s="253"/>
      <c r="K64" s="253"/>
      <c r="L64" s="253"/>
      <c r="M64" s="253"/>
      <c r="N64" s="253"/>
    </row>
    <row r="65" spans="1:14" ht="15" x14ac:dyDescent="0.25">
      <c r="A65" s="195" t="s">
        <v>126</v>
      </c>
      <c r="B65" s="195"/>
      <c r="C65" s="195"/>
      <c r="D65" s="195"/>
      <c r="E65" s="195"/>
      <c r="F65" s="228">
        <v>44377</v>
      </c>
      <c r="G65" s="198">
        <v>180.5</v>
      </c>
      <c r="H65" s="253">
        <v>7.5555555555555554</v>
      </c>
      <c r="I65" s="253">
        <v>6</v>
      </c>
      <c r="J65" s="253">
        <v>6</v>
      </c>
      <c r="K65" s="253">
        <v>6.333333333333333</v>
      </c>
      <c r="L65" s="253">
        <v>5.5555555555555554</v>
      </c>
      <c r="M65" s="253">
        <v>4.7777777777777777</v>
      </c>
      <c r="N65" s="253">
        <v>3.1111111111111112</v>
      </c>
    </row>
    <row r="66" spans="1:14" ht="15" x14ac:dyDescent="0.25">
      <c r="A66" s="195" t="s">
        <v>390</v>
      </c>
      <c r="B66" s="228">
        <v>44318</v>
      </c>
      <c r="C66" s="195">
        <v>2021</v>
      </c>
      <c r="D66" s="198">
        <v>122</v>
      </c>
      <c r="E66" s="228">
        <v>44331</v>
      </c>
      <c r="F66" s="228"/>
      <c r="G66" s="195"/>
      <c r="H66" s="253"/>
      <c r="I66" s="253"/>
      <c r="J66" s="253"/>
      <c r="K66" s="253"/>
      <c r="L66" s="253"/>
      <c r="M66" s="253"/>
      <c r="N66" s="253"/>
    </row>
    <row r="67" spans="1:14" ht="15" x14ac:dyDescent="0.25">
      <c r="A67" s="195" t="s">
        <v>123</v>
      </c>
      <c r="B67" s="195"/>
      <c r="C67" s="195"/>
      <c r="D67" s="195"/>
      <c r="E67" s="195"/>
      <c r="F67" s="228">
        <v>44377</v>
      </c>
      <c r="G67" s="198">
        <v>180.5</v>
      </c>
      <c r="H67" s="253">
        <v>8.2222222222222214</v>
      </c>
      <c r="I67" s="253">
        <v>5.7777777777777777</v>
      </c>
      <c r="J67" s="253">
        <v>5.8888888888888893</v>
      </c>
      <c r="K67" s="253">
        <v>5</v>
      </c>
      <c r="L67" s="253">
        <v>5.2222222222222223</v>
      </c>
      <c r="M67" s="253">
        <v>4.7777777777777777</v>
      </c>
      <c r="N67" s="253">
        <v>2.7777777777777777</v>
      </c>
    </row>
    <row r="68" spans="1:14" ht="15" x14ac:dyDescent="0.25">
      <c r="A68" s="195" t="s">
        <v>391</v>
      </c>
      <c r="B68" s="228">
        <v>44317</v>
      </c>
      <c r="C68" s="195">
        <v>2021</v>
      </c>
      <c r="D68" s="198">
        <v>121.25</v>
      </c>
      <c r="E68" s="228">
        <v>44330</v>
      </c>
      <c r="F68" s="228"/>
      <c r="G68" s="195"/>
      <c r="H68" s="253"/>
      <c r="I68" s="253"/>
      <c r="J68" s="253"/>
      <c r="K68" s="253"/>
      <c r="L68" s="253"/>
      <c r="M68" s="253"/>
      <c r="N68" s="253"/>
    </row>
    <row r="69" spans="1:14" ht="15" x14ac:dyDescent="0.25">
      <c r="A69" s="195" t="s">
        <v>120</v>
      </c>
      <c r="B69" s="195"/>
      <c r="C69" s="195"/>
      <c r="D69" s="195"/>
      <c r="E69" s="195"/>
      <c r="F69" s="228">
        <v>44375</v>
      </c>
      <c r="G69" s="198">
        <v>179</v>
      </c>
      <c r="H69" s="253">
        <v>7.7777777777777777</v>
      </c>
      <c r="I69" s="253">
        <v>7.333333333333333</v>
      </c>
      <c r="J69" s="253">
        <v>5.666666666666667</v>
      </c>
      <c r="K69" s="253">
        <v>5.8888888888888893</v>
      </c>
      <c r="L69" s="253">
        <v>5.4444444444444446</v>
      </c>
      <c r="M69" s="253">
        <v>4.666666666666667</v>
      </c>
      <c r="N69" s="253">
        <v>3.1111111111111112</v>
      </c>
    </row>
    <row r="70" spans="1:14" ht="15" x14ac:dyDescent="0.25">
      <c r="A70" s="195" t="s">
        <v>392</v>
      </c>
      <c r="B70" s="228">
        <v>44317</v>
      </c>
      <c r="C70" s="195">
        <v>2021</v>
      </c>
      <c r="D70" s="198">
        <v>121.4</v>
      </c>
      <c r="E70" s="228">
        <v>44332</v>
      </c>
      <c r="F70" s="228"/>
      <c r="G70" s="195"/>
      <c r="H70" s="253"/>
      <c r="I70" s="253"/>
      <c r="J70" s="253"/>
      <c r="K70" s="253"/>
      <c r="L70" s="253"/>
      <c r="M70" s="253"/>
      <c r="N70" s="253"/>
    </row>
    <row r="71" spans="1:14" ht="15" x14ac:dyDescent="0.25">
      <c r="A71" s="195" t="s">
        <v>117</v>
      </c>
      <c r="B71" s="195"/>
      <c r="C71" s="195"/>
      <c r="D71" s="195"/>
      <c r="E71" s="195"/>
      <c r="F71" s="228">
        <v>44375</v>
      </c>
      <c r="G71" s="198">
        <v>179</v>
      </c>
      <c r="H71" s="253">
        <v>8.4444444444444446</v>
      </c>
      <c r="I71" s="253">
        <v>7.333333333333333</v>
      </c>
      <c r="J71" s="253">
        <v>6.5555555555555554</v>
      </c>
      <c r="K71" s="253">
        <v>5.4444444444444446</v>
      </c>
      <c r="L71" s="253">
        <v>4.8888888888888893</v>
      </c>
      <c r="M71" s="253">
        <v>4.5555555555555554</v>
      </c>
      <c r="N71" s="253">
        <v>2.6666666666666665</v>
      </c>
    </row>
    <row r="72" spans="1:14" ht="15" x14ac:dyDescent="0.25">
      <c r="A72" s="195" t="s">
        <v>118</v>
      </c>
      <c r="B72" s="195"/>
      <c r="C72" s="195"/>
      <c r="D72" s="195"/>
      <c r="E72" s="195"/>
      <c r="F72" s="228">
        <v>44377</v>
      </c>
      <c r="G72" s="198">
        <v>181.25</v>
      </c>
      <c r="H72" s="253"/>
      <c r="I72" s="253"/>
      <c r="J72" s="253"/>
      <c r="K72" s="253"/>
      <c r="L72" s="253"/>
      <c r="M72" s="253"/>
      <c r="N72" s="253"/>
    </row>
    <row r="73" spans="1:14" ht="15" x14ac:dyDescent="0.25">
      <c r="A73" s="195" t="s">
        <v>116</v>
      </c>
      <c r="B73" s="195"/>
      <c r="C73" s="195"/>
      <c r="D73" s="195"/>
      <c r="E73" s="195"/>
      <c r="F73" s="228">
        <v>44378</v>
      </c>
      <c r="G73" s="198">
        <v>182</v>
      </c>
      <c r="H73" s="253"/>
      <c r="I73" s="253"/>
      <c r="J73" s="253"/>
      <c r="K73" s="253"/>
      <c r="L73" s="253"/>
      <c r="M73" s="253"/>
      <c r="N73" s="253"/>
    </row>
    <row r="74" spans="1:14" ht="15" x14ac:dyDescent="0.25">
      <c r="A74" s="195" t="s">
        <v>393</v>
      </c>
      <c r="B74" s="228">
        <v>44317</v>
      </c>
      <c r="C74" s="195">
        <v>2021</v>
      </c>
      <c r="D74" s="198">
        <v>121.14285714285714</v>
      </c>
      <c r="E74" s="228">
        <v>44330</v>
      </c>
      <c r="F74" s="228"/>
      <c r="G74" s="195"/>
      <c r="H74" s="253"/>
      <c r="I74" s="253"/>
      <c r="J74" s="253"/>
      <c r="K74" s="253"/>
      <c r="L74" s="253"/>
      <c r="M74" s="253"/>
      <c r="N74" s="253"/>
    </row>
    <row r="75" spans="1:14" ht="15" x14ac:dyDescent="0.25">
      <c r="A75" s="195" t="s">
        <v>114</v>
      </c>
      <c r="B75" s="195"/>
      <c r="C75" s="195"/>
      <c r="D75" s="195"/>
      <c r="E75" s="195"/>
      <c r="F75" s="228">
        <v>44377</v>
      </c>
      <c r="G75" s="198">
        <v>181</v>
      </c>
      <c r="H75" s="253">
        <v>8.2222222222222214</v>
      </c>
      <c r="I75" s="253">
        <v>6.2222222222222223</v>
      </c>
      <c r="J75" s="253">
        <v>6.5555555555555554</v>
      </c>
      <c r="K75" s="253">
        <v>5</v>
      </c>
      <c r="L75" s="253">
        <v>5.1111111111111107</v>
      </c>
      <c r="M75" s="253">
        <v>5.2222222222222223</v>
      </c>
      <c r="N75" s="253">
        <v>2.6666666666666665</v>
      </c>
    </row>
    <row r="76" spans="1:14" ht="15" x14ac:dyDescent="0.25">
      <c r="A76" s="195" t="s">
        <v>394</v>
      </c>
      <c r="B76" s="228">
        <v>44318</v>
      </c>
      <c r="C76" s="195">
        <v>2021</v>
      </c>
      <c r="D76" s="198">
        <v>122</v>
      </c>
      <c r="E76" s="228">
        <v>44331</v>
      </c>
      <c r="F76" s="228"/>
      <c r="G76" s="195"/>
      <c r="H76" s="253"/>
      <c r="I76" s="253"/>
      <c r="J76" s="253"/>
      <c r="K76" s="253"/>
      <c r="L76" s="253"/>
      <c r="M76" s="253"/>
      <c r="N76" s="253"/>
    </row>
    <row r="77" spans="1:14" ht="15" x14ac:dyDescent="0.25">
      <c r="A77" s="195" t="s">
        <v>111</v>
      </c>
      <c r="B77" s="195"/>
      <c r="C77" s="195"/>
      <c r="D77" s="195"/>
      <c r="E77" s="195"/>
      <c r="F77" s="228">
        <v>44377</v>
      </c>
      <c r="G77" s="198">
        <v>181</v>
      </c>
      <c r="H77" s="253">
        <v>8.5555555555555554</v>
      </c>
      <c r="I77" s="253">
        <v>7.4444444444444446</v>
      </c>
      <c r="J77" s="253">
        <v>6.2222222222222223</v>
      </c>
      <c r="K77" s="253">
        <v>6.333333333333333</v>
      </c>
      <c r="L77" s="253">
        <v>5.2222222222222223</v>
      </c>
      <c r="M77" s="253">
        <v>5.1111111111111107</v>
      </c>
      <c r="N77" s="253">
        <v>2.6666666666666665</v>
      </c>
    </row>
    <row r="78" spans="1:14" ht="15" x14ac:dyDescent="0.25">
      <c r="A78" s="195" t="s">
        <v>395</v>
      </c>
      <c r="B78" s="228">
        <v>44317</v>
      </c>
      <c r="C78" s="195">
        <v>2021</v>
      </c>
      <c r="D78" s="198">
        <v>121.25</v>
      </c>
      <c r="E78" s="228">
        <v>44332</v>
      </c>
      <c r="F78" s="228"/>
      <c r="G78" s="195"/>
      <c r="H78" s="253"/>
      <c r="I78" s="253"/>
      <c r="J78" s="253"/>
      <c r="K78" s="253"/>
      <c r="L78" s="253"/>
      <c r="M78" s="253"/>
      <c r="N78" s="253"/>
    </row>
    <row r="79" spans="1:14" ht="15" x14ac:dyDescent="0.25">
      <c r="A79" s="195" t="s">
        <v>108</v>
      </c>
      <c r="B79" s="195"/>
      <c r="C79" s="195"/>
      <c r="D79" s="195"/>
      <c r="E79" s="195"/>
      <c r="F79" s="228">
        <v>44377</v>
      </c>
      <c r="G79" s="198">
        <v>180.5</v>
      </c>
      <c r="H79" s="253">
        <v>8</v>
      </c>
      <c r="I79" s="253">
        <v>7</v>
      </c>
      <c r="J79" s="253">
        <v>5.8888888888888893</v>
      </c>
      <c r="K79" s="253">
        <v>5.1111111111111107</v>
      </c>
      <c r="L79" s="253">
        <v>5.7777777777777777</v>
      </c>
      <c r="M79" s="253">
        <v>5.4444444444444446</v>
      </c>
      <c r="N79" s="253">
        <v>3.3333333333333335</v>
      </c>
    </row>
    <row r="80" spans="1:14" ht="15" x14ac:dyDescent="0.25">
      <c r="A80" s="195" t="s">
        <v>396</v>
      </c>
      <c r="B80" s="228">
        <v>44317</v>
      </c>
      <c r="C80" s="195">
        <v>2021</v>
      </c>
      <c r="D80" s="198">
        <v>121.25</v>
      </c>
      <c r="E80" s="228">
        <v>44332</v>
      </c>
      <c r="F80" s="228"/>
      <c r="G80" s="195"/>
      <c r="H80" s="253"/>
      <c r="I80" s="253"/>
      <c r="J80" s="253"/>
      <c r="K80" s="253"/>
      <c r="L80" s="253"/>
      <c r="M80" s="253"/>
      <c r="N80" s="253"/>
    </row>
    <row r="81" spans="1:14" ht="15" x14ac:dyDescent="0.25">
      <c r="A81" s="195" t="s">
        <v>105</v>
      </c>
      <c r="B81" s="195"/>
      <c r="C81" s="195"/>
      <c r="D81" s="195"/>
      <c r="E81" s="195"/>
      <c r="F81" s="228">
        <v>44374</v>
      </c>
      <c r="G81" s="198">
        <v>177.66666666666666</v>
      </c>
      <c r="H81" s="253">
        <v>8</v>
      </c>
      <c r="I81" s="253">
        <v>6.666666666666667</v>
      </c>
      <c r="J81" s="253">
        <v>6</v>
      </c>
      <c r="K81" s="253">
        <v>5.7777777777777777</v>
      </c>
      <c r="L81" s="253">
        <v>5.2222222222222223</v>
      </c>
      <c r="M81" s="253">
        <v>5.333333333333333</v>
      </c>
      <c r="N81" s="253">
        <v>3.1111111111111112</v>
      </c>
    </row>
    <row r="82" spans="1:14" ht="15" x14ac:dyDescent="0.25">
      <c r="A82" s="195" t="s">
        <v>397</v>
      </c>
      <c r="B82" s="228">
        <v>44317</v>
      </c>
      <c r="C82" s="195">
        <v>2021</v>
      </c>
      <c r="D82" s="198">
        <v>121.1</v>
      </c>
      <c r="E82" s="228">
        <v>44331</v>
      </c>
      <c r="F82" s="228"/>
      <c r="G82" s="195"/>
      <c r="H82" s="253"/>
      <c r="I82" s="253"/>
      <c r="J82" s="253"/>
      <c r="K82" s="253"/>
      <c r="L82" s="253"/>
      <c r="M82" s="253"/>
      <c r="N82" s="253"/>
    </row>
    <row r="83" spans="1:14" ht="15" x14ac:dyDescent="0.25">
      <c r="A83" s="195" t="s">
        <v>102</v>
      </c>
      <c r="B83" s="195"/>
      <c r="C83" s="195"/>
      <c r="D83" s="195"/>
      <c r="E83" s="195"/>
      <c r="F83" s="228">
        <v>44375</v>
      </c>
      <c r="G83" s="198">
        <v>179</v>
      </c>
      <c r="H83" s="253">
        <v>8.1111111111111107</v>
      </c>
      <c r="I83" s="253">
        <v>6.1111111111111107</v>
      </c>
      <c r="J83" s="253">
        <v>6.2222222222222223</v>
      </c>
      <c r="K83" s="253">
        <v>5.5555555555555554</v>
      </c>
      <c r="L83" s="253">
        <v>5.4444444444444446</v>
      </c>
      <c r="M83" s="253">
        <v>5.333333333333333</v>
      </c>
      <c r="N83" s="253">
        <v>3</v>
      </c>
    </row>
    <row r="84" spans="1:14" ht="15" x14ac:dyDescent="0.25">
      <c r="A84" s="195" t="s">
        <v>398</v>
      </c>
      <c r="B84" s="228">
        <v>44317</v>
      </c>
      <c r="C84" s="195">
        <v>2021</v>
      </c>
      <c r="D84" s="198">
        <v>120.5</v>
      </c>
      <c r="E84" s="228">
        <v>44331</v>
      </c>
      <c r="F84" s="228"/>
      <c r="G84" s="195"/>
      <c r="H84" s="253"/>
      <c r="I84" s="253"/>
      <c r="J84" s="253"/>
      <c r="K84" s="253"/>
      <c r="L84" s="253"/>
      <c r="M84" s="253"/>
      <c r="N84" s="253"/>
    </row>
    <row r="85" spans="1:14" ht="15" x14ac:dyDescent="0.25">
      <c r="A85" s="195" t="s">
        <v>99</v>
      </c>
      <c r="B85" s="195"/>
      <c r="C85" s="195"/>
      <c r="D85" s="195"/>
      <c r="E85" s="195"/>
      <c r="F85" s="228">
        <v>44377</v>
      </c>
      <c r="G85" s="198">
        <v>181</v>
      </c>
      <c r="H85" s="253">
        <v>8.1111111111111107</v>
      </c>
      <c r="I85" s="253">
        <v>7</v>
      </c>
      <c r="J85" s="253">
        <v>5.7777777777777777</v>
      </c>
      <c r="K85" s="253">
        <v>5.2222222222222223</v>
      </c>
      <c r="L85" s="253">
        <v>4.7777777777777777</v>
      </c>
      <c r="M85" s="253">
        <v>4.2222222222222223</v>
      </c>
      <c r="N85" s="253">
        <v>2.7777777777777777</v>
      </c>
    </row>
    <row r="86" spans="1:14" ht="15" x14ac:dyDescent="0.25">
      <c r="A86" s="195" t="s">
        <v>399</v>
      </c>
      <c r="B86" s="228">
        <v>44317</v>
      </c>
      <c r="C86" s="195">
        <v>2021</v>
      </c>
      <c r="D86" s="198">
        <v>120.5</v>
      </c>
      <c r="E86" s="228">
        <v>44330</v>
      </c>
      <c r="F86" s="228"/>
      <c r="G86" s="195"/>
      <c r="H86" s="253"/>
      <c r="I86" s="253"/>
      <c r="J86" s="253"/>
      <c r="K86" s="253"/>
      <c r="L86" s="253"/>
      <c r="M86" s="253"/>
      <c r="N86" s="253"/>
    </row>
    <row r="87" spans="1:14" ht="15" x14ac:dyDescent="0.25">
      <c r="A87" s="195" t="s">
        <v>96</v>
      </c>
      <c r="B87" s="195"/>
      <c r="C87" s="195"/>
      <c r="D87" s="195"/>
      <c r="E87" s="195"/>
      <c r="F87" s="228">
        <v>44375</v>
      </c>
      <c r="G87" s="198">
        <v>179</v>
      </c>
      <c r="H87" s="253">
        <v>7.666666666666667</v>
      </c>
      <c r="I87" s="253">
        <v>5.7777777777777777</v>
      </c>
      <c r="J87" s="253">
        <v>5.2222222222222223</v>
      </c>
      <c r="K87" s="253">
        <v>4.5555555555555554</v>
      </c>
      <c r="L87" s="253">
        <v>5.333333333333333</v>
      </c>
      <c r="M87" s="253">
        <v>5</v>
      </c>
      <c r="N87" s="253">
        <v>3</v>
      </c>
    </row>
    <row r="88" spans="1:14" ht="15" x14ac:dyDescent="0.25">
      <c r="A88" s="195" t="s">
        <v>400</v>
      </c>
      <c r="B88" s="228">
        <v>44320</v>
      </c>
      <c r="C88" s="195">
        <v>2021</v>
      </c>
      <c r="D88" s="198">
        <v>123.5</v>
      </c>
      <c r="E88" s="228">
        <v>44332</v>
      </c>
      <c r="F88" s="228"/>
      <c r="G88" s="195"/>
      <c r="H88" s="253"/>
      <c r="I88" s="253"/>
      <c r="J88" s="253"/>
      <c r="K88" s="253"/>
      <c r="L88" s="253"/>
      <c r="M88" s="253"/>
      <c r="N88" s="253"/>
    </row>
    <row r="89" spans="1:14" ht="15" x14ac:dyDescent="0.25">
      <c r="A89" s="195" t="s">
        <v>93</v>
      </c>
      <c r="B89" s="195"/>
      <c r="C89" s="195"/>
      <c r="D89" s="195"/>
      <c r="E89" s="195"/>
      <c r="F89" s="228">
        <v>44378</v>
      </c>
      <c r="G89" s="198">
        <v>182</v>
      </c>
      <c r="H89" s="253">
        <v>8.4444444444444446</v>
      </c>
      <c r="I89" s="253">
        <v>6.5555555555555554</v>
      </c>
      <c r="J89" s="253">
        <v>6.1111111111111107</v>
      </c>
      <c r="K89" s="253">
        <v>4.8888888888888893</v>
      </c>
      <c r="L89" s="253">
        <v>4.8888888888888893</v>
      </c>
      <c r="M89" s="253">
        <v>5.1111111111111107</v>
      </c>
      <c r="N89" s="253">
        <v>2.4444444444444446</v>
      </c>
    </row>
    <row r="90" spans="1:14" ht="15" x14ac:dyDescent="0.25">
      <c r="A90" s="195" t="s">
        <v>401</v>
      </c>
      <c r="B90" s="228">
        <v>44317</v>
      </c>
      <c r="C90" s="195">
        <v>2021</v>
      </c>
      <c r="D90" s="198">
        <v>120.83333333333333</v>
      </c>
      <c r="E90" s="228">
        <v>44330</v>
      </c>
      <c r="F90" s="228"/>
      <c r="G90" s="195"/>
      <c r="H90" s="253"/>
      <c r="I90" s="253"/>
      <c r="J90" s="253"/>
      <c r="K90" s="253"/>
      <c r="L90" s="253"/>
      <c r="M90" s="253"/>
      <c r="N90" s="253"/>
    </row>
    <row r="91" spans="1:14" ht="15" x14ac:dyDescent="0.25">
      <c r="A91" s="195" t="s">
        <v>90</v>
      </c>
      <c r="B91" s="195"/>
      <c r="C91" s="195"/>
      <c r="D91" s="195"/>
      <c r="E91" s="195"/>
      <c r="F91" s="228">
        <v>44378</v>
      </c>
      <c r="G91" s="198">
        <v>182</v>
      </c>
      <c r="H91" s="253">
        <v>8.1111111111111107</v>
      </c>
      <c r="I91" s="253">
        <v>6.333333333333333</v>
      </c>
      <c r="J91" s="253">
        <v>5.8888888888888893</v>
      </c>
      <c r="K91" s="253">
        <v>4.8888888888888893</v>
      </c>
      <c r="L91" s="253">
        <v>4.5555555555555554</v>
      </c>
      <c r="M91" s="253">
        <v>4.5555555555555554</v>
      </c>
      <c r="N91" s="253">
        <v>2.5555555555555554</v>
      </c>
    </row>
    <row r="92" spans="1:14" ht="15" x14ac:dyDescent="0.25">
      <c r="A92" s="195" t="s">
        <v>402</v>
      </c>
      <c r="B92" s="228">
        <v>44319</v>
      </c>
      <c r="C92" s="195">
        <v>2021</v>
      </c>
      <c r="D92" s="198">
        <v>123.4</v>
      </c>
      <c r="E92" s="228">
        <v>44331</v>
      </c>
      <c r="F92" s="228"/>
      <c r="G92" s="195"/>
      <c r="H92" s="253"/>
      <c r="I92" s="253"/>
      <c r="J92" s="253"/>
      <c r="K92" s="253"/>
      <c r="L92" s="253"/>
      <c r="M92" s="253"/>
      <c r="N92" s="253"/>
    </row>
    <row r="93" spans="1:14" ht="15" x14ac:dyDescent="0.25">
      <c r="A93" s="195" t="s">
        <v>87</v>
      </c>
      <c r="B93" s="195"/>
      <c r="C93" s="195"/>
      <c r="D93" s="195"/>
      <c r="E93" s="195"/>
      <c r="F93" s="228">
        <v>44377</v>
      </c>
      <c r="G93" s="198">
        <v>181</v>
      </c>
      <c r="H93" s="253">
        <v>8.1111111111111107</v>
      </c>
      <c r="I93" s="253">
        <v>7</v>
      </c>
      <c r="J93" s="253">
        <v>6.1111111111111107</v>
      </c>
      <c r="K93" s="253">
        <v>4.5555555555555554</v>
      </c>
      <c r="L93" s="253">
        <v>4.8888888888888893</v>
      </c>
      <c r="M93" s="253">
        <v>4.5555555555555554</v>
      </c>
      <c r="N93" s="253">
        <v>2.7777777777777777</v>
      </c>
    </row>
    <row r="94" spans="1:14" ht="15" x14ac:dyDescent="0.25">
      <c r="A94" s="195" t="s">
        <v>403</v>
      </c>
      <c r="B94" s="228">
        <v>44319</v>
      </c>
      <c r="C94" s="195">
        <v>2021</v>
      </c>
      <c r="D94" s="198">
        <v>122.5</v>
      </c>
      <c r="E94" s="228">
        <v>44334</v>
      </c>
      <c r="F94" s="228"/>
      <c r="G94" s="195"/>
      <c r="H94" s="253"/>
      <c r="I94" s="253"/>
      <c r="J94" s="253"/>
      <c r="K94" s="253"/>
      <c r="L94" s="253"/>
      <c r="M94" s="253"/>
      <c r="N94" s="253"/>
    </row>
    <row r="95" spans="1:14" ht="15" x14ac:dyDescent="0.25">
      <c r="A95" s="195" t="s">
        <v>84</v>
      </c>
      <c r="B95" s="195"/>
      <c r="C95" s="195"/>
      <c r="D95" s="195"/>
      <c r="E95" s="195"/>
      <c r="F95" s="228">
        <v>44374</v>
      </c>
      <c r="G95" s="198">
        <v>178</v>
      </c>
      <c r="H95" s="253">
        <v>7.5555555555555554</v>
      </c>
      <c r="I95" s="253">
        <v>5.8888888888888893</v>
      </c>
      <c r="J95" s="253">
        <v>6</v>
      </c>
      <c r="K95" s="253">
        <v>3.7777777777777777</v>
      </c>
      <c r="L95" s="253">
        <v>5.4444444444444446</v>
      </c>
      <c r="M95" s="253">
        <v>5</v>
      </c>
      <c r="N95" s="253">
        <v>2.8888888888888888</v>
      </c>
    </row>
    <row r="96" spans="1:14" ht="15" x14ac:dyDescent="0.25">
      <c r="A96" s="195" t="s">
        <v>404</v>
      </c>
      <c r="B96" s="228">
        <v>44318</v>
      </c>
      <c r="C96" s="195">
        <v>2021</v>
      </c>
      <c r="D96" s="198">
        <v>122</v>
      </c>
      <c r="E96" s="228">
        <v>44331</v>
      </c>
      <c r="F96" s="228"/>
      <c r="G96" s="195"/>
      <c r="H96" s="253"/>
      <c r="I96" s="253"/>
      <c r="J96" s="253"/>
      <c r="K96" s="253"/>
      <c r="L96" s="253"/>
      <c r="M96" s="253"/>
      <c r="N96" s="253"/>
    </row>
    <row r="97" spans="1:14" ht="15" x14ac:dyDescent="0.25">
      <c r="A97" s="195" t="s">
        <v>81</v>
      </c>
      <c r="B97" s="195"/>
      <c r="C97" s="195"/>
      <c r="D97" s="195"/>
      <c r="E97" s="195"/>
      <c r="F97" s="228">
        <v>44377</v>
      </c>
      <c r="G97" s="198">
        <v>180.5</v>
      </c>
      <c r="H97" s="253">
        <v>8.1111111111111107</v>
      </c>
      <c r="I97" s="253">
        <v>7.5555555555555554</v>
      </c>
      <c r="J97" s="253">
        <v>6.333333333333333</v>
      </c>
      <c r="K97" s="253">
        <v>5.2222222222222223</v>
      </c>
      <c r="L97" s="253">
        <v>4.875</v>
      </c>
      <c r="M97" s="253">
        <v>3.7777777777777777</v>
      </c>
      <c r="N97" s="253">
        <v>2.6666666666666665</v>
      </c>
    </row>
    <row r="98" spans="1:14" ht="15" x14ac:dyDescent="0.25">
      <c r="A98" s="195" t="s">
        <v>405</v>
      </c>
      <c r="B98" s="228">
        <v>44318</v>
      </c>
      <c r="C98" s="195">
        <v>2021</v>
      </c>
      <c r="D98" s="198">
        <v>122.25</v>
      </c>
      <c r="E98" s="228">
        <v>44332</v>
      </c>
      <c r="F98" s="228"/>
      <c r="G98" s="195"/>
      <c r="H98" s="253"/>
      <c r="I98" s="253"/>
      <c r="J98" s="253"/>
      <c r="K98" s="253"/>
      <c r="L98" s="253"/>
      <c r="M98" s="253"/>
      <c r="N98" s="253"/>
    </row>
    <row r="99" spans="1:14" ht="15" x14ac:dyDescent="0.25">
      <c r="A99" s="195" t="s">
        <v>78</v>
      </c>
      <c r="B99" s="195"/>
      <c r="C99" s="195"/>
      <c r="D99" s="195"/>
      <c r="E99" s="195"/>
      <c r="F99" s="228">
        <v>44377</v>
      </c>
      <c r="G99" s="198">
        <v>181</v>
      </c>
      <c r="H99" s="253">
        <v>7.7777777777777777</v>
      </c>
      <c r="I99" s="253">
        <v>7.2222222222222223</v>
      </c>
      <c r="J99" s="253">
        <v>6.2222222222222223</v>
      </c>
      <c r="K99" s="253">
        <v>4.5555555555555554</v>
      </c>
      <c r="L99" s="253">
        <v>5.2222222222222223</v>
      </c>
      <c r="M99" s="253">
        <v>5</v>
      </c>
      <c r="N99" s="253">
        <v>3.4444444444444446</v>
      </c>
    </row>
    <row r="100" spans="1:14" ht="15" x14ac:dyDescent="0.25">
      <c r="A100" s="195" t="s">
        <v>406</v>
      </c>
      <c r="B100" s="228">
        <v>44318</v>
      </c>
      <c r="C100" s="195">
        <v>2021</v>
      </c>
      <c r="D100" s="198">
        <v>121.5</v>
      </c>
      <c r="E100" s="228">
        <v>44331</v>
      </c>
      <c r="F100" s="228"/>
      <c r="G100" s="195"/>
      <c r="H100" s="253"/>
      <c r="I100" s="253"/>
      <c r="J100" s="253"/>
      <c r="K100" s="253"/>
      <c r="L100" s="253"/>
      <c r="M100" s="253"/>
      <c r="N100" s="253"/>
    </row>
    <row r="101" spans="1:14" ht="15" x14ac:dyDescent="0.25">
      <c r="A101" s="195" t="s">
        <v>75</v>
      </c>
      <c r="B101" s="195"/>
      <c r="C101" s="195"/>
      <c r="D101" s="195"/>
      <c r="E101" s="195"/>
      <c r="F101" s="228">
        <v>44378</v>
      </c>
      <c r="G101" s="198">
        <v>182</v>
      </c>
      <c r="H101" s="253">
        <v>8.5555555555555554</v>
      </c>
      <c r="I101" s="253">
        <v>7.5555555555555554</v>
      </c>
      <c r="J101" s="253">
        <v>6.666666666666667</v>
      </c>
      <c r="K101" s="253">
        <v>5.7777777777777777</v>
      </c>
      <c r="L101" s="253">
        <v>5</v>
      </c>
      <c r="M101" s="253">
        <v>4</v>
      </c>
      <c r="N101" s="253">
        <v>2.4444444444444446</v>
      </c>
    </row>
    <row r="102" spans="1:14" ht="15" x14ac:dyDescent="0.25">
      <c r="A102" s="195" t="s">
        <v>407</v>
      </c>
      <c r="B102" s="228">
        <v>44318</v>
      </c>
      <c r="C102" s="195">
        <v>2021</v>
      </c>
      <c r="D102" s="198">
        <v>122.25</v>
      </c>
      <c r="E102" s="228">
        <v>44332</v>
      </c>
      <c r="F102" s="228"/>
      <c r="G102" s="195"/>
      <c r="H102" s="253"/>
      <c r="I102" s="253"/>
      <c r="J102" s="253"/>
      <c r="K102" s="253"/>
      <c r="L102" s="253"/>
      <c r="M102" s="253"/>
      <c r="N102" s="253"/>
    </row>
    <row r="103" spans="1:14" ht="15" x14ac:dyDescent="0.25">
      <c r="A103" s="195" t="s">
        <v>72</v>
      </c>
      <c r="B103" s="195"/>
      <c r="C103" s="195"/>
      <c r="D103" s="195"/>
      <c r="E103" s="195"/>
      <c r="F103" s="228">
        <v>44377</v>
      </c>
      <c r="G103" s="198">
        <v>181.25</v>
      </c>
      <c r="H103" s="253">
        <v>8.3333333333333339</v>
      </c>
      <c r="I103" s="253">
        <v>6.1111111111111107</v>
      </c>
      <c r="J103" s="253">
        <v>6.5555555555555554</v>
      </c>
      <c r="K103" s="253">
        <v>4.4444444444444446</v>
      </c>
      <c r="L103" s="253">
        <v>5.333333333333333</v>
      </c>
      <c r="M103" s="253">
        <v>5.1111111111111107</v>
      </c>
      <c r="N103" s="253">
        <v>2.8888888888888888</v>
      </c>
    </row>
  </sheetData>
  <sortState xmlns:xlrd2="http://schemas.microsoft.com/office/spreadsheetml/2017/richdata2" ref="A2:G103">
    <sortCondition ref="A2:A1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6DA5-0F95-43BC-B2A8-C4FCC3B79A83}">
  <dimension ref="A1:F144"/>
  <sheetViews>
    <sheetView workbookViewId="0"/>
  </sheetViews>
  <sheetFormatPr defaultRowHeight="15" x14ac:dyDescent="0.25"/>
  <cols>
    <col min="1" max="16384" width="9.140625" style="120"/>
  </cols>
  <sheetData>
    <row r="1" spans="1:6" x14ac:dyDescent="0.25">
      <c r="A1" s="120">
        <v>1</v>
      </c>
      <c r="B1" s="120">
        <v>1</v>
      </c>
      <c r="C1" s="120" t="s">
        <v>226</v>
      </c>
      <c r="D1" s="120" t="str">
        <f t="shared" ref="D1:D32" si="0">_xlfn.CONCAT("p",TEXT(A1,"00"),"-",TEXT(B1,"0"),C1)</f>
        <v>p01-1N</v>
      </c>
      <c r="F1" s="120">
        <v>1</v>
      </c>
    </row>
    <row r="2" spans="1:6" x14ac:dyDescent="0.25">
      <c r="A2" s="120">
        <v>1</v>
      </c>
      <c r="B2" s="120">
        <v>1</v>
      </c>
      <c r="C2" s="120" t="s">
        <v>227</v>
      </c>
      <c r="D2" s="120" t="str">
        <f t="shared" si="0"/>
        <v>p01-1M</v>
      </c>
      <c r="F2" s="120">
        <v>2</v>
      </c>
    </row>
    <row r="3" spans="1:6" x14ac:dyDescent="0.25">
      <c r="A3" s="120">
        <v>1</v>
      </c>
      <c r="B3" s="120">
        <v>1</v>
      </c>
      <c r="C3" s="120" t="s">
        <v>228</v>
      </c>
      <c r="D3" s="120" t="str">
        <f t="shared" si="0"/>
        <v>p01-1S</v>
      </c>
      <c r="F3" s="120">
        <v>3</v>
      </c>
    </row>
    <row r="4" spans="1:6" x14ac:dyDescent="0.25">
      <c r="A4" s="120">
        <v>1</v>
      </c>
      <c r="B4" s="120">
        <v>2</v>
      </c>
      <c r="C4" s="120" t="s">
        <v>226</v>
      </c>
      <c r="D4" s="120" t="str">
        <f t="shared" si="0"/>
        <v>p01-2N</v>
      </c>
      <c r="F4" s="120">
        <v>4</v>
      </c>
    </row>
    <row r="5" spans="1:6" x14ac:dyDescent="0.25">
      <c r="A5" s="120">
        <v>1</v>
      </c>
      <c r="B5" s="120">
        <v>2</v>
      </c>
      <c r="C5" s="120" t="s">
        <v>227</v>
      </c>
      <c r="D5" s="120" t="str">
        <f t="shared" si="0"/>
        <v>p01-2M</v>
      </c>
      <c r="F5" s="120">
        <v>5</v>
      </c>
    </row>
    <row r="6" spans="1:6" x14ac:dyDescent="0.25">
      <c r="A6" s="120">
        <v>1</v>
      </c>
      <c r="B6" s="120">
        <v>2</v>
      </c>
      <c r="C6" s="120" t="s">
        <v>228</v>
      </c>
      <c r="D6" s="120" t="str">
        <f t="shared" si="0"/>
        <v>p01-2S</v>
      </c>
      <c r="F6" s="120">
        <v>6</v>
      </c>
    </row>
    <row r="7" spans="1:6" x14ac:dyDescent="0.25">
      <c r="A7" s="120">
        <v>1</v>
      </c>
      <c r="B7" s="120">
        <v>3</v>
      </c>
      <c r="C7" s="120" t="s">
        <v>226</v>
      </c>
      <c r="D7" s="120" t="str">
        <f t="shared" si="0"/>
        <v>p01-3N</v>
      </c>
      <c r="F7" s="120">
        <v>7</v>
      </c>
    </row>
    <row r="8" spans="1:6" x14ac:dyDescent="0.25">
      <c r="A8" s="120">
        <v>1</v>
      </c>
      <c r="B8" s="120">
        <v>3</v>
      </c>
      <c r="C8" s="120" t="s">
        <v>227</v>
      </c>
      <c r="D8" s="120" t="str">
        <f t="shared" si="0"/>
        <v>p01-3M</v>
      </c>
      <c r="F8" s="120">
        <v>8</v>
      </c>
    </row>
    <row r="9" spans="1:6" x14ac:dyDescent="0.25">
      <c r="A9" s="120">
        <v>1</v>
      </c>
      <c r="B9" s="120">
        <v>3</v>
      </c>
      <c r="C9" s="120" t="s">
        <v>228</v>
      </c>
      <c r="D9" s="120" t="str">
        <f t="shared" si="0"/>
        <v>p01-3S</v>
      </c>
      <c r="F9" s="120">
        <v>9</v>
      </c>
    </row>
    <row r="10" spans="1:6" x14ac:dyDescent="0.25">
      <c r="A10" s="120">
        <v>1</v>
      </c>
      <c r="B10" s="120">
        <v>4</v>
      </c>
      <c r="C10" s="120" t="s">
        <v>226</v>
      </c>
      <c r="D10" s="120" t="str">
        <f t="shared" si="0"/>
        <v>p01-4N</v>
      </c>
      <c r="F10" s="120">
        <v>10</v>
      </c>
    </row>
    <row r="11" spans="1:6" x14ac:dyDescent="0.25">
      <c r="A11" s="120">
        <v>1</v>
      </c>
      <c r="B11" s="120">
        <v>4</v>
      </c>
      <c r="C11" s="120" t="s">
        <v>227</v>
      </c>
      <c r="D11" s="120" t="str">
        <f t="shared" si="0"/>
        <v>p01-4M</v>
      </c>
      <c r="F11" s="120">
        <v>11</v>
      </c>
    </row>
    <row r="12" spans="1:6" x14ac:dyDescent="0.25">
      <c r="A12" s="120">
        <v>1</v>
      </c>
      <c r="B12" s="120">
        <v>4</v>
      </c>
      <c r="C12" s="120" t="s">
        <v>228</v>
      </c>
      <c r="D12" s="120" t="str">
        <f t="shared" si="0"/>
        <v>p01-4S</v>
      </c>
      <c r="F12" s="120">
        <v>12</v>
      </c>
    </row>
    <row r="13" spans="1:6" x14ac:dyDescent="0.25">
      <c r="A13" s="120">
        <v>2</v>
      </c>
      <c r="B13" s="120">
        <v>4</v>
      </c>
      <c r="C13" s="120" t="s">
        <v>228</v>
      </c>
      <c r="D13" s="120" t="str">
        <f t="shared" si="0"/>
        <v>p02-4S</v>
      </c>
      <c r="F13" s="120">
        <v>24</v>
      </c>
    </row>
    <row r="14" spans="1:6" x14ac:dyDescent="0.25">
      <c r="A14" s="120">
        <v>2</v>
      </c>
      <c r="B14" s="120">
        <v>4</v>
      </c>
      <c r="C14" s="120" t="s">
        <v>227</v>
      </c>
      <c r="D14" s="120" t="str">
        <f t="shared" si="0"/>
        <v>p02-4M</v>
      </c>
      <c r="F14" s="120">
        <v>23</v>
      </c>
    </row>
    <row r="15" spans="1:6" x14ac:dyDescent="0.25">
      <c r="A15" s="120">
        <v>2</v>
      </c>
      <c r="B15" s="120">
        <v>4</v>
      </c>
      <c r="C15" s="120" t="s">
        <v>226</v>
      </c>
      <c r="D15" s="120" t="str">
        <f t="shared" si="0"/>
        <v>p02-4N</v>
      </c>
      <c r="F15" s="120">
        <v>22</v>
      </c>
    </row>
    <row r="16" spans="1:6" x14ac:dyDescent="0.25">
      <c r="A16" s="120">
        <v>2</v>
      </c>
      <c r="B16" s="120">
        <v>3</v>
      </c>
      <c r="C16" s="120" t="s">
        <v>228</v>
      </c>
      <c r="D16" s="120" t="str">
        <f t="shared" si="0"/>
        <v>p02-3S</v>
      </c>
      <c r="F16" s="120">
        <v>21</v>
      </c>
    </row>
    <row r="17" spans="1:6" x14ac:dyDescent="0.25">
      <c r="A17" s="120">
        <v>2</v>
      </c>
      <c r="B17" s="120">
        <v>3</v>
      </c>
      <c r="C17" s="120" t="s">
        <v>227</v>
      </c>
      <c r="D17" s="120" t="str">
        <f t="shared" si="0"/>
        <v>p02-3M</v>
      </c>
      <c r="F17" s="120">
        <v>20</v>
      </c>
    </row>
    <row r="18" spans="1:6" x14ac:dyDescent="0.25">
      <c r="A18" s="120">
        <v>2</v>
      </c>
      <c r="B18" s="120">
        <v>3</v>
      </c>
      <c r="C18" s="120" t="s">
        <v>226</v>
      </c>
      <c r="D18" s="120" t="str">
        <f t="shared" si="0"/>
        <v>p02-3N</v>
      </c>
      <c r="F18" s="120">
        <v>19</v>
      </c>
    </row>
    <row r="19" spans="1:6" x14ac:dyDescent="0.25">
      <c r="A19" s="120">
        <v>2</v>
      </c>
      <c r="B19" s="120">
        <v>2</v>
      </c>
      <c r="C19" s="120" t="s">
        <v>228</v>
      </c>
      <c r="D19" s="120" t="str">
        <f t="shared" si="0"/>
        <v>p02-2S</v>
      </c>
      <c r="F19" s="120">
        <v>18</v>
      </c>
    </row>
    <row r="20" spans="1:6" x14ac:dyDescent="0.25">
      <c r="A20" s="120">
        <v>2</v>
      </c>
      <c r="B20" s="120">
        <v>2</v>
      </c>
      <c r="C20" s="120" t="s">
        <v>227</v>
      </c>
      <c r="D20" s="120" t="str">
        <f t="shared" si="0"/>
        <v>p02-2M</v>
      </c>
      <c r="F20" s="120">
        <v>17</v>
      </c>
    </row>
    <row r="21" spans="1:6" x14ac:dyDescent="0.25">
      <c r="A21" s="120">
        <v>2</v>
      </c>
      <c r="B21" s="120">
        <v>2</v>
      </c>
      <c r="C21" s="120" t="s">
        <v>226</v>
      </c>
      <c r="D21" s="120" t="str">
        <f t="shared" si="0"/>
        <v>p02-2N</v>
      </c>
      <c r="F21" s="120">
        <v>16</v>
      </c>
    </row>
    <row r="22" spans="1:6" x14ac:dyDescent="0.25">
      <c r="A22" s="120">
        <v>2</v>
      </c>
      <c r="B22" s="120">
        <v>1</v>
      </c>
      <c r="C22" s="120" t="s">
        <v>228</v>
      </c>
      <c r="D22" s="120" t="str">
        <f t="shared" si="0"/>
        <v>p02-1S</v>
      </c>
      <c r="F22" s="120">
        <v>15</v>
      </c>
    </row>
    <row r="23" spans="1:6" x14ac:dyDescent="0.25">
      <c r="A23" s="120">
        <v>2</v>
      </c>
      <c r="B23" s="120">
        <v>1</v>
      </c>
      <c r="C23" s="120" t="s">
        <v>227</v>
      </c>
      <c r="D23" s="120" t="str">
        <f t="shared" si="0"/>
        <v>p02-1M</v>
      </c>
      <c r="F23" s="120">
        <v>14</v>
      </c>
    </row>
    <row r="24" spans="1:6" x14ac:dyDescent="0.25">
      <c r="A24" s="120">
        <v>2</v>
      </c>
      <c r="B24" s="120">
        <v>1</v>
      </c>
      <c r="C24" s="120" t="s">
        <v>226</v>
      </c>
      <c r="D24" s="120" t="str">
        <f t="shared" si="0"/>
        <v>p02-1N</v>
      </c>
      <c r="F24" s="120">
        <v>13</v>
      </c>
    </row>
    <row r="25" spans="1:6" x14ac:dyDescent="0.25">
      <c r="A25" s="120">
        <v>3</v>
      </c>
      <c r="B25" s="120">
        <v>1</v>
      </c>
      <c r="C25" s="120" t="s">
        <v>226</v>
      </c>
      <c r="D25" s="120" t="str">
        <f t="shared" si="0"/>
        <v>p03-1N</v>
      </c>
      <c r="F25" s="120">
        <v>25</v>
      </c>
    </row>
    <row r="26" spans="1:6" x14ac:dyDescent="0.25">
      <c r="A26" s="120">
        <v>3</v>
      </c>
      <c r="B26" s="120">
        <v>1</v>
      </c>
      <c r="C26" s="120" t="s">
        <v>227</v>
      </c>
      <c r="D26" s="120" t="str">
        <f t="shared" si="0"/>
        <v>p03-1M</v>
      </c>
      <c r="F26" s="120">
        <v>26</v>
      </c>
    </row>
    <row r="27" spans="1:6" x14ac:dyDescent="0.25">
      <c r="A27" s="120">
        <v>3</v>
      </c>
      <c r="B27" s="120">
        <v>1</v>
      </c>
      <c r="C27" s="120" t="s">
        <v>228</v>
      </c>
      <c r="D27" s="120" t="str">
        <f t="shared" si="0"/>
        <v>p03-1S</v>
      </c>
      <c r="F27" s="120">
        <v>27</v>
      </c>
    </row>
    <row r="28" spans="1:6" x14ac:dyDescent="0.25">
      <c r="A28" s="120">
        <v>3</v>
      </c>
      <c r="B28" s="120">
        <v>2</v>
      </c>
      <c r="C28" s="120" t="s">
        <v>226</v>
      </c>
      <c r="D28" s="120" t="str">
        <f t="shared" si="0"/>
        <v>p03-2N</v>
      </c>
      <c r="F28" s="120">
        <v>28</v>
      </c>
    </row>
    <row r="29" spans="1:6" x14ac:dyDescent="0.25">
      <c r="A29" s="120">
        <v>3</v>
      </c>
      <c r="B29" s="120">
        <v>2</v>
      </c>
      <c r="C29" s="120" t="s">
        <v>227</v>
      </c>
      <c r="D29" s="120" t="str">
        <f t="shared" si="0"/>
        <v>p03-2M</v>
      </c>
      <c r="F29" s="120">
        <v>29</v>
      </c>
    </row>
    <row r="30" spans="1:6" x14ac:dyDescent="0.25">
      <c r="A30" s="120">
        <v>3</v>
      </c>
      <c r="B30" s="120">
        <v>2</v>
      </c>
      <c r="C30" s="120" t="s">
        <v>228</v>
      </c>
      <c r="D30" s="120" t="str">
        <f t="shared" si="0"/>
        <v>p03-2S</v>
      </c>
      <c r="F30" s="120">
        <v>30</v>
      </c>
    </row>
    <row r="31" spans="1:6" x14ac:dyDescent="0.25">
      <c r="A31" s="120">
        <v>3</v>
      </c>
      <c r="B31" s="120">
        <v>3</v>
      </c>
      <c r="C31" s="120" t="s">
        <v>226</v>
      </c>
      <c r="D31" s="120" t="str">
        <f t="shared" si="0"/>
        <v>p03-3N</v>
      </c>
      <c r="F31" s="120">
        <v>31</v>
      </c>
    </row>
    <row r="32" spans="1:6" x14ac:dyDescent="0.25">
      <c r="A32" s="120">
        <v>3</v>
      </c>
      <c r="B32" s="120">
        <v>3</v>
      </c>
      <c r="C32" s="120" t="s">
        <v>227</v>
      </c>
      <c r="D32" s="120" t="str">
        <f t="shared" si="0"/>
        <v>p03-3M</v>
      </c>
      <c r="F32" s="120">
        <v>32</v>
      </c>
    </row>
    <row r="33" spans="1:6" x14ac:dyDescent="0.25">
      <c r="A33" s="120">
        <v>3</v>
      </c>
      <c r="B33" s="120">
        <v>3</v>
      </c>
      <c r="C33" s="120" t="s">
        <v>228</v>
      </c>
      <c r="D33" s="120" t="str">
        <f t="shared" ref="D33:D64" si="1">_xlfn.CONCAT("p",TEXT(A33,"00"),"-",TEXT(B33,"0"),C33)</f>
        <v>p03-3S</v>
      </c>
      <c r="F33" s="120">
        <v>33</v>
      </c>
    </row>
    <row r="34" spans="1:6" x14ac:dyDescent="0.25">
      <c r="A34" s="120">
        <v>3</v>
      </c>
      <c r="B34" s="120">
        <v>4</v>
      </c>
      <c r="C34" s="120" t="s">
        <v>226</v>
      </c>
      <c r="D34" s="120" t="str">
        <f t="shared" si="1"/>
        <v>p03-4N</v>
      </c>
      <c r="F34" s="120">
        <v>34</v>
      </c>
    </row>
    <row r="35" spans="1:6" x14ac:dyDescent="0.25">
      <c r="A35" s="120">
        <v>3</v>
      </c>
      <c r="B35" s="120">
        <v>4</v>
      </c>
      <c r="C35" s="120" t="s">
        <v>227</v>
      </c>
      <c r="D35" s="120" t="str">
        <f t="shared" si="1"/>
        <v>p03-4M</v>
      </c>
      <c r="F35" s="120">
        <v>35</v>
      </c>
    </row>
    <row r="36" spans="1:6" x14ac:dyDescent="0.25">
      <c r="A36" s="120">
        <v>3</v>
      </c>
      <c r="B36" s="120">
        <v>4</v>
      </c>
      <c r="C36" s="120" t="s">
        <v>228</v>
      </c>
      <c r="D36" s="120" t="str">
        <f t="shared" si="1"/>
        <v>p03-4S</v>
      </c>
      <c r="F36" s="120">
        <v>36</v>
      </c>
    </row>
    <row r="37" spans="1:6" x14ac:dyDescent="0.25">
      <c r="A37" s="120">
        <v>4</v>
      </c>
      <c r="B37" s="120">
        <v>4</v>
      </c>
      <c r="C37" s="120" t="s">
        <v>228</v>
      </c>
      <c r="D37" s="120" t="str">
        <f t="shared" si="1"/>
        <v>p04-4S</v>
      </c>
      <c r="F37" s="120">
        <v>48</v>
      </c>
    </row>
    <row r="38" spans="1:6" x14ac:dyDescent="0.25">
      <c r="A38" s="120">
        <v>4</v>
      </c>
      <c r="B38" s="120">
        <v>4</v>
      </c>
      <c r="C38" s="120" t="s">
        <v>227</v>
      </c>
      <c r="D38" s="120" t="str">
        <f t="shared" si="1"/>
        <v>p04-4M</v>
      </c>
      <c r="F38" s="120">
        <v>47</v>
      </c>
    </row>
    <row r="39" spans="1:6" x14ac:dyDescent="0.25">
      <c r="A39" s="120">
        <v>4</v>
      </c>
      <c r="B39" s="120">
        <v>4</v>
      </c>
      <c r="C39" s="120" t="s">
        <v>226</v>
      </c>
      <c r="D39" s="120" t="str">
        <f t="shared" si="1"/>
        <v>p04-4N</v>
      </c>
      <c r="F39" s="120">
        <v>46</v>
      </c>
    </row>
    <row r="40" spans="1:6" x14ac:dyDescent="0.25">
      <c r="A40" s="120">
        <v>4</v>
      </c>
      <c r="B40" s="120">
        <v>3</v>
      </c>
      <c r="C40" s="120" t="s">
        <v>228</v>
      </c>
      <c r="D40" s="120" t="str">
        <f t="shared" si="1"/>
        <v>p04-3S</v>
      </c>
      <c r="F40" s="120">
        <v>45</v>
      </c>
    </row>
    <row r="41" spans="1:6" x14ac:dyDescent="0.25">
      <c r="A41" s="120">
        <v>4</v>
      </c>
      <c r="B41" s="120">
        <v>3</v>
      </c>
      <c r="C41" s="120" t="s">
        <v>227</v>
      </c>
      <c r="D41" s="120" t="str">
        <f t="shared" si="1"/>
        <v>p04-3M</v>
      </c>
      <c r="F41" s="120">
        <v>44</v>
      </c>
    </row>
    <row r="42" spans="1:6" x14ac:dyDescent="0.25">
      <c r="A42" s="120">
        <v>4</v>
      </c>
      <c r="B42" s="120">
        <v>3</v>
      </c>
      <c r="C42" s="120" t="s">
        <v>226</v>
      </c>
      <c r="D42" s="120" t="str">
        <f t="shared" si="1"/>
        <v>p04-3N</v>
      </c>
      <c r="F42" s="120">
        <v>43</v>
      </c>
    </row>
    <row r="43" spans="1:6" x14ac:dyDescent="0.25">
      <c r="A43" s="120">
        <v>4</v>
      </c>
      <c r="B43" s="120">
        <v>2</v>
      </c>
      <c r="C43" s="120" t="s">
        <v>228</v>
      </c>
      <c r="D43" s="120" t="str">
        <f t="shared" si="1"/>
        <v>p04-2S</v>
      </c>
      <c r="F43" s="120">
        <v>42</v>
      </c>
    </row>
    <row r="44" spans="1:6" x14ac:dyDescent="0.25">
      <c r="A44" s="120">
        <v>4</v>
      </c>
      <c r="B44" s="120">
        <v>2</v>
      </c>
      <c r="C44" s="120" t="s">
        <v>227</v>
      </c>
      <c r="D44" s="120" t="str">
        <f t="shared" si="1"/>
        <v>p04-2M</v>
      </c>
      <c r="F44" s="120">
        <v>41</v>
      </c>
    </row>
    <row r="45" spans="1:6" x14ac:dyDescent="0.25">
      <c r="A45" s="120">
        <v>4</v>
      </c>
      <c r="B45" s="120">
        <v>2</v>
      </c>
      <c r="C45" s="120" t="s">
        <v>226</v>
      </c>
      <c r="D45" s="120" t="str">
        <f t="shared" si="1"/>
        <v>p04-2N</v>
      </c>
      <c r="F45" s="120">
        <v>40</v>
      </c>
    </row>
    <row r="46" spans="1:6" x14ac:dyDescent="0.25">
      <c r="A46" s="120">
        <v>4</v>
      </c>
      <c r="B46" s="120">
        <v>1</v>
      </c>
      <c r="C46" s="120" t="s">
        <v>228</v>
      </c>
      <c r="D46" s="120" t="str">
        <f t="shared" si="1"/>
        <v>p04-1S</v>
      </c>
      <c r="F46" s="120">
        <v>39</v>
      </c>
    </row>
    <row r="47" spans="1:6" x14ac:dyDescent="0.25">
      <c r="A47" s="120">
        <v>4</v>
      </c>
      <c r="B47" s="120">
        <v>1</v>
      </c>
      <c r="C47" s="120" t="s">
        <v>227</v>
      </c>
      <c r="D47" s="120" t="str">
        <f t="shared" si="1"/>
        <v>p04-1M</v>
      </c>
      <c r="F47" s="120">
        <v>38</v>
      </c>
    </row>
    <row r="48" spans="1:6" x14ac:dyDescent="0.25">
      <c r="A48" s="120">
        <v>4</v>
      </c>
      <c r="B48" s="120">
        <v>1</v>
      </c>
      <c r="C48" s="120" t="s">
        <v>226</v>
      </c>
      <c r="D48" s="120" t="str">
        <f t="shared" si="1"/>
        <v>p04-1N</v>
      </c>
      <c r="F48" s="120">
        <v>37</v>
      </c>
    </row>
    <row r="49" spans="1:6" x14ac:dyDescent="0.25">
      <c r="A49" s="120">
        <v>5</v>
      </c>
      <c r="B49" s="120">
        <v>1</v>
      </c>
      <c r="C49" s="120" t="s">
        <v>226</v>
      </c>
      <c r="D49" s="120" t="str">
        <f t="shared" si="1"/>
        <v>p05-1N</v>
      </c>
      <c r="F49" s="120">
        <v>49</v>
      </c>
    </row>
    <row r="50" spans="1:6" x14ac:dyDescent="0.25">
      <c r="A50" s="120">
        <v>5</v>
      </c>
      <c r="B50" s="120">
        <v>1</v>
      </c>
      <c r="C50" s="120" t="s">
        <v>227</v>
      </c>
      <c r="D50" s="120" t="str">
        <f t="shared" si="1"/>
        <v>p05-1M</v>
      </c>
      <c r="F50" s="120">
        <v>50</v>
      </c>
    </row>
    <row r="51" spans="1:6" x14ac:dyDescent="0.25">
      <c r="A51" s="120">
        <v>5</v>
      </c>
      <c r="B51" s="120">
        <v>1</v>
      </c>
      <c r="C51" s="120" t="s">
        <v>228</v>
      </c>
      <c r="D51" s="120" t="str">
        <f t="shared" si="1"/>
        <v>p05-1S</v>
      </c>
      <c r="F51" s="120">
        <v>51</v>
      </c>
    </row>
    <row r="52" spans="1:6" x14ac:dyDescent="0.25">
      <c r="A52" s="120">
        <v>5</v>
      </c>
      <c r="B52" s="120">
        <v>2</v>
      </c>
      <c r="C52" s="120" t="s">
        <v>226</v>
      </c>
      <c r="D52" s="120" t="str">
        <f t="shared" si="1"/>
        <v>p05-2N</v>
      </c>
      <c r="F52" s="120">
        <v>52</v>
      </c>
    </row>
    <row r="53" spans="1:6" x14ac:dyDescent="0.25">
      <c r="A53" s="120">
        <v>5</v>
      </c>
      <c r="B53" s="120">
        <v>2</v>
      </c>
      <c r="C53" s="120" t="s">
        <v>227</v>
      </c>
      <c r="D53" s="120" t="str">
        <f t="shared" si="1"/>
        <v>p05-2M</v>
      </c>
      <c r="F53" s="120">
        <v>53</v>
      </c>
    </row>
    <row r="54" spans="1:6" x14ac:dyDescent="0.25">
      <c r="A54" s="120">
        <v>5</v>
      </c>
      <c r="B54" s="120">
        <v>2</v>
      </c>
      <c r="C54" s="120" t="s">
        <v>228</v>
      </c>
      <c r="D54" s="120" t="str">
        <f t="shared" si="1"/>
        <v>p05-2S</v>
      </c>
      <c r="F54" s="120">
        <v>54</v>
      </c>
    </row>
    <row r="55" spans="1:6" x14ac:dyDescent="0.25">
      <c r="A55" s="120">
        <v>5</v>
      </c>
      <c r="B55" s="120">
        <v>3</v>
      </c>
      <c r="C55" s="120" t="s">
        <v>226</v>
      </c>
      <c r="D55" s="120" t="str">
        <f t="shared" si="1"/>
        <v>p05-3N</v>
      </c>
      <c r="F55" s="120">
        <v>55</v>
      </c>
    </row>
    <row r="56" spans="1:6" x14ac:dyDescent="0.25">
      <c r="A56" s="120">
        <v>5</v>
      </c>
      <c r="B56" s="120">
        <v>3</v>
      </c>
      <c r="C56" s="120" t="s">
        <v>227</v>
      </c>
      <c r="D56" s="120" t="str">
        <f t="shared" si="1"/>
        <v>p05-3M</v>
      </c>
      <c r="F56" s="120">
        <v>56</v>
      </c>
    </row>
    <row r="57" spans="1:6" x14ac:dyDescent="0.25">
      <c r="A57" s="120">
        <v>5</v>
      </c>
      <c r="B57" s="120">
        <v>3</v>
      </c>
      <c r="C57" s="120" t="s">
        <v>228</v>
      </c>
      <c r="D57" s="120" t="str">
        <f t="shared" si="1"/>
        <v>p05-3S</v>
      </c>
      <c r="F57" s="120">
        <v>57</v>
      </c>
    </row>
    <row r="58" spans="1:6" x14ac:dyDescent="0.25">
      <c r="A58" s="120">
        <v>5</v>
      </c>
      <c r="B58" s="120">
        <v>4</v>
      </c>
      <c r="C58" s="120" t="s">
        <v>226</v>
      </c>
      <c r="D58" s="120" t="str">
        <f t="shared" si="1"/>
        <v>p05-4N</v>
      </c>
      <c r="F58" s="120">
        <v>58</v>
      </c>
    </row>
    <row r="59" spans="1:6" x14ac:dyDescent="0.25">
      <c r="A59" s="120">
        <v>5</v>
      </c>
      <c r="B59" s="120">
        <v>4</v>
      </c>
      <c r="C59" s="120" t="s">
        <v>227</v>
      </c>
      <c r="D59" s="120" t="str">
        <f t="shared" si="1"/>
        <v>p05-4M</v>
      </c>
      <c r="F59" s="120">
        <v>59</v>
      </c>
    </row>
    <row r="60" spans="1:6" x14ac:dyDescent="0.25">
      <c r="A60" s="120">
        <v>5</v>
      </c>
      <c r="B60" s="120">
        <v>4</v>
      </c>
      <c r="C60" s="120" t="s">
        <v>228</v>
      </c>
      <c r="D60" s="120" t="str">
        <f t="shared" si="1"/>
        <v>p05-4S</v>
      </c>
      <c r="F60" s="120">
        <v>60</v>
      </c>
    </row>
    <row r="61" spans="1:6" x14ac:dyDescent="0.25">
      <c r="A61" s="120">
        <v>6</v>
      </c>
      <c r="B61" s="120">
        <v>4</v>
      </c>
      <c r="C61" s="120" t="s">
        <v>228</v>
      </c>
      <c r="D61" s="120" t="str">
        <f t="shared" si="1"/>
        <v>p06-4S</v>
      </c>
      <c r="F61" s="120">
        <v>72</v>
      </c>
    </row>
    <row r="62" spans="1:6" x14ac:dyDescent="0.25">
      <c r="A62" s="120">
        <v>6</v>
      </c>
      <c r="B62" s="120">
        <v>4</v>
      </c>
      <c r="C62" s="120" t="s">
        <v>227</v>
      </c>
      <c r="D62" s="120" t="str">
        <f t="shared" si="1"/>
        <v>p06-4M</v>
      </c>
      <c r="F62" s="120">
        <v>71</v>
      </c>
    </row>
    <row r="63" spans="1:6" x14ac:dyDescent="0.25">
      <c r="A63" s="120">
        <v>6</v>
      </c>
      <c r="B63" s="120">
        <v>4</v>
      </c>
      <c r="C63" s="120" t="s">
        <v>226</v>
      </c>
      <c r="D63" s="120" t="str">
        <f t="shared" si="1"/>
        <v>p06-4N</v>
      </c>
      <c r="F63" s="120">
        <v>70</v>
      </c>
    </row>
    <row r="64" spans="1:6" x14ac:dyDescent="0.25">
      <c r="A64" s="120">
        <v>6</v>
      </c>
      <c r="B64" s="120">
        <v>3</v>
      </c>
      <c r="C64" s="120" t="s">
        <v>228</v>
      </c>
      <c r="D64" s="120" t="str">
        <f t="shared" si="1"/>
        <v>p06-3S</v>
      </c>
      <c r="F64" s="120">
        <v>69</v>
      </c>
    </row>
    <row r="65" spans="1:6" x14ac:dyDescent="0.25">
      <c r="A65" s="120">
        <v>6</v>
      </c>
      <c r="B65" s="120">
        <v>3</v>
      </c>
      <c r="C65" s="120" t="s">
        <v>227</v>
      </c>
      <c r="D65" s="120" t="str">
        <f t="shared" ref="D65:D96" si="2">_xlfn.CONCAT("p",TEXT(A65,"00"),"-",TEXT(B65,"0"),C65)</f>
        <v>p06-3M</v>
      </c>
      <c r="F65" s="120">
        <v>68</v>
      </c>
    </row>
    <row r="66" spans="1:6" x14ac:dyDescent="0.25">
      <c r="A66" s="120">
        <v>6</v>
      </c>
      <c r="B66" s="120">
        <v>3</v>
      </c>
      <c r="C66" s="120" t="s">
        <v>226</v>
      </c>
      <c r="D66" s="120" t="str">
        <f t="shared" si="2"/>
        <v>p06-3N</v>
      </c>
      <c r="F66" s="120">
        <v>67</v>
      </c>
    </row>
    <row r="67" spans="1:6" x14ac:dyDescent="0.25">
      <c r="A67" s="120">
        <v>6</v>
      </c>
      <c r="B67" s="120">
        <v>2</v>
      </c>
      <c r="C67" s="120" t="s">
        <v>228</v>
      </c>
      <c r="D67" s="120" t="str">
        <f t="shared" si="2"/>
        <v>p06-2S</v>
      </c>
      <c r="F67" s="120">
        <v>66</v>
      </c>
    </row>
    <row r="68" spans="1:6" x14ac:dyDescent="0.25">
      <c r="A68" s="120">
        <v>6</v>
      </c>
      <c r="B68" s="120">
        <v>2</v>
      </c>
      <c r="C68" s="120" t="s">
        <v>227</v>
      </c>
      <c r="D68" s="120" t="str">
        <f t="shared" si="2"/>
        <v>p06-2M</v>
      </c>
      <c r="F68" s="120">
        <v>65</v>
      </c>
    </row>
    <row r="69" spans="1:6" x14ac:dyDescent="0.25">
      <c r="A69" s="120">
        <v>6</v>
      </c>
      <c r="B69" s="120">
        <v>2</v>
      </c>
      <c r="C69" s="120" t="s">
        <v>226</v>
      </c>
      <c r="D69" s="120" t="str">
        <f t="shared" si="2"/>
        <v>p06-2N</v>
      </c>
      <c r="F69" s="120">
        <v>64</v>
      </c>
    </row>
    <row r="70" spans="1:6" x14ac:dyDescent="0.25">
      <c r="A70" s="120">
        <v>6</v>
      </c>
      <c r="B70" s="120">
        <v>1</v>
      </c>
      <c r="C70" s="120" t="s">
        <v>228</v>
      </c>
      <c r="D70" s="120" t="str">
        <f t="shared" si="2"/>
        <v>p06-1S</v>
      </c>
      <c r="F70" s="120">
        <v>63</v>
      </c>
    </row>
    <row r="71" spans="1:6" x14ac:dyDescent="0.25">
      <c r="A71" s="120">
        <v>6</v>
      </c>
      <c r="B71" s="120">
        <v>1</v>
      </c>
      <c r="C71" s="120" t="s">
        <v>227</v>
      </c>
      <c r="D71" s="120" t="str">
        <f t="shared" si="2"/>
        <v>p06-1M</v>
      </c>
      <c r="F71" s="120">
        <v>62</v>
      </c>
    </row>
    <row r="72" spans="1:6" x14ac:dyDescent="0.25">
      <c r="A72" s="120">
        <v>6</v>
      </c>
      <c r="B72" s="120">
        <v>1</v>
      </c>
      <c r="C72" s="120" t="s">
        <v>226</v>
      </c>
      <c r="D72" s="120" t="str">
        <f t="shared" si="2"/>
        <v>p06-1N</v>
      </c>
      <c r="F72" s="120">
        <v>61</v>
      </c>
    </row>
    <row r="73" spans="1:6" x14ac:dyDescent="0.25">
      <c r="A73" s="120">
        <v>7</v>
      </c>
      <c r="B73" s="120">
        <v>1</v>
      </c>
      <c r="C73" s="120" t="s">
        <v>226</v>
      </c>
      <c r="D73" s="120" t="str">
        <f t="shared" si="2"/>
        <v>p07-1N</v>
      </c>
      <c r="F73" s="120">
        <v>73</v>
      </c>
    </row>
    <row r="74" spans="1:6" x14ac:dyDescent="0.25">
      <c r="A74" s="120">
        <v>7</v>
      </c>
      <c r="B74" s="120">
        <v>1</v>
      </c>
      <c r="C74" s="120" t="s">
        <v>227</v>
      </c>
      <c r="D74" s="120" t="str">
        <f t="shared" si="2"/>
        <v>p07-1M</v>
      </c>
      <c r="F74" s="120">
        <v>74</v>
      </c>
    </row>
    <row r="75" spans="1:6" x14ac:dyDescent="0.25">
      <c r="A75" s="120">
        <v>7</v>
      </c>
      <c r="B75" s="120">
        <v>1</v>
      </c>
      <c r="C75" s="120" t="s">
        <v>228</v>
      </c>
      <c r="D75" s="120" t="str">
        <f t="shared" si="2"/>
        <v>p07-1S</v>
      </c>
      <c r="F75" s="120">
        <v>75</v>
      </c>
    </row>
    <row r="76" spans="1:6" x14ac:dyDescent="0.25">
      <c r="A76" s="120">
        <v>7</v>
      </c>
      <c r="B76" s="120">
        <v>2</v>
      </c>
      <c r="C76" s="120" t="s">
        <v>226</v>
      </c>
      <c r="D76" s="120" t="str">
        <f t="shared" si="2"/>
        <v>p07-2N</v>
      </c>
      <c r="F76" s="120">
        <v>76</v>
      </c>
    </row>
    <row r="77" spans="1:6" x14ac:dyDescent="0.25">
      <c r="A77" s="120">
        <v>7</v>
      </c>
      <c r="B77" s="120">
        <v>2</v>
      </c>
      <c r="C77" s="120" t="s">
        <v>227</v>
      </c>
      <c r="D77" s="120" t="str">
        <f t="shared" si="2"/>
        <v>p07-2M</v>
      </c>
      <c r="F77" s="120">
        <v>77</v>
      </c>
    </row>
    <row r="78" spans="1:6" x14ac:dyDescent="0.25">
      <c r="A78" s="120">
        <v>7</v>
      </c>
      <c r="B78" s="120">
        <v>2</v>
      </c>
      <c r="C78" s="120" t="s">
        <v>228</v>
      </c>
      <c r="D78" s="120" t="str">
        <f t="shared" si="2"/>
        <v>p07-2S</v>
      </c>
      <c r="F78" s="120">
        <v>78</v>
      </c>
    </row>
    <row r="79" spans="1:6" x14ac:dyDescent="0.25">
      <c r="A79" s="120">
        <v>7</v>
      </c>
      <c r="B79" s="120">
        <v>3</v>
      </c>
      <c r="C79" s="120" t="s">
        <v>226</v>
      </c>
      <c r="D79" s="120" t="str">
        <f t="shared" si="2"/>
        <v>p07-3N</v>
      </c>
      <c r="F79" s="120">
        <v>79</v>
      </c>
    </row>
    <row r="80" spans="1:6" x14ac:dyDescent="0.25">
      <c r="A80" s="120">
        <v>7</v>
      </c>
      <c r="B80" s="120">
        <v>3</v>
      </c>
      <c r="C80" s="120" t="s">
        <v>227</v>
      </c>
      <c r="D80" s="120" t="str">
        <f t="shared" si="2"/>
        <v>p07-3M</v>
      </c>
      <c r="F80" s="120">
        <v>80</v>
      </c>
    </row>
    <row r="81" spans="1:6" x14ac:dyDescent="0.25">
      <c r="A81" s="120">
        <v>7</v>
      </c>
      <c r="B81" s="120">
        <v>3</v>
      </c>
      <c r="C81" s="120" t="s">
        <v>228</v>
      </c>
      <c r="D81" s="120" t="str">
        <f t="shared" si="2"/>
        <v>p07-3S</v>
      </c>
      <c r="F81" s="120">
        <v>81</v>
      </c>
    </row>
    <row r="82" spans="1:6" x14ac:dyDescent="0.25">
      <c r="A82" s="120">
        <v>7</v>
      </c>
      <c r="B82" s="120">
        <v>4</v>
      </c>
      <c r="C82" s="120" t="s">
        <v>226</v>
      </c>
      <c r="D82" s="120" t="str">
        <f t="shared" si="2"/>
        <v>p07-4N</v>
      </c>
      <c r="F82" s="120">
        <v>82</v>
      </c>
    </row>
    <row r="83" spans="1:6" x14ac:dyDescent="0.25">
      <c r="A83" s="120">
        <v>7</v>
      </c>
      <c r="B83" s="120">
        <v>4</v>
      </c>
      <c r="C83" s="120" t="s">
        <v>227</v>
      </c>
      <c r="D83" s="120" t="str">
        <f t="shared" si="2"/>
        <v>p07-4M</v>
      </c>
      <c r="F83" s="120">
        <v>83</v>
      </c>
    </row>
    <row r="84" spans="1:6" x14ac:dyDescent="0.25">
      <c r="A84" s="120">
        <v>7</v>
      </c>
      <c r="B84" s="120">
        <v>4</v>
      </c>
      <c r="C84" s="120" t="s">
        <v>228</v>
      </c>
      <c r="D84" s="120" t="str">
        <f t="shared" si="2"/>
        <v>p07-4S</v>
      </c>
      <c r="F84" s="120">
        <v>84</v>
      </c>
    </row>
    <row r="85" spans="1:6" x14ac:dyDescent="0.25">
      <c r="A85" s="120">
        <v>8</v>
      </c>
      <c r="B85" s="120">
        <v>4</v>
      </c>
      <c r="C85" s="120" t="s">
        <v>228</v>
      </c>
      <c r="D85" s="120" t="str">
        <f t="shared" si="2"/>
        <v>p08-4S</v>
      </c>
      <c r="F85" s="120">
        <v>96</v>
      </c>
    </row>
    <row r="86" spans="1:6" x14ac:dyDescent="0.25">
      <c r="A86" s="120">
        <v>8</v>
      </c>
      <c r="B86" s="120">
        <v>4</v>
      </c>
      <c r="C86" s="120" t="s">
        <v>227</v>
      </c>
      <c r="D86" s="120" t="str">
        <f t="shared" si="2"/>
        <v>p08-4M</v>
      </c>
      <c r="F86" s="120">
        <v>95</v>
      </c>
    </row>
    <row r="87" spans="1:6" x14ac:dyDescent="0.25">
      <c r="A87" s="120">
        <v>8</v>
      </c>
      <c r="B87" s="120">
        <v>4</v>
      </c>
      <c r="C87" s="120" t="s">
        <v>226</v>
      </c>
      <c r="D87" s="120" t="str">
        <f t="shared" si="2"/>
        <v>p08-4N</v>
      </c>
      <c r="F87" s="120">
        <v>94</v>
      </c>
    </row>
    <row r="88" spans="1:6" x14ac:dyDescent="0.25">
      <c r="A88" s="120">
        <v>8</v>
      </c>
      <c r="B88" s="120">
        <v>3</v>
      </c>
      <c r="C88" s="120" t="s">
        <v>228</v>
      </c>
      <c r="D88" s="120" t="str">
        <f t="shared" si="2"/>
        <v>p08-3S</v>
      </c>
      <c r="F88" s="120">
        <v>93</v>
      </c>
    </row>
    <row r="89" spans="1:6" x14ac:dyDescent="0.25">
      <c r="A89" s="120">
        <v>8</v>
      </c>
      <c r="B89" s="120">
        <v>3</v>
      </c>
      <c r="C89" s="120" t="s">
        <v>227</v>
      </c>
      <c r="D89" s="120" t="str">
        <f t="shared" si="2"/>
        <v>p08-3M</v>
      </c>
      <c r="F89" s="120">
        <v>92</v>
      </c>
    </row>
    <row r="90" spans="1:6" x14ac:dyDescent="0.25">
      <c r="A90" s="120">
        <v>8</v>
      </c>
      <c r="B90" s="120">
        <v>3</v>
      </c>
      <c r="C90" s="120" t="s">
        <v>226</v>
      </c>
      <c r="D90" s="120" t="str">
        <f t="shared" si="2"/>
        <v>p08-3N</v>
      </c>
      <c r="F90" s="120">
        <v>91</v>
      </c>
    </row>
    <row r="91" spans="1:6" x14ac:dyDescent="0.25">
      <c r="A91" s="120">
        <v>8</v>
      </c>
      <c r="B91" s="120">
        <v>2</v>
      </c>
      <c r="C91" s="120" t="s">
        <v>228</v>
      </c>
      <c r="D91" s="120" t="str">
        <f t="shared" si="2"/>
        <v>p08-2S</v>
      </c>
      <c r="F91" s="120">
        <v>90</v>
      </c>
    </row>
    <row r="92" spans="1:6" x14ac:dyDescent="0.25">
      <c r="A92" s="120">
        <v>8</v>
      </c>
      <c r="B92" s="120">
        <v>2</v>
      </c>
      <c r="C92" s="120" t="s">
        <v>227</v>
      </c>
      <c r="D92" s="120" t="str">
        <f t="shared" si="2"/>
        <v>p08-2M</v>
      </c>
      <c r="F92" s="120">
        <v>89</v>
      </c>
    </row>
    <row r="93" spans="1:6" x14ac:dyDescent="0.25">
      <c r="A93" s="120">
        <v>8</v>
      </c>
      <c r="B93" s="120">
        <v>2</v>
      </c>
      <c r="C93" s="120" t="s">
        <v>226</v>
      </c>
      <c r="D93" s="120" t="str">
        <f t="shared" si="2"/>
        <v>p08-2N</v>
      </c>
      <c r="F93" s="120">
        <v>88</v>
      </c>
    </row>
    <row r="94" spans="1:6" x14ac:dyDescent="0.25">
      <c r="A94" s="120">
        <v>8</v>
      </c>
      <c r="B94" s="120">
        <v>1</v>
      </c>
      <c r="C94" s="120" t="s">
        <v>228</v>
      </c>
      <c r="D94" s="120" t="str">
        <f t="shared" si="2"/>
        <v>p08-1S</v>
      </c>
      <c r="F94" s="120">
        <v>87</v>
      </c>
    </row>
    <row r="95" spans="1:6" x14ac:dyDescent="0.25">
      <c r="A95" s="120">
        <v>8</v>
      </c>
      <c r="B95" s="120">
        <v>1</v>
      </c>
      <c r="C95" s="120" t="s">
        <v>227</v>
      </c>
      <c r="D95" s="120" t="str">
        <f t="shared" si="2"/>
        <v>p08-1M</v>
      </c>
      <c r="F95" s="120">
        <v>86</v>
      </c>
    </row>
    <row r="96" spans="1:6" x14ac:dyDescent="0.25">
      <c r="A96" s="120">
        <v>8</v>
      </c>
      <c r="B96" s="120">
        <v>1</v>
      </c>
      <c r="C96" s="120" t="s">
        <v>226</v>
      </c>
      <c r="D96" s="120" t="str">
        <f t="shared" si="2"/>
        <v>p08-1N</v>
      </c>
      <c r="F96" s="120">
        <v>85</v>
      </c>
    </row>
    <row r="97" spans="1:6" x14ac:dyDescent="0.25">
      <c r="A97" s="120">
        <v>9</v>
      </c>
      <c r="B97" s="120">
        <v>1</v>
      </c>
      <c r="C97" s="120" t="s">
        <v>226</v>
      </c>
      <c r="D97" s="120" t="str">
        <f t="shared" ref="D97:D128" si="3">_xlfn.CONCAT("p",TEXT(A97,"00"),"-",TEXT(B97,"0"),C97)</f>
        <v>p09-1N</v>
      </c>
      <c r="F97" s="120">
        <v>97</v>
      </c>
    </row>
    <row r="98" spans="1:6" x14ac:dyDescent="0.25">
      <c r="A98" s="120">
        <v>9</v>
      </c>
      <c r="B98" s="120">
        <v>1</v>
      </c>
      <c r="C98" s="120" t="s">
        <v>227</v>
      </c>
      <c r="D98" s="120" t="str">
        <f t="shared" si="3"/>
        <v>p09-1M</v>
      </c>
      <c r="F98" s="120">
        <v>98</v>
      </c>
    </row>
    <row r="99" spans="1:6" x14ac:dyDescent="0.25">
      <c r="A99" s="120">
        <v>9</v>
      </c>
      <c r="B99" s="120">
        <v>1</v>
      </c>
      <c r="C99" s="120" t="s">
        <v>228</v>
      </c>
      <c r="D99" s="120" t="str">
        <f t="shared" si="3"/>
        <v>p09-1S</v>
      </c>
      <c r="F99" s="120">
        <v>99</v>
      </c>
    </row>
    <row r="100" spans="1:6" x14ac:dyDescent="0.25">
      <c r="A100" s="120">
        <v>9</v>
      </c>
      <c r="B100" s="120">
        <v>2</v>
      </c>
      <c r="C100" s="120" t="s">
        <v>226</v>
      </c>
      <c r="D100" s="120" t="str">
        <f t="shared" si="3"/>
        <v>p09-2N</v>
      </c>
      <c r="F100" s="120">
        <v>100</v>
      </c>
    </row>
    <row r="101" spans="1:6" x14ac:dyDescent="0.25">
      <c r="A101" s="120">
        <v>9</v>
      </c>
      <c r="B101" s="120">
        <v>2</v>
      </c>
      <c r="C101" s="120" t="s">
        <v>227</v>
      </c>
      <c r="D101" s="120" t="str">
        <f t="shared" si="3"/>
        <v>p09-2M</v>
      </c>
      <c r="F101" s="120">
        <v>101</v>
      </c>
    </row>
    <row r="102" spans="1:6" x14ac:dyDescent="0.25">
      <c r="A102" s="120">
        <v>9</v>
      </c>
      <c r="B102" s="120">
        <v>2</v>
      </c>
      <c r="C102" s="120" t="s">
        <v>228</v>
      </c>
      <c r="D102" s="120" t="str">
        <f t="shared" si="3"/>
        <v>p09-2S</v>
      </c>
      <c r="F102" s="120">
        <v>102</v>
      </c>
    </row>
    <row r="103" spans="1:6" x14ac:dyDescent="0.25">
      <c r="A103" s="120">
        <v>9</v>
      </c>
      <c r="B103" s="120">
        <v>3</v>
      </c>
      <c r="C103" s="120" t="s">
        <v>226</v>
      </c>
      <c r="D103" s="120" t="str">
        <f t="shared" si="3"/>
        <v>p09-3N</v>
      </c>
      <c r="F103" s="120">
        <v>103</v>
      </c>
    </row>
    <row r="104" spans="1:6" x14ac:dyDescent="0.25">
      <c r="A104" s="120">
        <v>9</v>
      </c>
      <c r="B104" s="120">
        <v>3</v>
      </c>
      <c r="C104" s="120" t="s">
        <v>227</v>
      </c>
      <c r="D104" s="120" t="str">
        <f t="shared" si="3"/>
        <v>p09-3M</v>
      </c>
      <c r="F104" s="120">
        <v>104</v>
      </c>
    </row>
    <row r="105" spans="1:6" x14ac:dyDescent="0.25">
      <c r="A105" s="120">
        <v>9</v>
      </c>
      <c r="B105" s="120">
        <v>3</v>
      </c>
      <c r="C105" s="120" t="s">
        <v>228</v>
      </c>
      <c r="D105" s="120" t="str">
        <f t="shared" si="3"/>
        <v>p09-3S</v>
      </c>
      <c r="F105" s="120">
        <v>105</v>
      </c>
    </row>
    <row r="106" spans="1:6" x14ac:dyDescent="0.25">
      <c r="A106" s="120">
        <v>9</v>
      </c>
      <c r="B106" s="120">
        <v>4</v>
      </c>
      <c r="C106" s="120" t="s">
        <v>226</v>
      </c>
      <c r="D106" s="120" t="str">
        <f t="shared" si="3"/>
        <v>p09-4N</v>
      </c>
      <c r="F106" s="120">
        <v>106</v>
      </c>
    </row>
    <row r="107" spans="1:6" x14ac:dyDescent="0.25">
      <c r="A107" s="120">
        <v>9</v>
      </c>
      <c r="B107" s="120">
        <v>4</v>
      </c>
      <c r="C107" s="120" t="s">
        <v>227</v>
      </c>
      <c r="D107" s="120" t="str">
        <f t="shared" si="3"/>
        <v>p09-4M</v>
      </c>
      <c r="F107" s="120">
        <v>107</v>
      </c>
    </row>
    <row r="108" spans="1:6" x14ac:dyDescent="0.25">
      <c r="A108" s="120">
        <v>9</v>
      </c>
      <c r="B108" s="120">
        <v>4</v>
      </c>
      <c r="C108" s="120" t="s">
        <v>228</v>
      </c>
      <c r="D108" s="120" t="str">
        <f t="shared" si="3"/>
        <v>p09-4S</v>
      </c>
      <c r="F108" s="120">
        <v>108</v>
      </c>
    </row>
    <row r="109" spans="1:6" x14ac:dyDescent="0.25">
      <c r="A109" s="120">
        <v>10</v>
      </c>
      <c r="B109" s="120">
        <v>4</v>
      </c>
      <c r="C109" s="120" t="s">
        <v>228</v>
      </c>
      <c r="D109" s="120" t="str">
        <f t="shared" si="3"/>
        <v>p10-4S</v>
      </c>
      <c r="F109" s="120">
        <v>120</v>
      </c>
    </row>
    <row r="110" spans="1:6" x14ac:dyDescent="0.25">
      <c r="A110" s="120">
        <v>10</v>
      </c>
      <c r="B110" s="120">
        <v>4</v>
      </c>
      <c r="C110" s="120" t="s">
        <v>227</v>
      </c>
      <c r="D110" s="120" t="str">
        <f t="shared" si="3"/>
        <v>p10-4M</v>
      </c>
      <c r="F110" s="120">
        <v>119</v>
      </c>
    </row>
    <row r="111" spans="1:6" x14ac:dyDescent="0.25">
      <c r="A111" s="120">
        <v>10</v>
      </c>
      <c r="B111" s="120">
        <v>4</v>
      </c>
      <c r="C111" s="120" t="s">
        <v>226</v>
      </c>
      <c r="D111" s="120" t="str">
        <f t="shared" si="3"/>
        <v>p10-4N</v>
      </c>
      <c r="F111" s="120">
        <v>118</v>
      </c>
    </row>
    <row r="112" spans="1:6" x14ac:dyDescent="0.25">
      <c r="A112" s="120">
        <v>10</v>
      </c>
      <c r="B112" s="120">
        <v>3</v>
      </c>
      <c r="C112" s="120" t="s">
        <v>228</v>
      </c>
      <c r="D112" s="120" t="str">
        <f t="shared" si="3"/>
        <v>p10-3S</v>
      </c>
      <c r="F112" s="120">
        <v>117</v>
      </c>
    </row>
    <row r="113" spans="1:6" x14ac:dyDescent="0.25">
      <c r="A113" s="120">
        <v>10</v>
      </c>
      <c r="B113" s="120">
        <v>3</v>
      </c>
      <c r="C113" s="120" t="s">
        <v>227</v>
      </c>
      <c r="D113" s="120" t="str">
        <f t="shared" si="3"/>
        <v>p10-3M</v>
      </c>
      <c r="F113" s="120">
        <v>116</v>
      </c>
    </row>
    <row r="114" spans="1:6" x14ac:dyDescent="0.25">
      <c r="A114" s="120">
        <v>10</v>
      </c>
      <c r="B114" s="120">
        <v>3</v>
      </c>
      <c r="C114" s="120" t="s">
        <v>226</v>
      </c>
      <c r="D114" s="120" t="str">
        <f t="shared" si="3"/>
        <v>p10-3N</v>
      </c>
      <c r="F114" s="120">
        <v>115</v>
      </c>
    </row>
    <row r="115" spans="1:6" x14ac:dyDescent="0.25">
      <c r="A115" s="120">
        <v>10</v>
      </c>
      <c r="B115" s="120">
        <v>2</v>
      </c>
      <c r="C115" s="120" t="s">
        <v>228</v>
      </c>
      <c r="D115" s="120" t="str">
        <f t="shared" si="3"/>
        <v>p10-2S</v>
      </c>
      <c r="F115" s="120">
        <v>114</v>
      </c>
    </row>
    <row r="116" spans="1:6" x14ac:dyDescent="0.25">
      <c r="A116" s="120">
        <v>10</v>
      </c>
      <c r="B116" s="120">
        <v>2</v>
      </c>
      <c r="C116" s="120" t="s">
        <v>227</v>
      </c>
      <c r="D116" s="120" t="str">
        <f t="shared" si="3"/>
        <v>p10-2M</v>
      </c>
      <c r="F116" s="120">
        <v>113</v>
      </c>
    </row>
    <row r="117" spans="1:6" x14ac:dyDescent="0.25">
      <c r="A117" s="120">
        <v>10</v>
      </c>
      <c r="B117" s="120">
        <v>2</v>
      </c>
      <c r="C117" s="120" t="s">
        <v>226</v>
      </c>
      <c r="D117" s="120" t="str">
        <f t="shared" si="3"/>
        <v>p10-2N</v>
      </c>
      <c r="F117" s="120">
        <v>112</v>
      </c>
    </row>
    <row r="118" spans="1:6" x14ac:dyDescent="0.25">
      <c r="A118" s="120">
        <v>10</v>
      </c>
      <c r="B118" s="120">
        <v>1</v>
      </c>
      <c r="C118" s="120" t="s">
        <v>228</v>
      </c>
      <c r="D118" s="120" t="str">
        <f t="shared" si="3"/>
        <v>p10-1S</v>
      </c>
      <c r="F118" s="120">
        <v>111</v>
      </c>
    </row>
    <row r="119" spans="1:6" x14ac:dyDescent="0.25">
      <c r="A119" s="120">
        <v>10</v>
      </c>
      <c r="B119" s="120">
        <v>1</v>
      </c>
      <c r="C119" s="120" t="s">
        <v>227</v>
      </c>
      <c r="D119" s="120" t="str">
        <f t="shared" si="3"/>
        <v>p10-1M</v>
      </c>
      <c r="F119" s="120">
        <v>110</v>
      </c>
    </row>
    <row r="120" spans="1:6" x14ac:dyDescent="0.25">
      <c r="A120" s="120">
        <v>10</v>
      </c>
      <c r="B120" s="120">
        <v>1</v>
      </c>
      <c r="C120" s="120" t="s">
        <v>226</v>
      </c>
      <c r="D120" s="120" t="str">
        <f t="shared" si="3"/>
        <v>p10-1N</v>
      </c>
      <c r="F120" s="120">
        <v>109</v>
      </c>
    </row>
    <row r="121" spans="1:6" x14ac:dyDescent="0.25">
      <c r="A121" s="120">
        <v>11</v>
      </c>
      <c r="B121" s="120">
        <v>1</v>
      </c>
      <c r="C121" s="120" t="s">
        <v>226</v>
      </c>
      <c r="D121" s="120" t="str">
        <f t="shared" si="3"/>
        <v>p11-1N</v>
      </c>
      <c r="F121" s="120">
        <v>121</v>
      </c>
    </row>
    <row r="122" spans="1:6" x14ac:dyDescent="0.25">
      <c r="A122" s="120">
        <v>11</v>
      </c>
      <c r="B122" s="120">
        <v>1</v>
      </c>
      <c r="C122" s="120" t="s">
        <v>227</v>
      </c>
      <c r="D122" s="120" t="str">
        <f t="shared" si="3"/>
        <v>p11-1M</v>
      </c>
      <c r="F122" s="120">
        <v>122</v>
      </c>
    </row>
    <row r="123" spans="1:6" x14ac:dyDescent="0.25">
      <c r="A123" s="120">
        <v>11</v>
      </c>
      <c r="B123" s="120">
        <v>1</v>
      </c>
      <c r="C123" s="120" t="s">
        <v>228</v>
      </c>
      <c r="D123" s="120" t="str">
        <f t="shared" si="3"/>
        <v>p11-1S</v>
      </c>
      <c r="F123" s="120">
        <v>123</v>
      </c>
    </row>
    <row r="124" spans="1:6" x14ac:dyDescent="0.25">
      <c r="A124" s="120">
        <v>11</v>
      </c>
      <c r="B124" s="120">
        <v>2</v>
      </c>
      <c r="C124" s="120" t="s">
        <v>226</v>
      </c>
      <c r="D124" s="120" t="str">
        <f t="shared" si="3"/>
        <v>p11-2N</v>
      </c>
      <c r="F124" s="120">
        <v>124</v>
      </c>
    </row>
    <row r="125" spans="1:6" x14ac:dyDescent="0.25">
      <c r="A125" s="120">
        <v>11</v>
      </c>
      <c r="B125" s="120">
        <v>2</v>
      </c>
      <c r="C125" s="120" t="s">
        <v>227</v>
      </c>
      <c r="D125" s="120" t="str">
        <f t="shared" si="3"/>
        <v>p11-2M</v>
      </c>
      <c r="F125" s="120">
        <v>125</v>
      </c>
    </row>
    <row r="126" spans="1:6" x14ac:dyDescent="0.25">
      <c r="A126" s="120">
        <v>11</v>
      </c>
      <c r="B126" s="120">
        <v>2</v>
      </c>
      <c r="C126" s="120" t="s">
        <v>228</v>
      </c>
      <c r="D126" s="120" t="str">
        <f t="shared" si="3"/>
        <v>p11-2S</v>
      </c>
      <c r="F126" s="120">
        <v>126</v>
      </c>
    </row>
    <row r="127" spans="1:6" x14ac:dyDescent="0.25">
      <c r="A127" s="120">
        <v>11</v>
      </c>
      <c r="B127" s="120">
        <v>3</v>
      </c>
      <c r="C127" s="120" t="s">
        <v>226</v>
      </c>
      <c r="D127" s="120" t="str">
        <f t="shared" si="3"/>
        <v>p11-3N</v>
      </c>
      <c r="F127" s="120">
        <v>127</v>
      </c>
    </row>
    <row r="128" spans="1:6" x14ac:dyDescent="0.25">
      <c r="A128" s="120">
        <v>11</v>
      </c>
      <c r="B128" s="120">
        <v>3</v>
      </c>
      <c r="C128" s="120" t="s">
        <v>227</v>
      </c>
      <c r="D128" s="120" t="str">
        <f t="shared" si="3"/>
        <v>p11-3M</v>
      </c>
      <c r="F128" s="120">
        <v>128</v>
      </c>
    </row>
    <row r="129" spans="1:6" x14ac:dyDescent="0.25">
      <c r="A129" s="120">
        <v>11</v>
      </c>
      <c r="B129" s="120">
        <v>3</v>
      </c>
      <c r="C129" s="120" t="s">
        <v>228</v>
      </c>
      <c r="D129" s="120" t="str">
        <f t="shared" ref="D129:D144" si="4">_xlfn.CONCAT("p",TEXT(A129,"00"),"-",TEXT(B129,"0"),C129)</f>
        <v>p11-3S</v>
      </c>
      <c r="F129" s="120">
        <v>129</v>
      </c>
    </row>
    <row r="130" spans="1:6" x14ac:dyDescent="0.25">
      <c r="A130" s="120">
        <v>11</v>
      </c>
      <c r="B130" s="120">
        <v>4</v>
      </c>
      <c r="C130" s="120" t="s">
        <v>226</v>
      </c>
      <c r="D130" s="120" t="str">
        <f t="shared" si="4"/>
        <v>p11-4N</v>
      </c>
      <c r="F130" s="120">
        <v>130</v>
      </c>
    </row>
    <row r="131" spans="1:6" x14ac:dyDescent="0.25">
      <c r="A131" s="120">
        <v>11</v>
      </c>
      <c r="B131" s="120">
        <v>4</v>
      </c>
      <c r="C131" s="120" t="s">
        <v>227</v>
      </c>
      <c r="D131" s="120" t="str">
        <f t="shared" si="4"/>
        <v>p11-4M</v>
      </c>
      <c r="F131" s="120">
        <v>131</v>
      </c>
    </row>
    <row r="132" spans="1:6" x14ac:dyDescent="0.25">
      <c r="A132" s="120">
        <v>11</v>
      </c>
      <c r="B132" s="120">
        <v>4</v>
      </c>
      <c r="C132" s="120" t="s">
        <v>228</v>
      </c>
      <c r="D132" s="120" t="str">
        <f t="shared" si="4"/>
        <v>p11-4S</v>
      </c>
      <c r="F132" s="120">
        <v>132</v>
      </c>
    </row>
    <row r="133" spans="1:6" x14ac:dyDescent="0.25">
      <c r="A133" s="120">
        <v>12</v>
      </c>
      <c r="B133" s="120">
        <v>4</v>
      </c>
      <c r="C133" s="120" t="s">
        <v>228</v>
      </c>
      <c r="D133" s="120" t="str">
        <f t="shared" si="4"/>
        <v>p12-4S</v>
      </c>
      <c r="F133" s="120">
        <v>144</v>
      </c>
    </row>
    <row r="134" spans="1:6" x14ac:dyDescent="0.25">
      <c r="A134" s="120">
        <v>12</v>
      </c>
      <c r="B134" s="120">
        <v>4</v>
      </c>
      <c r="C134" s="120" t="s">
        <v>227</v>
      </c>
      <c r="D134" s="120" t="str">
        <f t="shared" si="4"/>
        <v>p12-4M</v>
      </c>
      <c r="F134" s="120">
        <v>143</v>
      </c>
    </row>
    <row r="135" spans="1:6" x14ac:dyDescent="0.25">
      <c r="A135" s="120">
        <v>12</v>
      </c>
      <c r="B135" s="120">
        <v>4</v>
      </c>
      <c r="C135" s="120" t="s">
        <v>226</v>
      </c>
      <c r="D135" s="120" t="str">
        <f t="shared" si="4"/>
        <v>p12-4N</v>
      </c>
      <c r="F135" s="120">
        <v>142</v>
      </c>
    </row>
    <row r="136" spans="1:6" x14ac:dyDescent="0.25">
      <c r="A136" s="120">
        <v>12</v>
      </c>
      <c r="B136" s="120">
        <v>3</v>
      </c>
      <c r="C136" s="120" t="s">
        <v>228</v>
      </c>
      <c r="D136" s="120" t="str">
        <f t="shared" si="4"/>
        <v>p12-3S</v>
      </c>
      <c r="F136" s="120">
        <v>141</v>
      </c>
    </row>
    <row r="137" spans="1:6" x14ac:dyDescent="0.25">
      <c r="A137" s="120">
        <v>12</v>
      </c>
      <c r="B137" s="120">
        <v>3</v>
      </c>
      <c r="C137" s="120" t="s">
        <v>227</v>
      </c>
      <c r="D137" s="120" t="str">
        <f t="shared" si="4"/>
        <v>p12-3M</v>
      </c>
      <c r="F137" s="120">
        <v>140</v>
      </c>
    </row>
    <row r="138" spans="1:6" x14ac:dyDescent="0.25">
      <c r="A138" s="120">
        <v>12</v>
      </c>
      <c r="B138" s="120">
        <v>3</v>
      </c>
      <c r="C138" s="120" t="s">
        <v>226</v>
      </c>
      <c r="D138" s="120" t="str">
        <f t="shared" si="4"/>
        <v>p12-3N</v>
      </c>
      <c r="F138" s="120">
        <v>139</v>
      </c>
    </row>
    <row r="139" spans="1:6" x14ac:dyDescent="0.25">
      <c r="A139" s="120">
        <v>12</v>
      </c>
      <c r="B139" s="120">
        <v>2</v>
      </c>
      <c r="C139" s="120" t="s">
        <v>228</v>
      </c>
      <c r="D139" s="120" t="str">
        <f t="shared" si="4"/>
        <v>p12-2S</v>
      </c>
      <c r="F139" s="120">
        <v>138</v>
      </c>
    </row>
    <row r="140" spans="1:6" x14ac:dyDescent="0.25">
      <c r="A140" s="120">
        <v>12</v>
      </c>
      <c r="B140" s="120">
        <v>2</v>
      </c>
      <c r="C140" s="120" t="s">
        <v>227</v>
      </c>
      <c r="D140" s="120" t="str">
        <f t="shared" si="4"/>
        <v>p12-2M</v>
      </c>
      <c r="F140" s="120">
        <v>137</v>
      </c>
    </row>
    <row r="141" spans="1:6" x14ac:dyDescent="0.25">
      <c r="A141" s="120">
        <v>12</v>
      </c>
      <c r="B141" s="120">
        <v>2</v>
      </c>
      <c r="C141" s="120" t="s">
        <v>226</v>
      </c>
      <c r="D141" s="120" t="str">
        <f t="shared" si="4"/>
        <v>p12-2N</v>
      </c>
      <c r="F141" s="120">
        <v>136</v>
      </c>
    </row>
    <row r="142" spans="1:6" x14ac:dyDescent="0.25">
      <c r="A142" s="120">
        <v>12</v>
      </c>
      <c r="B142" s="120">
        <v>1</v>
      </c>
      <c r="C142" s="120" t="s">
        <v>228</v>
      </c>
      <c r="D142" s="120" t="str">
        <f t="shared" si="4"/>
        <v>p12-1S</v>
      </c>
      <c r="F142" s="120">
        <v>135</v>
      </c>
    </row>
    <row r="143" spans="1:6" x14ac:dyDescent="0.25">
      <c r="A143" s="120">
        <v>12</v>
      </c>
      <c r="B143" s="120">
        <v>1</v>
      </c>
      <c r="C143" s="120" t="s">
        <v>227</v>
      </c>
      <c r="D143" s="120" t="str">
        <f t="shared" si="4"/>
        <v>p12-1M</v>
      </c>
      <c r="F143" s="120">
        <v>134</v>
      </c>
    </row>
    <row r="144" spans="1:6" x14ac:dyDescent="0.25">
      <c r="A144" s="120">
        <v>12</v>
      </c>
      <c r="B144" s="120">
        <v>1</v>
      </c>
      <c r="C144" s="120" t="s">
        <v>226</v>
      </c>
      <c r="D144" s="120" t="str">
        <f t="shared" si="4"/>
        <v>p12-1N</v>
      </c>
      <c r="F144" s="120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zoomScale="85" zoomScaleNormal="85" zoomScaleSheetLayoutView="55" workbookViewId="0">
      <selection activeCell="M9" sqref="M9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1.28515625" customWidth="1"/>
    <col min="7" max="9" width="8.7109375" customWidth="1"/>
    <col min="10" max="10" width="2.28515625" customWidth="1"/>
  </cols>
  <sheetData>
    <row r="1" spans="1:10" ht="15.75" x14ac:dyDescent="0.25">
      <c r="A1" s="6">
        <v>2022</v>
      </c>
      <c r="B1" s="8" t="s">
        <v>25</v>
      </c>
      <c r="E1" s="4" t="s">
        <v>8</v>
      </c>
      <c r="F1" s="19"/>
      <c r="I1" s="2" t="s">
        <v>17</v>
      </c>
      <c r="J1" s="19"/>
    </row>
    <row r="2" spans="1:10" ht="14.45" customHeight="1" x14ac:dyDescent="0.25">
      <c r="A2" s="6"/>
      <c r="B2" s="65" t="s">
        <v>6</v>
      </c>
      <c r="C2" s="8"/>
      <c r="D2" s="8"/>
      <c r="F2" s="4" t="s">
        <v>14</v>
      </c>
      <c r="G2" s="20"/>
      <c r="H2" s="19"/>
      <c r="I2" s="20"/>
    </row>
    <row r="3" spans="1:10" x14ac:dyDescent="0.2">
      <c r="A3" s="5" t="s">
        <v>9</v>
      </c>
      <c r="F3" s="4" t="s">
        <v>13</v>
      </c>
      <c r="G3" s="20"/>
      <c r="H3" s="20"/>
      <c r="I3" s="20"/>
    </row>
    <row r="4" spans="1:10" ht="7.9" customHeight="1" x14ac:dyDescent="0.2">
      <c r="B4" s="5"/>
    </row>
    <row r="5" spans="1:10" x14ac:dyDescent="0.2">
      <c r="B5" s="2" t="s">
        <v>42</v>
      </c>
    </row>
    <row r="6" spans="1:10" x14ac:dyDescent="0.2">
      <c r="B6" s="2" t="s">
        <v>41</v>
      </c>
    </row>
    <row r="7" spans="1:10" ht="22.15" customHeight="1" x14ac:dyDescent="0.2">
      <c r="B7" s="266" t="s">
        <v>33</v>
      </c>
      <c r="C7" s="267"/>
      <c r="D7" s="267"/>
      <c r="E7" s="267"/>
      <c r="F7" s="267"/>
      <c r="G7" s="267"/>
      <c r="H7" s="267"/>
    </row>
    <row r="8" spans="1:10" ht="24" customHeight="1" thickBot="1" x14ac:dyDescent="0.25">
      <c r="B8" s="268" t="s">
        <v>7</v>
      </c>
      <c r="C8" s="268"/>
      <c r="D8" s="18" t="s">
        <v>12</v>
      </c>
      <c r="E8" s="21" t="s">
        <v>15</v>
      </c>
      <c r="F8" s="21" t="s">
        <v>16</v>
      </c>
      <c r="G8" s="18" t="s">
        <v>30</v>
      </c>
      <c r="H8" s="18" t="s">
        <v>30</v>
      </c>
      <c r="I8" s="18" t="s">
        <v>30</v>
      </c>
      <c r="J8" s="18"/>
    </row>
    <row r="9" spans="1:10" ht="34.9" customHeight="1" x14ac:dyDescent="0.2">
      <c r="A9" s="63"/>
      <c r="B9" s="61" t="s">
        <v>0</v>
      </c>
      <c r="C9" s="62">
        <v>1</v>
      </c>
      <c r="D9" s="13" t="s">
        <v>10</v>
      </c>
      <c r="E9" s="9"/>
      <c r="F9" s="9"/>
      <c r="G9" s="9"/>
      <c r="H9" s="9"/>
      <c r="I9" s="9"/>
    </row>
    <row r="10" spans="1:10" ht="34.9" customHeight="1" x14ac:dyDescent="0.2">
      <c r="B10" s="58"/>
      <c r="C10" s="59"/>
      <c r="D10" s="60" t="s">
        <v>34</v>
      </c>
      <c r="E10" s="49"/>
      <c r="F10" s="49"/>
      <c r="G10" s="49"/>
      <c r="H10" s="49"/>
      <c r="I10" s="49"/>
    </row>
    <row r="11" spans="1:10" ht="34.9" customHeight="1" thickBot="1" x14ac:dyDescent="0.25">
      <c r="B11" s="14"/>
      <c r="C11" s="16"/>
      <c r="D11" s="17" t="s">
        <v>11</v>
      </c>
      <c r="E11" s="10"/>
      <c r="F11" s="10"/>
      <c r="G11" s="10"/>
      <c r="H11" s="10"/>
      <c r="I11" s="10"/>
    </row>
    <row r="12" spans="1:10" ht="34.9" customHeight="1" x14ac:dyDescent="0.2">
      <c r="B12" s="61" t="s">
        <v>0</v>
      </c>
      <c r="C12" s="62">
        <v>2</v>
      </c>
      <c r="D12" s="13" t="s">
        <v>10</v>
      </c>
      <c r="E12" s="9"/>
      <c r="F12" s="9"/>
      <c r="G12" s="9"/>
      <c r="H12" s="9"/>
      <c r="I12" s="9"/>
    </row>
    <row r="13" spans="1:10" ht="34.9" customHeight="1" x14ac:dyDescent="0.2">
      <c r="B13" s="58"/>
      <c r="C13" s="59"/>
      <c r="D13" s="60" t="s">
        <v>34</v>
      </c>
      <c r="E13" s="49"/>
      <c r="F13" s="49"/>
      <c r="G13" s="49"/>
      <c r="H13" s="49"/>
      <c r="I13" s="49"/>
    </row>
    <row r="14" spans="1:10" ht="34.9" customHeight="1" thickBot="1" x14ac:dyDescent="0.25">
      <c r="B14" s="14"/>
      <c r="C14" s="16"/>
      <c r="D14" s="17" t="s">
        <v>11</v>
      </c>
      <c r="E14" s="10"/>
      <c r="F14" s="10"/>
      <c r="G14" s="10"/>
      <c r="H14" s="10"/>
      <c r="I14" s="10"/>
    </row>
    <row r="15" spans="1:10" ht="34.9" customHeight="1" x14ac:dyDescent="0.2">
      <c r="B15" s="61" t="s">
        <v>0</v>
      </c>
      <c r="C15" s="62">
        <v>3</v>
      </c>
      <c r="D15" s="13" t="s">
        <v>10</v>
      </c>
      <c r="E15" s="9"/>
      <c r="F15" s="9"/>
      <c r="G15" s="9"/>
      <c r="H15" s="9"/>
      <c r="I15" s="9"/>
    </row>
    <row r="16" spans="1:10" ht="34.9" customHeight="1" x14ac:dyDescent="0.2">
      <c r="B16" s="58"/>
      <c r="C16" s="59"/>
      <c r="D16" s="60" t="s">
        <v>34</v>
      </c>
      <c r="E16" s="49"/>
      <c r="F16" s="49"/>
      <c r="G16" s="49"/>
      <c r="H16" s="49"/>
      <c r="I16" s="49"/>
    </row>
    <row r="17" spans="1:9" ht="34.9" customHeight="1" thickBot="1" x14ac:dyDescent="0.25">
      <c r="B17" s="14"/>
      <c r="C17" s="16"/>
      <c r="D17" s="17" t="s">
        <v>11</v>
      </c>
      <c r="E17" s="10"/>
      <c r="F17" s="10"/>
      <c r="G17" s="10"/>
      <c r="H17" s="10"/>
      <c r="I17" s="10"/>
    </row>
    <row r="18" spans="1:9" ht="34.9" customHeight="1" x14ac:dyDescent="0.2">
      <c r="B18" s="61" t="s">
        <v>0</v>
      </c>
      <c r="C18" s="62">
        <v>4</v>
      </c>
      <c r="D18" s="13" t="s">
        <v>10</v>
      </c>
      <c r="E18" s="9"/>
      <c r="F18" s="9"/>
      <c r="G18" s="9"/>
      <c r="H18" s="9"/>
      <c r="I18" s="9"/>
    </row>
    <row r="19" spans="1:9" ht="34.9" customHeight="1" x14ac:dyDescent="0.2">
      <c r="B19" s="58"/>
      <c r="C19" s="59"/>
      <c r="D19" s="60" t="s">
        <v>34</v>
      </c>
      <c r="E19" s="49"/>
      <c r="F19" s="49"/>
      <c r="G19" s="49"/>
      <c r="H19" s="49"/>
      <c r="I19" s="49"/>
    </row>
    <row r="20" spans="1:9" ht="34.9" customHeight="1" thickBot="1" x14ac:dyDescent="0.25">
      <c r="B20" s="14"/>
      <c r="C20" s="16"/>
      <c r="D20" s="17" t="s">
        <v>11</v>
      </c>
      <c r="E20" s="10"/>
      <c r="F20" s="10"/>
      <c r="G20" s="10"/>
      <c r="H20" s="10"/>
      <c r="I20" s="10"/>
    </row>
    <row r="21" spans="1:9" ht="34.9" customHeight="1" x14ac:dyDescent="0.2">
      <c r="A21" s="63"/>
      <c r="B21" s="61" t="s">
        <v>1</v>
      </c>
      <c r="C21" s="62">
        <v>4</v>
      </c>
      <c r="D21" s="13" t="s">
        <v>11</v>
      </c>
      <c r="E21" s="9"/>
      <c r="F21" s="9"/>
      <c r="G21" s="9"/>
      <c r="H21" s="9"/>
      <c r="I21" s="9"/>
    </row>
    <row r="22" spans="1:9" ht="34.9" customHeight="1" x14ac:dyDescent="0.2">
      <c r="B22" s="58"/>
      <c r="C22" s="59"/>
      <c r="D22" s="60" t="s">
        <v>34</v>
      </c>
      <c r="E22" s="49"/>
      <c r="F22" s="49"/>
      <c r="G22" s="49"/>
      <c r="H22" s="49"/>
      <c r="I22" s="49"/>
    </row>
    <row r="23" spans="1:9" ht="34.9" customHeight="1" thickBot="1" x14ac:dyDescent="0.25">
      <c r="B23" s="14"/>
      <c r="C23" s="16"/>
      <c r="D23" s="17" t="s">
        <v>10</v>
      </c>
      <c r="E23" s="10"/>
      <c r="F23" s="10"/>
      <c r="G23" s="10"/>
      <c r="H23" s="10"/>
      <c r="I23" s="10"/>
    </row>
    <row r="24" spans="1:9" ht="34.9" customHeight="1" x14ac:dyDescent="0.2">
      <c r="B24" s="61" t="s">
        <v>1</v>
      </c>
      <c r="C24" s="62">
        <v>3</v>
      </c>
      <c r="D24" s="13" t="s">
        <v>11</v>
      </c>
      <c r="E24" s="9"/>
      <c r="F24" s="9"/>
      <c r="G24" s="9"/>
      <c r="H24" s="9"/>
      <c r="I24" s="9"/>
    </row>
    <row r="25" spans="1:9" ht="34.9" customHeight="1" x14ac:dyDescent="0.2">
      <c r="B25" s="58"/>
      <c r="C25" s="59"/>
      <c r="D25" s="60" t="s">
        <v>34</v>
      </c>
      <c r="E25" s="49"/>
      <c r="F25" s="49"/>
      <c r="G25" s="49"/>
      <c r="H25" s="49"/>
      <c r="I25" s="49"/>
    </row>
    <row r="26" spans="1:9" ht="34.9" customHeight="1" thickBot="1" x14ac:dyDescent="0.25">
      <c r="B26" s="14"/>
      <c r="C26" s="16"/>
      <c r="D26" s="17" t="s">
        <v>10</v>
      </c>
      <c r="E26" s="10"/>
      <c r="F26" s="10"/>
      <c r="G26" s="10"/>
      <c r="H26" s="10"/>
      <c r="I26" s="10"/>
    </row>
    <row r="27" spans="1:9" ht="34.9" customHeight="1" x14ac:dyDescent="0.2">
      <c r="B27" s="61" t="s">
        <v>1</v>
      </c>
      <c r="C27" s="62">
        <v>2</v>
      </c>
      <c r="D27" s="13" t="s">
        <v>11</v>
      </c>
      <c r="E27" s="9"/>
      <c r="F27" s="9"/>
      <c r="G27" s="9"/>
      <c r="H27" s="9"/>
      <c r="I27" s="9"/>
    </row>
    <row r="28" spans="1:9" ht="34.9" customHeight="1" x14ac:dyDescent="0.2">
      <c r="B28" s="58"/>
      <c r="C28" s="59"/>
      <c r="D28" s="60" t="s">
        <v>34</v>
      </c>
      <c r="E28" s="49"/>
      <c r="F28" s="49"/>
      <c r="G28" s="49"/>
      <c r="H28" s="49"/>
      <c r="I28" s="49"/>
    </row>
    <row r="29" spans="1:9" ht="34.9" customHeight="1" thickBot="1" x14ac:dyDescent="0.25">
      <c r="B29" s="14"/>
      <c r="C29" s="16"/>
      <c r="D29" s="17" t="s">
        <v>10</v>
      </c>
      <c r="E29" s="10"/>
      <c r="F29" s="10"/>
      <c r="G29" s="10"/>
      <c r="H29" s="10"/>
      <c r="I29" s="10"/>
    </row>
    <row r="30" spans="1:9" ht="34.9" customHeight="1" x14ac:dyDescent="0.2">
      <c r="B30" s="61" t="s">
        <v>1</v>
      </c>
      <c r="C30" s="62">
        <v>1</v>
      </c>
      <c r="D30" s="13" t="s">
        <v>11</v>
      </c>
      <c r="E30" s="9"/>
      <c r="F30" s="9"/>
      <c r="G30" s="9"/>
      <c r="H30" s="9"/>
      <c r="I30" s="9"/>
    </row>
    <row r="31" spans="1:9" ht="34.9" customHeight="1" x14ac:dyDescent="0.2">
      <c r="B31" s="58"/>
      <c r="C31" s="59"/>
      <c r="D31" s="60" t="s">
        <v>34</v>
      </c>
      <c r="E31" s="49"/>
      <c r="F31" s="49"/>
      <c r="G31" s="49"/>
      <c r="H31" s="49"/>
      <c r="I31" s="49"/>
    </row>
    <row r="32" spans="1:9" ht="34.9" customHeight="1" thickBot="1" x14ac:dyDescent="0.25">
      <c r="B32" s="14"/>
      <c r="C32" s="16"/>
      <c r="D32" s="17" t="s">
        <v>10</v>
      </c>
      <c r="E32" s="10"/>
      <c r="F32" s="10"/>
      <c r="G32" s="10"/>
      <c r="H32" s="10"/>
      <c r="I32" s="10"/>
    </row>
    <row r="33" spans="1:9" ht="34.9" customHeight="1" x14ac:dyDescent="0.2">
      <c r="A33" s="63"/>
      <c r="B33" s="61" t="s">
        <v>2</v>
      </c>
      <c r="C33" s="62">
        <v>1</v>
      </c>
      <c r="D33" s="13" t="s">
        <v>10</v>
      </c>
      <c r="E33" s="9"/>
      <c r="F33" s="9"/>
      <c r="G33" s="9"/>
      <c r="H33" s="9"/>
      <c r="I33" s="9"/>
    </row>
    <row r="34" spans="1:9" ht="34.9" customHeight="1" x14ac:dyDescent="0.2">
      <c r="B34" s="58"/>
      <c r="C34" s="59"/>
      <c r="D34" s="60" t="s">
        <v>34</v>
      </c>
      <c r="E34" s="49"/>
      <c r="F34" s="49"/>
      <c r="G34" s="49"/>
      <c r="H34" s="49"/>
      <c r="I34" s="49"/>
    </row>
    <row r="35" spans="1:9" ht="34.9" customHeight="1" thickBot="1" x14ac:dyDescent="0.25">
      <c r="B35" s="14"/>
      <c r="C35" s="16"/>
      <c r="D35" s="17" t="s">
        <v>11</v>
      </c>
      <c r="E35" s="10"/>
      <c r="F35" s="10"/>
      <c r="G35" s="10"/>
      <c r="H35" s="10"/>
      <c r="I35" s="10"/>
    </row>
    <row r="36" spans="1:9" ht="34.9" customHeight="1" x14ac:dyDescent="0.2">
      <c r="B36" s="61" t="s">
        <v>2</v>
      </c>
      <c r="C36" s="62">
        <v>2</v>
      </c>
      <c r="D36" s="13" t="s">
        <v>10</v>
      </c>
      <c r="E36" s="9"/>
      <c r="F36" s="9"/>
      <c r="G36" s="9"/>
      <c r="H36" s="9"/>
      <c r="I36" s="9"/>
    </row>
    <row r="37" spans="1:9" ht="34.9" customHeight="1" x14ac:dyDescent="0.2">
      <c r="B37" s="58"/>
      <c r="C37" s="59"/>
      <c r="D37" s="60" t="s">
        <v>34</v>
      </c>
      <c r="E37" s="49"/>
      <c r="F37" s="49"/>
      <c r="G37" s="49"/>
      <c r="H37" s="49"/>
      <c r="I37" s="49"/>
    </row>
    <row r="38" spans="1:9" ht="34.9" customHeight="1" thickBot="1" x14ac:dyDescent="0.25">
      <c r="B38" s="14"/>
      <c r="C38" s="16"/>
      <c r="D38" s="17" t="s">
        <v>11</v>
      </c>
      <c r="E38" s="10"/>
      <c r="F38" s="10"/>
      <c r="G38" s="10"/>
      <c r="H38" s="10"/>
      <c r="I38" s="10"/>
    </row>
    <row r="39" spans="1:9" ht="34.9" customHeight="1" x14ac:dyDescent="0.2">
      <c r="B39" s="61" t="s">
        <v>2</v>
      </c>
      <c r="C39" s="62">
        <v>3</v>
      </c>
      <c r="D39" s="13" t="s">
        <v>10</v>
      </c>
      <c r="E39" s="9"/>
      <c r="F39" s="9"/>
      <c r="G39" s="9"/>
      <c r="H39" s="9"/>
      <c r="I39" s="9"/>
    </row>
    <row r="40" spans="1:9" ht="34.9" customHeight="1" x14ac:dyDescent="0.2">
      <c r="B40" s="58"/>
      <c r="C40" s="59"/>
      <c r="D40" s="60" t="s">
        <v>34</v>
      </c>
      <c r="E40" s="49"/>
      <c r="F40" s="49"/>
      <c r="G40" s="49"/>
      <c r="H40" s="49"/>
      <c r="I40" s="49"/>
    </row>
    <row r="41" spans="1:9" ht="34.9" customHeight="1" thickBot="1" x14ac:dyDescent="0.25">
      <c r="B41" s="14"/>
      <c r="C41" s="16"/>
      <c r="D41" s="17" t="s">
        <v>11</v>
      </c>
      <c r="E41" s="10"/>
      <c r="F41" s="10"/>
      <c r="G41" s="10"/>
      <c r="H41" s="10"/>
      <c r="I41" s="10"/>
    </row>
    <row r="42" spans="1:9" ht="34.9" customHeight="1" x14ac:dyDescent="0.2">
      <c r="B42" s="61" t="s">
        <v>2</v>
      </c>
      <c r="C42" s="62">
        <v>4</v>
      </c>
      <c r="D42" s="13" t="s">
        <v>10</v>
      </c>
      <c r="E42" s="9"/>
      <c r="F42" s="9"/>
      <c r="G42" s="9"/>
      <c r="H42" s="9"/>
      <c r="I42" s="9"/>
    </row>
    <row r="43" spans="1:9" ht="34.9" customHeight="1" x14ac:dyDescent="0.2">
      <c r="B43" s="58"/>
      <c r="C43" s="59"/>
      <c r="D43" s="60" t="s">
        <v>34</v>
      </c>
      <c r="E43" s="49"/>
      <c r="F43" s="49"/>
      <c r="G43" s="49"/>
      <c r="H43" s="49"/>
      <c r="I43" s="49"/>
    </row>
    <row r="44" spans="1:9" ht="34.9" customHeight="1" thickBot="1" x14ac:dyDescent="0.25">
      <c r="B44" s="14"/>
      <c r="C44" s="16"/>
      <c r="D44" s="17" t="s">
        <v>11</v>
      </c>
      <c r="E44" s="10"/>
      <c r="F44" s="10"/>
      <c r="G44" s="10"/>
      <c r="H44" s="10"/>
      <c r="I44" s="10"/>
    </row>
    <row r="45" spans="1:9" ht="34.9" customHeight="1" x14ac:dyDescent="0.2">
      <c r="A45" s="63"/>
      <c r="B45" s="61" t="s">
        <v>3</v>
      </c>
      <c r="C45" s="62">
        <v>4</v>
      </c>
      <c r="D45" s="13" t="s">
        <v>11</v>
      </c>
      <c r="E45" s="9"/>
      <c r="F45" s="9"/>
      <c r="G45" s="9"/>
      <c r="H45" s="9"/>
      <c r="I45" s="9"/>
    </row>
    <row r="46" spans="1:9" ht="34.9" customHeight="1" x14ac:dyDescent="0.2">
      <c r="B46" s="58"/>
      <c r="C46" s="59"/>
      <c r="D46" s="60" t="s">
        <v>34</v>
      </c>
      <c r="E46" s="49"/>
      <c r="F46" s="49"/>
      <c r="G46" s="49"/>
      <c r="H46" s="49"/>
      <c r="I46" s="49"/>
    </row>
    <row r="47" spans="1:9" ht="34.9" customHeight="1" thickBot="1" x14ac:dyDescent="0.25">
      <c r="B47" s="14"/>
      <c r="C47" s="16"/>
      <c r="D47" s="17" t="s">
        <v>10</v>
      </c>
      <c r="E47" s="10"/>
      <c r="F47" s="10"/>
      <c r="G47" s="10"/>
      <c r="H47" s="10"/>
      <c r="I47" s="10"/>
    </row>
    <row r="48" spans="1:9" ht="34.9" customHeight="1" x14ac:dyDescent="0.2">
      <c r="B48" s="61" t="s">
        <v>3</v>
      </c>
      <c r="C48" s="62">
        <v>3</v>
      </c>
      <c r="D48" s="13" t="s">
        <v>11</v>
      </c>
      <c r="E48" s="9"/>
      <c r="F48" s="9"/>
      <c r="G48" s="9"/>
      <c r="H48" s="9"/>
      <c r="I48" s="9"/>
    </row>
    <row r="49" spans="1:9" ht="34.9" customHeight="1" x14ac:dyDescent="0.2">
      <c r="B49" s="58"/>
      <c r="C49" s="59"/>
      <c r="D49" s="60" t="s">
        <v>34</v>
      </c>
      <c r="E49" s="49"/>
      <c r="F49" s="49"/>
      <c r="G49" s="49"/>
      <c r="H49" s="49"/>
      <c r="I49" s="49"/>
    </row>
    <row r="50" spans="1:9" ht="34.9" customHeight="1" thickBot="1" x14ac:dyDescent="0.25">
      <c r="B50" s="14"/>
      <c r="C50" s="16"/>
      <c r="D50" s="17" t="s">
        <v>10</v>
      </c>
      <c r="E50" s="10"/>
      <c r="F50" s="10"/>
      <c r="G50" s="10"/>
      <c r="H50" s="10"/>
      <c r="I50" s="10"/>
    </row>
    <row r="51" spans="1:9" ht="34.9" customHeight="1" x14ac:dyDescent="0.2">
      <c r="B51" s="61" t="s">
        <v>3</v>
      </c>
      <c r="C51" s="62">
        <v>2</v>
      </c>
      <c r="D51" s="13" t="s">
        <v>11</v>
      </c>
      <c r="E51" s="9"/>
      <c r="F51" s="9"/>
      <c r="G51" s="9"/>
      <c r="H51" s="9"/>
      <c r="I51" s="9"/>
    </row>
    <row r="52" spans="1:9" ht="34.9" customHeight="1" x14ac:dyDescent="0.2">
      <c r="B52" s="58"/>
      <c r="C52" s="59"/>
      <c r="D52" s="60" t="s">
        <v>34</v>
      </c>
      <c r="E52" s="49"/>
      <c r="F52" s="49"/>
      <c r="G52" s="49"/>
      <c r="H52" s="49"/>
      <c r="I52" s="49"/>
    </row>
    <row r="53" spans="1:9" ht="34.9" customHeight="1" thickBot="1" x14ac:dyDescent="0.25">
      <c r="B53" s="14"/>
      <c r="C53" s="16"/>
      <c r="D53" s="17" t="s">
        <v>10</v>
      </c>
      <c r="E53" s="10"/>
      <c r="F53" s="10"/>
      <c r="G53" s="10"/>
      <c r="H53" s="10"/>
      <c r="I53" s="10"/>
    </row>
    <row r="54" spans="1:9" ht="34.9" customHeight="1" x14ac:dyDescent="0.2">
      <c r="B54" s="61" t="s">
        <v>3</v>
      </c>
      <c r="C54" s="62">
        <v>1</v>
      </c>
      <c r="D54" s="13" t="s">
        <v>11</v>
      </c>
      <c r="E54" s="9"/>
      <c r="F54" s="9"/>
      <c r="G54" s="9"/>
      <c r="H54" s="9"/>
      <c r="I54" s="9"/>
    </row>
    <row r="55" spans="1:9" ht="34.9" customHeight="1" x14ac:dyDescent="0.2">
      <c r="B55" s="58"/>
      <c r="C55" s="59"/>
      <c r="D55" s="60" t="s">
        <v>34</v>
      </c>
      <c r="E55" s="49"/>
      <c r="F55" s="49"/>
      <c r="G55" s="49"/>
      <c r="H55" s="49"/>
      <c r="I55" s="49"/>
    </row>
    <row r="56" spans="1:9" ht="34.9" customHeight="1" thickBot="1" x14ac:dyDescent="0.25">
      <c r="B56" s="14"/>
      <c r="C56" s="16"/>
      <c r="D56" s="17" t="s">
        <v>10</v>
      </c>
      <c r="E56" s="10"/>
      <c r="F56" s="10"/>
      <c r="G56" s="10"/>
      <c r="H56" s="10"/>
      <c r="I56" s="10"/>
    </row>
    <row r="57" spans="1:9" ht="34.9" customHeight="1" x14ac:dyDescent="0.2">
      <c r="A57" s="63"/>
      <c r="B57" s="61" t="s">
        <v>4</v>
      </c>
      <c r="C57" s="62">
        <v>1</v>
      </c>
      <c r="D57" s="13" t="s">
        <v>10</v>
      </c>
      <c r="E57" s="9"/>
      <c r="F57" s="9"/>
      <c r="G57" s="9"/>
      <c r="H57" s="9"/>
      <c r="I57" s="9"/>
    </row>
    <row r="58" spans="1:9" ht="34.9" customHeight="1" x14ac:dyDescent="0.2">
      <c r="B58" s="58"/>
      <c r="C58" s="59"/>
      <c r="D58" s="60" t="s">
        <v>34</v>
      </c>
      <c r="E58" s="49"/>
      <c r="F58" s="49"/>
      <c r="G58" s="49"/>
      <c r="H58" s="49"/>
      <c r="I58" s="49"/>
    </row>
    <row r="59" spans="1:9" ht="34.9" customHeight="1" thickBot="1" x14ac:dyDescent="0.25">
      <c r="B59" s="14"/>
      <c r="C59" s="16"/>
      <c r="D59" s="17" t="s">
        <v>11</v>
      </c>
      <c r="E59" s="10"/>
      <c r="F59" s="10"/>
      <c r="G59" s="10"/>
      <c r="H59" s="10"/>
      <c r="I59" s="10"/>
    </row>
    <row r="60" spans="1:9" ht="34.9" customHeight="1" x14ac:dyDescent="0.2">
      <c r="B60" s="61" t="s">
        <v>4</v>
      </c>
      <c r="C60" s="62">
        <v>2</v>
      </c>
      <c r="D60" s="13" t="s">
        <v>10</v>
      </c>
      <c r="E60" s="9"/>
      <c r="F60" s="9"/>
      <c r="G60" s="9"/>
      <c r="H60" s="9"/>
      <c r="I60" s="9"/>
    </row>
    <row r="61" spans="1:9" ht="34.9" customHeight="1" x14ac:dyDescent="0.2">
      <c r="B61" s="58"/>
      <c r="C61" s="59"/>
      <c r="D61" s="60" t="s">
        <v>34</v>
      </c>
      <c r="E61" s="49"/>
      <c r="F61" s="49"/>
      <c r="G61" s="49"/>
      <c r="H61" s="49"/>
      <c r="I61" s="49"/>
    </row>
    <row r="62" spans="1:9" ht="34.9" customHeight="1" thickBot="1" x14ac:dyDescent="0.25">
      <c r="B62" s="14"/>
      <c r="C62" s="16"/>
      <c r="D62" s="17" t="s">
        <v>11</v>
      </c>
      <c r="E62" s="10"/>
      <c r="F62" s="10"/>
      <c r="G62" s="10"/>
      <c r="H62" s="10"/>
      <c r="I62" s="10"/>
    </row>
    <row r="63" spans="1:9" ht="34.9" customHeight="1" x14ac:dyDescent="0.2">
      <c r="B63" s="61" t="s">
        <v>4</v>
      </c>
      <c r="C63" s="62">
        <v>3</v>
      </c>
      <c r="D63" s="13" t="s">
        <v>10</v>
      </c>
      <c r="E63" s="9"/>
      <c r="F63" s="9"/>
      <c r="G63" s="9"/>
      <c r="H63" s="9"/>
      <c r="I63" s="9"/>
    </row>
    <row r="64" spans="1:9" ht="34.9" customHeight="1" x14ac:dyDescent="0.2">
      <c r="B64" s="58"/>
      <c r="C64" s="59"/>
      <c r="D64" s="60" t="s">
        <v>34</v>
      </c>
      <c r="E64" s="49"/>
      <c r="F64" s="49"/>
      <c r="G64" s="49"/>
      <c r="H64" s="49"/>
      <c r="I64" s="49"/>
    </row>
    <row r="65" spans="1:9" ht="34.9" customHeight="1" thickBot="1" x14ac:dyDescent="0.25">
      <c r="B65" s="14"/>
      <c r="C65" s="16"/>
      <c r="D65" s="17" t="s">
        <v>11</v>
      </c>
      <c r="E65" s="10"/>
      <c r="F65" s="10"/>
      <c r="G65" s="10"/>
      <c r="H65" s="10"/>
      <c r="I65" s="10"/>
    </row>
    <row r="66" spans="1:9" ht="34.9" customHeight="1" x14ac:dyDescent="0.2">
      <c r="B66" s="61" t="s">
        <v>4</v>
      </c>
      <c r="C66" s="62">
        <v>4</v>
      </c>
      <c r="D66" s="13" t="s">
        <v>10</v>
      </c>
      <c r="E66" s="9"/>
      <c r="F66" s="9"/>
      <c r="G66" s="9"/>
      <c r="H66" s="9"/>
      <c r="I66" s="9"/>
    </row>
    <row r="67" spans="1:9" ht="34.9" customHeight="1" x14ac:dyDescent="0.2">
      <c r="B67" s="58"/>
      <c r="C67" s="59"/>
      <c r="D67" s="60" t="s">
        <v>34</v>
      </c>
      <c r="E67" s="49"/>
      <c r="F67" s="49"/>
      <c r="G67" s="49"/>
      <c r="H67" s="49"/>
      <c r="I67" s="49"/>
    </row>
    <row r="68" spans="1:9" ht="34.9" customHeight="1" thickBot="1" x14ac:dyDescent="0.25">
      <c r="B68" s="14"/>
      <c r="C68" s="16"/>
      <c r="D68" s="17" t="s">
        <v>11</v>
      </c>
      <c r="E68" s="10"/>
      <c r="F68" s="10"/>
      <c r="G68" s="10"/>
      <c r="H68" s="10"/>
      <c r="I68" s="10"/>
    </row>
    <row r="69" spans="1:9" ht="34.9" customHeight="1" x14ac:dyDescent="0.2">
      <c r="A69" s="63"/>
      <c r="B69" s="61" t="s">
        <v>5</v>
      </c>
      <c r="C69" s="62">
        <v>4</v>
      </c>
      <c r="D69" s="13" t="s">
        <v>11</v>
      </c>
      <c r="E69" s="9"/>
      <c r="F69" s="9"/>
      <c r="G69" s="9"/>
      <c r="H69" s="9"/>
      <c r="I69" s="9"/>
    </row>
    <row r="70" spans="1:9" ht="34.9" customHeight="1" x14ac:dyDescent="0.2">
      <c r="B70" s="58"/>
      <c r="C70" s="59"/>
      <c r="D70" s="60" t="s">
        <v>34</v>
      </c>
      <c r="E70" s="49"/>
      <c r="F70" s="49"/>
      <c r="G70" s="49"/>
      <c r="H70" s="49"/>
      <c r="I70" s="49"/>
    </row>
    <row r="71" spans="1:9" ht="34.9" customHeight="1" thickBot="1" x14ac:dyDescent="0.25">
      <c r="B71" s="14"/>
      <c r="C71" s="16"/>
      <c r="D71" s="17" t="s">
        <v>10</v>
      </c>
      <c r="E71" s="10"/>
      <c r="F71" s="10"/>
      <c r="G71" s="10"/>
      <c r="H71" s="10"/>
      <c r="I71" s="10"/>
    </row>
    <row r="72" spans="1:9" ht="34.9" customHeight="1" x14ac:dyDescent="0.2">
      <c r="B72" s="61" t="s">
        <v>5</v>
      </c>
      <c r="C72" s="62">
        <v>3</v>
      </c>
      <c r="D72" s="13" t="s">
        <v>11</v>
      </c>
      <c r="E72" s="9"/>
      <c r="F72" s="9"/>
      <c r="G72" s="9"/>
      <c r="H72" s="9"/>
      <c r="I72" s="9"/>
    </row>
    <row r="73" spans="1:9" ht="34.9" customHeight="1" x14ac:dyDescent="0.2">
      <c r="B73" s="58"/>
      <c r="C73" s="59"/>
      <c r="D73" s="60" t="s">
        <v>34</v>
      </c>
      <c r="E73" s="49"/>
      <c r="F73" s="49"/>
      <c r="G73" s="49"/>
      <c r="H73" s="49"/>
      <c r="I73" s="49"/>
    </row>
    <row r="74" spans="1:9" ht="34.9" customHeight="1" thickBot="1" x14ac:dyDescent="0.25">
      <c r="B74" s="14"/>
      <c r="C74" s="16"/>
      <c r="D74" s="17" t="s">
        <v>10</v>
      </c>
      <c r="E74" s="10"/>
      <c r="F74" s="10"/>
      <c r="G74" s="10"/>
      <c r="H74" s="10"/>
      <c r="I74" s="10"/>
    </row>
    <row r="75" spans="1:9" ht="34.9" customHeight="1" x14ac:dyDescent="0.2">
      <c r="B75" s="61" t="s">
        <v>5</v>
      </c>
      <c r="C75" s="62">
        <v>2</v>
      </c>
      <c r="D75" s="13" t="s">
        <v>11</v>
      </c>
      <c r="E75" s="9"/>
      <c r="F75" s="9"/>
      <c r="G75" s="9"/>
      <c r="H75" s="9"/>
      <c r="I75" s="9"/>
    </row>
    <row r="76" spans="1:9" ht="34.9" customHeight="1" x14ac:dyDescent="0.2">
      <c r="B76" s="58"/>
      <c r="C76" s="59"/>
      <c r="D76" s="60" t="s">
        <v>34</v>
      </c>
      <c r="E76" s="49"/>
      <c r="F76" s="49"/>
      <c r="G76" s="49"/>
      <c r="H76" s="49"/>
      <c r="I76" s="49"/>
    </row>
    <row r="77" spans="1:9" ht="34.9" customHeight="1" thickBot="1" x14ac:dyDescent="0.25">
      <c r="B77" s="14"/>
      <c r="C77" s="16"/>
      <c r="D77" s="17" t="s">
        <v>10</v>
      </c>
      <c r="E77" s="10"/>
      <c r="F77" s="10"/>
      <c r="G77" s="10"/>
      <c r="H77" s="10"/>
      <c r="I77" s="10"/>
    </row>
    <row r="78" spans="1:9" ht="34.9" customHeight="1" x14ac:dyDescent="0.2">
      <c r="B78" s="66" t="s">
        <v>5</v>
      </c>
      <c r="C78" s="67">
        <v>1</v>
      </c>
      <c r="D78" s="68" t="s">
        <v>11</v>
      </c>
      <c r="E78" s="69"/>
      <c r="F78" s="69"/>
      <c r="G78" s="69"/>
      <c r="H78" s="69"/>
      <c r="I78" s="69"/>
    </row>
    <row r="79" spans="1:9" ht="34.9" customHeight="1" x14ac:dyDescent="0.2">
      <c r="B79" s="70"/>
      <c r="C79" s="71"/>
      <c r="D79" s="72" t="s">
        <v>34</v>
      </c>
      <c r="E79" s="73"/>
      <c r="F79" s="73"/>
      <c r="G79" s="73"/>
      <c r="H79" s="73"/>
      <c r="I79" s="73"/>
    </row>
    <row r="80" spans="1:9" ht="34.9" customHeight="1" thickBot="1" x14ac:dyDescent="0.25">
      <c r="B80" s="74"/>
      <c r="C80" s="75"/>
      <c r="D80" s="76" t="s">
        <v>10</v>
      </c>
      <c r="E80" s="77"/>
      <c r="F80" s="77"/>
      <c r="G80" s="77"/>
      <c r="H80" s="77"/>
      <c r="I80" s="77"/>
    </row>
    <row r="81" spans="1:9" ht="34.5" customHeight="1" x14ac:dyDescent="0.2">
      <c r="A81" s="63"/>
      <c r="B81" s="61" t="s">
        <v>35</v>
      </c>
      <c r="C81" s="62">
        <v>1</v>
      </c>
      <c r="D81" s="13" t="s">
        <v>10</v>
      </c>
      <c r="E81" s="9"/>
      <c r="F81" s="9"/>
      <c r="G81" s="9"/>
      <c r="H81" s="9"/>
      <c r="I81" s="9"/>
    </row>
    <row r="82" spans="1:9" ht="34.5" customHeight="1" x14ac:dyDescent="0.2">
      <c r="B82" s="58"/>
      <c r="C82" s="59"/>
      <c r="D82" s="60" t="s">
        <v>34</v>
      </c>
      <c r="E82" s="49"/>
      <c r="F82" s="49"/>
      <c r="G82" s="49"/>
      <c r="H82" s="49"/>
      <c r="I82" s="49"/>
    </row>
    <row r="83" spans="1:9" ht="34.5" customHeight="1" thickBot="1" x14ac:dyDescent="0.25">
      <c r="B83" s="14"/>
      <c r="C83" s="16"/>
      <c r="D83" s="17" t="s">
        <v>11</v>
      </c>
      <c r="E83" s="10"/>
      <c r="F83" s="10"/>
      <c r="G83" s="10"/>
      <c r="H83" s="10"/>
      <c r="I83" s="10"/>
    </row>
    <row r="84" spans="1:9" ht="34.5" customHeight="1" x14ac:dyDescent="0.2">
      <c r="B84" s="61" t="s">
        <v>35</v>
      </c>
      <c r="C84" s="62">
        <v>2</v>
      </c>
      <c r="D84" s="13" t="s">
        <v>10</v>
      </c>
      <c r="E84" s="9"/>
      <c r="F84" s="9"/>
      <c r="G84" s="9"/>
      <c r="H84" s="9"/>
      <c r="I84" s="9"/>
    </row>
    <row r="85" spans="1:9" ht="34.5" customHeight="1" x14ac:dyDescent="0.2">
      <c r="B85" s="58"/>
      <c r="C85" s="59"/>
      <c r="D85" s="60" t="s">
        <v>34</v>
      </c>
      <c r="E85" s="49"/>
      <c r="F85" s="49"/>
      <c r="G85" s="49"/>
      <c r="H85" s="49"/>
      <c r="I85" s="49"/>
    </row>
    <row r="86" spans="1:9" ht="34.5" customHeight="1" thickBot="1" x14ac:dyDescent="0.25">
      <c r="B86" s="14"/>
      <c r="C86" s="16"/>
      <c r="D86" s="17" t="s">
        <v>11</v>
      </c>
      <c r="E86" s="10"/>
      <c r="F86" s="10"/>
      <c r="G86" s="10"/>
      <c r="H86" s="10"/>
      <c r="I86" s="10"/>
    </row>
    <row r="87" spans="1:9" ht="34.5" customHeight="1" x14ac:dyDescent="0.2">
      <c r="B87" s="61" t="s">
        <v>35</v>
      </c>
      <c r="C87" s="62">
        <v>3</v>
      </c>
      <c r="D87" s="13" t="s">
        <v>10</v>
      </c>
      <c r="E87" s="9"/>
      <c r="F87" s="9"/>
      <c r="G87" s="9"/>
      <c r="H87" s="9"/>
      <c r="I87" s="9"/>
    </row>
    <row r="88" spans="1:9" ht="34.5" customHeight="1" x14ac:dyDescent="0.2">
      <c r="B88" s="58"/>
      <c r="C88" s="59"/>
      <c r="D88" s="60" t="s">
        <v>34</v>
      </c>
      <c r="E88" s="49"/>
      <c r="F88" s="49"/>
      <c r="G88" s="49"/>
      <c r="H88" s="49"/>
      <c r="I88" s="49"/>
    </row>
    <row r="89" spans="1:9" ht="34.5" customHeight="1" thickBot="1" x14ac:dyDescent="0.25">
      <c r="B89" s="14"/>
      <c r="C89" s="16"/>
      <c r="D89" s="17" t="s">
        <v>11</v>
      </c>
      <c r="E89" s="10"/>
      <c r="F89" s="10"/>
      <c r="G89" s="10"/>
      <c r="H89" s="10"/>
      <c r="I89" s="10"/>
    </row>
    <row r="90" spans="1:9" ht="34.5" customHeight="1" x14ac:dyDescent="0.2">
      <c r="B90" s="61" t="s">
        <v>35</v>
      </c>
      <c r="C90" s="62">
        <v>4</v>
      </c>
      <c r="D90" s="13" t="s">
        <v>10</v>
      </c>
      <c r="E90" s="9"/>
      <c r="F90" s="9"/>
      <c r="G90" s="9"/>
      <c r="H90" s="9"/>
      <c r="I90" s="9"/>
    </row>
    <row r="91" spans="1:9" ht="34.5" customHeight="1" x14ac:dyDescent="0.2">
      <c r="B91" s="58"/>
      <c r="C91" s="59"/>
      <c r="D91" s="60" t="s">
        <v>34</v>
      </c>
      <c r="E91" s="49"/>
      <c r="F91" s="49"/>
      <c r="G91" s="49"/>
      <c r="H91" s="49"/>
      <c r="I91" s="49"/>
    </row>
    <row r="92" spans="1:9" ht="34.5" customHeight="1" thickBot="1" x14ac:dyDescent="0.25">
      <c r="B92" s="14"/>
      <c r="C92" s="16"/>
      <c r="D92" s="17" t="s">
        <v>11</v>
      </c>
      <c r="E92" s="10"/>
      <c r="F92" s="10"/>
      <c r="G92" s="10"/>
      <c r="H92" s="10"/>
      <c r="I92" s="10"/>
    </row>
    <row r="93" spans="1:9" ht="34.5" customHeight="1" x14ac:dyDescent="0.2">
      <c r="A93" s="63"/>
      <c r="B93" s="61" t="s">
        <v>36</v>
      </c>
      <c r="C93" s="62">
        <v>4</v>
      </c>
      <c r="D93" s="13" t="s">
        <v>11</v>
      </c>
      <c r="E93" s="9"/>
      <c r="F93" s="9"/>
      <c r="G93" s="9"/>
      <c r="H93" s="9"/>
      <c r="I93" s="9"/>
    </row>
    <row r="94" spans="1:9" ht="34.5" customHeight="1" x14ac:dyDescent="0.2">
      <c r="B94" s="58"/>
      <c r="C94" s="59"/>
      <c r="D94" s="60" t="s">
        <v>34</v>
      </c>
      <c r="E94" s="49"/>
      <c r="F94" s="49"/>
      <c r="G94" s="49"/>
      <c r="H94" s="49"/>
      <c r="I94" s="49"/>
    </row>
    <row r="95" spans="1:9" ht="34.5" customHeight="1" thickBot="1" x14ac:dyDescent="0.25">
      <c r="B95" s="14"/>
      <c r="C95" s="16"/>
      <c r="D95" s="17" t="s">
        <v>10</v>
      </c>
      <c r="E95" s="10"/>
      <c r="F95" s="10"/>
      <c r="G95" s="10"/>
      <c r="H95" s="10"/>
      <c r="I95" s="10"/>
    </row>
    <row r="96" spans="1:9" ht="34.5" customHeight="1" x14ac:dyDescent="0.2">
      <c r="B96" s="61" t="s">
        <v>36</v>
      </c>
      <c r="C96" s="62">
        <v>3</v>
      </c>
      <c r="D96" s="13" t="s">
        <v>11</v>
      </c>
      <c r="E96" s="9"/>
      <c r="F96" s="9"/>
      <c r="G96" s="9"/>
      <c r="H96" s="9"/>
      <c r="I96" s="9"/>
    </row>
    <row r="97" spans="1:9" ht="34.5" customHeight="1" x14ac:dyDescent="0.2">
      <c r="B97" s="58"/>
      <c r="C97" s="59"/>
      <c r="D97" s="60" t="s">
        <v>34</v>
      </c>
      <c r="E97" s="49"/>
      <c r="F97" s="49"/>
      <c r="G97" s="49"/>
      <c r="H97" s="49"/>
      <c r="I97" s="49"/>
    </row>
    <row r="98" spans="1:9" ht="34.5" customHeight="1" thickBot="1" x14ac:dyDescent="0.25">
      <c r="B98" s="14"/>
      <c r="C98" s="16"/>
      <c r="D98" s="17" t="s">
        <v>10</v>
      </c>
      <c r="E98" s="10"/>
      <c r="F98" s="10"/>
      <c r="G98" s="10"/>
      <c r="H98" s="10"/>
      <c r="I98" s="10"/>
    </row>
    <row r="99" spans="1:9" ht="34.5" customHeight="1" x14ac:dyDescent="0.2">
      <c r="B99" s="61" t="s">
        <v>36</v>
      </c>
      <c r="C99" s="62">
        <v>2</v>
      </c>
      <c r="D99" s="13" t="s">
        <v>11</v>
      </c>
      <c r="E99" s="9"/>
      <c r="F99" s="9"/>
      <c r="G99" s="9"/>
      <c r="H99" s="9"/>
      <c r="I99" s="9"/>
    </row>
    <row r="100" spans="1:9" ht="34.5" customHeight="1" x14ac:dyDescent="0.2">
      <c r="B100" s="58"/>
      <c r="C100" s="59"/>
      <c r="D100" s="60" t="s">
        <v>34</v>
      </c>
      <c r="E100" s="49"/>
      <c r="F100" s="49"/>
      <c r="G100" s="49"/>
      <c r="H100" s="49"/>
      <c r="I100" s="49"/>
    </row>
    <row r="101" spans="1:9" ht="34.5" customHeight="1" thickBot="1" x14ac:dyDescent="0.25">
      <c r="B101" s="14"/>
      <c r="C101" s="16"/>
      <c r="D101" s="17" t="s">
        <v>10</v>
      </c>
      <c r="E101" s="10"/>
      <c r="F101" s="10"/>
      <c r="G101" s="10"/>
      <c r="H101" s="10"/>
      <c r="I101" s="10"/>
    </row>
    <row r="102" spans="1:9" ht="34.5" customHeight="1" x14ac:dyDescent="0.2">
      <c r="B102" s="61" t="s">
        <v>36</v>
      </c>
      <c r="C102" s="62">
        <v>1</v>
      </c>
      <c r="D102" s="13" t="s">
        <v>11</v>
      </c>
      <c r="E102" s="9"/>
      <c r="F102" s="9"/>
      <c r="G102" s="9"/>
      <c r="H102" s="9"/>
      <c r="I102" s="9"/>
    </row>
    <row r="103" spans="1:9" ht="34.5" customHeight="1" x14ac:dyDescent="0.2">
      <c r="B103" s="58"/>
      <c r="C103" s="59"/>
      <c r="D103" s="60" t="s">
        <v>34</v>
      </c>
      <c r="E103" s="49"/>
      <c r="F103" s="49"/>
      <c r="G103" s="49"/>
      <c r="H103" s="49"/>
      <c r="I103" s="49"/>
    </row>
    <row r="104" spans="1:9" ht="34.5" customHeight="1" thickBot="1" x14ac:dyDescent="0.25">
      <c r="B104" s="14"/>
      <c r="C104" s="16"/>
      <c r="D104" s="17" t="s">
        <v>10</v>
      </c>
      <c r="E104" s="10"/>
      <c r="F104" s="10"/>
      <c r="G104" s="10"/>
      <c r="H104" s="10"/>
      <c r="I104" s="10"/>
    </row>
    <row r="105" spans="1:9" ht="34.5" customHeight="1" x14ac:dyDescent="0.2">
      <c r="A105" s="63"/>
      <c r="B105" s="61" t="s">
        <v>37</v>
      </c>
      <c r="C105" s="62">
        <v>1</v>
      </c>
      <c r="D105" s="13" t="s">
        <v>10</v>
      </c>
      <c r="E105" s="9"/>
      <c r="F105" s="9"/>
      <c r="G105" s="9"/>
      <c r="H105" s="9"/>
      <c r="I105" s="9"/>
    </row>
    <row r="106" spans="1:9" ht="34.5" customHeight="1" x14ac:dyDescent="0.2">
      <c r="B106" s="58"/>
      <c r="C106" s="59"/>
      <c r="D106" s="60" t="s">
        <v>34</v>
      </c>
      <c r="E106" s="49"/>
      <c r="F106" s="49"/>
      <c r="G106" s="49"/>
      <c r="H106" s="49"/>
      <c r="I106" s="49"/>
    </row>
    <row r="107" spans="1:9" ht="34.5" customHeight="1" thickBot="1" x14ac:dyDescent="0.25">
      <c r="B107" s="14"/>
      <c r="C107" s="16"/>
      <c r="D107" s="17" t="s">
        <v>11</v>
      </c>
      <c r="E107" s="10"/>
      <c r="F107" s="10"/>
      <c r="G107" s="10"/>
      <c r="H107" s="10"/>
      <c r="I107" s="10"/>
    </row>
    <row r="108" spans="1:9" ht="34.5" customHeight="1" x14ac:dyDescent="0.2">
      <c r="B108" s="61" t="s">
        <v>37</v>
      </c>
      <c r="C108" s="62">
        <v>2</v>
      </c>
      <c r="D108" s="13" t="s">
        <v>10</v>
      </c>
      <c r="E108" s="9"/>
      <c r="F108" s="9"/>
      <c r="G108" s="9"/>
      <c r="H108" s="9"/>
      <c r="I108" s="9"/>
    </row>
    <row r="109" spans="1:9" ht="34.5" customHeight="1" x14ac:dyDescent="0.2">
      <c r="B109" s="58"/>
      <c r="C109" s="59"/>
      <c r="D109" s="60" t="s">
        <v>34</v>
      </c>
      <c r="E109" s="49"/>
      <c r="F109" s="49"/>
      <c r="G109" s="49"/>
      <c r="H109" s="49"/>
      <c r="I109" s="49"/>
    </row>
    <row r="110" spans="1:9" ht="34.5" customHeight="1" thickBot="1" x14ac:dyDescent="0.25">
      <c r="B110" s="14"/>
      <c r="C110" s="16"/>
      <c r="D110" s="17" t="s">
        <v>11</v>
      </c>
      <c r="E110" s="10"/>
      <c r="F110" s="10"/>
      <c r="G110" s="10"/>
      <c r="H110" s="10"/>
      <c r="I110" s="10"/>
    </row>
    <row r="111" spans="1:9" ht="34.5" customHeight="1" x14ac:dyDescent="0.2">
      <c r="B111" s="61" t="s">
        <v>37</v>
      </c>
      <c r="C111" s="62">
        <v>3</v>
      </c>
      <c r="D111" s="13" t="s">
        <v>10</v>
      </c>
      <c r="E111" s="9"/>
      <c r="F111" s="9"/>
      <c r="G111" s="9"/>
      <c r="H111" s="9"/>
      <c r="I111" s="9"/>
    </row>
    <row r="112" spans="1:9" ht="34.5" customHeight="1" x14ac:dyDescent="0.2">
      <c r="B112" s="58"/>
      <c r="C112" s="59"/>
      <c r="D112" s="60" t="s">
        <v>34</v>
      </c>
      <c r="E112" s="49"/>
      <c r="F112" s="49"/>
      <c r="G112" s="49"/>
      <c r="H112" s="49"/>
      <c r="I112" s="49"/>
    </row>
    <row r="113" spans="1:9" ht="34.5" customHeight="1" thickBot="1" x14ac:dyDescent="0.25">
      <c r="B113" s="14"/>
      <c r="C113" s="16"/>
      <c r="D113" s="17" t="s">
        <v>11</v>
      </c>
      <c r="E113" s="10"/>
      <c r="F113" s="10"/>
      <c r="G113" s="10"/>
      <c r="H113" s="10"/>
      <c r="I113" s="10"/>
    </row>
    <row r="114" spans="1:9" ht="34.5" customHeight="1" x14ac:dyDescent="0.2">
      <c r="B114" s="61" t="s">
        <v>37</v>
      </c>
      <c r="C114" s="62">
        <v>4</v>
      </c>
      <c r="D114" s="13" t="s">
        <v>10</v>
      </c>
      <c r="E114" s="9"/>
      <c r="F114" s="9"/>
      <c r="G114" s="9"/>
      <c r="H114" s="9"/>
      <c r="I114" s="9"/>
    </row>
    <row r="115" spans="1:9" ht="34.5" customHeight="1" x14ac:dyDescent="0.2">
      <c r="B115" s="58"/>
      <c r="C115" s="59"/>
      <c r="D115" s="60" t="s">
        <v>34</v>
      </c>
      <c r="E115" s="49"/>
      <c r="F115" s="49"/>
      <c r="G115" s="49"/>
      <c r="H115" s="49"/>
      <c r="I115" s="49"/>
    </row>
    <row r="116" spans="1:9" ht="34.5" customHeight="1" thickBot="1" x14ac:dyDescent="0.25">
      <c r="B116" s="14"/>
      <c r="C116" s="16"/>
      <c r="D116" s="17" t="s">
        <v>11</v>
      </c>
      <c r="E116" s="10"/>
      <c r="F116" s="10"/>
      <c r="G116" s="10"/>
      <c r="H116" s="10"/>
      <c r="I116" s="10"/>
    </row>
    <row r="117" spans="1:9" ht="34.5" customHeight="1" x14ac:dyDescent="0.2">
      <c r="A117" s="63"/>
      <c r="B117" s="61" t="s">
        <v>38</v>
      </c>
      <c r="C117" s="62">
        <v>4</v>
      </c>
      <c r="D117" s="13" t="s">
        <v>11</v>
      </c>
      <c r="E117" s="9"/>
      <c r="F117" s="9"/>
      <c r="G117" s="9"/>
      <c r="H117" s="9"/>
      <c r="I117" s="9"/>
    </row>
    <row r="118" spans="1:9" ht="34.5" customHeight="1" x14ac:dyDescent="0.2">
      <c r="B118" s="58"/>
      <c r="C118" s="59"/>
      <c r="D118" s="60" t="s">
        <v>34</v>
      </c>
      <c r="E118" s="49"/>
      <c r="F118" s="49"/>
      <c r="G118" s="49"/>
      <c r="H118" s="49"/>
      <c r="I118" s="49"/>
    </row>
    <row r="119" spans="1:9" ht="34.5" customHeight="1" thickBot="1" x14ac:dyDescent="0.25">
      <c r="B119" s="14"/>
      <c r="C119" s="16"/>
      <c r="D119" s="17" t="s">
        <v>10</v>
      </c>
      <c r="E119" s="10"/>
      <c r="F119" s="10"/>
      <c r="G119" s="10"/>
      <c r="H119" s="10"/>
      <c r="I119" s="10"/>
    </row>
    <row r="120" spans="1:9" ht="34.5" customHeight="1" x14ac:dyDescent="0.2">
      <c r="B120" s="61" t="s">
        <v>38</v>
      </c>
      <c r="C120" s="62">
        <v>3</v>
      </c>
      <c r="D120" s="13" t="s">
        <v>11</v>
      </c>
      <c r="E120" s="9"/>
      <c r="F120" s="9"/>
      <c r="G120" s="9"/>
      <c r="H120" s="9"/>
      <c r="I120" s="9"/>
    </row>
    <row r="121" spans="1:9" ht="34.5" customHeight="1" x14ac:dyDescent="0.2">
      <c r="B121" s="58"/>
      <c r="C121" s="59"/>
      <c r="D121" s="60" t="s">
        <v>34</v>
      </c>
      <c r="E121" s="49"/>
      <c r="F121" s="49"/>
      <c r="G121" s="49"/>
      <c r="H121" s="49"/>
      <c r="I121" s="49"/>
    </row>
    <row r="122" spans="1:9" ht="34.5" customHeight="1" thickBot="1" x14ac:dyDescent="0.25">
      <c r="B122" s="14"/>
      <c r="C122" s="16"/>
      <c r="D122" s="17" t="s">
        <v>10</v>
      </c>
      <c r="E122" s="10"/>
      <c r="F122" s="10"/>
      <c r="G122" s="10"/>
      <c r="H122" s="10"/>
      <c r="I122" s="10"/>
    </row>
    <row r="123" spans="1:9" ht="34.5" customHeight="1" x14ac:dyDescent="0.2">
      <c r="B123" s="61" t="s">
        <v>38</v>
      </c>
      <c r="C123" s="62">
        <v>2</v>
      </c>
      <c r="D123" s="13" t="s">
        <v>11</v>
      </c>
      <c r="E123" s="9"/>
      <c r="F123" s="9"/>
      <c r="G123" s="9"/>
      <c r="H123" s="9"/>
      <c r="I123" s="9"/>
    </row>
    <row r="124" spans="1:9" ht="34.5" customHeight="1" x14ac:dyDescent="0.2">
      <c r="B124" s="58"/>
      <c r="C124" s="59"/>
      <c r="D124" s="60" t="s">
        <v>34</v>
      </c>
      <c r="E124" s="49"/>
      <c r="F124" s="49"/>
      <c r="G124" s="49"/>
      <c r="H124" s="49"/>
      <c r="I124" s="49"/>
    </row>
    <row r="125" spans="1:9" ht="34.5" customHeight="1" thickBot="1" x14ac:dyDescent="0.25">
      <c r="B125" s="14"/>
      <c r="C125" s="16"/>
      <c r="D125" s="17" t="s">
        <v>10</v>
      </c>
      <c r="E125" s="10"/>
      <c r="F125" s="10"/>
      <c r="G125" s="10"/>
      <c r="H125" s="10"/>
      <c r="I125" s="10"/>
    </row>
    <row r="126" spans="1:9" ht="34.5" customHeight="1" x14ac:dyDescent="0.2">
      <c r="B126" s="61" t="s">
        <v>38</v>
      </c>
      <c r="C126" s="62">
        <v>1</v>
      </c>
      <c r="D126" s="13" t="s">
        <v>11</v>
      </c>
      <c r="E126" s="9"/>
      <c r="F126" s="9"/>
      <c r="G126" s="9"/>
      <c r="H126" s="9"/>
      <c r="I126" s="9"/>
    </row>
    <row r="127" spans="1:9" ht="34.5" customHeight="1" x14ac:dyDescent="0.2">
      <c r="B127" s="58"/>
      <c r="C127" s="59"/>
      <c r="D127" s="60" t="s">
        <v>34</v>
      </c>
      <c r="E127" s="49"/>
      <c r="F127" s="49"/>
      <c r="G127" s="49"/>
      <c r="H127" s="49"/>
      <c r="I127" s="49"/>
    </row>
    <row r="128" spans="1:9" ht="34.5" customHeight="1" thickBot="1" x14ac:dyDescent="0.25">
      <c r="B128" s="14"/>
      <c r="C128" s="16"/>
      <c r="D128" s="17" t="s">
        <v>10</v>
      </c>
      <c r="E128" s="10"/>
      <c r="F128" s="10"/>
      <c r="G128" s="10"/>
      <c r="H128" s="10"/>
      <c r="I128" s="10"/>
    </row>
    <row r="129" spans="1:9" ht="34.5" customHeight="1" x14ac:dyDescent="0.2">
      <c r="A129" s="63"/>
      <c r="B129" s="61" t="s">
        <v>39</v>
      </c>
      <c r="C129" s="62">
        <v>1</v>
      </c>
      <c r="D129" s="13" t="s">
        <v>10</v>
      </c>
      <c r="E129" s="9"/>
      <c r="F129" s="9"/>
      <c r="G129" s="9"/>
      <c r="H129" s="9"/>
      <c r="I129" s="9"/>
    </row>
    <row r="130" spans="1:9" ht="34.5" customHeight="1" x14ac:dyDescent="0.2">
      <c r="B130" s="58"/>
      <c r="C130" s="59"/>
      <c r="D130" s="60" t="s">
        <v>34</v>
      </c>
      <c r="E130" s="49"/>
      <c r="F130" s="49"/>
      <c r="G130" s="49"/>
      <c r="H130" s="49"/>
      <c r="I130" s="49"/>
    </row>
    <row r="131" spans="1:9" ht="34.5" customHeight="1" thickBot="1" x14ac:dyDescent="0.25">
      <c r="B131" s="14"/>
      <c r="C131" s="16"/>
      <c r="D131" s="17" t="s">
        <v>11</v>
      </c>
      <c r="E131" s="10"/>
      <c r="F131" s="10"/>
      <c r="G131" s="10"/>
      <c r="H131" s="10"/>
      <c r="I131" s="10"/>
    </row>
    <row r="132" spans="1:9" ht="34.5" customHeight="1" x14ac:dyDescent="0.2">
      <c r="B132" s="61" t="s">
        <v>39</v>
      </c>
      <c r="C132" s="62">
        <v>2</v>
      </c>
      <c r="D132" s="13" t="s">
        <v>10</v>
      </c>
      <c r="E132" s="9"/>
      <c r="F132" s="9"/>
      <c r="G132" s="9"/>
      <c r="H132" s="9"/>
      <c r="I132" s="9"/>
    </row>
    <row r="133" spans="1:9" ht="34.5" customHeight="1" x14ac:dyDescent="0.2">
      <c r="B133" s="58"/>
      <c r="C133" s="59"/>
      <c r="D133" s="60" t="s">
        <v>34</v>
      </c>
      <c r="E133" s="49"/>
      <c r="F133" s="49"/>
      <c r="G133" s="49"/>
      <c r="H133" s="49"/>
      <c r="I133" s="49"/>
    </row>
    <row r="134" spans="1:9" ht="34.5" customHeight="1" thickBot="1" x14ac:dyDescent="0.25">
      <c r="B134" s="14"/>
      <c r="C134" s="16"/>
      <c r="D134" s="17" t="s">
        <v>11</v>
      </c>
      <c r="E134" s="10"/>
      <c r="F134" s="10"/>
      <c r="G134" s="10"/>
      <c r="H134" s="10"/>
      <c r="I134" s="10"/>
    </row>
    <row r="135" spans="1:9" ht="34.5" customHeight="1" x14ac:dyDescent="0.2">
      <c r="B135" s="61" t="s">
        <v>39</v>
      </c>
      <c r="C135" s="62">
        <v>3</v>
      </c>
      <c r="D135" s="13" t="s">
        <v>10</v>
      </c>
      <c r="E135" s="9"/>
      <c r="F135" s="9"/>
      <c r="G135" s="9"/>
      <c r="H135" s="9"/>
      <c r="I135" s="9"/>
    </row>
    <row r="136" spans="1:9" ht="34.5" customHeight="1" x14ac:dyDescent="0.2">
      <c r="B136" s="58"/>
      <c r="C136" s="59"/>
      <c r="D136" s="60" t="s">
        <v>34</v>
      </c>
      <c r="E136" s="49"/>
      <c r="F136" s="49"/>
      <c r="G136" s="49"/>
      <c r="H136" s="49"/>
      <c r="I136" s="49"/>
    </row>
    <row r="137" spans="1:9" ht="34.5" customHeight="1" thickBot="1" x14ac:dyDescent="0.25">
      <c r="B137" s="14"/>
      <c r="C137" s="16"/>
      <c r="D137" s="17" t="s">
        <v>11</v>
      </c>
      <c r="E137" s="10"/>
      <c r="F137" s="10"/>
      <c r="G137" s="10"/>
      <c r="H137" s="10"/>
      <c r="I137" s="10"/>
    </row>
    <row r="138" spans="1:9" ht="34.5" customHeight="1" x14ac:dyDescent="0.2">
      <c r="B138" s="61" t="s">
        <v>39</v>
      </c>
      <c r="C138" s="62">
        <v>4</v>
      </c>
      <c r="D138" s="13" t="s">
        <v>10</v>
      </c>
      <c r="E138" s="9"/>
      <c r="F138" s="9"/>
      <c r="G138" s="9"/>
      <c r="H138" s="9"/>
      <c r="I138" s="9"/>
    </row>
    <row r="139" spans="1:9" ht="34.5" customHeight="1" x14ac:dyDescent="0.2">
      <c r="B139" s="58"/>
      <c r="C139" s="59"/>
      <c r="D139" s="60" t="s">
        <v>34</v>
      </c>
      <c r="E139" s="49"/>
      <c r="F139" s="49"/>
      <c r="G139" s="49"/>
      <c r="H139" s="49"/>
      <c r="I139" s="49"/>
    </row>
    <row r="140" spans="1:9" ht="34.5" customHeight="1" thickBot="1" x14ac:dyDescent="0.25">
      <c r="B140" s="14"/>
      <c r="C140" s="16"/>
      <c r="D140" s="17" t="s">
        <v>11</v>
      </c>
      <c r="E140" s="10"/>
      <c r="F140" s="10"/>
      <c r="G140" s="10"/>
      <c r="H140" s="10"/>
      <c r="I140" s="10"/>
    </row>
    <row r="141" spans="1:9" ht="34.5" customHeight="1" x14ac:dyDescent="0.2">
      <c r="A141" s="63"/>
      <c r="B141" s="61" t="s">
        <v>40</v>
      </c>
      <c r="C141" s="62">
        <v>4</v>
      </c>
      <c r="D141" s="13" t="s">
        <v>11</v>
      </c>
      <c r="E141" s="9"/>
      <c r="F141" s="9"/>
      <c r="G141" s="9"/>
      <c r="H141" s="9"/>
      <c r="I141" s="9"/>
    </row>
    <row r="142" spans="1:9" ht="34.5" customHeight="1" x14ac:dyDescent="0.2">
      <c r="B142" s="58"/>
      <c r="C142" s="59"/>
      <c r="D142" s="60" t="s">
        <v>34</v>
      </c>
      <c r="E142" s="49"/>
      <c r="F142" s="49"/>
      <c r="G142" s="49"/>
      <c r="H142" s="49"/>
      <c r="I142" s="49"/>
    </row>
    <row r="143" spans="1:9" ht="34.5" customHeight="1" thickBot="1" x14ac:dyDescent="0.25">
      <c r="B143" s="14"/>
      <c r="C143" s="16"/>
      <c r="D143" s="17" t="s">
        <v>10</v>
      </c>
      <c r="E143" s="10"/>
      <c r="F143" s="10"/>
      <c r="G143" s="10"/>
      <c r="H143" s="10"/>
      <c r="I143" s="10"/>
    </row>
    <row r="144" spans="1:9" ht="34.5" customHeight="1" x14ac:dyDescent="0.2">
      <c r="B144" s="61" t="s">
        <v>40</v>
      </c>
      <c r="C144" s="62">
        <v>3</v>
      </c>
      <c r="D144" s="13" t="s">
        <v>11</v>
      </c>
      <c r="E144" s="9"/>
      <c r="F144" s="9"/>
      <c r="G144" s="9"/>
      <c r="H144" s="9"/>
      <c r="I144" s="9"/>
    </row>
    <row r="145" spans="1:9" ht="34.5" customHeight="1" x14ac:dyDescent="0.2">
      <c r="B145" s="58"/>
      <c r="C145" s="59"/>
      <c r="D145" s="60" t="s">
        <v>34</v>
      </c>
      <c r="E145" s="49"/>
      <c r="F145" s="49"/>
      <c r="G145" s="49"/>
      <c r="H145" s="49"/>
      <c r="I145" s="49"/>
    </row>
    <row r="146" spans="1:9" ht="34.5" customHeight="1" thickBot="1" x14ac:dyDescent="0.25">
      <c r="B146" s="14"/>
      <c r="C146" s="16"/>
      <c r="D146" s="17" t="s">
        <v>10</v>
      </c>
      <c r="E146" s="10"/>
      <c r="F146" s="10"/>
      <c r="G146" s="10"/>
      <c r="H146" s="10"/>
      <c r="I146" s="10"/>
    </row>
    <row r="147" spans="1:9" ht="34.5" customHeight="1" x14ac:dyDescent="0.2">
      <c r="B147" s="61" t="s">
        <v>40</v>
      </c>
      <c r="C147" s="62">
        <v>2</v>
      </c>
      <c r="D147" s="13" t="s">
        <v>11</v>
      </c>
      <c r="E147" s="9"/>
      <c r="F147" s="9"/>
      <c r="G147" s="9"/>
      <c r="H147" s="9"/>
      <c r="I147" s="9"/>
    </row>
    <row r="148" spans="1:9" ht="34.5" customHeight="1" x14ac:dyDescent="0.2">
      <c r="B148" s="58"/>
      <c r="C148" s="59"/>
      <c r="D148" s="60" t="s">
        <v>34</v>
      </c>
      <c r="E148" s="49"/>
      <c r="F148" s="49"/>
      <c r="G148" s="49"/>
      <c r="H148" s="49"/>
      <c r="I148" s="49"/>
    </row>
    <row r="149" spans="1:9" ht="34.5" customHeight="1" thickBot="1" x14ac:dyDescent="0.25">
      <c r="B149" s="14"/>
      <c r="C149" s="16"/>
      <c r="D149" s="17" t="s">
        <v>10</v>
      </c>
      <c r="E149" s="10"/>
      <c r="F149" s="10"/>
      <c r="G149" s="10"/>
      <c r="H149" s="10"/>
      <c r="I149" s="10"/>
    </row>
    <row r="150" spans="1:9" ht="34.5" customHeight="1" x14ac:dyDescent="0.2">
      <c r="B150" s="61" t="s">
        <v>40</v>
      </c>
      <c r="C150" s="62">
        <v>1</v>
      </c>
      <c r="D150" s="13" t="s">
        <v>11</v>
      </c>
      <c r="E150" s="9"/>
      <c r="F150" s="9"/>
      <c r="G150" s="9"/>
      <c r="H150" s="9"/>
      <c r="I150" s="9"/>
    </row>
    <row r="151" spans="1:9" ht="34.5" customHeight="1" x14ac:dyDescent="0.2">
      <c r="B151" s="58"/>
      <c r="C151" s="59"/>
      <c r="D151" s="60" t="s">
        <v>34</v>
      </c>
      <c r="E151" s="49"/>
      <c r="F151" s="49"/>
      <c r="G151" s="49"/>
      <c r="H151" s="49"/>
      <c r="I151" s="49"/>
    </row>
    <row r="152" spans="1:9" ht="34.5" customHeight="1" thickBot="1" x14ac:dyDescent="0.25">
      <c r="A152" s="64"/>
      <c r="B152" s="14"/>
      <c r="C152" s="16"/>
      <c r="D152" s="17" t="s">
        <v>10</v>
      </c>
      <c r="E152" s="10"/>
      <c r="F152" s="10"/>
      <c r="G152" s="10"/>
      <c r="H152" s="10"/>
      <c r="I152" s="10"/>
    </row>
  </sheetData>
  <mergeCells count="2">
    <mergeCell ref="B7:H7"/>
    <mergeCell ref="B8:C8"/>
  </mergeCells>
  <printOptions horizontalCentered="1" verticalCentered="1"/>
  <pageMargins left="0.2" right="0.2" top="0.25" bottom="0.25" header="0" footer="0"/>
  <pageSetup scale="73" fitToHeight="6" pageOrder="overThenDown" orientation="portrait" r:id="rId1"/>
  <headerFooter>
    <oddFooter>&amp;R&amp;8&amp;D&amp;   &amp;Z&amp;F&amp;' page &amp;P&amp;' o&amp;Of &amp;N</oddFooter>
  </headerFooter>
  <rowBreaks count="5" manualBreakCount="5">
    <brk id="32" max="9" man="1"/>
    <brk id="56" max="9" man="1"/>
    <brk id="80" max="9" man="1"/>
    <brk id="104" max="9" man="1"/>
    <brk id="128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6"/>
  <sheetViews>
    <sheetView zoomScale="115" zoomScaleNormal="115" zoomScaleSheetLayoutView="70" workbookViewId="0">
      <selection activeCell="G13" sqref="G13"/>
    </sheetView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" style="51" customWidth="1"/>
    <col min="6" max="6" width="7" style="85" customWidth="1"/>
    <col min="7" max="10" width="11.140625" customWidth="1"/>
    <col min="11" max="11" width="11.140625" style="98" customWidth="1"/>
    <col min="12" max="24" width="11.140625" customWidth="1"/>
  </cols>
  <sheetData>
    <row r="1" spans="1:24" ht="15.75" x14ac:dyDescent="0.25">
      <c r="A1" s="6" t="s">
        <v>18</v>
      </c>
      <c r="B1" s="26">
        <v>2021</v>
      </c>
      <c r="C1" s="27"/>
      <c r="D1" s="8" t="s">
        <v>25</v>
      </c>
      <c r="E1" s="83"/>
      <c r="F1" s="84"/>
      <c r="G1" s="8"/>
      <c r="H1" s="8"/>
      <c r="I1" s="8"/>
      <c r="O1" t="s">
        <v>69</v>
      </c>
    </row>
    <row r="2" spans="1:24" ht="14.45" customHeight="1" x14ac:dyDescent="0.25">
      <c r="A2" s="6"/>
      <c r="B2" s="7"/>
      <c r="C2" s="8"/>
      <c r="D2" s="8"/>
      <c r="E2" s="83"/>
      <c r="F2" s="84"/>
      <c r="O2" t="s">
        <v>68</v>
      </c>
    </row>
    <row r="3" spans="1:24" ht="15" x14ac:dyDescent="0.25">
      <c r="B3" s="28" t="s">
        <v>19</v>
      </c>
      <c r="O3" t="s">
        <v>70</v>
      </c>
    </row>
    <row r="4" spans="1:24" ht="7.9" customHeight="1" x14ac:dyDescent="0.2">
      <c r="B4" s="5"/>
      <c r="O4" s="4"/>
      <c r="P4" s="4"/>
      <c r="Q4" s="4"/>
      <c r="R4" s="4"/>
      <c r="S4" s="4"/>
      <c r="T4" s="4"/>
      <c r="U4" s="4"/>
      <c r="V4" s="4"/>
      <c r="W4" s="4"/>
    </row>
    <row r="5" spans="1:24" x14ac:dyDescent="0.2">
      <c r="B5" s="2"/>
      <c r="O5" s="4"/>
      <c r="P5" s="4"/>
      <c r="Q5" s="4"/>
      <c r="R5" s="4"/>
      <c r="S5" s="4"/>
      <c r="T5" s="4"/>
      <c r="U5" s="4"/>
      <c r="V5" s="4"/>
      <c r="W5" s="4"/>
    </row>
    <row r="6" spans="1:24" x14ac:dyDescent="0.2">
      <c r="B6" s="2"/>
      <c r="O6" s="4"/>
      <c r="P6" s="4"/>
      <c r="Q6" s="4"/>
      <c r="R6" s="4"/>
      <c r="S6" s="4"/>
      <c r="T6" s="4"/>
      <c r="U6" s="4"/>
      <c r="V6" s="4"/>
      <c r="W6" s="4"/>
    </row>
    <row r="7" spans="1:24" ht="12" customHeight="1" x14ac:dyDescent="0.2">
      <c r="B7" s="2"/>
      <c r="J7" s="50"/>
      <c r="K7" s="99"/>
      <c r="O7" s="4"/>
      <c r="P7" s="4"/>
      <c r="Q7" s="50"/>
      <c r="R7" s="50"/>
      <c r="S7" s="50"/>
      <c r="T7" s="4"/>
      <c r="U7" s="4"/>
      <c r="V7" s="4"/>
      <c r="W7" s="4"/>
    </row>
    <row r="8" spans="1:24" s="35" customFormat="1" x14ac:dyDescent="0.2">
      <c r="D8" s="44" t="s">
        <v>26</v>
      </c>
      <c r="E8" s="52"/>
      <c r="F8" s="85"/>
      <c r="G8" s="35" t="s">
        <v>51</v>
      </c>
      <c r="H8" s="35" t="s">
        <v>51</v>
      </c>
      <c r="I8" s="35" t="s">
        <v>51</v>
      </c>
      <c r="J8" s="35" t="s">
        <v>51</v>
      </c>
      <c r="K8" s="100" t="s">
        <v>51</v>
      </c>
      <c r="L8" s="78" t="s">
        <v>51</v>
      </c>
      <c r="M8" s="35" t="s">
        <v>51</v>
      </c>
      <c r="N8" s="78" t="s">
        <v>51</v>
      </c>
      <c r="O8" s="35" t="s">
        <v>51</v>
      </c>
      <c r="P8" s="35" t="s">
        <v>51</v>
      </c>
      <c r="Q8" s="35" t="s">
        <v>51</v>
      </c>
    </row>
    <row r="9" spans="1:24" x14ac:dyDescent="0.2">
      <c r="B9" s="2"/>
      <c r="D9" s="44" t="s">
        <v>27</v>
      </c>
      <c r="G9" s="22">
        <v>44348</v>
      </c>
      <c r="H9" s="22">
        <v>44354</v>
      </c>
      <c r="I9" s="22">
        <v>44364</v>
      </c>
      <c r="J9" s="22">
        <v>44371</v>
      </c>
      <c r="K9" s="101">
        <v>44378</v>
      </c>
      <c r="L9" s="22">
        <v>44390</v>
      </c>
      <c r="M9" s="22">
        <v>44396</v>
      </c>
      <c r="N9" s="22">
        <v>44413</v>
      </c>
      <c r="O9" s="22">
        <v>44420</v>
      </c>
      <c r="P9" s="22">
        <v>44427</v>
      </c>
      <c r="Q9" s="22">
        <v>44446</v>
      </c>
      <c r="R9" s="22"/>
      <c r="S9" s="22"/>
      <c r="T9" s="22"/>
      <c r="U9" s="22"/>
      <c r="V9" s="22"/>
      <c r="W9" s="22"/>
      <c r="X9" s="22"/>
    </row>
    <row r="10" spans="1:24" ht="15.6" customHeight="1" x14ac:dyDescent="0.2">
      <c r="B10" s="5"/>
      <c r="D10" s="44" t="s">
        <v>29</v>
      </c>
      <c r="G10" s="18">
        <v>152</v>
      </c>
      <c r="H10" s="18">
        <v>158</v>
      </c>
      <c r="I10" s="18">
        <v>168</v>
      </c>
      <c r="J10" s="18">
        <v>175</v>
      </c>
      <c r="K10" s="102">
        <v>182</v>
      </c>
      <c r="L10" s="18">
        <v>194</v>
      </c>
      <c r="M10" s="18">
        <v>200</v>
      </c>
      <c r="N10" s="18">
        <v>217</v>
      </c>
      <c r="O10" s="18">
        <v>224</v>
      </c>
      <c r="P10" s="18">
        <v>238</v>
      </c>
      <c r="Q10" s="18">
        <v>250</v>
      </c>
      <c r="R10" s="18"/>
      <c r="S10" s="18"/>
      <c r="T10" s="18"/>
      <c r="U10" s="18"/>
      <c r="V10" s="18"/>
      <c r="W10" s="18"/>
      <c r="X10" s="18"/>
    </row>
    <row r="11" spans="1:24" s="52" customFormat="1" ht="22.15" customHeight="1" x14ac:dyDescent="0.2">
      <c r="B11" s="33"/>
      <c r="D11" s="51" t="s">
        <v>28</v>
      </c>
      <c r="E11" s="51"/>
      <c r="F11" s="85"/>
      <c r="G11" s="96" t="s">
        <v>55</v>
      </c>
      <c r="H11" s="96" t="s">
        <v>63</v>
      </c>
      <c r="I11" s="96" t="s">
        <v>64</v>
      </c>
      <c r="J11" s="53" t="s">
        <v>53</v>
      </c>
      <c r="K11" s="103" t="s">
        <v>52</v>
      </c>
      <c r="L11" s="53" t="s">
        <v>56</v>
      </c>
      <c r="M11" s="53" t="s">
        <v>60</v>
      </c>
      <c r="N11" s="53" t="s">
        <v>57</v>
      </c>
      <c r="O11" s="53" t="s">
        <v>59</v>
      </c>
      <c r="P11" s="53" t="s">
        <v>58</v>
      </c>
      <c r="Q11" s="53" t="s">
        <v>61</v>
      </c>
      <c r="R11" s="36"/>
      <c r="S11" s="36"/>
      <c r="T11" s="36"/>
      <c r="U11" s="36"/>
      <c r="V11" s="53"/>
      <c r="W11" s="53"/>
      <c r="X11" s="53"/>
    </row>
    <row r="12" spans="1:24" ht="20.45" customHeight="1" thickBot="1" x14ac:dyDescent="0.25">
      <c r="B12" s="268" t="s">
        <v>7</v>
      </c>
      <c r="C12" s="268"/>
      <c r="D12" s="18" t="s">
        <v>12</v>
      </c>
      <c r="E12" s="83" t="s">
        <v>24</v>
      </c>
      <c r="F12" s="18" t="s">
        <v>54</v>
      </c>
      <c r="G12" s="18" t="s">
        <v>20</v>
      </c>
      <c r="H12" s="18" t="s">
        <v>20</v>
      </c>
      <c r="I12" s="18" t="s">
        <v>20</v>
      </c>
      <c r="J12" s="18" t="s">
        <v>20</v>
      </c>
      <c r="K12" s="102" t="s">
        <v>20</v>
      </c>
      <c r="L12" s="18" t="s">
        <v>20</v>
      </c>
      <c r="M12" s="18" t="s">
        <v>20</v>
      </c>
      <c r="N12" s="18" t="s">
        <v>20</v>
      </c>
      <c r="O12" s="18" t="s">
        <v>20</v>
      </c>
      <c r="P12" s="18" t="s">
        <v>20</v>
      </c>
      <c r="Q12" s="18" t="s">
        <v>20</v>
      </c>
      <c r="R12" s="18" t="s">
        <v>20</v>
      </c>
      <c r="S12" s="18" t="s">
        <v>20</v>
      </c>
      <c r="T12" s="18" t="s">
        <v>20</v>
      </c>
      <c r="U12" s="18" t="s">
        <v>20</v>
      </c>
      <c r="V12" s="18" t="s">
        <v>20</v>
      </c>
      <c r="W12" s="18" t="s">
        <v>20</v>
      </c>
      <c r="X12" s="18" t="s">
        <v>20</v>
      </c>
    </row>
    <row r="13" spans="1:24" ht="19.149999999999999" customHeight="1" x14ac:dyDescent="0.2">
      <c r="A13" s="29"/>
      <c r="B13" s="11" t="s">
        <v>0</v>
      </c>
      <c r="C13" s="15">
        <v>1</v>
      </c>
      <c r="D13" s="30" t="s">
        <v>10</v>
      </c>
      <c r="E13" s="41" t="s">
        <v>48</v>
      </c>
      <c r="F13" s="82" t="s">
        <v>50</v>
      </c>
      <c r="G13" s="9">
        <v>18</v>
      </c>
      <c r="H13" s="108">
        <v>23</v>
      </c>
      <c r="I13" s="108">
        <v>31</v>
      </c>
      <c r="J13" s="108">
        <v>37</v>
      </c>
      <c r="K13" s="105">
        <v>53</v>
      </c>
      <c r="L13" s="108">
        <v>85</v>
      </c>
      <c r="M13" s="108">
        <v>100</v>
      </c>
      <c r="N13" s="108">
        <v>118</v>
      </c>
      <c r="O13" s="108"/>
      <c r="P13" s="109">
        <v>162</v>
      </c>
      <c r="Q13" s="54">
        <v>170</v>
      </c>
      <c r="R13" s="54"/>
      <c r="S13" s="54"/>
      <c r="T13" s="9"/>
      <c r="U13" s="9"/>
      <c r="V13" s="9"/>
      <c r="W13" s="9"/>
      <c r="X13" s="9"/>
    </row>
    <row r="14" spans="1:24" ht="19.149999999999999" customHeight="1" x14ac:dyDescent="0.2">
      <c r="A14" s="29"/>
      <c r="B14" s="58"/>
      <c r="C14" s="59"/>
      <c r="D14" s="79" t="s">
        <v>34</v>
      </c>
      <c r="E14" s="80" t="s">
        <v>48</v>
      </c>
      <c r="F14" s="85" t="s">
        <v>50</v>
      </c>
      <c r="G14" s="49">
        <v>17</v>
      </c>
      <c r="H14" s="111">
        <v>25</v>
      </c>
      <c r="I14" s="111">
        <v>32</v>
      </c>
      <c r="J14" s="111">
        <v>43</v>
      </c>
      <c r="K14" s="106">
        <v>61</v>
      </c>
      <c r="L14" s="111">
        <v>95</v>
      </c>
      <c r="M14" s="111">
        <v>113</v>
      </c>
      <c r="N14" s="111">
        <v>130</v>
      </c>
      <c r="O14" s="111">
        <v>139</v>
      </c>
      <c r="P14" s="112">
        <v>147</v>
      </c>
      <c r="Q14" s="81"/>
      <c r="R14" s="81"/>
      <c r="S14" s="81"/>
      <c r="T14" s="49"/>
      <c r="U14" s="49"/>
      <c r="V14" s="49"/>
      <c r="W14" s="49"/>
      <c r="X14" s="49"/>
    </row>
    <row r="15" spans="1:24" ht="19.149999999999999" customHeight="1" thickBot="1" x14ac:dyDescent="0.25">
      <c r="A15" s="29"/>
      <c r="B15" s="14"/>
      <c r="C15" s="16"/>
      <c r="D15" s="31" t="s">
        <v>11</v>
      </c>
      <c r="E15" s="42" t="s">
        <v>48</v>
      </c>
      <c r="F15" s="86" t="s">
        <v>50</v>
      </c>
      <c r="G15" s="10">
        <v>12</v>
      </c>
      <c r="H15" s="113">
        <v>17</v>
      </c>
      <c r="I15" s="113">
        <v>22</v>
      </c>
      <c r="J15" s="113">
        <v>30</v>
      </c>
      <c r="K15" s="107">
        <v>43</v>
      </c>
      <c r="L15" s="113">
        <v>70</v>
      </c>
      <c r="M15" s="113">
        <v>93</v>
      </c>
      <c r="N15" s="113">
        <v>114</v>
      </c>
      <c r="O15" s="113">
        <v>138</v>
      </c>
      <c r="P15" s="114">
        <v>155</v>
      </c>
      <c r="Q15" s="55"/>
      <c r="R15" s="55"/>
      <c r="S15" s="55"/>
      <c r="T15" s="10"/>
      <c r="U15" s="10"/>
      <c r="V15" s="10"/>
      <c r="W15" s="10"/>
      <c r="X15" s="10"/>
    </row>
    <row r="16" spans="1:24" ht="19.149999999999999" customHeight="1" x14ac:dyDescent="0.2">
      <c r="A16" s="29"/>
      <c r="B16" s="11" t="s">
        <v>0</v>
      </c>
      <c r="C16" s="15">
        <v>2</v>
      </c>
      <c r="D16" s="13" t="s">
        <v>10</v>
      </c>
      <c r="E16" s="41" t="s">
        <v>47</v>
      </c>
      <c r="F16" s="85" t="s">
        <v>50</v>
      </c>
      <c r="G16" s="9">
        <v>12</v>
      </c>
      <c r="H16" s="108">
        <v>19</v>
      </c>
      <c r="I16" s="108">
        <v>25</v>
      </c>
      <c r="J16" s="108">
        <v>36</v>
      </c>
      <c r="K16" s="105">
        <v>42</v>
      </c>
      <c r="L16" s="108">
        <v>52</v>
      </c>
      <c r="M16" s="108">
        <v>70</v>
      </c>
      <c r="N16" s="108">
        <v>88</v>
      </c>
      <c r="O16" s="108">
        <v>114</v>
      </c>
      <c r="P16" s="110">
        <v>136</v>
      </c>
      <c r="Q16" s="56"/>
      <c r="R16" s="56"/>
      <c r="S16" s="56"/>
      <c r="T16" s="9"/>
      <c r="U16" s="9"/>
      <c r="V16" s="9"/>
      <c r="W16" s="9"/>
      <c r="X16" s="9"/>
    </row>
    <row r="17" spans="1:24" ht="19.149999999999999" customHeight="1" x14ac:dyDescent="0.2">
      <c r="A17" s="29"/>
      <c r="B17" s="58"/>
      <c r="C17" s="59"/>
      <c r="D17" s="79" t="s">
        <v>34</v>
      </c>
      <c r="E17" s="80" t="s">
        <v>47</v>
      </c>
      <c r="F17" s="85" t="s">
        <v>50</v>
      </c>
      <c r="G17" s="49">
        <v>10</v>
      </c>
      <c r="H17" s="111">
        <v>19</v>
      </c>
      <c r="I17" s="111">
        <v>26</v>
      </c>
      <c r="J17" s="111">
        <v>38</v>
      </c>
      <c r="K17" s="106">
        <v>41</v>
      </c>
      <c r="L17" s="111">
        <v>46</v>
      </c>
      <c r="M17" s="111">
        <v>68</v>
      </c>
      <c r="N17" s="111">
        <v>89</v>
      </c>
      <c r="O17" s="111">
        <v>119</v>
      </c>
      <c r="P17" s="112">
        <v>142</v>
      </c>
      <c r="Q17" s="81"/>
      <c r="R17" s="81"/>
      <c r="S17" s="81"/>
      <c r="T17" s="49"/>
      <c r="U17" s="49"/>
      <c r="V17" s="49"/>
      <c r="W17" s="49"/>
      <c r="X17" s="49"/>
    </row>
    <row r="18" spans="1:24" ht="19.149999999999999" customHeight="1" thickBot="1" x14ac:dyDescent="0.25">
      <c r="A18" s="29"/>
      <c r="B18" s="14"/>
      <c r="C18" s="16"/>
      <c r="D18" s="17" t="s">
        <v>11</v>
      </c>
      <c r="E18" s="42" t="s">
        <v>47</v>
      </c>
      <c r="F18" s="85" t="s">
        <v>50</v>
      </c>
      <c r="G18" s="10">
        <v>9</v>
      </c>
      <c r="H18" s="113">
        <v>14</v>
      </c>
      <c r="I18" s="113">
        <v>21</v>
      </c>
      <c r="J18" s="113">
        <v>28</v>
      </c>
      <c r="K18" s="107">
        <v>34</v>
      </c>
      <c r="L18" s="113">
        <v>45</v>
      </c>
      <c r="M18" s="113">
        <v>55</v>
      </c>
      <c r="N18" s="113">
        <v>68</v>
      </c>
      <c r="O18" s="113">
        <v>84</v>
      </c>
      <c r="P18" s="114">
        <v>100</v>
      </c>
      <c r="Q18" s="55"/>
      <c r="R18" s="55"/>
      <c r="S18" s="55"/>
      <c r="T18" s="10"/>
      <c r="U18" s="10"/>
      <c r="V18" s="10"/>
      <c r="W18" s="10"/>
      <c r="X18" s="10"/>
    </row>
    <row r="19" spans="1:24" ht="19.149999999999999" customHeight="1" x14ac:dyDescent="0.2">
      <c r="A19" s="29"/>
      <c r="B19" s="11" t="s">
        <v>0</v>
      </c>
      <c r="C19" s="15">
        <v>3</v>
      </c>
      <c r="D19" s="13" t="s">
        <v>10</v>
      </c>
      <c r="E19" s="41" t="s">
        <v>45</v>
      </c>
      <c r="F19" s="82" t="s">
        <v>50</v>
      </c>
      <c r="G19" s="9">
        <v>12</v>
      </c>
      <c r="H19" s="108">
        <v>18</v>
      </c>
      <c r="I19" s="108">
        <v>26</v>
      </c>
      <c r="J19" s="108">
        <v>33</v>
      </c>
      <c r="K19" s="105">
        <v>38</v>
      </c>
      <c r="L19" s="108">
        <v>53</v>
      </c>
      <c r="M19" s="108">
        <v>68</v>
      </c>
      <c r="N19" s="108">
        <v>82</v>
      </c>
      <c r="O19" s="108">
        <v>105</v>
      </c>
      <c r="P19" s="110">
        <v>126</v>
      </c>
      <c r="Q19" s="56"/>
      <c r="R19" s="56"/>
      <c r="S19" s="56"/>
      <c r="T19" s="9"/>
      <c r="U19" s="9"/>
      <c r="V19" s="9"/>
      <c r="W19" s="9"/>
      <c r="X19" s="9"/>
    </row>
    <row r="20" spans="1:24" ht="19.149999999999999" customHeight="1" x14ac:dyDescent="0.2">
      <c r="A20" s="29"/>
      <c r="B20" s="58"/>
      <c r="C20" s="59"/>
      <c r="D20" s="79" t="s">
        <v>34</v>
      </c>
      <c r="E20" s="80" t="s">
        <v>45</v>
      </c>
      <c r="F20" s="85" t="s">
        <v>50</v>
      </c>
      <c r="G20" s="49">
        <v>12</v>
      </c>
      <c r="H20" s="111">
        <v>22</v>
      </c>
      <c r="I20" s="111">
        <v>33</v>
      </c>
      <c r="J20" s="111">
        <v>45</v>
      </c>
      <c r="K20" s="106">
        <v>53</v>
      </c>
      <c r="L20" s="111">
        <v>71</v>
      </c>
      <c r="M20" s="111">
        <v>87</v>
      </c>
      <c r="N20" s="111">
        <v>103</v>
      </c>
      <c r="O20" s="111">
        <v>131</v>
      </c>
      <c r="P20" s="112">
        <v>154</v>
      </c>
      <c r="Q20" s="81"/>
      <c r="R20" s="81"/>
      <c r="S20" s="81"/>
      <c r="T20" s="49"/>
      <c r="U20" s="49"/>
      <c r="V20" s="49"/>
      <c r="W20" s="49"/>
      <c r="X20" s="49"/>
    </row>
    <row r="21" spans="1:24" ht="19.149999999999999" customHeight="1" thickBot="1" x14ac:dyDescent="0.25">
      <c r="A21" s="29"/>
      <c r="B21" s="14"/>
      <c r="C21" s="16"/>
      <c r="D21" s="17" t="s">
        <v>11</v>
      </c>
      <c r="E21" s="42" t="s">
        <v>45</v>
      </c>
      <c r="F21" s="86" t="s">
        <v>50</v>
      </c>
      <c r="G21" s="10">
        <v>13</v>
      </c>
      <c r="H21" s="113">
        <v>19</v>
      </c>
      <c r="I21" s="113">
        <v>26</v>
      </c>
      <c r="J21" s="113">
        <v>31</v>
      </c>
      <c r="K21" s="107">
        <v>42</v>
      </c>
      <c r="L21" s="113">
        <v>67</v>
      </c>
      <c r="M21" s="113">
        <v>79</v>
      </c>
      <c r="N21" s="113">
        <v>90</v>
      </c>
      <c r="O21" s="113">
        <v>113</v>
      </c>
      <c r="P21" s="114">
        <v>134</v>
      </c>
      <c r="Q21" s="55"/>
      <c r="R21" s="55"/>
      <c r="S21" s="55"/>
      <c r="T21" s="10"/>
      <c r="U21" s="10"/>
      <c r="V21" s="10"/>
      <c r="W21" s="10"/>
      <c r="X21" s="10"/>
    </row>
    <row r="22" spans="1:24" ht="19.149999999999999" customHeight="1" x14ac:dyDescent="0.2">
      <c r="A22" s="29"/>
      <c r="B22" s="11" t="s">
        <v>0</v>
      </c>
      <c r="C22" s="15">
        <v>4</v>
      </c>
      <c r="D22" s="13" t="s">
        <v>10</v>
      </c>
      <c r="E22" s="41" t="s">
        <v>44</v>
      </c>
      <c r="F22" s="82" t="s">
        <v>50</v>
      </c>
      <c r="G22" s="9">
        <v>9</v>
      </c>
      <c r="H22" s="108">
        <v>12</v>
      </c>
      <c r="I22" s="108">
        <v>15</v>
      </c>
      <c r="J22" s="108">
        <v>20</v>
      </c>
      <c r="K22" s="105">
        <v>30</v>
      </c>
      <c r="L22" s="108">
        <v>48</v>
      </c>
      <c r="M22" s="108">
        <v>63</v>
      </c>
      <c r="N22" s="108">
        <v>80</v>
      </c>
      <c r="O22" s="108">
        <v>102</v>
      </c>
      <c r="P22" s="110">
        <v>119</v>
      </c>
      <c r="Q22" s="56"/>
      <c r="R22" s="56"/>
      <c r="S22" s="56"/>
      <c r="T22" s="9"/>
      <c r="U22" s="9"/>
      <c r="V22" s="9"/>
      <c r="W22" s="9"/>
      <c r="X22" s="9"/>
    </row>
    <row r="23" spans="1:24" ht="19.149999999999999" customHeight="1" x14ac:dyDescent="0.2">
      <c r="A23" s="29"/>
      <c r="B23" s="58"/>
      <c r="C23" s="59"/>
      <c r="D23" s="79" t="s">
        <v>34</v>
      </c>
      <c r="E23" s="80" t="s">
        <v>44</v>
      </c>
      <c r="F23" s="85" t="s">
        <v>50</v>
      </c>
      <c r="G23" s="49">
        <v>10</v>
      </c>
      <c r="H23" s="111">
        <v>14</v>
      </c>
      <c r="I23" s="111">
        <v>17</v>
      </c>
      <c r="J23" s="111">
        <v>23</v>
      </c>
      <c r="K23" s="106">
        <v>38</v>
      </c>
      <c r="L23" s="111">
        <v>70</v>
      </c>
      <c r="M23" s="111">
        <v>85</v>
      </c>
      <c r="N23" s="111">
        <v>101</v>
      </c>
      <c r="O23" s="111">
        <v>125</v>
      </c>
      <c r="P23" s="112">
        <v>144</v>
      </c>
      <c r="Q23" s="81"/>
      <c r="R23" s="81"/>
      <c r="S23" s="81"/>
      <c r="T23" s="49"/>
      <c r="U23" s="49"/>
      <c r="V23" s="49"/>
      <c r="W23" s="49"/>
      <c r="X23" s="49"/>
    </row>
    <row r="24" spans="1:24" ht="19.149999999999999" customHeight="1" thickBot="1" x14ac:dyDescent="0.25">
      <c r="A24" s="29"/>
      <c r="B24" s="14"/>
      <c r="C24" s="16"/>
      <c r="D24" s="17" t="s">
        <v>11</v>
      </c>
      <c r="E24" s="42" t="s">
        <v>44</v>
      </c>
      <c r="F24" s="86" t="s">
        <v>50</v>
      </c>
      <c r="G24" s="10">
        <v>15</v>
      </c>
      <c r="H24" s="113">
        <v>23</v>
      </c>
      <c r="I24" s="113">
        <v>31</v>
      </c>
      <c r="J24" s="113">
        <v>42</v>
      </c>
      <c r="K24" s="107">
        <v>64</v>
      </c>
      <c r="L24" s="113">
        <v>103</v>
      </c>
      <c r="M24" s="113">
        <v>121</v>
      </c>
      <c r="N24" s="113">
        <v>137</v>
      </c>
      <c r="O24" s="113">
        <v>153</v>
      </c>
      <c r="P24" s="114">
        <v>169</v>
      </c>
      <c r="Q24" s="55">
        <v>193</v>
      </c>
      <c r="R24" s="55"/>
      <c r="S24" s="55"/>
      <c r="T24" s="10"/>
      <c r="U24" s="10"/>
      <c r="V24" s="10"/>
      <c r="W24" s="10"/>
      <c r="X24" s="10"/>
    </row>
    <row r="25" spans="1:24" ht="19.149999999999999" customHeight="1" x14ac:dyDescent="0.2">
      <c r="A25" s="29"/>
      <c r="B25" s="11" t="s">
        <v>1</v>
      </c>
      <c r="C25" s="15">
        <v>4</v>
      </c>
      <c r="D25" s="13" t="s">
        <v>11</v>
      </c>
      <c r="E25" s="41" t="s">
        <v>44</v>
      </c>
      <c r="F25" s="82" t="s">
        <v>43</v>
      </c>
      <c r="G25" s="9">
        <v>16</v>
      </c>
      <c r="H25" s="108">
        <v>26</v>
      </c>
      <c r="I25" s="108">
        <v>37</v>
      </c>
      <c r="J25" s="108">
        <v>48</v>
      </c>
      <c r="K25" s="105">
        <v>63</v>
      </c>
      <c r="L25" s="108">
        <v>99</v>
      </c>
      <c r="M25" s="108">
        <v>114</v>
      </c>
      <c r="N25" s="108">
        <v>131</v>
      </c>
      <c r="O25" s="108">
        <v>151</v>
      </c>
      <c r="P25" s="110">
        <v>167</v>
      </c>
      <c r="Q25" s="56">
        <v>187</v>
      </c>
      <c r="R25" s="56"/>
      <c r="S25" s="56"/>
      <c r="T25" s="9"/>
      <c r="U25" s="9"/>
      <c r="V25" s="9"/>
      <c r="W25" s="9"/>
      <c r="X25" s="9"/>
    </row>
    <row r="26" spans="1:24" ht="19.149999999999999" customHeight="1" x14ac:dyDescent="0.2">
      <c r="A26" s="29"/>
      <c r="B26" s="58"/>
      <c r="C26" s="59"/>
      <c r="D26" s="79" t="s">
        <v>34</v>
      </c>
      <c r="E26" s="80" t="s">
        <v>44</v>
      </c>
      <c r="F26" s="85" t="s">
        <v>43</v>
      </c>
      <c r="G26" s="49">
        <v>16</v>
      </c>
      <c r="H26" s="111">
        <v>23</v>
      </c>
      <c r="I26" s="111">
        <v>32</v>
      </c>
      <c r="J26" s="111">
        <v>42</v>
      </c>
      <c r="K26" s="106">
        <v>60</v>
      </c>
      <c r="L26" s="111">
        <v>97</v>
      </c>
      <c r="M26" s="111">
        <v>111</v>
      </c>
      <c r="N26" s="111">
        <v>133</v>
      </c>
      <c r="O26" s="111">
        <v>156</v>
      </c>
      <c r="P26" s="112">
        <v>175</v>
      </c>
      <c r="Q26" s="81">
        <v>183</v>
      </c>
      <c r="R26" s="81"/>
      <c r="S26" s="81"/>
      <c r="T26" s="49"/>
      <c r="U26" s="49"/>
      <c r="V26" s="49"/>
      <c r="W26" s="49"/>
      <c r="X26" s="49"/>
    </row>
    <row r="27" spans="1:24" ht="19.149999999999999" customHeight="1" thickBot="1" x14ac:dyDescent="0.25">
      <c r="A27" s="29"/>
      <c r="B27" s="14"/>
      <c r="C27" s="16"/>
      <c r="D27" s="17" t="s">
        <v>10</v>
      </c>
      <c r="E27" s="42" t="s">
        <v>44</v>
      </c>
      <c r="F27" s="86" t="s">
        <v>43</v>
      </c>
      <c r="G27" s="10">
        <v>15</v>
      </c>
      <c r="H27" s="113">
        <v>22</v>
      </c>
      <c r="I27" s="113">
        <v>30</v>
      </c>
      <c r="J27" s="113">
        <v>41</v>
      </c>
      <c r="K27" s="107">
        <v>56</v>
      </c>
      <c r="L27" s="113">
        <v>89</v>
      </c>
      <c r="M27" s="113">
        <v>100</v>
      </c>
      <c r="N27" s="113">
        <v>115</v>
      </c>
      <c r="O27" s="113">
        <v>142</v>
      </c>
      <c r="P27" s="114">
        <v>162</v>
      </c>
      <c r="Q27" s="55">
        <v>182</v>
      </c>
      <c r="R27" s="55"/>
      <c r="S27" s="55"/>
      <c r="T27" s="10"/>
      <c r="U27" s="10"/>
      <c r="V27" s="10"/>
      <c r="W27" s="10"/>
      <c r="X27" s="10"/>
    </row>
    <row r="28" spans="1:24" ht="19.149999999999999" customHeight="1" x14ac:dyDescent="0.2">
      <c r="A28" s="29"/>
      <c r="B28" s="11" t="s">
        <v>1</v>
      </c>
      <c r="C28" s="15">
        <v>3</v>
      </c>
      <c r="D28" s="13" t="s">
        <v>11</v>
      </c>
      <c r="E28" s="41" t="s">
        <v>45</v>
      </c>
      <c r="F28" s="82" t="s">
        <v>43</v>
      </c>
      <c r="G28" s="9">
        <v>15</v>
      </c>
      <c r="H28" s="108">
        <v>23</v>
      </c>
      <c r="I28" s="108">
        <v>30</v>
      </c>
      <c r="J28" s="108">
        <v>38</v>
      </c>
      <c r="K28" s="105">
        <v>50</v>
      </c>
      <c r="L28" s="108">
        <v>71</v>
      </c>
      <c r="M28" s="108">
        <v>86</v>
      </c>
      <c r="N28" s="108">
        <v>99</v>
      </c>
      <c r="O28" s="108">
        <v>128</v>
      </c>
      <c r="P28" s="110">
        <v>152</v>
      </c>
      <c r="Q28" s="56"/>
      <c r="R28" s="56"/>
      <c r="S28" s="56"/>
      <c r="T28" s="9"/>
      <c r="U28" s="9"/>
      <c r="V28" s="9"/>
      <c r="W28" s="9"/>
      <c r="X28" s="9"/>
    </row>
    <row r="29" spans="1:24" ht="19.149999999999999" customHeight="1" x14ac:dyDescent="0.2">
      <c r="A29" s="29"/>
      <c r="B29" s="58"/>
      <c r="C29" s="59"/>
      <c r="D29" s="79" t="s">
        <v>34</v>
      </c>
      <c r="E29" s="80" t="s">
        <v>45</v>
      </c>
      <c r="F29" s="85" t="s">
        <v>43</v>
      </c>
      <c r="G29" s="49">
        <v>17</v>
      </c>
      <c r="H29" s="111">
        <v>24</v>
      </c>
      <c r="I29" s="111">
        <v>30</v>
      </c>
      <c r="J29" s="111">
        <v>37</v>
      </c>
      <c r="K29" s="106">
        <v>49</v>
      </c>
      <c r="L29" s="111">
        <v>74</v>
      </c>
      <c r="M29" s="111">
        <v>91</v>
      </c>
      <c r="N29" s="111">
        <v>105</v>
      </c>
      <c r="O29" s="111">
        <v>126</v>
      </c>
      <c r="P29" s="112">
        <v>143</v>
      </c>
      <c r="Q29" s="81"/>
      <c r="R29" s="81"/>
      <c r="S29" s="81"/>
      <c r="T29" s="49"/>
      <c r="U29" s="49"/>
      <c r="V29" s="49"/>
      <c r="W29" s="49"/>
      <c r="X29" s="49"/>
    </row>
    <row r="30" spans="1:24" ht="19.149999999999999" customHeight="1" thickBot="1" x14ac:dyDescent="0.25">
      <c r="A30" s="29"/>
      <c r="B30" s="14"/>
      <c r="C30" s="16"/>
      <c r="D30" s="17" t="s">
        <v>10</v>
      </c>
      <c r="E30" s="42" t="s">
        <v>45</v>
      </c>
      <c r="F30" s="86" t="s">
        <v>43</v>
      </c>
      <c r="G30" s="10">
        <v>17</v>
      </c>
      <c r="H30" s="113">
        <v>26</v>
      </c>
      <c r="I30" s="113">
        <v>32</v>
      </c>
      <c r="J30" s="113">
        <v>40</v>
      </c>
      <c r="K30" s="107">
        <v>51</v>
      </c>
      <c r="L30" s="113">
        <v>73</v>
      </c>
      <c r="M30" s="113">
        <v>88</v>
      </c>
      <c r="N30" s="113">
        <v>102</v>
      </c>
      <c r="O30" s="113">
        <v>130</v>
      </c>
      <c r="P30" s="114">
        <v>151</v>
      </c>
      <c r="Q30" s="55"/>
      <c r="R30" s="55"/>
      <c r="S30" s="55"/>
      <c r="T30" s="10"/>
      <c r="U30" s="10"/>
      <c r="V30" s="10"/>
      <c r="W30" s="10"/>
      <c r="X30" s="10"/>
    </row>
    <row r="31" spans="1:24" ht="19.149999999999999" customHeight="1" x14ac:dyDescent="0.2">
      <c r="A31" s="29"/>
      <c r="B31" s="11" t="s">
        <v>1</v>
      </c>
      <c r="C31" s="15">
        <v>2</v>
      </c>
      <c r="D31" s="13" t="s">
        <v>11</v>
      </c>
      <c r="E31" s="41" t="s">
        <v>47</v>
      </c>
      <c r="F31" s="82" t="s">
        <v>43</v>
      </c>
      <c r="G31" s="9">
        <v>18</v>
      </c>
      <c r="H31" s="108">
        <v>28</v>
      </c>
      <c r="I31" s="108">
        <v>40</v>
      </c>
      <c r="J31" s="108">
        <v>53</v>
      </c>
      <c r="K31" s="105">
        <v>59</v>
      </c>
      <c r="L31" s="108">
        <v>70</v>
      </c>
      <c r="M31" s="108">
        <v>84</v>
      </c>
      <c r="N31" s="108">
        <v>98</v>
      </c>
      <c r="O31" s="108">
        <v>122</v>
      </c>
      <c r="P31" s="110">
        <v>141</v>
      </c>
      <c r="Q31" s="56"/>
      <c r="R31" s="56"/>
      <c r="S31" s="56"/>
      <c r="T31" s="9"/>
      <c r="U31" s="9"/>
      <c r="V31" s="9"/>
      <c r="W31" s="9"/>
      <c r="X31" s="9"/>
    </row>
    <row r="32" spans="1:24" ht="19.149999999999999" customHeight="1" x14ac:dyDescent="0.2">
      <c r="A32" s="29"/>
      <c r="B32" s="58"/>
      <c r="C32" s="59"/>
      <c r="D32" s="79" t="s">
        <v>34</v>
      </c>
      <c r="E32" s="80" t="s">
        <v>47</v>
      </c>
      <c r="F32" s="85" t="s">
        <v>43</v>
      </c>
      <c r="G32" s="49">
        <v>23</v>
      </c>
      <c r="H32" s="111">
        <v>32</v>
      </c>
      <c r="I32" s="111">
        <v>42</v>
      </c>
      <c r="J32" s="111">
        <v>55</v>
      </c>
      <c r="K32" s="106">
        <v>62</v>
      </c>
      <c r="L32" s="111">
        <v>76</v>
      </c>
      <c r="M32" s="111">
        <v>97</v>
      </c>
      <c r="N32" s="111">
        <v>117</v>
      </c>
      <c r="O32" s="111">
        <v>142</v>
      </c>
      <c r="P32" s="112">
        <v>165</v>
      </c>
      <c r="Q32" s="81">
        <v>184</v>
      </c>
      <c r="R32" s="81"/>
      <c r="S32" s="81"/>
      <c r="T32" s="49"/>
      <c r="U32" s="49"/>
      <c r="V32" s="49"/>
      <c r="W32" s="49"/>
      <c r="X32" s="49"/>
    </row>
    <row r="33" spans="1:24" ht="19.149999999999999" customHeight="1" thickBot="1" x14ac:dyDescent="0.25">
      <c r="A33" s="29"/>
      <c r="B33" s="14"/>
      <c r="C33" s="16"/>
      <c r="D33" s="17" t="s">
        <v>10</v>
      </c>
      <c r="E33" s="42" t="s">
        <v>47</v>
      </c>
      <c r="F33" s="86" t="s">
        <v>43</v>
      </c>
      <c r="G33" s="10">
        <v>21</v>
      </c>
      <c r="H33" s="113">
        <v>33</v>
      </c>
      <c r="I33" s="113">
        <v>45</v>
      </c>
      <c r="J33" s="113">
        <v>58</v>
      </c>
      <c r="K33" s="107">
        <v>68</v>
      </c>
      <c r="L33" s="113">
        <v>86</v>
      </c>
      <c r="M33" s="113">
        <v>101</v>
      </c>
      <c r="N33" s="113">
        <v>117</v>
      </c>
      <c r="O33" s="113">
        <v>140</v>
      </c>
      <c r="P33" s="114">
        <v>159</v>
      </c>
      <c r="Q33" s="55">
        <v>179</v>
      </c>
      <c r="R33" s="55"/>
      <c r="S33" s="55"/>
      <c r="T33" s="10"/>
      <c r="U33" s="10"/>
      <c r="V33" s="10"/>
      <c r="W33" s="10"/>
      <c r="X33" s="10"/>
    </row>
    <row r="34" spans="1:24" ht="19.149999999999999" customHeight="1" x14ac:dyDescent="0.2">
      <c r="A34" s="29"/>
      <c r="B34" s="11" t="s">
        <v>1</v>
      </c>
      <c r="C34" s="15">
        <v>1</v>
      </c>
      <c r="D34" s="13" t="s">
        <v>11</v>
      </c>
      <c r="E34" s="41" t="s">
        <v>48</v>
      </c>
      <c r="F34" s="82" t="s">
        <v>43</v>
      </c>
      <c r="G34" s="9">
        <v>19</v>
      </c>
      <c r="H34" s="108">
        <v>30</v>
      </c>
      <c r="I34" s="108">
        <v>43</v>
      </c>
      <c r="J34" s="108">
        <v>56</v>
      </c>
      <c r="K34" s="105">
        <v>68</v>
      </c>
      <c r="L34" s="108">
        <v>95</v>
      </c>
      <c r="M34" s="108">
        <v>113</v>
      </c>
      <c r="N34" s="108">
        <v>130</v>
      </c>
      <c r="O34" s="108">
        <v>160</v>
      </c>
      <c r="P34" s="109">
        <v>184</v>
      </c>
      <c r="Q34" s="54">
        <v>196</v>
      </c>
      <c r="R34" s="54"/>
      <c r="S34" s="54"/>
      <c r="T34" s="9"/>
      <c r="U34" s="9"/>
      <c r="V34" s="9"/>
      <c r="W34" s="9"/>
      <c r="X34" s="9"/>
    </row>
    <row r="35" spans="1:24" ht="19.149999999999999" customHeight="1" x14ac:dyDescent="0.2">
      <c r="A35" s="29"/>
      <c r="B35" s="58"/>
      <c r="C35" s="59"/>
      <c r="D35" s="79" t="s">
        <v>34</v>
      </c>
      <c r="E35" s="80" t="s">
        <v>48</v>
      </c>
      <c r="F35" s="85" t="s">
        <v>43</v>
      </c>
      <c r="G35" s="49">
        <v>17</v>
      </c>
      <c r="H35" s="111">
        <v>26</v>
      </c>
      <c r="I35" s="111">
        <v>35</v>
      </c>
      <c r="J35" s="111">
        <v>48</v>
      </c>
      <c r="K35" s="106">
        <v>58</v>
      </c>
      <c r="L35" s="111">
        <v>78</v>
      </c>
      <c r="M35" s="111">
        <v>91</v>
      </c>
      <c r="N35" s="111">
        <v>106</v>
      </c>
      <c r="O35" s="111">
        <v>141</v>
      </c>
      <c r="P35" s="112">
        <v>167</v>
      </c>
      <c r="Q35" s="81">
        <v>186</v>
      </c>
      <c r="R35" s="81"/>
      <c r="S35" s="81"/>
      <c r="T35" s="49"/>
      <c r="U35" s="49"/>
      <c r="V35" s="49"/>
      <c r="W35" s="49"/>
      <c r="X35" s="49"/>
    </row>
    <row r="36" spans="1:24" ht="19.149999999999999" customHeight="1" thickBot="1" x14ac:dyDescent="0.25">
      <c r="A36" s="29"/>
      <c r="B36" s="14"/>
      <c r="C36" s="16"/>
      <c r="D36" s="17" t="s">
        <v>10</v>
      </c>
      <c r="E36" s="42" t="s">
        <v>48</v>
      </c>
      <c r="F36" s="86" t="s">
        <v>43</v>
      </c>
      <c r="G36" s="10">
        <v>18</v>
      </c>
      <c r="H36" s="113">
        <v>28</v>
      </c>
      <c r="I36" s="113">
        <v>41</v>
      </c>
      <c r="J36" s="113">
        <v>52</v>
      </c>
      <c r="K36" s="107">
        <v>68</v>
      </c>
      <c r="L36" s="113">
        <v>97</v>
      </c>
      <c r="M36" s="113">
        <v>115</v>
      </c>
      <c r="N36" s="113">
        <v>133</v>
      </c>
      <c r="O36" s="113">
        <v>160</v>
      </c>
      <c r="P36" s="114">
        <v>185</v>
      </c>
      <c r="Q36" s="55">
        <v>97</v>
      </c>
      <c r="R36" s="55"/>
      <c r="S36" s="55"/>
      <c r="T36" s="10"/>
      <c r="U36" s="10"/>
      <c r="V36" s="10"/>
      <c r="W36" s="10"/>
      <c r="X36" s="10"/>
    </row>
    <row r="37" spans="1:24" ht="19.149999999999999" customHeight="1" x14ac:dyDescent="0.2">
      <c r="A37" s="29"/>
      <c r="B37" s="11" t="s">
        <v>2</v>
      </c>
      <c r="C37" s="15">
        <v>1</v>
      </c>
      <c r="D37" s="13" t="s">
        <v>10</v>
      </c>
      <c r="E37" s="41" t="s">
        <v>45</v>
      </c>
      <c r="F37" s="82" t="s">
        <v>43</v>
      </c>
      <c r="G37" s="9">
        <v>23</v>
      </c>
      <c r="H37" s="108">
        <v>34</v>
      </c>
      <c r="I37" s="108">
        <v>48</v>
      </c>
      <c r="J37" s="108">
        <v>63</v>
      </c>
      <c r="K37" s="105">
        <v>73</v>
      </c>
      <c r="L37" s="108">
        <v>96</v>
      </c>
      <c r="M37" s="108">
        <v>113</v>
      </c>
      <c r="N37" s="108">
        <v>129</v>
      </c>
      <c r="O37" s="108">
        <v>151</v>
      </c>
      <c r="P37" s="109">
        <v>171</v>
      </c>
      <c r="Q37" s="54">
        <v>191</v>
      </c>
      <c r="R37" s="54"/>
      <c r="S37" s="54"/>
      <c r="T37" s="9"/>
      <c r="U37" s="9"/>
      <c r="V37" s="9"/>
      <c r="W37" s="9"/>
      <c r="X37" s="9"/>
    </row>
    <row r="38" spans="1:24" ht="19.149999999999999" customHeight="1" x14ac:dyDescent="0.2">
      <c r="A38" s="29"/>
      <c r="B38" s="58"/>
      <c r="C38" s="59"/>
      <c r="D38" s="79" t="s">
        <v>34</v>
      </c>
      <c r="E38" s="80" t="s">
        <v>45</v>
      </c>
      <c r="F38" s="85" t="s">
        <v>43</v>
      </c>
      <c r="G38" s="49">
        <v>15</v>
      </c>
      <c r="H38" s="111">
        <v>25</v>
      </c>
      <c r="I38" s="111">
        <v>37</v>
      </c>
      <c r="J38" s="111">
        <v>51</v>
      </c>
      <c r="K38" s="106">
        <v>62</v>
      </c>
      <c r="L38" s="111">
        <v>79</v>
      </c>
      <c r="M38" s="111">
        <v>95</v>
      </c>
      <c r="N38" s="111">
        <v>111</v>
      </c>
      <c r="O38" s="111">
        <v>136</v>
      </c>
      <c r="P38" s="112">
        <v>157</v>
      </c>
      <c r="Q38" s="81">
        <v>178</v>
      </c>
      <c r="R38" s="81"/>
      <c r="S38" s="81"/>
      <c r="T38" s="49"/>
      <c r="U38" s="49"/>
      <c r="V38" s="49"/>
      <c r="W38" s="49"/>
      <c r="X38" s="49"/>
    </row>
    <row r="39" spans="1:24" ht="19.149999999999999" customHeight="1" thickBot="1" x14ac:dyDescent="0.25">
      <c r="A39" s="29"/>
      <c r="B39" s="14"/>
      <c r="C39" s="16"/>
      <c r="D39" s="17" t="s">
        <v>11</v>
      </c>
      <c r="E39" s="42" t="s">
        <v>45</v>
      </c>
      <c r="F39" s="86" t="s">
        <v>43</v>
      </c>
      <c r="G39" s="10">
        <v>18</v>
      </c>
      <c r="H39" s="113">
        <v>30</v>
      </c>
      <c r="I39" s="113">
        <v>44</v>
      </c>
      <c r="J39" s="113">
        <v>59</v>
      </c>
      <c r="K39" s="107">
        <v>71</v>
      </c>
      <c r="L39" s="113">
        <v>99</v>
      </c>
      <c r="M39" s="113">
        <v>122</v>
      </c>
      <c r="N39" s="113">
        <v>143</v>
      </c>
      <c r="O39" s="113">
        <v>160</v>
      </c>
      <c r="P39" s="114">
        <v>174</v>
      </c>
      <c r="Q39" s="55">
        <v>190</v>
      </c>
      <c r="R39" s="55"/>
      <c r="S39" s="55"/>
      <c r="T39" s="10"/>
      <c r="U39" s="10"/>
      <c r="V39" s="10"/>
      <c r="W39" s="10"/>
      <c r="X39" s="10"/>
    </row>
    <row r="40" spans="1:24" ht="19.149999999999999" customHeight="1" x14ac:dyDescent="0.2">
      <c r="A40" s="29"/>
      <c r="B40" s="11" t="s">
        <v>2</v>
      </c>
      <c r="C40" s="15">
        <v>2</v>
      </c>
      <c r="D40" s="13" t="s">
        <v>10</v>
      </c>
      <c r="E40" s="41" t="s">
        <v>49</v>
      </c>
      <c r="F40" s="82" t="s">
        <v>43</v>
      </c>
      <c r="G40" s="9">
        <v>21</v>
      </c>
      <c r="H40" s="104">
        <v>21</v>
      </c>
      <c r="I40" s="104">
        <v>21</v>
      </c>
      <c r="J40" s="97">
        <v>58</v>
      </c>
      <c r="K40" s="105">
        <v>73</v>
      </c>
      <c r="L40" s="108">
        <v>100</v>
      </c>
      <c r="M40" s="108">
        <v>139</v>
      </c>
      <c r="N40" s="108">
        <v>159</v>
      </c>
      <c r="O40" s="108">
        <v>183</v>
      </c>
      <c r="P40" s="110">
        <v>203</v>
      </c>
      <c r="Q40" s="56">
        <v>200</v>
      </c>
      <c r="R40" s="56"/>
      <c r="S40" s="56"/>
      <c r="T40" s="9"/>
      <c r="U40" s="9"/>
      <c r="V40" s="9"/>
      <c r="W40" s="9"/>
      <c r="X40" s="9"/>
    </row>
    <row r="41" spans="1:24" ht="19.149999999999999" customHeight="1" x14ac:dyDescent="0.2">
      <c r="A41" s="29"/>
      <c r="B41" s="58"/>
      <c r="C41" s="59"/>
      <c r="D41" s="79" t="s">
        <v>34</v>
      </c>
      <c r="E41" s="80" t="s">
        <v>49</v>
      </c>
      <c r="F41" s="85" t="s">
        <v>43</v>
      </c>
      <c r="G41" s="49">
        <v>20</v>
      </c>
      <c r="H41" s="115">
        <v>32</v>
      </c>
      <c r="I41" s="115">
        <v>44</v>
      </c>
      <c r="J41" s="116">
        <v>54</v>
      </c>
      <c r="K41" s="106">
        <v>69</v>
      </c>
      <c r="L41" s="111">
        <v>98</v>
      </c>
      <c r="M41" s="111">
        <v>115</v>
      </c>
      <c r="N41" s="111">
        <v>132</v>
      </c>
      <c r="O41" s="111">
        <v>169</v>
      </c>
      <c r="P41" s="112">
        <v>197</v>
      </c>
      <c r="Q41" s="81">
        <v>201</v>
      </c>
      <c r="R41" s="81"/>
      <c r="S41" s="81"/>
      <c r="T41" s="49"/>
      <c r="U41" s="49"/>
      <c r="V41" s="49"/>
      <c r="W41" s="49"/>
      <c r="X41" s="49"/>
    </row>
    <row r="42" spans="1:24" ht="19.149999999999999" customHeight="1" thickBot="1" x14ac:dyDescent="0.25">
      <c r="A42" s="29"/>
      <c r="B42" s="14"/>
      <c r="C42" s="16"/>
      <c r="D42" s="17" t="s">
        <v>11</v>
      </c>
      <c r="E42" s="42" t="s">
        <v>49</v>
      </c>
      <c r="F42" s="86" t="s">
        <v>43</v>
      </c>
      <c r="G42" s="10">
        <v>22</v>
      </c>
      <c r="H42" s="114">
        <v>35</v>
      </c>
      <c r="I42" s="114">
        <v>49</v>
      </c>
      <c r="J42" s="117">
        <v>62</v>
      </c>
      <c r="K42" s="107">
        <v>75</v>
      </c>
      <c r="L42" s="113">
        <v>103</v>
      </c>
      <c r="M42" s="113">
        <v>118</v>
      </c>
      <c r="N42" s="113">
        <v>133</v>
      </c>
      <c r="O42" s="113">
        <v>165</v>
      </c>
      <c r="P42" s="114">
        <v>191</v>
      </c>
      <c r="Q42" s="55">
        <v>193</v>
      </c>
      <c r="R42" s="55"/>
      <c r="S42" s="55"/>
      <c r="T42" s="10"/>
      <c r="U42" s="10"/>
      <c r="V42" s="10"/>
      <c r="W42" s="10"/>
      <c r="X42" s="10"/>
    </row>
    <row r="43" spans="1:24" ht="19.149999999999999" customHeight="1" x14ac:dyDescent="0.2">
      <c r="A43" s="29"/>
      <c r="B43" s="11" t="s">
        <v>2</v>
      </c>
      <c r="C43" s="15">
        <v>3</v>
      </c>
      <c r="D43" s="13" t="s">
        <v>10</v>
      </c>
      <c r="E43" s="41" t="s">
        <v>46</v>
      </c>
      <c r="F43" s="82" t="s">
        <v>43</v>
      </c>
      <c r="G43" s="9">
        <v>19</v>
      </c>
      <c r="H43" s="108">
        <v>29</v>
      </c>
      <c r="I43" s="108">
        <v>38</v>
      </c>
      <c r="J43" s="108">
        <v>48</v>
      </c>
      <c r="K43" s="105">
        <v>62</v>
      </c>
      <c r="L43" s="108">
        <v>92</v>
      </c>
      <c r="M43" s="108">
        <v>104</v>
      </c>
      <c r="N43" s="108">
        <v>117</v>
      </c>
      <c r="O43" s="108">
        <v>165</v>
      </c>
      <c r="P43" s="110">
        <v>205</v>
      </c>
      <c r="Q43" s="56">
        <v>195</v>
      </c>
      <c r="R43" s="56"/>
      <c r="S43" s="56"/>
      <c r="T43" s="9"/>
      <c r="U43" s="9"/>
      <c r="V43" s="9"/>
      <c r="W43" s="9"/>
      <c r="X43" s="9"/>
    </row>
    <row r="44" spans="1:24" ht="19.149999999999999" customHeight="1" x14ac:dyDescent="0.2">
      <c r="A44" s="29"/>
      <c r="B44" s="58"/>
      <c r="C44" s="59"/>
      <c r="D44" s="79" t="s">
        <v>34</v>
      </c>
      <c r="E44" s="80" t="s">
        <v>46</v>
      </c>
      <c r="F44" s="85" t="s">
        <v>43</v>
      </c>
      <c r="G44" s="49">
        <v>19</v>
      </c>
      <c r="H44" s="111">
        <v>29</v>
      </c>
      <c r="I44" s="111">
        <v>42</v>
      </c>
      <c r="J44" s="111">
        <v>51</v>
      </c>
      <c r="K44" s="106">
        <v>68</v>
      </c>
      <c r="L44" s="111">
        <v>104</v>
      </c>
      <c r="M44" s="111">
        <v>125</v>
      </c>
      <c r="N44" s="111">
        <v>147</v>
      </c>
      <c r="O44" s="111">
        <v>173</v>
      </c>
      <c r="P44" s="112">
        <v>197</v>
      </c>
      <c r="Q44" s="81">
        <v>194</v>
      </c>
      <c r="R44" s="81"/>
      <c r="S44" s="81"/>
      <c r="T44" s="49"/>
      <c r="U44" s="49"/>
      <c r="V44" s="49"/>
      <c r="W44" s="49"/>
      <c r="X44" s="49"/>
    </row>
    <row r="45" spans="1:24" ht="19.149999999999999" customHeight="1" thickBot="1" x14ac:dyDescent="0.25">
      <c r="A45" s="29"/>
      <c r="B45" s="14"/>
      <c r="C45" s="16"/>
      <c r="D45" s="17" t="s">
        <v>11</v>
      </c>
      <c r="E45" s="42" t="s">
        <v>46</v>
      </c>
      <c r="F45" s="86" t="s">
        <v>43</v>
      </c>
      <c r="G45" s="10">
        <v>19</v>
      </c>
      <c r="H45" s="113">
        <v>31</v>
      </c>
      <c r="I45" s="113">
        <v>43</v>
      </c>
      <c r="J45" s="113">
        <v>54</v>
      </c>
      <c r="K45" s="107">
        <v>69</v>
      </c>
      <c r="L45" s="113">
        <v>103</v>
      </c>
      <c r="M45" s="113">
        <v>125</v>
      </c>
      <c r="N45" s="113">
        <v>146</v>
      </c>
      <c r="O45" s="113">
        <v>172</v>
      </c>
      <c r="P45" s="114">
        <v>195</v>
      </c>
      <c r="Q45" s="55">
        <v>201</v>
      </c>
      <c r="R45" s="55"/>
      <c r="S45" s="55"/>
      <c r="T45" s="10"/>
      <c r="U45" s="10"/>
      <c r="V45" s="10"/>
      <c r="W45" s="10"/>
      <c r="X45" s="10"/>
    </row>
    <row r="46" spans="1:24" ht="19.149999999999999" customHeight="1" x14ac:dyDescent="0.2">
      <c r="A46" s="29"/>
      <c r="B46" s="11" t="s">
        <v>2</v>
      </c>
      <c r="C46" s="15">
        <v>4</v>
      </c>
      <c r="D46" s="13" t="s">
        <v>10</v>
      </c>
      <c r="E46" s="41" t="s">
        <v>48</v>
      </c>
      <c r="F46" s="82" t="s">
        <v>43</v>
      </c>
      <c r="G46" s="9">
        <v>18</v>
      </c>
      <c r="H46" s="108">
        <v>18</v>
      </c>
      <c r="I46" s="108">
        <v>39</v>
      </c>
      <c r="J46" s="108">
        <v>48</v>
      </c>
      <c r="K46" s="105">
        <v>62</v>
      </c>
      <c r="L46" s="108">
        <v>91</v>
      </c>
      <c r="M46" s="108">
        <v>102</v>
      </c>
      <c r="N46" s="108">
        <v>114</v>
      </c>
      <c r="O46" s="108">
        <v>144</v>
      </c>
      <c r="P46" s="110">
        <v>170</v>
      </c>
      <c r="Q46" s="56">
        <v>185</v>
      </c>
      <c r="R46" s="56"/>
      <c r="S46" s="56"/>
      <c r="T46" s="9"/>
      <c r="U46" s="9"/>
      <c r="V46" s="9"/>
      <c r="W46" s="9"/>
      <c r="X46" s="9"/>
    </row>
    <row r="47" spans="1:24" ht="19.149999999999999" customHeight="1" x14ac:dyDescent="0.2">
      <c r="A47" s="29"/>
      <c r="B47" s="58"/>
      <c r="C47" s="59"/>
      <c r="D47" s="79" t="s">
        <v>34</v>
      </c>
      <c r="E47" s="80" t="s">
        <v>48</v>
      </c>
      <c r="F47" s="85" t="s">
        <v>43</v>
      </c>
      <c r="G47" s="49">
        <v>13</v>
      </c>
      <c r="H47" s="111">
        <v>17</v>
      </c>
      <c r="I47" s="111">
        <v>25</v>
      </c>
      <c r="J47" s="111">
        <v>32</v>
      </c>
      <c r="K47" s="106">
        <v>41</v>
      </c>
      <c r="L47" s="111">
        <v>63</v>
      </c>
      <c r="M47" s="111">
        <v>79</v>
      </c>
      <c r="N47" s="111">
        <v>95</v>
      </c>
      <c r="O47" s="111">
        <v>118</v>
      </c>
      <c r="P47" s="112">
        <v>132</v>
      </c>
      <c r="Q47" s="81"/>
      <c r="R47" s="81"/>
      <c r="S47" s="81"/>
      <c r="T47" s="49"/>
      <c r="U47" s="49"/>
      <c r="V47" s="49"/>
      <c r="W47" s="49"/>
      <c r="X47" s="49"/>
    </row>
    <row r="48" spans="1:24" ht="19.149999999999999" customHeight="1" thickBot="1" x14ac:dyDescent="0.25">
      <c r="A48" s="29"/>
      <c r="B48" s="14"/>
      <c r="C48" s="16"/>
      <c r="D48" s="17" t="s">
        <v>11</v>
      </c>
      <c r="E48" s="42" t="s">
        <v>48</v>
      </c>
      <c r="F48" s="86" t="s">
        <v>43</v>
      </c>
      <c r="G48" s="10">
        <v>16</v>
      </c>
      <c r="H48" s="113">
        <v>26</v>
      </c>
      <c r="I48" s="113">
        <v>39</v>
      </c>
      <c r="J48" s="113">
        <v>52</v>
      </c>
      <c r="K48" s="107">
        <v>67</v>
      </c>
      <c r="L48" s="113">
        <v>98</v>
      </c>
      <c r="M48" s="113">
        <v>119</v>
      </c>
      <c r="N48" s="113">
        <v>137</v>
      </c>
      <c r="O48" s="113">
        <v>163</v>
      </c>
      <c r="P48" s="114">
        <v>185</v>
      </c>
      <c r="Q48" s="55">
        <v>198</v>
      </c>
      <c r="R48" s="55"/>
      <c r="S48" s="55"/>
      <c r="T48" s="10"/>
      <c r="U48" s="10"/>
      <c r="V48" s="10"/>
      <c r="W48" s="10"/>
      <c r="X48" s="10"/>
    </row>
    <row r="49" spans="1:24" ht="19.149999999999999" customHeight="1" x14ac:dyDescent="0.2">
      <c r="A49" s="29"/>
      <c r="B49" s="11" t="s">
        <v>3</v>
      </c>
      <c r="C49" s="15">
        <v>4</v>
      </c>
      <c r="D49" s="13" t="s">
        <v>11</v>
      </c>
      <c r="E49" s="41" t="s">
        <v>48</v>
      </c>
      <c r="F49" s="82" t="s">
        <v>50</v>
      </c>
      <c r="G49" s="9">
        <v>17</v>
      </c>
      <c r="H49" s="108">
        <v>23</v>
      </c>
      <c r="I49" s="108">
        <v>30</v>
      </c>
      <c r="J49" s="108">
        <v>38</v>
      </c>
      <c r="K49" s="105">
        <v>54</v>
      </c>
      <c r="L49" s="108">
        <v>85</v>
      </c>
      <c r="M49" s="108">
        <v>105</v>
      </c>
      <c r="N49" s="108">
        <v>123</v>
      </c>
      <c r="O49" s="108">
        <v>141</v>
      </c>
      <c r="P49" s="110">
        <v>156</v>
      </c>
      <c r="Q49" s="56">
        <v>182</v>
      </c>
      <c r="R49" s="56"/>
      <c r="S49" s="56"/>
      <c r="T49" s="9"/>
      <c r="U49" s="9"/>
      <c r="V49" s="9"/>
      <c r="W49" s="9"/>
      <c r="X49" s="9"/>
    </row>
    <row r="50" spans="1:24" ht="19.149999999999999" customHeight="1" x14ac:dyDescent="0.2">
      <c r="A50" s="29"/>
      <c r="B50" s="58"/>
      <c r="C50" s="59"/>
      <c r="D50" s="79" t="s">
        <v>34</v>
      </c>
      <c r="E50" s="80" t="s">
        <v>48</v>
      </c>
      <c r="F50" s="85" t="s">
        <v>50</v>
      </c>
      <c r="G50" s="49">
        <v>15</v>
      </c>
      <c r="H50" s="111">
        <v>24</v>
      </c>
      <c r="I50" s="111">
        <v>33</v>
      </c>
      <c r="J50" s="111">
        <v>41</v>
      </c>
      <c r="K50" s="106">
        <v>56</v>
      </c>
      <c r="L50" s="111">
        <v>85</v>
      </c>
      <c r="M50" s="111">
        <v>104</v>
      </c>
      <c r="N50" s="111">
        <v>121</v>
      </c>
      <c r="O50" s="111">
        <v>146</v>
      </c>
      <c r="P50" s="112">
        <v>166</v>
      </c>
      <c r="Q50" s="81">
        <v>190</v>
      </c>
      <c r="R50" s="81"/>
      <c r="S50" s="81"/>
      <c r="T50" s="49"/>
      <c r="U50" s="49"/>
      <c r="V50" s="49"/>
      <c r="W50" s="49"/>
      <c r="X50" s="49"/>
    </row>
    <row r="51" spans="1:24" ht="19.149999999999999" customHeight="1" thickBot="1" x14ac:dyDescent="0.25">
      <c r="A51" s="29"/>
      <c r="B51" s="14"/>
      <c r="C51" s="16"/>
      <c r="D51" s="17" t="s">
        <v>10</v>
      </c>
      <c r="E51" s="42" t="s">
        <v>48</v>
      </c>
      <c r="F51" s="86" t="s">
        <v>50</v>
      </c>
      <c r="G51" s="10">
        <v>11</v>
      </c>
      <c r="H51" s="113">
        <v>20</v>
      </c>
      <c r="I51" s="113">
        <v>27</v>
      </c>
      <c r="J51" s="113">
        <v>37</v>
      </c>
      <c r="K51" s="107">
        <v>54</v>
      </c>
      <c r="L51" s="113">
        <v>88</v>
      </c>
      <c r="M51" s="113">
        <v>107</v>
      </c>
      <c r="N51" s="113">
        <v>125</v>
      </c>
      <c r="O51" s="113">
        <v>144</v>
      </c>
      <c r="P51" s="114">
        <v>159</v>
      </c>
      <c r="Q51" s="55">
        <v>179</v>
      </c>
      <c r="R51" s="55"/>
      <c r="S51" s="55"/>
      <c r="T51" s="10"/>
      <c r="U51" s="10"/>
      <c r="V51" s="10"/>
      <c r="W51" s="10"/>
      <c r="X51" s="10"/>
    </row>
    <row r="52" spans="1:24" ht="19.149999999999999" customHeight="1" x14ac:dyDescent="0.2">
      <c r="A52" s="29"/>
      <c r="B52" s="11" t="s">
        <v>3</v>
      </c>
      <c r="C52" s="15">
        <v>3</v>
      </c>
      <c r="D52" s="13" t="s">
        <v>11</v>
      </c>
      <c r="E52" s="41" t="s">
        <v>46</v>
      </c>
      <c r="F52" s="82" t="s">
        <v>50</v>
      </c>
      <c r="G52" s="9">
        <v>12</v>
      </c>
      <c r="H52" s="108">
        <v>12</v>
      </c>
      <c r="I52" s="108">
        <v>12</v>
      </c>
      <c r="J52" s="108">
        <v>33</v>
      </c>
      <c r="K52" s="105">
        <v>41</v>
      </c>
      <c r="L52" s="108">
        <v>59</v>
      </c>
      <c r="M52" s="108">
        <v>76</v>
      </c>
      <c r="N52" s="108">
        <v>92</v>
      </c>
      <c r="O52" s="108">
        <v>121</v>
      </c>
      <c r="P52" s="110">
        <v>143</v>
      </c>
      <c r="Q52" s="56"/>
      <c r="R52" s="56"/>
      <c r="S52" s="56"/>
      <c r="T52" s="9"/>
      <c r="U52" s="9"/>
      <c r="V52" s="9"/>
      <c r="W52" s="9"/>
      <c r="X52" s="9"/>
    </row>
    <row r="53" spans="1:24" ht="19.149999999999999" customHeight="1" x14ac:dyDescent="0.2">
      <c r="A53" s="29"/>
      <c r="B53" s="58"/>
      <c r="C53" s="59"/>
      <c r="D53" s="79" t="s">
        <v>34</v>
      </c>
      <c r="E53" s="80" t="s">
        <v>46</v>
      </c>
      <c r="F53" s="85" t="s">
        <v>50</v>
      </c>
      <c r="G53" s="49">
        <v>15</v>
      </c>
      <c r="H53" s="111">
        <v>25</v>
      </c>
      <c r="I53" s="111">
        <v>36</v>
      </c>
      <c r="J53" s="111">
        <v>49</v>
      </c>
      <c r="K53" s="106">
        <v>63</v>
      </c>
      <c r="L53" s="111">
        <v>95</v>
      </c>
      <c r="M53" s="111">
        <v>111</v>
      </c>
      <c r="N53" s="111">
        <v>127</v>
      </c>
      <c r="O53" s="111">
        <v>160</v>
      </c>
      <c r="P53" s="112">
        <v>187</v>
      </c>
      <c r="Q53" s="81">
        <v>191</v>
      </c>
      <c r="R53" s="81"/>
      <c r="S53" s="81"/>
      <c r="T53" s="49"/>
      <c r="U53" s="49"/>
      <c r="V53" s="49"/>
      <c r="W53" s="49"/>
      <c r="X53" s="49"/>
    </row>
    <row r="54" spans="1:24" ht="19.149999999999999" customHeight="1" thickBot="1" x14ac:dyDescent="0.25">
      <c r="A54" s="29"/>
      <c r="B54" s="14"/>
      <c r="C54" s="16"/>
      <c r="D54" s="17" t="s">
        <v>10</v>
      </c>
      <c r="E54" s="42" t="s">
        <v>46</v>
      </c>
      <c r="F54" s="86" t="s">
        <v>50</v>
      </c>
      <c r="G54" s="10">
        <v>12</v>
      </c>
      <c r="H54" s="113">
        <v>22</v>
      </c>
      <c r="I54" s="113">
        <v>34</v>
      </c>
      <c r="J54" s="113">
        <v>46</v>
      </c>
      <c r="K54" s="107">
        <v>61</v>
      </c>
      <c r="L54" s="113">
        <v>93</v>
      </c>
      <c r="M54" s="113">
        <v>107</v>
      </c>
      <c r="N54" s="113">
        <v>125</v>
      </c>
      <c r="O54" s="113">
        <v>157</v>
      </c>
      <c r="P54" s="114">
        <v>183</v>
      </c>
      <c r="Q54" s="55">
        <v>194</v>
      </c>
      <c r="R54" s="55"/>
      <c r="S54" s="55"/>
      <c r="T54" s="10"/>
      <c r="U54" s="10"/>
      <c r="V54" s="10"/>
      <c r="W54" s="10"/>
      <c r="X54" s="10"/>
    </row>
    <row r="55" spans="1:24" ht="19.149999999999999" customHeight="1" x14ac:dyDescent="0.2">
      <c r="A55" s="29"/>
      <c r="B55" s="11" t="s">
        <v>3</v>
      </c>
      <c r="C55" s="15">
        <v>2</v>
      </c>
      <c r="D55" s="13" t="s">
        <v>11</v>
      </c>
      <c r="E55" s="41" t="s">
        <v>49</v>
      </c>
      <c r="F55" s="82" t="s">
        <v>50</v>
      </c>
      <c r="G55" s="9">
        <v>13</v>
      </c>
      <c r="H55" s="108">
        <v>22</v>
      </c>
      <c r="I55" s="108">
        <v>31</v>
      </c>
      <c r="J55" s="108">
        <v>38</v>
      </c>
      <c r="K55" s="105">
        <v>52</v>
      </c>
      <c r="L55" s="108">
        <v>79</v>
      </c>
      <c r="M55" s="108">
        <v>104</v>
      </c>
      <c r="N55" s="108">
        <v>129</v>
      </c>
      <c r="O55" s="108">
        <v>158</v>
      </c>
      <c r="P55" s="110">
        <v>182</v>
      </c>
      <c r="Q55" s="56">
        <v>189</v>
      </c>
      <c r="R55" s="56"/>
      <c r="S55" s="56"/>
      <c r="T55" s="9"/>
      <c r="U55" s="9"/>
      <c r="V55" s="9"/>
      <c r="W55" s="9"/>
      <c r="X55" s="9"/>
    </row>
    <row r="56" spans="1:24" ht="19.149999999999999" customHeight="1" x14ac:dyDescent="0.2">
      <c r="A56" s="29"/>
      <c r="B56" s="58"/>
      <c r="C56" s="59"/>
      <c r="D56" s="79" t="s">
        <v>34</v>
      </c>
      <c r="E56" s="80" t="s">
        <v>49</v>
      </c>
      <c r="F56" s="85" t="s">
        <v>50</v>
      </c>
      <c r="G56" s="49">
        <v>11</v>
      </c>
      <c r="H56" s="111">
        <v>11</v>
      </c>
      <c r="I56" s="111">
        <v>11</v>
      </c>
      <c r="J56" s="111">
        <v>35</v>
      </c>
      <c r="K56" s="106">
        <v>54</v>
      </c>
      <c r="L56" s="111">
        <v>90</v>
      </c>
      <c r="M56" s="111">
        <v>112</v>
      </c>
      <c r="N56" s="111">
        <v>134</v>
      </c>
      <c r="O56" s="111">
        <v>168</v>
      </c>
      <c r="P56" s="112">
        <v>195</v>
      </c>
      <c r="Q56" s="81">
        <v>185</v>
      </c>
      <c r="R56" s="81"/>
      <c r="S56" s="81"/>
      <c r="T56" s="49"/>
      <c r="U56" s="49"/>
      <c r="V56" s="49"/>
      <c r="W56" s="49"/>
      <c r="X56" s="49"/>
    </row>
    <row r="57" spans="1:24" ht="19.149999999999999" customHeight="1" thickBot="1" x14ac:dyDescent="0.25">
      <c r="A57" s="29"/>
      <c r="B57" s="14"/>
      <c r="C57" s="16"/>
      <c r="D57" s="17" t="s">
        <v>10</v>
      </c>
      <c r="E57" s="42" t="s">
        <v>49</v>
      </c>
      <c r="F57" s="86" t="s">
        <v>50</v>
      </c>
      <c r="G57" s="10">
        <v>10</v>
      </c>
      <c r="H57" s="113">
        <v>10</v>
      </c>
      <c r="I57" s="113">
        <v>10</v>
      </c>
      <c r="J57" s="113">
        <v>37</v>
      </c>
      <c r="K57" s="107">
        <v>52</v>
      </c>
      <c r="L57" s="113">
        <v>80</v>
      </c>
      <c r="M57" s="113">
        <v>110</v>
      </c>
      <c r="N57" s="113">
        <v>139</v>
      </c>
      <c r="O57" s="113">
        <v>173</v>
      </c>
      <c r="P57" s="114">
        <v>203</v>
      </c>
      <c r="Q57" s="55">
        <v>197</v>
      </c>
      <c r="R57" s="55"/>
      <c r="S57" s="55"/>
      <c r="T57" s="10"/>
      <c r="U57" s="10"/>
      <c r="V57" s="10"/>
      <c r="W57" s="10"/>
      <c r="X57" s="10"/>
    </row>
    <row r="58" spans="1:24" ht="19.149999999999999" customHeight="1" x14ac:dyDescent="0.2">
      <c r="A58" s="29"/>
      <c r="B58" s="11" t="s">
        <v>3</v>
      </c>
      <c r="C58" s="15">
        <v>1</v>
      </c>
      <c r="D58" s="13" t="s">
        <v>11</v>
      </c>
      <c r="E58" s="41" t="s">
        <v>45</v>
      </c>
      <c r="F58" s="82" t="s">
        <v>50</v>
      </c>
      <c r="G58" s="9">
        <v>11</v>
      </c>
      <c r="H58" s="108">
        <v>11</v>
      </c>
      <c r="I58" s="108">
        <v>11</v>
      </c>
      <c r="J58" s="108">
        <v>38</v>
      </c>
      <c r="K58" s="105">
        <v>54</v>
      </c>
      <c r="L58" s="108">
        <v>83</v>
      </c>
      <c r="M58" s="108">
        <v>106</v>
      </c>
      <c r="N58" s="108">
        <v>129</v>
      </c>
      <c r="O58" s="108">
        <v>163</v>
      </c>
      <c r="P58" s="110">
        <v>191</v>
      </c>
      <c r="Q58" s="56">
        <v>200</v>
      </c>
      <c r="R58" s="56"/>
      <c r="S58" s="56"/>
      <c r="T58" s="9"/>
      <c r="U58" s="9"/>
      <c r="V58" s="9"/>
      <c r="W58" s="9"/>
      <c r="X58" s="9"/>
    </row>
    <row r="59" spans="1:24" ht="19.149999999999999" customHeight="1" x14ac:dyDescent="0.2">
      <c r="A59" s="29"/>
      <c r="B59" s="58"/>
      <c r="C59" s="59"/>
      <c r="D59" s="79" t="s">
        <v>34</v>
      </c>
      <c r="E59" s="80" t="s">
        <v>45</v>
      </c>
      <c r="F59" s="85" t="s">
        <v>50</v>
      </c>
      <c r="G59" s="49">
        <v>11</v>
      </c>
      <c r="H59" s="111">
        <v>21</v>
      </c>
      <c r="I59" s="111">
        <v>30</v>
      </c>
      <c r="J59" s="111">
        <v>40</v>
      </c>
      <c r="K59" s="106">
        <v>57</v>
      </c>
      <c r="L59" s="111">
        <v>91</v>
      </c>
      <c r="M59" s="111">
        <v>109</v>
      </c>
      <c r="N59" s="111">
        <v>126</v>
      </c>
      <c r="O59" s="111">
        <v>163</v>
      </c>
      <c r="P59" s="112">
        <v>196</v>
      </c>
      <c r="Q59" s="81">
        <v>199</v>
      </c>
      <c r="R59" s="81"/>
      <c r="S59" s="81"/>
      <c r="T59" s="49"/>
      <c r="U59" s="49"/>
      <c r="V59" s="49"/>
      <c r="W59" s="49"/>
      <c r="X59" s="49"/>
    </row>
    <row r="60" spans="1:24" ht="19.149999999999999" customHeight="1" thickBot="1" x14ac:dyDescent="0.25">
      <c r="A60" s="29"/>
      <c r="B60" s="14"/>
      <c r="C60" s="16"/>
      <c r="D60" s="17" t="s">
        <v>10</v>
      </c>
      <c r="E60" s="42" t="s">
        <v>45</v>
      </c>
      <c r="F60" s="86" t="s">
        <v>50</v>
      </c>
      <c r="G60" s="10">
        <v>15</v>
      </c>
      <c r="H60" s="113">
        <v>23</v>
      </c>
      <c r="I60" s="113">
        <v>33</v>
      </c>
      <c r="J60" s="113">
        <v>45</v>
      </c>
      <c r="K60" s="107">
        <v>61</v>
      </c>
      <c r="L60" s="113">
        <v>92</v>
      </c>
      <c r="M60" s="113">
        <v>116</v>
      </c>
      <c r="N60" s="113">
        <v>143</v>
      </c>
      <c r="O60" s="113">
        <v>174</v>
      </c>
      <c r="P60" s="114">
        <v>200</v>
      </c>
      <c r="Q60" s="55">
        <v>192</v>
      </c>
      <c r="R60" s="55"/>
      <c r="S60" s="55"/>
      <c r="T60" s="10"/>
      <c r="U60" s="10"/>
      <c r="V60" s="10"/>
      <c r="W60" s="10"/>
      <c r="X60" s="10"/>
    </row>
    <row r="61" spans="1:24" ht="19.149999999999999" customHeight="1" x14ac:dyDescent="0.2">
      <c r="A61" s="29"/>
      <c r="B61" s="11" t="s">
        <v>4</v>
      </c>
      <c r="C61" s="15">
        <v>1</v>
      </c>
      <c r="D61" s="13" t="s">
        <v>10</v>
      </c>
      <c r="E61" s="41" t="s">
        <v>44</v>
      </c>
      <c r="F61" s="82" t="s">
        <v>43</v>
      </c>
      <c r="G61" s="9">
        <v>21</v>
      </c>
      <c r="H61" s="108">
        <v>31</v>
      </c>
      <c r="I61" s="108">
        <v>44</v>
      </c>
      <c r="J61" s="108">
        <v>57</v>
      </c>
      <c r="K61" s="105">
        <v>71</v>
      </c>
      <c r="L61" s="108">
        <v>99</v>
      </c>
      <c r="M61" s="108">
        <v>119</v>
      </c>
      <c r="N61" s="108">
        <v>140</v>
      </c>
      <c r="O61" s="108"/>
      <c r="P61" s="110">
        <v>166</v>
      </c>
      <c r="Q61" s="56">
        <v>184</v>
      </c>
      <c r="R61" s="56"/>
      <c r="S61" s="56"/>
      <c r="T61" s="9"/>
      <c r="U61" s="9"/>
      <c r="V61" s="9"/>
      <c r="W61" s="9"/>
      <c r="X61" s="9"/>
    </row>
    <row r="62" spans="1:24" ht="19.149999999999999" customHeight="1" x14ac:dyDescent="0.2">
      <c r="A62" s="29"/>
      <c r="B62" s="58"/>
      <c r="C62" s="59"/>
      <c r="D62" s="79" t="s">
        <v>34</v>
      </c>
      <c r="E62" s="80" t="s">
        <v>44</v>
      </c>
      <c r="F62" s="85" t="s">
        <v>43</v>
      </c>
      <c r="G62" s="49">
        <v>20</v>
      </c>
      <c r="H62" s="111">
        <v>30</v>
      </c>
      <c r="I62" s="111">
        <v>42</v>
      </c>
      <c r="J62" s="111">
        <v>53</v>
      </c>
      <c r="K62" s="106">
        <v>70</v>
      </c>
      <c r="L62" s="111">
        <v>101</v>
      </c>
      <c r="M62" s="111">
        <v>119</v>
      </c>
      <c r="N62" s="111">
        <v>137</v>
      </c>
      <c r="O62" s="111"/>
      <c r="P62" s="112">
        <v>160</v>
      </c>
      <c r="Q62" s="81">
        <v>175</v>
      </c>
      <c r="R62" s="81"/>
      <c r="S62" s="81"/>
      <c r="T62" s="49"/>
      <c r="U62" s="49"/>
      <c r="V62" s="49"/>
      <c r="W62" s="49"/>
      <c r="X62" s="49"/>
    </row>
    <row r="63" spans="1:24" ht="19.149999999999999" customHeight="1" thickBot="1" x14ac:dyDescent="0.25">
      <c r="A63" s="29"/>
      <c r="B63" s="14"/>
      <c r="C63" s="16"/>
      <c r="D63" s="17" t="s">
        <v>11</v>
      </c>
      <c r="E63" s="42" t="s">
        <v>44</v>
      </c>
      <c r="F63" s="86" t="s">
        <v>43</v>
      </c>
      <c r="G63" s="10">
        <v>19</v>
      </c>
      <c r="H63" s="113">
        <v>28</v>
      </c>
      <c r="I63" s="113">
        <v>39</v>
      </c>
      <c r="J63" s="113">
        <v>50</v>
      </c>
      <c r="K63" s="107">
        <v>62</v>
      </c>
      <c r="L63" s="113">
        <v>87</v>
      </c>
      <c r="M63" s="113">
        <v>103</v>
      </c>
      <c r="N63" s="113">
        <v>119</v>
      </c>
      <c r="O63" s="113"/>
      <c r="P63" s="114">
        <v>141</v>
      </c>
      <c r="Q63" s="55">
        <v>160</v>
      </c>
      <c r="R63" s="55"/>
      <c r="S63" s="55"/>
      <c r="T63" s="10"/>
      <c r="U63" s="10"/>
      <c r="V63" s="10"/>
      <c r="W63" s="10"/>
      <c r="X63" s="10"/>
    </row>
    <row r="64" spans="1:24" ht="19.149999999999999" customHeight="1" x14ac:dyDescent="0.2">
      <c r="A64" s="29"/>
      <c r="B64" s="11" t="s">
        <v>4</v>
      </c>
      <c r="C64" s="15">
        <v>2</v>
      </c>
      <c r="D64" s="13" t="s">
        <v>10</v>
      </c>
      <c r="E64" s="41" t="s">
        <v>46</v>
      </c>
      <c r="F64" s="82" t="s">
        <v>43</v>
      </c>
      <c r="G64" s="9">
        <v>21</v>
      </c>
      <c r="H64" s="108">
        <v>30</v>
      </c>
      <c r="I64" s="108">
        <v>41</v>
      </c>
      <c r="J64" s="108">
        <v>50</v>
      </c>
      <c r="K64" s="105">
        <v>62</v>
      </c>
      <c r="L64" s="108">
        <v>87</v>
      </c>
      <c r="M64" s="108">
        <v>117</v>
      </c>
      <c r="N64" s="108">
        <v>145</v>
      </c>
      <c r="O64" s="108"/>
      <c r="P64" s="109">
        <v>182</v>
      </c>
      <c r="Q64" s="54">
        <v>195</v>
      </c>
      <c r="R64" s="54"/>
      <c r="S64" s="54"/>
      <c r="T64" s="9"/>
      <c r="U64" s="9"/>
      <c r="V64" s="9"/>
      <c r="W64" s="9"/>
      <c r="X64" s="9"/>
    </row>
    <row r="65" spans="1:24" ht="19.149999999999999" customHeight="1" x14ac:dyDescent="0.2">
      <c r="A65" s="29"/>
      <c r="B65" s="58"/>
      <c r="C65" s="59"/>
      <c r="D65" s="79" t="s">
        <v>34</v>
      </c>
      <c r="E65" s="80" t="s">
        <v>46</v>
      </c>
      <c r="F65" s="85" t="s">
        <v>43</v>
      </c>
      <c r="G65" s="49">
        <v>18</v>
      </c>
      <c r="H65" s="111">
        <v>29</v>
      </c>
      <c r="I65" s="111">
        <v>42</v>
      </c>
      <c r="J65" s="111">
        <v>54</v>
      </c>
      <c r="K65" s="106">
        <v>69</v>
      </c>
      <c r="L65" s="111">
        <v>99</v>
      </c>
      <c r="M65" s="111">
        <v>119</v>
      </c>
      <c r="N65" s="111">
        <v>139</v>
      </c>
      <c r="O65" s="111"/>
      <c r="P65" s="112">
        <v>165</v>
      </c>
      <c r="Q65" s="81">
        <v>183</v>
      </c>
      <c r="R65" s="81"/>
      <c r="S65" s="81"/>
      <c r="T65" s="49"/>
      <c r="U65" s="49"/>
      <c r="V65" s="49"/>
      <c r="W65" s="49"/>
      <c r="X65" s="49"/>
    </row>
    <row r="66" spans="1:24" ht="19.149999999999999" customHeight="1" thickBot="1" x14ac:dyDescent="0.25">
      <c r="A66" s="29"/>
      <c r="B66" s="14"/>
      <c r="C66" s="16"/>
      <c r="D66" s="17" t="s">
        <v>11</v>
      </c>
      <c r="E66" s="42" t="s">
        <v>46</v>
      </c>
      <c r="F66" s="86" t="s">
        <v>43</v>
      </c>
      <c r="G66" s="10">
        <v>17</v>
      </c>
      <c r="H66" s="113">
        <v>26</v>
      </c>
      <c r="I66" s="113">
        <v>35</v>
      </c>
      <c r="J66" s="113">
        <v>44</v>
      </c>
      <c r="K66" s="107">
        <v>57</v>
      </c>
      <c r="L66" s="113">
        <v>88</v>
      </c>
      <c r="M66" s="113">
        <v>102</v>
      </c>
      <c r="N66" s="113">
        <v>115</v>
      </c>
      <c r="O66" s="113"/>
      <c r="P66" s="114">
        <v>133</v>
      </c>
      <c r="Q66" s="55">
        <v>158</v>
      </c>
      <c r="R66" s="55"/>
      <c r="S66" s="55"/>
      <c r="T66" s="10"/>
      <c r="U66" s="10"/>
      <c r="V66" s="10"/>
      <c r="W66" s="10"/>
      <c r="X66" s="10"/>
    </row>
    <row r="67" spans="1:24" ht="19.149999999999999" customHeight="1" x14ac:dyDescent="0.2">
      <c r="A67" s="29"/>
      <c r="B67" s="11" t="s">
        <v>4</v>
      </c>
      <c r="C67" s="15">
        <v>3</v>
      </c>
      <c r="D67" s="13" t="s">
        <v>10</v>
      </c>
      <c r="E67" s="41" t="s">
        <v>49</v>
      </c>
      <c r="F67" s="82" t="s">
        <v>43</v>
      </c>
      <c r="G67" s="9">
        <v>17</v>
      </c>
      <c r="H67" s="108">
        <v>26</v>
      </c>
      <c r="I67" s="108">
        <v>25</v>
      </c>
      <c r="J67" s="108">
        <v>46</v>
      </c>
      <c r="K67" s="105">
        <v>56</v>
      </c>
      <c r="L67" s="108">
        <v>77</v>
      </c>
      <c r="M67" s="108">
        <v>92</v>
      </c>
      <c r="N67" s="108">
        <v>106</v>
      </c>
      <c r="O67" s="108"/>
      <c r="P67" s="109">
        <v>125</v>
      </c>
      <c r="Q67" s="54"/>
      <c r="R67" s="54"/>
      <c r="S67" s="54"/>
      <c r="T67" s="9"/>
      <c r="U67" s="9"/>
      <c r="V67" s="9"/>
      <c r="W67" s="9"/>
      <c r="X67" s="9"/>
    </row>
    <row r="68" spans="1:24" ht="19.149999999999999" customHeight="1" x14ac:dyDescent="0.2">
      <c r="A68" s="29"/>
      <c r="B68" s="58"/>
      <c r="C68" s="59"/>
      <c r="D68" s="79" t="s">
        <v>34</v>
      </c>
      <c r="E68" s="80" t="s">
        <v>49</v>
      </c>
      <c r="F68" s="85" t="s">
        <v>43</v>
      </c>
      <c r="G68" s="49">
        <v>13</v>
      </c>
      <c r="H68" s="111">
        <v>16</v>
      </c>
      <c r="I68" s="111">
        <v>18</v>
      </c>
      <c r="J68" s="111">
        <v>23</v>
      </c>
      <c r="K68" s="106">
        <v>36</v>
      </c>
      <c r="L68" s="111">
        <v>59</v>
      </c>
      <c r="M68" s="111">
        <v>74</v>
      </c>
      <c r="N68" s="111">
        <v>89</v>
      </c>
      <c r="O68" s="111"/>
      <c r="P68" s="112">
        <v>111</v>
      </c>
      <c r="Q68" s="81"/>
      <c r="R68" s="81"/>
      <c r="S68" s="81"/>
      <c r="T68" s="49"/>
      <c r="U68" s="49"/>
      <c r="V68" s="49"/>
      <c r="W68" s="49"/>
      <c r="X68" s="49"/>
    </row>
    <row r="69" spans="1:24" ht="19.149999999999999" customHeight="1" thickBot="1" x14ac:dyDescent="0.25">
      <c r="A69" s="29"/>
      <c r="B69" s="14"/>
      <c r="C69" s="16"/>
      <c r="D69" s="17" t="s">
        <v>11</v>
      </c>
      <c r="E69" s="42" t="s">
        <v>49</v>
      </c>
      <c r="F69" s="86" t="s">
        <v>43</v>
      </c>
      <c r="G69" s="10">
        <v>15</v>
      </c>
      <c r="H69" s="113">
        <v>28</v>
      </c>
      <c r="I69" s="113">
        <v>42</v>
      </c>
      <c r="J69" s="113">
        <v>55</v>
      </c>
      <c r="K69" s="107">
        <v>64</v>
      </c>
      <c r="L69" s="113">
        <v>83</v>
      </c>
      <c r="M69" s="113">
        <v>102</v>
      </c>
      <c r="N69" s="113">
        <v>122</v>
      </c>
      <c r="O69" s="113"/>
      <c r="P69" s="118">
        <v>148</v>
      </c>
      <c r="Q69" s="57"/>
      <c r="R69" s="57"/>
      <c r="S69" s="57"/>
      <c r="T69" s="10"/>
      <c r="U69" s="10"/>
      <c r="V69" s="10"/>
      <c r="W69" s="10"/>
      <c r="X69" s="10"/>
    </row>
    <row r="70" spans="1:24" ht="19.149999999999999" customHeight="1" x14ac:dyDescent="0.2">
      <c r="A70" s="29"/>
      <c r="B70" s="11" t="s">
        <v>4</v>
      </c>
      <c r="C70" s="15">
        <v>4</v>
      </c>
      <c r="D70" s="13" t="s">
        <v>10</v>
      </c>
      <c r="E70" s="41" t="s">
        <v>47</v>
      </c>
      <c r="F70" s="82" t="s">
        <v>43</v>
      </c>
      <c r="G70" s="9">
        <v>15</v>
      </c>
      <c r="H70" s="108">
        <v>15</v>
      </c>
      <c r="I70" s="108">
        <v>15</v>
      </c>
      <c r="J70" s="108">
        <v>45</v>
      </c>
      <c r="K70" s="105">
        <v>57</v>
      </c>
      <c r="L70" s="108">
        <v>84</v>
      </c>
      <c r="M70" s="108">
        <v>100</v>
      </c>
      <c r="N70" s="108">
        <v>115</v>
      </c>
      <c r="O70" s="108"/>
      <c r="P70" s="110">
        <v>136</v>
      </c>
      <c r="Q70" s="56"/>
      <c r="R70" s="56"/>
      <c r="S70" s="56"/>
      <c r="T70" s="9"/>
      <c r="U70" s="9"/>
      <c r="V70" s="9"/>
      <c r="W70" s="9"/>
      <c r="X70" s="9"/>
    </row>
    <row r="71" spans="1:24" ht="19.149999999999999" customHeight="1" x14ac:dyDescent="0.2">
      <c r="A71" s="29"/>
      <c r="B71" s="58"/>
      <c r="C71" s="59"/>
      <c r="D71" s="79" t="s">
        <v>34</v>
      </c>
      <c r="E71" s="80" t="s">
        <v>47</v>
      </c>
      <c r="F71" s="85" t="s">
        <v>43</v>
      </c>
      <c r="G71" s="49">
        <v>18</v>
      </c>
      <c r="H71" s="111">
        <v>30</v>
      </c>
      <c r="I71" s="111">
        <v>41</v>
      </c>
      <c r="J71" s="111">
        <v>52</v>
      </c>
      <c r="K71" s="106">
        <v>64</v>
      </c>
      <c r="L71" s="111">
        <v>89</v>
      </c>
      <c r="M71" s="111">
        <v>102</v>
      </c>
      <c r="N71" s="111">
        <v>115</v>
      </c>
      <c r="O71" s="111"/>
      <c r="P71" s="112">
        <v>133</v>
      </c>
      <c r="Q71" s="81"/>
      <c r="R71" s="81"/>
      <c r="S71" s="81"/>
      <c r="T71" s="49"/>
      <c r="U71" s="49"/>
      <c r="V71" s="49"/>
      <c r="W71" s="49"/>
      <c r="X71" s="49"/>
    </row>
    <row r="72" spans="1:24" ht="19.149999999999999" customHeight="1" thickBot="1" x14ac:dyDescent="0.25">
      <c r="A72" s="29"/>
      <c r="B72" s="14"/>
      <c r="C72" s="16"/>
      <c r="D72" s="17" t="s">
        <v>11</v>
      </c>
      <c r="E72" s="42" t="s">
        <v>47</v>
      </c>
      <c r="F72" s="86" t="s">
        <v>43</v>
      </c>
      <c r="G72" s="10">
        <v>16</v>
      </c>
      <c r="H72" s="113">
        <v>25</v>
      </c>
      <c r="I72" s="113">
        <v>35</v>
      </c>
      <c r="J72" s="113">
        <v>47</v>
      </c>
      <c r="K72" s="107">
        <v>56</v>
      </c>
      <c r="L72" s="113">
        <v>73</v>
      </c>
      <c r="M72" s="113">
        <v>87</v>
      </c>
      <c r="N72" s="113">
        <v>101</v>
      </c>
      <c r="O72" s="113"/>
      <c r="P72" s="114">
        <v>120</v>
      </c>
      <c r="Q72" s="55"/>
      <c r="R72" s="55"/>
      <c r="S72" s="55"/>
      <c r="T72" s="10"/>
      <c r="U72" s="10"/>
      <c r="V72" s="10"/>
      <c r="W72" s="10"/>
      <c r="X72" s="10"/>
    </row>
    <row r="73" spans="1:24" ht="19.149999999999999" customHeight="1" x14ac:dyDescent="0.2">
      <c r="A73" s="29"/>
      <c r="B73" s="11" t="s">
        <v>5</v>
      </c>
      <c r="C73" s="15">
        <v>4</v>
      </c>
      <c r="D73" s="13" t="s">
        <v>11</v>
      </c>
      <c r="E73" s="41" t="s">
        <v>47</v>
      </c>
      <c r="F73" s="82" t="s">
        <v>50</v>
      </c>
      <c r="G73" s="9">
        <v>15</v>
      </c>
      <c r="H73" s="108">
        <v>25</v>
      </c>
      <c r="I73" s="108">
        <v>36</v>
      </c>
      <c r="J73" s="108">
        <v>46</v>
      </c>
      <c r="K73" s="105">
        <v>58</v>
      </c>
      <c r="L73" s="108">
        <v>80</v>
      </c>
      <c r="M73" s="108">
        <v>92</v>
      </c>
      <c r="N73" s="108">
        <v>103</v>
      </c>
      <c r="O73" s="108"/>
      <c r="P73" s="110">
        <v>117</v>
      </c>
      <c r="Q73" s="56"/>
      <c r="R73" s="56"/>
      <c r="S73" s="56"/>
      <c r="T73" s="9"/>
      <c r="U73" s="9"/>
      <c r="V73" s="9"/>
      <c r="W73" s="9"/>
      <c r="X73" s="9"/>
    </row>
    <row r="74" spans="1:24" ht="19.149999999999999" customHeight="1" x14ac:dyDescent="0.2">
      <c r="A74" s="29"/>
      <c r="B74" s="58"/>
      <c r="C74" s="59"/>
      <c r="D74" s="79" t="s">
        <v>34</v>
      </c>
      <c r="E74" s="80" t="s">
        <v>47</v>
      </c>
      <c r="F74" s="85" t="s">
        <v>50</v>
      </c>
      <c r="G74" s="49">
        <v>10</v>
      </c>
      <c r="H74" s="111">
        <v>20</v>
      </c>
      <c r="I74" s="111">
        <v>29</v>
      </c>
      <c r="J74" s="111">
        <v>38</v>
      </c>
      <c r="K74" s="106">
        <v>52</v>
      </c>
      <c r="L74" s="111">
        <v>78</v>
      </c>
      <c r="M74" s="111">
        <v>92</v>
      </c>
      <c r="N74" s="111">
        <v>106</v>
      </c>
      <c r="O74" s="111"/>
      <c r="P74" s="112">
        <v>125</v>
      </c>
      <c r="Q74" s="81"/>
      <c r="R74" s="81"/>
      <c r="S74" s="81"/>
      <c r="T74" s="49"/>
      <c r="U74" s="49"/>
      <c r="V74" s="49"/>
      <c r="W74" s="49"/>
      <c r="X74" s="49"/>
    </row>
    <row r="75" spans="1:24" ht="19.149999999999999" customHeight="1" thickBot="1" x14ac:dyDescent="0.25">
      <c r="A75" s="29"/>
      <c r="B75" s="14"/>
      <c r="C75" s="16"/>
      <c r="D75" s="17" t="s">
        <v>10</v>
      </c>
      <c r="E75" s="42" t="s">
        <v>47</v>
      </c>
      <c r="F75" s="86" t="s">
        <v>50</v>
      </c>
      <c r="G75" s="10">
        <v>11</v>
      </c>
      <c r="H75" s="113">
        <v>22</v>
      </c>
      <c r="I75" s="113">
        <v>34</v>
      </c>
      <c r="J75" s="113">
        <v>45</v>
      </c>
      <c r="K75" s="107">
        <v>61</v>
      </c>
      <c r="L75" s="113">
        <v>93</v>
      </c>
      <c r="M75" s="113">
        <v>113</v>
      </c>
      <c r="N75" s="113">
        <v>133</v>
      </c>
      <c r="O75" s="113"/>
      <c r="P75" s="114">
        <v>161</v>
      </c>
      <c r="Q75" s="55">
        <v>189</v>
      </c>
      <c r="R75" s="55"/>
      <c r="S75" s="55"/>
      <c r="T75" s="10"/>
      <c r="U75" s="10"/>
      <c r="V75" s="10"/>
      <c r="W75" s="10"/>
      <c r="X75" s="10"/>
    </row>
    <row r="76" spans="1:24" ht="19.149999999999999" customHeight="1" x14ac:dyDescent="0.2">
      <c r="A76" s="29"/>
      <c r="B76" s="11" t="s">
        <v>5</v>
      </c>
      <c r="C76" s="15">
        <v>3</v>
      </c>
      <c r="D76" s="13" t="s">
        <v>11</v>
      </c>
      <c r="E76" s="41" t="s">
        <v>49</v>
      </c>
      <c r="F76" s="82" t="s">
        <v>50</v>
      </c>
      <c r="G76" s="9">
        <v>14</v>
      </c>
      <c r="H76" s="108">
        <v>23</v>
      </c>
      <c r="I76" s="108">
        <v>34</v>
      </c>
      <c r="J76" s="108">
        <v>43</v>
      </c>
      <c r="K76" s="105">
        <v>65</v>
      </c>
      <c r="L76" s="108">
        <v>98</v>
      </c>
      <c r="M76" s="108">
        <v>113</v>
      </c>
      <c r="N76" s="108">
        <v>127</v>
      </c>
      <c r="O76" s="108"/>
      <c r="P76" s="110">
        <v>147</v>
      </c>
      <c r="Q76" s="56"/>
      <c r="R76" s="56"/>
      <c r="S76" s="56"/>
      <c r="T76" s="9"/>
      <c r="U76" s="9"/>
      <c r="V76" s="9"/>
      <c r="W76" s="9"/>
      <c r="X76" s="9"/>
    </row>
    <row r="77" spans="1:24" ht="19.149999999999999" customHeight="1" x14ac:dyDescent="0.2">
      <c r="A77" s="29"/>
      <c r="B77" s="58"/>
      <c r="C77" s="59"/>
      <c r="D77" s="79" t="s">
        <v>34</v>
      </c>
      <c r="E77" s="80" t="s">
        <v>49</v>
      </c>
      <c r="F77" s="85" t="s">
        <v>50</v>
      </c>
      <c r="G77" s="49">
        <v>10</v>
      </c>
      <c r="H77" s="111">
        <v>17</v>
      </c>
      <c r="I77" s="111">
        <v>25</v>
      </c>
      <c r="J77" s="111">
        <v>33</v>
      </c>
      <c r="K77" s="106">
        <v>50</v>
      </c>
      <c r="L77" s="111">
        <v>87</v>
      </c>
      <c r="M77" s="111">
        <v>109</v>
      </c>
      <c r="N77" s="111">
        <v>131</v>
      </c>
      <c r="O77" s="111"/>
      <c r="P77" s="112">
        <v>160</v>
      </c>
      <c r="Q77" s="81">
        <v>184</v>
      </c>
      <c r="R77" s="81"/>
      <c r="S77" s="81"/>
      <c r="T77" s="49"/>
      <c r="U77" s="49"/>
      <c r="V77" s="49"/>
      <c r="W77" s="49"/>
      <c r="X77" s="49"/>
    </row>
    <row r="78" spans="1:24" ht="19.149999999999999" customHeight="1" thickBot="1" x14ac:dyDescent="0.25">
      <c r="A78" s="29"/>
      <c r="B78" s="14"/>
      <c r="C78" s="16"/>
      <c r="D78" s="17" t="s">
        <v>10</v>
      </c>
      <c r="E78" s="42" t="s">
        <v>49</v>
      </c>
      <c r="F78" s="86" t="s">
        <v>50</v>
      </c>
      <c r="G78" s="10">
        <v>12</v>
      </c>
      <c r="H78" s="113">
        <v>20</v>
      </c>
      <c r="I78" s="113">
        <v>30</v>
      </c>
      <c r="J78" s="113">
        <v>39</v>
      </c>
      <c r="K78" s="107">
        <v>61</v>
      </c>
      <c r="L78" s="113">
        <v>99</v>
      </c>
      <c r="M78" s="113">
        <v>120</v>
      </c>
      <c r="N78" s="113">
        <v>143</v>
      </c>
      <c r="O78" s="113"/>
      <c r="P78" s="114">
        <v>175</v>
      </c>
      <c r="Q78" s="55">
        <v>191</v>
      </c>
      <c r="R78" s="55"/>
      <c r="S78" s="55"/>
      <c r="T78" s="10"/>
      <c r="U78" s="10"/>
      <c r="V78" s="10"/>
      <c r="W78" s="10"/>
      <c r="X78" s="10"/>
    </row>
    <row r="79" spans="1:24" ht="19.149999999999999" customHeight="1" x14ac:dyDescent="0.2">
      <c r="A79" s="29"/>
      <c r="B79" s="11" t="s">
        <v>5</v>
      </c>
      <c r="C79" s="15">
        <v>2</v>
      </c>
      <c r="D79" s="13" t="s">
        <v>11</v>
      </c>
      <c r="E79" s="41" t="s">
        <v>46</v>
      </c>
      <c r="F79" s="82" t="s">
        <v>50</v>
      </c>
      <c r="G79" s="9">
        <v>13</v>
      </c>
      <c r="H79" s="108">
        <v>20</v>
      </c>
      <c r="I79" s="108">
        <v>32</v>
      </c>
      <c r="J79" s="108">
        <v>41</v>
      </c>
      <c r="K79" s="105">
        <v>64</v>
      </c>
      <c r="L79" s="108">
        <v>92</v>
      </c>
      <c r="M79" s="108">
        <v>111</v>
      </c>
      <c r="N79" s="108">
        <v>130</v>
      </c>
      <c r="O79" s="108"/>
      <c r="P79" s="110">
        <v>156</v>
      </c>
      <c r="Q79" s="56">
        <v>175</v>
      </c>
      <c r="R79" s="56"/>
      <c r="S79" s="56"/>
      <c r="T79" s="9"/>
      <c r="U79" s="9"/>
      <c r="V79" s="9"/>
      <c r="W79" s="9"/>
      <c r="X79" s="9"/>
    </row>
    <row r="80" spans="1:24" ht="19.149999999999999" customHeight="1" x14ac:dyDescent="0.2">
      <c r="A80" s="29"/>
      <c r="B80" s="58"/>
      <c r="C80" s="59"/>
      <c r="D80" s="79" t="s">
        <v>34</v>
      </c>
      <c r="E80" s="80" t="s">
        <v>46</v>
      </c>
      <c r="F80" s="85" t="s">
        <v>50</v>
      </c>
      <c r="G80" s="49">
        <v>12</v>
      </c>
      <c r="H80" s="111">
        <v>20</v>
      </c>
      <c r="I80" s="111">
        <v>31</v>
      </c>
      <c r="J80" s="111">
        <v>40</v>
      </c>
      <c r="K80" s="106">
        <v>64</v>
      </c>
      <c r="L80" s="111">
        <v>100</v>
      </c>
      <c r="M80" s="111">
        <v>122</v>
      </c>
      <c r="N80" s="111">
        <v>144</v>
      </c>
      <c r="O80" s="111"/>
      <c r="P80" s="112">
        <v>172</v>
      </c>
      <c r="Q80" s="81">
        <v>199</v>
      </c>
      <c r="R80" s="81"/>
      <c r="S80" s="81"/>
      <c r="T80" s="49"/>
      <c r="U80" s="49"/>
      <c r="V80" s="49"/>
      <c r="W80" s="49"/>
      <c r="X80" s="49"/>
    </row>
    <row r="81" spans="1:24" ht="19.149999999999999" customHeight="1" thickBot="1" x14ac:dyDescent="0.25">
      <c r="A81" s="29"/>
      <c r="B81" s="14"/>
      <c r="C81" s="16"/>
      <c r="D81" s="17" t="s">
        <v>10</v>
      </c>
      <c r="E81" s="42" t="s">
        <v>46</v>
      </c>
      <c r="F81" s="86" t="s">
        <v>50</v>
      </c>
      <c r="G81" s="10">
        <v>11</v>
      </c>
      <c r="H81" s="113">
        <v>26</v>
      </c>
      <c r="I81" s="113">
        <v>41</v>
      </c>
      <c r="J81" s="113">
        <v>54</v>
      </c>
      <c r="K81" s="107">
        <v>62</v>
      </c>
      <c r="L81" s="113">
        <v>102</v>
      </c>
      <c r="M81" s="113">
        <v>122</v>
      </c>
      <c r="N81" s="113">
        <v>142</v>
      </c>
      <c r="O81" s="113"/>
      <c r="P81" s="114">
        <v>167</v>
      </c>
      <c r="Q81" s="55">
        <v>184</v>
      </c>
      <c r="R81" s="55"/>
      <c r="S81" s="55"/>
      <c r="T81" s="10"/>
      <c r="U81" s="10"/>
      <c r="V81" s="10"/>
      <c r="W81" s="10"/>
      <c r="X81" s="10"/>
    </row>
    <row r="82" spans="1:24" ht="19.149999999999999" customHeight="1" x14ac:dyDescent="0.2">
      <c r="A82" s="29"/>
      <c r="B82" s="11" t="s">
        <v>5</v>
      </c>
      <c r="C82" s="15">
        <v>1</v>
      </c>
      <c r="D82" s="13" t="s">
        <v>11</v>
      </c>
      <c r="E82" s="41" t="s">
        <v>44</v>
      </c>
      <c r="F82" s="82" t="s">
        <v>50</v>
      </c>
      <c r="G82" s="9">
        <v>13</v>
      </c>
      <c r="H82" s="108">
        <v>22</v>
      </c>
      <c r="I82" s="108">
        <v>32</v>
      </c>
      <c r="J82" s="108">
        <v>42</v>
      </c>
      <c r="K82" s="105">
        <v>64</v>
      </c>
      <c r="L82" s="108">
        <v>98</v>
      </c>
      <c r="M82" s="108">
        <v>119</v>
      </c>
      <c r="N82" s="108">
        <v>139</v>
      </c>
      <c r="O82" s="108"/>
      <c r="P82" s="110">
        <v>166</v>
      </c>
      <c r="Q82" s="56">
        <v>186</v>
      </c>
      <c r="R82" s="56"/>
      <c r="S82" s="56"/>
      <c r="T82" s="9"/>
      <c r="U82" s="9"/>
      <c r="V82" s="9"/>
      <c r="W82" s="9"/>
      <c r="X82" s="9"/>
    </row>
    <row r="83" spans="1:24" ht="19.149999999999999" customHeight="1" x14ac:dyDescent="0.2">
      <c r="A83" s="29"/>
      <c r="B83" s="58"/>
      <c r="C83" s="59"/>
      <c r="D83" s="79" t="s">
        <v>34</v>
      </c>
      <c r="E83" s="80" t="s">
        <v>44</v>
      </c>
      <c r="F83" s="85" t="s">
        <v>50</v>
      </c>
      <c r="G83" s="49">
        <v>14</v>
      </c>
      <c r="H83" s="111">
        <v>22</v>
      </c>
      <c r="I83" s="111">
        <v>33</v>
      </c>
      <c r="J83" s="111">
        <v>42</v>
      </c>
      <c r="K83" s="106">
        <v>63</v>
      </c>
      <c r="L83" s="111">
        <v>105</v>
      </c>
      <c r="M83" s="111">
        <v>125</v>
      </c>
      <c r="N83" s="111">
        <v>147</v>
      </c>
      <c r="O83" s="111"/>
      <c r="P83" s="112">
        <v>177</v>
      </c>
      <c r="Q83" s="81">
        <v>195</v>
      </c>
      <c r="R83" s="81"/>
      <c r="S83" s="81"/>
      <c r="T83" s="49"/>
      <c r="U83" s="49"/>
      <c r="V83" s="49"/>
      <c r="W83" s="49"/>
      <c r="X83" s="49"/>
    </row>
    <row r="84" spans="1:24" ht="19.149999999999999" customHeight="1" thickBot="1" x14ac:dyDescent="0.25">
      <c r="A84" s="29"/>
      <c r="B84" s="14"/>
      <c r="C84" s="16"/>
      <c r="D84" s="17" t="s">
        <v>10</v>
      </c>
      <c r="E84" s="42" t="s">
        <v>44</v>
      </c>
      <c r="F84" s="86" t="s">
        <v>50</v>
      </c>
      <c r="G84" s="10">
        <v>16</v>
      </c>
      <c r="H84" s="113">
        <v>27</v>
      </c>
      <c r="I84" s="113">
        <v>38</v>
      </c>
      <c r="J84" s="113">
        <v>49</v>
      </c>
      <c r="K84" s="107">
        <v>58</v>
      </c>
      <c r="L84" s="113">
        <v>88</v>
      </c>
      <c r="M84" s="113">
        <v>108</v>
      </c>
      <c r="N84" s="113">
        <v>127</v>
      </c>
      <c r="O84" s="113"/>
      <c r="P84" s="114">
        <v>141</v>
      </c>
      <c r="Q84" s="55"/>
      <c r="R84" s="55"/>
      <c r="S84" s="55"/>
      <c r="T84" s="10"/>
      <c r="U84" s="10"/>
      <c r="V84" s="10"/>
      <c r="W84" s="10"/>
      <c r="X84" s="10"/>
    </row>
    <row r="85" spans="1:24" ht="19.149999999999999" customHeight="1" x14ac:dyDescent="0.2">
      <c r="B85" s="11" t="s">
        <v>35</v>
      </c>
      <c r="C85" s="15">
        <v>1</v>
      </c>
      <c r="D85" s="30" t="s">
        <v>10</v>
      </c>
      <c r="E85" s="41" t="s">
        <v>47</v>
      </c>
      <c r="F85" s="82" t="s">
        <v>50</v>
      </c>
      <c r="G85" s="9">
        <v>12</v>
      </c>
      <c r="H85" s="108">
        <v>21</v>
      </c>
      <c r="I85" s="108">
        <v>32</v>
      </c>
      <c r="J85" s="108">
        <v>42</v>
      </c>
      <c r="K85" s="105">
        <v>52</v>
      </c>
      <c r="L85" s="108">
        <v>70</v>
      </c>
      <c r="M85" s="108">
        <v>86</v>
      </c>
      <c r="N85" s="108">
        <v>102</v>
      </c>
      <c r="O85" s="108"/>
      <c r="P85" s="109">
        <v>124</v>
      </c>
      <c r="Q85" s="54"/>
      <c r="R85" s="54"/>
      <c r="S85" s="54"/>
      <c r="T85" s="9"/>
      <c r="U85" s="9"/>
      <c r="V85" s="9"/>
      <c r="W85" s="9"/>
      <c r="X85" s="9"/>
    </row>
    <row r="86" spans="1:24" ht="19.149999999999999" customHeight="1" x14ac:dyDescent="0.2">
      <c r="B86" s="58"/>
      <c r="C86" s="59"/>
      <c r="D86" s="79" t="s">
        <v>34</v>
      </c>
      <c r="E86" s="80" t="s">
        <v>47</v>
      </c>
      <c r="F86" s="85" t="s">
        <v>50</v>
      </c>
      <c r="G86" s="49">
        <v>13</v>
      </c>
      <c r="H86" s="111">
        <v>22</v>
      </c>
      <c r="I86" s="111">
        <v>33</v>
      </c>
      <c r="J86" s="111">
        <v>44</v>
      </c>
      <c r="K86" s="106">
        <v>54</v>
      </c>
      <c r="L86" s="111">
        <v>75</v>
      </c>
      <c r="M86" s="111">
        <v>90</v>
      </c>
      <c r="N86" s="111">
        <v>105</v>
      </c>
      <c r="O86" s="111"/>
      <c r="P86" s="112">
        <v>126</v>
      </c>
      <c r="Q86" s="81"/>
      <c r="R86" s="81"/>
      <c r="S86" s="81"/>
      <c r="T86" s="49"/>
      <c r="U86" s="49"/>
      <c r="V86" s="49"/>
      <c r="W86" s="49"/>
      <c r="X86" s="49"/>
    </row>
    <row r="87" spans="1:24" ht="19.149999999999999" customHeight="1" thickBot="1" x14ac:dyDescent="0.25">
      <c r="B87" s="14"/>
      <c r="C87" s="16"/>
      <c r="D87" s="31" t="s">
        <v>11</v>
      </c>
      <c r="E87" s="42" t="s">
        <v>47</v>
      </c>
      <c r="F87" s="86" t="s">
        <v>50</v>
      </c>
      <c r="G87" s="10">
        <v>12</v>
      </c>
      <c r="H87" s="113">
        <v>23</v>
      </c>
      <c r="I87" s="113">
        <v>32</v>
      </c>
      <c r="J87" s="113">
        <v>43</v>
      </c>
      <c r="K87" s="107">
        <v>54</v>
      </c>
      <c r="L87" s="113">
        <v>75</v>
      </c>
      <c r="M87" s="113">
        <v>88</v>
      </c>
      <c r="N87" s="113">
        <v>98</v>
      </c>
      <c r="O87" s="113"/>
      <c r="P87" s="114">
        <v>111</v>
      </c>
      <c r="Q87" s="55"/>
      <c r="R87" s="55"/>
      <c r="S87" s="55"/>
      <c r="T87" s="10"/>
      <c r="U87" s="10"/>
      <c r="V87" s="10"/>
      <c r="W87" s="10"/>
      <c r="X87" s="10"/>
    </row>
    <row r="88" spans="1:24" ht="19.149999999999999" customHeight="1" x14ac:dyDescent="0.2">
      <c r="B88" s="11" t="s">
        <v>35</v>
      </c>
      <c r="C88" s="15">
        <v>2</v>
      </c>
      <c r="D88" s="13" t="s">
        <v>10</v>
      </c>
      <c r="E88" s="41" t="s">
        <v>45</v>
      </c>
      <c r="F88" s="82" t="s">
        <v>50</v>
      </c>
      <c r="G88" s="9">
        <v>11</v>
      </c>
      <c r="H88" s="108">
        <v>19</v>
      </c>
      <c r="I88" s="108">
        <v>28</v>
      </c>
      <c r="J88" s="108">
        <v>38</v>
      </c>
      <c r="K88" s="105">
        <v>51</v>
      </c>
      <c r="L88" s="108">
        <v>81</v>
      </c>
      <c r="M88" s="108">
        <v>105</v>
      </c>
      <c r="N88" s="108">
        <v>126</v>
      </c>
      <c r="O88" s="108"/>
      <c r="P88" s="110">
        <v>155</v>
      </c>
      <c r="Q88" s="56"/>
      <c r="R88" s="56"/>
      <c r="S88" s="56"/>
      <c r="T88" s="9"/>
      <c r="U88" s="9"/>
      <c r="V88" s="9"/>
      <c r="W88" s="9"/>
      <c r="X88" s="9"/>
    </row>
    <row r="89" spans="1:24" ht="19.149999999999999" customHeight="1" x14ac:dyDescent="0.2">
      <c r="B89" s="58"/>
      <c r="C89" s="59"/>
      <c r="D89" s="79" t="s">
        <v>34</v>
      </c>
      <c r="E89" s="80" t="s">
        <v>45</v>
      </c>
      <c r="F89" s="85" t="s">
        <v>50</v>
      </c>
      <c r="G89" s="49">
        <v>9</v>
      </c>
      <c r="H89" s="111">
        <v>13</v>
      </c>
      <c r="I89" s="111">
        <v>20</v>
      </c>
      <c r="J89" s="111">
        <v>26</v>
      </c>
      <c r="K89" s="106">
        <v>40</v>
      </c>
      <c r="L89" s="111">
        <v>72</v>
      </c>
      <c r="M89" s="111">
        <v>91</v>
      </c>
      <c r="N89" s="111">
        <v>109</v>
      </c>
      <c r="O89" s="111"/>
      <c r="P89" s="112">
        <v>132</v>
      </c>
      <c r="Q89" s="81"/>
      <c r="R89" s="81"/>
      <c r="S89" s="81"/>
      <c r="T89" s="49"/>
      <c r="U89" s="49"/>
      <c r="V89" s="49"/>
      <c r="W89" s="49"/>
      <c r="X89" s="49"/>
    </row>
    <row r="90" spans="1:24" ht="19.149999999999999" customHeight="1" thickBot="1" x14ac:dyDescent="0.25">
      <c r="B90" s="14"/>
      <c r="C90" s="16"/>
      <c r="D90" s="17" t="s">
        <v>11</v>
      </c>
      <c r="E90" s="42" t="s">
        <v>45</v>
      </c>
      <c r="F90" s="86" t="s">
        <v>50</v>
      </c>
      <c r="G90" s="10">
        <v>12</v>
      </c>
      <c r="H90" s="113">
        <v>19</v>
      </c>
      <c r="I90" s="113">
        <v>30</v>
      </c>
      <c r="J90" s="113">
        <v>40</v>
      </c>
      <c r="K90" s="107">
        <v>54</v>
      </c>
      <c r="L90" s="113">
        <v>81</v>
      </c>
      <c r="M90" s="113">
        <v>98</v>
      </c>
      <c r="N90" s="113">
        <v>114</v>
      </c>
      <c r="O90" s="113"/>
      <c r="P90" s="114">
        <v>136</v>
      </c>
      <c r="Q90" s="55"/>
      <c r="R90" s="55"/>
      <c r="S90" s="55"/>
      <c r="T90" s="10"/>
      <c r="U90" s="10"/>
      <c r="V90" s="10"/>
      <c r="W90" s="10"/>
      <c r="X90" s="10"/>
    </row>
    <row r="91" spans="1:24" ht="19.149999999999999" customHeight="1" x14ac:dyDescent="0.2">
      <c r="B91" s="11" t="s">
        <v>35</v>
      </c>
      <c r="C91" s="15">
        <v>3</v>
      </c>
      <c r="D91" s="13" t="s">
        <v>10</v>
      </c>
      <c r="E91" s="41" t="s">
        <v>49</v>
      </c>
      <c r="F91" s="82" t="s">
        <v>50</v>
      </c>
      <c r="G91" s="9">
        <v>12</v>
      </c>
      <c r="H91" s="108">
        <v>20</v>
      </c>
      <c r="I91" s="108">
        <v>27</v>
      </c>
      <c r="J91" s="108">
        <v>38</v>
      </c>
      <c r="K91" s="105">
        <v>49</v>
      </c>
      <c r="L91" s="108">
        <v>74</v>
      </c>
      <c r="M91" s="108">
        <v>90</v>
      </c>
      <c r="N91" s="108">
        <v>105</v>
      </c>
      <c r="O91" s="108"/>
      <c r="P91" s="110">
        <v>125</v>
      </c>
      <c r="Q91" s="56"/>
      <c r="R91" s="56"/>
      <c r="S91" s="56"/>
      <c r="T91" s="9"/>
      <c r="U91" s="9"/>
      <c r="V91" s="9"/>
      <c r="W91" s="9"/>
      <c r="X91" s="9"/>
    </row>
    <row r="92" spans="1:24" ht="19.149999999999999" customHeight="1" x14ac:dyDescent="0.2">
      <c r="B92" s="58"/>
      <c r="C92" s="59"/>
      <c r="D92" s="79" t="s">
        <v>34</v>
      </c>
      <c r="E92" s="80" t="s">
        <v>49</v>
      </c>
      <c r="F92" s="85" t="s">
        <v>50</v>
      </c>
      <c r="G92" s="49">
        <v>13</v>
      </c>
      <c r="H92" s="111">
        <v>20</v>
      </c>
      <c r="I92" s="111">
        <v>31</v>
      </c>
      <c r="J92" s="111">
        <v>39</v>
      </c>
      <c r="K92" s="106">
        <v>49</v>
      </c>
      <c r="L92" s="111">
        <v>70</v>
      </c>
      <c r="M92" s="111">
        <v>87</v>
      </c>
      <c r="N92" s="111">
        <v>104</v>
      </c>
      <c r="O92" s="111"/>
      <c r="P92" s="112">
        <v>127</v>
      </c>
      <c r="Q92" s="81"/>
      <c r="R92" s="81"/>
      <c r="S92" s="81"/>
      <c r="T92" s="49"/>
      <c r="U92" s="49"/>
      <c r="V92" s="49"/>
      <c r="W92" s="49"/>
      <c r="X92" s="49"/>
    </row>
    <row r="93" spans="1:24" ht="19.149999999999999" customHeight="1" thickBot="1" x14ac:dyDescent="0.25">
      <c r="B93" s="14"/>
      <c r="C93" s="16"/>
      <c r="D93" s="17" t="s">
        <v>11</v>
      </c>
      <c r="E93" s="42" t="s">
        <v>49</v>
      </c>
      <c r="F93" s="86" t="s">
        <v>50</v>
      </c>
      <c r="G93" s="10">
        <v>11</v>
      </c>
      <c r="H93" s="113">
        <v>19</v>
      </c>
      <c r="I93" s="113">
        <v>25</v>
      </c>
      <c r="J93" s="113">
        <v>32</v>
      </c>
      <c r="K93" s="107">
        <v>45</v>
      </c>
      <c r="L93" s="113">
        <v>71</v>
      </c>
      <c r="M93" s="113">
        <v>83</v>
      </c>
      <c r="N93" s="113">
        <v>95</v>
      </c>
      <c r="O93" s="113"/>
      <c r="P93" s="114">
        <v>112</v>
      </c>
      <c r="Q93" s="55"/>
      <c r="R93" s="55"/>
      <c r="S93" s="55"/>
      <c r="T93" s="10"/>
      <c r="U93" s="10"/>
      <c r="V93" s="10"/>
      <c r="W93" s="10"/>
      <c r="X93" s="10"/>
    </row>
    <row r="94" spans="1:24" ht="19.149999999999999" customHeight="1" x14ac:dyDescent="0.2">
      <c r="B94" s="11" t="s">
        <v>35</v>
      </c>
      <c r="C94" s="15">
        <v>4</v>
      </c>
      <c r="D94" s="13" t="s">
        <v>10</v>
      </c>
      <c r="E94" s="41" t="s">
        <v>48</v>
      </c>
      <c r="F94" s="82" t="s">
        <v>50</v>
      </c>
      <c r="G94" s="9">
        <v>11</v>
      </c>
      <c r="H94" s="108">
        <v>15</v>
      </c>
      <c r="I94" s="108">
        <v>21</v>
      </c>
      <c r="J94" s="108">
        <v>28</v>
      </c>
      <c r="K94" s="105">
        <v>48</v>
      </c>
      <c r="L94" s="108">
        <v>87</v>
      </c>
      <c r="M94" s="108">
        <v>103</v>
      </c>
      <c r="N94" s="108">
        <v>117</v>
      </c>
      <c r="O94" s="108"/>
      <c r="P94" s="110">
        <v>134</v>
      </c>
      <c r="Q94" s="56"/>
      <c r="R94" s="56"/>
      <c r="S94" s="56"/>
      <c r="T94" s="9"/>
      <c r="U94" s="9"/>
      <c r="V94" s="9"/>
      <c r="W94" s="9"/>
      <c r="X94" s="9"/>
    </row>
    <row r="95" spans="1:24" ht="19.149999999999999" customHeight="1" x14ac:dyDescent="0.2">
      <c r="B95" s="58"/>
      <c r="C95" s="59"/>
      <c r="D95" s="79" t="s">
        <v>34</v>
      </c>
      <c r="E95" s="80" t="s">
        <v>48</v>
      </c>
      <c r="F95" s="85" t="s">
        <v>50</v>
      </c>
      <c r="G95" s="49">
        <v>13</v>
      </c>
      <c r="H95" s="111">
        <v>21</v>
      </c>
      <c r="I95" s="111">
        <v>28</v>
      </c>
      <c r="J95" s="111">
        <v>37</v>
      </c>
      <c r="K95" s="106">
        <v>56</v>
      </c>
      <c r="L95" s="111">
        <v>93</v>
      </c>
      <c r="M95" s="111">
        <v>112</v>
      </c>
      <c r="N95" s="111">
        <v>132</v>
      </c>
      <c r="O95" s="111"/>
      <c r="P95" s="112">
        <v>160</v>
      </c>
      <c r="Q95" s="81">
        <v>176</v>
      </c>
      <c r="R95" s="81"/>
      <c r="S95" s="81"/>
      <c r="T95" s="49"/>
      <c r="U95" s="49"/>
      <c r="V95" s="49"/>
      <c r="W95" s="49"/>
      <c r="X95" s="49"/>
    </row>
    <row r="96" spans="1:24" ht="19.149999999999999" customHeight="1" thickBot="1" x14ac:dyDescent="0.25">
      <c r="B96" s="14"/>
      <c r="C96" s="16"/>
      <c r="D96" s="17" t="s">
        <v>11</v>
      </c>
      <c r="E96" s="42" t="s">
        <v>48</v>
      </c>
      <c r="F96" s="86" t="s">
        <v>50</v>
      </c>
      <c r="G96" s="10">
        <v>13</v>
      </c>
      <c r="H96" s="113">
        <v>25</v>
      </c>
      <c r="I96" s="113">
        <v>38</v>
      </c>
      <c r="J96" s="113">
        <v>50</v>
      </c>
      <c r="K96" s="107">
        <v>68</v>
      </c>
      <c r="L96" s="113">
        <v>103</v>
      </c>
      <c r="M96" s="113">
        <v>114</v>
      </c>
      <c r="N96" s="113">
        <v>124</v>
      </c>
      <c r="O96" s="113"/>
      <c r="P96" s="114">
        <v>140</v>
      </c>
      <c r="Q96" s="55">
        <f t="shared" ref="Q96:Q97" si="0">P96+20</f>
        <v>160</v>
      </c>
      <c r="R96" s="55"/>
      <c r="S96" s="55"/>
      <c r="T96" s="10"/>
      <c r="U96" s="10"/>
      <c r="V96" s="10"/>
      <c r="W96" s="10"/>
      <c r="X96" s="10"/>
    </row>
    <row r="97" spans="2:24" ht="19.149999999999999" customHeight="1" x14ac:dyDescent="0.2">
      <c r="B97" s="11" t="s">
        <v>36</v>
      </c>
      <c r="C97" s="15">
        <v>4</v>
      </c>
      <c r="D97" s="13" t="s">
        <v>11</v>
      </c>
      <c r="E97" s="41" t="s">
        <v>48</v>
      </c>
      <c r="F97" s="82" t="s">
        <v>43</v>
      </c>
      <c r="G97" s="9">
        <v>14</v>
      </c>
      <c r="H97" s="108">
        <v>23</v>
      </c>
      <c r="I97" s="108">
        <v>34</v>
      </c>
      <c r="J97" s="108">
        <v>43</v>
      </c>
      <c r="K97" s="105">
        <v>58</v>
      </c>
      <c r="L97" s="108">
        <v>89</v>
      </c>
      <c r="M97" s="108">
        <v>105</v>
      </c>
      <c r="N97" s="108">
        <v>123</v>
      </c>
      <c r="O97" s="108"/>
      <c r="P97" s="110">
        <v>146</v>
      </c>
      <c r="Q97" s="56">
        <f t="shared" si="0"/>
        <v>166</v>
      </c>
      <c r="R97" s="56"/>
      <c r="S97" s="56"/>
      <c r="T97" s="9"/>
      <c r="U97" s="9"/>
      <c r="V97" s="9"/>
      <c r="W97" s="9"/>
      <c r="X97" s="9"/>
    </row>
    <row r="98" spans="2:24" ht="19.149999999999999" customHeight="1" x14ac:dyDescent="0.2">
      <c r="B98" s="58"/>
      <c r="C98" s="59"/>
      <c r="D98" s="79" t="s">
        <v>34</v>
      </c>
      <c r="E98" s="80" t="s">
        <v>48</v>
      </c>
      <c r="F98" s="85" t="s">
        <v>43</v>
      </c>
      <c r="G98" s="49">
        <v>17</v>
      </c>
      <c r="H98" s="111">
        <v>26</v>
      </c>
      <c r="I98" s="111">
        <v>37</v>
      </c>
      <c r="J98" s="111">
        <v>49</v>
      </c>
      <c r="K98" s="106">
        <v>64</v>
      </c>
      <c r="L98" s="111">
        <v>93</v>
      </c>
      <c r="M98" s="111">
        <v>106</v>
      </c>
      <c r="N98" s="111">
        <v>119</v>
      </c>
      <c r="O98" s="111"/>
      <c r="P98" s="112">
        <v>168</v>
      </c>
      <c r="Q98" s="81">
        <v>180</v>
      </c>
      <c r="R98" s="81"/>
      <c r="S98" s="81"/>
      <c r="T98" s="49"/>
      <c r="U98" s="49"/>
      <c r="V98" s="49"/>
      <c r="W98" s="49"/>
      <c r="X98" s="49"/>
    </row>
    <row r="99" spans="2:24" ht="19.149999999999999" customHeight="1" thickBot="1" x14ac:dyDescent="0.25">
      <c r="B99" s="14"/>
      <c r="C99" s="16"/>
      <c r="D99" s="17" t="s">
        <v>10</v>
      </c>
      <c r="E99" s="42" t="s">
        <v>48</v>
      </c>
      <c r="F99" s="86" t="s">
        <v>43</v>
      </c>
      <c r="G99" s="10">
        <v>15</v>
      </c>
      <c r="H99" s="113">
        <v>24</v>
      </c>
      <c r="I99" s="113">
        <v>34</v>
      </c>
      <c r="J99" s="113">
        <v>45</v>
      </c>
      <c r="K99" s="107">
        <v>61</v>
      </c>
      <c r="L99" s="113">
        <v>94</v>
      </c>
      <c r="M99" s="113">
        <v>110</v>
      </c>
      <c r="N99" s="113">
        <v>126</v>
      </c>
      <c r="O99" s="113"/>
      <c r="P99" s="114">
        <v>148</v>
      </c>
      <c r="Q99" s="55"/>
      <c r="R99" s="55"/>
      <c r="S99" s="55"/>
      <c r="T99" s="10"/>
      <c r="U99" s="10"/>
      <c r="V99" s="10"/>
      <c r="W99" s="10"/>
      <c r="X99" s="10"/>
    </row>
    <row r="100" spans="2:24" ht="19.149999999999999" customHeight="1" x14ac:dyDescent="0.2">
      <c r="B100" s="11" t="s">
        <v>36</v>
      </c>
      <c r="C100" s="15">
        <v>3</v>
      </c>
      <c r="D100" s="13" t="s">
        <v>11</v>
      </c>
      <c r="E100" s="41" t="s">
        <v>49</v>
      </c>
      <c r="F100" s="82" t="s">
        <v>43</v>
      </c>
      <c r="G100" s="9">
        <v>13</v>
      </c>
      <c r="H100" s="108">
        <v>22</v>
      </c>
      <c r="I100" s="108">
        <v>30</v>
      </c>
      <c r="J100" s="108">
        <v>39</v>
      </c>
      <c r="K100" s="105">
        <v>49</v>
      </c>
      <c r="L100" s="108">
        <v>70</v>
      </c>
      <c r="M100" s="108">
        <v>79</v>
      </c>
      <c r="N100" s="108">
        <v>90</v>
      </c>
      <c r="O100" s="108"/>
      <c r="P100" s="110">
        <v>105</v>
      </c>
      <c r="Q100" s="56"/>
      <c r="R100" s="56"/>
      <c r="S100" s="56"/>
      <c r="T100" s="9"/>
      <c r="U100" s="9"/>
      <c r="V100" s="9"/>
      <c r="W100" s="9"/>
      <c r="X100" s="9"/>
    </row>
    <row r="101" spans="2:24" ht="19.149999999999999" customHeight="1" x14ac:dyDescent="0.2">
      <c r="B101" s="58"/>
      <c r="C101" s="59"/>
      <c r="D101" s="79" t="s">
        <v>34</v>
      </c>
      <c r="E101" s="80" t="s">
        <v>49</v>
      </c>
      <c r="F101" s="85" t="s">
        <v>43</v>
      </c>
      <c r="G101" s="49">
        <v>14</v>
      </c>
      <c r="H101" s="111">
        <v>22</v>
      </c>
      <c r="I101" s="111">
        <v>31</v>
      </c>
      <c r="J101" s="111">
        <v>42</v>
      </c>
      <c r="K101" s="106">
        <v>54</v>
      </c>
      <c r="L101" s="111">
        <v>84</v>
      </c>
      <c r="M101" s="111">
        <v>98</v>
      </c>
      <c r="N101" s="111">
        <v>112</v>
      </c>
      <c r="O101" s="111"/>
      <c r="P101" s="112">
        <v>130</v>
      </c>
      <c r="Q101" s="81"/>
      <c r="R101" s="81"/>
      <c r="S101" s="81"/>
      <c r="T101" s="49"/>
      <c r="U101" s="49"/>
      <c r="V101" s="49"/>
      <c r="W101" s="49"/>
      <c r="X101" s="49"/>
    </row>
    <row r="102" spans="2:24" ht="19.149999999999999" customHeight="1" thickBot="1" x14ac:dyDescent="0.25">
      <c r="B102" s="14"/>
      <c r="C102" s="16"/>
      <c r="D102" s="17" t="s">
        <v>10</v>
      </c>
      <c r="E102" s="42" t="s">
        <v>49</v>
      </c>
      <c r="F102" s="86" t="s">
        <v>43</v>
      </c>
      <c r="G102" s="10">
        <v>17</v>
      </c>
      <c r="H102" s="113">
        <v>25</v>
      </c>
      <c r="I102" s="113">
        <v>35</v>
      </c>
      <c r="J102" s="113">
        <v>46</v>
      </c>
      <c r="K102" s="107">
        <v>58</v>
      </c>
      <c r="L102" s="113">
        <v>82</v>
      </c>
      <c r="M102" s="113">
        <v>94</v>
      </c>
      <c r="N102" s="113">
        <v>107</v>
      </c>
      <c r="O102" s="113"/>
      <c r="P102" s="114">
        <v>125</v>
      </c>
      <c r="Q102" s="55"/>
      <c r="R102" s="55"/>
      <c r="S102" s="55"/>
      <c r="T102" s="10"/>
      <c r="U102" s="10"/>
      <c r="V102" s="10"/>
      <c r="W102" s="10"/>
      <c r="X102" s="10"/>
    </row>
    <row r="103" spans="2:24" ht="19.149999999999999" customHeight="1" x14ac:dyDescent="0.2">
      <c r="B103" s="11" t="s">
        <v>36</v>
      </c>
      <c r="C103" s="15">
        <v>2</v>
      </c>
      <c r="D103" s="13" t="s">
        <v>11</v>
      </c>
      <c r="E103" s="41" t="s">
        <v>45</v>
      </c>
      <c r="F103" s="82" t="s">
        <v>43</v>
      </c>
      <c r="G103" s="9">
        <v>13</v>
      </c>
      <c r="H103" s="108">
        <v>24</v>
      </c>
      <c r="I103" s="108">
        <v>35</v>
      </c>
      <c r="J103" s="108">
        <v>47</v>
      </c>
      <c r="K103" s="105">
        <v>59</v>
      </c>
      <c r="L103" s="108">
        <v>83</v>
      </c>
      <c r="M103" s="108">
        <v>102</v>
      </c>
      <c r="N103" s="108">
        <v>120</v>
      </c>
      <c r="O103" s="108"/>
      <c r="P103" s="110">
        <v>144</v>
      </c>
      <c r="Q103" s="56"/>
      <c r="R103" s="56"/>
      <c r="S103" s="56"/>
      <c r="T103" s="9"/>
      <c r="U103" s="9"/>
      <c r="V103" s="9"/>
      <c r="W103" s="9"/>
      <c r="X103" s="9"/>
    </row>
    <row r="104" spans="2:24" ht="19.149999999999999" customHeight="1" x14ac:dyDescent="0.2">
      <c r="B104" s="58"/>
      <c r="C104" s="59"/>
      <c r="D104" s="79" t="s">
        <v>34</v>
      </c>
      <c r="E104" s="80" t="s">
        <v>45</v>
      </c>
      <c r="F104" s="85" t="s">
        <v>43</v>
      </c>
      <c r="G104" s="49">
        <v>15</v>
      </c>
      <c r="H104" s="111">
        <v>25</v>
      </c>
      <c r="I104" s="111">
        <v>35</v>
      </c>
      <c r="J104" s="111">
        <v>46</v>
      </c>
      <c r="K104" s="106">
        <v>61</v>
      </c>
      <c r="L104" s="111">
        <v>88</v>
      </c>
      <c r="M104" s="111">
        <v>108</v>
      </c>
      <c r="N104" s="111">
        <v>126</v>
      </c>
      <c r="O104" s="111"/>
      <c r="P104" s="112">
        <v>151</v>
      </c>
      <c r="Q104" s="81"/>
      <c r="R104" s="81"/>
      <c r="S104" s="81"/>
      <c r="T104" s="49"/>
      <c r="U104" s="49"/>
      <c r="V104" s="49"/>
      <c r="W104" s="49"/>
      <c r="X104" s="49"/>
    </row>
    <row r="105" spans="2:24" ht="19.149999999999999" customHeight="1" thickBot="1" x14ac:dyDescent="0.25">
      <c r="B105" s="14"/>
      <c r="C105" s="16"/>
      <c r="D105" s="17" t="s">
        <v>10</v>
      </c>
      <c r="E105" s="42" t="s">
        <v>45</v>
      </c>
      <c r="F105" s="86" t="s">
        <v>43</v>
      </c>
      <c r="G105" s="10">
        <v>15</v>
      </c>
      <c r="H105" s="113">
        <v>29</v>
      </c>
      <c r="I105" s="113">
        <v>41</v>
      </c>
      <c r="J105" s="113">
        <v>56</v>
      </c>
      <c r="K105" s="107">
        <v>71</v>
      </c>
      <c r="L105" s="113">
        <v>102</v>
      </c>
      <c r="M105" s="113">
        <v>112</v>
      </c>
      <c r="N105" s="113">
        <v>124</v>
      </c>
      <c r="O105" s="113"/>
      <c r="P105" s="114">
        <v>170</v>
      </c>
      <c r="Q105" s="55">
        <v>188</v>
      </c>
      <c r="R105" s="55"/>
      <c r="S105" s="55"/>
      <c r="T105" s="10"/>
      <c r="U105" s="10"/>
      <c r="V105" s="10"/>
      <c r="W105" s="10"/>
      <c r="X105" s="10"/>
    </row>
    <row r="106" spans="2:24" ht="19.149999999999999" customHeight="1" x14ac:dyDescent="0.2">
      <c r="B106" s="11" t="s">
        <v>36</v>
      </c>
      <c r="C106" s="15">
        <v>1</v>
      </c>
      <c r="D106" s="13" t="s">
        <v>11</v>
      </c>
      <c r="E106" s="41" t="s">
        <v>47</v>
      </c>
      <c r="F106" s="82" t="s">
        <v>43</v>
      </c>
      <c r="G106" s="9">
        <v>15</v>
      </c>
      <c r="H106" s="108">
        <v>26</v>
      </c>
      <c r="I106" s="108">
        <v>35</v>
      </c>
      <c r="J106" s="108">
        <v>47</v>
      </c>
      <c r="K106" s="105">
        <v>58</v>
      </c>
      <c r="L106" s="108">
        <v>77</v>
      </c>
      <c r="M106" s="108">
        <v>98</v>
      </c>
      <c r="N106" s="108">
        <v>121</v>
      </c>
      <c r="O106" s="108"/>
      <c r="P106" s="109">
        <v>153</v>
      </c>
      <c r="Q106" s="54"/>
      <c r="R106" s="54"/>
      <c r="S106" s="54"/>
      <c r="T106" s="9"/>
      <c r="U106" s="9"/>
      <c r="V106" s="9"/>
      <c r="W106" s="9"/>
      <c r="X106" s="9"/>
    </row>
    <row r="107" spans="2:24" ht="19.149999999999999" customHeight="1" x14ac:dyDescent="0.2">
      <c r="B107" s="58"/>
      <c r="C107" s="59"/>
      <c r="D107" s="79" t="s">
        <v>34</v>
      </c>
      <c r="E107" s="80" t="s">
        <v>47</v>
      </c>
      <c r="F107" s="85" t="s">
        <v>43</v>
      </c>
      <c r="G107" s="49">
        <v>16</v>
      </c>
      <c r="H107" s="111">
        <v>28</v>
      </c>
      <c r="I107" s="111">
        <v>42</v>
      </c>
      <c r="J107" s="111">
        <v>55</v>
      </c>
      <c r="K107" s="106">
        <v>64</v>
      </c>
      <c r="L107" s="111">
        <v>83</v>
      </c>
      <c r="M107" s="111">
        <v>98</v>
      </c>
      <c r="N107" s="111">
        <v>113</v>
      </c>
      <c r="O107" s="111"/>
      <c r="P107" s="112">
        <v>133</v>
      </c>
      <c r="Q107" s="81"/>
      <c r="R107" s="81"/>
      <c r="S107" s="81"/>
      <c r="T107" s="49"/>
      <c r="U107" s="49"/>
      <c r="V107" s="49"/>
      <c r="W107" s="49"/>
      <c r="X107" s="49"/>
    </row>
    <row r="108" spans="2:24" ht="19.149999999999999" customHeight="1" thickBot="1" x14ac:dyDescent="0.25">
      <c r="B108" s="14"/>
      <c r="C108" s="16"/>
      <c r="D108" s="17" t="s">
        <v>10</v>
      </c>
      <c r="E108" s="42" t="s">
        <v>47</v>
      </c>
      <c r="F108" s="86" t="s">
        <v>43</v>
      </c>
      <c r="G108" s="10">
        <v>17</v>
      </c>
      <c r="H108" s="113">
        <v>27</v>
      </c>
      <c r="I108" s="113">
        <v>36</v>
      </c>
      <c r="J108" s="113">
        <v>49</v>
      </c>
      <c r="K108" s="107">
        <v>55</v>
      </c>
      <c r="L108" s="113">
        <v>64</v>
      </c>
      <c r="M108" s="113">
        <v>83</v>
      </c>
      <c r="N108" s="113">
        <v>104</v>
      </c>
      <c r="O108" s="113"/>
      <c r="P108" s="114">
        <v>131</v>
      </c>
      <c r="Q108" s="55"/>
      <c r="R108" s="55"/>
      <c r="S108" s="55"/>
      <c r="T108" s="10"/>
      <c r="U108" s="10"/>
      <c r="V108" s="10"/>
      <c r="W108" s="10"/>
      <c r="X108" s="10"/>
    </row>
    <row r="109" spans="2:24" ht="19.149999999999999" customHeight="1" x14ac:dyDescent="0.2">
      <c r="B109" s="11" t="s">
        <v>37</v>
      </c>
      <c r="C109" s="15">
        <v>1</v>
      </c>
      <c r="D109" s="13" t="s">
        <v>10</v>
      </c>
      <c r="E109" s="41" t="s">
        <v>48</v>
      </c>
      <c r="F109" s="82" t="s">
        <v>50</v>
      </c>
      <c r="G109" s="9">
        <v>16</v>
      </c>
      <c r="H109" s="108">
        <v>24</v>
      </c>
      <c r="I109" s="108">
        <v>33</v>
      </c>
      <c r="J109" s="108">
        <v>41</v>
      </c>
      <c r="K109" s="105">
        <v>56</v>
      </c>
      <c r="L109" s="108">
        <v>85</v>
      </c>
      <c r="M109" s="108">
        <v>109</v>
      </c>
      <c r="N109" s="108">
        <v>132</v>
      </c>
      <c r="O109" s="108"/>
      <c r="P109" s="109">
        <v>163</v>
      </c>
      <c r="Q109" s="54">
        <v>180</v>
      </c>
      <c r="R109" s="54"/>
      <c r="S109" s="54"/>
      <c r="T109" s="9"/>
      <c r="U109" s="9"/>
      <c r="V109" s="9"/>
      <c r="W109" s="9"/>
      <c r="X109" s="9"/>
    </row>
    <row r="110" spans="2:24" ht="19.149999999999999" customHeight="1" x14ac:dyDescent="0.2">
      <c r="B110" s="58"/>
      <c r="C110" s="59"/>
      <c r="D110" s="79" t="s">
        <v>34</v>
      </c>
      <c r="E110" s="80" t="s">
        <v>48</v>
      </c>
      <c r="F110" s="85" t="s">
        <v>50</v>
      </c>
      <c r="G110" s="49">
        <v>17</v>
      </c>
      <c r="H110" s="111">
        <v>25</v>
      </c>
      <c r="I110" s="111">
        <v>33</v>
      </c>
      <c r="J110" s="111">
        <v>42</v>
      </c>
      <c r="K110" s="106">
        <v>55</v>
      </c>
      <c r="L110" s="111">
        <v>86</v>
      </c>
      <c r="M110" s="111">
        <v>107</v>
      </c>
      <c r="N110" s="111">
        <v>127</v>
      </c>
      <c r="O110" s="111"/>
      <c r="P110" s="112">
        <v>156</v>
      </c>
      <c r="Q110" s="81">
        <v>174</v>
      </c>
      <c r="R110" s="81"/>
      <c r="S110" s="81"/>
      <c r="T110" s="49"/>
      <c r="U110" s="49"/>
      <c r="V110" s="49"/>
      <c r="W110" s="49"/>
      <c r="X110" s="49"/>
    </row>
    <row r="111" spans="2:24" ht="19.149999999999999" customHeight="1" thickBot="1" x14ac:dyDescent="0.25">
      <c r="B111" s="14"/>
      <c r="C111" s="16"/>
      <c r="D111" s="17" t="s">
        <v>11</v>
      </c>
      <c r="E111" s="42" t="s">
        <v>48</v>
      </c>
      <c r="F111" s="86" t="s">
        <v>50</v>
      </c>
      <c r="G111" s="10">
        <v>12</v>
      </c>
      <c r="H111" s="113">
        <v>18</v>
      </c>
      <c r="I111" s="113">
        <v>23</v>
      </c>
      <c r="J111" s="113">
        <v>30</v>
      </c>
      <c r="K111" s="107">
        <v>52</v>
      </c>
      <c r="L111" s="113">
        <v>88</v>
      </c>
      <c r="M111" s="113">
        <v>116</v>
      </c>
      <c r="N111" s="113">
        <v>141</v>
      </c>
      <c r="O111" s="113"/>
      <c r="P111" s="114">
        <v>175</v>
      </c>
      <c r="Q111" s="55">
        <v>182</v>
      </c>
      <c r="R111" s="55"/>
      <c r="S111" s="55"/>
      <c r="T111" s="10"/>
      <c r="U111" s="10"/>
      <c r="V111" s="10"/>
      <c r="W111" s="10"/>
      <c r="X111" s="10"/>
    </row>
    <row r="112" spans="2:24" ht="19.149999999999999" customHeight="1" x14ac:dyDescent="0.2">
      <c r="B112" s="11" t="s">
        <v>37</v>
      </c>
      <c r="C112" s="15">
        <v>2</v>
      </c>
      <c r="D112" s="13" t="s">
        <v>10</v>
      </c>
      <c r="E112" s="41" t="s">
        <v>49</v>
      </c>
      <c r="F112" s="82" t="s">
        <v>50</v>
      </c>
      <c r="G112" s="9">
        <v>16</v>
      </c>
      <c r="H112" s="108">
        <v>22</v>
      </c>
      <c r="I112" s="108">
        <v>27</v>
      </c>
      <c r="J112" s="108">
        <v>34</v>
      </c>
      <c r="K112" s="105">
        <v>45</v>
      </c>
      <c r="L112" s="108">
        <v>69</v>
      </c>
      <c r="M112" s="108">
        <v>88</v>
      </c>
      <c r="N112" s="108">
        <v>106</v>
      </c>
      <c r="O112" s="108"/>
      <c r="P112" s="110">
        <v>130</v>
      </c>
      <c r="Q112" s="56"/>
      <c r="R112" s="56"/>
      <c r="S112" s="56"/>
      <c r="T112" s="9"/>
      <c r="U112" s="9"/>
      <c r="V112" s="9"/>
      <c r="W112" s="9"/>
      <c r="X112" s="9"/>
    </row>
    <row r="113" spans="2:24" ht="19.149999999999999" customHeight="1" x14ac:dyDescent="0.2">
      <c r="B113" s="58"/>
      <c r="C113" s="59"/>
      <c r="D113" s="79" t="s">
        <v>34</v>
      </c>
      <c r="E113" s="80" t="s">
        <v>49</v>
      </c>
      <c r="F113" s="85" t="s">
        <v>50</v>
      </c>
      <c r="G113" s="49">
        <v>11</v>
      </c>
      <c r="H113" s="111">
        <v>19</v>
      </c>
      <c r="I113" s="111">
        <v>28</v>
      </c>
      <c r="J113" s="111">
        <v>38</v>
      </c>
      <c r="K113" s="106">
        <v>56</v>
      </c>
      <c r="L113" s="111">
        <v>92</v>
      </c>
      <c r="M113" s="111">
        <v>112</v>
      </c>
      <c r="N113" s="111">
        <v>134</v>
      </c>
      <c r="O113" s="111"/>
      <c r="P113" s="112">
        <v>167</v>
      </c>
      <c r="Q113" s="81">
        <v>183</v>
      </c>
      <c r="R113" s="81"/>
      <c r="S113" s="81"/>
      <c r="T113" s="49"/>
      <c r="U113" s="49"/>
      <c r="V113" s="49"/>
      <c r="W113" s="49"/>
      <c r="X113" s="49"/>
    </row>
    <row r="114" spans="2:24" ht="19.149999999999999" customHeight="1" thickBot="1" x14ac:dyDescent="0.25">
      <c r="B114" s="14"/>
      <c r="C114" s="16"/>
      <c r="D114" s="17" t="s">
        <v>11</v>
      </c>
      <c r="E114" s="42" t="s">
        <v>49</v>
      </c>
      <c r="F114" s="86" t="s">
        <v>50</v>
      </c>
      <c r="G114" s="10">
        <v>11</v>
      </c>
      <c r="H114" s="113">
        <v>18</v>
      </c>
      <c r="I114" s="113">
        <v>23</v>
      </c>
      <c r="J114" s="113">
        <v>29</v>
      </c>
      <c r="K114" s="107">
        <v>40</v>
      </c>
      <c r="L114" s="113">
        <v>61</v>
      </c>
      <c r="M114" s="113">
        <v>74</v>
      </c>
      <c r="N114" s="113">
        <v>86</v>
      </c>
      <c r="O114" s="113"/>
      <c r="P114" s="114">
        <v>103</v>
      </c>
      <c r="Q114" s="55"/>
      <c r="R114" s="55"/>
      <c r="S114" s="55"/>
      <c r="T114" s="10"/>
      <c r="U114" s="10"/>
      <c r="V114" s="10"/>
      <c r="W114" s="10"/>
      <c r="X114" s="10"/>
    </row>
    <row r="115" spans="2:24" ht="19.149999999999999" customHeight="1" x14ac:dyDescent="0.2">
      <c r="B115" s="11" t="s">
        <v>37</v>
      </c>
      <c r="C115" s="15">
        <v>3</v>
      </c>
      <c r="D115" s="13" t="s">
        <v>10</v>
      </c>
      <c r="E115" s="41" t="s">
        <v>44</v>
      </c>
      <c r="F115" s="82" t="s">
        <v>50</v>
      </c>
      <c r="G115" s="9">
        <v>13</v>
      </c>
      <c r="H115" s="108">
        <v>24</v>
      </c>
      <c r="I115" s="108">
        <v>36</v>
      </c>
      <c r="J115" s="108">
        <v>48</v>
      </c>
      <c r="K115" s="105">
        <v>64</v>
      </c>
      <c r="L115" s="108">
        <v>97</v>
      </c>
      <c r="M115" s="108">
        <v>116</v>
      </c>
      <c r="N115" s="108">
        <v>136</v>
      </c>
      <c r="O115" s="108"/>
      <c r="P115" s="110">
        <v>164</v>
      </c>
      <c r="Q115" s="56">
        <v>184</v>
      </c>
      <c r="R115" s="56"/>
      <c r="S115" s="56"/>
      <c r="T115" s="9"/>
      <c r="U115" s="9"/>
      <c r="V115" s="9"/>
      <c r="W115" s="9"/>
      <c r="X115" s="9"/>
    </row>
    <row r="116" spans="2:24" ht="19.149999999999999" customHeight="1" x14ac:dyDescent="0.2">
      <c r="B116" s="58"/>
      <c r="C116" s="59"/>
      <c r="D116" s="79" t="s">
        <v>34</v>
      </c>
      <c r="E116" s="80" t="s">
        <v>44</v>
      </c>
      <c r="F116" s="85" t="s">
        <v>50</v>
      </c>
      <c r="G116" s="49">
        <v>11</v>
      </c>
      <c r="H116" s="111">
        <v>21</v>
      </c>
      <c r="I116" s="111">
        <v>32</v>
      </c>
      <c r="J116" s="111">
        <v>43</v>
      </c>
      <c r="K116" s="106">
        <v>59</v>
      </c>
      <c r="L116" s="111">
        <v>88</v>
      </c>
      <c r="M116" s="111">
        <v>107</v>
      </c>
      <c r="N116" s="111">
        <v>128</v>
      </c>
      <c r="O116" s="111"/>
      <c r="P116" s="112">
        <v>156</v>
      </c>
      <c r="Q116" s="81">
        <v>177</v>
      </c>
      <c r="R116" s="81"/>
      <c r="S116" s="81"/>
      <c r="T116" s="49"/>
      <c r="U116" s="49"/>
      <c r="V116" s="49"/>
      <c r="W116" s="49"/>
      <c r="X116" s="49"/>
    </row>
    <row r="117" spans="2:24" ht="19.149999999999999" customHeight="1" thickBot="1" x14ac:dyDescent="0.25">
      <c r="B117" s="14"/>
      <c r="C117" s="16"/>
      <c r="D117" s="17" t="s">
        <v>11</v>
      </c>
      <c r="E117" s="42" t="s">
        <v>44</v>
      </c>
      <c r="F117" s="86" t="s">
        <v>50</v>
      </c>
      <c r="G117" s="10">
        <v>12</v>
      </c>
      <c r="H117" s="113">
        <v>22</v>
      </c>
      <c r="I117" s="113">
        <v>34</v>
      </c>
      <c r="J117" s="113">
        <v>45</v>
      </c>
      <c r="K117" s="107">
        <v>60</v>
      </c>
      <c r="L117" s="113">
        <v>89</v>
      </c>
      <c r="M117" s="113">
        <v>107</v>
      </c>
      <c r="N117" s="113">
        <v>124</v>
      </c>
      <c r="O117" s="113"/>
      <c r="P117" s="114">
        <v>150</v>
      </c>
      <c r="Q117" s="55"/>
      <c r="R117" s="55"/>
      <c r="S117" s="55"/>
      <c r="T117" s="10"/>
      <c r="U117" s="10"/>
      <c r="V117" s="10"/>
      <c r="W117" s="10"/>
      <c r="X117" s="10"/>
    </row>
    <row r="118" spans="2:24" ht="19.149999999999999" customHeight="1" x14ac:dyDescent="0.2">
      <c r="B118" s="11" t="s">
        <v>37</v>
      </c>
      <c r="C118" s="15">
        <v>4</v>
      </c>
      <c r="D118" s="13" t="s">
        <v>10</v>
      </c>
      <c r="E118" s="41" t="s">
        <v>47</v>
      </c>
      <c r="F118" s="82" t="s">
        <v>50</v>
      </c>
      <c r="G118" s="9">
        <v>12</v>
      </c>
      <c r="H118" s="108">
        <v>19</v>
      </c>
      <c r="I118" s="108">
        <v>30</v>
      </c>
      <c r="J118" s="108">
        <v>42</v>
      </c>
      <c r="K118" s="105">
        <v>55</v>
      </c>
      <c r="L118" s="108">
        <v>82</v>
      </c>
      <c r="M118" s="108">
        <v>93</v>
      </c>
      <c r="N118" s="108">
        <v>104</v>
      </c>
      <c r="O118" s="108"/>
      <c r="P118" s="110">
        <v>119</v>
      </c>
      <c r="Q118" s="56"/>
      <c r="R118" s="56"/>
      <c r="S118" s="56"/>
      <c r="T118" s="9"/>
      <c r="U118" s="9"/>
      <c r="V118" s="9"/>
      <c r="W118" s="9"/>
      <c r="X118" s="9"/>
    </row>
    <row r="119" spans="2:24" ht="19.149999999999999" customHeight="1" x14ac:dyDescent="0.2">
      <c r="B119" s="58"/>
      <c r="C119" s="59"/>
      <c r="D119" s="79" t="s">
        <v>34</v>
      </c>
      <c r="E119" s="80" t="s">
        <v>47</v>
      </c>
      <c r="F119" s="85" t="s">
        <v>50</v>
      </c>
      <c r="G119" s="49">
        <v>13</v>
      </c>
      <c r="H119" s="111">
        <v>23</v>
      </c>
      <c r="I119" s="111">
        <v>32</v>
      </c>
      <c r="J119" s="111">
        <v>42</v>
      </c>
      <c r="K119" s="106">
        <v>56</v>
      </c>
      <c r="L119" s="111">
        <v>85</v>
      </c>
      <c r="M119" s="111">
        <v>100</v>
      </c>
      <c r="N119" s="111">
        <v>116</v>
      </c>
      <c r="O119" s="111"/>
      <c r="P119" s="112">
        <v>138</v>
      </c>
      <c r="Q119" s="81"/>
      <c r="R119" s="81"/>
      <c r="S119" s="81"/>
      <c r="T119" s="49"/>
      <c r="U119" s="49"/>
      <c r="V119" s="49"/>
      <c r="W119" s="49"/>
      <c r="X119" s="49"/>
    </row>
    <row r="120" spans="2:24" ht="19.149999999999999" customHeight="1" thickBot="1" x14ac:dyDescent="0.25">
      <c r="B120" s="14"/>
      <c r="C120" s="16"/>
      <c r="D120" s="17" t="s">
        <v>11</v>
      </c>
      <c r="E120" s="42" t="s">
        <v>47</v>
      </c>
      <c r="F120" s="86" t="s">
        <v>50</v>
      </c>
      <c r="G120" s="10">
        <v>12</v>
      </c>
      <c r="H120" s="113">
        <v>22</v>
      </c>
      <c r="I120" s="113">
        <v>32</v>
      </c>
      <c r="J120" s="113">
        <v>43</v>
      </c>
      <c r="K120" s="107">
        <v>56</v>
      </c>
      <c r="L120" s="113">
        <v>84</v>
      </c>
      <c r="M120" s="113">
        <v>101</v>
      </c>
      <c r="N120" s="113">
        <v>120</v>
      </c>
      <c r="O120" s="113"/>
      <c r="P120" s="114">
        <v>144</v>
      </c>
      <c r="Q120" s="55"/>
      <c r="R120" s="55"/>
      <c r="S120" s="55"/>
      <c r="T120" s="10"/>
      <c r="U120" s="10"/>
      <c r="V120" s="10"/>
      <c r="W120" s="10"/>
      <c r="X120" s="10"/>
    </row>
    <row r="121" spans="2:24" ht="19.149999999999999" customHeight="1" x14ac:dyDescent="0.2">
      <c r="B121" s="11" t="s">
        <v>38</v>
      </c>
      <c r="C121" s="15">
        <v>4</v>
      </c>
      <c r="D121" s="13" t="s">
        <v>11</v>
      </c>
      <c r="E121" s="41" t="s">
        <v>47</v>
      </c>
      <c r="F121" s="82" t="s">
        <v>43</v>
      </c>
      <c r="G121" s="9">
        <v>14</v>
      </c>
      <c r="H121" s="108">
        <v>22</v>
      </c>
      <c r="I121" s="108">
        <v>31</v>
      </c>
      <c r="J121" s="108">
        <v>40</v>
      </c>
      <c r="K121" s="105">
        <v>53</v>
      </c>
      <c r="L121" s="108">
        <v>78</v>
      </c>
      <c r="M121" s="108">
        <v>88</v>
      </c>
      <c r="N121" s="108">
        <v>97</v>
      </c>
      <c r="O121" s="108"/>
      <c r="P121" s="110">
        <v>110</v>
      </c>
      <c r="Q121" s="56"/>
      <c r="R121" s="56"/>
      <c r="S121" s="56"/>
      <c r="T121" s="9"/>
      <c r="U121" s="9"/>
      <c r="V121" s="9"/>
      <c r="W121" s="9"/>
      <c r="X121" s="9"/>
    </row>
    <row r="122" spans="2:24" ht="19.149999999999999" customHeight="1" x14ac:dyDescent="0.2">
      <c r="B122" s="58"/>
      <c r="C122" s="59"/>
      <c r="D122" s="79" t="s">
        <v>34</v>
      </c>
      <c r="E122" s="80" t="s">
        <v>47</v>
      </c>
      <c r="F122" s="85" t="s">
        <v>43</v>
      </c>
      <c r="G122" s="49">
        <v>14</v>
      </c>
      <c r="H122" s="111">
        <v>23</v>
      </c>
      <c r="I122" s="111">
        <v>33</v>
      </c>
      <c r="J122" s="111">
        <v>43</v>
      </c>
      <c r="K122" s="106">
        <v>51</v>
      </c>
      <c r="L122" s="111">
        <v>65</v>
      </c>
      <c r="M122" s="111">
        <v>75</v>
      </c>
      <c r="N122" s="111">
        <v>85</v>
      </c>
      <c r="O122" s="111"/>
      <c r="P122" s="112">
        <v>99</v>
      </c>
      <c r="Q122" s="81">
        <v>123</v>
      </c>
      <c r="R122" s="81"/>
      <c r="S122" s="81"/>
      <c r="T122" s="49"/>
      <c r="U122" s="49"/>
      <c r="V122" s="49"/>
      <c r="W122" s="49"/>
      <c r="X122" s="49"/>
    </row>
    <row r="123" spans="2:24" ht="19.149999999999999" customHeight="1" thickBot="1" x14ac:dyDescent="0.25">
      <c r="B123" s="14"/>
      <c r="C123" s="16"/>
      <c r="D123" s="17" t="s">
        <v>10</v>
      </c>
      <c r="E123" s="42" t="s">
        <v>47</v>
      </c>
      <c r="F123" s="86" t="s">
        <v>43</v>
      </c>
      <c r="G123" s="10">
        <v>12</v>
      </c>
      <c r="H123" s="113">
        <v>23</v>
      </c>
      <c r="I123" s="113">
        <v>35</v>
      </c>
      <c r="J123" s="113">
        <v>46</v>
      </c>
      <c r="K123" s="107">
        <v>61</v>
      </c>
      <c r="L123" s="113">
        <v>86</v>
      </c>
      <c r="M123" s="113">
        <v>101</v>
      </c>
      <c r="N123" s="113">
        <v>116</v>
      </c>
      <c r="O123" s="113"/>
      <c r="P123" s="114">
        <v>135</v>
      </c>
      <c r="Q123" s="55"/>
      <c r="R123" s="55"/>
      <c r="S123" s="55"/>
      <c r="T123" s="10"/>
      <c r="U123" s="10"/>
      <c r="V123" s="10"/>
      <c r="W123" s="10"/>
      <c r="X123" s="10"/>
    </row>
    <row r="124" spans="2:24" ht="19.149999999999999" customHeight="1" x14ac:dyDescent="0.2">
      <c r="B124" s="11" t="s">
        <v>38</v>
      </c>
      <c r="C124" s="15">
        <v>3</v>
      </c>
      <c r="D124" s="13" t="s">
        <v>11</v>
      </c>
      <c r="E124" s="41" t="s">
        <v>44</v>
      </c>
      <c r="F124" s="82" t="s">
        <v>43</v>
      </c>
      <c r="G124" s="9">
        <v>15</v>
      </c>
      <c r="H124" s="108">
        <v>23</v>
      </c>
      <c r="I124" s="108">
        <v>34</v>
      </c>
      <c r="J124" s="108">
        <v>43</v>
      </c>
      <c r="K124" s="105">
        <v>59</v>
      </c>
      <c r="L124" s="108">
        <v>92</v>
      </c>
      <c r="M124" s="108">
        <v>105</v>
      </c>
      <c r="N124" s="108">
        <v>118</v>
      </c>
      <c r="O124" s="108"/>
      <c r="P124" s="110">
        <v>136</v>
      </c>
      <c r="Q124" s="56"/>
      <c r="R124" s="56"/>
      <c r="S124" s="56"/>
      <c r="T124" s="9"/>
      <c r="U124" s="9"/>
      <c r="V124" s="9"/>
      <c r="W124" s="9"/>
      <c r="X124" s="9"/>
    </row>
    <row r="125" spans="2:24" ht="19.149999999999999" customHeight="1" x14ac:dyDescent="0.2">
      <c r="B125" s="58"/>
      <c r="C125" s="59"/>
      <c r="D125" s="79" t="s">
        <v>34</v>
      </c>
      <c r="E125" s="80" t="s">
        <v>44</v>
      </c>
      <c r="F125" s="85" t="s">
        <v>43</v>
      </c>
      <c r="G125" s="49">
        <v>15</v>
      </c>
      <c r="H125" s="111">
        <v>25</v>
      </c>
      <c r="I125" s="111">
        <v>35</v>
      </c>
      <c r="J125" s="111">
        <v>44</v>
      </c>
      <c r="K125" s="106">
        <v>64</v>
      </c>
      <c r="L125" s="111">
        <v>95</v>
      </c>
      <c r="M125" s="111">
        <v>114</v>
      </c>
      <c r="N125" s="111">
        <v>131</v>
      </c>
      <c r="O125" s="111"/>
      <c r="P125" s="112">
        <v>154</v>
      </c>
      <c r="Q125" s="81"/>
      <c r="R125" s="81"/>
      <c r="S125" s="81"/>
      <c r="T125" s="49"/>
      <c r="U125" s="49"/>
      <c r="V125" s="49"/>
      <c r="W125" s="49"/>
      <c r="X125" s="49"/>
    </row>
    <row r="126" spans="2:24" ht="19.149999999999999" customHeight="1" thickBot="1" x14ac:dyDescent="0.25">
      <c r="B126" s="14"/>
      <c r="C126" s="16"/>
      <c r="D126" s="17" t="s">
        <v>10</v>
      </c>
      <c r="E126" s="42" t="s">
        <v>44</v>
      </c>
      <c r="F126" s="86" t="s">
        <v>43</v>
      </c>
      <c r="G126" s="10">
        <v>14</v>
      </c>
      <c r="H126" s="113">
        <v>23</v>
      </c>
      <c r="I126" s="113">
        <v>34</v>
      </c>
      <c r="J126" s="113">
        <v>43</v>
      </c>
      <c r="K126" s="107">
        <v>63</v>
      </c>
      <c r="L126" s="113">
        <v>84</v>
      </c>
      <c r="M126" s="113">
        <v>99</v>
      </c>
      <c r="N126" s="113">
        <v>116</v>
      </c>
      <c r="O126" s="113"/>
      <c r="P126" s="114">
        <v>134</v>
      </c>
      <c r="Q126" s="55"/>
      <c r="R126" s="55"/>
      <c r="S126" s="55"/>
      <c r="T126" s="10"/>
      <c r="U126" s="10"/>
      <c r="V126" s="10"/>
      <c r="W126" s="10"/>
      <c r="X126" s="10"/>
    </row>
    <row r="127" spans="2:24" ht="19.149999999999999" customHeight="1" x14ac:dyDescent="0.2">
      <c r="B127" s="11" t="s">
        <v>38</v>
      </c>
      <c r="C127" s="15">
        <v>2</v>
      </c>
      <c r="D127" s="13" t="s">
        <v>11</v>
      </c>
      <c r="E127" s="41" t="s">
        <v>49</v>
      </c>
      <c r="F127" s="82" t="s">
        <v>43</v>
      </c>
      <c r="G127" s="9">
        <v>17</v>
      </c>
      <c r="H127" s="108">
        <v>30</v>
      </c>
      <c r="I127" s="108">
        <v>44</v>
      </c>
      <c r="J127" s="108">
        <v>57</v>
      </c>
      <c r="K127" s="105">
        <v>73</v>
      </c>
      <c r="L127" s="108">
        <v>104</v>
      </c>
      <c r="M127" s="108">
        <v>118</v>
      </c>
      <c r="N127" s="108">
        <v>133</v>
      </c>
      <c r="O127" s="108"/>
      <c r="P127" s="110">
        <v>153</v>
      </c>
      <c r="Q127" s="56"/>
      <c r="R127" s="56"/>
      <c r="S127" s="56"/>
      <c r="T127" s="9"/>
      <c r="U127" s="9"/>
      <c r="V127" s="9"/>
      <c r="W127" s="9"/>
      <c r="X127" s="9"/>
    </row>
    <row r="128" spans="2:24" ht="19.149999999999999" customHeight="1" x14ac:dyDescent="0.2">
      <c r="B128" s="58"/>
      <c r="C128" s="59"/>
      <c r="D128" s="79" t="s">
        <v>34</v>
      </c>
      <c r="E128" s="80" t="s">
        <v>49</v>
      </c>
      <c r="F128" s="85" t="s">
        <v>43</v>
      </c>
      <c r="G128" s="49">
        <v>15</v>
      </c>
      <c r="H128" s="111">
        <v>24</v>
      </c>
      <c r="I128" s="111">
        <v>33</v>
      </c>
      <c r="J128" s="111">
        <v>44</v>
      </c>
      <c r="K128" s="106">
        <v>53</v>
      </c>
      <c r="L128" s="111">
        <v>72</v>
      </c>
      <c r="M128" s="111">
        <v>90</v>
      </c>
      <c r="N128" s="111">
        <v>108</v>
      </c>
      <c r="O128" s="111"/>
      <c r="P128" s="112">
        <v>131</v>
      </c>
      <c r="Q128" s="81"/>
      <c r="R128" s="81"/>
      <c r="S128" s="81"/>
      <c r="T128" s="49"/>
      <c r="U128" s="49"/>
      <c r="V128" s="49"/>
      <c r="W128" s="49"/>
      <c r="X128" s="49"/>
    </row>
    <row r="129" spans="2:24" ht="19.149999999999999" customHeight="1" thickBot="1" x14ac:dyDescent="0.25">
      <c r="B129" s="14"/>
      <c r="C129" s="16"/>
      <c r="D129" s="17" t="s">
        <v>10</v>
      </c>
      <c r="E129" s="42" t="s">
        <v>49</v>
      </c>
      <c r="F129" s="86" t="s">
        <v>43</v>
      </c>
      <c r="G129" s="10">
        <v>16</v>
      </c>
      <c r="H129" s="113">
        <v>29</v>
      </c>
      <c r="I129" s="113">
        <v>43</v>
      </c>
      <c r="J129" s="113">
        <v>56</v>
      </c>
      <c r="K129" s="107">
        <v>71</v>
      </c>
      <c r="L129" s="113">
        <v>101</v>
      </c>
      <c r="M129" s="113">
        <v>121</v>
      </c>
      <c r="N129" s="113">
        <v>142</v>
      </c>
      <c r="O129" s="113"/>
      <c r="P129" s="114">
        <v>166</v>
      </c>
      <c r="Q129" s="55">
        <v>184</v>
      </c>
      <c r="R129" s="55"/>
      <c r="S129" s="55"/>
      <c r="T129" s="10"/>
      <c r="U129" s="10"/>
      <c r="V129" s="10"/>
      <c r="W129" s="10"/>
      <c r="X129" s="10"/>
    </row>
    <row r="130" spans="2:24" ht="19.149999999999999" customHeight="1" x14ac:dyDescent="0.2">
      <c r="B130" s="11" t="s">
        <v>38</v>
      </c>
      <c r="C130" s="15">
        <v>1</v>
      </c>
      <c r="D130" s="13" t="s">
        <v>11</v>
      </c>
      <c r="E130" s="41" t="s">
        <v>48</v>
      </c>
      <c r="F130" s="82" t="s">
        <v>43</v>
      </c>
      <c r="G130" s="9">
        <v>15</v>
      </c>
      <c r="H130" s="108">
        <v>27</v>
      </c>
      <c r="I130" s="108">
        <v>40</v>
      </c>
      <c r="J130" s="108">
        <v>51</v>
      </c>
      <c r="K130" s="105">
        <v>60</v>
      </c>
      <c r="L130" s="108">
        <v>79</v>
      </c>
      <c r="M130" s="108">
        <v>101</v>
      </c>
      <c r="N130" s="108">
        <v>119</v>
      </c>
      <c r="O130" s="108"/>
      <c r="P130" s="110">
        <v>143</v>
      </c>
      <c r="Q130" s="56"/>
      <c r="R130" s="56"/>
      <c r="S130" s="56"/>
      <c r="T130" s="9"/>
      <c r="U130" s="9"/>
      <c r="V130" s="9"/>
      <c r="W130" s="9"/>
      <c r="X130" s="9"/>
    </row>
    <row r="131" spans="2:24" ht="19.149999999999999" customHeight="1" x14ac:dyDescent="0.2">
      <c r="B131" s="58"/>
      <c r="C131" s="59"/>
      <c r="D131" s="79" t="s">
        <v>34</v>
      </c>
      <c r="E131" s="80" t="s">
        <v>48</v>
      </c>
      <c r="F131" s="85" t="s">
        <v>43</v>
      </c>
      <c r="G131" s="49">
        <v>16</v>
      </c>
      <c r="H131" s="111">
        <v>28</v>
      </c>
      <c r="I131" s="111">
        <v>40</v>
      </c>
      <c r="J131" s="111">
        <v>52</v>
      </c>
      <c r="K131" s="106">
        <v>68</v>
      </c>
      <c r="L131" s="111">
        <v>98</v>
      </c>
      <c r="M131" s="111">
        <v>123</v>
      </c>
      <c r="N131" s="111">
        <v>146</v>
      </c>
      <c r="O131" s="111"/>
      <c r="P131" s="112">
        <v>176</v>
      </c>
      <c r="Q131" s="81">
        <v>189</v>
      </c>
      <c r="R131" s="81"/>
      <c r="S131" s="81"/>
      <c r="T131" s="49"/>
      <c r="U131" s="49"/>
      <c r="V131" s="49"/>
      <c r="W131" s="49"/>
      <c r="X131" s="49"/>
    </row>
    <row r="132" spans="2:24" ht="19.149999999999999" customHeight="1" thickBot="1" x14ac:dyDescent="0.25">
      <c r="B132" s="14"/>
      <c r="C132" s="16"/>
      <c r="D132" s="17" t="s">
        <v>10</v>
      </c>
      <c r="E132" s="42" t="s">
        <v>48</v>
      </c>
      <c r="F132" s="86" t="s">
        <v>43</v>
      </c>
      <c r="G132" s="10">
        <v>16</v>
      </c>
      <c r="H132" s="113">
        <v>27</v>
      </c>
      <c r="I132" s="113">
        <v>38</v>
      </c>
      <c r="J132" s="113">
        <v>49</v>
      </c>
      <c r="K132" s="107">
        <v>60</v>
      </c>
      <c r="L132" s="113">
        <v>91</v>
      </c>
      <c r="M132" s="113">
        <v>109</v>
      </c>
      <c r="N132" s="113">
        <v>131</v>
      </c>
      <c r="O132" s="113"/>
      <c r="P132" s="114">
        <v>161</v>
      </c>
      <c r="Q132" s="55">
        <v>180</v>
      </c>
      <c r="R132" s="55"/>
      <c r="S132" s="55"/>
      <c r="T132" s="10"/>
      <c r="U132" s="10"/>
      <c r="V132" s="10"/>
      <c r="W132" s="10"/>
      <c r="X132" s="10"/>
    </row>
    <row r="133" spans="2:24" ht="19.149999999999999" customHeight="1" x14ac:dyDescent="0.2">
      <c r="B133" s="11" t="s">
        <v>39</v>
      </c>
      <c r="C133" s="15">
        <v>1</v>
      </c>
      <c r="D133" s="13" t="s">
        <v>10</v>
      </c>
      <c r="E133" s="41" t="s">
        <v>46</v>
      </c>
      <c r="F133" s="82" t="s">
        <v>43</v>
      </c>
      <c r="G133" s="9">
        <v>22</v>
      </c>
      <c r="H133" s="108">
        <v>31</v>
      </c>
      <c r="I133" s="108">
        <v>40</v>
      </c>
      <c r="J133" s="108">
        <v>48</v>
      </c>
      <c r="K133" s="105">
        <v>58</v>
      </c>
      <c r="L133" s="108">
        <v>77</v>
      </c>
      <c r="M133" s="108">
        <v>92</v>
      </c>
      <c r="N133" s="108">
        <v>107</v>
      </c>
      <c r="O133" s="108"/>
      <c r="P133" s="110">
        <v>128</v>
      </c>
      <c r="Q133" s="56"/>
      <c r="R133" s="56"/>
      <c r="S133" s="56"/>
      <c r="T133" s="9"/>
      <c r="U133" s="9"/>
      <c r="V133" s="9"/>
      <c r="W133" s="9"/>
      <c r="X133" s="9"/>
    </row>
    <row r="134" spans="2:24" ht="19.149999999999999" customHeight="1" x14ac:dyDescent="0.2">
      <c r="B134" s="58"/>
      <c r="C134" s="59"/>
      <c r="D134" s="79" t="s">
        <v>34</v>
      </c>
      <c r="E134" s="80" t="s">
        <v>46</v>
      </c>
      <c r="F134" s="85" t="s">
        <v>43</v>
      </c>
      <c r="G134" s="49">
        <v>16</v>
      </c>
      <c r="H134" s="111">
        <v>27</v>
      </c>
      <c r="I134" s="111">
        <v>36</v>
      </c>
      <c r="J134" s="111">
        <v>46</v>
      </c>
      <c r="K134" s="106">
        <v>57</v>
      </c>
      <c r="L134" s="111">
        <v>78</v>
      </c>
      <c r="M134" s="111">
        <v>94</v>
      </c>
      <c r="N134" s="111">
        <v>110</v>
      </c>
      <c r="O134" s="111"/>
      <c r="P134" s="112">
        <v>132</v>
      </c>
      <c r="Q134" s="81"/>
      <c r="R134" s="81"/>
      <c r="S134" s="81"/>
      <c r="T134" s="49"/>
      <c r="U134" s="49"/>
      <c r="V134" s="49"/>
      <c r="W134" s="49"/>
      <c r="X134" s="49"/>
    </row>
    <row r="135" spans="2:24" ht="19.149999999999999" customHeight="1" thickBot="1" x14ac:dyDescent="0.25">
      <c r="B135" s="14"/>
      <c r="C135" s="16"/>
      <c r="D135" s="17" t="s">
        <v>11</v>
      </c>
      <c r="E135" s="42" t="s">
        <v>46</v>
      </c>
      <c r="F135" s="86" t="s">
        <v>43</v>
      </c>
      <c r="G135" s="10">
        <v>20</v>
      </c>
      <c r="H135" s="113">
        <v>30</v>
      </c>
      <c r="I135" s="113">
        <v>39</v>
      </c>
      <c r="J135" s="113">
        <v>50</v>
      </c>
      <c r="K135" s="107">
        <v>64</v>
      </c>
      <c r="L135" s="113">
        <v>92</v>
      </c>
      <c r="M135" s="113">
        <v>104</v>
      </c>
      <c r="N135" s="113">
        <v>115</v>
      </c>
      <c r="O135" s="113"/>
      <c r="P135" s="114">
        <v>127</v>
      </c>
      <c r="Q135" s="55"/>
      <c r="R135" s="55"/>
      <c r="S135" s="55"/>
      <c r="T135" s="10"/>
      <c r="U135" s="10"/>
      <c r="V135" s="10"/>
      <c r="W135" s="10"/>
      <c r="X135" s="10"/>
    </row>
    <row r="136" spans="2:24" ht="19.149999999999999" customHeight="1" x14ac:dyDescent="0.2">
      <c r="B136" s="11" t="s">
        <v>39</v>
      </c>
      <c r="C136" s="15">
        <v>2</v>
      </c>
      <c r="D136" s="13" t="s">
        <v>10</v>
      </c>
      <c r="E136" s="41" t="s">
        <v>44</v>
      </c>
      <c r="F136" s="82" t="s">
        <v>43</v>
      </c>
      <c r="G136" s="9">
        <v>19</v>
      </c>
      <c r="H136" s="108">
        <v>31</v>
      </c>
      <c r="I136" s="108">
        <v>42</v>
      </c>
      <c r="J136" s="108">
        <v>55</v>
      </c>
      <c r="K136" s="105">
        <v>71</v>
      </c>
      <c r="L136" s="108">
        <v>106</v>
      </c>
      <c r="M136" s="108">
        <v>126</v>
      </c>
      <c r="N136" s="108">
        <v>145</v>
      </c>
      <c r="O136" s="108"/>
      <c r="P136" s="109">
        <v>171</v>
      </c>
      <c r="Q136" s="54">
        <v>187</v>
      </c>
      <c r="R136" s="54"/>
      <c r="S136" s="54"/>
      <c r="T136" s="9"/>
      <c r="U136" s="9"/>
      <c r="V136" s="9"/>
      <c r="W136" s="9"/>
      <c r="X136" s="9"/>
    </row>
    <row r="137" spans="2:24" ht="19.149999999999999" customHeight="1" x14ac:dyDescent="0.2">
      <c r="B137" s="58"/>
      <c r="C137" s="59"/>
      <c r="D137" s="79" t="s">
        <v>34</v>
      </c>
      <c r="E137" s="80" t="s">
        <v>44</v>
      </c>
      <c r="F137" s="85" t="s">
        <v>43</v>
      </c>
      <c r="G137" s="49">
        <v>16</v>
      </c>
      <c r="H137" s="111">
        <v>27</v>
      </c>
      <c r="I137" s="111">
        <v>39</v>
      </c>
      <c r="J137" s="111">
        <v>51</v>
      </c>
      <c r="K137" s="106">
        <v>70</v>
      </c>
      <c r="L137" s="111">
        <v>108</v>
      </c>
      <c r="M137" s="111">
        <v>125</v>
      </c>
      <c r="N137" s="111">
        <v>143</v>
      </c>
      <c r="O137" s="111"/>
      <c r="P137" s="112">
        <v>167</v>
      </c>
      <c r="Q137" s="81">
        <v>185</v>
      </c>
      <c r="R137" s="81"/>
      <c r="S137" s="81"/>
      <c r="T137" s="49"/>
      <c r="U137" s="49"/>
      <c r="V137" s="49"/>
      <c r="W137" s="49"/>
      <c r="X137" s="49"/>
    </row>
    <row r="138" spans="2:24" ht="19.149999999999999" customHeight="1" thickBot="1" x14ac:dyDescent="0.25">
      <c r="B138" s="14"/>
      <c r="C138" s="16"/>
      <c r="D138" s="17" t="s">
        <v>11</v>
      </c>
      <c r="E138" s="42" t="s">
        <v>44</v>
      </c>
      <c r="F138" s="86" t="s">
        <v>43</v>
      </c>
      <c r="G138" s="10">
        <v>14</v>
      </c>
      <c r="H138" s="113">
        <v>24</v>
      </c>
      <c r="I138" s="113">
        <v>35</v>
      </c>
      <c r="J138" s="113">
        <v>47</v>
      </c>
      <c r="K138" s="107">
        <v>59</v>
      </c>
      <c r="L138" s="113">
        <v>83</v>
      </c>
      <c r="M138" s="113">
        <v>90</v>
      </c>
      <c r="N138" s="113">
        <v>98</v>
      </c>
      <c r="O138" s="113"/>
      <c r="P138" s="114">
        <v>108</v>
      </c>
      <c r="Q138" s="55"/>
      <c r="R138" s="55"/>
      <c r="S138" s="55"/>
      <c r="T138" s="10"/>
      <c r="U138" s="10"/>
      <c r="V138" s="10"/>
      <c r="W138" s="10"/>
      <c r="X138" s="10"/>
    </row>
    <row r="139" spans="2:24" ht="19.149999999999999" customHeight="1" x14ac:dyDescent="0.2">
      <c r="B139" s="11" t="s">
        <v>39</v>
      </c>
      <c r="C139" s="15">
        <v>3</v>
      </c>
      <c r="D139" s="13" t="s">
        <v>10</v>
      </c>
      <c r="E139" s="41" t="s">
        <v>46</v>
      </c>
      <c r="F139" s="82" t="s">
        <v>43</v>
      </c>
      <c r="G139" s="9">
        <v>15</v>
      </c>
      <c r="H139" s="108">
        <v>26</v>
      </c>
      <c r="I139" s="108">
        <v>37</v>
      </c>
      <c r="J139" s="108">
        <v>47</v>
      </c>
      <c r="K139" s="105">
        <v>63</v>
      </c>
      <c r="L139" s="108">
        <v>95</v>
      </c>
      <c r="M139" s="108">
        <v>115</v>
      </c>
      <c r="N139" s="108">
        <v>134</v>
      </c>
      <c r="O139" s="108"/>
      <c r="P139" s="109">
        <v>160</v>
      </c>
      <c r="Q139" s="54"/>
      <c r="R139" s="54"/>
      <c r="S139" s="54"/>
      <c r="T139" s="9"/>
      <c r="U139" s="9"/>
      <c r="V139" s="9"/>
      <c r="W139" s="9"/>
      <c r="X139" s="9"/>
    </row>
    <row r="140" spans="2:24" ht="19.149999999999999" customHeight="1" x14ac:dyDescent="0.2">
      <c r="B140" s="58"/>
      <c r="C140" s="59"/>
      <c r="D140" s="79" t="s">
        <v>34</v>
      </c>
      <c r="E140" s="80" t="s">
        <v>46</v>
      </c>
      <c r="F140" s="85" t="s">
        <v>43</v>
      </c>
      <c r="G140" s="49">
        <v>16</v>
      </c>
      <c r="H140" s="111">
        <v>26</v>
      </c>
      <c r="I140" s="111">
        <v>35</v>
      </c>
      <c r="J140" s="111">
        <v>46</v>
      </c>
      <c r="K140" s="106">
        <v>58</v>
      </c>
      <c r="L140" s="111">
        <v>81</v>
      </c>
      <c r="M140" s="111">
        <v>102</v>
      </c>
      <c r="N140" s="111">
        <v>122</v>
      </c>
      <c r="O140" s="111"/>
      <c r="P140" s="112">
        <v>149</v>
      </c>
      <c r="Q140" s="81"/>
      <c r="R140" s="81"/>
      <c r="S140" s="81"/>
      <c r="T140" s="49"/>
      <c r="U140" s="49"/>
      <c r="V140" s="49"/>
      <c r="W140" s="49"/>
      <c r="X140" s="49"/>
    </row>
    <row r="141" spans="2:24" ht="19.149999999999999" customHeight="1" thickBot="1" x14ac:dyDescent="0.25">
      <c r="B141" s="14"/>
      <c r="C141" s="16"/>
      <c r="D141" s="17" t="s">
        <v>11</v>
      </c>
      <c r="E141" s="42" t="s">
        <v>46</v>
      </c>
      <c r="F141" s="86" t="s">
        <v>43</v>
      </c>
      <c r="G141" s="10">
        <v>17</v>
      </c>
      <c r="H141" s="113">
        <v>28</v>
      </c>
      <c r="I141" s="113">
        <v>37</v>
      </c>
      <c r="J141" s="113">
        <v>49</v>
      </c>
      <c r="K141" s="107">
        <v>64</v>
      </c>
      <c r="L141" s="113">
        <v>94</v>
      </c>
      <c r="M141" s="113">
        <v>108</v>
      </c>
      <c r="N141" s="113">
        <v>121</v>
      </c>
      <c r="O141" s="113"/>
      <c r="P141" s="118">
        <v>141</v>
      </c>
      <c r="Q141" s="57"/>
      <c r="R141" s="57"/>
      <c r="S141" s="57"/>
      <c r="T141" s="10"/>
      <c r="U141" s="10"/>
      <c r="V141" s="10"/>
      <c r="W141" s="10"/>
      <c r="X141" s="10"/>
    </row>
    <row r="142" spans="2:24" ht="19.149999999999999" customHeight="1" x14ac:dyDescent="0.2">
      <c r="B142" s="11" t="s">
        <v>39</v>
      </c>
      <c r="C142" s="15">
        <v>4</v>
      </c>
      <c r="D142" s="13" t="s">
        <v>10</v>
      </c>
      <c r="E142" s="41" t="s">
        <v>45</v>
      </c>
      <c r="F142" s="82" t="s">
        <v>43</v>
      </c>
      <c r="G142" s="9">
        <v>14</v>
      </c>
      <c r="H142" s="108">
        <v>25</v>
      </c>
      <c r="I142" s="108">
        <v>34</v>
      </c>
      <c r="J142" s="108">
        <v>44</v>
      </c>
      <c r="K142" s="105">
        <v>56</v>
      </c>
      <c r="L142" s="108">
        <v>81</v>
      </c>
      <c r="M142" s="108">
        <v>89</v>
      </c>
      <c r="N142" s="108">
        <v>99</v>
      </c>
      <c r="O142" s="108"/>
      <c r="P142" s="110">
        <v>113</v>
      </c>
      <c r="Q142" s="56"/>
      <c r="R142" s="56"/>
      <c r="S142" s="56"/>
      <c r="T142" s="9"/>
      <c r="U142" s="9"/>
      <c r="V142" s="9"/>
      <c r="W142" s="9"/>
      <c r="X142" s="9"/>
    </row>
    <row r="143" spans="2:24" ht="19.149999999999999" customHeight="1" x14ac:dyDescent="0.2">
      <c r="B143" s="58"/>
      <c r="C143" s="59"/>
      <c r="D143" s="79" t="s">
        <v>34</v>
      </c>
      <c r="E143" s="80" t="s">
        <v>45</v>
      </c>
      <c r="F143" s="85" t="s">
        <v>43</v>
      </c>
      <c r="G143" s="49">
        <v>15</v>
      </c>
      <c r="H143" s="111">
        <v>25</v>
      </c>
      <c r="I143" s="111">
        <v>36</v>
      </c>
      <c r="J143" s="111">
        <v>47</v>
      </c>
      <c r="K143" s="106">
        <v>62</v>
      </c>
      <c r="L143" s="111">
        <v>93</v>
      </c>
      <c r="M143" s="111">
        <v>102</v>
      </c>
      <c r="N143" s="111">
        <v>114</v>
      </c>
      <c r="O143" s="111"/>
      <c r="P143" s="112">
        <v>131</v>
      </c>
      <c r="Q143" s="81"/>
      <c r="R143" s="81"/>
      <c r="S143" s="81"/>
      <c r="T143" s="49"/>
      <c r="U143" s="49"/>
      <c r="V143" s="49"/>
      <c r="W143" s="49"/>
      <c r="X143" s="49"/>
    </row>
    <row r="144" spans="2:24" ht="19.149999999999999" customHeight="1" thickBot="1" x14ac:dyDescent="0.25">
      <c r="B144" s="14"/>
      <c r="C144" s="16"/>
      <c r="D144" s="17" t="s">
        <v>11</v>
      </c>
      <c r="E144" s="42" t="s">
        <v>45</v>
      </c>
      <c r="F144" s="86" t="s">
        <v>43</v>
      </c>
      <c r="G144" s="10">
        <v>15</v>
      </c>
      <c r="H144" s="113">
        <v>23</v>
      </c>
      <c r="I144" s="113">
        <v>31</v>
      </c>
      <c r="J144" s="113">
        <v>38</v>
      </c>
      <c r="K144" s="107">
        <v>46</v>
      </c>
      <c r="L144" s="113">
        <v>66</v>
      </c>
      <c r="M144" s="113">
        <v>72</v>
      </c>
      <c r="N144" s="113">
        <v>81</v>
      </c>
      <c r="O144" s="113"/>
      <c r="P144" s="114">
        <v>95</v>
      </c>
      <c r="Q144" s="55">
        <v>128</v>
      </c>
      <c r="R144" s="55"/>
      <c r="S144" s="55"/>
      <c r="T144" s="10"/>
      <c r="U144" s="10"/>
      <c r="V144" s="10"/>
      <c r="W144" s="10"/>
      <c r="X144" s="10"/>
    </row>
    <row r="145" spans="2:24" ht="19.149999999999999" customHeight="1" x14ac:dyDescent="0.2">
      <c r="B145" s="11" t="s">
        <v>40</v>
      </c>
      <c r="C145" s="15">
        <v>4</v>
      </c>
      <c r="D145" s="13" t="s">
        <v>11</v>
      </c>
      <c r="E145" s="41" t="s">
        <v>45</v>
      </c>
      <c r="F145" s="82" t="s">
        <v>50</v>
      </c>
      <c r="G145" s="9">
        <v>13</v>
      </c>
      <c r="H145" s="108">
        <v>20</v>
      </c>
      <c r="I145" s="108">
        <v>27</v>
      </c>
      <c r="J145" s="108">
        <v>35</v>
      </c>
      <c r="K145" s="105">
        <v>53</v>
      </c>
      <c r="L145" s="108">
        <v>87</v>
      </c>
      <c r="M145" s="108">
        <v>100</v>
      </c>
      <c r="N145" s="108">
        <v>112</v>
      </c>
      <c r="O145" s="108"/>
      <c r="P145" s="110">
        <v>159</v>
      </c>
      <c r="Q145" s="56">
        <v>176</v>
      </c>
      <c r="R145" s="56"/>
      <c r="S145" s="56"/>
      <c r="T145" s="9"/>
      <c r="U145" s="9"/>
      <c r="V145" s="9"/>
      <c r="W145" s="9"/>
      <c r="X145" s="9"/>
    </row>
    <row r="146" spans="2:24" ht="19.149999999999999" customHeight="1" x14ac:dyDescent="0.2">
      <c r="B146" s="58"/>
      <c r="C146" s="59"/>
      <c r="D146" s="79" t="s">
        <v>34</v>
      </c>
      <c r="E146" s="80" t="s">
        <v>45</v>
      </c>
      <c r="F146" s="85" t="s">
        <v>50</v>
      </c>
      <c r="G146" s="49">
        <v>10</v>
      </c>
      <c r="H146" s="111">
        <v>14</v>
      </c>
      <c r="I146" s="111">
        <v>19</v>
      </c>
      <c r="J146" s="111">
        <v>24</v>
      </c>
      <c r="K146" s="106">
        <v>34</v>
      </c>
      <c r="L146" s="111">
        <v>53</v>
      </c>
      <c r="M146" s="111">
        <v>58</v>
      </c>
      <c r="N146" s="111">
        <v>66</v>
      </c>
      <c r="O146" s="111"/>
      <c r="P146" s="112">
        <v>76</v>
      </c>
      <c r="Q146" s="81">
        <v>100</v>
      </c>
      <c r="R146" s="81"/>
      <c r="S146" s="81"/>
      <c r="T146" s="49"/>
      <c r="U146" s="49"/>
      <c r="V146" s="49"/>
      <c r="W146" s="49"/>
      <c r="X146" s="49"/>
    </row>
    <row r="147" spans="2:24" ht="19.149999999999999" customHeight="1" thickBot="1" x14ac:dyDescent="0.25">
      <c r="B147" s="14"/>
      <c r="C147" s="16"/>
      <c r="D147" s="17" t="s">
        <v>10</v>
      </c>
      <c r="E147" s="42" t="s">
        <v>45</v>
      </c>
      <c r="F147" s="86" t="s">
        <v>50</v>
      </c>
      <c r="G147" s="10">
        <v>10</v>
      </c>
      <c r="H147" s="113">
        <v>15</v>
      </c>
      <c r="I147" s="113">
        <v>22</v>
      </c>
      <c r="J147" s="113">
        <v>28</v>
      </c>
      <c r="K147" s="107">
        <v>45</v>
      </c>
      <c r="L147" s="113">
        <v>78</v>
      </c>
      <c r="M147" s="113">
        <v>91</v>
      </c>
      <c r="N147" s="113">
        <v>104</v>
      </c>
      <c r="O147" s="113"/>
      <c r="P147" s="114">
        <v>122</v>
      </c>
      <c r="Q147" s="55"/>
      <c r="R147" s="55"/>
      <c r="S147" s="55"/>
      <c r="T147" s="10"/>
      <c r="U147" s="10"/>
      <c r="V147" s="10"/>
      <c r="W147" s="10"/>
      <c r="X147" s="10"/>
    </row>
    <row r="148" spans="2:24" ht="19.149999999999999" customHeight="1" x14ac:dyDescent="0.2">
      <c r="B148" s="11" t="s">
        <v>40</v>
      </c>
      <c r="C148" s="15">
        <v>3</v>
      </c>
      <c r="D148" s="13" t="s">
        <v>11</v>
      </c>
      <c r="E148" s="41" t="s">
        <v>46</v>
      </c>
      <c r="F148" s="82" t="s">
        <v>50</v>
      </c>
      <c r="G148" s="9">
        <v>8</v>
      </c>
      <c r="H148" s="108">
        <v>11</v>
      </c>
      <c r="I148" s="108">
        <v>15</v>
      </c>
      <c r="J148" s="108">
        <v>20</v>
      </c>
      <c r="K148" s="105">
        <v>67</v>
      </c>
      <c r="L148" s="108">
        <v>70</v>
      </c>
      <c r="M148" s="108">
        <v>79</v>
      </c>
      <c r="N148" s="108">
        <v>89</v>
      </c>
      <c r="O148" s="108"/>
      <c r="P148" s="110">
        <v>103</v>
      </c>
      <c r="Q148" s="56"/>
      <c r="R148" s="56"/>
      <c r="S148" s="56"/>
      <c r="T148" s="9"/>
      <c r="U148" s="9"/>
      <c r="V148" s="9"/>
      <c r="W148" s="9"/>
      <c r="X148" s="9"/>
    </row>
    <row r="149" spans="2:24" ht="19.149999999999999" customHeight="1" x14ac:dyDescent="0.2">
      <c r="B149" s="58"/>
      <c r="C149" s="59"/>
      <c r="D149" s="79" t="s">
        <v>34</v>
      </c>
      <c r="E149" s="80" t="s">
        <v>46</v>
      </c>
      <c r="F149" s="85" t="s">
        <v>50</v>
      </c>
      <c r="G149" s="49">
        <v>12</v>
      </c>
      <c r="H149" s="111">
        <v>17</v>
      </c>
      <c r="I149" s="111">
        <v>23</v>
      </c>
      <c r="J149" s="111">
        <v>28</v>
      </c>
      <c r="K149" s="106">
        <v>45</v>
      </c>
      <c r="L149" s="111">
        <v>78</v>
      </c>
      <c r="M149" s="111">
        <v>92</v>
      </c>
      <c r="N149" s="111">
        <v>105</v>
      </c>
      <c r="O149" s="111"/>
      <c r="P149" s="112">
        <v>123</v>
      </c>
      <c r="Q149" s="81"/>
      <c r="R149" s="81"/>
      <c r="S149" s="81"/>
      <c r="T149" s="49"/>
      <c r="U149" s="49"/>
      <c r="V149" s="49"/>
      <c r="W149" s="49"/>
      <c r="X149" s="49"/>
    </row>
    <row r="150" spans="2:24" ht="19.149999999999999" customHeight="1" thickBot="1" x14ac:dyDescent="0.25">
      <c r="B150" s="14"/>
      <c r="C150" s="16"/>
      <c r="D150" s="17" t="s">
        <v>10</v>
      </c>
      <c r="E150" s="42" t="s">
        <v>46</v>
      </c>
      <c r="F150" s="86" t="s">
        <v>50</v>
      </c>
      <c r="G150" s="10">
        <v>13</v>
      </c>
      <c r="H150" s="113">
        <v>17</v>
      </c>
      <c r="I150" s="113">
        <v>24</v>
      </c>
      <c r="J150" s="113">
        <v>29</v>
      </c>
      <c r="K150" s="107">
        <v>45</v>
      </c>
      <c r="L150" s="113">
        <v>73</v>
      </c>
      <c r="M150" s="113">
        <v>92</v>
      </c>
      <c r="N150" s="113">
        <v>111</v>
      </c>
      <c r="O150" s="113"/>
      <c r="P150" s="114">
        <v>136</v>
      </c>
      <c r="Q150" s="55"/>
      <c r="R150" s="55"/>
      <c r="S150" s="55"/>
      <c r="T150" s="10"/>
      <c r="U150" s="10"/>
      <c r="V150" s="10"/>
      <c r="W150" s="10"/>
      <c r="X150" s="10"/>
    </row>
    <row r="151" spans="2:24" ht="19.149999999999999" customHeight="1" x14ac:dyDescent="0.2">
      <c r="B151" s="11" t="s">
        <v>40</v>
      </c>
      <c r="C151" s="15">
        <v>2</v>
      </c>
      <c r="D151" s="13" t="s">
        <v>11</v>
      </c>
      <c r="E151" s="41" t="s">
        <v>44</v>
      </c>
      <c r="F151" s="82" t="s">
        <v>50</v>
      </c>
      <c r="G151" s="9">
        <v>13</v>
      </c>
      <c r="H151" s="108">
        <v>20</v>
      </c>
      <c r="I151" s="108">
        <v>28</v>
      </c>
      <c r="J151" s="108">
        <v>37</v>
      </c>
      <c r="K151" s="105">
        <v>52</v>
      </c>
      <c r="L151" s="108">
        <v>83</v>
      </c>
      <c r="M151" s="108">
        <v>108</v>
      </c>
      <c r="N151" s="108">
        <v>131</v>
      </c>
      <c r="O151" s="108"/>
      <c r="P151" s="110">
        <v>162</v>
      </c>
      <c r="Q151" s="56">
        <v>191</v>
      </c>
      <c r="R151" s="56"/>
      <c r="S151" s="56"/>
      <c r="T151" s="9"/>
      <c r="U151" s="9"/>
      <c r="V151" s="9"/>
      <c r="W151" s="9"/>
      <c r="X151" s="9"/>
    </row>
    <row r="152" spans="2:24" ht="19.149999999999999" customHeight="1" x14ac:dyDescent="0.2">
      <c r="B152" s="58"/>
      <c r="C152" s="59"/>
      <c r="D152" s="79" t="s">
        <v>34</v>
      </c>
      <c r="E152" s="80" t="s">
        <v>44</v>
      </c>
      <c r="F152" s="85" t="s">
        <v>50</v>
      </c>
      <c r="G152" s="49">
        <v>9</v>
      </c>
      <c r="H152" s="111">
        <v>16</v>
      </c>
      <c r="I152" s="111">
        <v>23</v>
      </c>
      <c r="J152" s="111">
        <v>31</v>
      </c>
      <c r="K152" s="106">
        <v>45</v>
      </c>
      <c r="L152" s="111">
        <v>72</v>
      </c>
      <c r="M152" s="111">
        <v>92</v>
      </c>
      <c r="N152" s="111">
        <v>113</v>
      </c>
      <c r="O152" s="111"/>
      <c r="P152" s="112">
        <v>141</v>
      </c>
      <c r="Q152" s="81"/>
      <c r="R152" s="81"/>
      <c r="S152" s="81"/>
      <c r="T152" s="49"/>
      <c r="U152" s="49"/>
      <c r="V152" s="49"/>
      <c r="W152" s="49"/>
      <c r="X152" s="49"/>
    </row>
    <row r="153" spans="2:24" ht="19.149999999999999" customHeight="1" thickBot="1" x14ac:dyDescent="0.25">
      <c r="B153" s="14"/>
      <c r="C153" s="16"/>
      <c r="D153" s="17" t="s">
        <v>10</v>
      </c>
      <c r="E153" s="42" t="s">
        <v>44</v>
      </c>
      <c r="F153" s="86" t="s">
        <v>50</v>
      </c>
      <c r="G153" s="10">
        <v>11</v>
      </c>
      <c r="H153" s="113">
        <v>18</v>
      </c>
      <c r="I153" s="113">
        <v>26</v>
      </c>
      <c r="J153" s="113">
        <v>33</v>
      </c>
      <c r="K153" s="107">
        <v>50</v>
      </c>
      <c r="L153" s="113">
        <v>96</v>
      </c>
      <c r="M153" s="113">
        <v>112</v>
      </c>
      <c r="N153" s="113">
        <v>127</v>
      </c>
      <c r="O153" s="113"/>
      <c r="P153" s="114">
        <v>149</v>
      </c>
      <c r="Q153" s="55"/>
      <c r="R153" s="55"/>
      <c r="S153" s="55"/>
      <c r="T153" s="10"/>
      <c r="U153" s="10"/>
      <c r="V153" s="10"/>
      <c r="W153" s="10"/>
      <c r="X153" s="10"/>
    </row>
    <row r="154" spans="2:24" ht="19.149999999999999" customHeight="1" x14ac:dyDescent="0.2">
      <c r="B154" s="11" t="s">
        <v>40</v>
      </c>
      <c r="C154" s="15">
        <v>1</v>
      </c>
      <c r="D154" s="13" t="s">
        <v>11</v>
      </c>
      <c r="E154" s="41" t="s">
        <v>46</v>
      </c>
      <c r="F154" s="82" t="s">
        <v>50</v>
      </c>
      <c r="G154" s="9">
        <v>5</v>
      </c>
      <c r="H154" s="108">
        <v>8</v>
      </c>
      <c r="I154" s="108">
        <v>12</v>
      </c>
      <c r="J154" s="108">
        <v>17</v>
      </c>
      <c r="K154" s="105">
        <v>31</v>
      </c>
      <c r="L154" s="108">
        <v>60</v>
      </c>
      <c r="M154" s="108">
        <v>72</v>
      </c>
      <c r="N154" s="108">
        <v>83</v>
      </c>
      <c r="O154" s="108"/>
      <c r="P154" s="110">
        <v>98</v>
      </c>
      <c r="Q154" s="56">
        <v>119</v>
      </c>
      <c r="R154" s="56"/>
      <c r="S154" s="56"/>
      <c r="T154" s="9"/>
      <c r="U154" s="9"/>
      <c r="V154" s="9"/>
      <c r="W154" s="9"/>
      <c r="X154" s="9"/>
    </row>
    <row r="155" spans="2:24" ht="19.149999999999999" customHeight="1" x14ac:dyDescent="0.2">
      <c r="B155" s="58"/>
      <c r="C155" s="59"/>
      <c r="D155" s="79" t="s">
        <v>34</v>
      </c>
      <c r="E155" s="80" t="s">
        <v>46</v>
      </c>
      <c r="F155" s="85" t="s">
        <v>50</v>
      </c>
      <c r="G155" s="49">
        <v>10</v>
      </c>
      <c r="H155" s="111">
        <v>13</v>
      </c>
      <c r="I155" s="111">
        <v>19</v>
      </c>
      <c r="J155" s="111">
        <v>25</v>
      </c>
      <c r="K155" s="106">
        <v>36</v>
      </c>
      <c r="L155" s="111">
        <v>59</v>
      </c>
      <c r="M155" s="111">
        <v>78</v>
      </c>
      <c r="N155" s="111">
        <v>99</v>
      </c>
      <c r="O155" s="111"/>
      <c r="P155" s="112">
        <v>128</v>
      </c>
      <c r="Q155" s="81"/>
      <c r="R155" s="81"/>
      <c r="S155" s="81"/>
      <c r="T155" s="49"/>
      <c r="U155" s="49"/>
      <c r="V155" s="49"/>
      <c r="W155" s="49"/>
      <c r="X155" s="49"/>
    </row>
    <row r="156" spans="2:24" ht="19.149999999999999" customHeight="1" thickBot="1" x14ac:dyDescent="0.25">
      <c r="B156" s="14"/>
      <c r="C156" s="16"/>
      <c r="D156" s="17" t="s">
        <v>10</v>
      </c>
      <c r="E156" s="42" t="s">
        <v>46</v>
      </c>
      <c r="F156" s="86" t="s">
        <v>50</v>
      </c>
      <c r="G156" s="10">
        <v>14</v>
      </c>
      <c r="H156" s="113">
        <v>20</v>
      </c>
      <c r="I156" s="113">
        <v>27</v>
      </c>
      <c r="J156" s="113">
        <v>35</v>
      </c>
      <c r="K156" s="107">
        <v>52</v>
      </c>
      <c r="L156" s="113">
        <v>87</v>
      </c>
      <c r="M156" s="113">
        <v>105</v>
      </c>
      <c r="N156" s="113">
        <v>122</v>
      </c>
      <c r="O156" s="113"/>
      <c r="P156" s="114">
        <v>146</v>
      </c>
      <c r="Q156" s="55"/>
      <c r="R156" s="55"/>
      <c r="S156" s="55"/>
      <c r="T156" s="10"/>
      <c r="U156" s="10"/>
      <c r="V156" s="10"/>
      <c r="W156" s="10"/>
      <c r="X156" s="10"/>
    </row>
  </sheetData>
  <mergeCells count="1">
    <mergeCell ref="B12:C12"/>
  </mergeCells>
  <conditionalFormatting sqref="E13:E156">
    <cfRule type="endsWith" dxfId="37" priority="1" operator="endsWith" text="FAO">
      <formula>RIGHT(E13,LEN("FAO"))="FAO"</formula>
    </cfRule>
    <cfRule type="endsWith" dxfId="36" priority="2" operator="endsWith" text="AQC">
      <formula>RIGHT(E13,LEN("AQC"))="AQC"</formula>
    </cfRule>
    <cfRule type="endsWith" dxfId="35" priority="3" operator="endsWith" text="CSM-N">
      <formula>RIGHT(E13,LEN("CSM-N"))="CSM-N"</formula>
    </cfRule>
    <cfRule type="endsWith" dxfId="34" priority="4" operator="endsWith" text="FAO-N">
      <formula>RIGHT(E13,LEN("FAO-N"))="FAO-N"</formula>
    </cfRule>
    <cfRule type="endsWith" dxfId="33" priority="5" operator="endsWith" text="AQC-N">
      <formula>RIGHT(E13,LEN("AQC-N"))="AQC-N"</formula>
    </cfRule>
    <cfRule type="endsWith" dxfId="32" priority="6" operator="endsWith" text="CSM">
      <formula>RIGHT(E13,LEN("CSM"))="CSM"</formula>
    </cfRule>
  </conditionalFormatting>
  <conditionalFormatting sqref="F13:F156">
    <cfRule type="containsText" dxfId="31" priority="7" operator="containsText" text="NG3195">
      <formula>NOT(ISERROR(SEARCH("NG3195",F13)))</formula>
    </cfRule>
    <cfRule type="containsText" dxfId="30" priority="8" operator="containsText" text="NG4936">
      <formula>NOT(ISERROR(SEARCH("NG4936",F13)))</formula>
    </cfRule>
  </conditionalFormatting>
  <printOptions verticalCentered="1"/>
  <pageMargins left="0.45" right="0.45" top="1" bottom="0.25" header="0" footer="0"/>
  <pageSetup scale="92" fitToHeight="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6"/>
  <sheetViews>
    <sheetView zoomScale="115" zoomScaleNormal="115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.85546875" style="2" customWidth="1"/>
    <col min="6" max="6" width="7.5703125" style="51" customWidth="1"/>
    <col min="7" max="9" width="10.7109375" style="85" customWidth="1"/>
    <col min="10" max="20" width="10.7109375" customWidth="1"/>
  </cols>
  <sheetData>
    <row r="1" spans="1:20" ht="15.75" x14ac:dyDescent="0.25">
      <c r="A1" s="6" t="s">
        <v>18</v>
      </c>
      <c r="B1" s="26">
        <v>2021</v>
      </c>
      <c r="C1" s="27"/>
      <c r="D1" s="8" t="s">
        <v>25</v>
      </c>
      <c r="E1" s="40"/>
      <c r="F1" s="83"/>
      <c r="G1" s="84"/>
      <c r="H1" s="8" t="s">
        <v>6</v>
      </c>
      <c r="I1" t="s">
        <v>32</v>
      </c>
      <c r="J1" t="s">
        <v>32</v>
      </c>
      <c r="M1" t="s">
        <v>32</v>
      </c>
    </row>
    <row r="2" spans="1:20" ht="14.45" customHeight="1" x14ac:dyDescent="0.25">
      <c r="A2" s="6" t="s">
        <v>32</v>
      </c>
      <c r="B2" s="7" t="s">
        <v>32</v>
      </c>
      <c r="C2" s="8" t="s">
        <v>32</v>
      </c>
      <c r="D2" s="8" t="s">
        <v>32</v>
      </c>
      <c r="E2" s="40" t="s">
        <v>32</v>
      </c>
      <c r="F2" s="83"/>
      <c r="G2" s="84"/>
      <c r="H2" t="s">
        <v>32</v>
      </c>
      <c r="I2" t="s">
        <v>32</v>
      </c>
      <c r="J2" t="s">
        <v>32</v>
      </c>
      <c r="M2" t="s">
        <v>32</v>
      </c>
    </row>
    <row r="3" spans="1:20" ht="15" x14ac:dyDescent="0.25">
      <c r="A3" t="s">
        <v>32</v>
      </c>
      <c r="B3" s="28" t="s">
        <v>19</v>
      </c>
      <c r="E3" s="39"/>
      <c r="H3"/>
      <c r="I3"/>
      <c r="J3" s="3" t="s">
        <v>31</v>
      </c>
    </row>
    <row r="4" spans="1:20" ht="7.9" customHeight="1" x14ac:dyDescent="0.2">
      <c r="A4" t="s">
        <v>32</v>
      </c>
      <c r="B4" s="5" t="s">
        <v>32</v>
      </c>
      <c r="C4" s="2" t="s">
        <v>32</v>
      </c>
      <c r="D4" s="2" t="s">
        <v>32</v>
      </c>
      <c r="E4" s="39" t="s">
        <v>32</v>
      </c>
      <c r="J4" t="s">
        <v>32</v>
      </c>
      <c r="K4" t="s">
        <v>32</v>
      </c>
      <c r="L4" t="s">
        <v>32</v>
      </c>
      <c r="M4" t="s">
        <v>32</v>
      </c>
    </row>
    <row r="5" spans="1:20" x14ac:dyDescent="0.2">
      <c r="A5" t="s">
        <v>32</v>
      </c>
      <c r="B5" s="2" t="s">
        <v>32</v>
      </c>
      <c r="C5" s="2" t="s">
        <v>32</v>
      </c>
      <c r="D5" s="2" t="s">
        <v>32</v>
      </c>
      <c r="E5" s="39" t="s">
        <v>32</v>
      </c>
      <c r="J5" s="2" t="s">
        <v>32</v>
      </c>
      <c r="K5" s="2" t="s">
        <v>32</v>
      </c>
    </row>
    <row r="6" spans="1:20" x14ac:dyDescent="0.2">
      <c r="B6" s="2"/>
      <c r="E6" s="39"/>
    </row>
    <row r="7" spans="1:20" x14ac:dyDescent="0.2">
      <c r="A7" s="35"/>
      <c r="B7" s="35"/>
      <c r="C7" s="35"/>
      <c r="D7" s="35"/>
      <c r="E7" s="43"/>
      <c r="J7" s="35"/>
      <c r="K7" s="35"/>
      <c r="L7" s="50"/>
      <c r="M7" s="37"/>
    </row>
    <row r="8" spans="1:20" x14ac:dyDescent="0.2">
      <c r="B8" s="2"/>
      <c r="D8" s="44" t="s">
        <v>26</v>
      </c>
      <c r="E8" s="43"/>
      <c r="F8" s="52"/>
      <c r="G8" s="35" t="s">
        <v>51</v>
      </c>
      <c r="H8" s="35" t="s">
        <v>51</v>
      </c>
      <c r="I8" s="35" t="s">
        <v>51</v>
      </c>
      <c r="J8" s="35" t="s">
        <v>51</v>
      </c>
      <c r="K8" s="78" t="s">
        <v>51</v>
      </c>
      <c r="L8" s="78" t="s">
        <v>51</v>
      </c>
      <c r="M8" s="35" t="s">
        <v>51</v>
      </c>
      <c r="N8" s="78" t="s">
        <v>51</v>
      </c>
      <c r="O8" s="35" t="s">
        <v>51</v>
      </c>
      <c r="P8" s="35" t="s">
        <v>51</v>
      </c>
      <c r="Q8" s="35" t="s">
        <v>51</v>
      </c>
    </row>
    <row r="9" spans="1:20" x14ac:dyDescent="0.2">
      <c r="B9" s="2"/>
      <c r="D9" s="44" t="s">
        <v>27</v>
      </c>
      <c r="E9" s="43"/>
      <c r="G9" s="22">
        <v>44348</v>
      </c>
      <c r="H9" s="22">
        <v>44354</v>
      </c>
      <c r="I9" s="22">
        <v>44364</v>
      </c>
      <c r="J9" s="22">
        <v>44371</v>
      </c>
      <c r="K9" s="22">
        <v>44378</v>
      </c>
      <c r="L9" s="22">
        <v>44390</v>
      </c>
      <c r="M9" s="22">
        <v>44396</v>
      </c>
      <c r="N9" s="22">
        <v>44413</v>
      </c>
      <c r="O9" s="22">
        <v>44420</v>
      </c>
      <c r="P9" s="22">
        <v>44427</v>
      </c>
      <c r="Q9" s="22">
        <v>44446</v>
      </c>
    </row>
    <row r="10" spans="1:20" ht="15.6" customHeight="1" x14ac:dyDescent="0.2">
      <c r="B10" s="5"/>
      <c r="D10" s="44" t="s">
        <v>29</v>
      </c>
      <c r="E10" s="43"/>
      <c r="G10" s="18">
        <v>152</v>
      </c>
      <c r="H10" s="18">
        <v>158</v>
      </c>
      <c r="I10" s="18">
        <v>168</v>
      </c>
      <c r="J10" s="18">
        <v>175</v>
      </c>
      <c r="K10" s="18">
        <v>182</v>
      </c>
      <c r="L10" s="18">
        <v>194</v>
      </c>
      <c r="M10" s="18">
        <v>200</v>
      </c>
      <c r="N10" s="18">
        <v>217</v>
      </c>
      <c r="O10" s="18">
        <v>224</v>
      </c>
      <c r="P10" s="18">
        <v>238</v>
      </c>
      <c r="Q10" s="18">
        <v>250</v>
      </c>
    </row>
    <row r="11" spans="1:20" ht="12" customHeight="1" x14ac:dyDescent="0.2">
      <c r="B11" s="5"/>
      <c r="D11" s="44" t="s">
        <v>28</v>
      </c>
      <c r="E11" s="43"/>
      <c r="G11" s="24" t="s">
        <v>55</v>
      </c>
      <c r="H11" s="96" t="s">
        <v>67</v>
      </c>
      <c r="I11" s="96" t="s">
        <v>66</v>
      </c>
      <c r="J11" s="53" t="s">
        <v>53</v>
      </c>
      <c r="K11" s="53" t="s">
        <v>52</v>
      </c>
      <c r="L11" s="53" t="s">
        <v>56</v>
      </c>
      <c r="M11" s="53" t="s">
        <v>60</v>
      </c>
      <c r="N11" s="53" t="s">
        <v>57</v>
      </c>
      <c r="O11" s="53" t="s">
        <v>59</v>
      </c>
      <c r="P11" s="53" t="s">
        <v>58</v>
      </c>
      <c r="Q11" s="36" t="s">
        <v>61</v>
      </c>
    </row>
    <row r="12" spans="1:20" ht="27.6" customHeight="1" thickBot="1" x14ac:dyDescent="0.25">
      <c r="B12" s="268" t="s">
        <v>7</v>
      </c>
      <c r="C12" s="268"/>
      <c r="D12" s="18" t="s">
        <v>12</v>
      </c>
      <c r="E12" s="40" t="s">
        <v>24</v>
      </c>
      <c r="F12" s="18" t="s">
        <v>54</v>
      </c>
      <c r="G12" s="23" t="s">
        <v>16</v>
      </c>
      <c r="H12" s="23" t="s">
        <v>16</v>
      </c>
      <c r="I12" s="23" t="s">
        <v>16</v>
      </c>
      <c r="J12" s="23" t="s">
        <v>16</v>
      </c>
      <c r="K12" s="23" t="s">
        <v>16</v>
      </c>
      <c r="L12" s="23" t="s">
        <v>16</v>
      </c>
      <c r="M12" s="23" t="s">
        <v>16</v>
      </c>
      <c r="N12" s="23" t="s">
        <v>16</v>
      </c>
      <c r="O12" s="23" t="s">
        <v>16</v>
      </c>
      <c r="P12" s="23" t="s">
        <v>16</v>
      </c>
      <c r="Q12" s="23" t="s">
        <v>16</v>
      </c>
      <c r="R12" s="23" t="s">
        <v>16</v>
      </c>
      <c r="S12" s="23" t="s">
        <v>16</v>
      </c>
      <c r="T12" s="23" t="s">
        <v>16</v>
      </c>
    </row>
    <row r="13" spans="1:20" ht="19.149999999999999" customHeight="1" x14ac:dyDescent="0.2">
      <c r="B13" s="11" t="s">
        <v>0</v>
      </c>
      <c r="C13" s="15">
        <v>1</v>
      </c>
      <c r="D13" s="30" t="s">
        <v>10</v>
      </c>
      <c r="E13" s="41" t="s">
        <v>48</v>
      </c>
      <c r="F13" s="82" t="s">
        <v>50</v>
      </c>
      <c r="G13" s="9">
        <v>14</v>
      </c>
      <c r="H13" s="9">
        <v>22</v>
      </c>
      <c r="I13" s="9">
        <v>32</v>
      </c>
      <c r="J13" s="9">
        <v>40</v>
      </c>
      <c r="K13" s="9">
        <v>54</v>
      </c>
      <c r="L13" s="9">
        <v>76</v>
      </c>
      <c r="M13" s="9">
        <v>81</v>
      </c>
      <c r="N13" s="9">
        <v>89</v>
      </c>
      <c r="O13" s="9" t="s">
        <v>62</v>
      </c>
      <c r="P13" s="9" t="s">
        <v>62</v>
      </c>
      <c r="Q13" s="9" t="s">
        <v>62</v>
      </c>
      <c r="R13" s="9"/>
      <c r="S13" s="9"/>
      <c r="T13" s="9"/>
    </row>
    <row r="14" spans="1:20" ht="19.149999999999999" customHeight="1" x14ac:dyDescent="0.2">
      <c r="B14" s="58"/>
      <c r="C14" s="59"/>
      <c r="D14" s="79" t="s">
        <v>34</v>
      </c>
      <c r="E14" s="80" t="s">
        <v>48</v>
      </c>
      <c r="F14" s="85" t="s">
        <v>50</v>
      </c>
      <c r="G14" s="49">
        <v>12</v>
      </c>
      <c r="H14" s="49">
        <v>23</v>
      </c>
      <c r="I14" s="49">
        <v>36</v>
      </c>
      <c r="J14" s="49">
        <v>46</v>
      </c>
      <c r="K14" s="49">
        <v>61</v>
      </c>
      <c r="L14" s="49">
        <v>83</v>
      </c>
      <c r="M14" s="49">
        <v>87</v>
      </c>
      <c r="N14" s="49">
        <v>95</v>
      </c>
      <c r="O14" s="49" t="s">
        <v>62</v>
      </c>
      <c r="P14" s="49" t="s">
        <v>62</v>
      </c>
      <c r="Q14" s="49" t="s">
        <v>62</v>
      </c>
      <c r="R14" s="49"/>
      <c r="S14" s="49"/>
      <c r="T14" s="49"/>
    </row>
    <row r="15" spans="1:20" ht="19.149999999999999" customHeight="1" thickBot="1" x14ac:dyDescent="0.25">
      <c r="B15" s="14"/>
      <c r="C15" s="16"/>
      <c r="D15" s="31" t="s">
        <v>11</v>
      </c>
      <c r="E15" s="42" t="s">
        <v>48</v>
      </c>
      <c r="F15" s="86" t="s">
        <v>50</v>
      </c>
      <c r="G15" s="10">
        <v>10</v>
      </c>
      <c r="H15" s="10">
        <v>17</v>
      </c>
      <c r="I15" s="10">
        <v>25</v>
      </c>
      <c r="J15" s="10">
        <v>33</v>
      </c>
      <c r="K15" s="10">
        <v>47</v>
      </c>
      <c r="L15" s="10">
        <v>68</v>
      </c>
      <c r="M15" s="10">
        <v>81</v>
      </c>
      <c r="N15" s="10">
        <v>80</v>
      </c>
      <c r="O15" s="10">
        <v>98</v>
      </c>
      <c r="P15" s="10" t="s">
        <v>62</v>
      </c>
      <c r="Q15" s="10" t="s">
        <v>62</v>
      </c>
      <c r="R15" s="10"/>
      <c r="S15" s="10"/>
      <c r="T15" s="10"/>
    </row>
    <row r="16" spans="1:20" ht="19.149999999999999" customHeight="1" x14ac:dyDescent="0.2">
      <c r="A16" t="s">
        <v>32</v>
      </c>
      <c r="B16" s="11" t="s">
        <v>0</v>
      </c>
      <c r="C16" s="15">
        <v>2</v>
      </c>
      <c r="D16" s="13" t="s">
        <v>10</v>
      </c>
      <c r="E16" s="41" t="s">
        <v>47</v>
      </c>
      <c r="F16" s="85" t="s">
        <v>50</v>
      </c>
      <c r="G16" s="9">
        <v>11</v>
      </c>
      <c r="H16" s="9">
        <v>18</v>
      </c>
      <c r="I16" s="9">
        <v>26</v>
      </c>
      <c r="J16" s="9">
        <v>33</v>
      </c>
      <c r="K16" s="9">
        <v>38</v>
      </c>
      <c r="L16" s="9">
        <v>46</v>
      </c>
      <c r="M16" s="9">
        <v>57</v>
      </c>
      <c r="N16" s="9">
        <v>77</v>
      </c>
      <c r="O16" s="9">
        <v>86</v>
      </c>
      <c r="P16" s="9" t="s">
        <v>62</v>
      </c>
      <c r="Q16" s="9" t="s">
        <v>62</v>
      </c>
      <c r="R16" s="9"/>
      <c r="S16" s="9"/>
      <c r="T16" s="9"/>
    </row>
    <row r="17" spans="1:20" ht="19.149999999999999" customHeight="1" x14ac:dyDescent="0.2">
      <c r="A17" t="s">
        <v>32</v>
      </c>
      <c r="B17" s="58"/>
      <c r="C17" s="59"/>
      <c r="D17" s="79" t="s">
        <v>34</v>
      </c>
      <c r="E17" s="80" t="s">
        <v>47</v>
      </c>
      <c r="F17" s="85" t="s">
        <v>50</v>
      </c>
      <c r="G17" s="49">
        <v>10</v>
      </c>
      <c r="H17" s="49">
        <v>18</v>
      </c>
      <c r="I17" s="49">
        <v>27</v>
      </c>
      <c r="J17" s="49">
        <v>35</v>
      </c>
      <c r="K17" s="49">
        <v>37</v>
      </c>
      <c r="L17" s="49">
        <v>41</v>
      </c>
      <c r="M17" s="49">
        <v>56</v>
      </c>
      <c r="N17" s="49">
        <v>82</v>
      </c>
      <c r="O17" s="49">
        <v>93</v>
      </c>
      <c r="P17" s="49" t="s">
        <v>62</v>
      </c>
      <c r="Q17" s="49" t="s">
        <v>62</v>
      </c>
      <c r="R17" s="49"/>
      <c r="S17" s="49"/>
      <c r="T17" s="49"/>
    </row>
    <row r="18" spans="1:20" ht="19.149999999999999" customHeight="1" thickBot="1" x14ac:dyDescent="0.25">
      <c r="A18" t="s">
        <v>32</v>
      </c>
      <c r="B18" s="14"/>
      <c r="C18" s="16"/>
      <c r="D18" s="17" t="s">
        <v>11</v>
      </c>
      <c r="E18" s="42" t="s">
        <v>47</v>
      </c>
      <c r="F18" s="85" t="s">
        <v>50</v>
      </c>
      <c r="G18" s="10">
        <v>7</v>
      </c>
      <c r="H18" s="10">
        <v>14</v>
      </c>
      <c r="I18" s="10">
        <v>21</v>
      </c>
      <c r="J18" s="10">
        <v>26</v>
      </c>
      <c r="K18" s="10">
        <v>31</v>
      </c>
      <c r="L18" s="10">
        <v>41</v>
      </c>
      <c r="M18" s="10">
        <v>48</v>
      </c>
      <c r="N18" s="10">
        <v>64</v>
      </c>
      <c r="O18" s="10">
        <v>86</v>
      </c>
      <c r="P18" s="10">
        <v>91</v>
      </c>
      <c r="Q18" s="10" t="s">
        <v>62</v>
      </c>
      <c r="R18" s="10"/>
      <c r="S18" s="10"/>
      <c r="T18" s="10"/>
    </row>
    <row r="19" spans="1:20" ht="19.149999999999999" customHeight="1" x14ac:dyDescent="0.2">
      <c r="A19" t="s">
        <v>32</v>
      </c>
      <c r="B19" s="11" t="s">
        <v>0</v>
      </c>
      <c r="C19" s="15">
        <v>3</v>
      </c>
      <c r="D19" s="13" t="s">
        <v>10</v>
      </c>
      <c r="E19" s="41" t="s">
        <v>45</v>
      </c>
      <c r="F19" s="82" t="s">
        <v>50</v>
      </c>
      <c r="G19" s="9">
        <v>9</v>
      </c>
      <c r="H19" s="9">
        <v>18</v>
      </c>
      <c r="I19" s="9">
        <v>29</v>
      </c>
      <c r="J19" s="9">
        <v>38</v>
      </c>
      <c r="K19" s="9">
        <v>44</v>
      </c>
      <c r="L19" s="9">
        <v>52</v>
      </c>
      <c r="M19" s="9">
        <v>58</v>
      </c>
      <c r="N19" s="9">
        <v>73</v>
      </c>
      <c r="O19" s="9">
        <v>81</v>
      </c>
      <c r="P19" s="9">
        <v>94</v>
      </c>
      <c r="Q19" s="9" t="s">
        <v>62</v>
      </c>
      <c r="R19" s="9"/>
      <c r="S19" s="9"/>
      <c r="T19" s="9"/>
    </row>
    <row r="20" spans="1:20" ht="19.149999999999999" customHeight="1" x14ac:dyDescent="0.2">
      <c r="A20" t="s">
        <v>32</v>
      </c>
      <c r="B20" s="58"/>
      <c r="C20" s="59"/>
      <c r="D20" s="79" t="s">
        <v>34</v>
      </c>
      <c r="E20" s="80" t="s">
        <v>45</v>
      </c>
      <c r="F20" s="85" t="s">
        <v>50</v>
      </c>
      <c r="G20" s="49">
        <v>12</v>
      </c>
      <c r="H20" s="49">
        <v>19</v>
      </c>
      <c r="I20" s="49">
        <v>28</v>
      </c>
      <c r="J20" s="49">
        <v>35</v>
      </c>
      <c r="K20" s="49">
        <v>46</v>
      </c>
      <c r="L20" s="49">
        <v>63</v>
      </c>
      <c r="M20" s="49">
        <v>72</v>
      </c>
      <c r="N20" s="49">
        <v>88</v>
      </c>
      <c r="O20" s="49" t="s">
        <v>62</v>
      </c>
      <c r="P20" s="49" t="s">
        <v>62</v>
      </c>
      <c r="Q20" s="49" t="s">
        <v>62</v>
      </c>
      <c r="R20" s="49"/>
      <c r="S20" s="49"/>
      <c r="T20" s="49"/>
    </row>
    <row r="21" spans="1:20" ht="19.149999999999999" customHeight="1" thickBot="1" x14ac:dyDescent="0.25">
      <c r="A21" t="s">
        <v>32</v>
      </c>
      <c r="B21" s="14"/>
      <c r="C21" s="16"/>
      <c r="D21" s="17" t="s">
        <v>11</v>
      </c>
      <c r="E21" s="42" t="s">
        <v>45</v>
      </c>
      <c r="F21" s="86" t="s">
        <v>50</v>
      </c>
      <c r="G21" s="10">
        <v>12</v>
      </c>
      <c r="H21" s="10">
        <v>19</v>
      </c>
      <c r="I21" s="10">
        <v>29</v>
      </c>
      <c r="J21" s="10">
        <v>36</v>
      </c>
      <c r="K21" s="10">
        <v>45</v>
      </c>
      <c r="L21" s="10">
        <v>59</v>
      </c>
      <c r="M21" s="10">
        <v>62</v>
      </c>
      <c r="N21" s="10">
        <v>74</v>
      </c>
      <c r="O21" s="10">
        <v>83</v>
      </c>
      <c r="P21" s="10" t="s">
        <v>62</v>
      </c>
      <c r="Q21" s="10" t="s">
        <v>62</v>
      </c>
      <c r="R21" s="10"/>
      <c r="S21" s="10"/>
      <c r="T21" s="10"/>
    </row>
    <row r="22" spans="1:20" ht="19.149999999999999" customHeight="1" x14ac:dyDescent="0.2">
      <c r="A22" t="s">
        <v>32</v>
      </c>
      <c r="B22" s="11" t="s">
        <v>0</v>
      </c>
      <c r="C22" s="15">
        <v>4</v>
      </c>
      <c r="D22" s="13" t="s">
        <v>10</v>
      </c>
      <c r="E22" s="41" t="s">
        <v>44</v>
      </c>
      <c r="F22" s="82" t="s">
        <v>50</v>
      </c>
      <c r="G22" s="9">
        <v>9</v>
      </c>
      <c r="H22" s="9">
        <v>13</v>
      </c>
      <c r="I22" s="9">
        <v>17</v>
      </c>
      <c r="J22" s="9">
        <v>21</v>
      </c>
      <c r="K22" s="9">
        <v>30</v>
      </c>
      <c r="L22" s="9">
        <v>43</v>
      </c>
      <c r="M22" s="9">
        <v>51</v>
      </c>
      <c r="N22" s="9">
        <v>65</v>
      </c>
      <c r="O22" s="9">
        <v>77</v>
      </c>
      <c r="P22" s="9" t="s">
        <v>62</v>
      </c>
      <c r="Q22" s="9" t="s">
        <v>62</v>
      </c>
      <c r="R22" s="9"/>
      <c r="S22" s="9"/>
      <c r="T22" s="9"/>
    </row>
    <row r="23" spans="1:20" ht="19.149999999999999" customHeight="1" x14ac:dyDescent="0.2">
      <c r="A23" t="s">
        <v>32</v>
      </c>
      <c r="B23" s="58"/>
      <c r="C23" s="59"/>
      <c r="D23" s="79" t="s">
        <v>34</v>
      </c>
      <c r="E23" s="80" t="s">
        <v>44</v>
      </c>
      <c r="F23" s="85" t="s">
        <v>50</v>
      </c>
      <c r="G23" s="49">
        <v>9</v>
      </c>
      <c r="H23" s="49">
        <v>14</v>
      </c>
      <c r="I23" s="49">
        <v>23</v>
      </c>
      <c r="J23" s="49">
        <v>30</v>
      </c>
      <c r="K23" s="49">
        <v>11</v>
      </c>
      <c r="L23" s="49">
        <v>67</v>
      </c>
      <c r="M23" s="49">
        <v>73</v>
      </c>
      <c r="N23" s="49">
        <v>84</v>
      </c>
      <c r="O23" s="49">
        <v>90</v>
      </c>
      <c r="P23" s="49" t="s">
        <v>62</v>
      </c>
      <c r="Q23" s="49" t="s">
        <v>62</v>
      </c>
      <c r="R23" s="49"/>
      <c r="S23" s="49"/>
      <c r="T23" s="49"/>
    </row>
    <row r="24" spans="1:20" ht="19.149999999999999" customHeight="1" thickBot="1" x14ac:dyDescent="0.25">
      <c r="A24" t="s">
        <v>32</v>
      </c>
      <c r="B24" s="14"/>
      <c r="C24" s="16"/>
      <c r="D24" s="17" t="s">
        <v>11</v>
      </c>
      <c r="E24" s="42" t="s">
        <v>44</v>
      </c>
      <c r="F24" s="86" t="s">
        <v>50</v>
      </c>
      <c r="G24" s="10">
        <v>14</v>
      </c>
      <c r="H24" s="10">
        <v>25</v>
      </c>
      <c r="I24" s="10">
        <v>38</v>
      </c>
      <c r="J24" s="10">
        <v>50</v>
      </c>
      <c r="K24" s="10">
        <v>62</v>
      </c>
      <c r="L24" s="10">
        <v>80</v>
      </c>
      <c r="M24" s="10">
        <v>87</v>
      </c>
      <c r="N24" s="10">
        <v>95</v>
      </c>
      <c r="O24" s="10" t="s">
        <v>62</v>
      </c>
      <c r="P24" s="10" t="s">
        <v>62</v>
      </c>
      <c r="Q24" s="10" t="s">
        <v>62</v>
      </c>
      <c r="R24" s="10"/>
      <c r="S24" s="10"/>
      <c r="T24" s="10"/>
    </row>
    <row r="25" spans="1:20" ht="19.149999999999999" customHeight="1" x14ac:dyDescent="0.2">
      <c r="A25" t="s">
        <v>32</v>
      </c>
      <c r="B25" s="11" t="s">
        <v>1</v>
      </c>
      <c r="C25" s="15">
        <v>4</v>
      </c>
      <c r="D25" s="13" t="s">
        <v>11</v>
      </c>
      <c r="E25" s="41" t="s">
        <v>44</v>
      </c>
      <c r="F25" s="82" t="s">
        <v>43</v>
      </c>
      <c r="G25" s="9">
        <v>15</v>
      </c>
      <c r="H25" s="9">
        <v>26</v>
      </c>
      <c r="I25" s="9">
        <v>39</v>
      </c>
      <c r="J25" s="9">
        <v>49</v>
      </c>
      <c r="K25" s="9">
        <v>58</v>
      </c>
      <c r="L25" s="9">
        <v>72</v>
      </c>
      <c r="M25" s="9">
        <v>79</v>
      </c>
      <c r="N25" s="9">
        <v>93</v>
      </c>
      <c r="O25" s="9" t="s">
        <v>62</v>
      </c>
      <c r="P25" s="9" t="s">
        <v>62</v>
      </c>
      <c r="Q25" s="9" t="s">
        <v>62</v>
      </c>
      <c r="R25" s="9"/>
      <c r="S25" s="9"/>
      <c r="T25" s="9"/>
    </row>
    <row r="26" spans="1:20" ht="19.149999999999999" customHeight="1" x14ac:dyDescent="0.2">
      <c r="A26" t="s">
        <v>32</v>
      </c>
      <c r="B26" s="58"/>
      <c r="C26" s="59"/>
      <c r="D26" s="79" t="s">
        <v>34</v>
      </c>
      <c r="E26" s="80" t="s">
        <v>44</v>
      </c>
      <c r="F26" s="85" t="s">
        <v>43</v>
      </c>
      <c r="G26" s="49">
        <v>14</v>
      </c>
      <c r="H26" s="49">
        <v>24</v>
      </c>
      <c r="I26" s="49">
        <v>35</v>
      </c>
      <c r="J26" s="49">
        <v>46</v>
      </c>
      <c r="K26" s="49">
        <v>56</v>
      </c>
      <c r="L26" s="49">
        <v>72</v>
      </c>
      <c r="M26" s="49">
        <v>80</v>
      </c>
      <c r="N26" s="49">
        <v>95</v>
      </c>
      <c r="O26" s="49" t="s">
        <v>62</v>
      </c>
      <c r="P26" s="49" t="s">
        <v>62</v>
      </c>
      <c r="Q26" s="49" t="s">
        <v>62</v>
      </c>
      <c r="R26" s="49"/>
      <c r="S26" s="49"/>
      <c r="T26" s="49"/>
    </row>
    <row r="27" spans="1:20" ht="19.149999999999999" customHeight="1" thickBot="1" x14ac:dyDescent="0.25">
      <c r="A27" t="s">
        <v>32</v>
      </c>
      <c r="B27" s="14"/>
      <c r="C27" s="16"/>
      <c r="D27" s="17" t="s">
        <v>10</v>
      </c>
      <c r="E27" s="42" t="s">
        <v>44</v>
      </c>
      <c r="F27" s="86" t="s">
        <v>43</v>
      </c>
      <c r="G27" s="10">
        <v>13</v>
      </c>
      <c r="H27" s="10">
        <v>23</v>
      </c>
      <c r="I27" s="10">
        <v>34</v>
      </c>
      <c r="J27" s="10">
        <v>45</v>
      </c>
      <c r="K27" s="10">
        <v>55</v>
      </c>
      <c r="L27" s="10">
        <v>71</v>
      </c>
      <c r="M27" s="10">
        <v>79</v>
      </c>
      <c r="N27" s="10">
        <v>93</v>
      </c>
      <c r="O27" s="10" t="s">
        <v>62</v>
      </c>
      <c r="P27" s="10" t="s">
        <v>62</v>
      </c>
      <c r="Q27" s="10" t="s">
        <v>62</v>
      </c>
      <c r="R27" s="10"/>
      <c r="S27" s="10"/>
      <c r="T27" s="10"/>
    </row>
    <row r="28" spans="1:20" ht="19.149999999999999" customHeight="1" x14ac:dyDescent="0.2">
      <c r="A28" t="s">
        <v>32</v>
      </c>
      <c r="B28" s="11" t="s">
        <v>1</v>
      </c>
      <c r="C28" s="15">
        <v>3</v>
      </c>
      <c r="D28" s="13" t="s">
        <v>11</v>
      </c>
      <c r="E28" s="41" t="s">
        <v>45</v>
      </c>
      <c r="F28" s="82" t="s">
        <v>43</v>
      </c>
      <c r="G28" s="9">
        <v>15</v>
      </c>
      <c r="H28" s="9">
        <v>21</v>
      </c>
      <c r="I28" s="9">
        <v>29</v>
      </c>
      <c r="J28" s="9">
        <v>35</v>
      </c>
      <c r="K28" s="9">
        <v>43</v>
      </c>
      <c r="L28" s="9">
        <v>56</v>
      </c>
      <c r="M28" s="9">
        <v>65</v>
      </c>
      <c r="N28" s="9">
        <v>84</v>
      </c>
      <c r="O28" s="9">
        <v>93</v>
      </c>
      <c r="P28" s="9" t="s">
        <v>62</v>
      </c>
      <c r="Q28" s="9" t="s">
        <v>62</v>
      </c>
      <c r="R28" s="9"/>
      <c r="S28" s="9"/>
      <c r="T28" s="9"/>
    </row>
    <row r="29" spans="1:20" ht="19.149999999999999" customHeight="1" x14ac:dyDescent="0.2">
      <c r="A29" t="s">
        <v>32</v>
      </c>
      <c r="B29" s="58"/>
      <c r="C29" s="59"/>
      <c r="D29" s="79" t="s">
        <v>34</v>
      </c>
      <c r="E29" s="80" t="s">
        <v>45</v>
      </c>
      <c r="F29" s="85" t="s">
        <v>43</v>
      </c>
      <c r="G29" s="49">
        <v>15</v>
      </c>
      <c r="H29" s="49">
        <v>21</v>
      </c>
      <c r="I29" s="49">
        <v>30</v>
      </c>
      <c r="J29" s="49">
        <v>37</v>
      </c>
      <c r="K29" s="49">
        <v>46</v>
      </c>
      <c r="L29" s="49">
        <v>63</v>
      </c>
      <c r="M29" s="49">
        <v>70</v>
      </c>
      <c r="N29" s="49">
        <v>83</v>
      </c>
      <c r="O29" s="49">
        <v>91</v>
      </c>
      <c r="P29" s="49" t="s">
        <v>62</v>
      </c>
      <c r="Q29" s="49" t="s">
        <v>62</v>
      </c>
      <c r="R29" s="49"/>
      <c r="S29" s="49"/>
      <c r="T29" s="49"/>
    </row>
    <row r="30" spans="1:20" ht="19.149999999999999" customHeight="1" thickBot="1" x14ac:dyDescent="0.25">
      <c r="A30" t="s">
        <v>32</v>
      </c>
      <c r="B30" s="14"/>
      <c r="C30" s="16"/>
      <c r="D30" s="17" t="s">
        <v>10</v>
      </c>
      <c r="E30" s="42" t="s">
        <v>45</v>
      </c>
      <c r="F30" s="86" t="s">
        <v>43</v>
      </c>
      <c r="G30" s="10">
        <v>16</v>
      </c>
      <c r="H30" s="10">
        <v>21</v>
      </c>
      <c r="I30" s="10">
        <v>27</v>
      </c>
      <c r="J30" s="10">
        <v>33</v>
      </c>
      <c r="K30" s="10">
        <v>43</v>
      </c>
      <c r="L30" s="10">
        <v>59</v>
      </c>
      <c r="M30" s="10">
        <v>66</v>
      </c>
      <c r="N30" s="10">
        <v>82</v>
      </c>
      <c r="O30" s="10">
        <v>90</v>
      </c>
      <c r="P30" s="10" t="s">
        <v>62</v>
      </c>
      <c r="Q30" s="10" t="s">
        <v>62</v>
      </c>
      <c r="R30" s="10"/>
      <c r="S30" s="10"/>
      <c r="T30" s="10"/>
    </row>
    <row r="31" spans="1:20" ht="19.149999999999999" customHeight="1" x14ac:dyDescent="0.2">
      <c r="A31" t="s">
        <v>32</v>
      </c>
      <c r="B31" s="11" t="s">
        <v>1</v>
      </c>
      <c r="C31" s="15">
        <v>2</v>
      </c>
      <c r="D31" s="13" t="s">
        <v>11</v>
      </c>
      <c r="E31" s="41" t="s">
        <v>47</v>
      </c>
      <c r="F31" s="82" t="s">
        <v>43</v>
      </c>
      <c r="G31" s="9">
        <v>19</v>
      </c>
      <c r="H31" s="9">
        <v>24</v>
      </c>
      <c r="I31" s="9">
        <v>30</v>
      </c>
      <c r="J31" s="9">
        <v>35</v>
      </c>
      <c r="K31" s="9">
        <v>44</v>
      </c>
      <c r="L31" s="9">
        <v>57</v>
      </c>
      <c r="M31" s="9">
        <v>65</v>
      </c>
      <c r="N31" s="9">
        <v>81</v>
      </c>
      <c r="O31" s="9">
        <v>90</v>
      </c>
      <c r="P31" s="9" t="s">
        <v>62</v>
      </c>
      <c r="Q31" s="9" t="s">
        <v>62</v>
      </c>
      <c r="R31" s="9"/>
      <c r="S31" s="9"/>
      <c r="T31" s="9"/>
    </row>
    <row r="32" spans="1:20" ht="19.149999999999999" customHeight="1" x14ac:dyDescent="0.2">
      <c r="A32" t="s">
        <v>32</v>
      </c>
      <c r="B32" s="58"/>
      <c r="C32" s="59"/>
      <c r="D32" s="79" t="s">
        <v>34</v>
      </c>
      <c r="E32" s="80" t="s">
        <v>47</v>
      </c>
      <c r="F32" s="85" t="s">
        <v>43</v>
      </c>
      <c r="G32" s="49">
        <v>21</v>
      </c>
      <c r="H32" s="49">
        <v>27</v>
      </c>
      <c r="I32" s="49">
        <v>33</v>
      </c>
      <c r="J32" s="49">
        <v>40</v>
      </c>
      <c r="K32" s="49">
        <v>50</v>
      </c>
      <c r="L32" s="49">
        <v>66</v>
      </c>
      <c r="M32" s="49">
        <v>74</v>
      </c>
      <c r="N32" s="49">
        <v>90</v>
      </c>
      <c r="O32" s="49">
        <v>99</v>
      </c>
      <c r="P32" s="49" t="s">
        <v>62</v>
      </c>
      <c r="Q32" s="49" t="s">
        <v>62</v>
      </c>
      <c r="R32" s="49"/>
      <c r="S32" s="49"/>
      <c r="T32" s="49"/>
    </row>
    <row r="33" spans="1:20" ht="19.149999999999999" customHeight="1" thickBot="1" x14ac:dyDescent="0.25">
      <c r="A33" t="s">
        <v>32</v>
      </c>
      <c r="B33" s="14"/>
      <c r="C33" s="16"/>
      <c r="D33" s="17" t="s">
        <v>10</v>
      </c>
      <c r="E33" s="42" t="s">
        <v>47</v>
      </c>
      <c r="F33" s="86" t="s">
        <v>43</v>
      </c>
      <c r="G33" s="10">
        <v>20</v>
      </c>
      <c r="H33" s="10">
        <v>27</v>
      </c>
      <c r="I33" s="10">
        <v>33</v>
      </c>
      <c r="J33" s="10">
        <v>42</v>
      </c>
      <c r="K33" s="10">
        <v>51</v>
      </c>
      <c r="L33" s="10">
        <v>67</v>
      </c>
      <c r="M33" s="10">
        <v>78</v>
      </c>
      <c r="N33" s="10">
        <v>98</v>
      </c>
      <c r="O33" s="10" t="s">
        <v>62</v>
      </c>
      <c r="P33" s="10" t="s">
        <v>62</v>
      </c>
      <c r="Q33" s="10" t="s">
        <v>62</v>
      </c>
      <c r="R33" s="10"/>
      <c r="S33" s="10"/>
      <c r="T33" s="10"/>
    </row>
    <row r="34" spans="1:20" ht="19.149999999999999" customHeight="1" x14ac:dyDescent="0.2">
      <c r="A34" t="s">
        <v>32</v>
      </c>
      <c r="B34" s="11" t="s">
        <v>1</v>
      </c>
      <c r="C34" s="15">
        <v>1</v>
      </c>
      <c r="D34" s="13" t="s">
        <v>11</v>
      </c>
      <c r="E34" s="41" t="s">
        <v>48</v>
      </c>
      <c r="F34" s="82" t="s">
        <v>43</v>
      </c>
      <c r="G34" s="9">
        <v>17</v>
      </c>
      <c r="H34" s="9">
        <v>27</v>
      </c>
      <c r="I34" s="9">
        <v>40</v>
      </c>
      <c r="J34" s="9">
        <v>50</v>
      </c>
      <c r="K34" s="9">
        <v>59</v>
      </c>
      <c r="L34" s="9">
        <v>72</v>
      </c>
      <c r="M34" s="9">
        <v>83</v>
      </c>
      <c r="N34" s="9" t="s">
        <v>62</v>
      </c>
      <c r="O34" s="9" t="s">
        <v>62</v>
      </c>
      <c r="P34" s="9" t="s">
        <v>62</v>
      </c>
      <c r="Q34" s="9" t="s">
        <v>62</v>
      </c>
      <c r="R34" s="9"/>
      <c r="S34" s="9" t="s">
        <v>32</v>
      </c>
      <c r="T34" s="9"/>
    </row>
    <row r="35" spans="1:20" ht="19.149999999999999" customHeight="1" x14ac:dyDescent="0.2">
      <c r="A35" t="s">
        <v>32</v>
      </c>
      <c r="B35" s="58"/>
      <c r="C35" s="59"/>
      <c r="D35" s="79" t="s">
        <v>34</v>
      </c>
      <c r="E35" s="80" t="s">
        <v>48</v>
      </c>
      <c r="F35" s="85" t="s">
        <v>43</v>
      </c>
      <c r="G35" s="49">
        <v>15</v>
      </c>
      <c r="H35" s="49">
        <v>24</v>
      </c>
      <c r="I35" s="49">
        <v>36</v>
      </c>
      <c r="J35" s="49">
        <v>45</v>
      </c>
      <c r="K35" s="49">
        <v>55</v>
      </c>
      <c r="L35" s="49">
        <v>70</v>
      </c>
      <c r="M35" s="49">
        <v>81</v>
      </c>
      <c r="N35" s="49" t="s">
        <v>62</v>
      </c>
      <c r="O35" s="49" t="s">
        <v>62</v>
      </c>
      <c r="P35" s="49" t="s">
        <v>62</v>
      </c>
      <c r="Q35" s="49" t="s">
        <v>62</v>
      </c>
      <c r="R35" s="49"/>
      <c r="S35" s="49"/>
      <c r="T35" s="49"/>
    </row>
    <row r="36" spans="1:20" ht="19.149999999999999" customHeight="1" thickBot="1" x14ac:dyDescent="0.25">
      <c r="A36" t="s">
        <v>32</v>
      </c>
      <c r="B36" s="14"/>
      <c r="C36" s="16"/>
      <c r="D36" s="17" t="s">
        <v>10</v>
      </c>
      <c r="E36" s="42" t="s">
        <v>48</v>
      </c>
      <c r="F36" s="86" t="s">
        <v>43</v>
      </c>
      <c r="G36" s="10">
        <v>18</v>
      </c>
      <c r="H36" s="10">
        <v>26</v>
      </c>
      <c r="I36" s="10">
        <v>35</v>
      </c>
      <c r="J36" s="10">
        <v>44</v>
      </c>
      <c r="K36" s="10">
        <v>57</v>
      </c>
      <c r="L36" s="10">
        <v>77</v>
      </c>
      <c r="M36" s="10">
        <v>86</v>
      </c>
      <c r="N36" s="10" t="s">
        <v>62</v>
      </c>
      <c r="O36" s="10" t="s">
        <v>62</v>
      </c>
      <c r="P36" s="10" t="s">
        <v>62</v>
      </c>
      <c r="Q36" s="10" t="s">
        <v>62</v>
      </c>
      <c r="R36" s="10"/>
      <c r="S36" s="10"/>
      <c r="T36" s="10"/>
    </row>
    <row r="37" spans="1:20" ht="19.149999999999999" customHeight="1" x14ac:dyDescent="0.2">
      <c r="A37" t="s">
        <v>32</v>
      </c>
      <c r="B37" s="11" t="s">
        <v>2</v>
      </c>
      <c r="C37" s="15">
        <v>1</v>
      </c>
      <c r="D37" s="13" t="s">
        <v>10</v>
      </c>
      <c r="E37" s="41" t="s">
        <v>45</v>
      </c>
      <c r="F37" s="82" t="s">
        <v>43</v>
      </c>
      <c r="G37" s="9">
        <v>20</v>
      </c>
      <c r="H37" s="9">
        <v>33</v>
      </c>
      <c r="I37" s="9">
        <v>48</v>
      </c>
      <c r="J37" s="9">
        <v>61</v>
      </c>
      <c r="K37" s="9">
        <v>69</v>
      </c>
      <c r="L37" s="9">
        <v>82</v>
      </c>
      <c r="M37" s="9">
        <v>88</v>
      </c>
      <c r="N37" s="9" t="s">
        <v>62</v>
      </c>
      <c r="O37" s="9" t="s">
        <v>62</v>
      </c>
      <c r="P37" s="9" t="s">
        <v>62</v>
      </c>
      <c r="Q37" s="9" t="s">
        <v>62</v>
      </c>
      <c r="R37" s="9"/>
      <c r="S37" s="9"/>
      <c r="T37" s="9"/>
    </row>
    <row r="38" spans="1:20" ht="19.149999999999999" customHeight="1" x14ac:dyDescent="0.2">
      <c r="A38" t="s">
        <v>32</v>
      </c>
      <c r="B38" s="58"/>
      <c r="C38" s="59"/>
      <c r="D38" s="79" t="s">
        <v>34</v>
      </c>
      <c r="E38" s="80" t="s">
        <v>45</v>
      </c>
      <c r="F38" s="85" t="s">
        <v>43</v>
      </c>
      <c r="G38" s="49">
        <v>14</v>
      </c>
      <c r="H38" s="49">
        <v>22</v>
      </c>
      <c r="I38" s="49">
        <v>34</v>
      </c>
      <c r="J38" s="49">
        <v>44</v>
      </c>
      <c r="K38" s="49">
        <v>55</v>
      </c>
      <c r="L38" s="49">
        <v>72</v>
      </c>
      <c r="M38" s="49">
        <v>79</v>
      </c>
      <c r="N38" s="49">
        <v>91</v>
      </c>
      <c r="O38" s="49" t="s">
        <v>62</v>
      </c>
      <c r="P38" s="49" t="s">
        <v>62</v>
      </c>
      <c r="Q38" s="49" t="s">
        <v>62</v>
      </c>
      <c r="R38" s="49"/>
      <c r="S38" s="49"/>
      <c r="T38" s="49"/>
    </row>
    <row r="39" spans="1:20" ht="19.149999999999999" customHeight="1" thickBot="1" x14ac:dyDescent="0.25">
      <c r="A39" t="s">
        <v>32</v>
      </c>
      <c r="B39" s="14"/>
      <c r="C39" s="16"/>
      <c r="D39" s="17" t="s">
        <v>11</v>
      </c>
      <c r="E39" s="42" t="s">
        <v>45</v>
      </c>
      <c r="F39" s="86" t="s">
        <v>43</v>
      </c>
      <c r="G39" s="10">
        <v>16</v>
      </c>
      <c r="H39" s="10">
        <v>28</v>
      </c>
      <c r="I39" s="10">
        <v>43</v>
      </c>
      <c r="J39" s="10">
        <v>54</v>
      </c>
      <c r="K39" s="10">
        <v>68</v>
      </c>
      <c r="L39" s="10">
        <v>85</v>
      </c>
      <c r="M39" s="10">
        <v>91</v>
      </c>
      <c r="N39" s="10" t="s">
        <v>62</v>
      </c>
      <c r="O39" s="10" t="s">
        <v>62</v>
      </c>
      <c r="P39" s="10" t="s">
        <v>62</v>
      </c>
      <c r="Q39" s="10" t="s">
        <v>62</v>
      </c>
      <c r="R39" s="10"/>
      <c r="S39" s="10"/>
      <c r="T39" s="10"/>
    </row>
    <row r="40" spans="1:20" ht="19.149999999999999" customHeight="1" x14ac:dyDescent="0.2">
      <c r="A40" t="s">
        <v>32</v>
      </c>
      <c r="B40" s="11" t="s">
        <v>2</v>
      </c>
      <c r="C40" s="15">
        <v>2</v>
      </c>
      <c r="D40" s="13" t="s">
        <v>10</v>
      </c>
      <c r="E40" s="41" t="s">
        <v>49</v>
      </c>
      <c r="F40" s="82" t="s">
        <v>43</v>
      </c>
      <c r="G40" s="9">
        <v>18</v>
      </c>
      <c r="H40" s="9">
        <v>30</v>
      </c>
      <c r="I40" s="9">
        <v>44</v>
      </c>
      <c r="J40" s="9">
        <v>56</v>
      </c>
      <c r="K40" s="9">
        <v>66</v>
      </c>
      <c r="L40" s="9">
        <v>82</v>
      </c>
      <c r="M40" s="9">
        <v>87</v>
      </c>
      <c r="N40" s="9" t="s">
        <v>62</v>
      </c>
      <c r="O40" s="9" t="s">
        <v>62</v>
      </c>
      <c r="P40" s="9" t="s">
        <v>62</v>
      </c>
      <c r="Q40" s="9" t="s">
        <v>62</v>
      </c>
      <c r="R40" s="9"/>
      <c r="S40" s="9"/>
      <c r="T40" s="9"/>
    </row>
    <row r="41" spans="1:20" ht="19.149999999999999" customHeight="1" x14ac:dyDescent="0.2">
      <c r="A41" t="s">
        <v>32</v>
      </c>
      <c r="B41" s="58"/>
      <c r="C41" s="59"/>
      <c r="D41" s="79" t="s">
        <v>34</v>
      </c>
      <c r="E41" s="80" t="s">
        <v>49</v>
      </c>
      <c r="F41" s="85" t="s">
        <v>43</v>
      </c>
      <c r="G41" s="49">
        <v>17</v>
      </c>
      <c r="H41" s="49">
        <v>29</v>
      </c>
      <c r="I41" s="49">
        <v>44</v>
      </c>
      <c r="J41" s="49">
        <v>56</v>
      </c>
      <c r="K41" s="49">
        <v>66</v>
      </c>
      <c r="L41" s="49">
        <v>81</v>
      </c>
      <c r="M41" s="49">
        <v>86</v>
      </c>
      <c r="N41" s="49" t="s">
        <v>62</v>
      </c>
      <c r="O41" s="49" t="s">
        <v>62</v>
      </c>
      <c r="P41" s="49" t="s">
        <v>62</v>
      </c>
      <c r="Q41" s="49" t="s">
        <v>62</v>
      </c>
      <c r="R41" s="49"/>
      <c r="S41" s="49"/>
      <c r="T41" s="49"/>
    </row>
    <row r="42" spans="1:20" ht="19.149999999999999" customHeight="1" thickBot="1" x14ac:dyDescent="0.25">
      <c r="A42" t="s">
        <v>32</v>
      </c>
      <c r="B42" s="14"/>
      <c r="C42" s="16"/>
      <c r="D42" s="17" t="s">
        <v>11</v>
      </c>
      <c r="E42" s="42" t="s">
        <v>49</v>
      </c>
      <c r="F42" s="86" t="s">
        <v>43</v>
      </c>
      <c r="G42" s="10">
        <v>18</v>
      </c>
      <c r="H42" s="10">
        <v>30</v>
      </c>
      <c r="I42" s="10">
        <v>46</v>
      </c>
      <c r="J42" s="10">
        <v>59</v>
      </c>
      <c r="K42" s="10">
        <v>73</v>
      </c>
      <c r="L42" s="10">
        <v>93</v>
      </c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/>
      <c r="S42" s="10"/>
      <c r="T42" s="10"/>
    </row>
    <row r="43" spans="1:20" ht="19.149999999999999" customHeight="1" x14ac:dyDescent="0.2">
      <c r="A43" s="1" t="s">
        <v>32</v>
      </c>
      <c r="B43" s="11" t="s">
        <v>2</v>
      </c>
      <c r="C43" s="15">
        <v>3</v>
      </c>
      <c r="D43" s="13" t="s">
        <v>10</v>
      </c>
      <c r="E43" s="41" t="s">
        <v>46</v>
      </c>
      <c r="F43" s="82" t="s">
        <v>43</v>
      </c>
      <c r="G43" s="9">
        <v>17</v>
      </c>
      <c r="H43" s="9">
        <v>27</v>
      </c>
      <c r="I43" s="9">
        <v>39</v>
      </c>
      <c r="J43" s="9">
        <v>49</v>
      </c>
      <c r="K43" s="9">
        <v>60</v>
      </c>
      <c r="L43" s="9">
        <v>77</v>
      </c>
      <c r="M43" s="9">
        <v>85</v>
      </c>
      <c r="N43" s="9" t="s">
        <v>62</v>
      </c>
      <c r="O43" s="9" t="s">
        <v>62</v>
      </c>
      <c r="P43" s="9" t="s">
        <v>62</v>
      </c>
      <c r="Q43" s="9" t="s">
        <v>62</v>
      </c>
      <c r="R43" s="9"/>
      <c r="S43" s="9"/>
      <c r="T43" s="9"/>
    </row>
    <row r="44" spans="1:20" ht="19.149999999999999" customHeight="1" x14ac:dyDescent="0.2">
      <c r="A44" s="1" t="s">
        <v>32</v>
      </c>
      <c r="B44" s="58"/>
      <c r="C44" s="59"/>
      <c r="D44" s="79" t="s">
        <v>34</v>
      </c>
      <c r="E44" s="80" t="s">
        <v>46</v>
      </c>
      <c r="F44" s="85" t="s">
        <v>43</v>
      </c>
      <c r="G44" s="49">
        <v>17</v>
      </c>
      <c r="H44" s="49">
        <v>27</v>
      </c>
      <c r="I44" s="49">
        <v>39</v>
      </c>
      <c r="J44" s="49">
        <v>48</v>
      </c>
      <c r="K44" s="49">
        <v>52</v>
      </c>
      <c r="L44" s="49">
        <v>81</v>
      </c>
      <c r="M44" s="49">
        <v>89</v>
      </c>
      <c r="N44" s="49" t="s">
        <v>62</v>
      </c>
      <c r="O44" s="49" t="s">
        <v>62</v>
      </c>
      <c r="P44" s="49" t="s">
        <v>62</v>
      </c>
      <c r="Q44" s="49" t="s">
        <v>62</v>
      </c>
      <c r="R44" s="49"/>
      <c r="S44" s="49"/>
      <c r="T44" s="49"/>
    </row>
    <row r="45" spans="1:20" ht="19.149999999999999" customHeight="1" thickBot="1" x14ac:dyDescent="0.25">
      <c r="A45" s="12" t="s">
        <v>32</v>
      </c>
      <c r="B45" s="14"/>
      <c r="C45" s="16"/>
      <c r="D45" s="17" t="s">
        <v>11</v>
      </c>
      <c r="E45" s="42" t="s">
        <v>46</v>
      </c>
      <c r="F45" s="86" t="s">
        <v>43</v>
      </c>
      <c r="G45" s="10">
        <v>18</v>
      </c>
      <c r="H45" s="10">
        <v>30</v>
      </c>
      <c r="I45" s="10">
        <v>44</v>
      </c>
      <c r="J45" s="10">
        <v>55</v>
      </c>
      <c r="K45" s="10">
        <v>70</v>
      </c>
      <c r="L45" s="10">
        <v>92</v>
      </c>
      <c r="M45" s="10">
        <v>86</v>
      </c>
      <c r="N45" s="10" t="s">
        <v>62</v>
      </c>
      <c r="O45" s="10" t="s">
        <v>62</v>
      </c>
      <c r="P45" s="10" t="s">
        <v>62</v>
      </c>
      <c r="Q45" s="10" t="s">
        <v>62</v>
      </c>
      <c r="R45" s="10"/>
      <c r="S45" s="10"/>
      <c r="T45" s="10"/>
    </row>
    <row r="46" spans="1:20" ht="19.149999999999999" customHeight="1" x14ac:dyDescent="0.2">
      <c r="A46" s="1" t="s">
        <v>32</v>
      </c>
      <c r="B46" s="11" t="s">
        <v>2</v>
      </c>
      <c r="C46" s="15">
        <v>4</v>
      </c>
      <c r="D46" s="13" t="s">
        <v>10</v>
      </c>
      <c r="E46" s="41" t="s">
        <v>48</v>
      </c>
      <c r="F46" s="82" t="s">
        <v>43</v>
      </c>
      <c r="G46" s="9">
        <v>18</v>
      </c>
      <c r="H46" s="9">
        <v>26</v>
      </c>
      <c r="I46" s="9">
        <v>35</v>
      </c>
      <c r="J46" s="9">
        <v>43</v>
      </c>
      <c r="K46" s="9">
        <v>56</v>
      </c>
      <c r="L46" s="9">
        <v>75</v>
      </c>
      <c r="M46" s="9">
        <v>82</v>
      </c>
      <c r="N46" s="9">
        <v>96</v>
      </c>
      <c r="O46" s="9" t="s">
        <v>62</v>
      </c>
      <c r="P46" s="9" t="s">
        <v>62</v>
      </c>
      <c r="Q46" s="9" t="s">
        <v>62</v>
      </c>
      <c r="R46" s="9"/>
      <c r="S46" s="9"/>
      <c r="T46" s="9"/>
    </row>
    <row r="47" spans="1:20" ht="19.149999999999999" customHeight="1" x14ac:dyDescent="0.2">
      <c r="A47" s="1" t="s">
        <v>32</v>
      </c>
      <c r="B47" s="58"/>
      <c r="C47" s="59"/>
      <c r="D47" s="79" t="s">
        <v>34</v>
      </c>
      <c r="E47" s="80" t="s">
        <v>48</v>
      </c>
      <c r="F47" s="85" t="s">
        <v>43</v>
      </c>
      <c r="G47" s="49">
        <v>12</v>
      </c>
      <c r="H47" s="49">
        <v>14</v>
      </c>
      <c r="I47" s="49">
        <v>22</v>
      </c>
      <c r="J47" s="49">
        <v>28</v>
      </c>
      <c r="K47" s="49">
        <v>36</v>
      </c>
      <c r="L47" s="49">
        <v>51</v>
      </c>
      <c r="M47" s="49">
        <v>61</v>
      </c>
      <c r="N47" s="49">
        <v>78</v>
      </c>
      <c r="O47" s="49">
        <v>90</v>
      </c>
      <c r="P47" s="49" t="s">
        <v>62</v>
      </c>
      <c r="Q47" s="49" t="s">
        <v>62</v>
      </c>
      <c r="R47" s="49"/>
      <c r="S47" s="49"/>
      <c r="T47" s="49"/>
    </row>
    <row r="48" spans="1:20" ht="19.149999999999999" customHeight="1" thickBot="1" x14ac:dyDescent="0.25">
      <c r="A48" s="1" t="s">
        <v>32</v>
      </c>
      <c r="B48" s="14"/>
      <c r="C48" s="16"/>
      <c r="D48" s="17" t="s">
        <v>11</v>
      </c>
      <c r="E48" s="42" t="s">
        <v>48</v>
      </c>
      <c r="F48" s="86" t="s">
        <v>43</v>
      </c>
      <c r="G48" s="10">
        <v>14</v>
      </c>
      <c r="H48" s="10">
        <v>24</v>
      </c>
      <c r="I48" s="10">
        <v>39</v>
      </c>
      <c r="J48" s="10">
        <v>50</v>
      </c>
      <c r="K48" s="10">
        <v>61</v>
      </c>
      <c r="L48" s="10">
        <v>78</v>
      </c>
      <c r="M48" s="10">
        <v>84</v>
      </c>
      <c r="N48" s="10">
        <v>95</v>
      </c>
      <c r="O48" s="10" t="s">
        <v>62</v>
      </c>
      <c r="P48" s="10" t="s">
        <v>62</v>
      </c>
      <c r="Q48" s="10" t="s">
        <v>62</v>
      </c>
      <c r="R48" s="10"/>
      <c r="S48" s="10"/>
      <c r="T48" s="10"/>
    </row>
    <row r="49" spans="1:20" ht="19.149999999999999" customHeight="1" x14ac:dyDescent="0.2">
      <c r="A49" s="1" t="s">
        <v>32</v>
      </c>
      <c r="B49" s="11" t="s">
        <v>3</v>
      </c>
      <c r="C49" s="15">
        <v>4</v>
      </c>
      <c r="D49" s="13" t="s">
        <v>11</v>
      </c>
      <c r="E49" s="41" t="s">
        <v>48</v>
      </c>
      <c r="F49" s="82" t="s">
        <v>50</v>
      </c>
      <c r="G49" s="9">
        <v>14</v>
      </c>
      <c r="H49" s="9">
        <v>22</v>
      </c>
      <c r="I49" s="9">
        <v>32</v>
      </c>
      <c r="J49" s="9">
        <v>39</v>
      </c>
      <c r="K49" s="9">
        <v>52</v>
      </c>
      <c r="L49" s="9">
        <v>72</v>
      </c>
      <c r="M49" s="9">
        <v>82</v>
      </c>
      <c r="N49" s="9">
        <v>96</v>
      </c>
      <c r="O49" s="9" t="s">
        <v>62</v>
      </c>
      <c r="P49" s="9" t="s">
        <v>62</v>
      </c>
      <c r="Q49" s="9" t="s">
        <v>62</v>
      </c>
      <c r="R49" s="9"/>
      <c r="S49" s="9"/>
      <c r="T49" s="9"/>
    </row>
    <row r="50" spans="1:20" ht="19.149999999999999" customHeight="1" x14ac:dyDescent="0.2">
      <c r="A50" s="1" t="s">
        <v>32</v>
      </c>
      <c r="B50" s="58"/>
      <c r="C50" s="59"/>
      <c r="D50" s="79" t="s">
        <v>34</v>
      </c>
      <c r="E50" s="80" t="s">
        <v>48</v>
      </c>
      <c r="F50" s="85" t="s">
        <v>50</v>
      </c>
      <c r="G50" s="49">
        <v>13</v>
      </c>
      <c r="H50" s="49">
        <v>21</v>
      </c>
      <c r="I50" s="49">
        <v>31</v>
      </c>
      <c r="J50" s="49">
        <v>39</v>
      </c>
      <c r="K50" s="49">
        <v>52</v>
      </c>
      <c r="L50" s="49">
        <v>71</v>
      </c>
      <c r="M50" s="49">
        <v>83</v>
      </c>
      <c r="N50" s="49" t="s">
        <v>62</v>
      </c>
      <c r="O50" s="49" t="s">
        <v>62</v>
      </c>
      <c r="P50" s="49" t="s">
        <v>62</v>
      </c>
      <c r="Q50" s="49" t="s">
        <v>62</v>
      </c>
      <c r="R50" s="49"/>
      <c r="S50" s="49"/>
      <c r="T50" s="49"/>
    </row>
    <row r="51" spans="1:20" ht="19.149999999999999" customHeight="1" thickBot="1" x14ac:dyDescent="0.25">
      <c r="A51" s="1" t="s">
        <v>32</v>
      </c>
      <c r="B51" s="14"/>
      <c r="C51" s="16"/>
      <c r="D51" s="17" t="s">
        <v>10</v>
      </c>
      <c r="E51" s="42" t="s">
        <v>48</v>
      </c>
      <c r="F51" s="86" t="s">
        <v>50</v>
      </c>
      <c r="G51" s="10">
        <v>9</v>
      </c>
      <c r="H51" s="10">
        <v>17</v>
      </c>
      <c r="I51" s="10">
        <v>29</v>
      </c>
      <c r="J51" s="10">
        <v>38</v>
      </c>
      <c r="K51" s="10">
        <v>53</v>
      </c>
      <c r="L51" s="10">
        <v>76</v>
      </c>
      <c r="M51" s="10">
        <v>85</v>
      </c>
      <c r="N51" s="10" t="s">
        <v>62</v>
      </c>
      <c r="O51" s="10" t="s">
        <v>62</v>
      </c>
      <c r="P51" s="10" t="s">
        <v>62</v>
      </c>
      <c r="Q51" s="10" t="s">
        <v>62</v>
      </c>
      <c r="R51" s="10"/>
      <c r="S51" s="10"/>
      <c r="T51" s="10"/>
    </row>
    <row r="52" spans="1:20" ht="19.149999999999999" customHeight="1" x14ac:dyDescent="0.2">
      <c r="A52" s="1" t="s">
        <v>32</v>
      </c>
      <c r="B52" s="11" t="s">
        <v>3</v>
      </c>
      <c r="C52" s="15">
        <v>3</v>
      </c>
      <c r="D52" s="13" t="s">
        <v>11</v>
      </c>
      <c r="E52" s="41" t="s">
        <v>46</v>
      </c>
      <c r="F52" s="82" t="s">
        <v>50</v>
      </c>
      <c r="G52" s="9">
        <v>11</v>
      </c>
      <c r="H52" s="9">
        <v>15</v>
      </c>
      <c r="I52" s="9">
        <v>21</v>
      </c>
      <c r="J52" s="9">
        <v>25</v>
      </c>
      <c r="K52" s="9">
        <v>35</v>
      </c>
      <c r="L52" s="9">
        <v>51</v>
      </c>
      <c r="M52" s="9">
        <v>60</v>
      </c>
      <c r="N52" s="9">
        <v>80</v>
      </c>
      <c r="O52" s="9">
        <v>93</v>
      </c>
      <c r="P52" s="9" t="s">
        <v>62</v>
      </c>
      <c r="Q52" s="9" t="s">
        <v>62</v>
      </c>
      <c r="R52" s="9"/>
      <c r="S52" s="9"/>
      <c r="T52" s="9"/>
    </row>
    <row r="53" spans="1:20" ht="19.149999999999999" customHeight="1" x14ac:dyDescent="0.2">
      <c r="A53" s="1" t="s">
        <v>32</v>
      </c>
      <c r="B53" s="58"/>
      <c r="C53" s="59"/>
      <c r="D53" s="79" t="s">
        <v>34</v>
      </c>
      <c r="E53" s="80" t="s">
        <v>46</v>
      </c>
      <c r="F53" s="85" t="s">
        <v>50</v>
      </c>
      <c r="G53" s="49">
        <v>15</v>
      </c>
      <c r="H53" s="49">
        <v>25</v>
      </c>
      <c r="I53" s="49">
        <v>37</v>
      </c>
      <c r="J53" s="49">
        <v>44</v>
      </c>
      <c r="K53" s="49">
        <v>56</v>
      </c>
      <c r="L53" s="49">
        <v>74</v>
      </c>
      <c r="M53" s="49">
        <v>84</v>
      </c>
      <c r="N53" s="49" t="s">
        <v>62</v>
      </c>
      <c r="O53" s="49" t="s">
        <v>62</v>
      </c>
      <c r="P53" s="49" t="s">
        <v>62</v>
      </c>
      <c r="Q53" s="49" t="s">
        <v>62</v>
      </c>
      <c r="R53" s="49"/>
      <c r="S53" s="49"/>
      <c r="T53" s="49"/>
    </row>
    <row r="54" spans="1:20" ht="19.149999999999999" customHeight="1" thickBot="1" x14ac:dyDescent="0.25">
      <c r="A54" s="1" t="s">
        <v>32</v>
      </c>
      <c r="B54" s="14"/>
      <c r="C54" s="16"/>
      <c r="D54" s="17" t="s">
        <v>10</v>
      </c>
      <c r="E54" s="42" t="s">
        <v>46</v>
      </c>
      <c r="F54" s="86" t="s">
        <v>50</v>
      </c>
      <c r="G54" s="10">
        <v>10</v>
      </c>
      <c r="H54" s="10">
        <v>21</v>
      </c>
      <c r="I54" s="10">
        <v>35</v>
      </c>
      <c r="J54" s="10">
        <v>45</v>
      </c>
      <c r="K54" s="10">
        <v>58</v>
      </c>
      <c r="L54" s="10">
        <v>78</v>
      </c>
      <c r="M54" s="10">
        <v>88</v>
      </c>
      <c r="N54" s="10" t="s">
        <v>62</v>
      </c>
      <c r="O54" s="10" t="s">
        <v>62</v>
      </c>
      <c r="P54" s="10" t="s">
        <v>62</v>
      </c>
      <c r="Q54" s="10" t="s">
        <v>62</v>
      </c>
      <c r="R54" s="10"/>
      <c r="S54" s="10"/>
      <c r="T54" s="10"/>
    </row>
    <row r="55" spans="1:20" ht="19.149999999999999" customHeight="1" x14ac:dyDescent="0.2">
      <c r="A55" s="1" t="s">
        <v>32</v>
      </c>
      <c r="B55" s="11" t="s">
        <v>3</v>
      </c>
      <c r="C55" s="15">
        <v>2</v>
      </c>
      <c r="D55" s="13" t="s">
        <v>11</v>
      </c>
      <c r="E55" s="41" t="s">
        <v>49</v>
      </c>
      <c r="F55" s="82" t="s">
        <v>50</v>
      </c>
      <c r="G55" s="9">
        <v>13</v>
      </c>
      <c r="H55" s="9">
        <v>24</v>
      </c>
      <c r="I55" s="9">
        <v>37</v>
      </c>
      <c r="J55" s="9">
        <v>47</v>
      </c>
      <c r="K55" s="9">
        <v>60</v>
      </c>
      <c r="L55" s="9">
        <v>78</v>
      </c>
      <c r="M55" s="9">
        <v>86</v>
      </c>
      <c r="N55" s="9" t="s">
        <v>62</v>
      </c>
      <c r="O55" s="9" t="s">
        <v>62</v>
      </c>
      <c r="P55" s="9" t="s">
        <v>62</v>
      </c>
      <c r="Q55" s="9" t="s">
        <v>62</v>
      </c>
      <c r="R55" s="9"/>
      <c r="S55" s="9"/>
      <c r="T55" s="9"/>
    </row>
    <row r="56" spans="1:20" ht="19.149999999999999" customHeight="1" x14ac:dyDescent="0.2">
      <c r="A56" s="1" t="s">
        <v>32</v>
      </c>
      <c r="B56" s="58"/>
      <c r="C56" s="59"/>
      <c r="D56" s="79" t="s">
        <v>34</v>
      </c>
      <c r="E56" s="80" t="s">
        <v>49</v>
      </c>
      <c r="F56" s="85" t="s">
        <v>50</v>
      </c>
      <c r="G56" s="49">
        <v>11</v>
      </c>
      <c r="H56" s="49">
        <v>20</v>
      </c>
      <c r="I56" s="49">
        <v>30</v>
      </c>
      <c r="J56" s="49">
        <v>38</v>
      </c>
      <c r="K56" s="49">
        <v>51</v>
      </c>
      <c r="L56" s="49">
        <v>71</v>
      </c>
      <c r="M56" s="49">
        <v>81</v>
      </c>
      <c r="N56" s="49" t="s">
        <v>62</v>
      </c>
      <c r="O56" s="49" t="s">
        <v>62</v>
      </c>
      <c r="P56" s="49" t="s">
        <v>62</v>
      </c>
      <c r="Q56" s="49" t="s">
        <v>62</v>
      </c>
      <c r="R56" s="49"/>
      <c r="S56" s="49"/>
      <c r="T56" s="49"/>
    </row>
    <row r="57" spans="1:20" ht="19.149999999999999" customHeight="1" thickBot="1" x14ac:dyDescent="0.25">
      <c r="A57" s="1" t="s">
        <v>32</v>
      </c>
      <c r="B57" s="14"/>
      <c r="C57" s="16"/>
      <c r="D57" s="17" t="s">
        <v>10</v>
      </c>
      <c r="E57" s="42" t="s">
        <v>49</v>
      </c>
      <c r="F57" s="86" t="s">
        <v>50</v>
      </c>
      <c r="G57" s="10">
        <v>9</v>
      </c>
      <c r="H57" s="10">
        <v>17</v>
      </c>
      <c r="I57" s="10">
        <v>30</v>
      </c>
      <c r="J57" s="10">
        <v>41</v>
      </c>
      <c r="K57" s="10">
        <v>54</v>
      </c>
      <c r="L57" s="10">
        <v>74</v>
      </c>
      <c r="M57" s="10">
        <v>84</v>
      </c>
      <c r="N57" s="10" t="s">
        <v>62</v>
      </c>
      <c r="O57" s="10" t="s">
        <v>62</v>
      </c>
      <c r="P57" s="10" t="s">
        <v>62</v>
      </c>
      <c r="Q57" s="10" t="s">
        <v>62</v>
      </c>
      <c r="R57" s="10"/>
      <c r="S57" s="10"/>
      <c r="T57" s="10"/>
    </row>
    <row r="58" spans="1:20" ht="19.149999999999999" customHeight="1" x14ac:dyDescent="0.2">
      <c r="A58" s="1" t="s">
        <v>32</v>
      </c>
      <c r="B58" s="11" t="s">
        <v>3</v>
      </c>
      <c r="C58" s="15">
        <v>1</v>
      </c>
      <c r="D58" s="13" t="s">
        <v>11</v>
      </c>
      <c r="E58" s="41" t="s">
        <v>45</v>
      </c>
      <c r="F58" s="82" t="s">
        <v>50</v>
      </c>
      <c r="G58" s="9">
        <v>10</v>
      </c>
      <c r="H58" s="9">
        <v>19</v>
      </c>
      <c r="I58" s="9">
        <v>30</v>
      </c>
      <c r="J58" s="9">
        <v>38</v>
      </c>
      <c r="K58" s="9">
        <v>53</v>
      </c>
      <c r="L58" s="9">
        <v>75</v>
      </c>
      <c r="M58" s="9">
        <v>83</v>
      </c>
      <c r="N58" s="9">
        <v>97</v>
      </c>
      <c r="O58" s="9" t="s">
        <v>62</v>
      </c>
      <c r="P58" s="9" t="s">
        <v>62</v>
      </c>
      <c r="Q58" s="9" t="s">
        <v>62</v>
      </c>
      <c r="R58" s="9"/>
      <c r="S58" s="9"/>
      <c r="T58" s="9"/>
    </row>
    <row r="59" spans="1:20" ht="19.149999999999999" customHeight="1" x14ac:dyDescent="0.2">
      <c r="A59" s="1" t="s">
        <v>32</v>
      </c>
      <c r="B59" s="58"/>
      <c r="C59" s="59"/>
      <c r="D59" s="79" t="s">
        <v>34</v>
      </c>
      <c r="E59" s="80" t="s">
        <v>45</v>
      </c>
      <c r="F59" s="85" t="s">
        <v>50</v>
      </c>
      <c r="G59" s="49">
        <v>11</v>
      </c>
      <c r="H59" s="49">
        <v>21</v>
      </c>
      <c r="I59" s="49">
        <v>33</v>
      </c>
      <c r="J59" s="49">
        <v>42</v>
      </c>
      <c r="K59" s="49">
        <v>55</v>
      </c>
      <c r="L59" s="49">
        <v>73</v>
      </c>
      <c r="M59" s="49">
        <v>85</v>
      </c>
      <c r="N59" s="49" t="s">
        <v>62</v>
      </c>
      <c r="O59" s="49" t="s">
        <v>62</v>
      </c>
      <c r="P59" s="49" t="s">
        <v>62</v>
      </c>
      <c r="Q59" s="49" t="s">
        <v>62</v>
      </c>
      <c r="R59" s="49"/>
      <c r="S59" s="49"/>
      <c r="T59" s="49"/>
    </row>
    <row r="60" spans="1:20" ht="19.149999999999999" customHeight="1" thickBot="1" x14ac:dyDescent="0.25">
      <c r="A60" s="1" t="s">
        <v>32</v>
      </c>
      <c r="B60" s="14"/>
      <c r="C60" s="16"/>
      <c r="D60" s="17" t="s">
        <v>10</v>
      </c>
      <c r="E60" s="42" t="s">
        <v>45</v>
      </c>
      <c r="F60" s="86" t="s">
        <v>50</v>
      </c>
      <c r="G60" s="10">
        <v>14</v>
      </c>
      <c r="H60" s="10">
        <v>24</v>
      </c>
      <c r="I60" s="10">
        <v>37</v>
      </c>
      <c r="J60" s="10">
        <v>47</v>
      </c>
      <c r="K60" s="10">
        <v>57</v>
      </c>
      <c r="L60" s="10">
        <v>72</v>
      </c>
      <c r="M60" s="10">
        <v>82</v>
      </c>
      <c r="N60" s="10" t="s">
        <v>62</v>
      </c>
      <c r="O60" s="10" t="s">
        <v>62</v>
      </c>
      <c r="P60" s="10" t="s">
        <v>62</v>
      </c>
      <c r="Q60" s="10" t="s">
        <v>62</v>
      </c>
      <c r="R60" s="10"/>
      <c r="S60" s="10"/>
      <c r="T60" s="10"/>
    </row>
    <row r="61" spans="1:20" ht="19.149999999999999" customHeight="1" x14ac:dyDescent="0.2">
      <c r="A61" s="1"/>
      <c r="B61" s="11" t="s">
        <v>4</v>
      </c>
      <c r="C61" s="15">
        <v>1</v>
      </c>
      <c r="D61" s="13" t="s">
        <v>10</v>
      </c>
      <c r="E61" s="41" t="s">
        <v>44</v>
      </c>
      <c r="F61" s="82" t="s">
        <v>43</v>
      </c>
      <c r="G61" s="9">
        <v>21</v>
      </c>
      <c r="H61" s="9">
        <v>33</v>
      </c>
      <c r="I61" s="9">
        <v>48</v>
      </c>
      <c r="J61" s="9">
        <v>60</v>
      </c>
      <c r="K61" s="9">
        <v>71</v>
      </c>
      <c r="L61" s="9">
        <v>87</v>
      </c>
      <c r="M61" s="9" t="s">
        <v>65</v>
      </c>
      <c r="N61" s="9" t="s">
        <v>62</v>
      </c>
      <c r="O61" s="9" t="s">
        <v>62</v>
      </c>
      <c r="P61" s="9" t="s">
        <v>62</v>
      </c>
      <c r="Q61" s="9" t="s">
        <v>62</v>
      </c>
      <c r="R61" s="9"/>
      <c r="S61" s="9"/>
      <c r="T61" s="9"/>
    </row>
    <row r="62" spans="1:20" ht="19.149999999999999" customHeight="1" x14ac:dyDescent="0.2">
      <c r="B62" s="58"/>
      <c r="C62" s="59"/>
      <c r="D62" s="79" t="s">
        <v>34</v>
      </c>
      <c r="E62" s="80" t="s">
        <v>44</v>
      </c>
      <c r="F62" s="85" t="s">
        <v>43</v>
      </c>
      <c r="G62" s="49">
        <v>18</v>
      </c>
      <c r="H62" s="49">
        <v>29</v>
      </c>
      <c r="I62" s="49">
        <v>45</v>
      </c>
      <c r="J62" s="49">
        <v>57</v>
      </c>
      <c r="K62" s="49">
        <v>69</v>
      </c>
      <c r="L62" s="49">
        <v>89</v>
      </c>
      <c r="M62" s="49">
        <v>94</v>
      </c>
      <c r="N62" s="49" t="s">
        <v>62</v>
      </c>
      <c r="O62" s="49" t="s">
        <v>62</v>
      </c>
      <c r="P62" s="49" t="s">
        <v>62</v>
      </c>
      <c r="Q62" s="49" t="s">
        <v>62</v>
      </c>
      <c r="R62" s="49"/>
      <c r="S62" s="49"/>
      <c r="T62" s="49"/>
    </row>
    <row r="63" spans="1:20" ht="19.149999999999999" customHeight="1" thickBot="1" x14ac:dyDescent="0.25">
      <c r="B63" s="14"/>
      <c r="C63" s="16"/>
      <c r="D63" s="17" t="s">
        <v>11</v>
      </c>
      <c r="E63" s="42" t="s">
        <v>44</v>
      </c>
      <c r="F63" s="86" t="s">
        <v>43</v>
      </c>
      <c r="G63" s="10">
        <v>17</v>
      </c>
      <c r="H63" s="10">
        <v>28</v>
      </c>
      <c r="I63" s="10">
        <v>42</v>
      </c>
      <c r="J63" s="10">
        <v>52</v>
      </c>
      <c r="K63" s="10">
        <v>64</v>
      </c>
      <c r="L63" s="10">
        <v>83</v>
      </c>
      <c r="M63" s="10">
        <v>88</v>
      </c>
      <c r="N63" s="10" t="s">
        <v>62</v>
      </c>
      <c r="O63" s="10" t="s">
        <v>62</v>
      </c>
      <c r="P63" s="10" t="s">
        <v>62</v>
      </c>
      <c r="Q63" s="10" t="s">
        <v>62</v>
      </c>
      <c r="R63" s="10"/>
      <c r="S63" s="10"/>
      <c r="T63" s="10"/>
    </row>
    <row r="64" spans="1:20" ht="19.149999999999999" customHeight="1" x14ac:dyDescent="0.2">
      <c r="B64" s="11" t="s">
        <v>4</v>
      </c>
      <c r="C64" s="15">
        <v>2</v>
      </c>
      <c r="D64" s="13" t="s">
        <v>10</v>
      </c>
      <c r="E64" s="41" t="s">
        <v>46</v>
      </c>
      <c r="F64" s="82" t="s">
        <v>43</v>
      </c>
      <c r="G64" s="9">
        <v>19</v>
      </c>
      <c r="H64" s="9">
        <v>29</v>
      </c>
      <c r="I64" s="9">
        <v>42</v>
      </c>
      <c r="J64" s="9">
        <v>52</v>
      </c>
      <c r="K64" s="9">
        <v>64</v>
      </c>
      <c r="L64" s="9">
        <v>84</v>
      </c>
      <c r="M64" s="9">
        <v>91</v>
      </c>
      <c r="N64" s="9" t="s">
        <v>62</v>
      </c>
      <c r="O64" s="9" t="s">
        <v>62</v>
      </c>
      <c r="P64" s="9" t="s">
        <v>62</v>
      </c>
      <c r="Q64" s="9" t="s">
        <v>62</v>
      </c>
      <c r="R64" s="9"/>
      <c r="S64" s="9"/>
      <c r="T64" s="9"/>
    </row>
    <row r="65" spans="2:20" ht="19.149999999999999" customHeight="1" x14ac:dyDescent="0.2">
      <c r="B65" s="58"/>
      <c r="C65" s="59"/>
      <c r="D65" s="79" t="s">
        <v>34</v>
      </c>
      <c r="E65" s="80" t="s">
        <v>46</v>
      </c>
      <c r="F65" s="85" t="s">
        <v>43</v>
      </c>
      <c r="G65" s="49">
        <v>15</v>
      </c>
      <c r="H65" s="49">
        <v>26</v>
      </c>
      <c r="I65" s="49">
        <v>40</v>
      </c>
      <c r="J65" s="49">
        <v>51</v>
      </c>
      <c r="K65" s="49">
        <v>63</v>
      </c>
      <c r="L65" s="49">
        <v>81</v>
      </c>
      <c r="M65" s="49">
        <v>88</v>
      </c>
      <c r="N65" s="49" t="s">
        <v>62</v>
      </c>
      <c r="O65" s="49" t="s">
        <v>62</v>
      </c>
      <c r="P65" s="49" t="s">
        <v>62</v>
      </c>
      <c r="Q65" s="49" t="s">
        <v>62</v>
      </c>
      <c r="R65" s="49"/>
      <c r="S65" s="49"/>
      <c r="T65" s="49"/>
    </row>
    <row r="66" spans="2:20" ht="19.149999999999999" customHeight="1" thickBot="1" x14ac:dyDescent="0.25">
      <c r="B66" s="14"/>
      <c r="C66" s="16"/>
      <c r="D66" s="17" t="s">
        <v>11</v>
      </c>
      <c r="E66" s="42" t="s">
        <v>46</v>
      </c>
      <c r="F66" s="86" t="s">
        <v>43</v>
      </c>
      <c r="G66" s="10">
        <v>15</v>
      </c>
      <c r="H66" s="10">
        <v>23</v>
      </c>
      <c r="I66" s="10">
        <v>32</v>
      </c>
      <c r="J66" s="10">
        <v>39</v>
      </c>
      <c r="K66" s="10">
        <v>53</v>
      </c>
      <c r="L66" s="10">
        <v>76</v>
      </c>
      <c r="M66" s="10">
        <v>83</v>
      </c>
      <c r="N66" s="10">
        <v>95</v>
      </c>
      <c r="O66" s="10" t="s">
        <v>62</v>
      </c>
      <c r="P66" s="10" t="s">
        <v>62</v>
      </c>
      <c r="Q66" s="10" t="s">
        <v>62</v>
      </c>
      <c r="R66" s="10"/>
      <c r="S66" s="10"/>
      <c r="T66" s="10"/>
    </row>
    <row r="67" spans="2:20" ht="19.149999999999999" customHeight="1" x14ac:dyDescent="0.2">
      <c r="B67" s="11" t="s">
        <v>4</v>
      </c>
      <c r="C67" s="15">
        <v>3</v>
      </c>
      <c r="D67" s="13" t="s">
        <v>10</v>
      </c>
      <c r="E67" s="41" t="s">
        <v>49</v>
      </c>
      <c r="F67" s="82" t="s">
        <v>43</v>
      </c>
      <c r="G67" s="9">
        <v>16</v>
      </c>
      <c r="H67" s="9">
        <v>24</v>
      </c>
      <c r="I67" s="9">
        <v>34</v>
      </c>
      <c r="J67" s="9">
        <v>42</v>
      </c>
      <c r="K67" s="9">
        <v>53</v>
      </c>
      <c r="L67" s="9">
        <v>73</v>
      </c>
      <c r="M67" s="9">
        <v>79</v>
      </c>
      <c r="N67" s="9">
        <v>91</v>
      </c>
      <c r="O67" s="9" t="s">
        <v>62</v>
      </c>
      <c r="P67" s="9" t="s">
        <v>62</v>
      </c>
      <c r="Q67" s="9" t="s">
        <v>62</v>
      </c>
      <c r="R67" s="9"/>
      <c r="S67" s="9"/>
      <c r="T67" s="9"/>
    </row>
    <row r="68" spans="2:20" ht="19.149999999999999" customHeight="1" x14ac:dyDescent="0.2">
      <c r="B68" s="58"/>
      <c r="C68" s="59"/>
      <c r="D68" s="79" t="s">
        <v>34</v>
      </c>
      <c r="E68" s="80" t="s">
        <v>49</v>
      </c>
      <c r="F68" s="85" t="s">
        <v>43</v>
      </c>
      <c r="G68" s="49">
        <v>10</v>
      </c>
      <c r="H68" s="49">
        <v>13</v>
      </c>
      <c r="I68" s="49">
        <v>19</v>
      </c>
      <c r="J68" s="49">
        <v>23</v>
      </c>
      <c r="K68" s="49">
        <v>31</v>
      </c>
      <c r="L68" s="49">
        <v>43</v>
      </c>
      <c r="M68" s="49">
        <v>52</v>
      </c>
      <c r="N68" s="49">
        <v>68</v>
      </c>
      <c r="O68" s="49">
        <v>78</v>
      </c>
      <c r="P68" s="49">
        <v>94</v>
      </c>
      <c r="Q68" s="49" t="s">
        <v>62</v>
      </c>
      <c r="R68" s="49"/>
      <c r="S68" s="49"/>
      <c r="T68" s="49"/>
    </row>
    <row r="69" spans="2:20" ht="19.149999999999999" customHeight="1" thickBot="1" x14ac:dyDescent="0.25">
      <c r="B69" s="14"/>
      <c r="C69" s="16"/>
      <c r="D69" s="17" t="s">
        <v>11</v>
      </c>
      <c r="E69" s="42" t="s">
        <v>49</v>
      </c>
      <c r="F69" s="86" t="s">
        <v>43</v>
      </c>
      <c r="G69" s="10">
        <v>15</v>
      </c>
      <c r="H69" s="10">
        <v>27</v>
      </c>
      <c r="I69" s="10">
        <v>41</v>
      </c>
      <c r="J69" s="10">
        <v>53</v>
      </c>
      <c r="K69" s="10">
        <v>63</v>
      </c>
      <c r="L69" s="10">
        <v>77</v>
      </c>
      <c r="M69" s="10">
        <v>85</v>
      </c>
      <c r="N69" s="10">
        <v>99</v>
      </c>
      <c r="O69" s="10" t="s">
        <v>62</v>
      </c>
      <c r="P69" s="10" t="s">
        <v>62</v>
      </c>
      <c r="Q69" s="10" t="s">
        <v>62</v>
      </c>
      <c r="R69" s="10"/>
      <c r="S69" s="10"/>
      <c r="T69" s="10"/>
    </row>
    <row r="70" spans="2:20" ht="19.149999999999999" customHeight="1" x14ac:dyDescent="0.2">
      <c r="B70" s="11" t="s">
        <v>4</v>
      </c>
      <c r="C70" s="15">
        <v>4</v>
      </c>
      <c r="D70" s="13" t="s">
        <v>10</v>
      </c>
      <c r="E70" s="41" t="s">
        <v>47</v>
      </c>
      <c r="F70" s="82" t="s">
        <v>43</v>
      </c>
      <c r="G70" s="9">
        <v>14</v>
      </c>
      <c r="H70" s="9">
        <v>23</v>
      </c>
      <c r="I70" s="9">
        <v>34</v>
      </c>
      <c r="J70" s="9">
        <v>43</v>
      </c>
      <c r="K70" s="9">
        <v>55</v>
      </c>
      <c r="L70" s="9">
        <v>74</v>
      </c>
      <c r="M70" s="9">
        <v>80</v>
      </c>
      <c r="N70" s="9">
        <v>91</v>
      </c>
      <c r="O70" s="9" t="s">
        <v>62</v>
      </c>
      <c r="P70" s="9" t="s">
        <v>62</v>
      </c>
      <c r="Q70" s="9" t="s">
        <v>62</v>
      </c>
      <c r="R70" s="9"/>
      <c r="S70" s="9"/>
      <c r="T70" s="9"/>
    </row>
    <row r="71" spans="2:20" ht="19.149999999999999" customHeight="1" x14ac:dyDescent="0.2">
      <c r="B71" s="58"/>
      <c r="C71" s="59"/>
      <c r="D71" s="79" t="s">
        <v>34</v>
      </c>
      <c r="E71" s="80" t="s">
        <v>47</v>
      </c>
      <c r="F71" s="85" t="s">
        <v>43</v>
      </c>
      <c r="G71" s="49">
        <v>16</v>
      </c>
      <c r="H71" s="49">
        <v>27</v>
      </c>
      <c r="I71" s="49">
        <v>39</v>
      </c>
      <c r="J71" s="49">
        <v>50</v>
      </c>
      <c r="K71" s="49">
        <v>63</v>
      </c>
      <c r="L71" s="49">
        <v>83</v>
      </c>
      <c r="M71" s="49">
        <v>86</v>
      </c>
      <c r="N71" s="49">
        <v>97</v>
      </c>
      <c r="O71" s="49" t="s">
        <v>62</v>
      </c>
      <c r="P71" s="49" t="s">
        <v>62</v>
      </c>
      <c r="Q71" s="49" t="s">
        <v>62</v>
      </c>
      <c r="R71" s="49"/>
      <c r="S71" s="49"/>
      <c r="T71" s="49"/>
    </row>
    <row r="72" spans="2:20" ht="19.149999999999999" customHeight="1" thickBot="1" x14ac:dyDescent="0.25">
      <c r="B72" s="14"/>
      <c r="C72" s="16"/>
      <c r="D72" s="17" t="s">
        <v>11</v>
      </c>
      <c r="E72" s="42" t="s">
        <v>47</v>
      </c>
      <c r="F72" s="86" t="s">
        <v>43</v>
      </c>
      <c r="G72" s="10">
        <v>13</v>
      </c>
      <c r="H72" s="10">
        <v>21</v>
      </c>
      <c r="I72" s="10">
        <v>29</v>
      </c>
      <c r="J72" s="10">
        <v>37</v>
      </c>
      <c r="K72" s="10">
        <v>49</v>
      </c>
      <c r="L72" s="10">
        <v>65</v>
      </c>
      <c r="M72" s="10">
        <v>71</v>
      </c>
      <c r="N72" s="10">
        <v>82</v>
      </c>
      <c r="O72" s="10">
        <v>90</v>
      </c>
      <c r="P72" s="10" t="s">
        <v>62</v>
      </c>
      <c r="Q72" s="10" t="s">
        <v>62</v>
      </c>
      <c r="R72" s="10"/>
      <c r="S72" s="10"/>
      <c r="T72" s="10"/>
    </row>
    <row r="73" spans="2:20" ht="19.149999999999999" customHeight="1" x14ac:dyDescent="0.2">
      <c r="B73" s="11" t="s">
        <v>5</v>
      </c>
      <c r="C73" s="15">
        <v>4</v>
      </c>
      <c r="D73" s="13" t="s">
        <v>11</v>
      </c>
      <c r="E73" s="41" t="s">
        <v>47</v>
      </c>
      <c r="F73" s="82" t="s">
        <v>50</v>
      </c>
      <c r="G73" s="9">
        <v>15</v>
      </c>
      <c r="H73" s="9">
        <v>24</v>
      </c>
      <c r="I73" s="9">
        <v>35</v>
      </c>
      <c r="J73" s="9">
        <v>44</v>
      </c>
      <c r="K73" s="9">
        <v>56</v>
      </c>
      <c r="L73" s="9">
        <v>74</v>
      </c>
      <c r="M73" s="9">
        <v>77</v>
      </c>
      <c r="N73" s="9">
        <v>83</v>
      </c>
      <c r="O73" s="9">
        <v>89</v>
      </c>
      <c r="P73" s="9" t="s">
        <v>62</v>
      </c>
      <c r="Q73" s="9" t="s">
        <v>62</v>
      </c>
      <c r="R73" s="9"/>
      <c r="S73" s="9"/>
      <c r="T73" s="9"/>
    </row>
    <row r="74" spans="2:20" ht="19.149999999999999" customHeight="1" x14ac:dyDescent="0.2">
      <c r="B74" s="58"/>
      <c r="C74" s="59"/>
      <c r="D74" s="79" t="s">
        <v>34</v>
      </c>
      <c r="E74" s="80" t="s">
        <v>47</v>
      </c>
      <c r="F74" s="85" t="s">
        <v>50</v>
      </c>
      <c r="G74" s="49">
        <v>11</v>
      </c>
      <c r="H74" s="49">
        <v>18</v>
      </c>
      <c r="I74" s="49">
        <v>26</v>
      </c>
      <c r="J74" s="49">
        <v>33</v>
      </c>
      <c r="K74" s="49">
        <v>47</v>
      </c>
      <c r="L74" s="49">
        <v>67</v>
      </c>
      <c r="M74" s="49">
        <v>73</v>
      </c>
      <c r="N74" s="49">
        <v>84</v>
      </c>
      <c r="O74" s="49">
        <v>93</v>
      </c>
      <c r="P74" s="49" t="s">
        <v>62</v>
      </c>
      <c r="Q74" s="49" t="s">
        <v>62</v>
      </c>
      <c r="R74" s="49"/>
      <c r="S74" s="49"/>
      <c r="T74" s="49"/>
    </row>
    <row r="75" spans="2:20" ht="19.149999999999999" customHeight="1" thickBot="1" x14ac:dyDescent="0.25">
      <c r="B75" s="14"/>
      <c r="C75" s="16"/>
      <c r="D75" s="17" t="s">
        <v>10</v>
      </c>
      <c r="E75" s="42" t="s">
        <v>47</v>
      </c>
      <c r="F75" s="86" t="s">
        <v>50</v>
      </c>
      <c r="G75" s="10">
        <v>10</v>
      </c>
      <c r="H75" s="10">
        <v>19</v>
      </c>
      <c r="I75" s="10">
        <v>31</v>
      </c>
      <c r="J75" s="10">
        <v>42</v>
      </c>
      <c r="K75" s="10">
        <v>57</v>
      </c>
      <c r="L75" s="10">
        <v>79</v>
      </c>
      <c r="M75" s="10">
        <v>80</v>
      </c>
      <c r="N75" s="10">
        <v>85</v>
      </c>
      <c r="O75" s="10">
        <v>90</v>
      </c>
      <c r="P75" s="10" t="s">
        <v>62</v>
      </c>
      <c r="Q75" s="10" t="s">
        <v>62</v>
      </c>
      <c r="R75" s="10"/>
      <c r="S75" s="10"/>
      <c r="T75" s="10"/>
    </row>
    <row r="76" spans="2:20" ht="19.149999999999999" customHeight="1" x14ac:dyDescent="0.2">
      <c r="B76" s="11" t="s">
        <v>5</v>
      </c>
      <c r="C76" s="15">
        <v>3</v>
      </c>
      <c r="D76" s="13" t="s">
        <v>11</v>
      </c>
      <c r="E76" s="41" t="s">
        <v>49</v>
      </c>
      <c r="F76" s="82" t="s">
        <v>50</v>
      </c>
      <c r="G76" s="9">
        <v>13</v>
      </c>
      <c r="H76" s="9">
        <v>25</v>
      </c>
      <c r="I76" s="9">
        <v>39</v>
      </c>
      <c r="J76" s="9">
        <v>51</v>
      </c>
      <c r="K76" s="9">
        <v>64</v>
      </c>
      <c r="L76" s="9">
        <v>83</v>
      </c>
      <c r="M76" s="9">
        <v>90</v>
      </c>
      <c r="N76" s="9" t="s">
        <v>62</v>
      </c>
      <c r="O76" s="9" t="s">
        <v>62</v>
      </c>
      <c r="P76" s="9" t="s">
        <v>62</v>
      </c>
      <c r="Q76" s="9" t="s">
        <v>62</v>
      </c>
      <c r="R76" s="9"/>
      <c r="S76" s="9"/>
      <c r="T76" s="9"/>
    </row>
    <row r="77" spans="2:20" ht="19.149999999999999" customHeight="1" x14ac:dyDescent="0.2">
      <c r="B77" s="58"/>
      <c r="C77" s="59"/>
      <c r="D77" s="79" t="s">
        <v>34</v>
      </c>
      <c r="E77" s="80" t="s">
        <v>49</v>
      </c>
      <c r="F77" s="85" t="s">
        <v>50</v>
      </c>
      <c r="G77" s="49">
        <v>10</v>
      </c>
      <c r="H77" s="49">
        <v>18</v>
      </c>
      <c r="I77" s="49">
        <v>29</v>
      </c>
      <c r="J77" s="49">
        <v>37</v>
      </c>
      <c r="K77" s="49">
        <v>54</v>
      </c>
      <c r="L77" s="49">
        <v>78</v>
      </c>
      <c r="M77" s="49">
        <v>84</v>
      </c>
      <c r="N77" s="49">
        <v>95</v>
      </c>
      <c r="O77" s="49" t="s">
        <v>62</v>
      </c>
      <c r="P77" s="49" t="s">
        <v>62</v>
      </c>
      <c r="Q77" s="49" t="s">
        <v>62</v>
      </c>
      <c r="R77" s="49"/>
      <c r="S77" s="49"/>
      <c r="T77" s="49"/>
    </row>
    <row r="78" spans="2:20" ht="19.149999999999999" customHeight="1" thickBot="1" x14ac:dyDescent="0.25">
      <c r="B78" s="14"/>
      <c r="C78" s="16"/>
      <c r="D78" s="17" t="s">
        <v>10</v>
      </c>
      <c r="E78" s="42" t="s">
        <v>49</v>
      </c>
      <c r="F78" s="86" t="s">
        <v>50</v>
      </c>
      <c r="G78" s="10">
        <v>12</v>
      </c>
      <c r="H78" s="10">
        <v>23</v>
      </c>
      <c r="I78" s="10">
        <v>37</v>
      </c>
      <c r="J78" s="10">
        <v>48</v>
      </c>
      <c r="K78" s="10">
        <v>62</v>
      </c>
      <c r="L78" s="10">
        <v>83</v>
      </c>
      <c r="M78" s="10">
        <v>89</v>
      </c>
      <c r="N78" s="10" t="s">
        <v>62</v>
      </c>
      <c r="O78" s="10" t="s">
        <v>62</v>
      </c>
      <c r="P78" s="10" t="s">
        <v>62</v>
      </c>
      <c r="Q78" s="10" t="s">
        <v>62</v>
      </c>
      <c r="R78" s="10"/>
      <c r="S78" s="10"/>
      <c r="T78" s="10"/>
    </row>
    <row r="79" spans="2:20" ht="19.149999999999999" customHeight="1" x14ac:dyDescent="0.2">
      <c r="B79" s="11" t="s">
        <v>5</v>
      </c>
      <c r="C79" s="15">
        <v>2</v>
      </c>
      <c r="D79" s="13" t="s">
        <v>11</v>
      </c>
      <c r="E79" s="41" t="s">
        <v>46</v>
      </c>
      <c r="F79" s="82" t="s">
        <v>50</v>
      </c>
      <c r="G79" s="9">
        <v>13</v>
      </c>
      <c r="H79" s="9">
        <v>23</v>
      </c>
      <c r="I79" s="9">
        <v>34</v>
      </c>
      <c r="J79" s="9">
        <v>44</v>
      </c>
      <c r="K79" s="9">
        <v>57</v>
      </c>
      <c r="L79" s="9">
        <v>76</v>
      </c>
      <c r="M79" s="9">
        <v>85</v>
      </c>
      <c r="N79" s="9">
        <v>96</v>
      </c>
      <c r="O79" s="9" t="s">
        <v>62</v>
      </c>
      <c r="P79" s="9" t="s">
        <v>62</v>
      </c>
      <c r="Q79" s="9" t="s">
        <v>62</v>
      </c>
      <c r="R79" s="9"/>
      <c r="S79" s="9"/>
      <c r="T79" s="9"/>
    </row>
    <row r="80" spans="2:20" ht="19.149999999999999" customHeight="1" x14ac:dyDescent="0.2">
      <c r="B80" s="58"/>
      <c r="C80" s="59"/>
      <c r="D80" s="79" t="s">
        <v>34</v>
      </c>
      <c r="E80" s="80" t="s">
        <v>46</v>
      </c>
      <c r="F80" s="85" t="s">
        <v>50</v>
      </c>
      <c r="G80" s="49">
        <v>11</v>
      </c>
      <c r="H80" s="49">
        <v>22</v>
      </c>
      <c r="I80" s="49">
        <v>36</v>
      </c>
      <c r="J80" s="49">
        <v>47</v>
      </c>
      <c r="K80" s="49">
        <v>61</v>
      </c>
      <c r="L80" s="49">
        <v>81</v>
      </c>
      <c r="M80" s="49">
        <v>87</v>
      </c>
      <c r="N80" s="49">
        <v>98</v>
      </c>
      <c r="O80" s="49" t="s">
        <v>62</v>
      </c>
      <c r="P80" s="49" t="s">
        <v>62</v>
      </c>
      <c r="Q80" s="49" t="s">
        <v>62</v>
      </c>
      <c r="R80" s="49"/>
      <c r="S80" s="49"/>
      <c r="T80" s="49"/>
    </row>
    <row r="81" spans="2:20" ht="19.149999999999999" customHeight="1" thickBot="1" x14ac:dyDescent="0.25">
      <c r="B81" s="14"/>
      <c r="C81" s="16"/>
      <c r="D81" s="17" t="s">
        <v>10</v>
      </c>
      <c r="E81" s="42" t="s">
        <v>46</v>
      </c>
      <c r="F81" s="86" t="s">
        <v>50</v>
      </c>
      <c r="G81" s="10">
        <v>12</v>
      </c>
      <c r="H81" s="10">
        <v>24</v>
      </c>
      <c r="I81" s="10">
        <v>38</v>
      </c>
      <c r="J81" s="10">
        <v>50</v>
      </c>
      <c r="K81" s="10">
        <v>66</v>
      </c>
      <c r="L81" s="10">
        <v>89</v>
      </c>
      <c r="M81" s="10">
        <v>95</v>
      </c>
      <c r="N81" s="10" t="s">
        <v>62</v>
      </c>
      <c r="O81" s="10" t="s">
        <v>62</v>
      </c>
      <c r="P81" s="10" t="s">
        <v>62</v>
      </c>
      <c r="Q81" s="10" t="s">
        <v>62</v>
      </c>
      <c r="R81" s="10"/>
      <c r="S81" s="10"/>
      <c r="T81" s="10"/>
    </row>
    <row r="82" spans="2:20" ht="19.149999999999999" customHeight="1" x14ac:dyDescent="0.2">
      <c r="B82" s="11" t="s">
        <v>5</v>
      </c>
      <c r="C82" s="15">
        <v>1</v>
      </c>
      <c r="D82" s="13" t="s">
        <v>11</v>
      </c>
      <c r="E82" s="41" t="s">
        <v>44</v>
      </c>
      <c r="F82" s="82" t="s">
        <v>50</v>
      </c>
      <c r="G82" s="9">
        <v>12</v>
      </c>
      <c r="H82" s="9">
        <v>25</v>
      </c>
      <c r="I82" s="9">
        <v>40</v>
      </c>
      <c r="J82" s="9">
        <v>52</v>
      </c>
      <c r="K82" s="9">
        <v>65</v>
      </c>
      <c r="L82" s="9">
        <v>85</v>
      </c>
      <c r="M82" s="9">
        <v>89</v>
      </c>
      <c r="N82" s="9">
        <v>97</v>
      </c>
      <c r="O82" s="9" t="s">
        <v>62</v>
      </c>
      <c r="P82" s="9" t="s">
        <v>62</v>
      </c>
      <c r="Q82" s="9" t="s">
        <v>62</v>
      </c>
      <c r="R82" s="9"/>
      <c r="S82" s="9"/>
      <c r="T82" s="9"/>
    </row>
    <row r="83" spans="2:20" ht="19.149999999999999" customHeight="1" x14ac:dyDescent="0.2">
      <c r="B83" s="58"/>
      <c r="C83" s="59"/>
      <c r="D83" s="79" t="s">
        <v>34</v>
      </c>
      <c r="E83" s="80" t="s">
        <v>44</v>
      </c>
      <c r="F83" s="85" t="s">
        <v>50</v>
      </c>
      <c r="G83" s="49">
        <v>13</v>
      </c>
      <c r="H83" s="49">
        <v>26</v>
      </c>
      <c r="I83" s="49">
        <v>41</v>
      </c>
      <c r="J83" s="49">
        <v>54</v>
      </c>
      <c r="K83" s="49">
        <v>67</v>
      </c>
      <c r="L83" s="49">
        <v>87</v>
      </c>
      <c r="M83" s="49">
        <v>93</v>
      </c>
      <c r="N83" s="49" t="s">
        <v>62</v>
      </c>
      <c r="O83" s="49" t="s">
        <v>62</v>
      </c>
      <c r="P83" s="49" t="s">
        <v>62</v>
      </c>
      <c r="Q83" s="49" t="s">
        <v>62</v>
      </c>
      <c r="R83" s="49"/>
      <c r="S83" s="49"/>
      <c r="T83" s="49"/>
    </row>
    <row r="84" spans="2:20" ht="19.149999999999999" customHeight="1" thickBot="1" x14ac:dyDescent="0.25">
      <c r="B84" s="14"/>
      <c r="C84" s="16"/>
      <c r="D84" s="17" t="s">
        <v>10</v>
      </c>
      <c r="E84" s="42" t="s">
        <v>44</v>
      </c>
      <c r="F84" s="86" t="s">
        <v>50</v>
      </c>
      <c r="G84" s="10">
        <v>15</v>
      </c>
      <c r="H84" s="10">
        <v>26</v>
      </c>
      <c r="I84" s="10">
        <v>39</v>
      </c>
      <c r="J84" s="10">
        <v>49</v>
      </c>
      <c r="K84" s="10">
        <v>59</v>
      </c>
      <c r="L84" s="10">
        <v>76</v>
      </c>
      <c r="M84" s="10">
        <v>83</v>
      </c>
      <c r="N84" s="10">
        <v>97</v>
      </c>
      <c r="O84" s="10" t="s">
        <v>62</v>
      </c>
      <c r="P84" s="10" t="s">
        <v>62</v>
      </c>
      <c r="Q84" s="10" t="s">
        <v>62</v>
      </c>
      <c r="R84" s="10"/>
      <c r="S84" s="10"/>
      <c r="T84" s="10"/>
    </row>
    <row r="85" spans="2:20" ht="19.149999999999999" customHeight="1" x14ac:dyDescent="0.2">
      <c r="B85" s="11" t="s">
        <v>35</v>
      </c>
      <c r="C85" s="15">
        <v>1</v>
      </c>
      <c r="D85" s="30" t="s">
        <v>10</v>
      </c>
      <c r="E85" s="41" t="s">
        <v>47</v>
      </c>
      <c r="F85" s="82" t="s">
        <v>50</v>
      </c>
      <c r="G85" s="9">
        <v>10</v>
      </c>
      <c r="H85" s="9">
        <v>20</v>
      </c>
      <c r="I85" s="9">
        <v>32</v>
      </c>
      <c r="J85" s="9">
        <v>41</v>
      </c>
      <c r="K85" s="9">
        <v>52</v>
      </c>
      <c r="L85" s="9">
        <v>71</v>
      </c>
      <c r="M85" s="9">
        <v>76</v>
      </c>
      <c r="N85" s="9">
        <v>89</v>
      </c>
      <c r="O85" s="9">
        <v>95</v>
      </c>
      <c r="P85" s="9" t="s">
        <v>62</v>
      </c>
      <c r="Q85" s="9" t="s">
        <v>62</v>
      </c>
      <c r="R85" s="9"/>
      <c r="S85" s="9"/>
      <c r="T85" s="9"/>
    </row>
    <row r="86" spans="2:20" ht="19.149999999999999" customHeight="1" x14ac:dyDescent="0.2">
      <c r="B86" s="58"/>
      <c r="C86" s="59"/>
      <c r="D86" s="79" t="s">
        <v>34</v>
      </c>
      <c r="E86" s="80" t="s">
        <v>47</v>
      </c>
      <c r="F86" s="85" t="s">
        <v>50</v>
      </c>
      <c r="G86" s="49">
        <v>12</v>
      </c>
      <c r="H86" s="49">
        <v>19</v>
      </c>
      <c r="I86" s="49">
        <v>30</v>
      </c>
      <c r="J86" s="49">
        <v>39</v>
      </c>
      <c r="K86" s="49">
        <v>51</v>
      </c>
      <c r="L86" s="49">
        <v>71</v>
      </c>
      <c r="M86" s="49">
        <v>74</v>
      </c>
      <c r="N86" s="49">
        <v>82</v>
      </c>
      <c r="O86" s="49">
        <v>90</v>
      </c>
      <c r="P86" s="49" t="s">
        <v>62</v>
      </c>
      <c r="Q86" s="49" t="s">
        <v>62</v>
      </c>
      <c r="R86" s="49"/>
      <c r="S86" s="49"/>
      <c r="T86" s="49"/>
    </row>
    <row r="87" spans="2:20" ht="19.149999999999999" customHeight="1" thickBot="1" x14ac:dyDescent="0.25">
      <c r="B87" s="14"/>
      <c r="C87" s="16"/>
      <c r="D87" s="31" t="s">
        <v>11</v>
      </c>
      <c r="E87" s="42" t="s">
        <v>47</v>
      </c>
      <c r="F87" s="86" t="s">
        <v>50</v>
      </c>
      <c r="G87" s="10">
        <v>11</v>
      </c>
      <c r="H87" s="10">
        <v>20</v>
      </c>
      <c r="I87" s="10">
        <v>31</v>
      </c>
      <c r="J87" s="10">
        <v>40</v>
      </c>
      <c r="K87" s="10">
        <v>49</v>
      </c>
      <c r="L87" s="10">
        <v>63</v>
      </c>
      <c r="M87" s="10">
        <v>70</v>
      </c>
      <c r="N87" s="10">
        <v>82</v>
      </c>
      <c r="O87" s="10">
        <v>89</v>
      </c>
      <c r="P87" s="10" t="s">
        <v>62</v>
      </c>
      <c r="Q87" s="10" t="s">
        <v>62</v>
      </c>
      <c r="R87" s="10"/>
      <c r="S87" s="10"/>
      <c r="T87" s="10"/>
    </row>
    <row r="88" spans="2:20" ht="19.149999999999999" customHeight="1" x14ac:dyDescent="0.2">
      <c r="B88" s="11" t="s">
        <v>35</v>
      </c>
      <c r="C88" s="15">
        <v>2</v>
      </c>
      <c r="D88" s="13" t="s">
        <v>10</v>
      </c>
      <c r="E88" s="41" t="s">
        <v>45</v>
      </c>
      <c r="F88" s="82" t="s">
        <v>50</v>
      </c>
      <c r="G88" s="9">
        <v>11</v>
      </c>
      <c r="H88" s="9">
        <v>20</v>
      </c>
      <c r="I88" s="9">
        <v>32</v>
      </c>
      <c r="J88" s="9">
        <v>40</v>
      </c>
      <c r="K88" s="9">
        <v>52</v>
      </c>
      <c r="L88" s="9">
        <v>71</v>
      </c>
      <c r="M88" s="9">
        <v>80</v>
      </c>
      <c r="N88" s="9">
        <v>95</v>
      </c>
      <c r="O88" s="9" t="s">
        <v>62</v>
      </c>
      <c r="P88" s="9" t="s">
        <v>62</v>
      </c>
      <c r="Q88" s="9" t="s">
        <v>62</v>
      </c>
      <c r="R88" s="9"/>
      <c r="S88" s="9"/>
      <c r="T88" s="9"/>
    </row>
    <row r="89" spans="2:20" ht="19.149999999999999" customHeight="1" x14ac:dyDescent="0.2">
      <c r="B89" s="58"/>
      <c r="C89" s="59"/>
      <c r="D89" s="79" t="s">
        <v>34</v>
      </c>
      <c r="E89" s="80" t="s">
        <v>45</v>
      </c>
      <c r="F89" s="85" t="s">
        <v>50</v>
      </c>
      <c r="G89" s="49">
        <v>10</v>
      </c>
      <c r="H89" s="49">
        <v>17</v>
      </c>
      <c r="I89" s="49">
        <v>25</v>
      </c>
      <c r="J89" s="49">
        <v>32</v>
      </c>
      <c r="K89" s="49">
        <v>49</v>
      </c>
      <c r="L89" s="49">
        <v>72</v>
      </c>
      <c r="M89" s="49">
        <v>81</v>
      </c>
      <c r="N89" s="49">
        <v>98</v>
      </c>
      <c r="O89" s="49" t="s">
        <v>62</v>
      </c>
      <c r="P89" s="49" t="s">
        <v>62</v>
      </c>
      <c r="Q89" s="49" t="s">
        <v>62</v>
      </c>
      <c r="R89" s="49"/>
      <c r="S89" s="49"/>
      <c r="T89" s="49"/>
    </row>
    <row r="90" spans="2:20" ht="19.149999999999999" customHeight="1" thickBot="1" x14ac:dyDescent="0.25">
      <c r="B90" s="14"/>
      <c r="C90" s="16"/>
      <c r="D90" s="17" t="s">
        <v>11</v>
      </c>
      <c r="E90" s="42" t="s">
        <v>45</v>
      </c>
      <c r="F90" s="86" t="s">
        <v>50</v>
      </c>
      <c r="G90" s="10">
        <v>11</v>
      </c>
      <c r="H90" s="10">
        <v>21</v>
      </c>
      <c r="I90" s="10">
        <v>31</v>
      </c>
      <c r="J90" s="10">
        <v>45</v>
      </c>
      <c r="K90" s="10">
        <v>56</v>
      </c>
      <c r="L90" s="10">
        <v>76</v>
      </c>
      <c r="M90" s="10">
        <v>80</v>
      </c>
      <c r="N90" s="10">
        <v>88</v>
      </c>
      <c r="O90" s="10">
        <v>97</v>
      </c>
      <c r="P90" s="10" t="s">
        <v>62</v>
      </c>
      <c r="Q90" s="10" t="s">
        <v>62</v>
      </c>
      <c r="R90" s="10"/>
      <c r="S90" s="10"/>
      <c r="T90" s="10"/>
    </row>
    <row r="91" spans="2:20" ht="19.149999999999999" customHeight="1" x14ac:dyDescent="0.2">
      <c r="B91" s="11" t="s">
        <v>35</v>
      </c>
      <c r="C91" s="15">
        <v>3</v>
      </c>
      <c r="D91" s="13" t="s">
        <v>10</v>
      </c>
      <c r="E91" s="41" t="s">
        <v>49</v>
      </c>
      <c r="F91" s="82" t="s">
        <v>50</v>
      </c>
      <c r="G91" s="9">
        <v>13</v>
      </c>
      <c r="H91" s="9">
        <v>22</v>
      </c>
      <c r="I91" s="9">
        <v>33</v>
      </c>
      <c r="J91" s="9">
        <v>42</v>
      </c>
      <c r="K91" s="9">
        <v>54</v>
      </c>
      <c r="L91" s="9">
        <v>71</v>
      </c>
      <c r="M91" s="9">
        <v>79</v>
      </c>
      <c r="N91" s="9">
        <v>90</v>
      </c>
      <c r="O91" s="9" t="s">
        <v>62</v>
      </c>
      <c r="P91" s="9" t="s">
        <v>62</v>
      </c>
      <c r="Q91" s="9" t="s">
        <v>62</v>
      </c>
      <c r="R91" s="9"/>
      <c r="S91" s="9"/>
      <c r="T91" s="9"/>
    </row>
    <row r="92" spans="2:20" ht="19.149999999999999" customHeight="1" x14ac:dyDescent="0.2">
      <c r="B92" s="58"/>
      <c r="C92" s="59"/>
      <c r="D92" s="79" t="s">
        <v>34</v>
      </c>
      <c r="E92" s="80" t="s">
        <v>49</v>
      </c>
      <c r="F92" s="85" t="s">
        <v>50</v>
      </c>
      <c r="G92" s="49">
        <v>12</v>
      </c>
      <c r="H92" s="49">
        <v>22</v>
      </c>
      <c r="I92" s="49">
        <v>34</v>
      </c>
      <c r="J92" s="49">
        <v>45</v>
      </c>
      <c r="K92" s="49">
        <v>53</v>
      </c>
      <c r="L92" s="49">
        <v>65</v>
      </c>
      <c r="M92" s="49">
        <v>74</v>
      </c>
      <c r="N92" s="49">
        <v>92</v>
      </c>
      <c r="O92" s="49" t="s">
        <v>62</v>
      </c>
      <c r="P92" s="49" t="s">
        <v>62</v>
      </c>
      <c r="Q92" s="49" t="s">
        <v>62</v>
      </c>
      <c r="R92" s="49"/>
      <c r="S92" s="49"/>
      <c r="T92" s="49"/>
    </row>
    <row r="93" spans="2:20" ht="19.149999999999999" customHeight="1" thickBot="1" x14ac:dyDescent="0.25">
      <c r="B93" s="14"/>
      <c r="C93" s="16"/>
      <c r="D93" s="17" t="s">
        <v>11</v>
      </c>
      <c r="E93" s="42" t="s">
        <v>49</v>
      </c>
      <c r="F93" s="86" t="s">
        <v>50</v>
      </c>
      <c r="G93" s="10">
        <v>11</v>
      </c>
      <c r="H93" s="10">
        <v>19</v>
      </c>
      <c r="I93" s="10">
        <v>30</v>
      </c>
      <c r="J93" s="10">
        <v>38</v>
      </c>
      <c r="K93" s="10">
        <v>50</v>
      </c>
      <c r="L93" s="10">
        <v>67</v>
      </c>
      <c r="M93" s="10">
        <v>72</v>
      </c>
      <c r="N93" s="10">
        <v>84</v>
      </c>
      <c r="O93" s="10">
        <v>91</v>
      </c>
      <c r="P93" s="10" t="s">
        <v>62</v>
      </c>
      <c r="Q93" s="10" t="s">
        <v>62</v>
      </c>
      <c r="R93" s="10"/>
      <c r="S93" s="10"/>
      <c r="T93" s="10"/>
    </row>
    <row r="94" spans="2:20" ht="19.149999999999999" customHeight="1" x14ac:dyDescent="0.2">
      <c r="B94" s="11" t="s">
        <v>35</v>
      </c>
      <c r="C94" s="15">
        <v>4</v>
      </c>
      <c r="D94" s="13" t="s">
        <v>10</v>
      </c>
      <c r="E94" s="41" t="s">
        <v>48</v>
      </c>
      <c r="F94" s="82" t="s">
        <v>50</v>
      </c>
      <c r="G94" s="9">
        <v>10</v>
      </c>
      <c r="H94" s="9">
        <v>17</v>
      </c>
      <c r="I94" s="9">
        <v>26</v>
      </c>
      <c r="J94" s="9">
        <v>33</v>
      </c>
      <c r="K94" s="9">
        <v>49</v>
      </c>
      <c r="L94" s="9">
        <v>72</v>
      </c>
      <c r="M94" s="9">
        <v>85</v>
      </c>
      <c r="N94" s="9" t="s">
        <v>62</v>
      </c>
      <c r="O94" s="9" t="s">
        <v>62</v>
      </c>
      <c r="P94" s="9" t="s">
        <v>62</v>
      </c>
      <c r="Q94" s="9" t="s">
        <v>62</v>
      </c>
      <c r="R94" s="9"/>
      <c r="S94" s="9"/>
      <c r="T94" s="9"/>
    </row>
    <row r="95" spans="2:20" ht="19.149999999999999" customHeight="1" x14ac:dyDescent="0.2">
      <c r="B95" s="58"/>
      <c r="C95" s="59"/>
      <c r="D95" s="79" t="s">
        <v>34</v>
      </c>
      <c r="E95" s="80" t="s">
        <v>48</v>
      </c>
      <c r="F95" s="85" t="s">
        <v>50</v>
      </c>
      <c r="G95" s="49">
        <v>12</v>
      </c>
      <c r="H95" s="49">
        <v>22</v>
      </c>
      <c r="I95" s="49">
        <v>33</v>
      </c>
      <c r="J95" s="49">
        <v>42</v>
      </c>
      <c r="K95" s="49">
        <v>56</v>
      </c>
      <c r="L95" s="49">
        <v>77</v>
      </c>
      <c r="M95" s="49">
        <v>87</v>
      </c>
      <c r="N95" s="49" t="s">
        <v>62</v>
      </c>
      <c r="O95" s="49" t="s">
        <v>62</v>
      </c>
      <c r="P95" s="49" t="s">
        <v>62</v>
      </c>
      <c r="Q95" s="49" t="s">
        <v>62</v>
      </c>
      <c r="R95" s="49"/>
      <c r="S95" s="49"/>
      <c r="T95" s="49"/>
    </row>
    <row r="96" spans="2:20" ht="19.149999999999999" customHeight="1" thickBot="1" x14ac:dyDescent="0.25">
      <c r="B96" s="14"/>
      <c r="C96" s="16"/>
      <c r="D96" s="17" t="s">
        <v>11</v>
      </c>
      <c r="E96" s="42" t="s">
        <v>48</v>
      </c>
      <c r="F96" s="86" t="s">
        <v>50</v>
      </c>
      <c r="G96" s="10">
        <v>13</v>
      </c>
      <c r="H96" s="10">
        <v>26</v>
      </c>
      <c r="I96" s="10">
        <v>43</v>
      </c>
      <c r="J96" s="10">
        <v>54</v>
      </c>
      <c r="K96" s="10">
        <v>66</v>
      </c>
      <c r="L96" s="10">
        <v>83</v>
      </c>
      <c r="M96" s="10">
        <v>84</v>
      </c>
      <c r="N96" s="10">
        <v>89</v>
      </c>
      <c r="O96" s="10" t="s">
        <v>62</v>
      </c>
      <c r="P96" s="10" t="s">
        <v>62</v>
      </c>
      <c r="Q96" s="10" t="s">
        <v>62</v>
      </c>
      <c r="R96" s="10"/>
      <c r="S96" s="10"/>
      <c r="T96" s="10"/>
    </row>
    <row r="97" spans="2:20" ht="19.149999999999999" customHeight="1" x14ac:dyDescent="0.2">
      <c r="B97" s="11" t="s">
        <v>36</v>
      </c>
      <c r="C97" s="15">
        <v>4</v>
      </c>
      <c r="D97" s="13" t="s">
        <v>11</v>
      </c>
      <c r="E97" s="41" t="s">
        <v>48</v>
      </c>
      <c r="F97" s="82" t="s">
        <v>43</v>
      </c>
      <c r="G97" s="9">
        <v>11</v>
      </c>
      <c r="H97" s="9">
        <v>21</v>
      </c>
      <c r="I97" s="9">
        <v>34</v>
      </c>
      <c r="J97" s="9">
        <v>44</v>
      </c>
      <c r="K97" s="9">
        <v>58</v>
      </c>
      <c r="L97" s="9">
        <v>80</v>
      </c>
      <c r="M97" s="9">
        <v>85</v>
      </c>
      <c r="N97" s="9">
        <v>96</v>
      </c>
      <c r="O97" s="9" t="s">
        <v>62</v>
      </c>
      <c r="P97" s="9" t="s">
        <v>62</v>
      </c>
      <c r="Q97" s="9" t="s">
        <v>62</v>
      </c>
      <c r="R97" s="9"/>
      <c r="S97" s="9"/>
      <c r="T97" s="9"/>
    </row>
    <row r="98" spans="2:20" ht="19.149999999999999" customHeight="1" x14ac:dyDescent="0.2">
      <c r="B98" s="58"/>
      <c r="C98" s="59"/>
      <c r="D98" s="79" t="s">
        <v>34</v>
      </c>
      <c r="E98" s="80" t="s">
        <v>48</v>
      </c>
      <c r="F98" s="85" t="s">
        <v>43</v>
      </c>
      <c r="G98" s="49">
        <v>16</v>
      </c>
      <c r="H98" s="49">
        <v>25</v>
      </c>
      <c r="I98" s="49">
        <v>36</v>
      </c>
      <c r="J98" s="49">
        <v>45</v>
      </c>
      <c r="K98" s="49">
        <v>56</v>
      </c>
      <c r="L98" s="49">
        <v>76</v>
      </c>
      <c r="M98" s="49">
        <v>86</v>
      </c>
      <c r="N98" s="49" t="s">
        <v>62</v>
      </c>
      <c r="O98" s="49" t="s">
        <v>62</v>
      </c>
      <c r="P98" s="49" t="s">
        <v>62</v>
      </c>
      <c r="Q98" s="49" t="s">
        <v>62</v>
      </c>
      <c r="R98" s="49"/>
      <c r="S98" s="49"/>
      <c r="T98" s="49"/>
    </row>
    <row r="99" spans="2:20" ht="19.149999999999999" customHeight="1" thickBot="1" x14ac:dyDescent="0.25">
      <c r="B99" s="14"/>
      <c r="C99" s="16"/>
      <c r="D99" s="17" t="s">
        <v>10</v>
      </c>
      <c r="E99" s="42" t="s">
        <v>48</v>
      </c>
      <c r="F99" s="86" t="s">
        <v>43</v>
      </c>
      <c r="G99" s="10">
        <v>12</v>
      </c>
      <c r="H99" s="10">
        <v>22</v>
      </c>
      <c r="I99" s="10">
        <v>34</v>
      </c>
      <c r="J99" s="10">
        <v>43</v>
      </c>
      <c r="K99" s="10">
        <v>57</v>
      </c>
      <c r="L99" s="10">
        <v>79</v>
      </c>
      <c r="M99" s="10">
        <v>89</v>
      </c>
      <c r="N99" s="10" t="s">
        <v>62</v>
      </c>
      <c r="O99" s="10" t="s">
        <v>62</v>
      </c>
      <c r="P99" s="10" t="s">
        <v>62</v>
      </c>
      <c r="Q99" s="10" t="s">
        <v>62</v>
      </c>
      <c r="R99" s="10"/>
      <c r="S99" s="10"/>
      <c r="T99" s="10"/>
    </row>
    <row r="100" spans="2:20" ht="19.149999999999999" customHeight="1" x14ac:dyDescent="0.2">
      <c r="B100" s="11" t="s">
        <v>36</v>
      </c>
      <c r="C100" s="15">
        <v>3</v>
      </c>
      <c r="D100" s="13" t="s">
        <v>11</v>
      </c>
      <c r="E100" s="41" t="s">
        <v>49</v>
      </c>
      <c r="F100" s="82" t="s">
        <v>43</v>
      </c>
      <c r="G100" s="9">
        <v>12</v>
      </c>
      <c r="H100" s="9">
        <v>21</v>
      </c>
      <c r="I100" s="9">
        <v>32</v>
      </c>
      <c r="J100" s="9">
        <v>40</v>
      </c>
      <c r="K100" s="9">
        <v>53</v>
      </c>
      <c r="L100" s="9">
        <v>72</v>
      </c>
      <c r="M100" s="9">
        <v>76</v>
      </c>
      <c r="N100" s="9">
        <v>85</v>
      </c>
      <c r="O100" s="9">
        <v>91</v>
      </c>
      <c r="P100" s="9" t="s">
        <v>62</v>
      </c>
      <c r="Q100" s="9" t="s">
        <v>62</v>
      </c>
      <c r="R100" s="9"/>
      <c r="S100" s="9"/>
      <c r="T100" s="9"/>
    </row>
    <row r="101" spans="2:20" ht="19.149999999999999" customHeight="1" x14ac:dyDescent="0.2">
      <c r="B101" s="58"/>
      <c r="C101" s="59"/>
      <c r="D101" s="79" t="s">
        <v>34</v>
      </c>
      <c r="E101" s="80" t="s">
        <v>49</v>
      </c>
      <c r="F101" s="85" t="s">
        <v>43</v>
      </c>
      <c r="G101" s="49">
        <v>15</v>
      </c>
      <c r="H101" s="49">
        <v>24</v>
      </c>
      <c r="I101" s="49">
        <v>36</v>
      </c>
      <c r="J101" s="49">
        <v>45</v>
      </c>
      <c r="K101" s="49">
        <v>58</v>
      </c>
      <c r="L101" s="49">
        <v>78</v>
      </c>
      <c r="M101" s="49">
        <v>87</v>
      </c>
      <c r="N101" s="49" t="s">
        <v>62</v>
      </c>
      <c r="O101" s="49" t="s">
        <v>62</v>
      </c>
      <c r="P101" s="49" t="s">
        <v>62</v>
      </c>
      <c r="Q101" s="49" t="s">
        <v>62</v>
      </c>
      <c r="R101" s="49"/>
      <c r="S101" s="49"/>
      <c r="T101" s="49"/>
    </row>
    <row r="102" spans="2:20" ht="19.149999999999999" customHeight="1" thickBot="1" x14ac:dyDescent="0.25">
      <c r="B102" s="14"/>
      <c r="C102" s="16"/>
      <c r="D102" s="17" t="s">
        <v>10</v>
      </c>
      <c r="E102" s="42" t="s">
        <v>49</v>
      </c>
      <c r="F102" s="86" t="s">
        <v>43</v>
      </c>
      <c r="G102" s="10">
        <v>16</v>
      </c>
      <c r="H102" s="10">
        <v>27</v>
      </c>
      <c r="I102" s="10">
        <v>39</v>
      </c>
      <c r="J102" s="10">
        <v>49</v>
      </c>
      <c r="K102" s="10">
        <v>61</v>
      </c>
      <c r="L102" s="10">
        <v>77</v>
      </c>
      <c r="M102" s="10">
        <v>86</v>
      </c>
      <c r="N102" s="10" t="s">
        <v>62</v>
      </c>
      <c r="O102" s="10" t="s">
        <v>62</v>
      </c>
      <c r="P102" s="10" t="s">
        <v>62</v>
      </c>
      <c r="Q102" s="10" t="s">
        <v>62</v>
      </c>
      <c r="R102" s="10"/>
      <c r="S102" s="10"/>
      <c r="T102" s="10"/>
    </row>
    <row r="103" spans="2:20" ht="19.149999999999999" customHeight="1" x14ac:dyDescent="0.2">
      <c r="B103" s="11" t="s">
        <v>36</v>
      </c>
      <c r="C103" s="15">
        <v>2</v>
      </c>
      <c r="D103" s="13" t="s">
        <v>11</v>
      </c>
      <c r="E103" s="41" t="s">
        <v>45</v>
      </c>
      <c r="F103" s="82" t="s">
        <v>43</v>
      </c>
      <c r="G103" s="9">
        <v>12</v>
      </c>
      <c r="H103" s="9">
        <v>24</v>
      </c>
      <c r="I103" s="9">
        <v>41</v>
      </c>
      <c r="J103" s="9">
        <v>52</v>
      </c>
      <c r="K103" s="9">
        <v>61</v>
      </c>
      <c r="L103" s="9">
        <v>73</v>
      </c>
      <c r="M103" s="9">
        <v>83</v>
      </c>
      <c r="N103" s="9" t="s">
        <v>62</v>
      </c>
      <c r="O103" s="9" t="s">
        <v>62</v>
      </c>
      <c r="P103" s="9" t="s">
        <v>62</v>
      </c>
      <c r="Q103" s="9" t="s">
        <v>62</v>
      </c>
      <c r="R103" s="9"/>
      <c r="S103" s="9"/>
      <c r="T103" s="9"/>
    </row>
    <row r="104" spans="2:20" ht="19.149999999999999" customHeight="1" x14ac:dyDescent="0.2">
      <c r="B104" s="58"/>
      <c r="C104" s="59"/>
      <c r="D104" s="79" t="s">
        <v>34</v>
      </c>
      <c r="E104" s="80" t="s">
        <v>45</v>
      </c>
      <c r="F104" s="85" t="s">
        <v>43</v>
      </c>
      <c r="G104" s="49">
        <v>13</v>
      </c>
      <c r="H104" s="49">
        <v>24</v>
      </c>
      <c r="I104" s="49">
        <v>37</v>
      </c>
      <c r="J104" s="49">
        <v>47</v>
      </c>
      <c r="K104" s="49">
        <v>59</v>
      </c>
      <c r="L104" s="49">
        <v>76</v>
      </c>
      <c r="M104" s="49">
        <v>85</v>
      </c>
      <c r="N104" s="49" t="s">
        <v>62</v>
      </c>
      <c r="O104" s="49" t="s">
        <v>62</v>
      </c>
      <c r="P104" s="49" t="s">
        <v>62</v>
      </c>
      <c r="Q104" s="49" t="s">
        <v>62</v>
      </c>
      <c r="R104" s="49"/>
      <c r="S104" s="49"/>
      <c r="T104" s="49"/>
    </row>
    <row r="105" spans="2:20" ht="19.149999999999999" customHeight="1" thickBot="1" x14ac:dyDescent="0.25">
      <c r="B105" s="14"/>
      <c r="C105" s="16"/>
      <c r="D105" s="17" t="s">
        <v>10</v>
      </c>
      <c r="E105" s="42" t="s">
        <v>45</v>
      </c>
      <c r="F105" s="86" t="s">
        <v>43</v>
      </c>
      <c r="G105" s="10">
        <v>13</v>
      </c>
      <c r="H105" s="10">
        <v>24</v>
      </c>
      <c r="I105" s="10">
        <v>37</v>
      </c>
      <c r="J105" s="10">
        <v>48</v>
      </c>
      <c r="K105" s="10">
        <v>61</v>
      </c>
      <c r="L105" s="10">
        <v>79</v>
      </c>
      <c r="M105" s="10">
        <v>88</v>
      </c>
      <c r="N105" s="10" t="s">
        <v>62</v>
      </c>
      <c r="O105" s="10" t="s">
        <v>62</v>
      </c>
      <c r="P105" s="10" t="s">
        <v>62</v>
      </c>
      <c r="Q105" s="10" t="s">
        <v>62</v>
      </c>
      <c r="R105" s="10"/>
      <c r="S105" s="10"/>
      <c r="T105" s="10"/>
    </row>
    <row r="106" spans="2:20" ht="19.149999999999999" customHeight="1" x14ac:dyDescent="0.2">
      <c r="B106" s="11" t="s">
        <v>36</v>
      </c>
      <c r="C106" s="15">
        <v>1</v>
      </c>
      <c r="D106" s="13" t="s">
        <v>11</v>
      </c>
      <c r="E106" s="41" t="s">
        <v>47</v>
      </c>
      <c r="F106" s="82" t="s">
        <v>43</v>
      </c>
      <c r="G106" s="9">
        <v>14</v>
      </c>
      <c r="H106" s="9">
        <v>23</v>
      </c>
      <c r="I106" s="9">
        <v>34</v>
      </c>
      <c r="J106" s="9">
        <v>42</v>
      </c>
      <c r="K106" s="9">
        <v>53</v>
      </c>
      <c r="L106" s="9">
        <v>70</v>
      </c>
      <c r="M106" s="9">
        <v>81</v>
      </c>
      <c r="N106" s="9" t="s">
        <v>62</v>
      </c>
      <c r="O106" s="9" t="s">
        <v>62</v>
      </c>
      <c r="P106" s="9" t="s">
        <v>62</v>
      </c>
      <c r="Q106" s="9" t="s">
        <v>62</v>
      </c>
      <c r="R106" s="9"/>
      <c r="S106" s="9"/>
      <c r="T106" s="9"/>
    </row>
    <row r="107" spans="2:20" ht="19.149999999999999" customHeight="1" x14ac:dyDescent="0.2">
      <c r="B107" s="58"/>
      <c r="C107" s="59"/>
      <c r="D107" s="79" t="s">
        <v>34</v>
      </c>
      <c r="E107" s="80" t="s">
        <v>47</v>
      </c>
      <c r="F107" s="85" t="s">
        <v>43</v>
      </c>
      <c r="G107" s="49">
        <v>14</v>
      </c>
      <c r="H107" s="49">
        <v>26</v>
      </c>
      <c r="I107" s="49">
        <v>40</v>
      </c>
      <c r="J107" s="49">
        <v>51</v>
      </c>
      <c r="K107" s="49">
        <v>60</v>
      </c>
      <c r="L107" s="49">
        <v>74</v>
      </c>
      <c r="M107" s="49">
        <v>82</v>
      </c>
      <c r="N107" s="49">
        <v>97</v>
      </c>
      <c r="O107" s="49" t="s">
        <v>62</v>
      </c>
      <c r="P107" s="49" t="s">
        <v>62</v>
      </c>
      <c r="Q107" s="49" t="s">
        <v>62</v>
      </c>
      <c r="R107" s="49"/>
      <c r="S107" s="49"/>
      <c r="T107" s="49"/>
    </row>
    <row r="108" spans="2:20" ht="19.149999999999999" customHeight="1" thickBot="1" x14ac:dyDescent="0.25">
      <c r="B108" s="14"/>
      <c r="C108" s="16"/>
      <c r="D108" s="17" t="s">
        <v>10</v>
      </c>
      <c r="E108" s="42" t="s">
        <v>47</v>
      </c>
      <c r="F108" s="86" t="s">
        <v>43</v>
      </c>
      <c r="G108" s="10">
        <v>15</v>
      </c>
      <c r="H108" s="10">
        <v>24</v>
      </c>
      <c r="I108" s="10">
        <v>35</v>
      </c>
      <c r="J108" s="10">
        <v>44</v>
      </c>
      <c r="K108" s="10">
        <v>54</v>
      </c>
      <c r="L108" s="10">
        <v>69</v>
      </c>
      <c r="M108" s="10">
        <v>77</v>
      </c>
      <c r="N108" s="10">
        <v>91</v>
      </c>
      <c r="O108" s="10" t="s">
        <v>62</v>
      </c>
      <c r="P108" s="10" t="s">
        <v>62</v>
      </c>
      <c r="Q108" s="10" t="s">
        <v>62</v>
      </c>
      <c r="R108" s="10"/>
      <c r="S108" s="10"/>
      <c r="T108" s="10"/>
    </row>
    <row r="109" spans="2:20" ht="19.149999999999999" customHeight="1" x14ac:dyDescent="0.2">
      <c r="B109" s="11" t="s">
        <v>37</v>
      </c>
      <c r="C109" s="15">
        <v>1</v>
      </c>
      <c r="D109" s="13" t="s">
        <v>10</v>
      </c>
      <c r="E109" s="41" t="s">
        <v>48</v>
      </c>
      <c r="F109" s="82" t="s">
        <v>50</v>
      </c>
      <c r="G109" s="9">
        <v>14</v>
      </c>
      <c r="H109" s="9">
        <v>22</v>
      </c>
      <c r="I109" s="9">
        <v>33</v>
      </c>
      <c r="J109" s="9">
        <v>41</v>
      </c>
      <c r="K109" s="9">
        <v>53</v>
      </c>
      <c r="L109" s="9">
        <v>74</v>
      </c>
      <c r="M109" s="9">
        <v>81</v>
      </c>
      <c r="N109" s="9">
        <v>95</v>
      </c>
      <c r="O109" s="9" t="s">
        <v>62</v>
      </c>
      <c r="P109" s="9" t="s">
        <v>62</v>
      </c>
      <c r="Q109" s="9" t="s">
        <v>62</v>
      </c>
      <c r="R109" s="9"/>
      <c r="S109" s="9"/>
      <c r="T109" s="9"/>
    </row>
    <row r="110" spans="2:20" ht="19.149999999999999" customHeight="1" x14ac:dyDescent="0.2">
      <c r="B110" s="58"/>
      <c r="C110" s="59"/>
      <c r="D110" s="79" t="s">
        <v>34</v>
      </c>
      <c r="E110" s="80" t="s">
        <v>48</v>
      </c>
      <c r="F110" s="85" t="s">
        <v>50</v>
      </c>
      <c r="G110" s="49">
        <v>15</v>
      </c>
      <c r="H110" s="49">
        <v>23</v>
      </c>
      <c r="I110" s="49">
        <v>34</v>
      </c>
      <c r="J110" s="49">
        <v>42</v>
      </c>
      <c r="K110" s="49">
        <v>51</v>
      </c>
      <c r="L110" s="49">
        <v>77</v>
      </c>
      <c r="M110" s="49">
        <v>84</v>
      </c>
      <c r="N110" s="49">
        <v>97</v>
      </c>
      <c r="O110" s="49" t="s">
        <v>62</v>
      </c>
      <c r="P110" s="49" t="s">
        <v>62</v>
      </c>
      <c r="Q110" s="49" t="s">
        <v>62</v>
      </c>
      <c r="R110" s="49"/>
      <c r="S110" s="49"/>
      <c r="T110" s="49"/>
    </row>
    <row r="111" spans="2:20" ht="19.149999999999999" customHeight="1" thickBot="1" x14ac:dyDescent="0.25">
      <c r="B111" s="14"/>
      <c r="C111" s="16"/>
      <c r="D111" s="17" t="s">
        <v>11</v>
      </c>
      <c r="E111" s="42" t="s">
        <v>48</v>
      </c>
      <c r="F111" s="86" t="s">
        <v>50</v>
      </c>
      <c r="G111" s="10">
        <v>10</v>
      </c>
      <c r="H111" s="10">
        <v>18</v>
      </c>
      <c r="I111" s="10">
        <v>27</v>
      </c>
      <c r="J111" s="10">
        <v>35</v>
      </c>
      <c r="K111" s="10">
        <v>48</v>
      </c>
      <c r="L111" s="10">
        <v>69</v>
      </c>
      <c r="M111" s="10">
        <v>81</v>
      </c>
      <c r="N111" s="10" t="s">
        <v>62</v>
      </c>
      <c r="O111" s="10" t="s">
        <v>62</v>
      </c>
      <c r="P111" s="10" t="s">
        <v>62</v>
      </c>
      <c r="Q111" s="10" t="s">
        <v>62</v>
      </c>
      <c r="R111" s="10"/>
      <c r="S111" s="10"/>
      <c r="T111" s="10"/>
    </row>
    <row r="112" spans="2:20" ht="19.149999999999999" customHeight="1" x14ac:dyDescent="0.2">
      <c r="B112" s="11" t="s">
        <v>37</v>
      </c>
      <c r="C112" s="15">
        <v>2</v>
      </c>
      <c r="D112" s="13" t="s">
        <v>10</v>
      </c>
      <c r="E112" s="41" t="s">
        <v>49</v>
      </c>
      <c r="F112" s="82" t="s">
        <v>50</v>
      </c>
      <c r="G112" s="9">
        <v>13</v>
      </c>
      <c r="H112" s="9">
        <v>20</v>
      </c>
      <c r="I112" s="9">
        <v>28</v>
      </c>
      <c r="J112" s="9">
        <v>34</v>
      </c>
      <c r="K112" s="9">
        <v>43</v>
      </c>
      <c r="L112" s="9">
        <v>57</v>
      </c>
      <c r="M112" s="9">
        <v>63</v>
      </c>
      <c r="N112" s="9">
        <v>74</v>
      </c>
      <c r="O112" s="9">
        <v>82</v>
      </c>
      <c r="P112" s="9">
        <v>98</v>
      </c>
      <c r="Q112" s="9" t="s">
        <v>62</v>
      </c>
      <c r="R112" s="9"/>
      <c r="S112" s="9"/>
      <c r="T112" s="9"/>
    </row>
    <row r="113" spans="2:20" ht="19.149999999999999" customHeight="1" x14ac:dyDescent="0.2">
      <c r="B113" s="58"/>
      <c r="C113" s="59"/>
      <c r="D113" s="79" t="s">
        <v>34</v>
      </c>
      <c r="E113" s="80" t="s">
        <v>49</v>
      </c>
      <c r="F113" s="85" t="s">
        <v>50</v>
      </c>
      <c r="G113" s="49">
        <v>11</v>
      </c>
      <c r="H113" s="49">
        <v>19</v>
      </c>
      <c r="I113" s="49">
        <v>31</v>
      </c>
      <c r="J113" s="49">
        <v>41</v>
      </c>
      <c r="K113" s="49">
        <v>54</v>
      </c>
      <c r="L113" s="49">
        <v>73</v>
      </c>
      <c r="M113" s="49">
        <v>84</v>
      </c>
      <c r="N113" s="49" t="s">
        <v>62</v>
      </c>
      <c r="O113" s="49" t="s">
        <v>62</v>
      </c>
      <c r="P113" s="49" t="s">
        <v>62</v>
      </c>
      <c r="Q113" s="49" t="s">
        <v>62</v>
      </c>
      <c r="R113" s="49"/>
      <c r="S113" s="49"/>
      <c r="T113" s="49"/>
    </row>
    <row r="114" spans="2:20" ht="19.149999999999999" customHeight="1" thickBot="1" x14ac:dyDescent="0.25">
      <c r="B114" s="14"/>
      <c r="C114" s="16"/>
      <c r="D114" s="17" t="s">
        <v>11</v>
      </c>
      <c r="E114" s="42" t="s">
        <v>49</v>
      </c>
      <c r="F114" s="86" t="s">
        <v>50</v>
      </c>
      <c r="G114" s="10">
        <v>12</v>
      </c>
      <c r="H114" s="10">
        <v>19</v>
      </c>
      <c r="I114" s="10">
        <v>27</v>
      </c>
      <c r="J114" s="10">
        <v>33</v>
      </c>
      <c r="K114" s="10">
        <v>41</v>
      </c>
      <c r="L114" s="10">
        <v>53</v>
      </c>
      <c r="M114" s="10">
        <v>61</v>
      </c>
      <c r="N114" s="10">
        <v>77</v>
      </c>
      <c r="O114" s="10">
        <v>85</v>
      </c>
      <c r="P114" s="10" t="s">
        <v>62</v>
      </c>
      <c r="Q114" s="10" t="s">
        <v>62</v>
      </c>
      <c r="R114" s="10"/>
      <c r="S114" s="10"/>
      <c r="T114" s="10"/>
    </row>
    <row r="115" spans="2:20" ht="19.149999999999999" customHeight="1" x14ac:dyDescent="0.2">
      <c r="B115" s="11" t="s">
        <v>37</v>
      </c>
      <c r="C115" s="15">
        <v>3</v>
      </c>
      <c r="D115" s="13" t="s">
        <v>10</v>
      </c>
      <c r="E115" s="41" t="s">
        <v>44</v>
      </c>
      <c r="F115" s="82" t="s">
        <v>50</v>
      </c>
      <c r="G115" s="9">
        <v>12</v>
      </c>
      <c r="H115" s="9">
        <v>21</v>
      </c>
      <c r="I115" s="9">
        <v>35</v>
      </c>
      <c r="J115" s="9">
        <v>46</v>
      </c>
      <c r="K115" s="9">
        <v>60</v>
      </c>
      <c r="L115" s="9">
        <v>80</v>
      </c>
      <c r="M115" s="9">
        <v>89</v>
      </c>
      <c r="N115" s="9" t="s">
        <v>62</v>
      </c>
      <c r="O115" s="9" t="s">
        <v>62</v>
      </c>
      <c r="P115" s="9" t="s">
        <v>62</v>
      </c>
      <c r="Q115" s="9" t="s">
        <v>62</v>
      </c>
      <c r="R115" s="9"/>
      <c r="S115" s="9"/>
      <c r="T115" s="9"/>
    </row>
    <row r="116" spans="2:20" ht="19.149999999999999" customHeight="1" x14ac:dyDescent="0.2">
      <c r="B116" s="58"/>
      <c r="C116" s="59"/>
      <c r="D116" s="79" t="s">
        <v>34</v>
      </c>
      <c r="E116" s="80" t="s">
        <v>44</v>
      </c>
      <c r="F116" s="85" t="s">
        <v>50</v>
      </c>
      <c r="G116" s="49">
        <v>12</v>
      </c>
      <c r="H116" s="49">
        <v>21</v>
      </c>
      <c r="I116" s="49">
        <v>34</v>
      </c>
      <c r="J116" s="49">
        <v>42</v>
      </c>
      <c r="K116" s="49">
        <v>56</v>
      </c>
      <c r="L116" s="49">
        <v>76</v>
      </c>
      <c r="M116" s="49">
        <v>85</v>
      </c>
      <c r="N116" s="49" t="s">
        <v>62</v>
      </c>
      <c r="O116" s="49" t="s">
        <v>62</v>
      </c>
      <c r="P116" s="49" t="s">
        <v>62</v>
      </c>
      <c r="Q116" s="49" t="s">
        <v>62</v>
      </c>
      <c r="R116" s="49"/>
      <c r="S116" s="49"/>
      <c r="T116" s="49"/>
    </row>
    <row r="117" spans="2:20" ht="19.149999999999999" customHeight="1" thickBot="1" x14ac:dyDescent="0.25">
      <c r="B117" s="14"/>
      <c r="C117" s="16"/>
      <c r="D117" s="17" t="s">
        <v>11</v>
      </c>
      <c r="E117" s="42" t="s">
        <v>44</v>
      </c>
      <c r="F117" s="86" t="s">
        <v>50</v>
      </c>
      <c r="G117" s="10">
        <v>11</v>
      </c>
      <c r="H117" s="10">
        <v>22</v>
      </c>
      <c r="I117" s="10">
        <v>35</v>
      </c>
      <c r="J117" s="10">
        <v>45</v>
      </c>
      <c r="K117" s="10">
        <v>58</v>
      </c>
      <c r="L117" s="10">
        <v>78</v>
      </c>
      <c r="M117" s="10">
        <v>85</v>
      </c>
      <c r="N117" s="10">
        <v>98</v>
      </c>
      <c r="O117" s="10" t="s">
        <v>62</v>
      </c>
      <c r="P117" s="10" t="s">
        <v>62</v>
      </c>
      <c r="Q117" s="10" t="s">
        <v>62</v>
      </c>
      <c r="R117" s="10"/>
      <c r="S117" s="10"/>
      <c r="T117" s="10"/>
    </row>
    <row r="118" spans="2:20" ht="19.149999999999999" customHeight="1" x14ac:dyDescent="0.2">
      <c r="B118" s="11" t="s">
        <v>37</v>
      </c>
      <c r="C118" s="15">
        <v>4</v>
      </c>
      <c r="D118" s="13" t="s">
        <v>10</v>
      </c>
      <c r="E118" s="41" t="s">
        <v>47</v>
      </c>
      <c r="F118" s="82" t="s">
        <v>50</v>
      </c>
      <c r="G118" s="9">
        <v>10</v>
      </c>
      <c r="H118" s="9">
        <v>19</v>
      </c>
      <c r="I118" s="9">
        <v>31</v>
      </c>
      <c r="J118" s="9">
        <v>40</v>
      </c>
      <c r="K118" s="9">
        <v>52</v>
      </c>
      <c r="L118" s="9">
        <v>69</v>
      </c>
      <c r="M118" s="9">
        <v>73</v>
      </c>
      <c r="N118" s="9">
        <v>83</v>
      </c>
      <c r="O118" s="9">
        <v>89</v>
      </c>
      <c r="P118" s="9" t="s">
        <v>62</v>
      </c>
      <c r="Q118" s="9" t="s">
        <v>62</v>
      </c>
      <c r="R118" s="9"/>
      <c r="S118" s="9"/>
      <c r="T118" s="9"/>
    </row>
    <row r="119" spans="2:20" ht="19.149999999999999" customHeight="1" x14ac:dyDescent="0.2">
      <c r="B119" s="58"/>
      <c r="C119" s="59"/>
      <c r="D119" s="79" t="s">
        <v>34</v>
      </c>
      <c r="E119" s="80" t="s">
        <v>47</v>
      </c>
      <c r="F119" s="85" t="s">
        <v>50</v>
      </c>
      <c r="G119" s="49">
        <v>11</v>
      </c>
      <c r="H119" s="49">
        <v>19</v>
      </c>
      <c r="I119" s="49">
        <v>30</v>
      </c>
      <c r="J119" s="49">
        <v>38</v>
      </c>
      <c r="K119" s="49">
        <v>49</v>
      </c>
      <c r="L119" s="49">
        <v>68</v>
      </c>
      <c r="M119" s="49">
        <v>74</v>
      </c>
      <c r="N119" s="49">
        <v>85</v>
      </c>
      <c r="O119" s="49">
        <v>90</v>
      </c>
      <c r="P119" s="49" t="s">
        <v>62</v>
      </c>
      <c r="Q119" s="49" t="s">
        <v>62</v>
      </c>
      <c r="R119" s="49"/>
      <c r="S119" s="49"/>
      <c r="T119" s="49"/>
    </row>
    <row r="120" spans="2:20" ht="19.149999999999999" customHeight="1" thickBot="1" x14ac:dyDescent="0.25">
      <c r="B120" s="14"/>
      <c r="C120" s="16"/>
      <c r="D120" s="17" t="s">
        <v>11</v>
      </c>
      <c r="E120" s="42" t="s">
        <v>47</v>
      </c>
      <c r="F120" s="86" t="s">
        <v>50</v>
      </c>
      <c r="G120" s="10">
        <v>11</v>
      </c>
      <c r="H120" s="10">
        <v>20</v>
      </c>
      <c r="I120" s="10">
        <v>32</v>
      </c>
      <c r="J120" s="10">
        <v>42</v>
      </c>
      <c r="K120" s="10">
        <v>52</v>
      </c>
      <c r="L120" s="10">
        <v>68</v>
      </c>
      <c r="M120" s="10">
        <v>76</v>
      </c>
      <c r="N120" s="10">
        <v>91</v>
      </c>
      <c r="O120" s="10">
        <v>94</v>
      </c>
      <c r="P120" s="10" t="s">
        <v>62</v>
      </c>
      <c r="Q120" s="10" t="s">
        <v>62</v>
      </c>
      <c r="R120" s="10"/>
      <c r="S120" s="10"/>
      <c r="T120" s="10"/>
    </row>
    <row r="121" spans="2:20" ht="19.149999999999999" customHeight="1" x14ac:dyDescent="0.2">
      <c r="B121" s="11" t="s">
        <v>38</v>
      </c>
      <c r="C121" s="15">
        <v>4</v>
      </c>
      <c r="D121" s="13" t="s">
        <v>11</v>
      </c>
      <c r="E121" s="41" t="s">
        <v>47</v>
      </c>
      <c r="F121" s="82" t="s">
        <v>43</v>
      </c>
      <c r="G121" s="9">
        <v>13</v>
      </c>
      <c r="H121" s="9">
        <v>21</v>
      </c>
      <c r="I121" s="9">
        <v>30</v>
      </c>
      <c r="J121" s="9">
        <v>36</v>
      </c>
      <c r="K121" s="9">
        <v>46</v>
      </c>
      <c r="L121" s="9">
        <v>62</v>
      </c>
      <c r="M121" s="9">
        <v>68</v>
      </c>
      <c r="N121" s="9">
        <v>78</v>
      </c>
      <c r="O121" s="9">
        <v>85</v>
      </c>
      <c r="P121" s="9" t="s">
        <v>62</v>
      </c>
      <c r="Q121" s="9" t="s">
        <v>62</v>
      </c>
      <c r="R121" s="9"/>
      <c r="S121" s="9"/>
      <c r="T121" s="9"/>
    </row>
    <row r="122" spans="2:20" ht="19.149999999999999" customHeight="1" x14ac:dyDescent="0.2">
      <c r="B122" s="58"/>
      <c r="C122" s="59"/>
      <c r="D122" s="79" t="s">
        <v>34</v>
      </c>
      <c r="E122" s="80" t="s">
        <v>47</v>
      </c>
      <c r="F122" s="85" t="s">
        <v>43</v>
      </c>
      <c r="G122" s="49">
        <v>12</v>
      </c>
      <c r="H122" s="49">
        <v>20</v>
      </c>
      <c r="I122" s="49">
        <v>32</v>
      </c>
      <c r="J122" s="49">
        <v>39</v>
      </c>
      <c r="K122" s="49">
        <v>48</v>
      </c>
      <c r="L122" s="49">
        <v>62</v>
      </c>
      <c r="M122" s="49">
        <v>67</v>
      </c>
      <c r="N122" s="49">
        <v>76</v>
      </c>
      <c r="O122" s="49">
        <v>84</v>
      </c>
      <c r="P122" s="49" t="s">
        <v>62</v>
      </c>
      <c r="Q122" s="49" t="s">
        <v>62</v>
      </c>
      <c r="R122" s="49"/>
      <c r="S122" s="49"/>
      <c r="T122" s="49"/>
    </row>
    <row r="123" spans="2:20" ht="19.149999999999999" customHeight="1" thickBot="1" x14ac:dyDescent="0.25">
      <c r="B123" s="14"/>
      <c r="C123" s="16"/>
      <c r="D123" s="17" t="s">
        <v>10</v>
      </c>
      <c r="E123" s="42" t="s">
        <v>47</v>
      </c>
      <c r="F123" s="86" t="s">
        <v>43</v>
      </c>
      <c r="G123" s="10">
        <v>10</v>
      </c>
      <c r="H123" s="10">
        <v>20</v>
      </c>
      <c r="I123" s="10">
        <v>34</v>
      </c>
      <c r="J123" s="10">
        <v>45</v>
      </c>
      <c r="K123" s="10">
        <v>89</v>
      </c>
      <c r="L123" s="10">
        <v>79</v>
      </c>
      <c r="M123" s="10">
        <v>84</v>
      </c>
      <c r="N123" s="10">
        <v>93</v>
      </c>
      <c r="O123" s="10" t="s">
        <v>62</v>
      </c>
      <c r="P123" s="10" t="s">
        <v>62</v>
      </c>
      <c r="Q123" s="10" t="s">
        <v>62</v>
      </c>
      <c r="R123" s="10"/>
      <c r="S123" s="10"/>
      <c r="T123" s="10"/>
    </row>
    <row r="124" spans="2:20" ht="19.149999999999999" customHeight="1" x14ac:dyDescent="0.2">
      <c r="B124" s="11" t="s">
        <v>38</v>
      </c>
      <c r="C124" s="15">
        <v>3</v>
      </c>
      <c r="D124" s="13" t="s">
        <v>11</v>
      </c>
      <c r="E124" s="41" t="s">
        <v>44</v>
      </c>
      <c r="F124" s="82" t="s">
        <v>43</v>
      </c>
      <c r="G124" s="9">
        <v>14</v>
      </c>
      <c r="H124" s="9">
        <v>24</v>
      </c>
      <c r="I124" s="9">
        <v>37</v>
      </c>
      <c r="J124" s="9">
        <v>47</v>
      </c>
      <c r="K124" s="9">
        <v>59</v>
      </c>
      <c r="L124" s="9">
        <v>76</v>
      </c>
      <c r="M124" s="9">
        <v>82</v>
      </c>
      <c r="N124" s="9">
        <v>92</v>
      </c>
      <c r="O124" s="9" t="s">
        <v>62</v>
      </c>
      <c r="P124" s="9" t="s">
        <v>62</v>
      </c>
      <c r="Q124" s="9" t="s">
        <v>62</v>
      </c>
      <c r="R124" s="9"/>
      <c r="S124" s="9"/>
      <c r="T124" s="9"/>
    </row>
    <row r="125" spans="2:20" ht="19.149999999999999" customHeight="1" x14ac:dyDescent="0.2">
      <c r="B125" s="58"/>
      <c r="C125" s="59"/>
      <c r="D125" s="79" t="s">
        <v>34</v>
      </c>
      <c r="E125" s="80" t="s">
        <v>44</v>
      </c>
      <c r="F125" s="85" t="s">
        <v>43</v>
      </c>
      <c r="G125" s="49">
        <v>13</v>
      </c>
      <c r="H125" s="49">
        <v>23</v>
      </c>
      <c r="I125" s="49">
        <v>36</v>
      </c>
      <c r="J125" s="49">
        <v>46</v>
      </c>
      <c r="K125" s="49">
        <v>56</v>
      </c>
      <c r="L125" s="49">
        <v>71</v>
      </c>
      <c r="M125" s="49">
        <v>81</v>
      </c>
      <c r="N125" s="49" t="s">
        <v>62</v>
      </c>
      <c r="O125" s="49" t="s">
        <v>62</v>
      </c>
      <c r="P125" s="49" t="s">
        <v>62</v>
      </c>
      <c r="Q125" s="49" t="s">
        <v>62</v>
      </c>
      <c r="R125" s="49"/>
      <c r="S125" s="49"/>
      <c r="T125" s="49"/>
    </row>
    <row r="126" spans="2:20" ht="19.149999999999999" customHeight="1" thickBot="1" x14ac:dyDescent="0.25">
      <c r="B126" s="14"/>
      <c r="C126" s="16"/>
      <c r="D126" s="17" t="s">
        <v>10</v>
      </c>
      <c r="E126" s="42" t="s">
        <v>44</v>
      </c>
      <c r="F126" s="86" t="s">
        <v>43</v>
      </c>
      <c r="G126" s="10">
        <v>12</v>
      </c>
      <c r="H126" s="10">
        <v>23</v>
      </c>
      <c r="I126" s="10">
        <v>37</v>
      </c>
      <c r="J126" s="10">
        <v>49</v>
      </c>
      <c r="K126" s="10">
        <v>60</v>
      </c>
      <c r="L126" s="10">
        <v>76</v>
      </c>
      <c r="M126" s="10">
        <v>87</v>
      </c>
      <c r="N126" s="10" t="s">
        <v>62</v>
      </c>
      <c r="O126" s="10" t="s">
        <v>62</v>
      </c>
      <c r="P126" s="10" t="s">
        <v>62</v>
      </c>
      <c r="Q126" s="10" t="s">
        <v>62</v>
      </c>
      <c r="R126" s="10"/>
      <c r="S126" s="10"/>
      <c r="T126" s="10"/>
    </row>
    <row r="127" spans="2:20" ht="19.149999999999999" customHeight="1" x14ac:dyDescent="0.2">
      <c r="B127" s="11" t="s">
        <v>38</v>
      </c>
      <c r="C127" s="15">
        <v>2</v>
      </c>
      <c r="D127" s="13" t="s">
        <v>11</v>
      </c>
      <c r="E127" s="41" t="s">
        <v>49</v>
      </c>
      <c r="F127" s="82" t="s">
        <v>43</v>
      </c>
      <c r="G127" s="9">
        <v>14</v>
      </c>
      <c r="H127" s="9">
        <v>28</v>
      </c>
      <c r="I127" s="9">
        <v>45</v>
      </c>
      <c r="J127" s="9">
        <v>58</v>
      </c>
      <c r="K127" s="9">
        <v>68</v>
      </c>
      <c r="L127" s="9">
        <v>83</v>
      </c>
      <c r="M127" s="9">
        <v>87</v>
      </c>
      <c r="N127" s="9">
        <v>96</v>
      </c>
      <c r="O127" s="9" t="s">
        <v>62</v>
      </c>
      <c r="P127" s="9" t="s">
        <v>62</v>
      </c>
      <c r="Q127" s="9" t="s">
        <v>62</v>
      </c>
      <c r="R127" s="9"/>
      <c r="S127" s="9"/>
      <c r="T127" s="9"/>
    </row>
    <row r="128" spans="2:20" ht="19.149999999999999" customHeight="1" x14ac:dyDescent="0.2">
      <c r="B128" s="58"/>
      <c r="C128" s="59"/>
      <c r="D128" s="79" t="s">
        <v>34</v>
      </c>
      <c r="E128" s="80" t="s">
        <v>49</v>
      </c>
      <c r="F128" s="85" t="s">
        <v>43</v>
      </c>
      <c r="G128" s="49">
        <v>12</v>
      </c>
      <c r="H128" s="49">
        <v>21</v>
      </c>
      <c r="I128" s="49">
        <v>32</v>
      </c>
      <c r="J128" s="49">
        <v>41</v>
      </c>
      <c r="K128" s="49">
        <v>51</v>
      </c>
      <c r="L128" s="49">
        <v>65</v>
      </c>
      <c r="M128" s="49">
        <v>77</v>
      </c>
      <c r="N128" s="49">
        <v>98</v>
      </c>
      <c r="O128" s="49" t="s">
        <v>62</v>
      </c>
      <c r="P128" s="49" t="s">
        <v>62</v>
      </c>
      <c r="Q128" s="49" t="s">
        <v>62</v>
      </c>
      <c r="R128" s="49"/>
      <c r="S128" s="49"/>
      <c r="T128" s="49"/>
    </row>
    <row r="129" spans="2:20" ht="19.149999999999999" customHeight="1" thickBot="1" x14ac:dyDescent="0.25">
      <c r="B129" s="14"/>
      <c r="C129" s="16"/>
      <c r="D129" s="17" t="s">
        <v>10</v>
      </c>
      <c r="E129" s="42" t="s">
        <v>49</v>
      </c>
      <c r="F129" s="86" t="s">
        <v>43</v>
      </c>
      <c r="G129" s="10">
        <v>13</v>
      </c>
      <c r="H129" s="10">
        <v>27</v>
      </c>
      <c r="I129" s="10">
        <v>44</v>
      </c>
      <c r="J129" s="10">
        <v>57</v>
      </c>
      <c r="K129" s="10">
        <v>72</v>
      </c>
      <c r="L129" s="10">
        <v>96</v>
      </c>
      <c r="M129" s="10" t="s">
        <v>62</v>
      </c>
      <c r="N129" s="10" t="s">
        <v>62</v>
      </c>
      <c r="O129" s="10" t="s">
        <v>62</v>
      </c>
      <c r="P129" s="10" t="s">
        <v>62</v>
      </c>
      <c r="Q129" s="10" t="s">
        <v>62</v>
      </c>
      <c r="R129" s="10"/>
      <c r="S129" s="10"/>
      <c r="T129" s="10"/>
    </row>
    <row r="130" spans="2:20" ht="19.149999999999999" customHeight="1" x14ac:dyDescent="0.2">
      <c r="B130" s="11" t="s">
        <v>38</v>
      </c>
      <c r="C130" s="15">
        <v>1</v>
      </c>
      <c r="D130" s="13" t="s">
        <v>11</v>
      </c>
      <c r="E130" s="41" t="s">
        <v>48</v>
      </c>
      <c r="F130" s="82" t="s">
        <v>43</v>
      </c>
      <c r="G130" s="9">
        <v>14</v>
      </c>
      <c r="H130" s="9">
        <v>25</v>
      </c>
      <c r="I130" s="9">
        <v>37</v>
      </c>
      <c r="J130" s="9">
        <v>48</v>
      </c>
      <c r="K130" s="9">
        <v>60</v>
      </c>
      <c r="L130" s="9">
        <v>77</v>
      </c>
      <c r="M130" s="9">
        <v>84</v>
      </c>
      <c r="N130" s="9" t="s">
        <v>62</v>
      </c>
      <c r="O130" s="9" t="s">
        <v>62</v>
      </c>
      <c r="P130" s="9" t="s">
        <v>62</v>
      </c>
      <c r="Q130" s="9" t="s">
        <v>62</v>
      </c>
      <c r="R130" s="9"/>
      <c r="S130" s="9"/>
      <c r="T130" s="9"/>
    </row>
    <row r="131" spans="2:20" ht="19.149999999999999" customHeight="1" x14ac:dyDescent="0.2">
      <c r="B131" s="58"/>
      <c r="C131" s="59"/>
      <c r="D131" s="79" t="s">
        <v>34</v>
      </c>
      <c r="E131" s="80" t="s">
        <v>48</v>
      </c>
      <c r="F131" s="85" t="s">
        <v>43</v>
      </c>
      <c r="G131" s="49">
        <v>14</v>
      </c>
      <c r="H131" s="49">
        <v>28</v>
      </c>
      <c r="I131" s="49">
        <v>46</v>
      </c>
      <c r="J131" s="49">
        <v>61</v>
      </c>
      <c r="K131" s="49">
        <v>73</v>
      </c>
      <c r="L131" s="49">
        <v>92</v>
      </c>
      <c r="M131" s="49" t="s">
        <v>62</v>
      </c>
      <c r="N131" s="49" t="s">
        <v>62</v>
      </c>
      <c r="O131" s="49" t="s">
        <v>62</v>
      </c>
      <c r="P131" s="49" t="s">
        <v>62</v>
      </c>
      <c r="Q131" s="49" t="s">
        <v>62</v>
      </c>
      <c r="R131" s="49"/>
      <c r="S131" s="49"/>
      <c r="T131" s="49"/>
    </row>
    <row r="132" spans="2:20" ht="19.149999999999999" customHeight="1" thickBot="1" x14ac:dyDescent="0.25">
      <c r="B132" s="14"/>
      <c r="C132" s="16"/>
      <c r="D132" s="17" t="s">
        <v>10</v>
      </c>
      <c r="E132" s="42" t="s">
        <v>48</v>
      </c>
      <c r="F132" s="86" t="s">
        <v>43</v>
      </c>
      <c r="G132" s="10">
        <v>13</v>
      </c>
      <c r="H132" s="10">
        <v>24</v>
      </c>
      <c r="I132" s="10">
        <v>38</v>
      </c>
      <c r="J132" s="10">
        <v>49</v>
      </c>
      <c r="K132" s="10">
        <v>61</v>
      </c>
      <c r="L132" s="10">
        <v>78</v>
      </c>
      <c r="M132" s="10">
        <v>86</v>
      </c>
      <c r="N132" s="10" t="s">
        <v>62</v>
      </c>
      <c r="O132" s="10" t="s">
        <v>62</v>
      </c>
      <c r="P132" s="10" t="s">
        <v>62</v>
      </c>
      <c r="Q132" s="10" t="s">
        <v>62</v>
      </c>
      <c r="R132" s="10"/>
      <c r="S132" s="10"/>
      <c r="T132" s="10"/>
    </row>
    <row r="133" spans="2:20" ht="19.149999999999999" customHeight="1" x14ac:dyDescent="0.2">
      <c r="B133" s="11" t="s">
        <v>39</v>
      </c>
      <c r="C133" s="15">
        <v>1</v>
      </c>
      <c r="D133" s="13" t="s">
        <v>10</v>
      </c>
      <c r="E133" s="41" t="s">
        <v>46</v>
      </c>
      <c r="F133" s="82" t="s">
        <v>43</v>
      </c>
      <c r="G133" s="9">
        <v>20</v>
      </c>
      <c r="H133" s="9">
        <v>29</v>
      </c>
      <c r="I133" s="9">
        <v>40</v>
      </c>
      <c r="J133" s="9">
        <v>48</v>
      </c>
      <c r="K133" s="9">
        <v>61</v>
      </c>
      <c r="L133" s="9">
        <v>75</v>
      </c>
      <c r="M133" s="9">
        <v>83</v>
      </c>
      <c r="N133" s="9">
        <v>95</v>
      </c>
      <c r="O133" s="9" t="s">
        <v>62</v>
      </c>
      <c r="P133" s="9" t="s">
        <v>62</v>
      </c>
      <c r="Q133" s="9" t="s">
        <v>62</v>
      </c>
      <c r="R133" s="9"/>
      <c r="S133" s="9"/>
      <c r="T133" s="9"/>
    </row>
    <row r="134" spans="2:20" ht="19.149999999999999" customHeight="1" x14ac:dyDescent="0.2">
      <c r="B134" s="58"/>
      <c r="C134" s="59"/>
      <c r="D134" s="79" t="s">
        <v>34</v>
      </c>
      <c r="E134" s="80" t="s">
        <v>46</v>
      </c>
      <c r="F134" s="85" t="s">
        <v>43</v>
      </c>
      <c r="G134" s="49">
        <v>14</v>
      </c>
      <c r="H134" s="49">
        <v>26</v>
      </c>
      <c r="I134" s="49">
        <v>39</v>
      </c>
      <c r="J134" s="49">
        <v>51</v>
      </c>
      <c r="K134" s="49">
        <v>60</v>
      </c>
      <c r="L134" s="49">
        <v>73</v>
      </c>
      <c r="M134" s="49">
        <v>80</v>
      </c>
      <c r="N134" s="49">
        <v>93</v>
      </c>
      <c r="O134" s="49" t="s">
        <v>62</v>
      </c>
      <c r="P134" s="49" t="s">
        <v>62</v>
      </c>
      <c r="Q134" s="49" t="s">
        <v>62</v>
      </c>
      <c r="R134" s="49"/>
      <c r="S134" s="49"/>
      <c r="T134" s="49"/>
    </row>
    <row r="135" spans="2:20" ht="19.149999999999999" customHeight="1" thickBot="1" x14ac:dyDescent="0.25">
      <c r="B135" s="14"/>
      <c r="C135" s="16"/>
      <c r="D135" s="17" t="s">
        <v>11</v>
      </c>
      <c r="E135" s="42" t="s">
        <v>46</v>
      </c>
      <c r="F135" s="86" t="s">
        <v>43</v>
      </c>
      <c r="G135" s="10">
        <v>18</v>
      </c>
      <c r="H135" s="10">
        <v>29</v>
      </c>
      <c r="I135" s="10">
        <v>43</v>
      </c>
      <c r="J135" s="10">
        <v>55</v>
      </c>
      <c r="K135" s="10">
        <v>64</v>
      </c>
      <c r="L135" s="10">
        <v>78</v>
      </c>
      <c r="M135" s="10">
        <v>85</v>
      </c>
      <c r="N135" s="10">
        <v>98</v>
      </c>
      <c r="O135" s="10" t="s">
        <v>62</v>
      </c>
      <c r="P135" s="10" t="s">
        <v>62</v>
      </c>
      <c r="Q135" s="10" t="s">
        <v>62</v>
      </c>
      <c r="R135" s="10"/>
      <c r="S135" s="10"/>
      <c r="T135" s="10"/>
    </row>
    <row r="136" spans="2:20" ht="19.149999999999999" customHeight="1" x14ac:dyDescent="0.2">
      <c r="B136" s="11" t="s">
        <v>39</v>
      </c>
      <c r="C136" s="15">
        <v>2</v>
      </c>
      <c r="D136" s="13" t="s">
        <v>10</v>
      </c>
      <c r="E136" s="41" t="s">
        <v>44</v>
      </c>
      <c r="F136" s="82" t="s">
        <v>43</v>
      </c>
      <c r="G136" s="9">
        <v>16</v>
      </c>
      <c r="H136" s="9">
        <v>29</v>
      </c>
      <c r="I136" s="9">
        <v>43</v>
      </c>
      <c r="J136" s="9">
        <v>55</v>
      </c>
      <c r="K136" s="9">
        <v>72</v>
      </c>
      <c r="L136" s="9">
        <v>98</v>
      </c>
      <c r="M136" s="95" t="s">
        <v>62</v>
      </c>
      <c r="N136" s="9" t="s">
        <v>62</v>
      </c>
      <c r="O136" s="9" t="s">
        <v>62</v>
      </c>
      <c r="P136" s="9" t="s">
        <v>62</v>
      </c>
      <c r="Q136" s="9" t="s">
        <v>62</v>
      </c>
      <c r="R136" s="9"/>
      <c r="S136" s="9"/>
      <c r="T136" s="9"/>
    </row>
    <row r="137" spans="2:20" ht="19.149999999999999" customHeight="1" x14ac:dyDescent="0.2">
      <c r="B137" s="58"/>
      <c r="C137" s="59"/>
      <c r="D137" s="79" t="s">
        <v>34</v>
      </c>
      <c r="E137" s="80" t="s">
        <v>44</v>
      </c>
      <c r="F137" s="85" t="s">
        <v>43</v>
      </c>
      <c r="G137" s="49">
        <v>15</v>
      </c>
      <c r="H137" s="49">
        <v>28</v>
      </c>
      <c r="I137" s="49">
        <v>45</v>
      </c>
      <c r="J137" s="49">
        <v>60</v>
      </c>
      <c r="K137" s="49">
        <v>74</v>
      </c>
      <c r="L137" s="49">
        <v>95</v>
      </c>
      <c r="M137" s="49" t="s">
        <v>62</v>
      </c>
      <c r="N137" s="49" t="s">
        <v>62</v>
      </c>
      <c r="O137" s="49" t="s">
        <v>62</v>
      </c>
      <c r="P137" s="49" t="s">
        <v>62</v>
      </c>
      <c r="Q137" s="49" t="s">
        <v>62</v>
      </c>
      <c r="R137" s="49"/>
      <c r="S137" s="49"/>
      <c r="T137" s="49"/>
    </row>
    <row r="138" spans="2:20" ht="19.149999999999999" customHeight="1" thickBot="1" x14ac:dyDescent="0.25">
      <c r="B138" s="14"/>
      <c r="C138" s="16"/>
      <c r="D138" s="17" t="s">
        <v>11</v>
      </c>
      <c r="E138" s="42" t="s">
        <v>44</v>
      </c>
      <c r="F138" s="86" t="s">
        <v>43</v>
      </c>
      <c r="G138" s="10">
        <v>12</v>
      </c>
      <c r="H138" s="10">
        <v>23</v>
      </c>
      <c r="I138" s="10">
        <v>38</v>
      </c>
      <c r="J138" s="10">
        <v>48</v>
      </c>
      <c r="K138" s="10">
        <v>56</v>
      </c>
      <c r="L138" s="10">
        <v>67</v>
      </c>
      <c r="M138" s="10">
        <v>71</v>
      </c>
      <c r="N138" s="10">
        <v>75</v>
      </c>
      <c r="O138" s="10">
        <v>85</v>
      </c>
      <c r="P138" s="10" t="s">
        <v>62</v>
      </c>
      <c r="Q138" s="10" t="s">
        <v>62</v>
      </c>
      <c r="R138" s="10"/>
      <c r="S138" s="10"/>
      <c r="T138" s="10"/>
    </row>
    <row r="139" spans="2:20" ht="19.149999999999999" customHeight="1" x14ac:dyDescent="0.2">
      <c r="B139" s="11" t="s">
        <v>39</v>
      </c>
      <c r="C139" s="15">
        <v>3</v>
      </c>
      <c r="D139" s="13" t="s">
        <v>10</v>
      </c>
      <c r="E139" s="41" t="s">
        <v>46</v>
      </c>
      <c r="F139" s="82" t="s">
        <v>43</v>
      </c>
      <c r="G139" s="9">
        <v>13</v>
      </c>
      <c r="H139" s="9">
        <v>24</v>
      </c>
      <c r="I139" s="9">
        <v>37</v>
      </c>
      <c r="J139" s="9">
        <v>47</v>
      </c>
      <c r="K139" s="9">
        <v>63</v>
      </c>
      <c r="L139" s="9">
        <v>86</v>
      </c>
      <c r="M139" s="9">
        <v>93</v>
      </c>
      <c r="N139" s="9" t="s">
        <v>62</v>
      </c>
      <c r="O139" s="9" t="s">
        <v>62</v>
      </c>
      <c r="P139" s="9" t="s">
        <v>62</v>
      </c>
      <c r="Q139" s="9" t="s">
        <v>62</v>
      </c>
      <c r="R139" s="9"/>
      <c r="S139" s="9"/>
      <c r="T139" s="9"/>
    </row>
    <row r="140" spans="2:20" ht="19.149999999999999" customHeight="1" x14ac:dyDescent="0.2">
      <c r="B140" s="58"/>
      <c r="C140" s="59"/>
      <c r="D140" s="79" t="s">
        <v>34</v>
      </c>
      <c r="E140" s="80" t="s">
        <v>46</v>
      </c>
      <c r="F140" s="85" t="s">
        <v>43</v>
      </c>
      <c r="G140" s="49">
        <v>13</v>
      </c>
      <c r="H140" s="49">
        <v>24</v>
      </c>
      <c r="I140" s="49">
        <v>37</v>
      </c>
      <c r="J140" s="49">
        <v>48</v>
      </c>
      <c r="K140" s="49">
        <v>61</v>
      </c>
      <c r="L140" s="49">
        <v>78</v>
      </c>
      <c r="M140" s="49">
        <v>86</v>
      </c>
      <c r="N140" s="49">
        <v>95</v>
      </c>
      <c r="O140" s="49" t="s">
        <v>62</v>
      </c>
      <c r="P140" s="49" t="s">
        <v>62</v>
      </c>
      <c r="Q140" s="49" t="s">
        <v>62</v>
      </c>
      <c r="R140" s="49"/>
      <c r="S140" s="49"/>
      <c r="T140" s="49"/>
    </row>
    <row r="141" spans="2:20" ht="19.149999999999999" customHeight="1" thickBot="1" x14ac:dyDescent="0.25">
      <c r="B141" s="14"/>
      <c r="C141" s="16"/>
      <c r="D141" s="17" t="s">
        <v>11</v>
      </c>
      <c r="E141" s="42" t="s">
        <v>46</v>
      </c>
      <c r="F141" s="86" t="s">
        <v>43</v>
      </c>
      <c r="G141" s="10">
        <v>15</v>
      </c>
      <c r="H141" s="10">
        <v>25</v>
      </c>
      <c r="I141" s="10">
        <v>38</v>
      </c>
      <c r="J141" s="10">
        <v>49</v>
      </c>
      <c r="K141" s="10">
        <v>60</v>
      </c>
      <c r="L141" s="10">
        <v>77</v>
      </c>
      <c r="M141" s="10">
        <v>83</v>
      </c>
      <c r="N141" s="10">
        <v>91</v>
      </c>
      <c r="O141" s="10">
        <v>94</v>
      </c>
      <c r="P141" s="10" t="s">
        <v>62</v>
      </c>
      <c r="Q141" s="10" t="s">
        <v>62</v>
      </c>
      <c r="R141" s="10"/>
      <c r="S141" s="10"/>
      <c r="T141" s="10"/>
    </row>
    <row r="142" spans="2:20" ht="19.149999999999999" customHeight="1" x14ac:dyDescent="0.2">
      <c r="B142" s="11" t="s">
        <v>39</v>
      </c>
      <c r="C142" s="15">
        <v>4</v>
      </c>
      <c r="D142" s="13" t="s">
        <v>10</v>
      </c>
      <c r="E142" s="41" t="s">
        <v>45</v>
      </c>
      <c r="F142" s="82" t="s">
        <v>43</v>
      </c>
      <c r="G142" s="9">
        <v>12</v>
      </c>
      <c r="H142" s="9">
        <v>21</v>
      </c>
      <c r="I142" s="9">
        <v>32</v>
      </c>
      <c r="J142" s="9">
        <v>41</v>
      </c>
      <c r="K142" s="9">
        <v>52</v>
      </c>
      <c r="L142" s="9">
        <v>68</v>
      </c>
      <c r="M142" s="9">
        <v>71</v>
      </c>
      <c r="N142" s="9">
        <v>77</v>
      </c>
      <c r="O142" s="9">
        <v>85</v>
      </c>
      <c r="P142" s="9" t="s">
        <v>62</v>
      </c>
      <c r="Q142" s="9" t="s">
        <v>62</v>
      </c>
      <c r="R142" s="9"/>
      <c r="S142" s="9"/>
      <c r="T142" s="9"/>
    </row>
    <row r="143" spans="2:20" ht="19.149999999999999" customHeight="1" x14ac:dyDescent="0.2">
      <c r="B143" s="58"/>
      <c r="C143" s="59"/>
      <c r="D143" s="79" t="s">
        <v>34</v>
      </c>
      <c r="E143" s="80" t="s">
        <v>45</v>
      </c>
      <c r="F143" s="85" t="s">
        <v>43</v>
      </c>
      <c r="G143" s="49">
        <v>14</v>
      </c>
      <c r="H143" s="49">
        <v>24</v>
      </c>
      <c r="I143" s="49">
        <v>37</v>
      </c>
      <c r="J143" s="49">
        <v>47</v>
      </c>
      <c r="K143" s="49">
        <v>56</v>
      </c>
      <c r="L143" s="49">
        <v>69</v>
      </c>
      <c r="M143" s="49">
        <v>73</v>
      </c>
      <c r="N143" s="49">
        <v>80</v>
      </c>
      <c r="O143" s="49">
        <v>88</v>
      </c>
      <c r="P143" s="49" t="s">
        <v>62</v>
      </c>
      <c r="Q143" s="49" t="s">
        <v>62</v>
      </c>
      <c r="R143" s="49"/>
      <c r="S143" s="49"/>
      <c r="T143" s="49"/>
    </row>
    <row r="144" spans="2:20" ht="19.149999999999999" customHeight="1" thickBot="1" x14ac:dyDescent="0.25">
      <c r="B144" s="14"/>
      <c r="C144" s="16"/>
      <c r="D144" s="17" t="s">
        <v>11</v>
      </c>
      <c r="E144" s="42" t="s">
        <v>45</v>
      </c>
      <c r="F144" s="86" t="s">
        <v>43</v>
      </c>
      <c r="G144" s="10">
        <v>14</v>
      </c>
      <c r="H144" s="10">
        <v>23</v>
      </c>
      <c r="I144" s="10">
        <v>32</v>
      </c>
      <c r="J144" s="10">
        <v>39</v>
      </c>
      <c r="K144" s="10">
        <v>45</v>
      </c>
      <c r="L144" s="10">
        <v>54</v>
      </c>
      <c r="M144" s="10">
        <v>58</v>
      </c>
      <c r="N144" s="10">
        <v>65</v>
      </c>
      <c r="O144" s="10">
        <v>77</v>
      </c>
      <c r="P144" s="10" t="s">
        <v>62</v>
      </c>
      <c r="Q144" s="10" t="s">
        <v>62</v>
      </c>
      <c r="R144" s="10"/>
      <c r="S144" s="10"/>
      <c r="T144" s="10"/>
    </row>
    <row r="145" spans="2:20" ht="19.149999999999999" customHeight="1" x14ac:dyDescent="0.2">
      <c r="B145" s="11" t="s">
        <v>40</v>
      </c>
      <c r="C145" s="15">
        <v>4</v>
      </c>
      <c r="D145" s="13" t="s">
        <v>11</v>
      </c>
      <c r="E145" s="41" t="s">
        <v>45</v>
      </c>
      <c r="F145" s="82" t="s">
        <v>50</v>
      </c>
      <c r="G145" s="9">
        <v>11</v>
      </c>
      <c r="H145" s="9">
        <v>22</v>
      </c>
      <c r="I145" s="9">
        <v>35</v>
      </c>
      <c r="J145" s="9">
        <v>45</v>
      </c>
      <c r="K145" s="9">
        <v>57</v>
      </c>
      <c r="L145" s="9">
        <v>76</v>
      </c>
      <c r="M145" s="9">
        <v>70</v>
      </c>
      <c r="N145" s="9">
        <v>60</v>
      </c>
      <c r="O145" s="9">
        <v>63</v>
      </c>
      <c r="P145" s="9">
        <v>92</v>
      </c>
      <c r="Q145" s="9" t="s">
        <v>62</v>
      </c>
      <c r="R145" s="9"/>
      <c r="S145" s="9"/>
      <c r="T145" s="9"/>
    </row>
    <row r="146" spans="2:20" ht="19.149999999999999" customHeight="1" x14ac:dyDescent="0.2">
      <c r="B146" s="58"/>
      <c r="C146" s="59"/>
      <c r="D146" s="79" t="s">
        <v>34</v>
      </c>
      <c r="E146" s="80" t="s">
        <v>45</v>
      </c>
      <c r="F146" s="85" t="s">
        <v>50</v>
      </c>
      <c r="G146" s="49">
        <v>10</v>
      </c>
      <c r="H146" s="49">
        <v>17</v>
      </c>
      <c r="I146" s="49">
        <v>25</v>
      </c>
      <c r="J146" s="49">
        <v>32</v>
      </c>
      <c r="K146" s="49">
        <v>37</v>
      </c>
      <c r="L146" s="49">
        <v>44</v>
      </c>
      <c r="M146" s="49">
        <v>45</v>
      </c>
      <c r="N146" s="49">
        <v>51</v>
      </c>
      <c r="O146" s="49">
        <v>49</v>
      </c>
      <c r="P146" s="49">
        <v>81</v>
      </c>
      <c r="Q146" s="49" t="s">
        <v>62</v>
      </c>
      <c r="R146" s="49"/>
      <c r="S146" s="49"/>
      <c r="T146" s="49"/>
    </row>
    <row r="147" spans="2:20" ht="19.149999999999999" customHeight="1" thickBot="1" x14ac:dyDescent="0.25">
      <c r="B147" s="14"/>
      <c r="C147" s="16"/>
      <c r="D147" s="17" t="s">
        <v>10</v>
      </c>
      <c r="E147" s="42" t="s">
        <v>45</v>
      </c>
      <c r="F147" s="86" t="s">
        <v>50</v>
      </c>
      <c r="G147" s="10">
        <v>9</v>
      </c>
      <c r="H147" s="10">
        <v>16</v>
      </c>
      <c r="I147" s="10">
        <v>24</v>
      </c>
      <c r="J147" s="10">
        <v>31</v>
      </c>
      <c r="K147" s="10">
        <v>44</v>
      </c>
      <c r="L147" s="10">
        <v>64</v>
      </c>
      <c r="M147" s="10">
        <v>70</v>
      </c>
      <c r="N147" s="10">
        <v>78</v>
      </c>
      <c r="O147" s="10">
        <v>86</v>
      </c>
      <c r="P147" s="10" t="s">
        <v>62</v>
      </c>
      <c r="Q147" s="10" t="s">
        <v>62</v>
      </c>
      <c r="R147" s="10"/>
      <c r="S147" s="10"/>
      <c r="T147" s="10"/>
    </row>
    <row r="148" spans="2:20" ht="19.149999999999999" customHeight="1" x14ac:dyDescent="0.2">
      <c r="B148" s="11" t="s">
        <v>40</v>
      </c>
      <c r="C148" s="15">
        <v>3</v>
      </c>
      <c r="D148" s="13" t="s">
        <v>11</v>
      </c>
      <c r="E148" s="41" t="s">
        <v>46</v>
      </c>
      <c r="F148" s="82" t="s">
        <v>50</v>
      </c>
      <c r="G148" s="9">
        <v>9</v>
      </c>
      <c r="H148" s="9">
        <v>15</v>
      </c>
      <c r="I148" s="9">
        <v>22</v>
      </c>
      <c r="J148" s="9">
        <v>27</v>
      </c>
      <c r="K148" s="9">
        <v>39</v>
      </c>
      <c r="L148" s="9">
        <v>58</v>
      </c>
      <c r="M148" s="9">
        <v>66</v>
      </c>
      <c r="N148" s="9">
        <v>80</v>
      </c>
      <c r="O148" s="9" t="s">
        <v>62</v>
      </c>
      <c r="P148" s="9" t="s">
        <v>62</v>
      </c>
      <c r="Q148" s="9" t="s">
        <v>62</v>
      </c>
      <c r="R148" s="9"/>
      <c r="S148" s="9"/>
      <c r="T148" s="9"/>
    </row>
    <row r="149" spans="2:20" ht="19.149999999999999" customHeight="1" x14ac:dyDescent="0.2">
      <c r="B149" s="58"/>
      <c r="C149" s="59"/>
      <c r="D149" s="79" t="s">
        <v>34</v>
      </c>
      <c r="E149" s="80" t="s">
        <v>46</v>
      </c>
      <c r="F149" s="85" t="s">
        <v>50</v>
      </c>
      <c r="G149" s="49">
        <v>10</v>
      </c>
      <c r="H149" s="49">
        <v>15</v>
      </c>
      <c r="I149" s="49">
        <v>27</v>
      </c>
      <c r="J149" s="49">
        <v>36</v>
      </c>
      <c r="K149" s="49">
        <v>47</v>
      </c>
      <c r="L149" s="49">
        <v>67</v>
      </c>
      <c r="M149" s="49">
        <v>74</v>
      </c>
      <c r="N149" s="49">
        <v>88</v>
      </c>
      <c r="O149" s="49" t="s">
        <v>62</v>
      </c>
      <c r="P149" s="49" t="s">
        <v>62</v>
      </c>
      <c r="Q149" s="49" t="s">
        <v>62</v>
      </c>
      <c r="R149" s="49"/>
      <c r="S149" s="49"/>
      <c r="T149" s="49"/>
    </row>
    <row r="150" spans="2:20" ht="19.149999999999999" customHeight="1" thickBot="1" x14ac:dyDescent="0.25">
      <c r="B150" s="14"/>
      <c r="C150" s="16"/>
      <c r="D150" s="17" t="s">
        <v>10</v>
      </c>
      <c r="E150" s="42" t="s">
        <v>46</v>
      </c>
      <c r="F150" s="86" t="s">
        <v>50</v>
      </c>
      <c r="G150" s="10">
        <v>10</v>
      </c>
      <c r="H150" s="10">
        <v>15</v>
      </c>
      <c r="I150" s="10">
        <v>26</v>
      </c>
      <c r="J150" s="10">
        <v>36</v>
      </c>
      <c r="K150" s="10">
        <v>48</v>
      </c>
      <c r="L150" s="10">
        <v>68</v>
      </c>
      <c r="M150" s="10">
        <v>76</v>
      </c>
      <c r="N150" s="10">
        <v>89</v>
      </c>
      <c r="O150" s="10" t="s">
        <v>62</v>
      </c>
      <c r="P150" s="10" t="s">
        <v>62</v>
      </c>
      <c r="Q150" s="10" t="s">
        <v>62</v>
      </c>
      <c r="R150" s="10"/>
      <c r="S150" s="10"/>
      <c r="T150" s="10"/>
    </row>
    <row r="151" spans="2:20" ht="19.149999999999999" customHeight="1" x14ac:dyDescent="0.2">
      <c r="B151" s="11" t="s">
        <v>40</v>
      </c>
      <c r="C151" s="15">
        <v>2</v>
      </c>
      <c r="D151" s="13" t="s">
        <v>11</v>
      </c>
      <c r="E151" s="41" t="s">
        <v>44</v>
      </c>
      <c r="F151" s="82" t="s">
        <v>50</v>
      </c>
      <c r="G151" s="9">
        <v>13</v>
      </c>
      <c r="H151" s="9">
        <v>24</v>
      </c>
      <c r="I151" s="9">
        <v>37</v>
      </c>
      <c r="J151" s="9">
        <v>47</v>
      </c>
      <c r="K151" s="9">
        <v>60</v>
      </c>
      <c r="L151" s="9">
        <v>79</v>
      </c>
      <c r="M151" s="9">
        <v>85</v>
      </c>
      <c r="N151" s="9" t="s">
        <v>62</v>
      </c>
      <c r="O151" s="9" t="s">
        <v>62</v>
      </c>
      <c r="P151" s="9" t="s">
        <v>62</v>
      </c>
      <c r="Q151" s="9" t="s">
        <v>62</v>
      </c>
      <c r="R151" s="9"/>
      <c r="S151" s="9"/>
      <c r="T151" s="9"/>
    </row>
    <row r="152" spans="2:20" ht="19.149999999999999" customHeight="1" x14ac:dyDescent="0.2">
      <c r="B152" s="58"/>
      <c r="C152" s="59"/>
      <c r="D152" s="79" t="s">
        <v>34</v>
      </c>
      <c r="E152" s="80" t="s">
        <v>44</v>
      </c>
      <c r="F152" s="85" t="s">
        <v>50</v>
      </c>
      <c r="G152" s="49">
        <v>7</v>
      </c>
      <c r="H152" s="49">
        <v>17</v>
      </c>
      <c r="I152" s="49">
        <v>33</v>
      </c>
      <c r="J152" s="49">
        <v>45</v>
      </c>
      <c r="K152" s="49">
        <v>51</v>
      </c>
      <c r="L152" s="49">
        <v>59</v>
      </c>
      <c r="M152" s="49">
        <v>74</v>
      </c>
      <c r="N152" s="49" t="s">
        <v>62</v>
      </c>
      <c r="O152" s="49" t="s">
        <v>62</v>
      </c>
      <c r="P152" s="49" t="s">
        <v>62</v>
      </c>
      <c r="Q152" s="49" t="s">
        <v>62</v>
      </c>
      <c r="R152" s="49"/>
      <c r="S152" s="49"/>
      <c r="T152" s="49"/>
    </row>
    <row r="153" spans="2:20" ht="19.149999999999999" customHeight="1" thickBot="1" x14ac:dyDescent="0.25">
      <c r="B153" s="14"/>
      <c r="C153" s="16"/>
      <c r="D153" s="17" t="s">
        <v>10</v>
      </c>
      <c r="E153" s="42" t="s">
        <v>44</v>
      </c>
      <c r="F153" s="86" t="s">
        <v>50</v>
      </c>
      <c r="G153" s="10">
        <v>9</v>
      </c>
      <c r="H153" s="10">
        <v>20</v>
      </c>
      <c r="I153" s="10">
        <v>34</v>
      </c>
      <c r="J153" s="10">
        <v>44</v>
      </c>
      <c r="K153" s="10">
        <v>58</v>
      </c>
      <c r="L153" s="10">
        <v>79</v>
      </c>
      <c r="M153" s="10">
        <v>87</v>
      </c>
      <c r="N153" s="10" t="s">
        <v>62</v>
      </c>
      <c r="O153" s="10" t="s">
        <v>62</v>
      </c>
      <c r="P153" s="10" t="s">
        <v>62</v>
      </c>
      <c r="Q153" s="10" t="s">
        <v>62</v>
      </c>
      <c r="R153" s="10"/>
      <c r="S153" s="10"/>
      <c r="T153" s="10"/>
    </row>
    <row r="154" spans="2:20" ht="19.149999999999999" customHeight="1" x14ac:dyDescent="0.2">
      <c r="B154" s="11" t="s">
        <v>40</v>
      </c>
      <c r="C154" s="15">
        <v>1</v>
      </c>
      <c r="D154" s="13" t="s">
        <v>11</v>
      </c>
      <c r="E154" s="41" t="s">
        <v>46</v>
      </c>
      <c r="F154" s="82" t="s">
        <v>50</v>
      </c>
      <c r="G154" s="9">
        <v>4</v>
      </c>
      <c r="H154" s="9">
        <v>11</v>
      </c>
      <c r="I154" s="9">
        <v>39</v>
      </c>
      <c r="J154" s="9">
        <v>25</v>
      </c>
      <c r="K154" s="9">
        <v>37</v>
      </c>
      <c r="L154" s="9">
        <v>55</v>
      </c>
      <c r="M154" s="9">
        <v>62</v>
      </c>
      <c r="N154" s="9">
        <v>73</v>
      </c>
      <c r="O154" s="9">
        <v>86</v>
      </c>
      <c r="P154" s="9" t="s">
        <v>62</v>
      </c>
      <c r="Q154" s="9" t="s">
        <v>62</v>
      </c>
      <c r="R154" s="9"/>
      <c r="S154" s="9"/>
      <c r="T154" s="9"/>
    </row>
    <row r="155" spans="2:20" ht="19.149999999999999" customHeight="1" x14ac:dyDescent="0.2">
      <c r="B155" s="58"/>
      <c r="C155" s="59"/>
      <c r="D155" s="79" t="s">
        <v>34</v>
      </c>
      <c r="E155" s="80" t="s">
        <v>46</v>
      </c>
      <c r="F155" s="85" t="s">
        <v>50</v>
      </c>
      <c r="G155" s="49">
        <v>8</v>
      </c>
      <c r="H155" s="49">
        <v>14</v>
      </c>
      <c r="I155" s="49">
        <v>23</v>
      </c>
      <c r="J155" s="49">
        <v>31</v>
      </c>
      <c r="K155" s="49">
        <v>41</v>
      </c>
      <c r="L155" s="49">
        <v>57</v>
      </c>
      <c r="M155" s="49">
        <v>69</v>
      </c>
      <c r="N155" s="49">
        <v>87</v>
      </c>
      <c r="O155" s="49" t="s">
        <v>62</v>
      </c>
      <c r="P155" s="49" t="s">
        <v>62</v>
      </c>
      <c r="Q155" s="49" t="s">
        <v>62</v>
      </c>
      <c r="R155" s="49"/>
      <c r="S155" s="49"/>
      <c r="T155" s="49"/>
    </row>
    <row r="156" spans="2:20" ht="19.149999999999999" customHeight="1" thickBot="1" x14ac:dyDescent="0.25">
      <c r="B156" s="14"/>
      <c r="C156" s="16"/>
      <c r="D156" s="17" t="s">
        <v>10</v>
      </c>
      <c r="E156" s="42" t="s">
        <v>46</v>
      </c>
      <c r="F156" s="86" t="s">
        <v>50</v>
      </c>
      <c r="G156" s="10">
        <v>11</v>
      </c>
      <c r="H156" s="10">
        <v>21</v>
      </c>
      <c r="I156" s="10">
        <v>33</v>
      </c>
      <c r="J156" s="10">
        <v>42</v>
      </c>
      <c r="K156" s="10">
        <v>54</v>
      </c>
      <c r="L156" s="10">
        <v>71</v>
      </c>
      <c r="M156" s="10">
        <v>81</v>
      </c>
      <c r="N156" s="10">
        <v>95</v>
      </c>
      <c r="O156" s="10" t="s">
        <v>62</v>
      </c>
      <c r="P156" s="10" t="s">
        <v>62</v>
      </c>
      <c r="Q156" s="10" t="s">
        <v>62</v>
      </c>
      <c r="R156" s="10"/>
      <c r="S156" s="10"/>
      <c r="T156" s="10"/>
    </row>
  </sheetData>
  <mergeCells count="1">
    <mergeCell ref="B12:C12"/>
  </mergeCells>
  <conditionalFormatting sqref="E13:E156">
    <cfRule type="endsWith" dxfId="29" priority="1" operator="endsWith" text="FAO">
      <formula>RIGHT(E13,LEN("FAO"))="FAO"</formula>
    </cfRule>
    <cfRule type="endsWith" dxfId="28" priority="2" operator="endsWith" text="AQC">
      <formula>RIGHT(E13,LEN("AQC"))="AQC"</formula>
    </cfRule>
    <cfRule type="endsWith" dxfId="27" priority="3" operator="endsWith" text="CSM-N">
      <formula>RIGHT(E13,LEN("CSM-N"))="CSM-N"</formula>
    </cfRule>
    <cfRule type="endsWith" dxfId="26" priority="4" operator="endsWith" text="FAO-N">
      <formula>RIGHT(E13,LEN("FAO-N"))="FAO-N"</formula>
    </cfRule>
    <cfRule type="endsWith" dxfId="25" priority="5" operator="endsWith" text="AQC-N">
      <formula>RIGHT(E13,LEN("AQC-N"))="AQC-N"</formula>
    </cfRule>
    <cfRule type="endsWith" dxfId="24" priority="6" operator="endsWith" text="CSM">
      <formula>RIGHT(E13,LEN("CSM"))="CSM"</formula>
    </cfRule>
  </conditionalFormatting>
  <conditionalFormatting sqref="F13:F156">
    <cfRule type="containsText" dxfId="23" priority="7" operator="containsText" text="NG3195">
      <formula>NOT(ISERROR(SEARCH("NG3195",F13)))</formula>
    </cfRule>
    <cfRule type="containsText" dxfId="22" priority="8" operator="containsText" text="NG4936">
      <formula>NOT(ISERROR(SEARCH("NG4936",F13)))</formula>
    </cfRule>
  </conditionalFormatting>
  <printOptions verticalCentered="1"/>
  <pageMargins left="0.45" right="0.45" top="1" bottom="0.25" header="0" footer="0"/>
  <pageSetup scale="92" fitToHeight="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3"/>
  <sheetViews>
    <sheetView zoomScale="115" zoomScaleNormal="115" workbookViewId="0">
      <selection activeCell="AB26" sqref="AB26"/>
    </sheetView>
  </sheetViews>
  <sheetFormatPr defaultRowHeight="12.75" x14ac:dyDescent="0.2"/>
  <cols>
    <col min="1" max="1" width="12.85546875" customWidth="1"/>
    <col min="3" max="3" width="9" customWidth="1"/>
    <col min="7" max="7" width="8.85546875" style="52"/>
    <col min="16" max="16" width="13.140625" customWidth="1"/>
  </cols>
  <sheetData>
    <row r="1" spans="1:29" ht="21" x14ac:dyDescent="0.35">
      <c r="A1" s="6" t="s">
        <v>21</v>
      </c>
      <c r="E1" s="94">
        <v>2021</v>
      </c>
    </row>
    <row r="2" spans="1:29" ht="15.75" x14ac:dyDescent="0.25">
      <c r="A2" s="6"/>
      <c r="D2" s="37"/>
      <c r="E2" s="37"/>
      <c r="F2" s="37"/>
    </row>
    <row r="3" spans="1:29" ht="15.75" x14ac:dyDescent="0.25">
      <c r="A3" s="6"/>
      <c r="P3" s="6"/>
      <c r="V3" s="52"/>
    </row>
    <row r="4" spans="1:29" ht="23.25" x14ac:dyDescent="0.35">
      <c r="A4" s="93" t="s">
        <v>22</v>
      </c>
      <c r="P4" s="94" t="s">
        <v>22</v>
      </c>
      <c r="V4" s="52"/>
    </row>
    <row r="5" spans="1:29" s="45" customFormat="1" ht="12" x14ac:dyDescent="0.2">
      <c r="B5" s="46"/>
      <c r="C5" s="47"/>
      <c r="D5" s="47">
        <f>'Height Summary'!G9</f>
        <v>44348</v>
      </c>
      <c r="E5" s="47">
        <f>'Height Summary'!H9</f>
        <v>44354</v>
      </c>
      <c r="F5" s="47">
        <f>'Height Summary'!I9</f>
        <v>44364</v>
      </c>
      <c r="G5" s="47">
        <f>'Height Summary'!J9</f>
        <v>44371</v>
      </c>
      <c r="H5" s="47">
        <f>'Height Summary'!K9</f>
        <v>44378</v>
      </c>
      <c r="I5" s="47">
        <f>'Height Summary'!L9</f>
        <v>44390</v>
      </c>
      <c r="J5" s="47">
        <f>'Height Summary'!M9</f>
        <v>44396</v>
      </c>
      <c r="K5" s="47">
        <f>'Height Summary'!N9</f>
        <v>44413</v>
      </c>
      <c r="L5" s="47">
        <f>'Height Summary'!O9</f>
        <v>44420</v>
      </c>
      <c r="M5" s="47">
        <f>'Height Summary'!P9</f>
        <v>44427</v>
      </c>
      <c r="N5" s="47">
        <f>'Height Summary'!Q9</f>
        <v>44446</v>
      </c>
      <c r="Q5" s="46"/>
      <c r="R5" s="47"/>
      <c r="S5" s="47">
        <f>'Height Summary'!G9</f>
        <v>44348</v>
      </c>
      <c r="T5" s="47">
        <f>'Height Summary'!H9</f>
        <v>44354</v>
      </c>
      <c r="U5" s="47">
        <f>'Height Summary'!I9</f>
        <v>44364</v>
      </c>
      <c r="V5" s="47">
        <f>'Height Summary'!J9</f>
        <v>44371</v>
      </c>
      <c r="W5" s="47">
        <f>'Height Summary'!K9</f>
        <v>44378</v>
      </c>
      <c r="X5" s="47">
        <f>'Height Summary'!L9</f>
        <v>44390</v>
      </c>
      <c r="Y5" s="47">
        <f>'Height Summary'!M9</f>
        <v>44396</v>
      </c>
      <c r="Z5" s="47">
        <f>'Height Summary'!N9</f>
        <v>44413</v>
      </c>
      <c r="AA5" s="47">
        <f>'Height Summary'!O9</f>
        <v>44420</v>
      </c>
      <c r="AB5" s="47">
        <f>'Height Summary'!P9</f>
        <v>44427</v>
      </c>
      <c r="AC5" s="47">
        <f>'Height Summary'!Q9</f>
        <v>44446</v>
      </c>
    </row>
    <row r="6" spans="1:29" ht="21" x14ac:dyDescent="0.2">
      <c r="A6" s="88" t="s">
        <v>43</v>
      </c>
      <c r="C6" s="33"/>
      <c r="D6" s="33">
        <f>'Height Summary'!G10</f>
        <v>152</v>
      </c>
      <c r="E6" s="33">
        <f>'Height Summary'!H10</f>
        <v>158</v>
      </c>
      <c r="F6" s="33">
        <f>'Height Summary'!I10</f>
        <v>168</v>
      </c>
      <c r="G6" s="33">
        <f>'Height Summary'!J10</f>
        <v>175</v>
      </c>
      <c r="H6" s="33">
        <f>'Height Summary'!K10</f>
        <v>182</v>
      </c>
      <c r="I6" s="33">
        <f>'Height Summary'!L10</f>
        <v>194</v>
      </c>
      <c r="J6" s="33">
        <f>'Height Summary'!M10</f>
        <v>200</v>
      </c>
      <c r="K6" s="33">
        <f>'Height Summary'!N10</f>
        <v>217</v>
      </c>
      <c r="L6" s="33">
        <f>'Height Summary'!O10</f>
        <v>224</v>
      </c>
      <c r="M6" s="33">
        <f>'Height Summary'!P10</f>
        <v>238</v>
      </c>
      <c r="N6" s="33">
        <f>'Height Summary'!Q10</f>
        <v>250</v>
      </c>
      <c r="P6" s="91" t="s">
        <v>50</v>
      </c>
      <c r="R6" s="33"/>
      <c r="S6" s="33">
        <f>'Height Summary'!G10</f>
        <v>152</v>
      </c>
      <c r="T6" s="33">
        <f>'Height Summary'!H10</f>
        <v>158</v>
      </c>
      <c r="U6" s="33">
        <f>'Height Summary'!I10</f>
        <v>168</v>
      </c>
      <c r="V6" s="33">
        <f>'Height Summary'!J10</f>
        <v>175</v>
      </c>
      <c r="W6" s="33">
        <f>'Height Summary'!K10</f>
        <v>182</v>
      </c>
      <c r="X6" s="33">
        <f>'Height Summary'!L10</f>
        <v>194</v>
      </c>
      <c r="Y6" s="33">
        <f>'Height Summary'!M10</f>
        <v>200</v>
      </c>
      <c r="Z6" s="33">
        <f>'Height Summary'!N10</f>
        <v>217</v>
      </c>
      <c r="AA6" s="33">
        <f>'Height Summary'!O10</f>
        <v>224</v>
      </c>
      <c r="AB6" s="33">
        <f>'Height Summary'!P10</f>
        <v>238</v>
      </c>
      <c r="AC6" s="33">
        <f>'Height Summary'!Q10</f>
        <v>250</v>
      </c>
    </row>
    <row r="7" spans="1:29" ht="21" x14ac:dyDescent="0.35">
      <c r="A7" s="89"/>
      <c r="B7" s="87" t="s">
        <v>44</v>
      </c>
      <c r="C7" s="38"/>
      <c r="D7" s="38">
        <f>AVERAGEIFS('Height Summary'!G$13:G$156,'Height Summary'!$F$13:$F$156, "NG3195",'Height Summary'!$E$13:$E$156, "AQC")</f>
        <v>16.666666666666668</v>
      </c>
      <c r="E7" s="38">
        <f>AVERAGEIFS('Height Summary'!H$13:H$156,'Height Summary'!$F$13:$F$156, "NG3195",'Height Summary'!$E$13:$E$156, "AQC")</f>
        <v>26.083333333333332</v>
      </c>
      <c r="F7" s="38">
        <f>AVERAGEIFS('Height Summary'!I$13:I$156,'Height Summary'!$F$13:$F$156, "NG3195",'Height Summary'!$E$13:$E$156, "AQC")</f>
        <v>36.916666666666664</v>
      </c>
      <c r="G7" s="38">
        <f>AVERAGEIFS('Height Summary'!J$13:J$156,'Height Summary'!$F$13:$F$156, "NG3195",'Height Summary'!$E$13:$E$156, "AQC")</f>
        <v>47.833333333333336</v>
      </c>
      <c r="H7" s="38">
        <f>AVERAGEIFS('Height Summary'!K$13:K$156,'Height Summary'!$F$13:$F$156, "NG3195",'Height Summary'!$E$13:$E$156, "AQC")</f>
        <v>64</v>
      </c>
      <c r="I7" s="38">
        <f>AVERAGEIFS('Height Summary'!L$13:L$156,'Height Summary'!$F$13:$F$156, "NG3195",'Height Summary'!$E$13:$E$156, "AQC")</f>
        <v>95</v>
      </c>
      <c r="J7" s="38">
        <f>AVERAGEIFS('Height Summary'!M$13:M$156,'Height Summary'!$F$13:$F$156, "NG3195",'Height Summary'!$E$13:$E$156, "AQC")</f>
        <v>110.41666666666667</v>
      </c>
      <c r="K7" s="38">
        <f>AVERAGEIFS('Height Summary'!N$13:N$156,'Height Summary'!$F$13:$F$156, "NG3195",'Height Summary'!$E$13:$E$156, "AQC")</f>
        <v>127.16666666666667</v>
      </c>
      <c r="L7" s="38">
        <f>AVERAGEIFS('Height Summary'!O$13:O$156,'Height Summary'!$F$13:$F$156, "NG3195",'Height Summary'!$E$13:$E$156, "AQC")</f>
        <v>149.66666666666666</v>
      </c>
      <c r="M7" s="38">
        <f>AVERAGEIFS('Height Summary'!P$13:P$156,'Height Summary'!$F$13:$F$156, "NG3195",'Height Summary'!$E$13:$E$156, "AQC")</f>
        <v>153.41666666666666</v>
      </c>
      <c r="N7" s="38">
        <f>AVERAGEIFS('Height Summary'!Q$13:Q$156,'Height Summary'!$F$13:$F$156, "NG3195",'Height Summary'!$E$13:$E$156, "AQC")</f>
        <v>180.375</v>
      </c>
      <c r="P7" s="92"/>
      <c r="Q7" s="87" t="s">
        <v>44</v>
      </c>
      <c r="R7" s="38"/>
      <c r="S7" s="38">
        <f>AVERAGEIFS('Height Summary'!G$13:G$156,'Height Summary'!$F$13:$F$156, "NG4936",'Height Summary'!$E$13:$E$156, "AQC")</f>
        <v>12.166666666666666</v>
      </c>
      <c r="T7" s="38">
        <f>AVERAGEIFS('Height Summary'!H$13:H$156,'Height Summary'!$F$13:$F$156, "NG4936",'Height Summary'!$E$13:$E$156, "AQC")</f>
        <v>20.083333333333332</v>
      </c>
      <c r="U7" s="38">
        <f>AVERAGEIFS('Height Summary'!I$13:I$156,'Height Summary'!$F$13:$F$156, "NG4936",'Height Summary'!$E$13:$E$156, "AQC")</f>
        <v>28.75</v>
      </c>
      <c r="V7" s="38">
        <f>AVERAGEIFS('Height Summary'!J$13:J$156,'Height Summary'!$F$13:$F$156, "NG4936",'Height Summary'!$E$13:$E$156, "AQC")</f>
        <v>37.916666666666664</v>
      </c>
      <c r="W7" s="38">
        <f>AVERAGEIFS('Height Summary'!K$13:K$156,'Height Summary'!$F$13:$F$156, "NG4936",'Height Summary'!$E$13:$E$156, "AQC")</f>
        <v>53.916666666666664</v>
      </c>
      <c r="X7" s="38">
        <f>AVERAGEIFS('Height Summary'!L$13:L$156,'Height Summary'!$F$13:$F$156, "NG4936",'Height Summary'!$E$13:$E$156, "AQC")</f>
        <v>86.416666666666671</v>
      </c>
      <c r="Y7" s="38">
        <f>AVERAGEIFS('Height Summary'!M$13:M$156,'Height Summary'!$F$13:$F$156, "NG4936",'Height Summary'!$E$13:$E$156, "AQC")</f>
        <v>105.25</v>
      </c>
      <c r="Z7" s="38">
        <f>AVERAGEIFS('Height Summary'!N$13:N$156,'Height Summary'!$F$13:$F$156, "NG4936",'Height Summary'!$E$13:$E$156, "AQC")</f>
        <v>124.16666666666667</v>
      </c>
      <c r="AA7" s="38">
        <f>AVERAGEIFS('Height Summary'!O$13:O$156,'Height Summary'!$F$13:$F$156, "NG4936",'Height Summary'!$E$13:$E$156, "AQC")</f>
        <v>126.66666666666667</v>
      </c>
      <c r="AB7" s="38">
        <f>AVERAGEIFS('Height Summary'!P$13:P$156,'Height Summary'!$F$13:$F$156, "NG4936",'Height Summary'!$E$13:$E$156, "AQC")</f>
        <v>153.16666666666666</v>
      </c>
      <c r="AC7" s="38">
        <f>AVERAGEIFS('Height Summary'!Q$13:Q$156,'Height Summary'!$F$13:$F$156, "NG4936",'Height Summary'!$E$13:$E$156, "AQC")</f>
        <v>187.66666666666666</v>
      </c>
    </row>
    <row r="8" spans="1:29" ht="21" x14ac:dyDescent="0.35">
      <c r="A8" s="89"/>
      <c r="B8" s="87"/>
      <c r="C8" s="32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P8" s="92"/>
      <c r="Q8" s="87"/>
      <c r="R8" s="32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ht="21" x14ac:dyDescent="0.35">
      <c r="A9" s="89"/>
      <c r="B9" s="87" t="s">
        <v>45</v>
      </c>
      <c r="C9" s="38"/>
      <c r="D9" s="38">
        <f>AVERAGEIFS('Height Summary'!G$13:G$156,'Height Summary'!$F$13:$F$156, "NG3195",'Height Summary'!$E$13:$E$156, "AQC-N")</f>
        <v>16</v>
      </c>
      <c r="E9" s="38">
        <f>AVERAGEIFS('Height Summary'!H$13:H$156,'Height Summary'!$F$13:$F$156, "NG3195",'Height Summary'!$E$13:$E$156, "AQC-N")</f>
        <v>26.083333333333332</v>
      </c>
      <c r="F9" s="38">
        <f>AVERAGEIFS('Height Summary'!I$13:I$156,'Height Summary'!$F$13:$F$156, "NG3195",'Height Summary'!$E$13:$E$156, "AQC-N")</f>
        <v>36.083333333333336</v>
      </c>
      <c r="G9" s="38">
        <f>AVERAGEIFS('Height Summary'!J$13:J$156,'Height Summary'!$F$13:$F$156, "NG3195",'Height Summary'!$E$13:$E$156, "AQC-N")</f>
        <v>47.166666666666664</v>
      </c>
      <c r="H9" s="38">
        <f>AVERAGEIFS('Height Summary'!K$13:K$156,'Height Summary'!$F$13:$F$156, "NG3195",'Height Summary'!$E$13:$E$156, "AQC-N")</f>
        <v>59.25</v>
      </c>
      <c r="I9" s="38">
        <f>AVERAGEIFS('Height Summary'!L$13:L$156,'Height Summary'!$F$13:$F$156, "NG3195",'Height Summary'!$E$13:$E$156, "AQC-N")</f>
        <v>83.75</v>
      </c>
      <c r="J9" s="38">
        <f>AVERAGEIFS('Height Summary'!M$13:M$156,'Height Summary'!$F$13:$F$156, "NG3195",'Height Summary'!$E$13:$E$156, "AQC-N")</f>
        <v>98.333333333333329</v>
      </c>
      <c r="K9" s="38">
        <f>AVERAGEIFS('Height Summary'!N$13:N$156,'Height Summary'!$F$13:$F$156, "NG3195",'Height Summary'!$E$13:$E$156, "AQC-N")</f>
        <v>112.75</v>
      </c>
      <c r="L9" s="38">
        <f>AVERAGEIFS('Height Summary'!O$13:O$156,'Height Summary'!$F$13:$F$156, "NG3195",'Height Summary'!$E$13:$E$156, "AQC-N")</f>
        <v>138.5</v>
      </c>
      <c r="M9" s="38">
        <f>AVERAGEIFS('Height Summary'!P$13:P$156,'Height Summary'!$F$13:$F$156, "NG3195",'Height Summary'!$E$13:$E$156, "AQC-N")</f>
        <v>146</v>
      </c>
      <c r="N9" s="38">
        <f>AVERAGEIFS('Height Summary'!Q$13:Q$156,'Height Summary'!$F$13:$F$156, "NG3195",'Height Summary'!$E$13:$E$156, "AQC-N")</f>
        <v>175</v>
      </c>
      <c r="P9" s="92"/>
      <c r="Q9" s="87" t="s">
        <v>45</v>
      </c>
      <c r="R9" s="38"/>
      <c r="S9" s="38">
        <f>AVERAGEIFS('Height Summary'!G$13:G$156,'Height Summary'!$F$13:$F$156, "NG4936",'Height Summary'!$E$13:$E$156, "AQC-N")</f>
        <v>11.583333333333334</v>
      </c>
      <c r="T9" s="38">
        <f>AVERAGEIFS('Height Summary'!H$13:H$156,'Height Summary'!$F$13:$F$156, "NG4936",'Height Summary'!$E$13:$E$156, "AQC-N")</f>
        <v>17.833333333333332</v>
      </c>
      <c r="U9" s="38">
        <f>AVERAGEIFS('Height Summary'!I$13:I$156,'Height Summary'!$F$13:$F$156, "NG4936",'Height Summary'!$E$13:$E$156, "AQC-N")</f>
        <v>25.416666666666668</v>
      </c>
      <c r="V9" s="38">
        <f>AVERAGEIFS('Height Summary'!J$13:J$156,'Height Summary'!$F$13:$F$156, "NG4936",'Height Summary'!$E$13:$E$156, "AQC-N")</f>
        <v>35.25</v>
      </c>
      <c r="W9" s="38">
        <f>AVERAGEIFS('Height Summary'!K$13:K$156,'Height Summary'!$F$13:$F$156, "NG4936",'Height Summary'!$E$13:$E$156, "AQC-N")</f>
        <v>48.5</v>
      </c>
      <c r="X9" s="38">
        <f>AVERAGEIFS('Height Summary'!L$13:L$156,'Height Summary'!$F$13:$F$156, "NG4936",'Height Summary'!$E$13:$E$156, "AQC-N")</f>
        <v>75.75</v>
      </c>
      <c r="Y9" s="38">
        <f>AVERAGEIFS('Height Summary'!M$13:M$156,'Height Summary'!$F$13:$F$156, "NG4936",'Height Summary'!$E$13:$E$156, "AQC-N")</f>
        <v>92.333333333333329</v>
      </c>
      <c r="Z9" s="38">
        <f>AVERAGEIFS('Height Summary'!N$13:N$156,'Height Summary'!$F$13:$F$156, "NG4936",'Height Summary'!$E$13:$E$156, "AQC-N")</f>
        <v>108.66666666666667</v>
      </c>
      <c r="AA9" s="38">
        <f>AVERAGEIFS('Height Summary'!O$13:O$156,'Height Summary'!$F$13:$F$156, "NG4936",'Height Summary'!$E$13:$E$156, "AQC-N")</f>
        <v>141.5</v>
      </c>
      <c r="AB9" s="38">
        <f>AVERAGEIFS('Height Summary'!P$13:P$156,'Height Summary'!$F$13:$F$156, "NG4936",'Height Summary'!$E$13:$E$156, "AQC-N")</f>
        <v>148.41666666666666</v>
      </c>
      <c r="AC9" s="38">
        <f>AVERAGEIFS('Height Summary'!Q$13:Q$156,'Height Summary'!$F$13:$F$156, "NG4936",'Height Summary'!$E$13:$E$156, "AQC-N")</f>
        <v>173.4</v>
      </c>
    </row>
    <row r="10" spans="1:29" ht="21" x14ac:dyDescent="0.35">
      <c r="A10" s="89"/>
      <c r="B10" s="87"/>
      <c r="C10" s="32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P10" s="92"/>
      <c r="Q10" s="87"/>
      <c r="R10" s="32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 spans="1:29" ht="21" x14ac:dyDescent="0.35">
      <c r="A11" s="89"/>
      <c r="B11" s="87" t="s">
        <v>46</v>
      </c>
      <c r="C11" s="38"/>
      <c r="D11" s="38">
        <f>AVERAGEIFS('Height Summary'!G$13:G$156,'Height Summary'!$F$13:$F$156, "NG3195",'Height Summary'!$E$13:$E$156, "CSM")</f>
        <v>18.25</v>
      </c>
      <c r="E11" s="38">
        <f>AVERAGEIFS('Height Summary'!H$13:H$156,'Height Summary'!$F$13:$F$156, "NG3195",'Height Summary'!$E$13:$E$156, "CSM")</f>
        <v>28.5</v>
      </c>
      <c r="F11" s="38">
        <f>AVERAGEIFS('Height Summary'!I$13:I$156,'Height Summary'!$F$13:$F$156, "NG3195",'Height Summary'!$E$13:$E$156, "CSM")</f>
        <v>38.75</v>
      </c>
      <c r="G11" s="38">
        <f>AVERAGEIFS('Height Summary'!J$13:J$156,'Height Summary'!$F$13:$F$156, "NG3195",'Height Summary'!$E$13:$E$156, "CSM")</f>
        <v>48.916666666666664</v>
      </c>
      <c r="H11" s="38">
        <f>AVERAGEIFS('Height Summary'!K$13:K$156,'Height Summary'!$F$13:$F$156, "NG3195",'Height Summary'!$E$13:$E$156, "CSM")</f>
        <v>62.583333333333336</v>
      </c>
      <c r="I11" s="38">
        <f>AVERAGEIFS('Height Summary'!L$13:L$156,'Height Summary'!$F$13:$F$156, "NG3195",'Height Summary'!$E$13:$E$156, "CSM")</f>
        <v>90.833333333333329</v>
      </c>
      <c r="J11" s="38">
        <f>AVERAGEIFS('Height Summary'!M$13:M$156,'Height Summary'!$F$13:$F$156, "NG3195",'Height Summary'!$E$13:$E$156, "CSM")</f>
        <v>108.91666666666667</v>
      </c>
      <c r="K11" s="38">
        <f>AVERAGEIFS('Height Summary'!N$13:N$156,'Height Summary'!$F$13:$F$156, "NG3195",'Height Summary'!$E$13:$E$156, "CSM")</f>
        <v>126.5</v>
      </c>
      <c r="L11" s="38">
        <f>AVERAGEIFS('Height Summary'!O$13:O$156,'Height Summary'!$F$13:$F$156, "NG3195",'Height Summary'!$E$13:$E$156, "CSM")</f>
        <v>170</v>
      </c>
      <c r="M11" s="38">
        <f>AVERAGEIFS('Height Summary'!P$13:P$156,'Height Summary'!$F$13:$F$156, "NG3195",'Height Summary'!$E$13:$E$156, "CSM")</f>
        <v>159.5</v>
      </c>
      <c r="N11" s="38">
        <f>AVERAGEIFS('Height Summary'!Q$13:Q$156,'Height Summary'!$F$13:$F$156, "NG3195",'Height Summary'!$E$13:$E$156, "CSM")</f>
        <v>187.66666666666666</v>
      </c>
      <c r="P11" s="92"/>
      <c r="Q11" s="87" t="s">
        <v>46</v>
      </c>
      <c r="R11" s="38"/>
      <c r="S11" s="38">
        <f>AVERAGEIFS('Height Summary'!G$13:G$156,'Height Summary'!$F$13:$F$156, "NG4936",'Height Summary'!$E$13:$E$156, "CSM")</f>
        <v>11.416666666666666</v>
      </c>
      <c r="T11" s="38">
        <f>AVERAGEIFS('Height Summary'!H$13:H$156,'Height Summary'!$F$13:$F$156, "NG4936",'Height Summary'!$E$13:$E$156, "CSM")</f>
        <v>17.583333333333332</v>
      </c>
      <c r="U11" s="38">
        <f>AVERAGEIFS('Height Summary'!I$13:I$156,'Height Summary'!$F$13:$F$156, "NG4936",'Height Summary'!$E$13:$E$156, "CSM")</f>
        <v>25.5</v>
      </c>
      <c r="V11" s="38">
        <f>AVERAGEIFS('Height Summary'!J$13:J$156,'Height Summary'!$F$13:$F$156, "NG4936",'Height Summary'!$E$13:$E$156, "CSM")</f>
        <v>34.75</v>
      </c>
      <c r="W11" s="38">
        <f>AVERAGEIFS('Height Summary'!K$13:K$156,'Height Summary'!$F$13:$F$156, "NG4936",'Height Summary'!$E$13:$E$156, "CSM")</f>
        <v>52.583333333333336</v>
      </c>
      <c r="X11" s="38">
        <f>AVERAGEIFS('Height Summary'!L$13:L$156,'Height Summary'!$F$13:$F$156, "NG4936",'Height Summary'!$E$13:$E$156, "CSM")</f>
        <v>80.666666666666671</v>
      </c>
      <c r="Y11" s="38">
        <f>AVERAGEIFS('Height Summary'!M$13:M$156,'Height Summary'!$F$13:$F$156, "NG4936",'Height Summary'!$E$13:$E$156, "CSM")</f>
        <v>97.25</v>
      </c>
      <c r="Z11" s="38">
        <f>AVERAGEIFS('Height Summary'!N$13:N$156,'Height Summary'!$F$13:$F$156, "NG4936",'Height Summary'!$E$13:$E$156, "CSM")</f>
        <v>114.08333333333333</v>
      </c>
      <c r="AA11" s="38">
        <f>AVERAGEIFS('Height Summary'!O$13:O$156,'Height Summary'!$F$13:$F$156, "NG4936",'Height Summary'!$E$13:$E$156, "CSM")</f>
        <v>146</v>
      </c>
      <c r="AB11" s="38">
        <f>AVERAGEIFS('Height Summary'!P$13:P$156,'Height Summary'!$F$13:$F$156, "NG4936",'Height Summary'!$E$13:$E$156, "CSM")</f>
        <v>145.16666666666666</v>
      </c>
      <c r="AC11" s="38">
        <f>AVERAGEIFS('Height Summary'!Q$13:Q$156,'Height Summary'!$F$13:$F$156, "NG4936",'Height Summary'!$E$13:$E$156, "CSM")</f>
        <v>177</v>
      </c>
    </row>
    <row r="12" spans="1:29" ht="21" x14ac:dyDescent="0.35">
      <c r="A12" s="89"/>
      <c r="B12" s="87"/>
      <c r="C12" s="3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P12" s="92"/>
      <c r="Q12" s="87"/>
      <c r="R12" s="32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ht="21" x14ac:dyDescent="0.35">
      <c r="A13" s="89"/>
      <c r="B13" s="87" t="s">
        <v>47</v>
      </c>
      <c r="C13" s="38"/>
      <c r="D13" s="38">
        <f>AVERAGEIFS('Height Summary'!G$13:G$156,'Height Summary'!$F$13:$F$156, "NG3195",'Height Summary'!$E$13:$E$156, "CSM-N")</f>
        <v>16.583333333333332</v>
      </c>
      <c r="E13" s="38">
        <f>AVERAGEIFS('Height Summary'!H$13:H$156,'Height Summary'!$F$13:$F$156, "NG3195",'Height Summary'!$E$13:$E$156, "CSM-N")</f>
        <v>26</v>
      </c>
      <c r="F13" s="38">
        <f>AVERAGEIFS('Height Summary'!I$13:I$156,'Height Summary'!$F$13:$F$156, "NG3195",'Height Summary'!$E$13:$E$156, "CSM-N")</f>
        <v>35.833333333333336</v>
      </c>
      <c r="G13" s="38">
        <f>AVERAGEIFS('Height Summary'!J$13:J$156,'Height Summary'!$F$13:$F$156, "NG3195",'Height Summary'!$E$13:$E$156, "CSM-N")</f>
        <v>49.166666666666664</v>
      </c>
      <c r="H13" s="38">
        <f>AVERAGEIFS('Height Summary'!K$13:K$156,'Height Summary'!$F$13:$F$156, "NG3195",'Height Summary'!$E$13:$E$156, "CSM-N")</f>
        <v>59</v>
      </c>
      <c r="I13" s="38">
        <f>AVERAGEIFS('Height Summary'!L$13:L$156,'Height Summary'!$F$13:$F$156, "NG3195",'Height Summary'!$E$13:$E$156, "CSM-N")</f>
        <v>77.583333333333329</v>
      </c>
      <c r="J13" s="38">
        <f>AVERAGEIFS('Height Summary'!M$13:M$156,'Height Summary'!$F$13:$F$156, "NG3195",'Height Summary'!$E$13:$E$156, "CSM-N")</f>
        <v>92.833333333333329</v>
      </c>
      <c r="K13" s="38">
        <f>AVERAGEIFS('Height Summary'!N$13:N$156,'Height Summary'!$F$13:$F$156, "NG3195",'Height Summary'!$E$13:$E$156, "CSM-N")</f>
        <v>108.25</v>
      </c>
      <c r="L13" s="38">
        <f>AVERAGEIFS('Height Summary'!O$13:O$156,'Height Summary'!$F$13:$F$156, "NG3195",'Height Summary'!$E$13:$E$156, "CSM-N")</f>
        <v>134.66666666666666</v>
      </c>
      <c r="M13" s="38">
        <f>AVERAGEIFS('Height Summary'!P$13:P$156,'Height Summary'!$F$13:$F$156, "NG3195",'Height Summary'!$E$13:$E$156, "CSM-N")</f>
        <v>134.58333333333334</v>
      </c>
      <c r="N13" s="38">
        <f>AVERAGEIFS('Height Summary'!Q$13:Q$156,'Height Summary'!$F$13:$F$156, "NG3195",'Height Summary'!$E$13:$E$156, "CSM-N")</f>
        <v>162</v>
      </c>
      <c r="P13" s="92"/>
      <c r="Q13" s="87" t="s">
        <v>47</v>
      </c>
      <c r="R13" s="38"/>
      <c r="S13" s="38">
        <f>AVERAGEIFS('Height Summary'!G$13:G$156,'Height Summary'!$F$13:$F$156, "NG4936",'Height Summary'!$E$13:$E$156, "CSM-N")</f>
        <v>11.75</v>
      </c>
      <c r="T13" s="38">
        <f>AVERAGEIFS('Height Summary'!H$13:H$156,'Height Summary'!$F$13:$F$156, "NG4936",'Height Summary'!$E$13:$E$156, "CSM-N")</f>
        <v>20.75</v>
      </c>
      <c r="U13" s="38">
        <f>AVERAGEIFS('Height Summary'!I$13:I$156,'Height Summary'!$F$13:$F$156, "NG4936",'Height Summary'!$E$13:$E$156, "CSM-N")</f>
        <v>30.166666666666668</v>
      </c>
      <c r="V13" s="38">
        <f>AVERAGEIFS('Height Summary'!J$13:J$156,'Height Summary'!$F$13:$F$156, "NG4936",'Height Summary'!$E$13:$E$156, "CSM-N")</f>
        <v>40.583333333333336</v>
      </c>
      <c r="W13" s="38">
        <f>AVERAGEIFS('Height Summary'!K$13:K$156,'Height Summary'!$F$13:$F$156, "NG4936",'Height Summary'!$E$13:$E$156, "CSM-N")</f>
        <v>51.25</v>
      </c>
      <c r="X13" s="38">
        <f>AVERAGEIFS('Height Summary'!L$13:L$156,'Height Summary'!$F$13:$F$156, "NG4936",'Height Summary'!$E$13:$E$156, "CSM-N")</f>
        <v>72.083333333333329</v>
      </c>
      <c r="Y13" s="38">
        <f>AVERAGEIFS('Height Summary'!M$13:M$156,'Height Summary'!$F$13:$F$156, "NG4936",'Height Summary'!$E$13:$E$156, "CSM-N")</f>
        <v>87.333333333333329</v>
      </c>
      <c r="Z13" s="38">
        <f>AVERAGEIFS('Height Summary'!N$13:N$156,'Height Summary'!$F$13:$F$156, "NG4936",'Height Summary'!$E$13:$E$156, "CSM-N")</f>
        <v>102.66666666666667</v>
      </c>
      <c r="AA13" s="38">
        <f>AVERAGEIFS('Height Summary'!O$13:O$156,'Height Summary'!$F$13:$F$156, "NG4936",'Height Summary'!$E$13:$E$156, "CSM-N")</f>
        <v>105.66666666666667</v>
      </c>
      <c r="AB13" s="38">
        <f>AVERAGEIFS('Height Summary'!P$13:P$156,'Height Summary'!$F$13:$F$156, "NG4936",'Height Summary'!$E$13:$E$156, "CSM-N")</f>
        <v>128.58333333333334</v>
      </c>
      <c r="AC13" s="38">
        <f>AVERAGEIFS('Height Summary'!Q$13:Q$156,'Height Summary'!$F$13:$F$156, "NG4936",'Height Summary'!$E$13:$E$156, "CSM-N")</f>
        <v>189</v>
      </c>
    </row>
    <row r="14" spans="1:29" ht="21" x14ac:dyDescent="0.35">
      <c r="A14" s="89"/>
      <c r="B14" s="87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P14" s="92"/>
      <c r="Q14" s="87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ht="21" x14ac:dyDescent="0.35">
      <c r="A15" s="89"/>
      <c r="B15" s="87" t="s">
        <v>48</v>
      </c>
      <c r="C15" s="38"/>
      <c r="D15" s="38">
        <f>AVERAGEIFS('Height Summary'!G$13:G$156,'Height Summary'!$F$13:$F$156, "NG3195",'Height Summary'!$E$13:$E$156, "FAO")</f>
        <v>16.166666666666668</v>
      </c>
      <c r="E15" s="38">
        <f>AVERAGEIFS('Height Summary'!H$13:H$156,'Height Summary'!$F$13:$F$156, "NG3195",'Height Summary'!$E$13:$E$156, "FAO")</f>
        <v>25</v>
      </c>
      <c r="F15" s="38">
        <f>AVERAGEIFS('Height Summary'!I$13:I$156,'Height Summary'!$F$13:$F$156, "NG3195",'Height Summary'!$E$13:$E$156, "FAO")</f>
        <v>37.083333333333336</v>
      </c>
      <c r="G15" s="38">
        <f>AVERAGEIFS('Height Summary'!J$13:J$156,'Height Summary'!$F$13:$F$156, "NG3195",'Height Summary'!$E$13:$E$156, "FAO")</f>
        <v>48.083333333333336</v>
      </c>
      <c r="H15" s="38">
        <f>AVERAGEIFS('Height Summary'!K$13:K$156,'Height Summary'!$F$13:$F$156, "NG3195",'Height Summary'!$E$13:$E$156, "FAO")</f>
        <v>61.25</v>
      </c>
      <c r="I15" s="38">
        <f>AVERAGEIFS('Height Summary'!L$13:L$156,'Height Summary'!$F$13:$F$156, "NG3195",'Height Summary'!$E$13:$E$156, "FAO")</f>
        <v>88.833333333333329</v>
      </c>
      <c r="J15" s="38">
        <f>AVERAGEIFS('Height Summary'!M$13:M$156,'Height Summary'!$F$13:$F$156, "NG3195",'Height Summary'!$E$13:$E$156, "FAO")</f>
        <v>106.08333333333333</v>
      </c>
      <c r="K15" s="38">
        <f>AVERAGEIFS('Height Summary'!N$13:N$156,'Height Summary'!$F$13:$F$156, "NG3195",'Height Summary'!$E$13:$E$156, "FAO")</f>
        <v>123.25</v>
      </c>
      <c r="L15" s="38">
        <f>AVERAGEIFS('Height Summary'!O$13:O$156,'Height Summary'!$F$13:$F$156, "NG3195",'Height Summary'!$E$13:$E$156, "FAO")</f>
        <v>147.66666666666666</v>
      </c>
      <c r="M15" s="38">
        <f>AVERAGEIFS('Height Summary'!P$13:P$156,'Height Summary'!$F$13:$F$156, "NG3195",'Height Summary'!$E$13:$E$156, "FAO")</f>
        <v>163.75</v>
      </c>
      <c r="N15" s="38">
        <f>AVERAGEIFS('Height Summary'!Q$13:Q$156,'Height Summary'!$F$13:$F$156, "NG3195",'Height Summary'!$E$13:$E$156, "FAO")</f>
        <v>175.22222222222223</v>
      </c>
      <c r="P15" s="92"/>
      <c r="Q15" s="87" t="s">
        <v>48</v>
      </c>
      <c r="R15" s="38"/>
      <c r="S15" s="38">
        <f>AVERAGEIFS('Height Summary'!G$13:G$156,'Height Summary'!$F$13:$F$156, "NG4936",'Height Summary'!$E$13:$E$156, "FAO")</f>
        <v>14.333333333333334</v>
      </c>
      <c r="T15" s="38">
        <f>AVERAGEIFS('Height Summary'!H$13:H$156,'Height Summary'!$F$13:$F$156, "NG4936",'Height Summary'!$E$13:$E$156, "FAO")</f>
        <v>21.666666666666668</v>
      </c>
      <c r="U15" s="38">
        <f>AVERAGEIFS('Height Summary'!I$13:I$156,'Height Summary'!$F$13:$F$156, "NG4936",'Height Summary'!$E$13:$E$156, "FAO")</f>
        <v>29.25</v>
      </c>
      <c r="V15" s="38">
        <f>AVERAGEIFS('Height Summary'!J$13:J$156,'Height Summary'!$F$13:$F$156, "NG4936",'Height Summary'!$E$13:$E$156, "FAO")</f>
        <v>37.833333333333336</v>
      </c>
      <c r="W15" s="38">
        <f>AVERAGEIFS('Height Summary'!K$13:K$156,'Height Summary'!$F$13:$F$156, "NG4936",'Height Summary'!$E$13:$E$156, "FAO")</f>
        <v>54.666666666666664</v>
      </c>
      <c r="X15" s="38">
        <f>AVERAGEIFS('Height Summary'!L$13:L$156,'Height Summary'!$F$13:$F$156, "NG4936",'Height Summary'!$E$13:$E$156, "FAO")</f>
        <v>87.5</v>
      </c>
      <c r="Y15" s="38">
        <f>AVERAGEIFS('Height Summary'!M$13:M$156,'Height Summary'!$F$13:$F$156, "NG4936",'Height Summary'!$E$13:$E$156, "FAO")</f>
        <v>106.91666666666667</v>
      </c>
      <c r="Z15" s="38">
        <f>AVERAGEIFS('Height Summary'!N$13:N$156,'Height Summary'!$F$13:$F$156, "NG4936",'Height Summary'!$E$13:$E$156, "FAO")</f>
        <v>125.33333333333333</v>
      </c>
      <c r="AA15" s="38">
        <f>AVERAGEIFS('Height Summary'!O$13:O$156,'Height Summary'!$F$13:$F$156, "NG4936",'Height Summary'!$E$13:$E$156, "FAO")</f>
        <v>141.6</v>
      </c>
      <c r="AB15" s="38">
        <f>AVERAGEIFS('Height Summary'!P$13:P$156,'Height Summary'!$F$13:$F$156, "NG4936",'Height Summary'!$E$13:$E$156, "FAO")</f>
        <v>156.08333333333334</v>
      </c>
      <c r="AC15" s="38">
        <f>AVERAGEIFS('Height Summary'!Q$13:Q$156,'Height Summary'!$F$13:$F$156, "NG4936",'Height Summary'!$E$13:$E$156, "FAO")</f>
        <v>177</v>
      </c>
    </row>
    <row r="16" spans="1:29" ht="21" x14ac:dyDescent="0.35">
      <c r="A16" s="89"/>
      <c r="B16" s="87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P16" s="92"/>
      <c r="Q16" s="87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 spans="1:29" ht="21" x14ac:dyDescent="0.35">
      <c r="A17" s="89"/>
      <c r="B17" s="87" t="s">
        <v>49</v>
      </c>
      <c r="C17" s="38"/>
      <c r="D17" s="38">
        <f>AVERAGEIFS('Height Summary'!G$13:G$156,'Height Summary'!$F$13:$F$156, "NG3195",'Height Summary'!$E$13:$E$156, "FAO-N")</f>
        <v>16.666666666666668</v>
      </c>
      <c r="E17" s="38">
        <f>AVERAGEIFS('Height Summary'!H$13:H$156,'Height Summary'!$F$13:$F$156, "NG3195",'Height Summary'!$E$13:$E$156, "FAO-N")</f>
        <v>25.833333333333332</v>
      </c>
      <c r="F17" s="38">
        <f>AVERAGEIFS('Height Summary'!I$13:I$156,'Height Summary'!$F$13:$F$156, "NG3195",'Height Summary'!$E$13:$E$156, "FAO-N")</f>
        <v>34.583333333333336</v>
      </c>
      <c r="G17" s="38">
        <f>AVERAGEIFS('Height Summary'!J$13:J$156,'Height Summary'!$F$13:$F$156, "NG3195",'Height Summary'!$E$13:$E$156, "FAO-N")</f>
        <v>48.5</v>
      </c>
      <c r="H17" s="38">
        <f>AVERAGEIFS('Height Summary'!K$13:K$156,'Height Summary'!$F$13:$F$156, "NG3195",'Height Summary'!$E$13:$E$156, "FAO-N")</f>
        <v>60.916666666666664</v>
      </c>
      <c r="I17" s="38">
        <f>AVERAGEIFS('Height Summary'!L$13:L$156,'Height Summary'!$F$13:$F$156, "NG3195",'Height Summary'!$E$13:$E$156, "FAO-N")</f>
        <v>86.083333333333329</v>
      </c>
      <c r="J17" s="38">
        <f>AVERAGEIFS('Height Summary'!M$13:M$156,'Height Summary'!$F$13:$F$156, "NG3195",'Height Summary'!$E$13:$E$156, "FAO-N")</f>
        <v>103.33333333333333</v>
      </c>
      <c r="K17" s="38">
        <f>AVERAGEIFS('Height Summary'!N$13:N$156,'Height Summary'!$F$13:$F$156, "NG3195",'Height Summary'!$E$13:$E$156, "FAO-N")</f>
        <v>119.41666666666667</v>
      </c>
      <c r="L17" s="38">
        <f>AVERAGEIFS('Height Summary'!O$13:O$156,'Height Summary'!$F$13:$F$156, "NG3195",'Height Summary'!$E$13:$E$156, "FAO-N")</f>
        <v>172.33333333333334</v>
      </c>
      <c r="M17" s="38">
        <f>AVERAGEIFS('Height Summary'!P$13:P$156,'Height Summary'!$F$13:$F$156, "NG3195",'Height Summary'!$E$13:$E$156, "FAO-N")</f>
        <v>148.75</v>
      </c>
      <c r="N17" s="38">
        <f>AVERAGEIFS('Height Summary'!Q$13:Q$156,'Height Summary'!$F$13:$F$156, "NG3195",'Height Summary'!$E$13:$E$156, "FAO-N")</f>
        <v>194.5</v>
      </c>
      <c r="P17" s="92"/>
      <c r="Q17" s="87" t="s">
        <v>49</v>
      </c>
      <c r="R17" s="38"/>
      <c r="S17" s="38">
        <f>AVERAGEIFS('Height Summary'!G$13:G$156,'Height Summary'!$F$13:$F$156, "NG4936",'Height Summary'!$E$13:$E$156, "FAO-N")</f>
        <v>12</v>
      </c>
      <c r="T17" s="38">
        <f>AVERAGEIFS('Height Summary'!H$13:H$156,'Height Summary'!$F$13:$F$156, "NG4936",'Height Summary'!$E$13:$E$156, "FAO-N")</f>
        <v>18.416666666666668</v>
      </c>
      <c r="U17" s="38">
        <f>AVERAGEIFS('Height Summary'!I$13:I$156,'Height Summary'!$F$13:$F$156, "NG4936",'Height Summary'!$E$13:$E$156, "FAO-N")</f>
        <v>25.166666666666668</v>
      </c>
      <c r="V17" s="38">
        <f>AVERAGEIFS('Height Summary'!J$13:J$156,'Height Summary'!$F$13:$F$156, "NG4936",'Height Summary'!$E$13:$E$156, "FAO-N")</f>
        <v>36.25</v>
      </c>
      <c r="W17" s="38">
        <f>AVERAGEIFS('Height Summary'!K$13:K$156,'Height Summary'!$F$13:$F$156, "NG4936",'Height Summary'!$E$13:$E$156, "FAO-N")</f>
        <v>51.5</v>
      </c>
      <c r="X17" s="38">
        <f>AVERAGEIFS('Height Summary'!L$13:L$156,'Height Summary'!$F$13:$F$156, "NG4936",'Height Summary'!$E$13:$E$156, "FAO-N")</f>
        <v>80.833333333333329</v>
      </c>
      <c r="Y17" s="38">
        <f>AVERAGEIFS('Height Summary'!M$13:M$156,'Height Summary'!$F$13:$F$156, "NG4936",'Height Summary'!$E$13:$E$156, "FAO-N")</f>
        <v>100.16666666666667</v>
      </c>
      <c r="Z17" s="38">
        <f>AVERAGEIFS('Height Summary'!N$13:N$156,'Height Summary'!$F$13:$F$156, "NG4936",'Height Summary'!$E$13:$E$156, "FAO-N")</f>
        <v>119.41666666666667</v>
      </c>
      <c r="AA17" s="38">
        <f>AVERAGEIFS('Height Summary'!O$13:O$156,'Height Summary'!$F$13:$F$156, "NG4936",'Height Summary'!$E$13:$E$156, "FAO-N")</f>
        <v>166.33333333333334</v>
      </c>
      <c r="AB17" s="38">
        <f>AVERAGEIFS('Height Summary'!P$13:P$156,'Height Summary'!$F$13:$F$156, "NG4936",'Height Summary'!$E$13:$E$156, "FAO-N")</f>
        <v>152.16666666666666</v>
      </c>
      <c r="AC17" s="38">
        <f>AVERAGEIFS('Height Summary'!Q$13:Q$156,'Height Summary'!$F$13:$F$156, "NG4936",'Height Summary'!$E$13:$E$156, "FAO-N")</f>
        <v>188.16666666666666</v>
      </c>
    </row>
    <row r="18" spans="1:29" ht="21" x14ac:dyDescent="0.35">
      <c r="A18" s="89"/>
      <c r="B18" s="87"/>
      <c r="C18" s="25"/>
      <c r="P18" s="92"/>
      <c r="Q18" s="87"/>
      <c r="R18" s="25"/>
      <c r="V18" s="52"/>
    </row>
    <row r="19" spans="1:29" s="45" customFormat="1" ht="21" x14ac:dyDescent="0.35">
      <c r="A19" s="90"/>
      <c r="B19" s="87"/>
      <c r="C19" s="25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29" s="45" customFormat="1" ht="21" x14ac:dyDescent="0.35">
      <c r="A20" s="94" t="s">
        <v>23</v>
      </c>
      <c r="B20" s="8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P20" s="94" t="s">
        <v>23</v>
      </c>
      <c r="Q20" s="87"/>
      <c r="R20" s="3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spans="1:29" ht="10.9" customHeight="1" x14ac:dyDescent="0.35">
      <c r="A21" s="90"/>
      <c r="B21" s="87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P21" s="90"/>
      <c r="Q21" s="87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 spans="1:29" ht="21" x14ac:dyDescent="0.35">
      <c r="A22" s="90"/>
      <c r="B22" s="87"/>
      <c r="C22" s="47"/>
      <c r="D22" s="47">
        <f>'Cover Summary'!G9</f>
        <v>44348</v>
      </c>
      <c r="E22" s="47">
        <f>'Cover Summary'!H9</f>
        <v>44354</v>
      </c>
      <c r="F22" s="47">
        <f>'Cover Summary'!I9</f>
        <v>44364</v>
      </c>
      <c r="G22" s="47">
        <f>'Cover Summary'!J9</f>
        <v>44371</v>
      </c>
      <c r="H22" s="47">
        <f>'Cover Summary'!K9</f>
        <v>44378</v>
      </c>
      <c r="I22" s="47">
        <f>'Cover Summary'!L9</f>
        <v>44390</v>
      </c>
      <c r="J22" s="47">
        <f>'Cover Summary'!M9</f>
        <v>44396</v>
      </c>
      <c r="K22" s="47">
        <f>'Cover Summary'!N9</f>
        <v>44413</v>
      </c>
      <c r="L22" s="47">
        <f>'Cover Summary'!O9</f>
        <v>44420</v>
      </c>
      <c r="M22" s="47">
        <f>'Cover Summary'!P9</f>
        <v>44427</v>
      </c>
      <c r="N22" s="47">
        <f>'Cover Summary'!Q9</f>
        <v>44446</v>
      </c>
      <c r="P22" s="90"/>
      <c r="Q22" s="87"/>
      <c r="R22" s="47"/>
      <c r="S22" s="47">
        <f>'Cover Summary'!G9</f>
        <v>44348</v>
      </c>
      <c r="T22" s="47">
        <f>'Cover Summary'!H9</f>
        <v>44354</v>
      </c>
      <c r="U22" s="47">
        <f>'Cover Summary'!I9</f>
        <v>44364</v>
      </c>
      <c r="V22" s="47">
        <f>'Cover Summary'!J9</f>
        <v>44371</v>
      </c>
      <c r="W22" s="47">
        <f>'Cover Summary'!K9</f>
        <v>44378</v>
      </c>
      <c r="X22" s="47">
        <f>'Cover Summary'!L9</f>
        <v>44390</v>
      </c>
      <c r="Y22" s="47">
        <f>'Cover Summary'!M9</f>
        <v>44396</v>
      </c>
      <c r="Z22" s="47">
        <f>'Cover Summary'!N9</f>
        <v>44413</v>
      </c>
      <c r="AA22" s="47">
        <f>'Cover Summary'!O9</f>
        <v>44420</v>
      </c>
      <c r="AB22" s="47">
        <f>'Cover Summary'!P9</f>
        <v>44427</v>
      </c>
      <c r="AC22" s="47">
        <f>'Cover Summary'!Q9</f>
        <v>44446</v>
      </c>
    </row>
    <row r="23" spans="1:29" ht="21" x14ac:dyDescent="0.2">
      <c r="A23" s="88" t="s">
        <v>43</v>
      </c>
      <c r="B23" s="87"/>
      <c r="C23" s="48"/>
      <c r="D23" s="33">
        <f>'Cover Summary'!G10</f>
        <v>152</v>
      </c>
      <c r="E23" s="33">
        <f>'Cover Summary'!H10</f>
        <v>158</v>
      </c>
      <c r="F23" s="33">
        <f>'Cover Summary'!I10</f>
        <v>168</v>
      </c>
      <c r="G23" s="33">
        <f>'Cover Summary'!J10</f>
        <v>175</v>
      </c>
      <c r="H23" s="33">
        <f>'Cover Summary'!K10</f>
        <v>182</v>
      </c>
      <c r="I23" s="33">
        <f>'Cover Summary'!L10</f>
        <v>194</v>
      </c>
      <c r="J23" s="33">
        <f>'Cover Summary'!M10</f>
        <v>200</v>
      </c>
      <c r="K23" s="33">
        <f>'Cover Summary'!N10</f>
        <v>217</v>
      </c>
      <c r="L23" s="33">
        <f>'Cover Summary'!O10</f>
        <v>224</v>
      </c>
      <c r="M23" s="33">
        <f>'Cover Summary'!P10</f>
        <v>238</v>
      </c>
      <c r="N23" s="33">
        <f>'Cover Summary'!Q10</f>
        <v>250</v>
      </c>
      <c r="O23" s="46"/>
      <c r="P23" s="91" t="s">
        <v>50</v>
      </c>
      <c r="Q23" s="87"/>
      <c r="R23" s="48"/>
      <c r="S23" s="33">
        <f>'Cover Summary'!G10</f>
        <v>152</v>
      </c>
      <c r="T23" s="33">
        <f>'Cover Summary'!H10</f>
        <v>158</v>
      </c>
      <c r="U23" s="33">
        <f>'Cover Summary'!I10</f>
        <v>168</v>
      </c>
      <c r="V23" s="33">
        <f>'Cover Summary'!J10</f>
        <v>175</v>
      </c>
      <c r="W23" s="33">
        <f>'Cover Summary'!K10</f>
        <v>182</v>
      </c>
      <c r="X23" s="33">
        <f>'Cover Summary'!L10</f>
        <v>194</v>
      </c>
      <c r="Y23" s="33">
        <f>'Cover Summary'!M10</f>
        <v>200</v>
      </c>
      <c r="Z23" s="33">
        <f>'Cover Summary'!N10</f>
        <v>217</v>
      </c>
      <c r="AA23" s="33">
        <f>'Cover Summary'!O10</f>
        <v>224</v>
      </c>
      <c r="AB23" s="33">
        <f>'Cover Summary'!P10</f>
        <v>238</v>
      </c>
      <c r="AC23" s="33">
        <f>'Cover Summary'!Q10</f>
        <v>250</v>
      </c>
    </row>
    <row r="24" spans="1:29" ht="21" x14ac:dyDescent="0.35">
      <c r="A24" s="89"/>
      <c r="B24" s="87" t="s">
        <v>44</v>
      </c>
      <c r="C24" s="38"/>
      <c r="D24" s="38">
        <f>AVERAGEIFS('Cover Summary'!G$13:G$156,'Cover Summary'!$F$13:$F$156, "NG3195",'Cover Summary'!$E$13:$E$156, "AQC")</f>
        <v>15</v>
      </c>
      <c r="E24" s="38">
        <f>AVERAGEIFS('Cover Summary'!H$13:H$156,'Cover Summary'!$F$13:$F$156, "NG3195",'Cover Summary'!$E$13:$E$156, "AQC")</f>
        <v>26.083333333333332</v>
      </c>
      <c r="F24" s="38">
        <f>AVERAGEIFS('Cover Summary'!I$13:I$156,'Cover Summary'!$F$13:$F$156, "NG3195",'Cover Summary'!$E$13:$E$156, "AQC")</f>
        <v>39.916666666666664</v>
      </c>
      <c r="G24" s="38">
        <f>AVERAGEIFS('Cover Summary'!J$13:J$156,'Cover Summary'!$F$13:$F$156, "NG3195",'Cover Summary'!$E$13:$E$156, "AQC")</f>
        <v>51.166666666666664</v>
      </c>
      <c r="H24" s="38">
        <f>AVERAGEIFS('Cover Summary'!K$13:K$156,'Cover Summary'!$F$13:$F$156, "NG3195",'Cover Summary'!$E$13:$E$156, "AQC")</f>
        <v>62.5</v>
      </c>
      <c r="I24" s="38">
        <f>AVERAGEIFS('Cover Summary'!L$13:L$156,'Cover Summary'!$F$13:$F$156, "NG3195",'Cover Summary'!$E$13:$E$156, "AQC")</f>
        <v>79.75</v>
      </c>
      <c r="J24" s="38">
        <f>AVERAGEIFS('Cover Summary'!M$13:M$156,'Cover Summary'!$F$13:$F$156, "NG3195",'Cover Summary'!$E$13:$E$156, "AQC")</f>
        <v>82.333333333333329</v>
      </c>
      <c r="K24" s="38">
        <f>AVERAGEIFS('Cover Summary'!N$13:N$156,'Cover Summary'!$F$13:$F$156, "NG3195",'Cover Summary'!$E$13:$E$156, "AQC")</f>
        <v>89.6</v>
      </c>
      <c r="L24" s="38">
        <f>AVERAGEIFS('Cover Summary'!O$13:O$156,'Cover Summary'!$F$13:$F$156, "NG3195",'Cover Summary'!$E$13:$E$156, "AQC")</f>
        <v>85</v>
      </c>
      <c r="M24" s="38" t="e">
        <f>AVERAGEIFS('Cover Summary'!P$13:P$156,'Cover Summary'!$F$13:$F$156, "NG3195",'Cover Summary'!$E$13:$E$156, "AQC")</f>
        <v>#DIV/0!</v>
      </c>
      <c r="N24" s="38" t="e">
        <f>AVERAGEIFS('Cover Summary'!Q$13:Q$156,'Cover Summary'!$F$13:$F$156, "NG3195",'Cover Summary'!$E$13:$E$156, "AQC")</f>
        <v>#DIV/0!</v>
      </c>
      <c r="P24" s="92"/>
      <c r="Q24" s="87" t="s">
        <v>44</v>
      </c>
      <c r="R24" s="38"/>
      <c r="S24" s="38">
        <f>AVERAGEIFS('Cover Summary'!G$13:G$156,'Cover Summary'!$F$13:$F$156, "NG4936",'Cover Summary'!$E$13:$E$156, "AQC")</f>
        <v>11.333333333333334</v>
      </c>
      <c r="T24" s="38">
        <f>AVERAGEIFS('Cover Summary'!H$13:H$156,'Cover Summary'!$F$13:$F$156, "NG4936",'Cover Summary'!$E$13:$E$156, "AQC")</f>
        <v>21.166666666666668</v>
      </c>
      <c r="U24" s="38">
        <f>AVERAGEIFS('Cover Summary'!I$13:I$156,'Cover Summary'!$F$13:$F$156, "NG4936",'Cover Summary'!$E$13:$E$156, "AQC")</f>
        <v>33.833333333333336</v>
      </c>
      <c r="V24" s="38">
        <f>AVERAGEIFS('Cover Summary'!J$13:J$156,'Cover Summary'!$F$13:$F$156, "NG4936",'Cover Summary'!$E$13:$E$156, "AQC")</f>
        <v>43.75</v>
      </c>
      <c r="W24" s="38">
        <f>AVERAGEIFS('Cover Summary'!K$13:K$156,'Cover Summary'!$F$13:$F$156, "NG4936",'Cover Summary'!$E$13:$E$156, "AQC")</f>
        <v>53.083333333333336</v>
      </c>
      <c r="X24" s="38">
        <f>AVERAGEIFS('Cover Summary'!L$13:L$156,'Cover Summary'!$F$13:$F$156, "NG4936",'Cover Summary'!$E$13:$E$156, "AQC")</f>
        <v>74.083333333333329</v>
      </c>
      <c r="Y24" s="38">
        <f>AVERAGEIFS('Cover Summary'!M$13:M$156,'Cover Summary'!$F$13:$F$156, "NG4936",'Cover Summary'!$E$13:$E$156, "AQC")</f>
        <v>81.75</v>
      </c>
      <c r="Z24" s="38">
        <f>AVERAGEIFS('Cover Summary'!N$13:N$156,'Cover Summary'!$F$13:$F$156, "NG4936",'Cover Summary'!$E$13:$E$156, "AQC")</f>
        <v>89.333333333333329</v>
      </c>
      <c r="AA24" s="38">
        <f>AVERAGEIFS('Cover Summary'!O$13:O$156,'Cover Summary'!$F$13:$F$156, "NG4936",'Cover Summary'!$E$13:$E$156, "AQC")</f>
        <v>83.5</v>
      </c>
      <c r="AB24" s="38" t="e">
        <f>AVERAGEIFS('Cover Summary'!P$13:P$156,'Cover Summary'!$F$13:$F$156, "NG4936",'Cover Summary'!$E$13:$E$156, "AQC")</f>
        <v>#DIV/0!</v>
      </c>
      <c r="AC24" s="38" t="e">
        <f>AVERAGEIFS('Cover Summary'!Q$13:Q$156,'Cover Summary'!$F$13:$F$156, "NG4936",'Cover Summary'!$E$13:$E$156, "AQC")</f>
        <v>#DIV/0!</v>
      </c>
    </row>
    <row r="25" spans="1:29" ht="21" x14ac:dyDescent="0.35">
      <c r="A25" s="89"/>
      <c r="B25" s="87"/>
      <c r="C25" s="32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4"/>
      <c r="P25" s="92"/>
      <c r="Q25" s="87"/>
      <c r="R25" s="32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 spans="1:29" ht="21" x14ac:dyDescent="0.35">
      <c r="A26" s="89"/>
      <c r="B26" s="87" t="s">
        <v>45</v>
      </c>
      <c r="C26" s="38"/>
      <c r="D26" s="38">
        <f>AVERAGEIFS('Cover Summary'!G$13:G$156,'Cover Summary'!$F$13:$F$156, "NG3195",'Cover Summary'!$E$13:$E$156, "AQC-N")</f>
        <v>14.5</v>
      </c>
      <c r="E26" s="38">
        <f>AVERAGEIFS('Cover Summary'!H$13:H$156,'Cover Summary'!$F$13:$F$156, "NG3195",'Cover Summary'!$E$13:$E$156, "AQC-N")</f>
        <v>23.833333333333332</v>
      </c>
      <c r="F26" s="38">
        <f>AVERAGEIFS('Cover Summary'!I$13:I$156,'Cover Summary'!$F$13:$F$156, "NG3195",'Cover Summary'!$E$13:$E$156, "AQC-N")</f>
        <v>35.583333333333336</v>
      </c>
      <c r="G26" s="38">
        <f>AVERAGEIFS('Cover Summary'!J$13:J$156,'Cover Summary'!$F$13:$F$156, "NG3195",'Cover Summary'!$E$13:$E$156, "AQC-N")</f>
        <v>44.833333333333336</v>
      </c>
      <c r="H26" s="38">
        <f>AVERAGEIFS('Cover Summary'!K$13:K$156,'Cover Summary'!$F$13:$F$156, "NG3195",'Cover Summary'!$E$13:$E$156, "AQC-N")</f>
        <v>54.833333333333336</v>
      </c>
      <c r="I26" s="38">
        <f>AVERAGEIFS('Cover Summary'!L$13:L$156,'Cover Summary'!$F$13:$F$156, "NG3195",'Cover Summary'!$E$13:$E$156, "AQC-N")</f>
        <v>69.666666666666671</v>
      </c>
      <c r="J26" s="38">
        <f>AVERAGEIFS('Cover Summary'!M$13:M$156,'Cover Summary'!$F$13:$F$156, "NG3195",'Cover Summary'!$E$13:$E$156, "AQC-N")</f>
        <v>76.416666666666671</v>
      </c>
      <c r="K26" s="38">
        <f>AVERAGEIFS('Cover Summary'!N$13:N$156,'Cover Summary'!$F$13:$F$156, "NG3195",'Cover Summary'!$E$13:$E$156, "AQC-N")</f>
        <v>80.285714285714292</v>
      </c>
      <c r="L26" s="38">
        <f>AVERAGEIFS('Cover Summary'!O$13:O$156,'Cover Summary'!$F$13:$F$156, "NG3195",'Cover Summary'!$E$13:$E$156, "AQC-N")</f>
        <v>87.333333333333329</v>
      </c>
      <c r="M26" s="38" t="e">
        <f>AVERAGEIFS('Cover Summary'!P$13:P$156,'Cover Summary'!$F$13:$F$156, "NG3195",'Cover Summary'!$E$13:$E$156, "AQC-N")</f>
        <v>#DIV/0!</v>
      </c>
      <c r="N26" s="38" t="e">
        <f>AVERAGEIFS('Cover Summary'!Q$13:Q$156,'Cover Summary'!$F$13:$F$156, "NG3195",'Cover Summary'!$E$13:$E$156, "AQC-N")</f>
        <v>#DIV/0!</v>
      </c>
      <c r="P26" s="92"/>
      <c r="Q26" s="87" t="s">
        <v>45</v>
      </c>
      <c r="R26" s="38"/>
      <c r="S26" s="38">
        <f>AVERAGEIFS('Cover Summary'!G$13:G$156,'Cover Summary'!$F$13:$F$156, "NG4936",'Cover Summary'!$E$13:$E$156, "AQC-N")</f>
        <v>10.833333333333334</v>
      </c>
      <c r="T26" s="38">
        <f>AVERAGEIFS('Cover Summary'!H$13:H$156,'Cover Summary'!$F$13:$F$156, "NG4936",'Cover Summary'!$E$13:$E$156, "AQC-N")</f>
        <v>19.416666666666668</v>
      </c>
      <c r="U26" s="38">
        <f>AVERAGEIFS('Cover Summary'!I$13:I$156,'Cover Summary'!$F$13:$F$156, "NG4936",'Cover Summary'!$E$13:$E$156, "AQC-N")</f>
        <v>29.833333333333332</v>
      </c>
      <c r="V26" s="38">
        <f>AVERAGEIFS('Cover Summary'!J$13:J$156,'Cover Summary'!$F$13:$F$156, "NG4936",'Cover Summary'!$E$13:$E$156, "AQC-N")</f>
        <v>38.416666666666664</v>
      </c>
      <c r="W26" s="38">
        <f>AVERAGEIFS('Cover Summary'!K$13:K$156,'Cover Summary'!$F$13:$F$156, "NG4936",'Cover Summary'!$E$13:$E$156, "AQC-N")</f>
        <v>49.583333333333336</v>
      </c>
      <c r="X26" s="38">
        <f>AVERAGEIFS('Cover Summary'!L$13:L$156,'Cover Summary'!$F$13:$F$156, "NG4936",'Cover Summary'!$E$13:$E$156, "AQC-N")</f>
        <v>66.416666666666671</v>
      </c>
      <c r="Y26" s="38">
        <f>AVERAGEIFS('Cover Summary'!M$13:M$156,'Cover Summary'!$F$13:$F$156, "NG4936",'Cover Summary'!$E$13:$E$156, "AQC-N")</f>
        <v>72.333333333333329</v>
      </c>
      <c r="Z26" s="38">
        <f>AVERAGEIFS('Cover Summary'!N$13:N$156,'Cover Summary'!$F$13:$F$156, "NG4936",'Cover Summary'!$E$13:$E$156, "AQC-N")</f>
        <v>80.2</v>
      </c>
      <c r="AA26" s="38">
        <f>AVERAGEIFS('Cover Summary'!O$13:O$156,'Cover Summary'!$F$13:$F$156, "NG4936",'Cover Summary'!$E$13:$E$156, "AQC-N")</f>
        <v>76.5</v>
      </c>
      <c r="AB26" s="38">
        <f>AVERAGEIFS('Cover Summary'!P$13:P$156,'Cover Summary'!$F$13:$F$156, "NG4936",'Cover Summary'!$E$13:$E$156, "AQC-N")</f>
        <v>89</v>
      </c>
      <c r="AC26" s="38" t="e">
        <f>AVERAGEIFS('Cover Summary'!Q$13:Q$156,'Cover Summary'!$F$13:$F$156, "NG4936",'Cover Summary'!$E$13:$E$156, "AQC-N")</f>
        <v>#DIV/0!</v>
      </c>
    </row>
    <row r="27" spans="1:29" ht="21" x14ac:dyDescent="0.35">
      <c r="A27" s="89"/>
      <c r="B27" s="87"/>
      <c r="C27" s="3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4"/>
      <c r="P27" s="92"/>
      <c r="Q27" s="87"/>
      <c r="R27" s="32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 spans="1:29" ht="21" x14ac:dyDescent="0.35">
      <c r="A28" s="89"/>
      <c r="B28" s="87" t="s">
        <v>46</v>
      </c>
      <c r="C28" s="38"/>
      <c r="D28" s="38">
        <f>AVERAGEIFS('Cover Summary'!G$13:G$156,'Cover Summary'!$F$13:$F$156, "NG3195",'Cover Summary'!$E$13:$E$156, "CSM")</f>
        <v>16.166666666666668</v>
      </c>
      <c r="E28" s="38">
        <f>AVERAGEIFS('Cover Summary'!H$13:H$156,'Cover Summary'!$F$13:$F$156, "NG3195",'Cover Summary'!$E$13:$E$156, "CSM")</f>
        <v>26.583333333333332</v>
      </c>
      <c r="F28" s="38">
        <f>AVERAGEIFS('Cover Summary'!I$13:I$156,'Cover Summary'!$F$13:$F$156, "NG3195",'Cover Summary'!$E$13:$E$156, "CSM")</f>
        <v>39.166666666666664</v>
      </c>
      <c r="G28" s="38">
        <f>AVERAGEIFS('Cover Summary'!J$13:J$156,'Cover Summary'!$F$13:$F$156, "NG3195",'Cover Summary'!$E$13:$E$156, "CSM")</f>
        <v>49.333333333333336</v>
      </c>
      <c r="H28" s="38">
        <f>AVERAGEIFS('Cover Summary'!K$13:K$156,'Cover Summary'!$F$13:$F$156, "NG3195",'Cover Summary'!$E$13:$E$156, "CSM")</f>
        <v>60.916666666666664</v>
      </c>
      <c r="I28" s="38">
        <f>AVERAGEIFS('Cover Summary'!L$13:L$156,'Cover Summary'!$F$13:$F$156, "NG3195",'Cover Summary'!$E$13:$E$156, "CSM")</f>
        <v>79.833333333333329</v>
      </c>
      <c r="J28" s="38">
        <f>AVERAGEIFS('Cover Summary'!M$13:M$156,'Cover Summary'!$F$13:$F$156, "NG3195",'Cover Summary'!$E$13:$E$156, "CSM")</f>
        <v>86</v>
      </c>
      <c r="K28" s="38">
        <f>AVERAGEIFS('Cover Summary'!N$13:N$156,'Cover Summary'!$F$13:$F$156, "NG3195",'Cover Summary'!$E$13:$E$156, "CSM")</f>
        <v>94.5</v>
      </c>
      <c r="L28" s="38">
        <f>AVERAGEIFS('Cover Summary'!O$13:O$156,'Cover Summary'!$F$13:$F$156, "NG3195",'Cover Summary'!$E$13:$E$156, "CSM")</f>
        <v>94</v>
      </c>
      <c r="M28" s="38" t="e">
        <f>AVERAGEIFS('Cover Summary'!P$13:P$156,'Cover Summary'!$F$13:$F$156, "NG3195",'Cover Summary'!$E$13:$E$156, "CSM")</f>
        <v>#DIV/0!</v>
      </c>
      <c r="N28" s="38" t="e">
        <f>AVERAGEIFS('Cover Summary'!Q$13:Q$156,'Cover Summary'!$F$13:$F$156, "NG3195",'Cover Summary'!$E$13:$E$156, "CSM")</f>
        <v>#DIV/0!</v>
      </c>
      <c r="P28" s="92"/>
      <c r="Q28" s="87" t="s">
        <v>46</v>
      </c>
      <c r="R28" s="38"/>
      <c r="S28" s="38">
        <f>AVERAGEIFS('Cover Summary'!G$13:G$156,'Cover Summary'!$F$13:$F$156, "NG4936",'Cover Summary'!$E$13:$E$156, "CSM")</f>
        <v>10.333333333333334</v>
      </c>
      <c r="T28" s="38">
        <f>AVERAGEIFS('Cover Summary'!H$13:H$156,'Cover Summary'!$F$13:$F$156, "NG4936",'Cover Summary'!$E$13:$E$156, "CSM")</f>
        <v>18.416666666666668</v>
      </c>
      <c r="U28" s="38">
        <f>AVERAGEIFS('Cover Summary'!I$13:I$156,'Cover Summary'!$F$13:$F$156, "NG4936",'Cover Summary'!$E$13:$E$156, "CSM")</f>
        <v>30.916666666666668</v>
      </c>
      <c r="V28" s="38">
        <f>AVERAGEIFS('Cover Summary'!J$13:J$156,'Cover Summary'!$F$13:$F$156, "NG4936",'Cover Summary'!$E$13:$E$156, "CSM")</f>
        <v>37.666666666666664</v>
      </c>
      <c r="W28" s="38">
        <f>AVERAGEIFS('Cover Summary'!K$13:K$156,'Cover Summary'!$F$13:$F$156, "NG4936",'Cover Summary'!$E$13:$E$156, "CSM")</f>
        <v>49.916666666666664</v>
      </c>
      <c r="X28" s="38">
        <f>AVERAGEIFS('Cover Summary'!L$13:L$156,'Cover Summary'!$F$13:$F$156, "NG4936",'Cover Summary'!$E$13:$E$156, "CSM")</f>
        <v>68.75</v>
      </c>
      <c r="Y28" s="38">
        <f>AVERAGEIFS('Cover Summary'!M$13:M$156,'Cover Summary'!$F$13:$F$156, "NG4936",'Cover Summary'!$E$13:$E$156, "CSM")</f>
        <v>77.25</v>
      </c>
      <c r="Z28" s="38">
        <f>AVERAGEIFS('Cover Summary'!N$13:N$156,'Cover Summary'!$F$13:$F$156, "NG4936",'Cover Summary'!$E$13:$E$156, "CSM")</f>
        <v>87.333333333333329</v>
      </c>
      <c r="AA28" s="38">
        <f>AVERAGEIFS('Cover Summary'!O$13:O$156,'Cover Summary'!$F$13:$F$156, "NG4936",'Cover Summary'!$E$13:$E$156, "CSM")</f>
        <v>89.5</v>
      </c>
      <c r="AB28" s="38" t="e">
        <f>AVERAGEIFS('Cover Summary'!P$13:P$156,'Cover Summary'!$F$13:$F$156, "NG4936",'Cover Summary'!$E$13:$E$156, "CSM")</f>
        <v>#DIV/0!</v>
      </c>
      <c r="AC28" s="38" t="e">
        <f>AVERAGEIFS('Cover Summary'!Q$13:Q$156,'Cover Summary'!$F$13:$F$156, "NG4936",'Cover Summary'!$E$13:$E$156, "CSM")</f>
        <v>#DIV/0!</v>
      </c>
    </row>
    <row r="29" spans="1:29" ht="21" x14ac:dyDescent="0.35">
      <c r="A29" s="89"/>
      <c r="B29" s="87"/>
      <c r="C29" s="32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4"/>
      <c r="P29" s="92"/>
      <c r="Q29" s="87"/>
      <c r="R29" s="32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 spans="1:29" ht="21" x14ac:dyDescent="0.35">
      <c r="A30" s="89"/>
      <c r="B30" s="87" t="s">
        <v>47</v>
      </c>
      <c r="C30" s="38"/>
      <c r="D30" s="38">
        <f>AVERAGEIFS('Cover Summary'!G$13:G$156,'Cover Summary'!$F$13:$F$156, "NG3195",'Cover Summary'!$E$13:$E$156, "CSM-N")</f>
        <v>15.083333333333334</v>
      </c>
      <c r="E30" s="38">
        <f>AVERAGEIFS('Cover Summary'!H$13:H$156,'Cover Summary'!$F$13:$F$156, "NG3195",'Cover Summary'!$E$13:$E$156, "CSM-N")</f>
        <v>23.583333333333332</v>
      </c>
      <c r="F30" s="38">
        <f>AVERAGEIFS('Cover Summary'!I$13:I$156,'Cover Summary'!$F$13:$F$156, "NG3195",'Cover Summary'!$E$13:$E$156, "CSM-N")</f>
        <v>33.583333333333336</v>
      </c>
      <c r="G30" s="38">
        <f>AVERAGEIFS('Cover Summary'!J$13:J$156,'Cover Summary'!$F$13:$F$156, "NG3195",'Cover Summary'!$E$13:$E$156, "CSM-N")</f>
        <v>42</v>
      </c>
      <c r="H30" s="38">
        <f>AVERAGEIFS('Cover Summary'!K$13:K$156,'Cover Summary'!$F$13:$F$156, "NG3195",'Cover Summary'!$E$13:$E$156, "CSM-N")</f>
        <v>55.166666666666664</v>
      </c>
      <c r="I30" s="38">
        <f>AVERAGEIFS('Cover Summary'!L$13:L$156,'Cover Summary'!$F$13:$F$156, "NG3195",'Cover Summary'!$E$13:$E$156, "CSM-N")</f>
        <v>69</v>
      </c>
      <c r="J30" s="38">
        <f>AVERAGEIFS('Cover Summary'!M$13:M$156,'Cover Summary'!$F$13:$F$156, "NG3195",'Cover Summary'!$E$13:$E$156, "CSM-N")</f>
        <v>76.083333333333329</v>
      </c>
      <c r="K30" s="38">
        <f>AVERAGEIFS('Cover Summary'!N$13:N$156,'Cover Summary'!$F$13:$F$156, "NG3195",'Cover Summary'!$E$13:$E$156, "CSM-N")</f>
        <v>88.545454545454547</v>
      </c>
      <c r="L30" s="38">
        <f>AVERAGEIFS('Cover Summary'!O$13:O$156,'Cover Summary'!$F$13:$F$156, "NG3195",'Cover Summary'!$E$13:$E$156, "CSM-N")</f>
        <v>89.6</v>
      </c>
      <c r="M30" s="38" t="e">
        <f>AVERAGEIFS('Cover Summary'!P$13:P$156,'Cover Summary'!$F$13:$F$156, "NG3195",'Cover Summary'!$E$13:$E$156, "CSM-N")</f>
        <v>#DIV/0!</v>
      </c>
      <c r="N30" s="38" t="e">
        <f>AVERAGEIFS('Cover Summary'!Q$13:Q$156,'Cover Summary'!$F$13:$F$156, "NG3195",'Cover Summary'!$E$13:$E$156, "CSM-N")</f>
        <v>#DIV/0!</v>
      </c>
      <c r="P30" s="92"/>
      <c r="Q30" s="87" t="s">
        <v>47</v>
      </c>
      <c r="R30" s="38"/>
      <c r="S30" s="38">
        <f>AVERAGEIFS('Cover Summary'!G$13:G$156,'Cover Summary'!$F$13:$F$156, "NG4936",'Cover Summary'!$E$13:$E$156, "CSM-N")</f>
        <v>10.75</v>
      </c>
      <c r="T30" s="38">
        <f>AVERAGEIFS('Cover Summary'!H$13:H$156,'Cover Summary'!$F$13:$F$156, "NG4936",'Cover Summary'!$E$13:$E$156, "CSM-N")</f>
        <v>19</v>
      </c>
      <c r="U30" s="38">
        <f>AVERAGEIFS('Cover Summary'!I$13:I$156,'Cover Summary'!$F$13:$F$156, "NG4936",'Cover Summary'!$E$13:$E$156, "CSM-N")</f>
        <v>29.333333333333332</v>
      </c>
      <c r="V30" s="38">
        <f>AVERAGEIFS('Cover Summary'!J$13:J$156,'Cover Summary'!$F$13:$F$156, "NG4936",'Cover Summary'!$E$13:$E$156, "CSM-N")</f>
        <v>37.75</v>
      </c>
      <c r="W30" s="38">
        <f>AVERAGEIFS('Cover Summary'!K$13:K$156,'Cover Summary'!$F$13:$F$156, "NG4936",'Cover Summary'!$E$13:$E$156, "CSM-N")</f>
        <v>47.583333333333336</v>
      </c>
      <c r="X30" s="38">
        <f>AVERAGEIFS('Cover Summary'!L$13:L$156,'Cover Summary'!$F$13:$F$156, "NG4936",'Cover Summary'!$E$13:$E$156, "CSM-N")</f>
        <v>63.166666666666664</v>
      </c>
      <c r="Y30" s="38">
        <f>AVERAGEIFS('Cover Summary'!M$13:M$156,'Cover Summary'!$F$13:$F$156, "NG4936",'Cover Summary'!$E$13:$E$156, "CSM-N")</f>
        <v>69.5</v>
      </c>
      <c r="Z30" s="38">
        <f>AVERAGEIFS('Cover Summary'!N$13:N$156,'Cover Summary'!$F$13:$F$156, "NG4936",'Cover Summary'!$E$13:$E$156, "CSM-N")</f>
        <v>82.25</v>
      </c>
      <c r="AA30" s="38">
        <f>AVERAGEIFS('Cover Summary'!O$13:O$156,'Cover Summary'!$F$13:$F$156, "NG4936",'Cover Summary'!$E$13:$E$156, "CSM-N")</f>
        <v>90.333333333333329</v>
      </c>
      <c r="AB30" s="38">
        <f>AVERAGEIFS('Cover Summary'!P$13:P$156,'Cover Summary'!$F$13:$F$156, "NG4936",'Cover Summary'!$E$13:$E$156, "CSM-N")</f>
        <v>91</v>
      </c>
      <c r="AC30" s="38" t="e">
        <f>AVERAGEIFS('Cover Summary'!Q$13:Q$156,'Cover Summary'!$F$13:$F$156, "NG4936",'Cover Summary'!$E$13:$E$156, "CSM-N")</f>
        <v>#DIV/0!</v>
      </c>
    </row>
    <row r="31" spans="1:29" ht="21" x14ac:dyDescent="0.35">
      <c r="A31" s="89"/>
      <c r="B31" s="87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4"/>
      <c r="P31" s="92"/>
      <c r="Q31" s="87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 spans="1:29" ht="21" x14ac:dyDescent="0.35">
      <c r="A32" s="89"/>
      <c r="B32" s="87" t="s">
        <v>48</v>
      </c>
      <c r="C32" s="38"/>
      <c r="D32" s="38">
        <f>AVERAGEIFS('Cover Summary'!G$13:G$156,'Cover Summary'!$F$13:$F$156, "NG3195",'Cover Summary'!$E$13:$E$156, "FAO")</f>
        <v>14.5</v>
      </c>
      <c r="E32" s="38">
        <f>AVERAGEIFS('Cover Summary'!H$13:H$156,'Cover Summary'!$F$13:$F$156, "NG3195",'Cover Summary'!$E$13:$E$156, "FAO")</f>
        <v>23.833333333333332</v>
      </c>
      <c r="F32" s="38">
        <f>AVERAGEIFS('Cover Summary'!I$13:I$156,'Cover Summary'!$F$13:$F$156, "NG3195",'Cover Summary'!$E$13:$E$156, "FAO")</f>
        <v>36</v>
      </c>
      <c r="G32" s="38">
        <f>AVERAGEIFS('Cover Summary'!J$13:J$156,'Cover Summary'!$F$13:$F$156, "NG3195",'Cover Summary'!$E$13:$E$156, "FAO")</f>
        <v>45.833333333333336</v>
      </c>
      <c r="H32" s="38">
        <f>AVERAGEIFS('Cover Summary'!K$13:K$156,'Cover Summary'!$F$13:$F$156, "NG3195",'Cover Summary'!$E$13:$E$156, "FAO")</f>
        <v>57.416666666666664</v>
      </c>
      <c r="I32" s="38">
        <f>AVERAGEIFS('Cover Summary'!L$13:L$156,'Cover Summary'!$F$13:$F$156, "NG3195",'Cover Summary'!$E$13:$E$156, "FAO")</f>
        <v>75.416666666666671</v>
      </c>
      <c r="J32" s="38">
        <f>AVERAGEIFS('Cover Summary'!M$13:M$156,'Cover Summary'!$F$13:$F$156, "NG3195",'Cover Summary'!$E$13:$E$156, "FAO")</f>
        <v>82.454545454545453</v>
      </c>
      <c r="K32" s="38">
        <f>AVERAGEIFS('Cover Summary'!N$13:N$156,'Cover Summary'!$F$13:$F$156, "NG3195",'Cover Summary'!$E$13:$E$156, "FAO")</f>
        <v>91.25</v>
      </c>
      <c r="L32" s="38">
        <f>AVERAGEIFS('Cover Summary'!O$13:O$156,'Cover Summary'!$F$13:$F$156, "NG3195",'Cover Summary'!$E$13:$E$156, "FAO")</f>
        <v>90</v>
      </c>
      <c r="M32" s="38" t="e">
        <f>AVERAGEIFS('Cover Summary'!P$13:P$156,'Cover Summary'!$F$13:$F$156, "NG3195",'Cover Summary'!$E$13:$E$156, "FAO")</f>
        <v>#DIV/0!</v>
      </c>
      <c r="N32" s="38" t="e">
        <f>AVERAGEIFS('Cover Summary'!Q$13:Q$156,'Cover Summary'!$F$13:$F$156, "NG3195",'Cover Summary'!$E$13:$E$156, "FAO")</f>
        <v>#DIV/0!</v>
      </c>
      <c r="O32" s="4"/>
      <c r="P32" s="92"/>
      <c r="Q32" s="87" t="s">
        <v>48</v>
      </c>
      <c r="R32" s="38"/>
      <c r="S32" s="38">
        <f>AVERAGEIFS('Cover Summary'!G$13:G$156,'Cover Summary'!$F$13:$F$156, "NG4936",'Cover Summary'!$E$13:$E$156, "FAO")</f>
        <v>12.166666666666666</v>
      </c>
      <c r="T32" s="38">
        <f>AVERAGEIFS('Cover Summary'!H$13:H$156,'Cover Summary'!$F$13:$F$156, "NG4936",'Cover Summary'!$E$13:$E$156, "FAO")</f>
        <v>20.833333333333332</v>
      </c>
      <c r="U32" s="38">
        <f>AVERAGEIFS('Cover Summary'!I$13:I$156,'Cover Summary'!$F$13:$F$156, "NG4936",'Cover Summary'!$E$13:$E$156, "FAO")</f>
        <v>31.75</v>
      </c>
      <c r="V32" s="38">
        <f>AVERAGEIFS('Cover Summary'!J$13:J$156,'Cover Summary'!$F$13:$F$156, "NG4936",'Cover Summary'!$E$13:$E$156, "FAO")</f>
        <v>40.166666666666664</v>
      </c>
      <c r="W32" s="38">
        <f>AVERAGEIFS('Cover Summary'!K$13:K$156,'Cover Summary'!$F$13:$F$156, "NG4936",'Cover Summary'!$E$13:$E$156, "FAO")</f>
        <v>53.5</v>
      </c>
      <c r="X32" s="38">
        <f>AVERAGEIFS('Cover Summary'!L$13:L$156,'Cover Summary'!$F$13:$F$156, "NG4936",'Cover Summary'!$E$13:$E$156, "FAO")</f>
        <v>74.833333333333329</v>
      </c>
      <c r="Y32" s="38">
        <f>AVERAGEIFS('Cover Summary'!M$13:M$156,'Cover Summary'!$F$13:$F$156, "NG4936",'Cover Summary'!$E$13:$E$156, "FAO")</f>
        <v>83.416666666666671</v>
      </c>
      <c r="Z32" s="38">
        <f>AVERAGEIFS('Cover Summary'!N$13:N$156,'Cover Summary'!$F$13:$F$156, "NG4936",'Cover Summary'!$E$13:$E$156, "FAO")</f>
        <v>91.571428571428569</v>
      </c>
      <c r="AA32" s="38">
        <f>AVERAGEIFS('Cover Summary'!O$13:O$156,'Cover Summary'!$F$13:$F$156, "NG4936",'Cover Summary'!$E$13:$E$156, "FAO")</f>
        <v>98</v>
      </c>
      <c r="AB32" s="38" t="e">
        <f>AVERAGEIFS('Cover Summary'!P$13:P$156,'Cover Summary'!$F$13:$F$156, "NG4936",'Cover Summary'!$E$13:$E$156, "FAO")</f>
        <v>#DIV/0!</v>
      </c>
      <c r="AC32" s="38" t="e">
        <f>AVERAGEIFS('Cover Summary'!Q$13:Q$156,'Cover Summary'!$F$13:$F$156, "NG4936",'Cover Summary'!$E$13:$E$156, "FAO")</f>
        <v>#DIV/0!</v>
      </c>
    </row>
    <row r="33" spans="1:29" ht="21" x14ac:dyDescent="0.35">
      <c r="A33" s="89"/>
      <c r="B33" s="87"/>
      <c r="C33" s="25"/>
      <c r="D33" s="52"/>
      <c r="E33" s="52"/>
      <c r="F33" s="52"/>
      <c r="G33" s="25"/>
      <c r="H33" s="52"/>
      <c r="O33" s="4"/>
      <c r="P33" s="92"/>
      <c r="Q33" s="87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 spans="1:29" ht="21" x14ac:dyDescent="0.35">
      <c r="A34" s="89"/>
      <c r="B34" s="87" t="s">
        <v>49</v>
      </c>
      <c r="C34" s="38"/>
      <c r="D34" s="38">
        <f>AVERAGEIFS('Cover Summary'!G$13:G$156,'Cover Summary'!$F$13:$F$156, "NG3195",'Cover Summary'!$E$13:$E$156, "FAO-N")</f>
        <v>14.666666666666666</v>
      </c>
      <c r="E34" s="38">
        <f>AVERAGEIFS('Cover Summary'!H$13:H$156,'Cover Summary'!$F$13:$F$156, "NG3195",'Cover Summary'!$E$13:$E$156, "FAO-N")</f>
        <v>25.083333333333332</v>
      </c>
      <c r="F34" s="38">
        <f>AVERAGEIFS('Cover Summary'!I$13:I$156,'Cover Summary'!$F$13:$F$156, "NG3195",'Cover Summary'!$E$13:$E$156, "FAO-N")</f>
        <v>38</v>
      </c>
      <c r="G34" s="38">
        <f>AVERAGEIFS('Cover Summary'!J$13:J$156,'Cover Summary'!$F$13:$F$156, "NG3195",'Cover Summary'!$E$13:$E$156, "FAO-N")</f>
        <v>48.25</v>
      </c>
      <c r="H34" s="38">
        <f>AVERAGEIFS('Cover Summary'!K$13:K$156,'Cover Summary'!$F$13:$F$156, "NG3195",'Cover Summary'!$E$13:$E$156, "FAO-N")</f>
        <v>59.583333333333336</v>
      </c>
      <c r="I34" s="38">
        <f>AVERAGEIFS('Cover Summary'!L$13:L$156,'Cover Summary'!$F$13:$F$156, "NG3195",'Cover Summary'!$E$13:$E$156, "FAO-N")</f>
        <v>76.666666666666671</v>
      </c>
      <c r="J34" s="38">
        <f>AVERAGEIFS('Cover Summary'!M$13:M$156,'Cover Summary'!$F$13:$F$156, "NG3195",'Cover Summary'!$E$13:$E$156, "FAO-N")</f>
        <v>80.2</v>
      </c>
      <c r="K34" s="38">
        <f>AVERAGEIFS('Cover Summary'!N$13:N$156,'Cover Summary'!$F$13:$F$156, "NG3195",'Cover Summary'!$E$13:$E$156, "FAO-N")</f>
        <v>89.5</v>
      </c>
      <c r="L34" s="38">
        <f>AVERAGEIFS('Cover Summary'!O$13:O$156,'Cover Summary'!$F$13:$F$156, "NG3195",'Cover Summary'!$E$13:$E$156, "FAO-N")</f>
        <v>84.5</v>
      </c>
      <c r="M34" s="38">
        <f>AVERAGEIFS('Cover Summary'!P$13:P$156,'Cover Summary'!$F$13:$F$156, "NG3195",'Cover Summary'!$E$13:$E$156, "FAO-N")</f>
        <v>94</v>
      </c>
      <c r="N34" s="38" t="e">
        <f>AVERAGEIFS('Cover Summary'!Q$13:Q$156,'Cover Summary'!$F$13:$F$156, "NG3195",'Cover Summary'!$E$13:$E$156, "FAO-N")</f>
        <v>#DIV/0!</v>
      </c>
      <c r="O34" s="4"/>
      <c r="P34" s="92"/>
      <c r="Q34" s="87" t="s">
        <v>49</v>
      </c>
      <c r="R34" s="38"/>
      <c r="S34" s="38">
        <f>AVERAGEIFS('Cover Summary'!G$13:G$156,'Cover Summary'!$F$13:$F$156, "NG4936",'Cover Summary'!$E$13:$E$156, "FAO-N")</f>
        <v>11.666666666666666</v>
      </c>
      <c r="T34" s="38">
        <f>AVERAGEIFS('Cover Summary'!H$13:H$156,'Cover Summary'!$F$13:$F$156, "NG4936",'Cover Summary'!$E$13:$E$156, "FAO-N")</f>
        <v>20.666666666666668</v>
      </c>
      <c r="U34" s="38">
        <f>AVERAGEIFS('Cover Summary'!I$13:I$156,'Cover Summary'!$F$13:$F$156, "NG4936",'Cover Summary'!$E$13:$E$156, "FAO-N")</f>
        <v>32.083333333333336</v>
      </c>
      <c r="V34" s="38">
        <f>AVERAGEIFS('Cover Summary'!J$13:J$156,'Cover Summary'!$F$13:$F$156, "NG4936",'Cover Summary'!$E$13:$E$156, "FAO-N")</f>
        <v>41.25</v>
      </c>
      <c r="W34" s="38">
        <f>AVERAGEIFS('Cover Summary'!K$13:K$156,'Cover Summary'!$F$13:$F$156, "NG4936",'Cover Summary'!$E$13:$E$156, "FAO-N")</f>
        <v>53.333333333333336</v>
      </c>
      <c r="X34" s="38">
        <f>AVERAGEIFS('Cover Summary'!L$13:L$156,'Cover Summary'!$F$13:$F$156, "NG4936",'Cover Summary'!$E$13:$E$156, "FAO-N")</f>
        <v>71.083333333333329</v>
      </c>
      <c r="Y34" s="38">
        <f>AVERAGEIFS('Cover Summary'!M$13:M$156,'Cover Summary'!$F$13:$F$156, "NG4936",'Cover Summary'!$E$13:$E$156, "FAO-N")</f>
        <v>78.916666666666671</v>
      </c>
      <c r="Z34" s="38">
        <f>AVERAGEIFS('Cover Summary'!N$13:N$156,'Cover Summary'!$F$13:$F$156, "NG4936",'Cover Summary'!$E$13:$E$156, "FAO-N")</f>
        <v>85.333333333333329</v>
      </c>
      <c r="AA34" s="38">
        <f>AVERAGEIFS('Cover Summary'!O$13:O$156,'Cover Summary'!$F$13:$F$156, "NG4936",'Cover Summary'!$E$13:$E$156, "FAO-N")</f>
        <v>86</v>
      </c>
      <c r="AB34" s="38">
        <f>AVERAGEIFS('Cover Summary'!P$13:P$156,'Cover Summary'!$F$13:$F$156, "NG4936",'Cover Summary'!$E$13:$E$156, "FAO-N")</f>
        <v>98</v>
      </c>
      <c r="AC34" s="38" t="e">
        <f>AVERAGEIFS('Cover Summary'!Q$13:Q$156,'Cover Summary'!$F$13:$F$156, "NG4936",'Cover Summary'!$E$13:$E$156, "FAO-N")</f>
        <v>#DIV/0!</v>
      </c>
    </row>
    <row r="35" spans="1:29" ht="21" x14ac:dyDescent="0.35">
      <c r="A35" s="89"/>
      <c r="B35" s="25"/>
      <c r="C35" s="25"/>
      <c r="O35" s="4"/>
      <c r="P35" s="92"/>
      <c r="Q35" s="25"/>
      <c r="R35" s="25"/>
      <c r="V35" s="52"/>
    </row>
    <row r="36" spans="1:29" ht="21" x14ac:dyDescent="0.35">
      <c r="A36" s="90"/>
      <c r="B36" s="25"/>
      <c r="C36" s="25"/>
      <c r="O36" s="3"/>
      <c r="P36" s="90"/>
      <c r="Q36" s="25"/>
      <c r="R36" s="25"/>
      <c r="V36" s="52"/>
    </row>
    <row r="37" spans="1:29" ht="21" x14ac:dyDescent="0.35">
      <c r="A37" s="90"/>
      <c r="B37" s="25"/>
      <c r="C37" s="25"/>
      <c r="P37" s="25"/>
    </row>
    <row r="38" spans="1:29" ht="21" x14ac:dyDescent="0.35">
      <c r="A38" s="90"/>
      <c r="B38" s="25"/>
      <c r="C38" s="25"/>
      <c r="P38" s="34"/>
    </row>
    <row r="39" spans="1:29" x14ac:dyDescent="0.2">
      <c r="B39" s="25"/>
      <c r="C39" s="25"/>
    </row>
    <row r="40" spans="1:29" x14ac:dyDescent="0.2">
      <c r="B40" s="25"/>
      <c r="C40" s="25"/>
      <c r="O40" s="45"/>
      <c r="P40" s="47"/>
    </row>
    <row r="41" spans="1:29" x14ac:dyDescent="0.2">
      <c r="B41" s="25"/>
      <c r="C41" s="25"/>
      <c r="O41" s="45"/>
      <c r="P41" s="48"/>
    </row>
    <row r="42" spans="1:29" x14ac:dyDescent="0.2">
      <c r="B42" s="25"/>
      <c r="C42" s="25"/>
      <c r="O42" s="4"/>
      <c r="P42" s="38"/>
    </row>
    <row r="43" spans="1:29" x14ac:dyDescent="0.2">
      <c r="B43" s="25"/>
      <c r="C43" s="25"/>
      <c r="P43" s="32"/>
    </row>
    <row r="44" spans="1:29" x14ac:dyDescent="0.2">
      <c r="B44" s="25"/>
      <c r="C44" s="25"/>
      <c r="O44" s="4"/>
      <c r="P44" s="38"/>
    </row>
    <row r="45" spans="1:29" x14ac:dyDescent="0.2">
      <c r="B45" s="25"/>
      <c r="C45" s="25"/>
      <c r="P45" s="32"/>
    </row>
    <row r="46" spans="1:29" x14ac:dyDescent="0.2">
      <c r="C46" s="25"/>
      <c r="O46" s="4"/>
      <c r="P46" s="38"/>
    </row>
    <row r="47" spans="1:29" x14ac:dyDescent="0.2">
      <c r="C47" s="25"/>
      <c r="P47" s="32"/>
    </row>
    <row r="48" spans="1:29" x14ac:dyDescent="0.2">
      <c r="C48" s="25"/>
      <c r="O48" s="4"/>
      <c r="P48" s="38"/>
    </row>
    <row r="49" spans="3:16" x14ac:dyDescent="0.2">
      <c r="C49" s="25"/>
      <c r="O49" s="4"/>
      <c r="P49" s="25"/>
    </row>
    <row r="50" spans="3:16" x14ac:dyDescent="0.2">
      <c r="O50" s="4"/>
      <c r="P50" s="38"/>
    </row>
    <row r="51" spans="3:16" x14ac:dyDescent="0.2">
      <c r="O51" s="4"/>
      <c r="P51" s="25"/>
    </row>
    <row r="52" spans="3:16" x14ac:dyDescent="0.2">
      <c r="O52" s="4"/>
      <c r="P52" s="38"/>
    </row>
    <row r="53" spans="3:16" x14ac:dyDescent="0.2">
      <c r="O53" s="25"/>
      <c r="P53" s="25"/>
    </row>
  </sheetData>
  <conditionalFormatting sqref="B7:B34">
    <cfRule type="endsWith" dxfId="21" priority="13" operator="endsWith" text="FAO">
      <formula>RIGHT(B7,LEN("FAO"))="FAO"</formula>
    </cfRule>
    <cfRule type="endsWith" dxfId="20" priority="14" operator="endsWith" text="AQC">
      <formula>RIGHT(B7,LEN("AQC"))="AQC"</formula>
    </cfRule>
    <cfRule type="endsWith" dxfId="19" priority="15" operator="endsWith" text="CSM-N">
      <formula>RIGHT(B7,LEN("CSM-N"))="CSM-N"</formula>
    </cfRule>
    <cfRule type="endsWith" dxfId="18" priority="16" operator="endsWith" text="FAO-N">
      <formula>RIGHT(B7,LEN("FAO-N"))="FAO-N"</formula>
    </cfRule>
    <cfRule type="endsWith" dxfId="17" priority="17" operator="endsWith" text="AQC-N">
      <formula>RIGHT(B7,LEN("AQC-N"))="AQC-N"</formula>
    </cfRule>
    <cfRule type="endsWith" dxfId="16" priority="18" operator="endsWith" text="CSM">
      <formula>RIGHT(B7,LEN("CSM"))="CSM"</formula>
    </cfRule>
  </conditionalFormatting>
  <conditionalFormatting sqref="Q7:Q18">
    <cfRule type="endsWith" dxfId="15" priority="7" operator="endsWith" text="FAO">
      <formula>RIGHT(Q7,LEN("FAO"))="FAO"</formula>
    </cfRule>
    <cfRule type="endsWith" dxfId="14" priority="8" operator="endsWith" text="AQC">
      <formula>RIGHT(Q7,LEN("AQC"))="AQC"</formula>
    </cfRule>
    <cfRule type="endsWith" dxfId="13" priority="9" operator="endsWith" text="CSM-N">
      <formula>RIGHT(Q7,LEN("CSM-N"))="CSM-N"</formula>
    </cfRule>
    <cfRule type="endsWith" dxfId="12" priority="10" operator="endsWith" text="FAO-N">
      <formula>RIGHT(Q7,LEN("FAO-N"))="FAO-N"</formula>
    </cfRule>
    <cfRule type="endsWith" dxfId="11" priority="11" operator="endsWith" text="AQC-N">
      <formula>RIGHT(Q7,LEN("AQC-N"))="AQC-N"</formula>
    </cfRule>
    <cfRule type="endsWith" dxfId="10" priority="12" operator="endsWith" text="CSM">
      <formula>RIGHT(Q7,LEN("CSM"))="CSM"</formula>
    </cfRule>
  </conditionalFormatting>
  <conditionalFormatting sqref="Q20:Q34">
    <cfRule type="endsWith" dxfId="9" priority="1" operator="endsWith" text="FAO">
      <formula>RIGHT(Q20,LEN("FAO"))="FAO"</formula>
    </cfRule>
    <cfRule type="endsWith" dxfId="8" priority="2" operator="endsWith" text="AQC">
      <formula>RIGHT(Q20,LEN("AQC"))="AQC"</formula>
    </cfRule>
    <cfRule type="endsWith" dxfId="7" priority="3" operator="endsWith" text="CSM-N">
      <formula>RIGHT(Q20,LEN("CSM-N"))="CSM-N"</formula>
    </cfRule>
    <cfRule type="endsWith" dxfId="6" priority="4" operator="endsWith" text="FAO-N">
      <formula>RIGHT(Q20,LEN("FAO-N"))="FAO-N"</formula>
    </cfRule>
    <cfRule type="endsWith" dxfId="5" priority="5" operator="endsWith" text="AQC-N">
      <formula>RIGHT(Q20,LEN("AQC-N"))="AQC-N"</formula>
    </cfRule>
    <cfRule type="endsWith" dxfId="4" priority="6" operator="endsWith" text="CSM">
      <formula>RIGHT(Q20,LEN("CSM"))="CSM"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F352-C608-4879-A44D-DA0CE6D6C37C}">
  <dimension ref="A1:O119"/>
  <sheetViews>
    <sheetView topLeftCell="A72" zoomScale="85" zoomScaleNormal="85" workbookViewId="0">
      <selection activeCell="B119" sqref="B72:B119"/>
    </sheetView>
  </sheetViews>
  <sheetFormatPr defaultRowHeight="15" x14ac:dyDescent="0.25"/>
  <cols>
    <col min="1" max="1" width="17" style="125" customWidth="1"/>
    <col min="2" max="2" width="9" style="124" customWidth="1"/>
    <col min="3" max="3" width="7" style="124" customWidth="1"/>
    <col min="4" max="4" width="8.140625" style="124" customWidth="1"/>
    <col min="5" max="6" width="9.140625" style="123" customWidth="1"/>
    <col min="7" max="8" width="9.140625" style="123"/>
    <col min="9" max="9" width="11.140625" style="123" customWidth="1"/>
    <col min="10" max="12" width="9.140625" style="123"/>
    <col min="13" max="15" width="10.28515625" style="123" customWidth="1"/>
    <col min="16" max="16384" width="9.140625" style="123"/>
  </cols>
  <sheetData>
    <row r="1" spans="1:15" ht="22.15" customHeight="1" x14ac:dyDescent="0.3">
      <c r="A1" s="129">
        <v>2021</v>
      </c>
      <c r="B1" s="129" t="s">
        <v>355</v>
      </c>
      <c r="C1" s="129"/>
      <c r="D1" s="194" t="s">
        <v>6</v>
      </c>
    </row>
    <row r="2" spans="1:15" x14ac:dyDescent="0.25">
      <c r="B2" s="123"/>
      <c r="C2" s="123"/>
      <c r="D2" s="123"/>
    </row>
    <row r="3" spans="1:15" x14ac:dyDescent="0.25">
      <c r="B3" s="127" t="s">
        <v>354</v>
      </c>
      <c r="C3" s="127"/>
      <c r="D3" s="127"/>
    </row>
    <row r="4" spans="1:15" x14ac:dyDescent="0.25">
      <c r="A4" s="193" t="s">
        <v>353</v>
      </c>
      <c r="B4" s="127"/>
      <c r="C4" s="127"/>
      <c r="D4" s="127"/>
    </row>
    <row r="5" spans="1:15" x14ac:dyDescent="0.25">
      <c r="A5" s="193" t="s">
        <v>352</v>
      </c>
      <c r="B5" s="127"/>
      <c r="C5" s="127"/>
      <c r="D5" s="127"/>
    </row>
    <row r="6" spans="1:15" x14ac:dyDescent="0.25">
      <c r="A6" s="193" t="s">
        <v>351</v>
      </c>
      <c r="B6" s="127"/>
      <c r="C6" s="127"/>
      <c r="D6" s="127"/>
    </row>
    <row r="7" spans="1:15" x14ac:dyDescent="0.25">
      <c r="A7" s="193"/>
      <c r="B7" s="127"/>
      <c r="C7" s="127"/>
      <c r="D7" s="127"/>
    </row>
    <row r="8" spans="1:15" x14ac:dyDescent="0.25">
      <c r="A8" s="193" t="s">
        <v>350</v>
      </c>
      <c r="B8" s="127"/>
      <c r="C8" s="127"/>
      <c r="D8" s="127"/>
    </row>
    <row r="9" spans="1:15" ht="15" customHeight="1" x14ac:dyDescent="0.25">
      <c r="E9" s="127"/>
    </row>
    <row r="10" spans="1:15" ht="19.899999999999999" customHeight="1" x14ac:dyDescent="0.25">
      <c r="E10" s="123" t="s">
        <v>349</v>
      </c>
      <c r="K10" s="123" t="s">
        <v>348</v>
      </c>
    </row>
    <row r="11" spans="1:15" ht="28.15" customHeight="1" x14ac:dyDescent="0.25">
      <c r="B11" s="192" t="s">
        <v>27</v>
      </c>
      <c r="C11" s="192"/>
      <c r="D11" s="192"/>
      <c r="E11" s="269" t="s">
        <v>347</v>
      </c>
      <c r="F11" s="270"/>
      <c r="G11" s="274" t="s">
        <v>346</v>
      </c>
      <c r="H11" s="270"/>
      <c r="I11" s="274">
        <v>44319</v>
      </c>
      <c r="J11" s="270"/>
      <c r="K11" s="274">
        <v>44323</v>
      </c>
      <c r="L11" s="270"/>
      <c r="M11" s="190">
        <v>44326</v>
      </c>
      <c r="N11" s="190">
        <v>44328</v>
      </c>
      <c r="O11" s="190">
        <v>44333</v>
      </c>
    </row>
    <row r="12" spans="1:15" ht="28.15" customHeight="1" x14ac:dyDescent="0.25">
      <c r="A12" s="186"/>
      <c r="B12" s="189" t="s">
        <v>29</v>
      </c>
      <c r="C12" s="189"/>
      <c r="D12" s="189"/>
      <c r="E12" s="271">
        <v>119</v>
      </c>
      <c r="F12" s="272"/>
      <c r="G12" s="273">
        <v>122</v>
      </c>
      <c r="H12" s="272"/>
      <c r="I12" s="273">
        <v>123</v>
      </c>
      <c r="J12" s="272"/>
      <c r="K12" s="273">
        <v>127</v>
      </c>
      <c r="L12" s="272"/>
      <c r="M12" s="187">
        <v>130</v>
      </c>
      <c r="N12" s="187">
        <v>132</v>
      </c>
      <c r="O12" s="187">
        <v>137</v>
      </c>
    </row>
    <row r="13" spans="1:15" s="183" customFormat="1" ht="28.15" customHeight="1" x14ac:dyDescent="0.2">
      <c r="A13" s="186"/>
      <c r="B13" s="185" t="s">
        <v>13</v>
      </c>
      <c r="C13" s="185"/>
      <c r="D13" s="185"/>
      <c r="E13" s="277" t="s">
        <v>51</v>
      </c>
      <c r="F13" s="272"/>
      <c r="G13" s="277" t="s">
        <v>51</v>
      </c>
      <c r="H13" s="272"/>
      <c r="I13" s="277" t="s">
        <v>51</v>
      </c>
      <c r="J13" s="272"/>
      <c r="K13" s="277" t="s">
        <v>51</v>
      </c>
      <c r="L13" s="272"/>
      <c r="M13" s="184" t="s">
        <v>51</v>
      </c>
      <c r="N13" s="184" t="s">
        <v>51</v>
      </c>
      <c r="O13" s="184" t="s">
        <v>51</v>
      </c>
    </row>
    <row r="14" spans="1:15" s="124" customFormat="1" ht="37.15" customHeight="1" x14ac:dyDescent="0.25">
      <c r="A14" s="181"/>
      <c r="B14" s="180" t="s">
        <v>345</v>
      </c>
      <c r="C14" s="180"/>
      <c r="D14" s="180"/>
      <c r="E14" s="275" t="s">
        <v>344</v>
      </c>
      <c r="F14" s="276"/>
      <c r="G14" s="275" t="s">
        <v>343</v>
      </c>
      <c r="H14" s="276"/>
      <c r="I14" s="275" t="s">
        <v>342</v>
      </c>
      <c r="J14" s="276"/>
      <c r="K14" s="275" t="s">
        <v>341</v>
      </c>
      <c r="L14" s="276"/>
      <c r="M14" s="182" t="s">
        <v>340</v>
      </c>
      <c r="N14" s="182" t="s">
        <v>339</v>
      </c>
      <c r="O14" s="182" t="s">
        <v>338</v>
      </c>
    </row>
    <row r="15" spans="1:15" s="124" customFormat="1" ht="37.15" customHeight="1" thickBot="1" x14ac:dyDescent="0.3">
      <c r="A15" s="181" t="s">
        <v>337</v>
      </c>
      <c r="B15" s="180"/>
      <c r="C15" s="180" t="s">
        <v>7</v>
      </c>
      <c r="D15" s="180"/>
      <c r="E15" s="179" t="s">
        <v>335</v>
      </c>
      <c r="F15" s="178" t="s">
        <v>336</v>
      </c>
      <c r="G15" s="176" t="s">
        <v>335</v>
      </c>
      <c r="H15" s="177" t="s">
        <v>336</v>
      </c>
      <c r="I15" s="179" t="s">
        <v>335</v>
      </c>
      <c r="J15" s="178" t="s">
        <v>336</v>
      </c>
      <c r="K15" s="176" t="s">
        <v>335</v>
      </c>
      <c r="L15" s="177" t="s">
        <v>336</v>
      </c>
      <c r="M15" s="176" t="s">
        <v>335</v>
      </c>
      <c r="N15" s="176" t="s">
        <v>335</v>
      </c>
      <c r="O15" s="176" t="s">
        <v>335</v>
      </c>
    </row>
    <row r="16" spans="1:15" ht="37.9" customHeight="1" x14ac:dyDescent="0.25">
      <c r="A16" s="145" t="s">
        <v>334</v>
      </c>
      <c r="B16" s="173" t="s">
        <v>333</v>
      </c>
      <c r="C16" s="173" t="s">
        <v>332</v>
      </c>
      <c r="D16" s="172" t="s">
        <v>50</v>
      </c>
      <c r="E16" s="170">
        <v>0</v>
      </c>
      <c r="F16" s="169">
        <v>0</v>
      </c>
      <c r="G16" s="167">
        <v>5</v>
      </c>
      <c r="H16" s="171">
        <v>0</v>
      </c>
      <c r="I16" s="170">
        <v>5</v>
      </c>
      <c r="J16" s="169">
        <v>1</v>
      </c>
      <c r="K16" s="167">
        <v>6</v>
      </c>
      <c r="L16" s="168">
        <v>1</v>
      </c>
      <c r="M16" s="167">
        <v>6</v>
      </c>
      <c r="N16" s="167">
        <v>6</v>
      </c>
      <c r="O16" s="167">
        <v>6</v>
      </c>
    </row>
    <row r="17" spans="1:15" ht="37.9" customHeight="1" x14ac:dyDescent="0.25">
      <c r="A17" s="145"/>
      <c r="B17" s="166" t="s">
        <v>331</v>
      </c>
      <c r="C17" s="166" t="s">
        <v>330</v>
      </c>
      <c r="D17" s="165" t="s">
        <v>43</v>
      </c>
      <c r="E17" s="163">
        <v>0</v>
      </c>
      <c r="F17" s="162">
        <v>2</v>
      </c>
      <c r="G17" s="160">
        <v>10</v>
      </c>
      <c r="H17" s="164">
        <v>0</v>
      </c>
      <c r="I17" s="163">
        <v>10</v>
      </c>
      <c r="J17" s="162">
        <v>0</v>
      </c>
      <c r="K17" s="160">
        <v>11</v>
      </c>
      <c r="L17" s="161">
        <v>0</v>
      </c>
      <c r="M17" s="160">
        <v>11</v>
      </c>
      <c r="N17" s="160">
        <v>11</v>
      </c>
      <c r="O17" s="160">
        <v>10</v>
      </c>
    </row>
    <row r="18" spans="1:15" ht="37.9" customHeight="1" x14ac:dyDescent="0.25">
      <c r="A18" s="175"/>
      <c r="B18" s="159" t="s">
        <v>329</v>
      </c>
      <c r="C18" s="159" t="s">
        <v>328</v>
      </c>
      <c r="D18" s="158" t="s">
        <v>43</v>
      </c>
      <c r="E18" s="156">
        <v>0</v>
      </c>
      <c r="F18" s="155">
        <v>0</v>
      </c>
      <c r="G18" s="153">
        <v>5</v>
      </c>
      <c r="H18" s="157">
        <v>1</v>
      </c>
      <c r="I18" s="156">
        <v>5</v>
      </c>
      <c r="J18" s="155">
        <v>1</v>
      </c>
      <c r="K18" s="153">
        <v>6</v>
      </c>
      <c r="L18" s="154">
        <v>0</v>
      </c>
      <c r="M18" s="153">
        <v>6</v>
      </c>
      <c r="N18" s="153">
        <v>6</v>
      </c>
      <c r="O18" s="153">
        <v>5</v>
      </c>
    </row>
    <row r="19" spans="1:15" ht="37.9" customHeight="1" thickBot="1" x14ac:dyDescent="0.3">
      <c r="A19" s="152"/>
      <c r="B19" s="159" t="s">
        <v>327</v>
      </c>
      <c r="C19" s="159" t="s">
        <v>326</v>
      </c>
      <c r="D19" s="158" t="s">
        <v>50</v>
      </c>
      <c r="E19" s="156">
        <v>0</v>
      </c>
      <c r="F19" s="155">
        <v>1</v>
      </c>
      <c r="G19" s="153">
        <v>4</v>
      </c>
      <c r="H19" s="157">
        <v>2</v>
      </c>
      <c r="I19" s="156">
        <v>5</v>
      </c>
      <c r="J19" s="155">
        <v>1</v>
      </c>
      <c r="K19" s="153">
        <v>8</v>
      </c>
      <c r="L19" s="154">
        <v>0</v>
      </c>
      <c r="M19" s="153">
        <v>8</v>
      </c>
      <c r="N19" s="153">
        <v>8</v>
      </c>
      <c r="O19" s="153">
        <v>8</v>
      </c>
    </row>
    <row r="20" spans="1:15" ht="37.9" customHeight="1" x14ac:dyDescent="0.25">
      <c r="A20" s="152"/>
      <c r="B20" s="159" t="s">
        <v>325</v>
      </c>
      <c r="C20" s="159" t="s">
        <v>324</v>
      </c>
      <c r="D20" s="172" t="s">
        <v>50</v>
      </c>
      <c r="E20" s="156">
        <v>0</v>
      </c>
      <c r="F20" s="155">
        <v>0</v>
      </c>
      <c r="G20" s="153">
        <v>5</v>
      </c>
      <c r="H20" s="157">
        <v>0</v>
      </c>
      <c r="I20" s="156">
        <v>5</v>
      </c>
      <c r="J20" s="155">
        <v>0</v>
      </c>
      <c r="K20" s="153">
        <v>6</v>
      </c>
      <c r="L20" s="154">
        <v>1</v>
      </c>
      <c r="M20" s="153">
        <v>7</v>
      </c>
      <c r="N20" s="153">
        <v>7</v>
      </c>
      <c r="O20" s="153">
        <v>6</v>
      </c>
    </row>
    <row r="21" spans="1:15" ht="37.9" customHeight="1" x14ac:dyDescent="0.25">
      <c r="A21" s="152"/>
      <c r="B21" s="143" t="s">
        <v>323</v>
      </c>
      <c r="C21" s="143" t="s">
        <v>322</v>
      </c>
      <c r="D21" s="165" t="s">
        <v>43</v>
      </c>
      <c r="E21" s="149">
        <v>2</v>
      </c>
      <c r="F21" s="148">
        <v>0</v>
      </c>
      <c r="G21" s="146">
        <v>7</v>
      </c>
      <c r="H21" s="150">
        <v>0</v>
      </c>
      <c r="I21" s="149">
        <v>8</v>
      </c>
      <c r="J21" s="148">
        <v>0</v>
      </c>
      <c r="K21" s="146">
        <v>8</v>
      </c>
      <c r="L21" s="147">
        <v>1</v>
      </c>
      <c r="M21" s="146">
        <v>9</v>
      </c>
      <c r="N21" s="146">
        <v>8</v>
      </c>
      <c r="O21" s="146">
        <v>8</v>
      </c>
    </row>
    <row r="22" spans="1:15" ht="37.9" customHeight="1" x14ac:dyDescent="0.25">
      <c r="A22" s="123"/>
      <c r="B22" s="143" t="s">
        <v>321</v>
      </c>
      <c r="C22" s="143" t="s">
        <v>320</v>
      </c>
      <c r="D22" s="158" t="s">
        <v>43</v>
      </c>
      <c r="E22" s="149">
        <v>1</v>
      </c>
      <c r="F22" s="148">
        <v>1</v>
      </c>
      <c r="G22" s="146">
        <v>6</v>
      </c>
      <c r="H22" s="150">
        <v>1</v>
      </c>
      <c r="I22" s="149">
        <v>7</v>
      </c>
      <c r="J22" s="148">
        <v>0</v>
      </c>
      <c r="K22" s="146">
        <v>8</v>
      </c>
      <c r="L22" s="147">
        <v>0</v>
      </c>
      <c r="M22" s="146">
        <v>8</v>
      </c>
      <c r="N22" s="146">
        <v>9</v>
      </c>
      <c r="O22" s="146">
        <v>9</v>
      </c>
    </row>
    <row r="23" spans="1:15" ht="37.9" customHeight="1" thickBot="1" x14ac:dyDescent="0.3">
      <c r="A23" s="152" t="s">
        <v>11</v>
      </c>
      <c r="B23" s="151" t="s">
        <v>319</v>
      </c>
      <c r="C23" s="151" t="s">
        <v>318</v>
      </c>
      <c r="D23" s="158" t="s">
        <v>50</v>
      </c>
      <c r="E23" s="140">
        <v>1</v>
      </c>
      <c r="F23" s="139">
        <v>1</v>
      </c>
      <c r="G23" s="137">
        <v>5</v>
      </c>
      <c r="H23" s="141">
        <v>0</v>
      </c>
      <c r="I23" s="140">
        <v>5</v>
      </c>
      <c r="J23" s="139">
        <v>0</v>
      </c>
      <c r="K23" s="137">
        <v>7</v>
      </c>
      <c r="L23" s="138">
        <v>1</v>
      </c>
      <c r="M23" s="137">
        <v>8</v>
      </c>
      <c r="N23" s="137">
        <v>9</v>
      </c>
      <c r="O23" s="137">
        <v>9</v>
      </c>
    </row>
    <row r="24" spans="1:15" ht="37.9" customHeight="1" x14ac:dyDescent="0.25">
      <c r="A24" s="152" t="s">
        <v>11</v>
      </c>
      <c r="B24" s="173" t="s">
        <v>317</v>
      </c>
      <c r="C24" s="173" t="s">
        <v>316</v>
      </c>
      <c r="D24" s="172" t="s">
        <v>43</v>
      </c>
      <c r="E24" s="170">
        <v>1</v>
      </c>
      <c r="F24" s="169">
        <v>1</v>
      </c>
      <c r="G24" s="167">
        <v>7</v>
      </c>
      <c r="H24" s="171">
        <v>2</v>
      </c>
      <c r="I24" s="170">
        <v>8</v>
      </c>
      <c r="J24" s="169">
        <v>1</v>
      </c>
      <c r="K24" s="167">
        <v>9</v>
      </c>
      <c r="L24" s="168">
        <v>1</v>
      </c>
      <c r="M24" s="167">
        <v>10</v>
      </c>
      <c r="N24" s="167">
        <v>10</v>
      </c>
      <c r="O24" s="167">
        <v>10</v>
      </c>
    </row>
    <row r="25" spans="1:15" ht="37.9" customHeight="1" x14ac:dyDescent="0.25">
      <c r="A25" s="152"/>
      <c r="B25" s="166" t="s">
        <v>315</v>
      </c>
      <c r="C25" s="166" t="s">
        <v>314</v>
      </c>
      <c r="D25" s="165" t="s">
        <v>50</v>
      </c>
      <c r="E25" s="163">
        <v>0</v>
      </c>
      <c r="F25" s="162">
        <v>0</v>
      </c>
      <c r="G25" s="160">
        <v>3</v>
      </c>
      <c r="H25" s="164">
        <v>1</v>
      </c>
      <c r="I25" s="163">
        <v>3</v>
      </c>
      <c r="J25" s="162">
        <v>1</v>
      </c>
      <c r="K25" s="160">
        <v>8</v>
      </c>
      <c r="L25" s="161">
        <v>0</v>
      </c>
      <c r="M25" s="160">
        <v>8</v>
      </c>
      <c r="N25" s="160">
        <v>8</v>
      </c>
      <c r="O25" s="160">
        <v>7</v>
      </c>
    </row>
    <row r="26" spans="1:15" ht="37.9" customHeight="1" x14ac:dyDescent="0.25">
      <c r="A26" s="152"/>
      <c r="B26" s="159" t="s">
        <v>313</v>
      </c>
      <c r="C26" s="159" t="s">
        <v>312</v>
      </c>
      <c r="D26" s="158" t="s">
        <v>50</v>
      </c>
      <c r="E26" s="156">
        <v>0</v>
      </c>
      <c r="F26" s="155">
        <v>0</v>
      </c>
      <c r="G26" s="153">
        <v>4</v>
      </c>
      <c r="H26" s="157">
        <v>1</v>
      </c>
      <c r="I26" s="156">
        <v>5</v>
      </c>
      <c r="J26" s="155">
        <v>1</v>
      </c>
      <c r="K26" s="153">
        <v>7</v>
      </c>
      <c r="L26" s="154">
        <v>2</v>
      </c>
      <c r="M26" s="153">
        <v>8</v>
      </c>
      <c r="N26" s="153">
        <v>9</v>
      </c>
      <c r="O26" s="153">
        <v>9</v>
      </c>
    </row>
    <row r="27" spans="1:15" ht="37.9" customHeight="1" x14ac:dyDescent="0.25">
      <c r="A27" s="152"/>
      <c r="B27" s="159" t="s">
        <v>311</v>
      </c>
      <c r="C27" s="159" t="s">
        <v>310</v>
      </c>
      <c r="D27" s="158" t="s">
        <v>43</v>
      </c>
      <c r="E27" s="156">
        <v>0</v>
      </c>
      <c r="F27" s="155">
        <v>1</v>
      </c>
      <c r="G27" s="153">
        <v>7</v>
      </c>
      <c r="H27" s="157">
        <v>0</v>
      </c>
      <c r="I27" s="156">
        <v>7</v>
      </c>
      <c r="J27" s="155">
        <v>0</v>
      </c>
      <c r="K27" s="153">
        <v>8</v>
      </c>
      <c r="L27" s="154">
        <v>1</v>
      </c>
      <c r="M27" s="153">
        <v>9</v>
      </c>
      <c r="N27" s="153">
        <v>9</v>
      </c>
      <c r="O27" s="153">
        <v>10</v>
      </c>
    </row>
    <row r="28" spans="1:15" ht="37.9" customHeight="1" x14ac:dyDescent="0.25">
      <c r="A28" s="152"/>
      <c r="B28" s="159" t="s">
        <v>309</v>
      </c>
      <c r="C28" s="159" t="s">
        <v>308</v>
      </c>
      <c r="D28" s="158" t="s">
        <v>43</v>
      </c>
      <c r="E28" s="156">
        <v>0</v>
      </c>
      <c r="F28" s="155">
        <v>2</v>
      </c>
      <c r="G28" s="153">
        <v>9</v>
      </c>
      <c r="H28" s="157">
        <v>2</v>
      </c>
      <c r="I28" s="156">
        <v>9</v>
      </c>
      <c r="J28" s="155">
        <v>2</v>
      </c>
      <c r="K28" s="153">
        <v>11</v>
      </c>
      <c r="L28" s="154">
        <v>1</v>
      </c>
      <c r="M28" s="153">
        <v>12</v>
      </c>
      <c r="N28" s="153">
        <v>12</v>
      </c>
      <c r="O28" s="153">
        <v>12</v>
      </c>
    </row>
    <row r="29" spans="1:15" ht="37.9" customHeight="1" x14ac:dyDescent="0.25">
      <c r="A29" s="152"/>
      <c r="B29" s="143" t="s">
        <v>307</v>
      </c>
      <c r="C29" s="143" t="s">
        <v>306</v>
      </c>
      <c r="D29" s="142" t="s">
        <v>50</v>
      </c>
      <c r="E29" s="149">
        <v>0</v>
      </c>
      <c r="F29" s="148">
        <v>0</v>
      </c>
      <c r="G29" s="146">
        <v>4</v>
      </c>
      <c r="H29" s="150">
        <v>3</v>
      </c>
      <c r="I29" s="149">
        <v>7</v>
      </c>
      <c r="J29" s="148">
        <v>1</v>
      </c>
      <c r="K29" s="146">
        <v>8</v>
      </c>
      <c r="L29" s="147">
        <v>0</v>
      </c>
      <c r="M29" s="146">
        <v>8</v>
      </c>
      <c r="N29" s="146">
        <v>8</v>
      </c>
      <c r="O29" s="146">
        <v>8</v>
      </c>
    </row>
    <row r="30" spans="1:15" ht="37.9" customHeight="1" x14ac:dyDescent="0.25">
      <c r="A30" s="123"/>
      <c r="B30" s="143" t="s">
        <v>305</v>
      </c>
      <c r="C30" s="143" t="s">
        <v>304</v>
      </c>
      <c r="D30" s="142" t="s">
        <v>50</v>
      </c>
      <c r="E30" s="149">
        <v>0</v>
      </c>
      <c r="F30" s="148">
        <v>0</v>
      </c>
      <c r="G30" s="146">
        <v>6</v>
      </c>
      <c r="H30" s="150">
        <v>2</v>
      </c>
      <c r="I30" s="149">
        <v>8</v>
      </c>
      <c r="J30" s="148">
        <v>0</v>
      </c>
      <c r="K30" s="146">
        <v>8</v>
      </c>
      <c r="L30" s="147">
        <v>1</v>
      </c>
      <c r="M30" s="146">
        <v>8</v>
      </c>
      <c r="N30" s="146">
        <v>8</v>
      </c>
      <c r="O30" s="146">
        <v>7</v>
      </c>
    </row>
    <row r="31" spans="1:15" ht="37.9" customHeight="1" thickBot="1" x14ac:dyDescent="0.3">
      <c r="A31" s="145" t="s">
        <v>303</v>
      </c>
      <c r="B31" s="151" t="s">
        <v>302</v>
      </c>
      <c r="C31" s="151" t="s">
        <v>301</v>
      </c>
      <c r="D31" s="174" t="s">
        <v>43</v>
      </c>
      <c r="E31" s="140">
        <v>1</v>
      </c>
      <c r="F31" s="139">
        <v>2</v>
      </c>
      <c r="G31" s="137">
        <v>8</v>
      </c>
      <c r="H31" s="141">
        <v>2</v>
      </c>
      <c r="I31" s="140">
        <v>10</v>
      </c>
      <c r="J31" s="139">
        <v>1</v>
      </c>
      <c r="K31" s="137">
        <v>11</v>
      </c>
      <c r="L31" s="138">
        <v>0</v>
      </c>
      <c r="M31" s="137">
        <v>11</v>
      </c>
      <c r="N31" s="137">
        <v>11</v>
      </c>
      <c r="O31" s="137">
        <v>11</v>
      </c>
    </row>
    <row r="32" spans="1:15" ht="37.9" customHeight="1" x14ac:dyDescent="0.25">
      <c r="A32" s="145" t="s">
        <v>300</v>
      </c>
      <c r="B32" s="173" t="s">
        <v>299</v>
      </c>
      <c r="C32" s="173" t="s">
        <v>298</v>
      </c>
      <c r="D32" s="172" t="s">
        <v>43</v>
      </c>
      <c r="E32" s="170">
        <v>1</v>
      </c>
      <c r="F32" s="169">
        <v>0</v>
      </c>
      <c r="G32" s="167">
        <v>6</v>
      </c>
      <c r="H32" s="171">
        <v>0</v>
      </c>
      <c r="I32" s="170">
        <v>3</v>
      </c>
      <c r="J32" s="169">
        <v>0</v>
      </c>
      <c r="K32" s="167">
        <v>9</v>
      </c>
      <c r="L32" s="168">
        <v>0</v>
      </c>
      <c r="M32" s="167">
        <v>9</v>
      </c>
      <c r="N32" s="167">
        <v>9</v>
      </c>
      <c r="O32" s="167">
        <v>9</v>
      </c>
    </row>
    <row r="33" spans="1:15" ht="37.9" customHeight="1" x14ac:dyDescent="0.25">
      <c r="A33" s="145"/>
      <c r="B33" s="166" t="s">
        <v>297</v>
      </c>
      <c r="C33" s="166" t="s">
        <v>296</v>
      </c>
      <c r="D33" s="165" t="s">
        <v>50</v>
      </c>
      <c r="E33" s="163">
        <v>0</v>
      </c>
      <c r="F33" s="162">
        <v>0</v>
      </c>
      <c r="G33" s="160">
        <v>5</v>
      </c>
      <c r="H33" s="164">
        <v>2</v>
      </c>
      <c r="I33" s="163">
        <v>3</v>
      </c>
      <c r="J33" s="162">
        <v>2</v>
      </c>
      <c r="K33" s="160">
        <v>10</v>
      </c>
      <c r="L33" s="161">
        <v>1</v>
      </c>
      <c r="M33" s="160">
        <v>11</v>
      </c>
      <c r="N33" s="160">
        <v>10</v>
      </c>
      <c r="O33" s="160">
        <v>10</v>
      </c>
    </row>
    <row r="34" spans="1:15" ht="37.9" customHeight="1" x14ac:dyDescent="0.25">
      <c r="A34" s="175"/>
      <c r="B34" s="159" t="s">
        <v>295</v>
      </c>
      <c r="C34" s="159" t="s">
        <v>294</v>
      </c>
      <c r="D34" s="158" t="s">
        <v>50</v>
      </c>
      <c r="E34" s="156">
        <v>0</v>
      </c>
      <c r="F34" s="155">
        <v>1</v>
      </c>
      <c r="G34" s="153">
        <v>3</v>
      </c>
      <c r="H34" s="157">
        <v>3</v>
      </c>
      <c r="I34" s="156">
        <v>5</v>
      </c>
      <c r="J34" s="155">
        <v>1</v>
      </c>
      <c r="K34" s="153">
        <v>6</v>
      </c>
      <c r="L34" s="154">
        <v>1</v>
      </c>
      <c r="M34" s="153">
        <v>6</v>
      </c>
      <c r="N34" s="153">
        <v>7</v>
      </c>
      <c r="O34" s="153">
        <v>7</v>
      </c>
    </row>
    <row r="35" spans="1:15" ht="37.9" customHeight="1" x14ac:dyDescent="0.25">
      <c r="A35" s="152"/>
      <c r="B35" s="159" t="s">
        <v>293</v>
      </c>
      <c r="C35" s="159" t="s">
        <v>292</v>
      </c>
      <c r="D35" s="158" t="s">
        <v>43</v>
      </c>
      <c r="E35" s="156">
        <v>0</v>
      </c>
      <c r="F35" s="155">
        <v>1</v>
      </c>
      <c r="G35" s="153">
        <v>6</v>
      </c>
      <c r="H35" s="157">
        <v>3</v>
      </c>
      <c r="I35" s="156">
        <v>9</v>
      </c>
      <c r="J35" s="155">
        <v>0</v>
      </c>
      <c r="K35" s="153">
        <v>9</v>
      </c>
      <c r="L35" s="154">
        <v>2</v>
      </c>
      <c r="M35" s="153">
        <v>10</v>
      </c>
      <c r="N35" s="153">
        <v>11</v>
      </c>
      <c r="O35" s="153">
        <v>11</v>
      </c>
    </row>
    <row r="36" spans="1:15" ht="37.9" customHeight="1" x14ac:dyDescent="0.25">
      <c r="A36" s="152"/>
      <c r="B36" s="159" t="s">
        <v>291</v>
      </c>
      <c r="C36" s="159" t="s">
        <v>290</v>
      </c>
      <c r="D36" s="158" t="s">
        <v>43</v>
      </c>
      <c r="E36" s="156">
        <v>0</v>
      </c>
      <c r="F36" s="155">
        <v>0</v>
      </c>
      <c r="G36" s="153">
        <v>4</v>
      </c>
      <c r="H36" s="157">
        <v>2</v>
      </c>
      <c r="I36" s="156">
        <v>4</v>
      </c>
      <c r="J36" s="155">
        <v>2</v>
      </c>
      <c r="K36" s="153">
        <v>7</v>
      </c>
      <c r="L36" s="154">
        <v>0</v>
      </c>
      <c r="M36" s="153">
        <v>7</v>
      </c>
      <c r="N36" s="153">
        <v>7</v>
      </c>
      <c r="O36" s="153">
        <v>7</v>
      </c>
    </row>
    <row r="37" spans="1:15" ht="37.9" customHeight="1" x14ac:dyDescent="0.25">
      <c r="A37" s="152"/>
      <c r="B37" s="143" t="s">
        <v>289</v>
      </c>
      <c r="C37" s="143" t="s">
        <v>288</v>
      </c>
      <c r="D37" s="142" t="s">
        <v>50</v>
      </c>
      <c r="E37" s="149">
        <v>0</v>
      </c>
      <c r="F37" s="148">
        <v>1</v>
      </c>
      <c r="G37" s="146">
        <v>6</v>
      </c>
      <c r="H37" s="150">
        <v>1</v>
      </c>
      <c r="I37" s="149">
        <v>9</v>
      </c>
      <c r="J37" s="148">
        <v>0</v>
      </c>
      <c r="K37" s="146">
        <v>10</v>
      </c>
      <c r="L37" s="147">
        <v>0</v>
      </c>
      <c r="M37" s="146">
        <v>10</v>
      </c>
      <c r="N37" s="146">
        <v>10</v>
      </c>
      <c r="O37" s="146">
        <v>10</v>
      </c>
    </row>
    <row r="38" spans="1:15" ht="37.9" customHeight="1" x14ac:dyDescent="0.25">
      <c r="A38" s="152"/>
      <c r="B38" s="143" t="s">
        <v>287</v>
      </c>
      <c r="C38" s="143" t="s">
        <v>286</v>
      </c>
      <c r="D38" s="142" t="s">
        <v>50</v>
      </c>
      <c r="E38" s="149">
        <v>1</v>
      </c>
      <c r="F38" s="148">
        <v>1</v>
      </c>
      <c r="G38" s="146">
        <v>7</v>
      </c>
      <c r="H38" s="150">
        <v>0</v>
      </c>
      <c r="I38" s="149">
        <v>7</v>
      </c>
      <c r="J38" s="148">
        <v>0</v>
      </c>
      <c r="K38" s="146">
        <v>9</v>
      </c>
      <c r="L38" s="147">
        <v>1</v>
      </c>
      <c r="M38" s="146">
        <v>10</v>
      </c>
      <c r="N38" s="146">
        <v>10</v>
      </c>
      <c r="O38" s="146">
        <v>10</v>
      </c>
    </row>
    <row r="39" spans="1:15" ht="37.9" customHeight="1" thickBot="1" x14ac:dyDescent="0.3">
      <c r="A39" s="152" t="s">
        <v>11</v>
      </c>
      <c r="B39" s="151" t="s">
        <v>285</v>
      </c>
      <c r="C39" s="151" t="s">
        <v>284</v>
      </c>
      <c r="D39" s="174" t="s">
        <v>43</v>
      </c>
      <c r="E39" s="140">
        <v>2</v>
      </c>
      <c r="F39" s="139">
        <v>2</v>
      </c>
      <c r="G39" s="137">
        <v>8</v>
      </c>
      <c r="H39" s="141">
        <v>1</v>
      </c>
      <c r="I39" s="140">
        <v>9</v>
      </c>
      <c r="J39" s="139">
        <v>0</v>
      </c>
      <c r="K39" s="137">
        <v>10</v>
      </c>
      <c r="L39" s="138">
        <v>0</v>
      </c>
      <c r="M39" s="137">
        <v>10</v>
      </c>
      <c r="N39" s="137">
        <v>11</v>
      </c>
      <c r="O39" s="137">
        <v>10</v>
      </c>
    </row>
    <row r="40" spans="1:15" ht="37.9" customHeight="1" x14ac:dyDescent="0.25">
      <c r="A40" s="152" t="s">
        <v>11</v>
      </c>
      <c r="B40" s="173" t="s">
        <v>283</v>
      </c>
      <c r="C40" s="173" t="s">
        <v>282</v>
      </c>
      <c r="D40" s="172" t="s">
        <v>50</v>
      </c>
      <c r="E40" s="170">
        <v>0</v>
      </c>
      <c r="F40" s="169">
        <v>0</v>
      </c>
      <c r="G40" s="167">
        <v>1</v>
      </c>
      <c r="H40" s="171">
        <v>2</v>
      </c>
      <c r="I40" s="170">
        <v>2</v>
      </c>
      <c r="J40" s="169">
        <v>1</v>
      </c>
      <c r="K40" s="167">
        <v>6</v>
      </c>
      <c r="L40" s="168">
        <v>2</v>
      </c>
      <c r="M40" s="167">
        <v>7</v>
      </c>
      <c r="N40" s="167">
        <v>7</v>
      </c>
      <c r="O40" s="167">
        <v>7</v>
      </c>
    </row>
    <row r="41" spans="1:15" ht="37.9" customHeight="1" x14ac:dyDescent="0.25">
      <c r="A41" s="152"/>
      <c r="B41" s="166" t="s">
        <v>281</v>
      </c>
      <c r="C41" s="166" t="s">
        <v>280</v>
      </c>
      <c r="D41" s="165" t="s">
        <v>43</v>
      </c>
      <c r="E41" s="163">
        <v>0</v>
      </c>
      <c r="F41" s="162">
        <v>2</v>
      </c>
      <c r="G41" s="160">
        <v>6</v>
      </c>
      <c r="H41" s="164">
        <v>1</v>
      </c>
      <c r="I41" s="163">
        <v>8</v>
      </c>
      <c r="J41" s="162">
        <v>0</v>
      </c>
      <c r="K41" s="160">
        <v>8</v>
      </c>
      <c r="L41" s="161">
        <v>2</v>
      </c>
      <c r="M41" s="160">
        <v>9</v>
      </c>
      <c r="N41" s="160">
        <v>10</v>
      </c>
      <c r="O41" s="160">
        <v>9</v>
      </c>
    </row>
    <row r="42" spans="1:15" ht="37.9" customHeight="1" x14ac:dyDescent="0.25">
      <c r="A42" s="152"/>
      <c r="B42" s="159" t="s">
        <v>279</v>
      </c>
      <c r="C42" s="159" t="s">
        <v>278</v>
      </c>
      <c r="D42" s="158" t="s">
        <v>43</v>
      </c>
      <c r="E42" s="156">
        <v>1</v>
      </c>
      <c r="F42" s="155">
        <v>0</v>
      </c>
      <c r="G42" s="153">
        <v>4</v>
      </c>
      <c r="H42" s="157">
        <v>1</v>
      </c>
      <c r="I42" s="156">
        <v>4</v>
      </c>
      <c r="J42" s="155">
        <v>1</v>
      </c>
      <c r="K42" s="153">
        <v>6</v>
      </c>
      <c r="L42" s="154">
        <v>2</v>
      </c>
      <c r="M42" s="153">
        <v>8</v>
      </c>
      <c r="N42" s="153">
        <v>8</v>
      </c>
      <c r="O42" s="153">
        <v>8</v>
      </c>
    </row>
    <row r="43" spans="1:15" ht="37.9" customHeight="1" x14ac:dyDescent="0.25">
      <c r="A43" s="152"/>
      <c r="B43" s="159" t="s">
        <v>277</v>
      </c>
      <c r="C43" s="159" t="s">
        <v>276</v>
      </c>
      <c r="D43" s="158" t="s">
        <v>50</v>
      </c>
      <c r="E43" s="156">
        <v>0</v>
      </c>
      <c r="F43" s="155">
        <v>0</v>
      </c>
      <c r="G43" s="153">
        <v>0</v>
      </c>
      <c r="H43" s="157">
        <v>1</v>
      </c>
      <c r="I43" s="156">
        <v>0</v>
      </c>
      <c r="J43" s="155">
        <v>2</v>
      </c>
      <c r="K43" s="153">
        <v>3</v>
      </c>
      <c r="L43" s="154">
        <v>3</v>
      </c>
      <c r="M43" s="153">
        <v>4</v>
      </c>
      <c r="N43" s="153">
        <v>4</v>
      </c>
      <c r="O43" s="153">
        <v>5</v>
      </c>
    </row>
    <row r="44" spans="1:15" ht="37.9" customHeight="1" x14ac:dyDescent="0.25">
      <c r="A44" s="152"/>
      <c r="B44" s="159" t="s">
        <v>275</v>
      </c>
      <c r="C44" s="159" t="s">
        <v>274</v>
      </c>
      <c r="D44" s="158" t="s">
        <v>50</v>
      </c>
      <c r="E44" s="156">
        <v>0</v>
      </c>
      <c r="F44" s="155">
        <v>1</v>
      </c>
      <c r="G44" s="153">
        <v>8</v>
      </c>
      <c r="H44" s="157">
        <v>1</v>
      </c>
      <c r="I44" s="156">
        <v>9</v>
      </c>
      <c r="J44" s="155">
        <v>0</v>
      </c>
      <c r="K44" s="153">
        <v>10</v>
      </c>
      <c r="L44" s="154">
        <v>0</v>
      </c>
      <c r="M44" s="153">
        <v>10</v>
      </c>
      <c r="N44" s="153">
        <v>10</v>
      </c>
      <c r="O44" s="153">
        <v>10</v>
      </c>
    </row>
    <row r="45" spans="1:15" ht="37.9" customHeight="1" x14ac:dyDescent="0.25">
      <c r="A45" s="152"/>
      <c r="B45" s="143" t="s">
        <v>273</v>
      </c>
      <c r="C45" s="143" t="s">
        <v>272</v>
      </c>
      <c r="D45" s="142" t="s">
        <v>43</v>
      </c>
      <c r="E45" s="149">
        <v>0</v>
      </c>
      <c r="F45" s="148">
        <v>2</v>
      </c>
      <c r="G45" s="146">
        <v>7</v>
      </c>
      <c r="H45" s="150">
        <v>1</v>
      </c>
      <c r="I45" s="149">
        <v>9</v>
      </c>
      <c r="J45" s="148">
        <v>0</v>
      </c>
      <c r="K45" s="146">
        <v>10</v>
      </c>
      <c r="L45" s="147">
        <v>0</v>
      </c>
      <c r="M45" s="146">
        <v>10</v>
      </c>
      <c r="N45" s="146">
        <v>10</v>
      </c>
      <c r="O45" s="146">
        <v>10</v>
      </c>
    </row>
    <row r="46" spans="1:15" ht="37.9" customHeight="1" x14ac:dyDescent="0.25">
      <c r="A46" s="123"/>
      <c r="B46" s="143" t="s">
        <v>271</v>
      </c>
      <c r="C46" s="143" t="s">
        <v>270</v>
      </c>
      <c r="D46" s="142" t="s">
        <v>43</v>
      </c>
      <c r="E46" s="149">
        <v>0</v>
      </c>
      <c r="F46" s="148">
        <v>1</v>
      </c>
      <c r="G46" s="146">
        <v>5</v>
      </c>
      <c r="H46" s="150">
        <v>0</v>
      </c>
      <c r="I46" s="149">
        <v>10</v>
      </c>
      <c r="J46" s="148">
        <v>0</v>
      </c>
      <c r="K46" s="146">
        <v>5</v>
      </c>
      <c r="L46" s="147">
        <v>2</v>
      </c>
      <c r="M46" s="146">
        <v>6</v>
      </c>
      <c r="N46" s="146">
        <v>6</v>
      </c>
      <c r="O46" s="146">
        <v>5</v>
      </c>
    </row>
    <row r="47" spans="1:15" ht="37.9" customHeight="1" thickBot="1" x14ac:dyDescent="0.3">
      <c r="A47" s="145" t="s">
        <v>269</v>
      </c>
      <c r="B47" s="151" t="s">
        <v>268</v>
      </c>
      <c r="C47" s="151" t="s">
        <v>267</v>
      </c>
      <c r="D47" s="174" t="s">
        <v>50</v>
      </c>
      <c r="E47" s="140">
        <v>0</v>
      </c>
      <c r="F47" s="139">
        <v>0</v>
      </c>
      <c r="G47" s="137">
        <v>3</v>
      </c>
      <c r="H47" s="141">
        <v>2</v>
      </c>
      <c r="I47" s="140">
        <v>4</v>
      </c>
      <c r="J47" s="139">
        <v>1</v>
      </c>
      <c r="K47" s="137">
        <v>6</v>
      </c>
      <c r="L47" s="138">
        <v>0</v>
      </c>
      <c r="M47" s="137">
        <v>6</v>
      </c>
      <c r="N47" s="137">
        <v>10</v>
      </c>
      <c r="O47" s="137">
        <v>6</v>
      </c>
    </row>
    <row r="48" spans="1:15" ht="37.9" customHeight="1" x14ac:dyDescent="0.25">
      <c r="A48" s="145" t="s">
        <v>266</v>
      </c>
      <c r="B48" s="173" t="s">
        <v>265</v>
      </c>
      <c r="C48" s="173" t="s">
        <v>264</v>
      </c>
      <c r="D48" s="172" t="s">
        <v>50</v>
      </c>
      <c r="E48" s="170">
        <v>0</v>
      </c>
      <c r="F48" s="169">
        <v>0</v>
      </c>
      <c r="G48" s="167">
        <v>5</v>
      </c>
      <c r="H48" s="171">
        <v>1</v>
      </c>
      <c r="I48" s="170">
        <v>5</v>
      </c>
      <c r="J48" s="169">
        <v>1</v>
      </c>
      <c r="K48" s="167">
        <v>9</v>
      </c>
      <c r="L48" s="168">
        <v>0</v>
      </c>
      <c r="M48" s="167">
        <v>9</v>
      </c>
      <c r="N48" s="167">
        <v>9</v>
      </c>
      <c r="O48" s="167">
        <v>8</v>
      </c>
    </row>
    <row r="49" spans="1:15" ht="37.9" customHeight="1" x14ac:dyDescent="0.25">
      <c r="A49" s="145"/>
      <c r="B49" s="166" t="s">
        <v>263</v>
      </c>
      <c r="C49" s="166" t="s">
        <v>262</v>
      </c>
      <c r="D49" s="165" t="s">
        <v>43</v>
      </c>
      <c r="E49" s="163">
        <v>0</v>
      </c>
      <c r="F49" s="162">
        <v>1</v>
      </c>
      <c r="G49" s="160">
        <v>4</v>
      </c>
      <c r="H49" s="164">
        <v>1</v>
      </c>
      <c r="I49" s="163">
        <v>4</v>
      </c>
      <c r="J49" s="162">
        <v>1</v>
      </c>
      <c r="K49" s="160">
        <v>5</v>
      </c>
      <c r="L49" s="161">
        <v>2</v>
      </c>
      <c r="M49" s="160">
        <v>6</v>
      </c>
      <c r="N49" s="160">
        <v>6</v>
      </c>
      <c r="O49" s="160">
        <v>6</v>
      </c>
    </row>
    <row r="50" spans="1:15" ht="37.9" customHeight="1" x14ac:dyDescent="0.25">
      <c r="A50" s="175"/>
      <c r="B50" s="159" t="s">
        <v>261</v>
      </c>
      <c r="C50" s="159" t="s">
        <v>260</v>
      </c>
      <c r="D50" s="158" t="s">
        <v>43</v>
      </c>
      <c r="E50" s="156">
        <v>1</v>
      </c>
      <c r="F50" s="155">
        <v>1</v>
      </c>
      <c r="G50" s="153">
        <v>6</v>
      </c>
      <c r="H50" s="157">
        <v>2</v>
      </c>
      <c r="I50" s="156">
        <v>7</v>
      </c>
      <c r="J50" s="155">
        <v>1</v>
      </c>
      <c r="K50" s="153">
        <v>9</v>
      </c>
      <c r="L50" s="154">
        <v>0</v>
      </c>
      <c r="M50" s="153">
        <v>9</v>
      </c>
      <c r="N50" s="153">
        <v>9</v>
      </c>
      <c r="O50" s="153">
        <v>9</v>
      </c>
    </row>
    <row r="51" spans="1:15" ht="37.9" customHeight="1" x14ac:dyDescent="0.25">
      <c r="A51" s="152"/>
      <c r="B51" s="159" t="s">
        <v>259</v>
      </c>
      <c r="C51" s="159" t="s">
        <v>258</v>
      </c>
      <c r="D51" s="158" t="s">
        <v>50</v>
      </c>
      <c r="E51" s="156">
        <v>0</v>
      </c>
      <c r="F51" s="155">
        <v>1</v>
      </c>
      <c r="G51" s="153">
        <v>7</v>
      </c>
      <c r="H51" s="157">
        <v>2</v>
      </c>
      <c r="I51" s="156">
        <v>9</v>
      </c>
      <c r="J51" s="155">
        <v>1</v>
      </c>
      <c r="K51" s="153">
        <v>9</v>
      </c>
      <c r="L51" s="154">
        <v>1</v>
      </c>
      <c r="M51" s="153">
        <v>10</v>
      </c>
      <c r="N51" s="153">
        <v>10</v>
      </c>
      <c r="O51" s="153">
        <v>10</v>
      </c>
    </row>
    <row r="52" spans="1:15" ht="37.9" customHeight="1" x14ac:dyDescent="0.25">
      <c r="A52" s="152"/>
      <c r="B52" s="159" t="s">
        <v>257</v>
      </c>
      <c r="C52" s="159" t="s">
        <v>256</v>
      </c>
      <c r="D52" s="158" t="s">
        <v>50</v>
      </c>
      <c r="E52" s="156">
        <v>0</v>
      </c>
      <c r="F52" s="155">
        <v>0</v>
      </c>
      <c r="G52" s="153">
        <v>4</v>
      </c>
      <c r="H52" s="157">
        <v>2</v>
      </c>
      <c r="I52" s="156">
        <v>5</v>
      </c>
      <c r="J52" s="155">
        <v>2</v>
      </c>
      <c r="K52" s="153">
        <v>8</v>
      </c>
      <c r="L52" s="154">
        <v>0</v>
      </c>
      <c r="M52" s="153">
        <v>8</v>
      </c>
      <c r="N52" s="153">
        <v>9</v>
      </c>
      <c r="O52" s="153">
        <v>8</v>
      </c>
    </row>
    <row r="53" spans="1:15" ht="37.9" customHeight="1" x14ac:dyDescent="0.25">
      <c r="A53" s="152"/>
      <c r="B53" s="143" t="s">
        <v>255</v>
      </c>
      <c r="C53" s="143" t="s">
        <v>254</v>
      </c>
      <c r="D53" s="142" t="s">
        <v>43</v>
      </c>
      <c r="E53" s="149">
        <v>3</v>
      </c>
      <c r="F53" s="148">
        <v>0</v>
      </c>
      <c r="G53" s="146">
        <v>5</v>
      </c>
      <c r="H53" s="150">
        <v>2</v>
      </c>
      <c r="I53" s="149">
        <v>7</v>
      </c>
      <c r="J53" s="148">
        <v>1</v>
      </c>
      <c r="K53" s="146">
        <v>8</v>
      </c>
      <c r="L53" s="147">
        <v>0</v>
      </c>
      <c r="M53" s="146">
        <v>8</v>
      </c>
      <c r="N53" s="146">
        <v>8</v>
      </c>
      <c r="O53" s="146">
        <v>8</v>
      </c>
    </row>
    <row r="54" spans="1:15" ht="37.9" customHeight="1" x14ac:dyDescent="0.25">
      <c r="B54" s="143" t="s">
        <v>253</v>
      </c>
      <c r="C54" s="143" t="s">
        <v>252</v>
      </c>
      <c r="D54" s="142" t="s">
        <v>43</v>
      </c>
      <c r="E54" s="149">
        <v>2</v>
      </c>
      <c r="F54" s="148">
        <v>0</v>
      </c>
      <c r="G54" s="146">
        <v>7</v>
      </c>
      <c r="H54" s="150">
        <v>1</v>
      </c>
      <c r="I54" s="149">
        <v>8</v>
      </c>
      <c r="J54" s="148">
        <v>0</v>
      </c>
      <c r="K54" s="146">
        <v>8</v>
      </c>
      <c r="L54" s="147">
        <v>1</v>
      </c>
      <c r="M54" s="146">
        <v>8</v>
      </c>
      <c r="N54" s="146">
        <v>9</v>
      </c>
      <c r="O54" s="146">
        <v>9</v>
      </c>
    </row>
    <row r="55" spans="1:15" ht="37.9" customHeight="1" thickBot="1" x14ac:dyDescent="0.3">
      <c r="A55" s="152" t="s">
        <v>11</v>
      </c>
      <c r="B55" s="151" t="s">
        <v>251</v>
      </c>
      <c r="C55" s="151" t="s">
        <v>250</v>
      </c>
      <c r="D55" s="174" t="s">
        <v>50</v>
      </c>
      <c r="E55" s="140">
        <v>0</v>
      </c>
      <c r="F55" s="139">
        <v>0</v>
      </c>
      <c r="G55" s="137">
        <v>4</v>
      </c>
      <c r="H55" s="141">
        <v>1</v>
      </c>
      <c r="I55" s="140">
        <v>4</v>
      </c>
      <c r="J55" s="139">
        <v>1</v>
      </c>
      <c r="K55" s="137">
        <v>4</v>
      </c>
      <c r="L55" s="138">
        <v>3</v>
      </c>
      <c r="M55" s="137">
        <v>5</v>
      </c>
      <c r="N55" s="137">
        <v>6</v>
      </c>
      <c r="O55" s="137">
        <v>6</v>
      </c>
    </row>
    <row r="56" spans="1:15" ht="37.9" customHeight="1" x14ac:dyDescent="0.25">
      <c r="A56" s="152" t="s">
        <v>11</v>
      </c>
      <c r="B56" s="173" t="s">
        <v>249</v>
      </c>
      <c r="C56" s="173" t="s">
        <v>248</v>
      </c>
      <c r="D56" s="172" t="s">
        <v>43</v>
      </c>
      <c r="E56" s="170">
        <v>0</v>
      </c>
      <c r="F56" s="169">
        <v>1</v>
      </c>
      <c r="G56" s="167">
        <v>4</v>
      </c>
      <c r="H56" s="171">
        <v>2</v>
      </c>
      <c r="I56" s="170">
        <v>5</v>
      </c>
      <c r="J56" s="169">
        <v>2</v>
      </c>
      <c r="K56" s="167">
        <v>8</v>
      </c>
      <c r="L56" s="168">
        <v>0</v>
      </c>
      <c r="M56" s="167">
        <v>8</v>
      </c>
      <c r="N56" s="167">
        <v>9</v>
      </c>
      <c r="O56" s="167">
        <v>9</v>
      </c>
    </row>
    <row r="57" spans="1:15" ht="37.9" customHeight="1" x14ac:dyDescent="0.25">
      <c r="A57" s="152"/>
      <c r="B57" s="166" t="s">
        <v>247</v>
      </c>
      <c r="C57" s="166" t="s">
        <v>246</v>
      </c>
      <c r="D57" s="165" t="s">
        <v>50</v>
      </c>
      <c r="E57" s="163">
        <v>1</v>
      </c>
      <c r="F57" s="162">
        <v>0</v>
      </c>
      <c r="G57" s="160">
        <v>4</v>
      </c>
      <c r="H57" s="164">
        <v>1</v>
      </c>
      <c r="I57" s="163">
        <v>6</v>
      </c>
      <c r="J57" s="162">
        <v>0</v>
      </c>
      <c r="K57" s="160">
        <v>8</v>
      </c>
      <c r="L57" s="161">
        <v>1</v>
      </c>
      <c r="M57" s="160">
        <v>9</v>
      </c>
      <c r="N57" s="160">
        <v>9</v>
      </c>
      <c r="O57" s="160">
        <v>9</v>
      </c>
    </row>
    <row r="58" spans="1:15" ht="37.9" customHeight="1" x14ac:dyDescent="0.25">
      <c r="A58" s="152"/>
      <c r="B58" s="159" t="s">
        <v>245</v>
      </c>
      <c r="C58" s="159" t="s">
        <v>244</v>
      </c>
      <c r="D58" s="158" t="s">
        <v>50</v>
      </c>
      <c r="E58" s="156">
        <v>0</v>
      </c>
      <c r="F58" s="155">
        <v>0</v>
      </c>
      <c r="G58" s="153">
        <v>6</v>
      </c>
      <c r="H58" s="157">
        <v>2</v>
      </c>
      <c r="I58" s="156">
        <v>8</v>
      </c>
      <c r="J58" s="155">
        <v>0</v>
      </c>
      <c r="K58" s="153">
        <v>8</v>
      </c>
      <c r="L58" s="154">
        <v>1</v>
      </c>
      <c r="M58" s="153">
        <v>9</v>
      </c>
      <c r="N58" s="153">
        <v>9</v>
      </c>
      <c r="O58" s="153">
        <v>10</v>
      </c>
    </row>
    <row r="59" spans="1:15" ht="37.9" customHeight="1" x14ac:dyDescent="0.25">
      <c r="A59" s="152"/>
      <c r="B59" s="159" t="s">
        <v>243</v>
      </c>
      <c r="C59" s="159" t="s">
        <v>242</v>
      </c>
      <c r="D59" s="158" t="s">
        <v>43</v>
      </c>
      <c r="E59" s="156">
        <v>0</v>
      </c>
      <c r="F59" s="155">
        <v>1</v>
      </c>
      <c r="G59" s="153">
        <v>2</v>
      </c>
      <c r="H59" s="157">
        <v>3</v>
      </c>
      <c r="I59" s="156">
        <v>4</v>
      </c>
      <c r="J59" s="155">
        <v>3</v>
      </c>
      <c r="K59" s="153">
        <v>9</v>
      </c>
      <c r="L59" s="154">
        <v>0</v>
      </c>
      <c r="M59" s="153">
        <v>9</v>
      </c>
      <c r="N59" s="153">
        <v>9</v>
      </c>
      <c r="O59" s="153">
        <v>9</v>
      </c>
    </row>
    <row r="60" spans="1:15" ht="37.9" customHeight="1" x14ac:dyDescent="0.25">
      <c r="A60" s="152"/>
      <c r="B60" s="159" t="s">
        <v>241</v>
      </c>
      <c r="C60" s="159" t="s">
        <v>240</v>
      </c>
      <c r="D60" s="158" t="s">
        <v>43</v>
      </c>
      <c r="E60" s="156">
        <v>0</v>
      </c>
      <c r="F60" s="155">
        <v>1</v>
      </c>
      <c r="G60" s="153">
        <v>9</v>
      </c>
      <c r="H60" s="157">
        <v>0</v>
      </c>
      <c r="I60" s="156">
        <v>9</v>
      </c>
      <c r="J60" s="155">
        <v>1</v>
      </c>
      <c r="K60" s="153">
        <v>11</v>
      </c>
      <c r="L60" s="154">
        <v>0</v>
      </c>
      <c r="M60" s="153">
        <v>11</v>
      </c>
      <c r="N60" s="153">
        <v>11</v>
      </c>
      <c r="O60" s="153">
        <v>11</v>
      </c>
    </row>
    <row r="61" spans="1:15" ht="37.9" customHeight="1" x14ac:dyDescent="0.25">
      <c r="A61" s="152"/>
      <c r="B61" s="143" t="s">
        <v>239</v>
      </c>
      <c r="C61" s="143" t="s">
        <v>238</v>
      </c>
      <c r="D61" s="142" t="s">
        <v>50</v>
      </c>
      <c r="E61" s="149">
        <v>0</v>
      </c>
      <c r="F61" s="148">
        <v>1</v>
      </c>
      <c r="G61" s="146">
        <v>3</v>
      </c>
      <c r="H61" s="150">
        <v>2</v>
      </c>
      <c r="I61" s="149">
        <v>5</v>
      </c>
      <c r="J61" s="148">
        <v>2</v>
      </c>
      <c r="K61" s="146">
        <v>7</v>
      </c>
      <c r="L61" s="147">
        <v>2</v>
      </c>
      <c r="M61" s="146">
        <v>7</v>
      </c>
      <c r="N61" s="146">
        <v>8</v>
      </c>
      <c r="O61" s="146">
        <v>7</v>
      </c>
    </row>
    <row r="62" spans="1:15" ht="37.9" customHeight="1" thickBot="1" x14ac:dyDescent="0.3">
      <c r="A62" s="152"/>
      <c r="B62" s="151" t="s">
        <v>237</v>
      </c>
      <c r="C62" s="143" t="s">
        <v>236</v>
      </c>
      <c r="D62" s="142" t="s">
        <v>50</v>
      </c>
      <c r="E62" s="149">
        <v>0</v>
      </c>
      <c r="F62" s="148">
        <v>0</v>
      </c>
      <c r="G62" s="146">
        <v>2</v>
      </c>
      <c r="H62" s="150">
        <v>2</v>
      </c>
      <c r="I62" s="149">
        <v>4</v>
      </c>
      <c r="J62" s="148">
        <v>0</v>
      </c>
      <c r="K62" s="146">
        <v>4</v>
      </c>
      <c r="L62" s="147">
        <v>2</v>
      </c>
      <c r="M62" s="146">
        <v>5</v>
      </c>
      <c r="N62" s="146">
        <v>5</v>
      </c>
      <c r="O62" s="146">
        <v>4</v>
      </c>
    </row>
    <row r="63" spans="1:15" ht="37.9" customHeight="1" thickBot="1" x14ac:dyDescent="0.3">
      <c r="A63" s="145" t="s">
        <v>235</v>
      </c>
      <c r="B63" s="144" t="s">
        <v>234</v>
      </c>
      <c r="C63" s="143" t="s">
        <v>233</v>
      </c>
      <c r="D63" s="142" t="s">
        <v>43</v>
      </c>
      <c r="E63" s="140">
        <v>0</v>
      </c>
      <c r="F63" s="139">
        <v>0</v>
      </c>
      <c r="G63" s="137">
        <v>2</v>
      </c>
      <c r="H63" s="141">
        <v>3</v>
      </c>
      <c r="I63" s="140">
        <v>4</v>
      </c>
      <c r="J63" s="139">
        <v>2</v>
      </c>
      <c r="K63" s="137">
        <v>8</v>
      </c>
      <c r="L63" s="138">
        <v>1</v>
      </c>
      <c r="M63" s="137">
        <v>8</v>
      </c>
      <c r="N63" s="137">
        <v>9</v>
      </c>
      <c r="O63" s="137">
        <v>9</v>
      </c>
    </row>
    <row r="64" spans="1:15" x14ac:dyDescent="0.25">
      <c r="E64" s="134"/>
      <c r="F64" s="134"/>
      <c r="G64" s="136"/>
      <c r="H64" s="134"/>
      <c r="I64" s="135"/>
      <c r="J64" s="134"/>
      <c r="K64" s="134"/>
      <c r="L64" s="134"/>
      <c r="M64" s="134"/>
      <c r="N64" s="134"/>
      <c r="O64" s="134"/>
    </row>
    <row r="65" spans="2:15" ht="18.75" x14ac:dyDescent="0.3">
      <c r="C65" s="130"/>
      <c r="D65" s="129" t="s">
        <v>232</v>
      </c>
      <c r="E65" s="131">
        <f>AVERAGE(E16:E63)</f>
        <v>0.375</v>
      </c>
      <c r="F65" s="133"/>
      <c r="G65" s="131">
        <f>AVERAGE(G16:G63)</f>
        <v>5.166666666666667</v>
      </c>
      <c r="H65" s="133"/>
      <c r="I65" s="131">
        <f>AVERAGE(I16:I63)</f>
        <v>6.166666666666667</v>
      </c>
      <c r="J65" s="132"/>
      <c r="K65" s="131">
        <f>AVERAGE(K16:K63)</f>
        <v>7.854166666666667</v>
      </c>
      <c r="L65" s="132"/>
      <c r="M65" s="131">
        <f>AVERAGE(M16:M63)</f>
        <v>8.3125</v>
      </c>
      <c r="N65" s="131">
        <f>AVERAGE(N16:N63)</f>
        <v>8.625</v>
      </c>
      <c r="O65" s="131">
        <f>AVERAGE(O16:O63)</f>
        <v>8.3541666666666661</v>
      </c>
    </row>
    <row r="66" spans="2:15" ht="18.75" x14ac:dyDescent="0.3">
      <c r="C66" s="130"/>
      <c r="D66" s="129" t="s">
        <v>231</v>
      </c>
      <c r="E66" s="126">
        <f>AVERAGEIFS(E$16:E$63, $D$16:$D$63, "NG3195")</f>
        <v>0.625</v>
      </c>
      <c r="F66" s="128"/>
      <c r="G66" s="126">
        <f>AVERAGEIFS(G$16:G$63, $D$16:$D$63, "NG3195")</f>
        <v>6</v>
      </c>
      <c r="H66" s="128"/>
      <c r="I66" s="126">
        <f>AVERAGEIFS(I$16:I$63, $D$16:$D$63, "NG3195")</f>
        <v>7</v>
      </c>
      <c r="J66" s="127"/>
      <c r="K66" s="126">
        <f>AVERAGEIFS(K$16:K$63, $D$16:$D$63, "NG3195")</f>
        <v>8.4166666666666661</v>
      </c>
      <c r="L66" s="127"/>
      <c r="M66" s="126">
        <f>AVERAGEIFS(M$16:M$63, $D$16:$D$63, "NG3195")</f>
        <v>8.8333333333333339</v>
      </c>
      <c r="N66" s="126">
        <f>AVERAGEIFS(N$16:N$63, $D$16:$D$63, "NG3195")</f>
        <v>9.0833333333333339</v>
      </c>
      <c r="O66" s="126">
        <f>AVERAGEIFS(O$16:O$63, $D$16:$D$63, "NG3195")</f>
        <v>8.9166666666666661</v>
      </c>
    </row>
    <row r="67" spans="2:15" ht="18.75" x14ac:dyDescent="0.3">
      <c r="C67" s="130"/>
      <c r="D67" s="129" t="s">
        <v>230</v>
      </c>
      <c r="E67" s="126">
        <f>AVERAGEIFS(E$16:E$63, $D$16:$D$63, "NG4936")</f>
        <v>0.125</v>
      </c>
      <c r="F67" s="128"/>
      <c r="G67" s="126">
        <f>AVERAGEIFS(G$16:G$63, $D$16:$D$63, "NG4936")</f>
        <v>4.333333333333333</v>
      </c>
      <c r="H67" s="128"/>
      <c r="I67" s="126">
        <f>AVERAGEIFS(I$16:I$63, $D$16:$D$63, "NG4936")</f>
        <v>5.333333333333333</v>
      </c>
      <c r="J67" s="127"/>
      <c r="K67" s="126">
        <f>AVERAGEIFS(K$16:K$63, $D$16:$D$63, "NG4936")</f>
        <v>7.291666666666667</v>
      </c>
      <c r="L67" s="127"/>
      <c r="M67" s="126">
        <f>AVERAGEIFS(M$16:M$63, $D$16:$D$63, "NG4936")</f>
        <v>7.791666666666667</v>
      </c>
      <c r="N67" s="126">
        <f>AVERAGEIFS(N$16:N$63, $D$16:$D$63, "NG4936")</f>
        <v>8.1666666666666661</v>
      </c>
      <c r="O67" s="126">
        <f>AVERAGEIFS(O$16:O$63, $D$16:$D$63, "NG4936")</f>
        <v>7.791666666666667</v>
      </c>
    </row>
    <row r="71" spans="2:15" x14ac:dyDescent="0.25">
      <c r="C71" s="124">
        <v>119</v>
      </c>
      <c r="D71" s="124">
        <v>122</v>
      </c>
      <c r="E71" s="123">
        <v>123</v>
      </c>
      <c r="F71" s="123">
        <v>127</v>
      </c>
      <c r="G71" s="123">
        <v>130</v>
      </c>
      <c r="H71" s="123">
        <v>132</v>
      </c>
      <c r="I71" s="123">
        <v>137</v>
      </c>
      <c r="J71" s="196">
        <v>0.5</v>
      </c>
      <c r="K71" s="123" t="s">
        <v>408</v>
      </c>
    </row>
    <row r="72" spans="2:15" x14ac:dyDescent="0.25">
      <c r="B72" s="124" t="s">
        <v>332</v>
      </c>
      <c r="C72" s="124">
        <v>0</v>
      </c>
      <c r="D72" s="124">
        <v>5</v>
      </c>
      <c r="E72" s="123">
        <v>5</v>
      </c>
      <c r="F72" s="123">
        <v>6</v>
      </c>
      <c r="G72" s="123">
        <v>6</v>
      </c>
      <c r="H72" s="123">
        <v>6</v>
      </c>
      <c r="I72" s="123">
        <v>6</v>
      </c>
      <c r="J72" s="123">
        <f>I72/2</f>
        <v>3</v>
      </c>
      <c r="K72" s="197">
        <f t="shared" ref="K72:K80" si="0">C$71+(J72-C72)/(D72-C72)*(D$71-C$71)</f>
        <v>120.8</v>
      </c>
    </row>
    <row r="73" spans="2:15" x14ac:dyDescent="0.25">
      <c r="B73" s="124" t="s">
        <v>330</v>
      </c>
      <c r="C73" s="124">
        <v>0</v>
      </c>
      <c r="D73" s="124">
        <v>10</v>
      </c>
      <c r="E73" s="123">
        <v>10</v>
      </c>
      <c r="F73" s="123">
        <v>11</v>
      </c>
      <c r="G73" s="123">
        <v>11</v>
      </c>
      <c r="H73" s="123">
        <v>11</v>
      </c>
      <c r="I73" s="123">
        <v>10</v>
      </c>
      <c r="J73" s="123">
        <f t="shared" ref="J73:J119" si="1">I73/2</f>
        <v>5</v>
      </c>
      <c r="K73" s="197">
        <f t="shared" si="0"/>
        <v>120.5</v>
      </c>
    </row>
    <row r="74" spans="2:15" x14ac:dyDescent="0.25">
      <c r="B74" s="124" t="s">
        <v>328</v>
      </c>
      <c r="C74" s="124">
        <v>0</v>
      </c>
      <c r="D74" s="124">
        <v>5</v>
      </c>
      <c r="E74" s="123">
        <v>5</v>
      </c>
      <c r="F74" s="123">
        <v>6</v>
      </c>
      <c r="G74" s="123">
        <v>6</v>
      </c>
      <c r="H74" s="123">
        <v>6</v>
      </c>
      <c r="I74" s="123">
        <v>5</v>
      </c>
      <c r="J74" s="123">
        <f t="shared" si="1"/>
        <v>2.5</v>
      </c>
      <c r="K74" s="197">
        <f t="shared" si="0"/>
        <v>120.5</v>
      </c>
    </row>
    <row r="75" spans="2:15" x14ac:dyDescent="0.25">
      <c r="B75" s="124" t="s">
        <v>326</v>
      </c>
      <c r="C75" s="124">
        <v>0</v>
      </c>
      <c r="D75" s="124">
        <v>4</v>
      </c>
      <c r="E75" s="123">
        <v>5</v>
      </c>
      <c r="F75" s="123">
        <v>8</v>
      </c>
      <c r="G75" s="123">
        <v>8</v>
      </c>
      <c r="H75" s="123">
        <v>8</v>
      </c>
      <c r="I75" s="123">
        <v>8</v>
      </c>
      <c r="J75" s="123">
        <f t="shared" si="1"/>
        <v>4</v>
      </c>
      <c r="K75" s="197">
        <f t="shared" si="0"/>
        <v>122</v>
      </c>
    </row>
    <row r="76" spans="2:15" x14ac:dyDescent="0.25">
      <c r="B76" s="124" t="s">
        <v>324</v>
      </c>
      <c r="C76" s="124">
        <v>0</v>
      </c>
      <c r="D76" s="124">
        <v>5</v>
      </c>
      <c r="E76" s="123">
        <v>5</v>
      </c>
      <c r="F76" s="123">
        <v>6</v>
      </c>
      <c r="G76" s="123">
        <v>7</v>
      </c>
      <c r="H76" s="123">
        <v>7</v>
      </c>
      <c r="I76" s="123">
        <v>6</v>
      </c>
      <c r="J76" s="123">
        <f t="shared" si="1"/>
        <v>3</v>
      </c>
      <c r="K76" s="197">
        <f t="shared" si="0"/>
        <v>120.8</v>
      </c>
    </row>
    <row r="77" spans="2:15" x14ac:dyDescent="0.25">
      <c r="B77" s="124" t="s">
        <v>322</v>
      </c>
      <c r="C77" s="124">
        <v>2</v>
      </c>
      <c r="D77" s="124">
        <v>7</v>
      </c>
      <c r="E77" s="123">
        <v>8</v>
      </c>
      <c r="F77" s="123">
        <v>8</v>
      </c>
      <c r="G77" s="123">
        <v>9</v>
      </c>
      <c r="H77" s="123">
        <v>8</v>
      </c>
      <c r="I77" s="123">
        <v>8</v>
      </c>
      <c r="J77" s="123">
        <f t="shared" si="1"/>
        <v>4</v>
      </c>
      <c r="K77" s="197">
        <f t="shared" si="0"/>
        <v>120.2</v>
      </c>
    </row>
    <row r="78" spans="2:15" x14ac:dyDescent="0.25">
      <c r="B78" s="124" t="s">
        <v>320</v>
      </c>
      <c r="C78" s="124">
        <v>1</v>
      </c>
      <c r="D78" s="124">
        <v>6</v>
      </c>
      <c r="E78" s="123">
        <v>7</v>
      </c>
      <c r="F78" s="123">
        <v>8</v>
      </c>
      <c r="G78" s="123">
        <v>8</v>
      </c>
      <c r="H78" s="123">
        <v>9</v>
      </c>
      <c r="I78" s="123">
        <v>9</v>
      </c>
      <c r="J78" s="123">
        <f t="shared" si="1"/>
        <v>4.5</v>
      </c>
      <c r="K78" s="197">
        <f t="shared" si="0"/>
        <v>121.1</v>
      </c>
    </row>
    <row r="79" spans="2:15" x14ac:dyDescent="0.25">
      <c r="B79" s="124" t="s">
        <v>318</v>
      </c>
      <c r="C79" s="124">
        <v>1</v>
      </c>
      <c r="D79" s="124">
        <v>5</v>
      </c>
      <c r="E79" s="123">
        <v>5</v>
      </c>
      <c r="F79" s="123">
        <v>7</v>
      </c>
      <c r="G79" s="123">
        <v>8</v>
      </c>
      <c r="H79" s="123">
        <v>9</v>
      </c>
      <c r="I79" s="123">
        <v>9</v>
      </c>
      <c r="J79" s="123">
        <f t="shared" si="1"/>
        <v>4.5</v>
      </c>
      <c r="K79" s="197">
        <f t="shared" si="0"/>
        <v>121.625</v>
      </c>
    </row>
    <row r="80" spans="2:15" x14ac:dyDescent="0.25">
      <c r="B80" s="124" t="s">
        <v>316</v>
      </c>
      <c r="C80" s="124">
        <v>1</v>
      </c>
      <c r="D80" s="124">
        <v>7</v>
      </c>
      <c r="E80" s="123">
        <v>8</v>
      </c>
      <c r="F80" s="123">
        <v>9</v>
      </c>
      <c r="G80" s="123">
        <v>10</v>
      </c>
      <c r="H80" s="123">
        <v>10</v>
      </c>
      <c r="I80" s="123">
        <v>10</v>
      </c>
      <c r="J80" s="123">
        <f t="shared" si="1"/>
        <v>5</v>
      </c>
      <c r="K80" s="197">
        <f t="shared" si="0"/>
        <v>121</v>
      </c>
    </row>
    <row r="81" spans="2:11" x14ac:dyDescent="0.25">
      <c r="B81" s="124" t="s">
        <v>314</v>
      </c>
      <c r="C81" s="124">
        <v>0</v>
      </c>
      <c r="D81" s="124">
        <v>3</v>
      </c>
      <c r="E81" s="123">
        <v>3</v>
      </c>
      <c r="F81" s="123">
        <v>8</v>
      </c>
      <c r="G81" s="123">
        <v>8</v>
      </c>
      <c r="H81" s="123">
        <v>8</v>
      </c>
      <c r="I81" s="123">
        <v>7</v>
      </c>
      <c r="J81" s="123">
        <f t="shared" si="1"/>
        <v>3.5</v>
      </c>
      <c r="K81" s="197">
        <f>E$71+(J81-E81)/(F81-E81)*(F$71-E$71)</f>
        <v>123.4</v>
      </c>
    </row>
    <row r="82" spans="2:11" x14ac:dyDescent="0.25">
      <c r="B82" s="124" t="s">
        <v>312</v>
      </c>
      <c r="C82" s="124">
        <v>0</v>
      </c>
      <c r="D82" s="124">
        <v>4</v>
      </c>
      <c r="E82" s="123">
        <v>5</v>
      </c>
      <c r="F82" s="123">
        <v>7</v>
      </c>
      <c r="G82" s="123">
        <v>8</v>
      </c>
      <c r="H82" s="123">
        <v>9</v>
      </c>
      <c r="I82" s="123">
        <v>9</v>
      </c>
      <c r="J82" s="123">
        <f t="shared" si="1"/>
        <v>4.5</v>
      </c>
      <c r="K82" s="197">
        <f>D$71+(J82-D82)/(E82-D82)*(E$71-D$71)</f>
        <v>122.5</v>
      </c>
    </row>
    <row r="83" spans="2:11" x14ac:dyDescent="0.25">
      <c r="B83" s="124" t="s">
        <v>310</v>
      </c>
      <c r="C83" s="124">
        <v>0</v>
      </c>
      <c r="D83" s="124">
        <v>7</v>
      </c>
      <c r="E83" s="123">
        <v>7</v>
      </c>
      <c r="F83" s="123">
        <v>8</v>
      </c>
      <c r="G83" s="123">
        <v>9</v>
      </c>
      <c r="H83" s="123">
        <v>9</v>
      </c>
      <c r="I83" s="123">
        <v>10</v>
      </c>
      <c r="J83" s="123">
        <f t="shared" si="1"/>
        <v>5</v>
      </c>
      <c r="K83" s="197">
        <f t="shared" ref="K83:K89" si="2">C$71+(J83-C83)/(D83-C83)*(D$71-C$71)</f>
        <v>121.14285714285714</v>
      </c>
    </row>
    <row r="84" spans="2:11" x14ac:dyDescent="0.25">
      <c r="B84" s="124" t="s">
        <v>308</v>
      </c>
      <c r="C84" s="124">
        <v>0</v>
      </c>
      <c r="D84" s="124">
        <v>9</v>
      </c>
      <c r="E84" s="123">
        <v>9</v>
      </c>
      <c r="F84" s="123">
        <v>11</v>
      </c>
      <c r="G84" s="123">
        <v>12</v>
      </c>
      <c r="H84" s="123">
        <v>12</v>
      </c>
      <c r="I84" s="123">
        <v>12</v>
      </c>
      <c r="J84" s="123">
        <f t="shared" si="1"/>
        <v>6</v>
      </c>
      <c r="K84" s="197">
        <f t="shared" si="2"/>
        <v>121</v>
      </c>
    </row>
    <row r="85" spans="2:11" x14ac:dyDescent="0.25">
      <c r="B85" s="124" t="s">
        <v>306</v>
      </c>
      <c r="C85" s="124">
        <v>0</v>
      </c>
      <c r="D85" s="124">
        <v>4</v>
      </c>
      <c r="E85" s="123">
        <v>7</v>
      </c>
      <c r="F85" s="123">
        <v>8</v>
      </c>
      <c r="G85" s="123">
        <v>8</v>
      </c>
      <c r="H85" s="123">
        <v>8</v>
      </c>
      <c r="I85" s="123">
        <v>8</v>
      </c>
      <c r="J85" s="123">
        <f t="shared" si="1"/>
        <v>4</v>
      </c>
      <c r="K85" s="197">
        <f t="shared" si="2"/>
        <v>122</v>
      </c>
    </row>
    <row r="86" spans="2:11" x14ac:dyDescent="0.25">
      <c r="B86" s="124" t="s">
        <v>304</v>
      </c>
      <c r="C86" s="124">
        <v>0</v>
      </c>
      <c r="D86" s="124">
        <v>6</v>
      </c>
      <c r="E86" s="123">
        <v>8</v>
      </c>
      <c r="F86" s="123">
        <v>8</v>
      </c>
      <c r="G86" s="123">
        <v>8</v>
      </c>
      <c r="H86" s="123">
        <v>8</v>
      </c>
      <c r="I86" s="123">
        <v>7</v>
      </c>
      <c r="J86" s="123">
        <f t="shared" si="1"/>
        <v>3.5</v>
      </c>
      <c r="K86" s="197">
        <f t="shared" si="2"/>
        <v>120.75</v>
      </c>
    </row>
    <row r="87" spans="2:11" x14ac:dyDescent="0.25">
      <c r="B87" s="124" t="s">
        <v>301</v>
      </c>
      <c r="C87" s="124">
        <v>1</v>
      </c>
      <c r="D87" s="124">
        <v>8</v>
      </c>
      <c r="E87" s="123">
        <v>10</v>
      </c>
      <c r="F87" s="123">
        <v>11</v>
      </c>
      <c r="G87" s="123">
        <v>11</v>
      </c>
      <c r="H87" s="123">
        <v>11</v>
      </c>
      <c r="I87" s="123">
        <v>11</v>
      </c>
      <c r="J87" s="123">
        <f t="shared" si="1"/>
        <v>5.5</v>
      </c>
      <c r="K87" s="197">
        <f t="shared" si="2"/>
        <v>120.92857142857143</v>
      </c>
    </row>
    <row r="88" spans="2:11" x14ac:dyDescent="0.25">
      <c r="B88" s="124" t="s">
        <v>298</v>
      </c>
      <c r="C88" s="124">
        <v>1</v>
      </c>
      <c r="D88" s="124">
        <v>6</v>
      </c>
      <c r="E88" s="123">
        <v>3</v>
      </c>
      <c r="F88" s="123">
        <v>9</v>
      </c>
      <c r="G88" s="123">
        <v>9</v>
      </c>
      <c r="H88" s="123">
        <v>9</v>
      </c>
      <c r="I88" s="123">
        <v>9</v>
      </c>
      <c r="J88" s="123">
        <f t="shared" si="1"/>
        <v>4.5</v>
      </c>
      <c r="K88" s="197">
        <f t="shared" si="2"/>
        <v>121.1</v>
      </c>
    </row>
    <row r="89" spans="2:11" x14ac:dyDescent="0.25">
      <c r="B89" s="124" t="s">
        <v>296</v>
      </c>
      <c r="C89" s="124">
        <v>0</v>
      </c>
      <c r="D89" s="124">
        <v>5</v>
      </c>
      <c r="E89" s="123">
        <v>3</v>
      </c>
      <c r="F89" s="123">
        <v>10</v>
      </c>
      <c r="G89" s="123">
        <v>11</v>
      </c>
      <c r="H89" s="123">
        <v>10</v>
      </c>
      <c r="I89" s="123">
        <v>10</v>
      </c>
      <c r="J89" s="123">
        <f t="shared" si="1"/>
        <v>5</v>
      </c>
      <c r="K89" s="197">
        <f t="shared" si="2"/>
        <v>122</v>
      </c>
    </row>
    <row r="90" spans="2:11" x14ac:dyDescent="0.25">
      <c r="B90" s="124" t="s">
        <v>294</v>
      </c>
      <c r="C90" s="124">
        <v>0</v>
      </c>
      <c r="D90" s="124">
        <v>3</v>
      </c>
      <c r="E90" s="123">
        <v>5</v>
      </c>
      <c r="F90" s="123">
        <v>6</v>
      </c>
      <c r="G90" s="123">
        <v>6</v>
      </c>
      <c r="H90" s="123">
        <v>7</v>
      </c>
      <c r="I90" s="123">
        <v>7</v>
      </c>
      <c r="J90" s="123">
        <f t="shared" si="1"/>
        <v>3.5</v>
      </c>
      <c r="K90" s="197">
        <f>D$71+(J90-D90)/(E90-D90)*(E$71-D$71)</f>
        <v>122.25</v>
      </c>
    </row>
    <row r="91" spans="2:11" x14ac:dyDescent="0.25">
      <c r="B91" s="124" t="s">
        <v>292</v>
      </c>
      <c r="C91" s="124">
        <v>0</v>
      </c>
      <c r="D91" s="124">
        <v>6</v>
      </c>
      <c r="E91" s="123">
        <v>9</v>
      </c>
      <c r="F91" s="123">
        <v>9</v>
      </c>
      <c r="G91" s="123">
        <v>10</v>
      </c>
      <c r="H91" s="123">
        <v>11</v>
      </c>
      <c r="I91" s="123">
        <v>11</v>
      </c>
      <c r="J91" s="123">
        <f t="shared" si="1"/>
        <v>5.5</v>
      </c>
      <c r="K91" s="197">
        <f>C$71+(J91-C91)/(D91-C91)*(D$71-C$71)</f>
        <v>121.75</v>
      </c>
    </row>
    <row r="92" spans="2:11" x14ac:dyDescent="0.25">
      <c r="B92" s="124" t="s">
        <v>290</v>
      </c>
      <c r="C92" s="124">
        <v>0</v>
      </c>
      <c r="D92" s="124">
        <v>4</v>
      </c>
      <c r="E92" s="123">
        <v>4</v>
      </c>
      <c r="F92" s="123">
        <v>7</v>
      </c>
      <c r="G92" s="123">
        <v>7</v>
      </c>
      <c r="H92" s="123">
        <v>7</v>
      </c>
      <c r="I92" s="123">
        <v>7</v>
      </c>
      <c r="J92" s="123">
        <f t="shared" si="1"/>
        <v>3.5</v>
      </c>
      <c r="K92" s="197">
        <f>C$71+(J92-C92)/(D92-C92)*(D$71-C$71)</f>
        <v>121.625</v>
      </c>
    </row>
    <row r="93" spans="2:11" x14ac:dyDescent="0.25">
      <c r="B93" s="124" t="s">
        <v>288</v>
      </c>
      <c r="C93" s="124">
        <v>0</v>
      </c>
      <c r="D93" s="124">
        <v>6</v>
      </c>
      <c r="E93" s="123">
        <v>9</v>
      </c>
      <c r="F93" s="123">
        <v>10</v>
      </c>
      <c r="G93" s="123">
        <v>10</v>
      </c>
      <c r="H93" s="123">
        <v>10</v>
      </c>
      <c r="I93" s="123">
        <v>10</v>
      </c>
      <c r="J93" s="123">
        <f t="shared" si="1"/>
        <v>5</v>
      </c>
      <c r="K93" s="197">
        <f>C$71+(J93-C93)/(D93-C93)*(D$71-C$71)</f>
        <v>121.5</v>
      </c>
    </row>
    <row r="94" spans="2:11" x14ac:dyDescent="0.25">
      <c r="B94" s="124" t="s">
        <v>286</v>
      </c>
      <c r="C94" s="124">
        <v>1</v>
      </c>
      <c r="D94" s="124">
        <v>7</v>
      </c>
      <c r="E94" s="123">
        <v>7</v>
      </c>
      <c r="F94" s="123">
        <v>9</v>
      </c>
      <c r="G94" s="123">
        <v>10</v>
      </c>
      <c r="H94" s="123">
        <v>10</v>
      </c>
      <c r="I94" s="123">
        <v>10</v>
      </c>
      <c r="J94" s="123">
        <f t="shared" si="1"/>
        <v>5</v>
      </c>
      <c r="K94" s="197">
        <f>C$71+(J94-C94)/(D94-C94)*(D$71-C$71)</f>
        <v>121</v>
      </c>
    </row>
    <row r="95" spans="2:11" x14ac:dyDescent="0.25">
      <c r="B95" s="124" t="s">
        <v>284</v>
      </c>
      <c r="C95" s="124">
        <v>2</v>
      </c>
      <c r="D95" s="124">
        <v>8</v>
      </c>
      <c r="E95" s="123">
        <v>9</v>
      </c>
      <c r="F95" s="123">
        <v>10</v>
      </c>
      <c r="G95" s="123">
        <v>10</v>
      </c>
      <c r="H95" s="123">
        <v>11</v>
      </c>
      <c r="I95" s="123">
        <v>10</v>
      </c>
      <c r="J95" s="123">
        <f t="shared" si="1"/>
        <v>5</v>
      </c>
      <c r="K95" s="197">
        <f>C$71+(J95-C95)/(D95-C95)*(D$71-C$71)</f>
        <v>120.5</v>
      </c>
    </row>
    <row r="96" spans="2:11" x14ac:dyDescent="0.25">
      <c r="B96" s="124" t="s">
        <v>282</v>
      </c>
      <c r="C96" s="124">
        <v>0</v>
      </c>
      <c r="D96" s="124">
        <v>1</v>
      </c>
      <c r="E96" s="123">
        <v>2</v>
      </c>
      <c r="F96" s="123">
        <v>6</v>
      </c>
      <c r="G96" s="123">
        <v>7</v>
      </c>
      <c r="H96" s="123">
        <v>7</v>
      </c>
      <c r="I96" s="123">
        <v>7</v>
      </c>
      <c r="J96" s="123">
        <f t="shared" si="1"/>
        <v>3.5</v>
      </c>
      <c r="K96" s="197">
        <f>E$71+(J96-E96)/(F96-E96)*(F$71-E$71)</f>
        <v>124.5</v>
      </c>
    </row>
    <row r="97" spans="2:11" x14ac:dyDescent="0.25">
      <c r="B97" s="124" t="s">
        <v>280</v>
      </c>
      <c r="C97" s="124">
        <v>0</v>
      </c>
      <c r="D97" s="124">
        <v>6</v>
      </c>
      <c r="E97" s="123">
        <v>8</v>
      </c>
      <c r="F97" s="123">
        <v>8</v>
      </c>
      <c r="G97" s="123">
        <v>9</v>
      </c>
      <c r="H97" s="123">
        <v>10</v>
      </c>
      <c r="I97" s="123">
        <v>9</v>
      </c>
      <c r="J97" s="123">
        <f t="shared" si="1"/>
        <v>4.5</v>
      </c>
      <c r="K97" s="197">
        <f>C$71+(J97-C97)/(D97-C97)*(D$71-C$71)</f>
        <v>121.25</v>
      </c>
    </row>
    <row r="98" spans="2:11" x14ac:dyDescent="0.25">
      <c r="B98" s="124" t="s">
        <v>278</v>
      </c>
      <c r="C98" s="124">
        <v>1</v>
      </c>
      <c r="D98" s="124">
        <v>4</v>
      </c>
      <c r="E98" s="123">
        <v>4</v>
      </c>
      <c r="F98" s="123">
        <v>6</v>
      </c>
      <c r="G98" s="123">
        <v>8</v>
      </c>
      <c r="H98" s="123">
        <v>8</v>
      </c>
      <c r="I98" s="123">
        <v>8</v>
      </c>
      <c r="J98" s="123">
        <f t="shared" si="1"/>
        <v>4</v>
      </c>
      <c r="K98" s="197">
        <f>C$71+(J98-C98)/(D98-C98)*(D$71-C$71)</f>
        <v>122</v>
      </c>
    </row>
    <row r="99" spans="2:11" x14ac:dyDescent="0.25">
      <c r="B99" s="124" t="s">
        <v>276</v>
      </c>
      <c r="C99" s="124">
        <v>0</v>
      </c>
      <c r="D99" s="124">
        <v>0</v>
      </c>
      <c r="E99" s="123">
        <v>0</v>
      </c>
      <c r="F99" s="123">
        <v>3</v>
      </c>
      <c r="G99" s="123">
        <v>4</v>
      </c>
      <c r="H99" s="123">
        <v>4</v>
      </c>
      <c r="I99" s="123">
        <v>5</v>
      </c>
      <c r="J99" s="123">
        <f t="shared" si="1"/>
        <v>2.5</v>
      </c>
      <c r="K99" s="197">
        <f>E$71+(J99-E99)/(F99-E99)*(F$71-E$71)</f>
        <v>126.33333333333333</v>
      </c>
    </row>
    <row r="100" spans="2:11" x14ac:dyDescent="0.25">
      <c r="B100" s="124" t="s">
        <v>274</v>
      </c>
      <c r="C100" s="124">
        <v>0</v>
      </c>
      <c r="D100" s="124">
        <v>8</v>
      </c>
      <c r="E100" s="123">
        <v>9</v>
      </c>
      <c r="F100" s="123">
        <v>10</v>
      </c>
      <c r="G100" s="123">
        <v>10</v>
      </c>
      <c r="H100" s="123">
        <v>10</v>
      </c>
      <c r="I100" s="123">
        <v>10</v>
      </c>
      <c r="J100" s="123">
        <f t="shared" si="1"/>
        <v>5</v>
      </c>
      <c r="K100" s="197">
        <f t="shared" ref="K100:K111" si="3">C$71+(J100-C100)/(D100-C100)*(D$71-C$71)</f>
        <v>120.875</v>
      </c>
    </row>
    <row r="101" spans="2:11" x14ac:dyDescent="0.25">
      <c r="B101" s="124" t="s">
        <v>272</v>
      </c>
      <c r="C101" s="124">
        <v>0</v>
      </c>
      <c r="D101" s="124">
        <v>7</v>
      </c>
      <c r="E101" s="123">
        <v>9</v>
      </c>
      <c r="F101" s="123">
        <v>10</v>
      </c>
      <c r="G101" s="123">
        <v>10</v>
      </c>
      <c r="H101" s="123">
        <v>10</v>
      </c>
      <c r="I101" s="123">
        <v>10</v>
      </c>
      <c r="J101" s="123">
        <f t="shared" si="1"/>
        <v>5</v>
      </c>
      <c r="K101" s="197">
        <f t="shared" si="3"/>
        <v>121.14285714285714</v>
      </c>
    </row>
    <row r="102" spans="2:11" x14ac:dyDescent="0.25">
      <c r="B102" s="124" t="s">
        <v>270</v>
      </c>
      <c r="C102" s="124">
        <v>0</v>
      </c>
      <c r="D102" s="124">
        <v>5</v>
      </c>
      <c r="E102" s="123">
        <v>10</v>
      </c>
      <c r="F102" s="123">
        <v>5</v>
      </c>
      <c r="G102" s="123">
        <v>6</v>
      </c>
      <c r="H102" s="123">
        <v>6</v>
      </c>
      <c r="I102" s="123">
        <v>5</v>
      </c>
      <c r="J102" s="123">
        <f t="shared" si="1"/>
        <v>2.5</v>
      </c>
      <c r="K102" s="197">
        <f t="shared" si="3"/>
        <v>120.5</v>
      </c>
    </row>
    <row r="103" spans="2:11" x14ac:dyDescent="0.25">
      <c r="B103" s="124" t="s">
        <v>267</v>
      </c>
      <c r="C103" s="124">
        <v>0</v>
      </c>
      <c r="D103" s="124">
        <v>3</v>
      </c>
      <c r="E103" s="123">
        <v>4</v>
      </c>
      <c r="F103" s="123">
        <v>6</v>
      </c>
      <c r="G103" s="123">
        <v>6</v>
      </c>
      <c r="H103" s="123">
        <v>10</v>
      </c>
      <c r="I103" s="123">
        <v>6</v>
      </c>
      <c r="J103" s="123">
        <f t="shared" si="1"/>
        <v>3</v>
      </c>
      <c r="K103" s="197">
        <f t="shared" si="3"/>
        <v>122</v>
      </c>
    </row>
    <row r="104" spans="2:11" x14ac:dyDescent="0.25">
      <c r="B104" s="124" t="s">
        <v>264</v>
      </c>
      <c r="C104" s="124">
        <v>0</v>
      </c>
      <c r="D104" s="124">
        <v>5</v>
      </c>
      <c r="E104" s="123">
        <v>5</v>
      </c>
      <c r="F104" s="123">
        <v>9</v>
      </c>
      <c r="G104" s="123">
        <v>9</v>
      </c>
      <c r="H104" s="123">
        <v>9</v>
      </c>
      <c r="I104" s="123">
        <v>8</v>
      </c>
      <c r="J104" s="123">
        <f t="shared" si="1"/>
        <v>4</v>
      </c>
      <c r="K104" s="197">
        <f t="shared" si="3"/>
        <v>121.4</v>
      </c>
    </row>
    <row r="105" spans="2:11" x14ac:dyDescent="0.25">
      <c r="B105" s="124" t="s">
        <v>262</v>
      </c>
      <c r="C105" s="124">
        <v>0</v>
      </c>
      <c r="D105" s="124">
        <v>4</v>
      </c>
      <c r="E105" s="123">
        <v>4</v>
      </c>
      <c r="F105" s="123">
        <v>5</v>
      </c>
      <c r="G105" s="123">
        <v>6</v>
      </c>
      <c r="H105" s="123">
        <v>6</v>
      </c>
      <c r="I105" s="123">
        <v>6</v>
      </c>
      <c r="J105" s="123">
        <f t="shared" si="1"/>
        <v>3</v>
      </c>
      <c r="K105" s="197">
        <f t="shared" si="3"/>
        <v>121.25</v>
      </c>
    </row>
    <row r="106" spans="2:11" x14ac:dyDescent="0.25">
      <c r="B106" s="124" t="s">
        <v>260</v>
      </c>
      <c r="C106" s="124">
        <v>1</v>
      </c>
      <c r="D106" s="124">
        <v>6</v>
      </c>
      <c r="E106" s="123">
        <v>7</v>
      </c>
      <c r="F106" s="123">
        <v>9</v>
      </c>
      <c r="G106" s="123">
        <v>9</v>
      </c>
      <c r="H106" s="123">
        <v>9</v>
      </c>
      <c r="I106" s="123">
        <v>9</v>
      </c>
      <c r="J106" s="123">
        <f t="shared" si="1"/>
        <v>4.5</v>
      </c>
      <c r="K106" s="197">
        <f t="shared" si="3"/>
        <v>121.1</v>
      </c>
    </row>
    <row r="107" spans="2:11" x14ac:dyDescent="0.25">
      <c r="B107" s="124" t="s">
        <v>258</v>
      </c>
      <c r="C107" s="124">
        <v>0</v>
      </c>
      <c r="D107" s="124">
        <v>7</v>
      </c>
      <c r="E107" s="123">
        <v>9</v>
      </c>
      <c r="F107" s="123">
        <v>9</v>
      </c>
      <c r="G107" s="123">
        <v>10</v>
      </c>
      <c r="H107" s="123">
        <v>10</v>
      </c>
      <c r="I107" s="123">
        <v>10</v>
      </c>
      <c r="J107" s="123">
        <f t="shared" si="1"/>
        <v>5</v>
      </c>
      <c r="K107" s="197">
        <f t="shared" si="3"/>
        <v>121.14285714285714</v>
      </c>
    </row>
    <row r="108" spans="2:11" x14ac:dyDescent="0.25">
      <c r="B108" s="124" t="s">
        <v>256</v>
      </c>
      <c r="C108" s="124">
        <v>0</v>
      </c>
      <c r="D108" s="124">
        <v>4</v>
      </c>
      <c r="E108" s="123">
        <v>5</v>
      </c>
      <c r="F108" s="123">
        <v>8</v>
      </c>
      <c r="G108" s="123">
        <v>8</v>
      </c>
      <c r="H108" s="123">
        <v>9</v>
      </c>
      <c r="I108" s="123">
        <v>8</v>
      </c>
      <c r="J108" s="123">
        <f t="shared" si="1"/>
        <v>4</v>
      </c>
      <c r="K108" s="197">
        <f t="shared" si="3"/>
        <v>122</v>
      </c>
    </row>
    <row r="109" spans="2:11" x14ac:dyDescent="0.25">
      <c r="B109" s="124" t="s">
        <v>254</v>
      </c>
      <c r="C109" s="124">
        <v>3</v>
      </c>
      <c r="D109" s="124">
        <v>5</v>
      </c>
      <c r="E109" s="123">
        <v>7</v>
      </c>
      <c r="F109" s="123">
        <v>8</v>
      </c>
      <c r="G109" s="123">
        <v>8</v>
      </c>
      <c r="H109" s="123">
        <v>8</v>
      </c>
      <c r="I109" s="123">
        <v>8</v>
      </c>
      <c r="J109" s="123">
        <f t="shared" si="1"/>
        <v>4</v>
      </c>
      <c r="K109" s="197">
        <f t="shared" si="3"/>
        <v>120.5</v>
      </c>
    </row>
    <row r="110" spans="2:11" x14ac:dyDescent="0.25">
      <c r="B110" s="124" t="s">
        <v>252</v>
      </c>
      <c r="C110" s="124">
        <v>2</v>
      </c>
      <c r="D110" s="124">
        <v>7</v>
      </c>
      <c r="E110" s="123">
        <v>8</v>
      </c>
      <c r="F110" s="123">
        <v>8</v>
      </c>
      <c r="G110" s="123">
        <v>8</v>
      </c>
      <c r="H110" s="123">
        <v>9</v>
      </c>
      <c r="I110" s="123">
        <v>9</v>
      </c>
      <c r="J110" s="123">
        <f t="shared" si="1"/>
        <v>4.5</v>
      </c>
      <c r="K110" s="197">
        <f t="shared" si="3"/>
        <v>120.5</v>
      </c>
    </row>
    <row r="111" spans="2:11" x14ac:dyDescent="0.25">
      <c r="B111" s="124" t="s">
        <v>250</v>
      </c>
      <c r="C111" s="124">
        <v>0</v>
      </c>
      <c r="D111" s="124">
        <v>4</v>
      </c>
      <c r="E111" s="123">
        <v>4</v>
      </c>
      <c r="F111" s="123">
        <v>4</v>
      </c>
      <c r="G111" s="123">
        <v>5</v>
      </c>
      <c r="H111" s="123">
        <v>6</v>
      </c>
      <c r="I111" s="123">
        <v>6</v>
      </c>
      <c r="J111" s="123">
        <f t="shared" si="1"/>
        <v>3</v>
      </c>
      <c r="K111" s="197">
        <f t="shared" si="3"/>
        <v>121.25</v>
      </c>
    </row>
    <row r="112" spans="2:11" x14ac:dyDescent="0.25">
      <c r="B112" s="124" t="s">
        <v>248</v>
      </c>
      <c r="C112" s="124">
        <v>0</v>
      </c>
      <c r="D112" s="124">
        <v>4</v>
      </c>
      <c r="E112" s="123">
        <v>5</v>
      </c>
      <c r="F112" s="123">
        <v>8</v>
      </c>
      <c r="G112" s="123">
        <v>8</v>
      </c>
      <c r="H112" s="123">
        <v>9</v>
      </c>
      <c r="I112" s="123">
        <v>9</v>
      </c>
      <c r="J112" s="123">
        <f t="shared" si="1"/>
        <v>4.5</v>
      </c>
      <c r="K112" s="197">
        <f>D$71+(J112-D112)/(E112-D112)*(E$71-D$71)</f>
        <v>122.5</v>
      </c>
    </row>
    <row r="113" spans="2:11" x14ac:dyDescent="0.25">
      <c r="B113" s="124" t="s">
        <v>246</v>
      </c>
      <c r="C113" s="124">
        <v>1</v>
      </c>
      <c r="D113" s="124">
        <v>4</v>
      </c>
      <c r="E113" s="123">
        <v>6</v>
      </c>
      <c r="F113" s="123">
        <v>8</v>
      </c>
      <c r="G113" s="123">
        <v>9</v>
      </c>
      <c r="H113" s="123">
        <v>9</v>
      </c>
      <c r="I113" s="123">
        <v>9</v>
      </c>
      <c r="J113" s="123">
        <f t="shared" si="1"/>
        <v>4.5</v>
      </c>
      <c r="K113" s="197">
        <f>D$71+(J113-D113)/(E113-D113)*(E$71-D$71)</f>
        <v>122.25</v>
      </c>
    </row>
    <row r="114" spans="2:11" x14ac:dyDescent="0.25">
      <c r="B114" s="124" t="s">
        <v>244</v>
      </c>
      <c r="C114" s="124">
        <v>0</v>
      </c>
      <c r="D114" s="124">
        <v>6</v>
      </c>
      <c r="E114" s="123">
        <v>8</v>
      </c>
      <c r="F114" s="123">
        <v>8</v>
      </c>
      <c r="G114" s="123">
        <v>9</v>
      </c>
      <c r="H114" s="123">
        <v>9</v>
      </c>
      <c r="I114" s="123">
        <v>10</v>
      </c>
      <c r="J114" s="123">
        <f t="shared" si="1"/>
        <v>5</v>
      </c>
      <c r="K114" s="197">
        <f>C$71+(J114-C114)/(D114-C114)*(D$71-C$71)</f>
        <v>121.5</v>
      </c>
    </row>
    <row r="115" spans="2:11" x14ac:dyDescent="0.25">
      <c r="B115" s="124" t="s">
        <v>242</v>
      </c>
      <c r="C115" s="124">
        <v>0</v>
      </c>
      <c r="D115" s="124">
        <v>2</v>
      </c>
      <c r="E115" s="123">
        <v>4</v>
      </c>
      <c r="F115" s="123">
        <v>9</v>
      </c>
      <c r="G115" s="123">
        <v>9</v>
      </c>
      <c r="H115" s="123">
        <v>9</v>
      </c>
      <c r="I115" s="123">
        <v>9</v>
      </c>
      <c r="J115" s="123">
        <f t="shared" si="1"/>
        <v>4.5</v>
      </c>
      <c r="K115" s="197">
        <f>E$71+(J115-E115)/(F115-E115)*(F$71-E$71)</f>
        <v>123.4</v>
      </c>
    </row>
    <row r="116" spans="2:11" x14ac:dyDescent="0.25">
      <c r="B116" s="124" t="s">
        <v>240</v>
      </c>
      <c r="C116" s="124">
        <v>0</v>
      </c>
      <c r="D116" s="124">
        <v>9</v>
      </c>
      <c r="E116" s="123">
        <v>9</v>
      </c>
      <c r="F116" s="123">
        <v>11</v>
      </c>
      <c r="G116" s="123">
        <v>11</v>
      </c>
      <c r="H116" s="123">
        <v>11</v>
      </c>
      <c r="I116" s="123">
        <v>11</v>
      </c>
      <c r="J116" s="123">
        <f t="shared" si="1"/>
        <v>5.5</v>
      </c>
      <c r="K116" s="197">
        <f>C$71+(J116-C116)/(D116-C116)*(D$71-C$71)</f>
        <v>120.83333333333333</v>
      </c>
    </row>
    <row r="117" spans="2:11" x14ac:dyDescent="0.25">
      <c r="B117" s="124" t="s">
        <v>238</v>
      </c>
      <c r="C117" s="124">
        <v>0</v>
      </c>
      <c r="D117" s="124">
        <v>3</v>
      </c>
      <c r="E117" s="123">
        <v>5</v>
      </c>
      <c r="F117" s="123">
        <v>7</v>
      </c>
      <c r="G117" s="123">
        <v>7</v>
      </c>
      <c r="H117" s="123">
        <v>8</v>
      </c>
      <c r="I117" s="123">
        <v>7</v>
      </c>
      <c r="J117" s="123">
        <f t="shared" si="1"/>
        <v>3.5</v>
      </c>
      <c r="K117" s="197">
        <f>D$71+(J117-D117)/(E117-D117)*(E$71-D$71)</f>
        <v>122.25</v>
      </c>
    </row>
    <row r="118" spans="2:11" x14ac:dyDescent="0.25">
      <c r="B118" s="124" t="s">
        <v>236</v>
      </c>
      <c r="C118" s="124">
        <v>0</v>
      </c>
      <c r="D118" s="124">
        <v>2</v>
      </c>
      <c r="E118" s="123">
        <v>4</v>
      </c>
      <c r="F118" s="123">
        <v>4</v>
      </c>
      <c r="G118" s="123">
        <v>5</v>
      </c>
      <c r="H118" s="123">
        <v>5</v>
      </c>
      <c r="I118" s="123">
        <v>4</v>
      </c>
      <c r="J118" s="123">
        <f t="shared" si="1"/>
        <v>2</v>
      </c>
      <c r="K118" s="197">
        <f>C$71+(J118-C118)/(D118-C118)*(D$71-C$71)</f>
        <v>122</v>
      </c>
    </row>
    <row r="119" spans="2:11" x14ac:dyDescent="0.25">
      <c r="B119" s="124" t="s">
        <v>233</v>
      </c>
      <c r="C119" s="124">
        <v>0</v>
      </c>
      <c r="D119" s="124">
        <v>2</v>
      </c>
      <c r="E119" s="123">
        <v>4</v>
      </c>
      <c r="F119" s="123">
        <v>8</v>
      </c>
      <c r="G119" s="123">
        <v>8</v>
      </c>
      <c r="H119" s="123">
        <v>9</v>
      </c>
      <c r="I119" s="123">
        <v>9</v>
      </c>
      <c r="J119" s="123">
        <f t="shared" si="1"/>
        <v>4.5</v>
      </c>
      <c r="K119" s="197">
        <f>E$71+(J119-E119)/(F119-E119)*(F$71-E$71)</f>
        <v>123.5</v>
      </c>
    </row>
  </sheetData>
  <mergeCells count="16">
    <mergeCell ref="K11:L11"/>
    <mergeCell ref="K12:L12"/>
    <mergeCell ref="E14:F14"/>
    <mergeCell ref="E13:F13"/>
    <mergeCell ref="G13:H13"/>
    <mergeCell ref="G14:H14"/>
    <mergeCell ref="I13:J13"/>
    <mergeCell ref="I14:J14"/>
    <mergeCell ref="K13:L13"/>
    <mergeCell ref="K14:L14"/>
    <mergeCell ref="E11:F11"/>
    <mergeCell ref="E12:F12"/>
    <mergeCell ref="G12:H12"/>
    <mergeCell ref="G11:H11"/>
    <mergeCell ref="I11:J11"/>
    <mergeCell ref="I12:J12"/>
  </mergeCells>
  <conditionalFormatting sqref="D16:D63">
    <cfRule type="cellIs" dxfId="3" priority="1" operator="equal">
      <formula>"NG3195"</formula>
    </cfRule>
    <cfRule type="cellIs" dxfId="2" priority="2" operator="equal">
      <formula>"NG4936"</formula>
    </cfRule>
  </conditionalFormatting>
  <printOptions horizontalCentered="1"/>
  <pageMargins left="0.5" right="0.5" top="0.5" bottom="0.5" header="0" footer="0.25"/>
  <pageSetup scale="80" fitToHeight="2" orientation="portrait" r:id="rId1"/>
  <headerFooter>
    <oddFooter xml:space="preserve">&amp;R&amp;9smm - &amp;Z&amp;F&amp;P of &amp;N&amp;11
  </oddFooter>
  </headerFooter>
  <rowBreaks count="2" manualBreakCount="2">
    <brk id="31" max="16383" man="1"/>
    <brk id="4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4818-14E9-4D29-B067-16C8F0105214}">
  <dimension ref="A1:L67"/>
  <sheetViews>
    <sheetView topLeftCell="A47" zoomScale="85" zoomScaleNormal="85" workbookViewId="0">
      <selection activeCell="L16" sqref="L16:L63"/>
    </sheetView>
  </sheetViews>
  <sheetFormatPr defaultRowHeight="15" x14ac:dyDescent="0.25"/>
  <cols>
    <col min="1" max="1" width="17" style="125" customWidth="1"/>
    <col min="2" max="2" width="9" style="124" customWidth="1"/>
    <col min="3" max="3" width="7" style="124" customWidth="1"/>
    <col min="4" max="4" width="8.140625" style="124" customWidth="1"/>
    <col min="5" max="5" width="8.140625" style="199" customWidth="1"/>
    <col min="6" max="9" width="9.7109375" style="123" customWidth="1"/>
    <col min="10" max="16384" width="9.140625" style="123"/>
  </cols>
  <sheetData>
    <row r="1" spans="1:12" ht="22.15" customHeight="1" x14ac:dyDescent="0.3">
      <c r="A1" s="129">
        <v>2021</v>
      </c>
      <c r="B1" s="129" t="s">
        <v>355</v>
      </c>
      <c r="C1" s="129"/>
      <c r="D1" s="194" t="s">
        <v>6</v>
      </c>
      <c r="E1" s="226"/>
    </row>
    <row r="2" spans="1:12" x14ac:dyDescent="0.25">
      <c r="B2" s="123"/>
      <c r="C2" s="123"/>
      <c r="D2" s="123"/>
      <c r="E2" s="197"/>
    </row>
    <row r="3" spans="1:12" x14ac:dyDescent="0.25">
      <c r="B3" s="127" t="s">
        <v>419</v>
      </c>
      <c r="C3" s="127"/>
      <c r="D3" s="127"/>
      <c r="E3" s="225"/>
    </row>
    <row r="4" spans="1:12" x14ac:dyDescent="0.25">
      <c r="A4" s="193" t="s">
        <v>353</v>
      </c>
      <c r="B4" s="127"/>
      <c r="C4" s="127"/>
      <c r="D4" s="127"/>
      <c r="E4" s="225"/>
    </row>
    <row r="5" spans="1:12" x14ac:dyDescent="0.25">
      <c r="A5" s="193" t="s">
        <v>352</v>
      </c>
      <c r="B5" s="127"/>
      <c r="C5" s="127"/>
      <c r="D5" s="127"/>
      <c r="E5" s="225"/>
    </row>
    <row r="6" spans="1:12" x14ac:dyDescent="0.25">
      <c r="A6" s="193" t="s">
        <v>351</v>
      </c>
      <c r="B6" s="127"/>
      <c r="C6" s="127"/>
      <c r="D6" s="127"/>
      <c r="E6" s="225"/>
    </row>
    <row r="7" spans="1:12" x14ac:dyDescent="0.25">
      <c r="A7" s="193"/>
      <c r="B7" s="127"/>
      <c r="C7" s="127"/>
      <c r="D7" s="127"/>
      <c r="E7" s="225"/>
    </row>
    <row r="8" spans="1:12" x14ac:dyDescent="0.25">
      <c r="A8" s="193" t="s">
        <v>350</v>
      </c>
      <c r="B8" s="127"/>
      <c r="C8" s="127"/>
      <c r="D8" s="127"/>
      <c r="E8" s="225"/>
    </row>
    <row r="9" spans="1:12" ht="15" customHeight="1" x14ac:dyDescent="0.25">
      <c r="F9" s="127"/>
    </row>
    <row r="10" spans="1:12" ht="19.899999999999999" customHeight="1" x14ac:dyDescent="0.25"/>
    <row r="11" spans="1:12" ht="28.15" customHeight="1" x14ac:dyDescent="0.25">
      <c r="B11" s="192" t="s">
        <v>27</v>
      </c>
      <c r="C11" s="192"/>
      <c r="D11" s="192"/>
      <c r="E11" s="224"/>
      <c r="F11" s="191">
        <v>44328</v>
      </c>
      <c r="G11" s="190">
        <v>44333</v>
      </c>
      <c r="H11" s="190"/>
      <c r="I11" s="190"/>
    </row>
    <row r="12" spans="1:12" ht="28.15" customHeight="1" x14ac:dyDescent="0.25">
      <c r="A12" s="186"/>
      <c r="B12" s="189" t="s">
        <v>29</v>
      </c>
      <c r="C12" s="189"/>
      <c r="D12" s="189"/>
      <c r="E12" s="223"/>
      <c r="F12" s="188">
        <v>132</v>
      </c>
      <c r="G12" s="187">
        <v>137</v>
      </c>
      <c r="H12" s="187"/>
      <c r="I12" s="187"/>
    </row>
    <row r="13" spans="1:12" s="183" customFormat="1" ht="28.15" customHeight="1" x14ac:dyDescent="0.2">
      <c r="A13" s="186"/>
      <c r="B13" s="185" t="s">
        <v>13</v>
      </c>
      <c r="C13" s="185"/>
      <c r="D13" s="185"/>
      <c r="E13" s="222"/>
      <c r="F13" s="184" t="s">
        <v>51</v>
      </c>
      <c r="G13" s="184" t="s">
        <v>51</v>
      </c>
      <c r="H13" s="184"/>
      <c r="I13" s="184"/>
    </row>
    <row r="14" spans="1:12" s="124" customFormat="1" ht="37.15" customHeight="1" x14ac:dyDescent="0.25">
      <c r="A14" s="181"/>
      <c r="B14" s="180" t="s">
        <v>345</v>
      </c>
      <c r="C14" s="180"/>
      <c r="D14" s="180"/>
      <c r="E14" s="221"/>
      <c r="F14" s="182"/>
      <c r="G14" s="182"/>
      <c r="H14" s="182"/>
      <c r="I14" s="182"/>
    </row>
    <row r="15" spans="1:12" s="124" customFormat="1" ht="37.15" customHeight="1" thickBot="1" x14ac:dyDescent="0.3">
      <c r="A15" s="181" t="s">
        <v>337</v>
      </c>
      <c r="B15" s="180"/>
      <c r="C15" s="180" t="s">
        <v>7</v>
      </c>
      <c r="D15" s="180"/>
      <c r="E15" s="220" t="s">
        <v>418</v>
      </c>
      <c r="F15" s="176" t="s">
        <v>417</v>
      </c>
      <c r="G15" s="176" t="s">
        <v>417</v>
      </c>
      <c r="H15" s="176" t="s">
        <v>417</v>
      </c>
      <c r="I15" s="176" t="s">
        <v>417</v>
      </c>
      <c r="K15" s="227">
        <v>0.5</v>
      </c>
      <c r="L15" s="124" t="s">
        <v>408</v>
      </c>
    </row>
    <row r="16" spans="1:12" ht="37.9" customHeight="1" x14ac:dyDescent="0.25">
      <c r="A16" s="145" t="s">
        <v>334</v>
      </c>
      <c r="B16" s="173" t="s">
        <v>333</v>
      </c>
      <c r="C16" s="173" t="s">
        <v>332</v>
      </c>
      <c r="D16" s="172" t="s">
        <v>50</v>
      </c>
      <c r="E16" s="216" t="s">
        <v>415</v>
      </c>
      <c r="F16" s="215">
        <v>0</v>
      </c>
      <c r="G16" s="214">
        <v>4</v>
      </c>
      <c r="H16" s="215"/>
      <c r="I16" s="214"/>
      <c r="K16" s="123">
        <f>E16/2</f>
        <v>3</v>
      </c>
      <c r="L16" s="197">
        <f>F$12+(K16-F16)/(G16-F16)*(G$12-F$12)</f>
        <v>135.75</v>
      </c>
    </row>
    <row r="17" spans="1:12" ht="37.9" customHeight="1" x14ac:dyDescent="0.25">
      <c r="A17" s="145"/>
      <c r="B17" s="166" t="s">
        <v>331</v>
      </c>
      <c r="C17" s="166" t="s">
        <v>330</v>
      </c>
      <c r="D17" s="165" t="s">
        <v>43</v>
      </c>
      <c r="E17" s="213" t="s">
        <v>410</v>
      </c>
      <c r="F17" s="212">
        <v>2</v>
      </c>
      <c r="G17" s="211">
        <v>10</v>
      </c>
      <c r="H17" s="212"/>
      <c r="I17" s="211"/>
      <c r="K17" s="123">
        <f t="shared" ref="K17:K63" si="0">E17/2</f>
        <v>5</v>
      </c>
      <c r="L17" s="197">
        <f t="shared" ref="L17:L63" si="1">F$12+(K17-F17)/(G17-F17)*(G$12-F$12)</f>
        <v>133.875</v>
      </c>
    </row>
    <row r="18" spans="1:12" ht="37.9" customHeight="1" x14ac:dyDescent="0.25">
      <c r="A18" s="175"/>
      <c r="B18" s="159" t="s">
        <v>329</v>
      </c>
      <c r="C18" s="159" t="s">
        <v>328</v>
      </c>
      <c r="D18" s="158" t="s">
        <v>43</v>
      </c>
      <c r="E18" s="210" t="s">
        <v>416</v>
      </c>
      <c r="F18" s="209">
        <v>0</v>
      </c>
      <c r="G18" s="208">
        <v>4</v>
      </c>
      <c r="H18" s="209"/>
      <c r="I18" s="208"/>
      <c r="K18" s="123">
        <f t="shared" si="0"/>
        <v>2.5</v>
      </c>
      <c r="L18" s="197">
        <f t="shared" si="1"/>
        <v>135.125</v>
      </c>
    </row>
    <row r="19" spans="1:12" ht="37.9" customHeight="1" thickBot="1" x14ac:dyDescent="0.3">
      <c r="A19" s="152"/>
      <c r="B19" s="159" t="s">
        <v>327</v>
      </c>
      <c r="C19" s="159" t="s">
        <v>326</v>
      </c>
      <c r="D19" s="158" t="s">
        <v>50</v>
      </c>
      <c r="E19" s="210">
        <v>8</v>
      </c>
      <c r="F19" s="209">
        <v>1</v>
      </c>
      <c r="G19" s="208">
        <v>8</v>
      </c>
      <c r="H19" s="209"/>
      <c r="I19" s="208"/>
      <c r="K19" s="123">
        <f t="shared" si="0"/>
        <v>4</v>
      </c>
      <c r="L19" s="197">
        <f t="shared" si="1"/>
        <v>134.14285714285714</v>
      </c>
    </row>
    <row r="20" spans="1:12" ht="37.9" customHeight="1" x14ac:dyDescent="0.25">
      <c r="A20" s="152"/>
      <c r="B20" s="159" t="s">
        <v>325</v>
      </c>
      <c r="C20" s="159" t="s">
        <v>324</v>
      </c>
      <c r="D20" s="172" t="s">
        <v>50</v>
      </c>
      <c r="E20" s="213" t="s">
        <v>415</v>
      </c>
      <c r="F20" s="209">
        <v>0</v>
      </c>
      <c r="G20" s="208">
        <v>5</v>
      </c>
      <c r="H20" s="209"/>
      <c r="I20" s="208"/>
      <c r="K20" s="123">
        <f t="shared" si="0"/>
        <v>3</v>
      </c>
      <c r="L20" s="197">
        <f t="shared" si="1"/>
        <v>135</v>
      </c>
    </row>
    <row r="21" spans="1:12" ht="37.9" customHeight="1" x14ac:dyDescent="0.25">
      <c r="A21" s="152"/>
      <c r="B21" s="143" t="s">
        <v>323</v>
      </c>
      <c r="C21" s="143" t="s">
        <v>322</v>
      </c>
      <c r="D21" s="165" t="s">
        <v>43</v>
      </c>
      <c r="E21" s="219" t="s">
        <v>413</v>
      </c>
      <c r="F21" s="207">
        <v>1</v>
      </c>
      <c r="G21" s="206">
        <v>7</v>
      </c>
      <c r="H21" s="207"/>
      <c r="I21" s="206"/>
      <c r="K21" s="123">
        <f t="shared" si="0"/>
        <v>4</v>
      </c>
      <c r="L21" s="197">
        <f t="shared" si="1"/>
        <v>134.5</v>
      </c>
    </row>
    <row r="22" spans="1:12" ht="37.9" customHeight="1" x14ac:dyDescent="0.25">
      <c r="A22" s="123"/>
      <c r="B22" s="143" t="s">
        <v>321</v>
      </c>
      <c r="C22" s="143" t="s">
        <v>320</v>
      </c>
      <c r="D22" s="158" t="s">
        <v>43</v>
      </c>
      <c r="E22" s="205" t="s">
        <v>412</v>
      </c>
      <c r="F22" s="207">
        <v>2</v>
      </c>
      <c r="G22" s="206">
        <v>8</v>
      </c>
      <c r="H22" s="207"/>
      <c r="I22" s="206"/>
      <c r="K22" s="123">
        <f t="shared" si="0"/>
        <v>4.5</v>
      </c>
      <c r="L22" s="197">
        <f t="shared" si="1"/>
        <v>134.08333333333334</v>
      </c>
    </row>
    <row r="23" spans="1:12" ht="37.9" customHeight="1" thickBot="1" x14ac:dyDescent="0.3">
      <c r="A23" s="152" t="s">
        <v>11</v>
      </c>
      <c r="B23" s="151" t="s">
        <v>319</v>
      </c>
      <c r="C23" s="151" t="s">
        <v>318</v>
      </c>
      <c r="D23" s="158" t="s">
        <v>50</v>
      </c>
      <c r="E23" s="205" t="s">
        <v>412</v>
      </c>
      <c r="F23" s="204">
        <v>1</v>
      </c>
      <c r="G23" s="203">
        <v>7</v>
      </c>
      <c r="H23" s="204"/>
      <c r="I23" s="203"/>
      <c r="K23" s="123">
        <f t="shared" si="0"/>
        <v>4.5</v>
      </c>
      <c r="L23" s="197">
        <f t="shared" si="1"/>
        <v>134.91666666666666</v>
      </c>
    </row>
    <row r="24" spans="1:12" ht="37.9" customHeight="1" x14ac:dyDescent="0.25">
      <c r="A24" s="152" t="s">
        <v>11</v>
      </c>
      <c r="B24" s="173" t="s">
        <v>317</v>
      </c>
      <c r="C24" s="173" t="s">
        <v>316</v>
      </c>
      <c r="D24" s="172" t="s">
        <v>43</v>
      </c>
      <c r="E24" s="216" t="s">
        <v>410</v>
      </c>
      <c r="F24" s="215">
        <v>1</v>
      </c>
      <c r="G24" s="214">
        <v>9</v>
      </c>
      <c r="H24" s="215"/>
      <c r="I24" s="214"/>
      <c r="K24" s="123">
        <f t="shared" si="0"/>
        <v>5</v>
      </c>
      <c r="L24" s="197">
        <f t="shared" si="1"/>
        <v>134.5</v>
      </c>
    </row>
    <row r="25" spans="1:12" ht="37.9" customHeight="1" x14ac:dyDescent="0.25">
      <c r="A25" s="152"/>
      <c r="B25" s="166" t="s">
        <v>315</v>
      </c>
      <c r="C25" s="166" t="s">
        <v>314</v>
      </c>
      <c r="D25" s="165" t="s">
        <v>50</v>
      </c>
      <c r="E25" s="213" t="s">
        <v>409</v>
      </c>
      <c r="F25" s="212">
        <v>0</v>
      </c>
      <c r="G25" s="211">
        <v>4</v>
      </c>
      <c r="H25" s="212"/>
      <c r="I25" s="211"/>
      <c r="K25" s="123">
        <f t="shared" si="0"/>
        <v>3.5</v>
      </c>
      <c r="L25" s="197">
        <f t="shared" si="1"/>
        <v>136.375</v>
      </c>
    </row>
    <row r="26" spans="1:12" ht="37.9" customHeight="1" x14ac:dyDescent="0.25">
      <c r="A26" s="152"/>
      <c r="B26" s="159" t="s">
        <v>313</v>
      </c>
      <c r="C26" s="159" t="s">
        <v>312</v>
      </c>
      <c r="D26" s="158" t="s">
        <v>50</v>
      </c>
      <c r="E26" s="210" t="s">
        <v>412</v>
      </c>
      <c r="F26" s="209">
        <v>0</v>
      </c>
      <c r="G26" s="208">
        <v>5</v>
      </c>
      <c r="H26" s="209"/>
      <c r="I26" s="208"/>
      <c r="K26" s="123">
        <f t="shared" si="0"/>
        <v>4.5</v>
      </c>
      <c r="L26" s="197">
        <f t="shared" si="1"/>
        <v>136.5</v>
      </c>
    </row>
    <row r="27" spans="1:12" ht="37.9" customHeight="1" x14ac:dyDescent="0.25">
      <c r="A27" s="152"/>
      <c r="B27" s="159" t="s">
        <v>311</v>
      </c>
      <c r="C27" s="159" t="s">
        <v>310</v>
      </c>
      <c r="D27" s="158" t="s">
        <v>43</v>
      </c>
      <c r="E27" s="210" t="s">
        <v>410</v>
      </c>
      <c r="F27" s="209">
        <v>1</v>
      </c>
      <c r="G27" s="208">
        <v>7</v>
      </c>
      <c r="H27" s="209"/>
      <c r="I27" s="208"/>
      <c r="K27" s="123">
        <f t="shared" si="0"/>
        <v>5</v>
      </c>
      <c r="L27" s="197">
        <f t="shared" si="1"/>
        <v>135.33333333333334</v>
      </c>
    </row>
    <row r="28" spans="1:12" ht="37.9" customHeight="1" x14ac:dyDescent="0.25">
      <c r="A28" s="152"/>
      <c r="B28" s="159" t="s">
        <v>309</v>
      </c>
      <c r="C28" s="159" t="s">
        <v>308</v>
      </c>
      <c r="D28" s="158" t="s">
        <v>43</v>
      </c>
      <c r="E28" s="210" t="s">
        <v>414</v>
      </c>
      <c r="F28" s="209">
        <v>2</v>
      </c>
      <c r="G28" s="208">
        <v>10</v>
      </c>
      <c r="H28" s="209"/>
      <c r="I28" s="208"/>
      <c r="K28" s="123">
        <f t="shared" si="0"/>
        <v>6</v>
      </c>
      <c r="L28" s="197">
        <f t="shared" si="1"/>
        <v>134.5</v>
      </c>
    </row>
    <row r="29" spans="1:12" ht="37.9" customHeight="1" x14ac:dyDescent="0.25">
      <c r="A29" s="152"/>
      <c r="B29" s="143" t="s">
        <v>307</v>
      </c>
      <c r="C29" s="143" t="s">
        <v>306</v>
      </c>
      <c r="D29" s="142" t="s">
        <v>50</v>
      </c>
      <c r="E29" s="205" t="s">
        <v>413</v>
      </c>
      <c r="F29" s="207">
        <v>0</v>
      </c>
      <c r="G29" s="206">
        <v>6</v>
      </c>
      <c r="H29" s="207"/>
      <c r="I29" s="206"/>
      <c r="K29" s="123">
        <f t="shared" si="0"/>
        <v>4</v>
      </c>
      <c r="L29" s="197">
        <f t="shared" si="1"/>
        <v>135.33333333333334</v>
      </c>
    </row>
    <row r="30" spans="1:12" ht="37.9" customHeight="1" x14ac:dyDescent="0.25">
      <c r="A30" s="123"/>
      <c r="B30" s="143" t="s">
        <v>305</v>
      </c>
      <c r="C30" s="143" t="s">
        <v>304</v>
      </c>
      <c r="D30" s="142" t="s">
        <v>50</v>
      </c>
      <c r="E30" s="205" t="s">
        <v>409</v>
      </c>
      <c r="F30" s="207">
        <v>0</v>
      </c>
      <c r="G30" s="206">
        <v>5</v>
      </c>
      <c r="H30" s="207"/>
      <c r="I30" s="206"/>
      <c r="K30" s="123">
        <f t="shared" si="0"/>
        <v>3.5</v>
      </c>
      <c r="L30" s="197">
        <f t="shared" si="1"/>
        <v>135.5</v>
      </c>
    </row>
    <row r="31" spans="1:12" ht="37.9" customHeight="1" thickBot="1" x14ac:dyDescent="0.3">
      <c r="A31" s="145" t="s">
        <v>303</v>
      </c>
      <c r="B31" s="151" t="s">
        <v>302</v>
      </c>
      <c r="C31" s="151" t="s">
        <v>301</v>
      </c>
      <c r="D31" s="174" t="s">
        <v>43</v>
      </c>
      <c r="E31" s="217" t="s">
        <v>411</v>
      </c>
      <c r="F31" s="204">
        <v>2</v>
      </c>
      <c r="G31" s="203">
        <v>9</v>
      </c>
      <c r="H31" s="204"/>
      <c r="I31" s="203"/>
      <c r="K31" s="123">
        <f t="shared" si="0"/>
        <v>5.5</v>
      </c>
      <c r="L31" s="197">
        <f t="shared" si="1"/>
        <v>134.5</v>
      </c>
    </row>
    <row r="32" spans="1:12" ht="37.9" customHeight="1" x14ac:dyDescent="0.25">
      <c r="A32" s="145" t="s">
        <v>300</v>
      </c>
      <c r="B32" s="173" t="s">
        <v>299</v>
      </c>
      <c r="C32" s="173" t="s">
        <v>298</v>
      </c>
      <c r="D32" s="172" t="s">
        <v>43</v>
      </c>
      <c r="E32" s="216" t="s">
        <v>412</v>
      </c>
      <c r="F32" s="215">
        <v>2</v>
      </c>
      <c r="G32" s="214">
        <v>8</v>
      </c>
      <c r="H32" s="215"/>
      <c r="I32" s="214"/>
      <c r="K32" s="123">
        <f t="shared" si="0"/>
        <v>4.5</v>
      </c>
      <c r="L32" s="197">
        <f t="shared" si="1"/>
        <v>134.08333333333334</v>
      </c>
    </row>
    <row r="33" spans="1:12" ht="37.9" customHeight="1" x14ac:dyDescent="0.25">
      <c r="A33" s="145"/>
      <c r="B33" s="166" t="s">
        <v>297</v>
      </c>
      <c r="C33" s="166" t="s">
        <v>296</v>
      </c>
      <c r="D33" s="165" t="s">
        <v>50</v>
      </c>
      <c r="E33" s="213" t="s">
        <v>410</v>
      </c>
      <c r="F33" s="212">
        <v>2</v>
      </c>
      <c r="G33" s="211">
        <v>9</v>
      </c>
      <c r="H33" s="212"/>
      <c r="I33" s="211"/>
      <c r="K33" s="123">
        <f t="shared" si="0"/>
        <v>5</v>
      </c>
      <c r="L33" s="197">
        <f t="shared" si="1"/>
        <v>134.14285714285714</v>
      </c>
    </row>
    <row r="34" spans="1:12" ht="37.9" customHeight="1" x14ac:dyDescent="0.25">
      <c r="A34" s="175"/>
      <c r="B34" s="159" t="s">
        <v>295</v>
      </c>
      <c r="C34" s="159" t="s">
        <v>294</v>
      </c>
      <c r="D34" s="158" t="s">
        <v>50</v>
      </c>
      <c r="E34" s="210" t="s">
        <v>409</v>
      </c>
      <c r="F34" s="209">
        <v>0</v>
      </c>
      <c r="G34" s="208">
        <v>4</v>
      </c>
      <c r="H34" s="209"/>
      <c r="I34" s="208"/>
      <c r="K34" s="123">
        <f t="shared" si="0"/>
        <v>3.5</v>
      </c>
      <c r="L34" s="197">
        <f t="shared" si="1"/>
        <v>136.375</v>
      </c>
    </row>
    <row r="35" spans="1:12" ht="37.9" customHeight="1" x14ac:dyDescent="0.25">
      <c r="A35" s="152"/>
      <c r="B35" s="159" t="s">
        <v>293</v>
      </c>
      <c r="C35" s="159" t="s">
        <v>292</v>
      </c>
      <c r="D35" s="158" t="s">
        <v>43</v>
      </c>
      <c r="E35" s="210" t="s">
        <v>411</v>
      </c>
      <c r="F35" s="209">
        <v>2</v>
      </c>
      <c r="G35" s="208">
        <v>8</v>
      </c>
      <c r="H35" s="209"/>
      <c r="I35" s="208"/>
      <c r="K35" s="123">
        <f t="shared" si="0"/>
        <v>5.5</v>
      </c>
      <c r="L35" s="197">
        <f t="shared" si="1"/>
        <v>134.91666666666666</v>
      </c>
    </row>
    <row r="36" spans="1:12" ht="37.9" customHeight="1" x14ac:dyDescent="0.25">
      <c r="A36" s="152"/>
      <c r="B36" s="159" t="s">
        <v>291</v>
      </c>
      <c r="C36" s="159" t="s">
        <v>290</v>
      </c>
      <c r="D36" s="158" t="s">
        <v>43</v>
      </c>
      <c r="E36" s="210" t="s">
        <v>409</v>
      </c>
      <c r="F36" s="209">
        <v>0</v>
      </c>
      <c r="G36" s="208">
        <v>4</v>
      </c>
      <c r="H36" s="209"/>
      <c r="I36" s="208"/>
      <c r="K36" s="123">
        <f t="shared" si="0"/>
        <v>3.5</v>
      </c>
      <c r="L36" s="197">
        <f t="shared" si="1"/>
        <v>136.375</v>
      </c>
    </row>
    <row r="37" spans="1:12" ht="37.9" customHeight="1" x14ac:dyDescent="0.25">
      <c r="A37" s="152"/>
      <c r="B37" s="143" t="s">
        <v>289</v>
      </c>
      <c r="C37" s="143" t="s">
        <v>288</v>
      </c>
      <c r="D37" s="142" t="s">
        <v>50</v>
      </c>
      <c r="E37" s="205" t="s">
        <v>410</v>
      </c>
      <c r="F37" s="207">
        <v>3</v>
      </c>
      <c r="G37" s="206">
        <v>9</v>
      </c>
      <c r="H37" s="207"/>
      <c r="I37" s="206"/>
      <c r="K37" s="123">
        <f t="shared" si="0"/>
        <v>5</v>
      </c>
      <c r="L37" s="197">
        <f t="shared" si="1"/>
        <v>133.66666666666666</v>
      </c>
    </row>
    <row r="38" spans="1:12" ht="37.9" customHeight="1" x14ac:dyDescent="0.25">
      <c r="A38" s="152"/>
      <c r="B38" s="143" t="s">
        <v>287</v>
      </c>
      <c r="C38" s="143" t="s">
        <v>286</v>
      </c>
      <c r="D38" s="142" t="s">
        <v>50</v>
      </c>
      <c r="E38" s="205" t="s">
        <v>410</v>
      </c>
      <c r="F38" s="207">
        <v>2</v>
      </c>
      <c r="G38" s="206">
        <v>7</v>
      </c>
      <c r="H38" s="207"/>
      <c r="I38" s="206"/>
      <c r="K38" s="123">
        <f t="shared" si="0"/>
        <v>5</v>
      </c>
      <c r="L38" s="197">
        <f t="shared" si="1"/>
        <v>135</v>
      </c>
    </row>
    <row r="39" spans="1:12" ht="37.9" customHeight="1" thickBot="1" x14ac:dyDescent="0.3">
      <c r="A39" s="152" t="s">
        <v>11</v>
      </c>
      <c r="B39" s="151" t="s">
        <v>285</v>
      </c>
      <c r="C39" s="151" t="s">
        <v>284</v>
      </c>
      <c r="D39" s="174" t="s">
        <v>43</v>
      </c>
      <c r="E39" s="217" t="s">
        <v>410</v>
      </c>
      <c r="F39" s="204">
        <v>3</v>
      </c>
      <c r="G39" s="203">
        <v>9</v>
      </c>
      <c r="H39" s="204"/>
      <c r="I39" s="203"/>
      <c r="K39" s="123">
        <f t="shared" si="0"/>
        <v>5</v>
      </c>
      <c r="L39" s="197">
        <f t="shared" si="1"/>
        <v>133.66666666666666</v>
      </c>
    </row>
    <row r="40" spans="1:12" ht="37.9" customHeight="1" x14ac:dyDescent="0.25">
      <c r="A40" s="152" t="s">
        <v>11</v>
      </c>
      <c r="B40" s="173" t="s">
        <v>283</v>
      </c>
      <c r="C40" s="173" t="s">
        <v>282</v>
      </c>
      <c r="D40" s="172" t="s">
        <v>50</v>
      </c>
      <c r="E40" s="216" t="s">
        <v>409</v>
      </c>
      <c r="F40" s="215">
        <v>0</v>
      </c>
      <c r="G40" s="214">
        <v>3</v>
      </c>
      <c r="H40" s="215"/>
      <c r="I40" s="214"/>
      <c r="K40" s="123">
        <f t="shared" si="0"/>
        <v>3.5</v>
      </c>
      <c r="L40" s="197">
        <f t="shared" si="1"/>
        <v>137.83333333333334</v>
      </c>
    </row>
    <row r="41" spans="1:12" ht="37.9" customHeight="1" x14ac:dyDescent="0.25">
      <c r="A41" s="152"/>
      <c r="B41" s="166" t="s">
        <v>281</v>
      </c>
      <c r="C41" s="166" t="s">
        <v>280</v>
      </c>
      <c r="D41" s="165" t="s">
        <v>43</v>
      </c>
      <c r="E41" s="213">
        <v>9</v>
      </c>
      <c r="F41" s="212">
        <v>2</v>
      </c>
      <c r="G41" s="211">
        <v>8</v>
      </c>
      <c r="H41" s="212"/>
      <c r="I41" s="211"/>
      <c r="K41" s="123">
        <f t="shared" si="0"/>
        <v>4.5</v>
      </c>
      <c r="L41" s="197">
        <f t="shared" si="1"/>
        <v>134.08333333333334</v>
      </c>
    </row>
    <row r="42" spans="1:12" ht="37.9" customHeight="1" x14ac:dyDescent="0.25">
      <c r="A42" s="152"/>
      <c r="B42" s="159" t="s">
        <v>279</v>
      </c>
      <c r="C42" s="159" t="s">
        <v>278</v>
      </c>
      <c r="D42" s="158" t="s">
        <v>43</v>
      </c>
      <c r="E42" s="210">
        <v>8</v>
      </c>
      <c r="F42" s="209">
        <v>1</v>
      </c>
      <c r="G42" s="208">
        <v>6</v>
      </c>
      <c r="H42" s="209"/>
      <c r="I42" s="208"/>
      <c r="K42" s="123">
        <f t="shared" si="0"/>
        <v>4</v>
      </c>
      <c r="L42" s="197">
        <f t="shared" si="1"/>
        <v>135</v>
      </c>
    </row>
    <row r="43" spans="1:12" ht="37.9" customHeight="1" x14ac:dyDescent="0.25">
      <c r="A43" s="152"/>
      <c r="B43" s="159" t="s">
        <v>277</v>
      </c>
      <c r="C43" s="159" t="s">
        <v>276</v>
      </c>
      <c r="D43" s="158" t="s">
        <v>50</v>
      </c>
      <c r="E43" s="210">
        <v>5</v>
      </c>
      <c r="F43" s="209">
        <v>0</v>
      </c>
      <c r="G43" s="208">
        <v>0</v>
      </c>
      <c r="H43" s="209"/>
      <c r="I43" s="208"/>
      <c r="K43" s="123">
        <f t="shared" si="0"/>
        <v>2.5</v>
      </c>
      <c r="L43" s="197">
        <v>138</v>
      </c>
    </row>
    <row r="44" spans="1:12" ht="37.9" customHeight="1" x14ac:dyDescent="0.25">
      <c r="A44" s="152"/>
      <c r="B44" s="159" t="s">
        <v>275</v>
      </c>
      <c r="C44" s="159" t="s">
        <v>274</v>
      </c>
      <c r="D44" s="158" t="s">
        <v>50</v>
      </c>
      <c r="E44" s="210">
        <v>10</v>
      </c>
      <c r="F44" s="209">
        <v>3</v>
      </c>
      <c r="G44" s="208">
        <v>9</v>
      </c>
      <c r="H44" s="209"/>
      <c r="I44" s="208"/>
      <c r="K44" s="123">
        <f t="shared" si="0"/>
        <v>5</v>
      </c>
      <c r="L44" s="197">
        <f t="shared" si="1"/>
        <v>133.66666666666666</v>
      </c>
    </row>
    <row r="45" spans="1:12" ht="37.9" customHeight="1" x14ac:dyDescent="0.25">
      <c r="A45" s="152"/>
      <c r="B45" s="143" t="s">
        <v>273</v>
      </c>
      <c r="C45" s="143" t="s">
        <v>272</v>
      </c>
      <c r="D45" s="142" t="s">
        <v>43</v>
      </c>
      <c r="E45" s="205">
        <v>10</v>
      </c>
      <c r="F45" s="207">
        <v>3</v>
      </c>
      <c r="G45" s="206">
        <v>10</v>
      </c>
      <c r="H45" s="207"/>
      <c r="I45" s="206"/>
      <c r="K45" s="123">
        <f t="shared" si="0"/>
        <v>5</v>
      </c>
      <c r="L45" s="197">
        <f t="shared" si="1"/>
        <v>133.42857142857142</v>
      </c>
    </row>
    <row r="46" spans="1:12" ht="37.9" customHeight="1" x14ac:dyDescent="0.25">
      <c r="A46" s="123"/>
      <c r="B46" s="143" t="s">
        <v>271</v>
      </c>
      <c r="C46" s="143" t="s">
        <v>270</v>
      </c>
      <c r="D46" s="142" t="s">
        <v>43</v>
      </c>
      <c r="E46" s="205">
        <v>5</v>
      </c>
      <c r="F46" s="207">
        <v>0</v>
      </c>
      <c r="G46" s="206">
        <v>5</v>
      </c>
      <c r="H46" s="207"/>
      <c r="I46" s="218"/>
      <c r="K46" s="123">
        <f t="shared" si="0"/>
        <v>2.5</v>
      </c>
      <c r="L46" s="197">
        <f t="shared" si="1"/>
        <v>134.5</v>
      </c>
    </row>
    <row r="47" spans="1:12" ht="37.9" customHeight="1" thickBot="1" x14ac:dyDescent="0.3">
      <c r="A47" s="145" t="s">
        <v>269</v>
      </c>
      <c r="B47" s="151" t="s">
        <v>268</v>
      </c>
      <c r="C47" s="151" t="s">
        <v>267</v>
      </c>
      <c r="D47" s="174" t="s">
        <v>50</v>
      </c>
      <c r="E47" s="217">
        <v>6</v>
      </c>
      <c r="F47" s="204">
        <v>0</v>
      </c>
      <c r="G47" s="203">
        <v>4</v>
      </c>
      <c r="H47" s="204"/>
      <c r="I47" s="203"/>
      <c r="K47" s="123">
        <f t="shared" si="0"/>
        <v>3</v>
      </c>
      <c r="L47" s="197">
        <f t="shared" si="1"/>
        <v>135.75</v>
      </c>
    </row>
    <row r="48" spans="1:12" ht="37.9" customHeight="1" x14ac:dyDescent="0.25">
      <c r="A48" s="145" t="s">
        <v>266</v>
      </c>
      <c r="B48" s="173" t="s">
        <v>265</v>
      </c>
      <c r="C48" s="173" t="s">
        <v>264</v>
      </c>
      <c r="D48" s="172" t="s">
        <v>50</v>
      </c>
      <c r="E48" s="216">
        <v>8</v>
      </c>
      <c r="F48" s="215">
        <v>1</v>
      </c>
      <c r="G48" s="214">
        <v>5</v>
      </c>
      <c r="H48" s="215"/>
      <c r="I48" s="214"/>
      <c r="K48" s="123">
        <f t="shared" si="0"/>
        <v>4</v>
      </c>
      <c r="L48" s="197">
        <f t="shared" si="1"/>
        <v>135.75</v>
      </c>
    </row>
    <row r="49" spans="1:12" ht="37.9" customHeight="1" x14ac:dyDescent="0.25">
      <c r="A49" s="145"/>
      <c r="B49" s="166" t="s">
        <v>263</v>
      </c>
      <c r="C49" s="166" t="s">
        <v>262</v>
      </c>
      <c r="D49" s="165" t="s">
        <v>43</v>
      </c>
      <c r="E49" s="213">
        <v>6</v>
      </c>
      <c r="F49" s="212">
        <v>0</v>
      </c>
      <c r="G49" s="211">
        <v>4</v>
      </c>
      <c r="H49" s="212"/>
      <c r="I49" s="211"/>
      <c r="K49" s="123">
        <f t="shared" si="0"/>
        <v>3</v>
      </c>
      <c r="L49" s="197">
        <f t="shared" si="1"/>
        <v>135.75</v>
      </c>
    </row>
    <row r="50" spans="1:12" ht="37.9" customHeight="1" x14ac:dyDescent="0.25">
      <c r="A50" s="175"/>
      <c r="B50" s="159" t="s">
        <v>261</v>
      </c>
      <c r="C50" s="159" t="s">
        <v>260</v>
      </c>
      <c r="D50" s="158" t="s">
        <v>43</v>
      </c>
      <c r="E50" s="210">
        <v>9</v>
      </c>
      <c r="F50" s="209">
        <v>2</v>
      </c>
      <c r="G50" s="208">
        <v>6</v>
      </c>
      <c r="H50" s="209"/>
      <c r="I50" s="208"/>
      <c r="K50" s="123">
        <f t="shared" si="0"/>
        <v>4.5</v>
      </c>
      <c r="L50" s="197">
        <f t="shared" si="1"/>
        <v>135.125</v>
      </c>
    </row>
    <row r="51" spans="1:12" ht="37.9" customHeight="1" x14ac:dyDescent="0.25">
      <c r="A51" s="152"/>
      <c r="B51" s="159" t="s">
        <v>259</v>
      </c>
      <c r="C51" s="159" t="s">
        <v>258</v>
      </c>
      <c r="D51" s="158" t="s">
        <v>50</v>
      </c>
      <c r="E51" s="210">
        <v>10</v>
      </c>
      <c r="F51" s="209">
        <v>3</v>
      </c>
      <c r="G51" s="208">
        <v>8</v>
      </c>
      <c r="H51" s="209"/>
      <c r="I51" s="208"/>
      <c r="K51" s="123">
        <f t="shared" si="0"/>
        <v>5</v>
      </c>
      <c r="L51" s="197">
        <f t="shared" si="1"/>
        <v>134</v>
      </c>
    </row>
    <row r="52" spans="1:12" ht="37.9" customHeight="1" x14ac:dyDescent="0.25">
      <c r="A52" s="152"/>
      <c r="B52" s="159" t="s">
        <v>257</v>
      </c>
      <c r="C52" s="159" t="s">
        <v>256</v>
      </c>
      <c r="D52" s="158" t="s">
        <v>50</v>
      </c>
      <c r="E52" s="210">
        <v>8</v>
      </c>
      <c r="F52" s="209">
        <v>1</v>
      </c>
      <c r="G52" s="208">
        <v>6</v>
      </c>
      <c r="H52" s="209"/>
      <c r="I52" s="208"/>
      <c r="K52" s="123">
        <f t="shared" si="0"/>
        <v>4</v>
      </c>
      <c r="L52" s="197">
        <f t="shared" si="1"/>
        <v>135</v>
      </c>
    </row>
    <row r="53" spans="1:12" ht="37.9" customHeight="1" x14ac:dyDescent="0.25">
      <c r="A53" s="152"/>
      <c r="B53" s="143" t="s">
        <v>255</v>
      </c>
      <c r="C53" s="143" t="s">
        <v>254</v>
      </c>
      <c r="D53" s="142" t="s">
        <v>43</v>
      </c>
      <c r="E53" s="205">
        <v>8</v>
      </c>
      <c r="F53" s="207">
        <v>1</v>
      </c>
      <c r="G53" s="206">
        <v>6</v>
      </c>
      <c r="H53" s="207"/>
      <c r="I53" s="206"/>
      <c r="K53" s="123">
        <f t="shared" si="0"/>
        <v>4</v>
      </c>
      <c r="L53" s="197">
        <f t="shared" si="1"/>
        <v>135</v>
      </c>
    </row>
    <row r="54" spans="1:12" ht="37.9" customHeight="1" x14ac:dyDescent="0.25">
      <c r="B54" s="143" t="s">
        <v>253</v>
      </c>
      <c r="C54" s="143" t="s">
        <v>252</v>
      </c>
      <c r="D54" s="142" t="s">
        <v>43</v>
      </c>
      <c r="E54" s="205">
        <v>9</v>
      </c>
      <c r="F54" s="207">
        <v>3</v>
      </c>
      <c r="G54" s="206">
        <v>8</v>
      </c>
      <c r="H54" s="207"/>
      <c r="I54" s="206"/>
      <c r="K54" s="123">
        <f t="shared" si="0"/>
        <v>4.5</v>
      </c>
      <c r="L54" s="197">
        <f t="shared" si="1"/>
        <v>133.5</v>
      </c>
    </row>
    <row r="55" spans="1:12" ht="37.9" customHeight="1" thickBot="1" x14ac:dyDescent="0.3">
      <c r="A55" s="152" t="s">
        <v>11</v>
      </c>
      <c r="B55" s="151" t="s">
        <v>251</v>
      </c>
      <c r="C55" s="151" t="s">
        <v>250</v>
      </c>
      <c r="D55" s="174" t="s">
        <v>50</v>
      </c>
      <c r="E55" s="217">
        <v>6</v>
      </c>
      <c r="F55" s="204">
        <v>0</v>
      </c>
      <c r="G55" s="203">
        <v>4</v>
      </c>
      <c r="H55" s="204"/>
      <c r="I55" s="203"/>
      <c r="K55" s="123">
        <f t="shared" si="0"/>
        <v>3</v>
      </c>
      <c r="L55" s="197">
        <f t="shared" si="1"/>
        <v>135.75</v>
      </c>
    </row>
    <row r="56" spans="1:12" ht="37.9" customHeight="1" x14ac:dyDescent="0.25">
      <c r="A56" s="152" t="s">
        <v>11</v>
      </c>
      <c r="B56" s="173" t="s">
        <v>249</v>
      </c>
      <c r="C56" s="173" t="s">
        <v>248</v>
      </c>
      <c r="D56" s="172" t="s">
        <v>43</v>
      </c>
      <c r="E56" s="216">
        <v>9</v>
      </c>
      <c r="F56" s="215">
        <v>0</v>
      </c>
      <c r="G56" s="214">
        <v>4</v>
      </c>
      <c r="H56" s="215"/>
      <c r="I56" s="214"/>
      <c r="K56" s="123">
        <f t="shared" si="0"/>
        <v>4.5</v>
      </c>
      <c r="L56" s="197">
        <f t="shared" si="1"/>
        <v>137.625</v>
      </c>
    </row>
    <row r="57" spans="1:12" ht="37.9" customHeight="1" x14ac:dyDescent="0.25">
      <c r="A57" s="152"/>
      <c r="B57" s="166" t="s">
        <v>247</v>
      </c>
      <c r="C57" s="166" t="s">
        <v>246</v>
      </c>
      <c r="D57" s="165" t="s">
        <v>50</v>
      </c>
      <c r="E57" s="213">
        <v>9</v>
      </c>
      <c r="F57" s="212">
        <v>1</v>
      </c>
      <c r="G57" s="211">
        <v>6</v>
      </c>
      <c r="H57" s="212"/>
      <c r="I57" s="211"/>
      <c r="K57" s="123">
        <f t="shared" si="0"/>
        <v>4.5</v>
      </c>
      <c r="L57" s="197">
        <f t="shared" si="1"/>
        <v>135.5</v>
      </c>
    </row>
    <row r="58" spans="1:12" ht="37.9" customHeight="1" x14ac:dyDescent="0.25">
      <c r="A58" s="152"/>
      <c r="B58" s="159" t="s">
        <v>245</v>
      </c>
      <c r="C58" s="159" t="s">
        <v>244</v>
      </c>
      <c r="D58" s="158" t="s">
        <v>50</v>
      </c>
      <c r="E58" s="210">
        <v>10</v>
      </c>
      <c r="F58" s="209">
        <v>3</v>
      </c>
      <c r="G58" s="208">
        <v>7</v>
      </c>
      <c r="H58" s="209"/>
      <c r="I58" s="208"/>
      <c r="K58" s="123">
        <f t="shared" si="0"/>
        <v>5</v>
      </c>
      <c r="L58" s="197">
        <f t="shared" si="1"/>
        <v>134.5</v>
      </c>
    </row>
    <row r="59" spans="1:12" ht="37.9" customHeight="1" x14ac:dyDescent="0.25">
      <c r="A59" s="152"/>
      <c r="B59" s="159" t="s">
        <v>243</v>
      </c>
      <c r="C59" s="159" t="s">
        <v>242</v>
      </c>
      <c r="D59" s="158" t="s">
        <v>43</v>
      </c>
      <c r="E59" s="210">
        <v>9</v>
      </c>
      <c r="F59" s="209">
        <v>2</v>
      </c>
      <c r="G59" s="208">
        <v>6</v>
      </c>
      <c r="H59" s="209"/>
      <c r="I59" s="208"/>
      <c r="K59" s="123">
        <f t="shared" si="0"/>
        <v>4.5</v>
      </c>
      <c r="L59" s="197">
        <f t="shared" si="1"/>
        <v>135.125</v>
      </c>
    </row>
    <row r="60" spans="1:12" ht="37.9" customHeight="1" x14ac:dyDescent="0.25">
      <c r="A60" s="152"/>
      <c r="B60" s="159" t="s">
        <v>241</v>
      </c>
      <c r="C60" s="159" t="s">
        <v>240</v>
      </c>
      <c r="D60" s="158" t="s">
        <v>43</v>
      </c>
      <c r="E60" s="210">
        <v>11</v>
      </c>
      <c r="F60" s="209">
        <v>3</v>
      </c>
      <c r="G60" s="208">
        <v>9</v>
      </c>
      <c r="H60" s="209"/>
      <c r="I60" s="208"/>
      <c r="K60" s="123">
        <f t="shared" si="0"/>
        <v>5.5</v>
      </c>
      <c r="L60" s="197">
        <f t="shared" si="1"/>
        <v>134.08333333333334</v>
      </c>
    </row>
    <row r="61" spans="1:12" ht="37.9" customHeight="1" x14ac:dyDescent="0.25">
      <c r="A61" s="152"/>
      <c r="B61" s="143" t="s">
        <v>239</v>
      </c>
      <c r="C61" s="143" t="s">
        <v>238</v>
      </c>
      <c r="D61" s="142" t="s">
        <v>50</v>
      </c>
      <c r="E61" s="205">
        <v>7</v>
      </c>
      <c r="F61" s="207">
        <v>0</v>
      </c>
      <c r="G61" s="206">
        <v>4</v>
      </c>
      <c r="H61" s="207"/>
      <c r="I61" s="206"/>
      <c r="K61" s="123">
        <f t="shared" si="0"/>
        <v>3.5</v>
      </c>
      <c r="L61" s="197">
        <f t="shared" si="1"/>
        <v>136.375</v>
      </c>
    </row>
    <row r="62" spans="1:12" ht="37.9" customHeight="1" thickBot="1" x14ac:dyDescent="0.3">
      <c r="A62" s="152"/>
      <c r="B62" s="151" t="s">
        <v>237</v>
      </c>
      <c r="C62" s="143" t="s">
        <v>236</v>
      </c>
      <c r="D62" s="142" t="s">
        <v>50</v>
      </c>
      <c r="E62" s="205">
        <v>4</v>
      </c>
      <c r="F62" s="207">
        <v>0</v>
      </c>
      <c r="G62" s="206">
        <v>4</v>
      </c>
      <c r="H62" s="207"/>
      <c r="I62" s="206"/>
      <c r="K62" s="123">
        <f t="shared" si="0"/>
        <v>2</v>
      </c>
      <c r="L62" s="197">
        <f t="shared" si="1"/>
        <v>134.5</v>
      </c>
    </row>
    <row r="63" spans="1:12" ht="37.9" customHeight="1" thickBot="1" x14ac:dyDescent="0.3">
      <c r="A63" s="145" t="s">
        <v>235</v>
      </c>
      <c r="B63" s="144" t="s">
        <v>234</v>
      </c>
      <c r="C63" s="143" t="s">
        <v>233</v>
      </c>
      <c r="D63" s="142" t="s">
        <v>43</v>
      </c>
      <c r="E63" s="205">
        <v>9</v>
      </c>
      <c r="F63" s="204">
        <v>1</v>
      </c>
      <c r="G63" s="203">
        <v>5</v>
      </c>
      <c r="H63" s="204"/>
      <c r="I63" s="203"/>
      <c r="K63" s="123">
        <f t="shared" si="0"/>
        <v>4.5</v>
      </c>
      <c r="L63" s="197">
        <f t="shared" si="1"/>
        <v>136.375</v>
      </c>
    </row>
    <row r="64" spans="1:12" x14ac:dyDescent="0.25">
      <c r="G64" s="202"/>
      <c r="H64" s="201"/>
    </row>
    <row r="65" spans="3:9" ht="18.75" x14ac:dyDescent="0.3">
      <c r="C65" s="130"/>
      <c r="D65" s="129"/>
      <c r="E65" s="200"/>
      <c r="F65" s="126"/>
      <c r="G65" s="126"/>
      <c r="H65" s="126"/>
      <c r="I65" s="126"/>
    </row>
    <row r="66" spans="3:9" ht="18.75" x14ac:dyDescent="0.3">
      <c r="C66" s="130"/>
      <c r="D66" s="129"/>
      <c r="E66" s="200"/>
      <c r="F66" s="126"/>
      <c r="G66" s="126"/>
      <c r="H66" s="126"/>
      <c r="I66" s="126"/>
    </row>
    <row r="67" spans="3:9" ht="18.75" x14ac:dyDescent="0.3">
      <c r="C67" s="130"/>
      <c r="D67" s="129"/>
      <c r="E67" s="200"/>
      <c r="F67" s="126"/>
      <c r="G67" s="126"/>
      <c r="H67" s="126"/>
      <c r="I67" s="126"/>
    </row>
  </sheetData>
  <conditionalFormatting sqref="D16:E63">
    <cfRule type="cellIs" dxfId="1" priority="1" operator="equal">
      <formula>"NG3195"</formula>
    </cfRule>
    <cfRule type="cellIs" dxfId="0" priority="2" operator="equal">
      <formula>"NG4936"</formula>
    </cfRule>
  </conditionalFormatting>
  <printOptions horizontalCentered="1"/>
  <pageMargins left="0.5" right="0.5" top="0.5" bottom="0.5" header="0" footer="0.25"/>
  <pageSetup scale="80" fitToHeight="2" orientation="portrait" r:id="rId1"/>
  <headerFooter>
    <oddFooter xml:space="preserve">&amp;R&amp;9smm - &amp;Z&amp;F&amp;P of &amp;N&amp;11
  </oddFooter>
  </headerFooter>
  <rowBreaks count="2" manualBreakCount="2">
    <brk id="31" max="16383" man="1"/>
    <brk id="4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2714-177E-44F6-A2FB-12735871F749}">
  <dimension ref="A1:S33"/>
  <sheetViews>
    <sheetView zoomScaleNormal="100" zoomScaleSheetLayoutView="100" workbookViewId="0">
      <selection activeCell="I7" sqref="I7:M30"/>
    </sheetView>
  </sheetViews>
  <sheetFormatPr defaultRowHeight="12.75" x14ac:dyDescent="0.2"/>
  <cols>
    <col min="1" max="1" width="10.140625" customWidth="1"/>
    <col min="2" max="2" width="4.7109375" style="1" customWidth="1"/>
    <col min="3" max="3" width="2.7109375" style="2" customWidth="1"/>
    <col min="4" max="5" width="7.7109375" customWidth="1"/>
    <col min="6" max="6" width="11.85546875" customWidth="1"/>
    <col min="7" max="7" width="9.140625" customWidth="1"/>
    <col min="8" max="8" width="3.85546875" customWidth="1"/>
    <col min="9" max="9" width="4.7109375" customWidth="1"/>
    <col min="10" max="10" width="2.7109375" customWidth="1"/>
    <col min="11" max="13" width="7.7109375" customWidth="1"/>
    <col min="14" max="14" width="9.140625" customWidth="1"/>
  </cols>
  <sheetData>
    <row r="1" spans="1:14" ht="15.75" x14ac:dyDescent="0.25">
      <c r="A1" s="6">
        <v>2021</v>
      </c>
      <c r="B1" s="8" t="s">
        <v>25</v>
      </c>
      <c r="C1" s="8"/>
      <c r="D1" s="8" t="s">
        <v>6</v>
      </c>
      <c r="I1" s="4" t="s">
        <v>8</v>
      </c>
      <c r="J1" s="252" t="s">
        <v>434</v>
      </c>
      <c r="K1" s="251"/>
    </row>
    <row r="2" spans="1:14" ht="6.6" customHeight="1" x14ac:dyDescent="0.25">
      <c r="A2" s="6"/>
      <c r="B2" s="7"/>
      <c r="C2" s="8"/>
      <c r="I2" s="4"/>
    </row>
    <row r="3" spans="1:14" x14ac:dyDescent="0.2">
      <c r="B3" s="5" t="s">
        <v>433</v>
      </c>
      <c r="I3" s="4" t="s">
        <v>13</v>
      </c>
      <c r="J3" t="s">
        <v>51</v>
      </c>
    </row>
    <row r="4" spans="1:14" ht="43.15" customHeight="1" x14ac:dyDescent="0.2">
      <c r="B4" s="279" t="s">
        <v>432</v>
      </c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</row>
    <row r="5" spans="1:14" ht="40.15" customHeight="1" x14ac:dyDescent="0.2">
      <c r="B5" s="5"/>
      <c r="D5" s="249" t="s">
        <v>431</v>
      </c>
      <c r="E5" s="249" t="s">
        <v>32</v>
      </c>
      <c r="F5" s="249" t="s">
        <v>429</v>
      </c>
      <c r="G5" s="249"/>
      <c r="H5" s="3"/>
      <c r="I5" s="3"/>
      <c r="J5" s="249"/>
      <c r="K5" s="249" t="s">
        <v>431</v>
      </c>
      <c r="L5" s="249" t="s">
        <v>430</v>
      </c>
      <c r="M5" s="249" t="s">
        <v>429</v>
      </c>
    </row>
    <row r="6" spans="1:14" ht="22.15" customHeight="1" thickBot="1" x14ac:dyDescent="0.25">
      <c r="B6" s="278" t="s">
        <v>7</v>
      </c>
      <c r="C6" s="278"/>
      <c r="D6" s="248" t="s">
        <v>428</v>
      </c>
      <c r="E6" s="248" t="s">
        <v>428</v>
      </c>
      <c r="F6" s="248" t="s">
        <v>428</v>
      </c>
      <c r="G6" s="248" t="s">
        <v>427</v>
      </c>
      <c r="H6" s="247"/>
      <c r="I6" s="278" t="s">
        <v>7</v>
      </c>
      <c r="J6" s="278"/>
      <c r="K6" s="246" t="s">
        <v>428</v>
      </c>
      <c r="L6" s="246" t="s">
        <v>428</v>
      </c>
      <c r="M6" s="246" t="s">
        <v>428</v>
      </c>
      <c r="N6" s="246" t="s">
        <v>427</v>
      </c>
    </row>
    <row r="7" spans="1:14" ht="22.15" customHeight="1" x14ac:dyDescent="0.2">
      <c r="B7" s="11" t="s">
        <v>0</v>
      </c>
      <c r="C7" s="242">
        <v>1</v>
      </c>
      <c r="D7" s="69">
        <v>12</v>
      </c>
      <c r="E7" s="69">
        <v>11</v>
      </c>
      <c r="F7" s="69">
        <v>14</v>
      </c>
      <c r="G7" s="245">
        <f t="shared" ref="G7:G30" si="0">(AVERAGE(D7:F7))/1.5</f>
        <v>8.2222222222222232</v>
      </c>
      <c r="I7" s="244" t="s">
        <v>35</v>
      </c>
      <c r="J7" s="243">
        <v>4</v>
      </c>
      <c r="K7" s="9">
        <v>12</v>
      </c>
      <c r="L7" s="9">
        <v>10</v>
      </c>
      <c r="M7" s="9">
        <v>9</v>
      </c>
      <c r="N7" s="241">
        <f t="shared" ref="N7:N30" si="1">(AVERAGE(K7:M7))/1.5</f>
        <v>6.8888888888888893</v>
      </c>
    </row>
    <row r="8" spans="1:14" ht="22.15" customHeight="1" x14ac:dyDescent="0.2">
      <c r="B8" s="239" t="s">
        <v>0</v>
      </c>
      <c r="C8" s="238">
        <v>2</v>
      </c>
      <c r="D8" s="240">
        <v>15</v>
      </c>
      <c r="E8" s="240">
        <v>13</v>
      </c>
      <c r="F8" s="240">
        <v>13</v>
      </c>
      <c r="G8" s="236">
        <f t="shared" si="0"/>
        <v>9.1111111111111107</v>
      </c>
      <c r="I8" s="239" t="s">
        <v>35</v>
      </c>
      <c r="J8" s="238">
        <v>3</v>
      </c>
      <c r="K8" s="240">
        <v>16</v>
      </c>
      <c r="L8" s="240">
        <v>14</v>
      </c>
      <c r="M8" s="240">
        <v>12</v>
      </c>
      <c r="N8" s="236">
        <f t="shared" si="1"/>
        <v>9.3333333333333339</v>
      </c>
    </row>
    <row r="9" spans="1:14" ht="22.15" customHeight="1" x14ac:dyDescent="0.2">
      <c r="B9" s="239" t="s">
        <v>0</v>
      </c>
      <c r="C9" s="238">
        <v>3</v>
      </c>
      <c r="D9" s="240">
        <v>11</v>
      </c>
      <c r="E9" s="240">
        <v>9</v>
      </c>
      <c r="F9" s="240">
        <v>13</v>
      </c>
      <c r="G9" s="236">
        <f t="shared" si="0"/>
        <v>7.333333333333333</v>
      </c>
      <c r="I9" s="239" t="s">
        <v>35</v>
      </c>
      <c r="J9" s="238">
        <v>2</v>
      </c>
      <c r="K9" s="240">
        <v>13</v>
      </c>
      <c r="L9" s="240">
        <v>15</v>
      </c>
      <c r="M9" s="240">
        <v>14</v>
      </c>
      <c r="N9" s="236">
        <f t="shared" si="1"/>
        <v>9.3333333333333339</v>
      </c>
    </row>
    <row r="10" spans="1:14" ht="22.15" customHeight="1" thickBot="1" x14ac:dyDescent="0.25">
      <c r="B10" s="235" t="s">
        <v>0</v>
      </c>
      <c r="C10" s="234">
        <v>4</v>
      </c>
      <c r="D10" s="10">
        <v>12</v>
      </c>
      <c r="E10" s="10">
        <v>14</v>
      </c>
      <c r="F10" s="10">
        <v>8</v>
      </c>
      <c r="G10" s="233">
        <f t="shared" si="0"/>
        <v>7.5555555555555562</v>
      </c>
      <c r="I10" s="235" t="s">
        <v>35</v>
      </c>
      <c r="J10" s="234">
        <v>1</v>
      </c>
      <c r="K10" s="10">
        <v>9</v>
      </c>
      <c r="L10" s="10">
        <v>13</v>
      </c>
      <c r="M10" s="10">
        <v>13</v>
      </c>
      <c r="N10" s="233">
        <f t="shared" si="1"/>
        <v>7.7777777777777777</v>
      </c>
    </row>
    <row r="11" spans="1:14" ht="22.15" customHeight="1" x14ac:dyDescent="0.2">
      <c r="B11" s="11" t="s">
        <v>1</v>
      </c>
      <c r="C11" s="242">
        <v>4</v>
      </c>
      <c r="D11" s="9">
        <v>10</v>
      </c>
      <c r="E11" s="9">
        <v>13</v>
      </c>
      <c r="F11" s="9">
        <v>19</v>
      </c>
      <c r="G11" s="241">
        <f t="shared" si="0"/>
        <v>9.3333333333333339</v>
      </c>
      <c r="I11" s="11" t="s">
        <v>36</v>
      </c>
      <c r="J11" s="242">
        <v>1</v>
      </c>
      <c r="K11" s="9">
        <v>14</v>
      </c>
      <c r="L11" s="9">
        <v>14</v>
      </c>
      <c r="M11" s="9">
        <v>15</v>
      </c>
      <c r="N11" s="241">
        <f t="shared" si="1"/>
        <v>9.5555555555555554</v>
      </c>
    </row>
    <row r="12" spans="1:14" ht="22.15" customHeight="1" x14ac:dyDescent="0.2">
      <c r="B12" s="239" t="s">
        <v>1</v>
      </c>
      <c r="C12" s="238">
        <v>3</v>
      </c>
      <c r="D12" s="240">
        <v>16</v>
      </c>
      <c r="E12" s="240">
        <v>16</v>
      </c>
      <c r="F12" s="240">
        <v>13</v>
      </c>
      <c r="G12" s="236">
        <f t="shared" si="0"/>
        <v>10</v>
      </c>
      <c r="I12" s="239" t="s">
        <v>36</v>
      </c>
      <c r="J12" s="238">
        <v>2</v>
      </c>
      <c r="K12" s="240">
        <v>13</v>
      </c>
      <c r="L12" s="240">
        <v>17</v>
      </c>
      <c r="M12" s="240">
        <v>16</v>
      </c>
      <c r="N12" s="236">
        <f t="shared" si="1"/>
        <v>10.222222222222223</v>
      </c>
    </row>
    <row r="13" spans="1:14" ht="22.15" customHeight="1" x14ac:dyDescent="0.2">
      <c r="B13" s="239" t="s">
        <v>1</v>
      </c>
      <c r="C13" s="238">
        <v>2</v>
      </c>
      <c r="D13" s="240">
        <v>13</v>
      </c>
      <c r="E13" s="240">
        <v>12</v>
      </c>
      <c r="F13" s="240">
        <v>11</v>
      </c>
      <c r="G13" s="236">
        <f t="shared" si="0"/>
        <v>8</v>
      </c>
      <c r="I13" s="239" t="s">
        <v>36</v>
      </c>
      <c r="J13" s="238">
        <v>3</v>
      </c>
      <c r="K13" s="240">
        <v>10</v>
      </c>
      <c r="L13" s="240">
        <v>14</v>
      </c>
      <c r="M13" s="240">
        <v>15</v>
      </c>
      <c r="N13" s="236">
        <f t="shared" si="1"/>
        <v>8.6666666666666661</v>
      </c>
    </row>
    <row r="14" spans="1:14" ht="22.15" customHeight="1" thickBot="1" x14ac:dyDescent="0.25">
      <c r="B14" s="235" t="s">
        <v>1</v>
      </c>
      <c r="C14" s="234">
        <v>1</v>
      </c>
      <c r="D14" s="10">
        <v>14</v>
      </c>
      <c r="E14" s="10">
        <v>10</v>
      </c>
      <c r="F14" s="10">
        <v>13</v>
      </c>
      <c r="G14" s="233">
        <f t="shared" si="0"/>
        <v>8.2222222222222232</v>
      </c>
      <c r="I14" s="235" t="s">
        <v>36</v>
      </c>
      <c r="J14" s="234">
        <v>4</v>
      </c>
      <c r="K14" s="10">
        <v>15</v>
      </c>
      <c r="L14" s="10">
        <v>11</v>
      </c>
      <c r="M14" s="10">
        <v>14</v>
      </c>
      <c r="N14" s="233">
        <f t="shared" si="1"/>
        <v>8.8888888888888893</v>
      </c>
    </row>
    <row r="15" spans="1:14" ht="22.15" customHeight="1" x14ac:dyDescent="0.2">
      <c r="B15" s="11" t="s">
        <v>2</v>
      </c>
      <c r="C15" s="242">
        <v>1</v>
      </c>
      <c r="D15" s="9">
        <v>16</v>
      </c>
      <c r="E15" s="9">
        <v>18</v>
      </c>
      <c r="F15" s="9">
        <v>14</v>
      </c>
      <c r="G15" s="241">
        <f t="shared" si="0"/>
        <v>10.666666666666666</v>
      </c>
      <c r="I15" s="11" t="s">
        <v>37</v>
      </c>
      <c r="J15" s="242">
        <v>4</v>
      </c>
      <c r="K15" s="9">
        <v>17</v>
      </c>
      <c r="L15" s="9">
        <v>12</v>
      </c>
      <c r="M15" s="9">
        <v>13</v>
      </c>
      <c r="N15" s="241">
        <f t="shared" si="1"/>
        <v>9.3333333333333339</v>
      </c>
    </row>
    <row r="16" spans="1:14" ht="22.15" customHeight="1" x14ac:dyDescent="0.2">
      <c r="B16" s="239" t="s">
        <v>2</v>
      </c>
      <c r="C16" s="238">
        <v>2</v>
      </c>
      <c r="D16" s="240">
        <v>17</v>
      </c>
      <c r="E16" s="240">
        <v>14</v>
      </c>
      <c r="F16" s="240">
        <v>15</v>
      </c>
      <c r="G16" s="236">
        <f t="shared" si="0"/>
        <v>10.222222222222223</v>
      </c>
      <c r="I16" s="239" t="s">
        <v>37</v>
      </c>
      <c r="J16" s="238">
        <v>3</v>
      </c>
      <c r="K16" s="240">
        <v>13</v>
      </c>
      <c r="L16" s="240">
        <v>10</v>
      </c>
      <c r="M16" s="240">
        <v>14</v>
      </c>
      <c r="N16" s="236">
        <f t="shared" si="1"/>
        <v>8.2222222222222232</v>
      </c>
    </row>
    <row r="17" spans="2:19" ht="22.15" customHeight="1" x14ac:dyDescent="0.2">
      <c r="B17" s="239" t="s">
        <v>2</v>
      </c>
      <c r="C17" s="238">
        <v>3</v>
      </c>
      <c r="D17" s="240">
        <v>11</v>
      </c>
      <c r="E17" s="240">
        <v>17</v>
      </c>
      <c r="F17" s="240">
        <v>15</v>
      </c>
      <c r="G17" s="236">
        <f t="shared" si="0"/>
        <v>9.5555555555555554</v>
      </c>
      <c r="I17" s="239" t="s">
        <v>37</v>
      </c>
      <c r="J17" s="238">
        <v>2</v>
      </c>
      <c r="K17" s="237">
        <v>16</v>
      </c>
      <c r="L17" s="237">
        <v>14</v>
      </c>
      <c r="M17" s="237">
        <v>13</v>
      </c>
      <c r="N17" s="236">
        <f t="shared" si="1"/>
        <v>9.5555555555555554</v>
      </c>
    </row>
    <row r="18" spans="2:19" ht="22.15" customHeight="1" thickBot="1" x14ac:dyDescent="0.25">
      <c r="B18" s="235" t="s">
        <v>2</v>
      </c>
      <c r="C18" s="234">
        <v>4</v>
      </c>
      <c r="D18" s="10">
        <v>13</v>
      </c>
      <c r="E18" s="10">
        <v>14</v>
      </c>
      <c r="F18" s="10">
        <v>12</v>
      </c>
      <c r="G18" s="233">
        <f t="shared" si="0"/>
        <v>8.6666666666666661</v>
      </c>
      <c r="I18" s="235" t="s">
        <v>37</v>
      </c>
      <c r="J18" s="234">
        <v>1</v>
      </c>
      <c r="K18" s="10">
        <v>11</v>
      </c>
      <c r="L18" s="10">
        <v>13</v>
      </c>
      <c r="M18" s="10">
        <v>14</v>
      </c>
      <c r="N18" s="233">
        <f t="shared" si="1"/>
        <v>8.4444444444444446</v>
      </c>
    </row>
    <row r="19" spans="2:19" ht="21.75" customHeight="1" x14ac:dyDescent="0.2">
      <c r="B19" s="244" t="s">
        <v>3</v>
      </c>
      <c r="C19" s="243">
        <v>4</v>
      </c>
      <c r="D19" s="9">
        <v>10</v>
      </c>
      <c r="E19" s="9">
        <v>16</v>
      </c>
      <c r="F19" s="9">
        <v>18</v>
      </c>
      <c r="G19" s="241">
        <f t="shared" si="0"/>
        <v>9.7777777777777768</v>
      </c>
      <c r="I19" s="244" t="s">
        <v>38</v>
      </c>
      <c r="J19" s="243">
        <v>4</v>
      </c>
      <c r="K19" s="9">
        <v>12</v>
      </c>
      <c r="L19" s="9">
        <v>13</v>
      </c>
      <c r="M19" s="9">
        <v>15</v>
      </c>
      <c r="N19" s="241">
        <f t="shared" si="1"/>
        <v>8.8888888888888893</v>
      </c>
    </row>
    <row r="20" spans="2:19" ht="21.75" customHeight="1" x14ac:dyDescent="0.2">
      <c r="B20" s="239" t="s">
        <v>3</v>
      </c>
      <c r="C20" s="238">
        <v>3</v>
      </c>
      <c r="D20" s="240">
        <v>14</v>
      </c>
      <c r="E20" s="240">
        <v>10</v>
      </c>
      <c r="F20" s="240">
        <v>12</v>
      </c>
      <c r="G20" s="236">
        <f t="shared" si="0"/>
        <v>8</v>
      </c>
      <c r="I20" s="239" t="s">
        <v>38</v>
      </c>
      <c r="J20" s="238">
        <v>3</v>
      </c>
      <c r="K20" s="240">
        <v>13</v>
      </c>
      <c r="L20" s="240">
        <v>12</v>
      </c>
      <c r="M20" s="240">
        <v>12</v>
      </c>
      <c r="N20" s="236">
        <f t="shared" si="1"/>
        <v>8.2222222222222232</v>
      </c>
    </row>
    <row r="21" spans="2:19" ht="21.75" customHeight="1" x14ac:dyDescent="0.2">
      <c r="B21" s="239" t="s">
        <v>3</v>
      </c>
      <c r="C21" s="238">
        <v>2</v>
      </c>
      <c r="D21" s="240">
        <v>17</v>
      </c>
      <c r="E21" s="240">
        <v>18</v>
      </c>
      <c r="F21" s="240">
        <v>14</v>
      </c>
      <c r="G21" s="236">
        <f t="shared" si="0"/>
        <v>10.888888888888888</v>
      </c>
      <c r="I21" s="239" t="s">
        <v>38</v>
      </c>
      <c r="J21" s="238">
        <v>2</v>
      </c>
      <c r="K21" s="240">
        <v>15</v>
      </c>
      <c r="L21" s="240">
        <v>14</v>
      </c>
      <c r="M21" s="240">
        <v>16</v>
      </c>
      <c r="N21" s="236">
        <f t="shared" si="1"/>
        <v>10</v>
      </c>
    </row>
    <row r="22" spans="2:19" ht="21.75" customHeight="1" thickBot="1" x14ac:dyDescent="0.25">
      <c r="B22" s="235" t="s">
        <v>3</v>
      </c>
      <c r="C22" s="234">
        <v>1</v>
      </c>
      <c r="D22" s="10">
        <v>13</v>
      </c>
      <c r="E22" s="10">
        <v>16</v>
      </c>
      <c r="F22" s="10">
        <v>13</v>
      </c>
      <c r="G22" s="233">
        <f t="shared" si="0"/>
        <v>9.3333333333333339</v>
      </c>
      <c r="I22" s="235" t="s">
        <v>38</v>
      </c>
      <c r="J22" s="234">
        <v>1</v>
      </c>
      <c r="K22" s="10">
        <v>12</v>
      </c>
      <c r="L22" s="10">
        <v>16</v>
      </c>
      <c r="M22" s="10">
        <v>14</v>
      </c>
      <c r="N22" s="233">
        <f t="shared" si="1"/>
        <v>9.3333333333333339</v>
      </c>
    </row>
    <row r="23" spans="2:19" ht="21.75" customHeight="1" x14ac:dyDescent="0.2">
      <c r="B23" s="11" t="s">
        <v>4</v>
      </c>
      <c r="C23" s="242">
        <v>1</v>
      </c>
      <c r="D23" s="9">
        <v>15</v>
      </c>
      <c r="E23" s="9">
        <v>16</v>
      </c>
      <c r="F23" s="9">
        <v>12</v>
      </c>
      <c r="G23" s="241">
        <f t="shared" si="0"/>
        <v>9.5555555555555554</v>
      </c>
      <c r="I23" s="11" t="s">
        <v>39</v>
      </c>
      <c r="J23" s="242">
        <v>1</v>
      </c>
      <c r="K23" s="9">
        <v>11</v>
      </c>
      <c r="L23" s="9">
        <v>18</v>
      </c>
      <c r="M23" s="9">
        <v>16</v>
      </c>
      <c r="N23" s="241">
        <f t="shared" si="1"/>
        <v>10</v>
      </c>
    </row>
    <row r="24" spans="2:19" ht="21.75" customHeight="1" x14ac:dyDescent="0.2">
      <c r="B24" s="239" t="s">
        <v>4</v>
      </c>
      <c r="C24" s="238">
        <v>2</v>
      </c>
      <c r="D24" s="240">
        <v>12</v>
      </c>
      <c r="E24" s="240">
        <v>17</v>
      </c>
      <c r="F24" s="240">
        <v>16</v>
      </c>
      <c r="G24" s="236">
        <f t="shared" si="0"/>
        <v>10</v>
      </c>
      <c r="I24" s="239" t="s">
        <v>39</v>
      </c>
      <c r="J24" s="238">
        <v>2</v>
      </c>
      <c r="K24" s="240">
        <v>14</v>
      </c>
      <c r="L24" s="240">
        <v>13</v>
      </c>
      <c r="M24" s="240">
        <v>14</v>
      </c>
      <c r="N24" s="236">
        <f t="shared" si="1"/>
        <v>9.1111111111111107</v>
      </c>
    </row>
    <row r="25" spans="2:19" ht="21.75" customHeight="1" x14ac:dyDescent="0.2">
      <c r="B25" s="239" t="s">
        <v>4</v>
      </c>
      <c r="C25" s="238">
        <v>3</v>
      </c>
      <c r="D25" s="240">
        <v>18</v>
      </c>
      <c r="E25" s="240">
        <v>19</v>
      </c>
      <c r="F25" s="240">
        <v>14</v>
      </c>
      <c r="G25" s="236">
        <f t="shared" si="0"/>
        <v>11.333333333333334</v>
      </c>
      <c r="I25" s="239" t="s">
        <v>39</v>
      </c>
      <c r="J25" s="238">
        <v>3</v>
      </c>
      <c r="K25" s="240">
        <v>13</v>
      </c>
      <c r="L25" s="240">
        <v>10</v>
      </c>
      <c r="M25" s="240">
        <v>10</v>
      </c>
      <c r="N25" s="236">
        <f t="shared" si="1"/>
        <v>7.333333333333333</v>
      </c>
    </row>
    <row r="26" spans="2:19" ht="21.75" customHeight="1" thickBot="1" x14ac:dyDescent="0.25">
      <c r="B26" s="235" t="s">
        <v>4</v>
      </c>
      <c r="C26" s="234">
        <v>4</v>
      </c>
      <c r="D26" s="10">
        <v>11</v>
      </c>
      <c r="E26" s="10">
        <v>13</v>
      </c>
      <c r="F26" s="10">
        <v>14</v>
      </c>
      <c r="G26" s="233">
        <f t="shared" si="0"/>
        <v>8.4444444444444446</v>
      </c>
      <c r="I26" s="235" t="s">
        <v>39</v>
      </c>
      <c r="J26" s="234">
        <v>4</v>
      </c>
      <c r="K26" s="10">
        <v>12</v>
      </c>
      <c r="L26" s="10">
        <v>14</v>
      </c>
      <c r="M26" s="10">
        <v>12</v>
      </c>
      <c r="N26" s="233">
        <f t="shared" si="1"/>
        <v>8.4444444444444446</v>
      </c>
      <c r="Q26" t="s">
        <v>50</v>
      </c>
      <c r="R26" s="232">
        <f>AVERAGE(G7:G10,G19:G22,G27:G30,N7:N10,N15:N18,N27:N30)</f>
        <v>8.6111111111111107</v>
      </c>
      <c r="S26">
        <f>R26*1.016</f>
        <v>8.7488888888888887</v>
      </c>
    </row>
    <row r="27" spans="2:19" ht="21.75" customHeight="1" x14ac:dyDescent="0.2">
      <c r="B27" s="11" t="s">
        <v>5</v>
      </c>
      <c r="C27" s="242">
        <v>4</v>
      </c>
      <c r="D27" s="9">
        <v>9</v>
      </c>
      <c r="E27" s="9">
        <v>15</v>
      </c>
      <c r="F27" s="9">
        <v>16</v>
      </c>
      <c r="G27" s="241">
        <f t="shared" si="0"/>
        <v>8.8888888888888893</v>
      </c>
      <c r="I27" s="11" t="s">
        <v>40</v>
      </c>
      <c r="J27" s="242">
        <v>4</v>
      </c>
      <c r="K27" s="9">
        <v>11</v>
      </c>
      <c r="L27" s="9">
        <v>11</v>
      </c>
      <c r="M27" s="9">
        <v>9</v>
      </c>
      <c r="N27" s="241">
        <f t="shared" si="1"/>
        <v>6.8888888888888893</v>
      </c>
      <c r="Q27" t="s">
        <v>43</v>
      </c>
      <c r="R27" s="232">
        <f>AVERAGE(G11:G14,G15:G18,G23:G26,N11:N14,N19:N22,N23:N26)</f>
        <v>9.2777777777777786</v>
      </c>
      <c r="S27">
        <f>R27*1.016</f>
        <v>9.4262222222222238</v>
      </c>
    </row>
    <row r="28" spans="2:19" ht="21.75" customHeight="1" x14ac:dyDescent="0.2">
      <c r="B28" s="239" t="s">
        <v>5</v>
      </c>
      <c r="C28" s="238">
        <v>3</v>
      </c>
      <c r="D28" s="240">
        <v>10</v>
      </c>
      <c r="E28" s="240">
        <v>16</v>
      </c>
      <c r="F28" s="240">
        <v>13</v>
      </c>
      <c r="G28" s="236">
        <f t="shared" si="0"/>
        <v>8.6666666666666661</v>
      </c>
      <c r="I28" s="239" t="s">
        <v>40</v>
      </c>
      <c r="J28" s="238">
        <v>3</v>
      </c>
      <c r="K28" s="240">
        <v>10</v>
      </c>
      <c r="L28" s="240">
        <v>16</v>
      </c>
      <c r="M28" s="240">
        <v>13</v>
      </c>
      <c r="N28" s="236">
        <f t="shared" si="1"/>
        <v>8.6666666666666661</v>
      </c>
    </row>
    <row r="29" spans="2:19" ht="21.75" customHeight="1" x14ac:dyDescent="0.2">
      <c r="B29" s="239" t="s">
        <v>5</v>
      </c>
      <c r="C29" s="238">
        <v>2</v>
      </c>
      <c r="D29" s="237">
        <v>15</v>
      </c>
      <c r="E29" s="237">
        <v>13</v>
      </c>
      <c r="F29" s="237">
        <v>10</v>
      </c>
      <c r="G29" s="236">
        <f t="shared" si="0"/>
        <v>8.4444444444444446</v>
      </c>
      <c r="I29" s="239" t="s">
        <v>40</v>
      </c>
      <c r="J29" s="238">
        <v>2</v>
      </c>
      <c r="K29" s="237">
        <v>13</v>
      </c>
      <c r="L29" s="237">
        <v>14</v>
      </c>
      <c r="M29" s="237">
        <v>12</v>
      </c>
      <c r="N29" s="236">
        <f t="shared" si="1"/>
        <v>8.6666666666666661</v>
      </c>
    </row>
    <row r="30" spans="2:19" ht="21.75" customHeight="1" thickBot="1" x14ac:dyDescent="0.25">
      <c r="B30" s="235" t="s">
        <v>5</v>
      </c>
      <c r="C30" s="234">
        <v>1</v>
      </c>
      <c r="D30" s="10">
        <v>14</v>
      </c>
      <c r="E30" s="10">
        <v>14</v>
      </c>
      <c r="F30" s="10">
        <v>12</v>
      </c>
      <c r="G30" s="233">
        <f t="shared" si="0"/>
        <v>8.8888888888888893</v>
      </c>
      <c r="I30" s="235" t="s">
        <v>40</v>
      </c>
      <c r="J30" s="234">
        <v>1</v>
      </c>
      <c r="K30" s="10">
        <v>14</v>
      </c>
      <c r="L30" s="10">
        <v>13</v>
      </c>
      <c r="M30" s="10">
        <v>11</v>
      </c>
      <c r="N30" s="233">
        <f t="shared" si="1"/>
        <v>8.4444444444444446</v>
      </c>
    </row>
    <row r="32" spans="2:19" x14ac:dyDescent="0.2">
      <c r="G32" s="232">
        <f>AVERAGE(G7:G30)</f>
        <v>9.1296296296296315</v>
      </c>
      <c r="N32" s="232">
        <f>AVERAGE(N7:N30)</f>
        <v>8.7592592592592613</v>
      </c>
      <c r="O32" s="232">
        <f>AVERAGE(G32,N32)</f>
        <v>8.9444444444444464</v>
      </c>
      <c r="P32" t="s">
        <v>426</v>
      </c>
    </row>
    <row r="33" spans="15:15" x14ac:dyDescent="0.2">
      <c r="O33">
        <f>O32*40*2.54/100</f>
        <v>9.0875555555555572</v>
      </c>
    </row>
  </sheetData>
  <mergeCells count="3">
    <mergeCell ref="B6:C6"/>
    <mergeCell ref="I6:J6"/>
    <mergeCell ref="B4:M4"/>
  </mergeCells>
  <pageMargins left="0.2" right="0.2" top="0.25" bottom="0.25" header="0.3" footer="0.3"/>
  <pageSetup scale="10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068E-FD3F-4699-8D2C-9B9166A1FA2D}">
  <dimension ref="A2:G50"/>
  <sheetViews>
    <sheetView topLeftCell="A4" workbookViewId="0">
      <selection activeCell="G2" sqref="G2:G50"/>
    </sheetView>
  </sheetViews>
  <sheetFormatPr defaultRowHeight="12.75" x14ac:dyDescent="0.2"/>
  <sheetData>
    <row r="2" spans="1:7" x14ac:dyDescent="0.2">
      <c r="G2" t="s">
        <v>435</v>
      </c>
    </row>
    <row r="3" spans="1:7" x14ac:dyDescent="0.2">
      <c r="A3" t="s">
        <v>0</v>
      </c>
      <c r="B3">
        <v>1</v>
      </c>
      <c r="C3" t="str">
        <f t="shared" ref="C3:C50" si="0">_xlfn.CONCAT(A3,B3)</f>
        <v>01-1</v>
      </c>
      <c r="D3">
        <v>12</v>
      </c>
      <c r="E3">
        <v>11</v>
      </c>
      <c r="F3">
        <v>14</v>
      </c>
      <c r="G3">
        <f>SUM(D3:F3)/(1.5*1.016*3)</f>
        <v>8.0927384076990379</v>
      </c>
    </row>
    <row r="4" spans="1:7" x14ac:dyDescent="0.2">
      <c r="A4" t="s">
        <v>0</v>
      </c>
      <c r="B4">
        <v>2</v>
      </c>
      <c r="C4" t="str">
        <f t="shared" si="0"/>
        <v>01-2</v>
      </c>
      <c r="D4">
        <v>15</v>
      </c>
      <c r="E4">
        <v>13</v>
      </c>
      <c r="F4">
        <v>13</v>
      </c>
      <c r="G4">
        <f t="shared" ref="G4:G50" si="1">SUM(D4:F4)/(1.5*1.016*3)</f>
        <v>8.9676290463692041</v>
      </c>
    </row>
    <row r="5" spans="1:7" x14ac:dyDescent="0.2">
      <c r="A5" t="s">
        <v>0</v>
      </c>
      <c r="B5">
        <v>3</v>
      </c>
      <c r="C5" t="str">
        <f t="shared" si="0"/>
        <v>01-3</v>
      </c>
      <c r="D5">
        <v>11</v>
      </c>
      <c r="E5">
        <v>9</v>
      </c>
      <c r="F5">
        <v>13</v>
      </c>
      <c r="G5">
        <f t="shared" si="1"/>
        <v>7.2178477690288716</v>
      </c>
    </row>
    <row r="6" spans="1:7" x14ac:dyDescent="0.2">
      <c r="A6" t="s">
        <v>0</v>
      </c>
      <c r="B6">
        <v>4</v>
      </c>
      <c r="C6" t="str">
        <f t="shared" si="0"/>
        <v>01-4</v>
      </c>
      <c r="D6">
        <v>12</v>
      </c>
      <c r="E6">
        <v>14</v>
      </c>
      <c r="F6">
        <v>8</v>
      </c>
      <c r="G6">
        <f t="shared" si="1"/>
        <v>7.4365704286964132</v>
      </c>
    </row>
    <row r="7" spans="1:7" x14ac:dyDescent="0.2">
      <c r="A7" t="s">
        <v>1</v>
      </c>
      <c r="B7">
        <v>4</v>
      </c>
      <c r="C7" t="str">
        <f t="shared" si="0"/>
        <v>02-4</v>
      </c>
      <c r="D7">
        <v>10</v>
      </c>
      <c r="E7">
        <v>13</v>
      </c>
      <c r="F7">
        <v>19</v>
      </c>
      <c r="G7">
        <f t="shared" si="1"/>
        <v>9.1863517060367457</v>
      </c>
    </row>
    <row r="8" spans="1:7" x14ac:dyDescent="0.2">
      <c r="A8" t="s">
        <v>1</v>
      </c>
      <c r="B8">
        <v>3</v>
      </c>
      <c r="C8" t="str">
        <f t="shared" si="0"/>
        <v>02-3</v>
      </c>
      <c r="D8">
        <v>16</v>
      </c>
      <c r="E8">
        <v>16</v>
      </c>
      <c r="F8">
        <v>13</v>
      </c>
      <c r="G8">
        <f t="shared" si="1"/>
        <v>9.8425196850393704</v>
      </c>
    </row>
    <row r="9" spans="1:7" x14ac:dyDescent="0.2">
      <c r="A9" t="s">
        <v>1</v>
      </c>
      <c r="B9">
        <v>2</v>
      </c>
      <c r="C9" t="str">
        <f t="shared" si="0"/>
        <v>02-2</v>
      </c>
      <c r="D9">
        <v>13</v>
      </c>
      <c r="E9">
        <v>12</v>
      </c>
      <c r="F9">
        <v>11</v>
      </c>
      <c r="G9">
        <f t="shared" si="1"/>
        <v>7.8740157480314963</v>
      </c>
    </row>
    <row r="10" spans="1:7" x14ac:dyDescent="0.2">
      <c r="A10" t="s">
        <v>1</v>
      </c>
      <c r="B10">
        <v>1</v>
      </c>
      <c r="C10" t="str">
        <f t="shared" si="0"/>
        <v>02-1</v>
      </c>
      <c r="D10">
        <v>14</v>
      </c>
      <c r="E10">
        <v>10</v>
      </c>
      <c r="F10">
        <v>13</v>
      </c>
      <c r="G10">
        <f t="shared" si="1"/>
        <v>8.0927384076990379</v>
      </c>
    </row>
    <row r="11" spans="1:7" x14ac:dyDescent="0.2">
      <c r="A11" t="s">
        <v>2</v>
      </c>
      <c r="B11">
        <v>1</v>
      </c>
      <c r="C11" t="str">
        <f t="shared" si="0"/>
        <v>03-1</v>
      </c>
      <c r="D11">
        <v>16</v>
      </c>
      <c r="E11">
        <v>18</v>
      </c>
      <c r="F11">
        <v>14</v>
      </c>
      <c r="G11">
        <f t="shared" si="1"/>
        <v>10.498687664041995</v>
      </c>
    </row>
    <row r="12" spans="1:7" x14ac:dyDescent="0.2">
      <c r="A12" t="s">
        <v>2</v>
      </c>
      <c r="B12">
        <v>2</v>
      </c>
      <c r="C12" t="str">
        <f t="shared" si="0"/>
        <v>03-2</v>
      </c>
      <c r="D12">
        <v>17</v>
      </c>
      <c r="E12">
        <v>14</v>
      </c>
      <c r="F12">
        <v>15</v>
      </c>
      <c r="G12">
        <f t="shared" si="1"/>
        <v>10.061242344706912</v>
      </c>
    </row>
    <row r="13" spans="1:7" x14ac:dyDescent="0.2">
      <c r="A13" t="s">
        <v>2</v>
      </c>
      <c r="B13">
        <v>3</v>
      </c>
      <c r="C13" t="str">
        <f t="shared" si="0"/>
        <v>03-3</v>
      </c>
      <c r="D13">
        <v>11</v>
      </c>
      <c r="E13">
        <v>17</v>
      </c>
      <c r="F13">
        <v>15</v>
      </c>
      <c r="G13">
        <f t="shared" si="1"/>
        <v>9.4050743657042872</v>
      </c>
    </row>
    <row r="14" spans="1:7" x14ac:dyDescent="0.2">
      <c r="A14" t="s">
        <v>2</v>
      </c>
      <c r="B14">
        <v>4</v>
      </c>
      <c r="C14" t="str">
        <f t="shared" si="0"/>
        <v>03-4</v>
      </c>
      <c r="D14">
        <v>13</v>
      </c>
      <c r="E14">
        <v>14</v>
      </c>
      <c r="F14">
        <v>12</v>
      </c>
      <c r="G14">
        <f t="shared" si="1"/>
        <v>8.530183727034121</v>
      </c>
    </row>
    <row r="15" spans="1:7" x14ac:dyDescent="0.2">
      <c r="A15" t="s">
        <v>3</v>
      </c>
      <c r="B15">
        <v>4</v>
      </c>
      <c r="C15" t="str">
        <f t="shared" si="0"/>
        <v>04-4</v>
      </c>
      <c r="D15">
        <v>10</v>
      </c>
      <c r="E15">
        <v>16</v>
      </c>
      <c r="F15">
        <v>18</v>
      </c>
      <c r="G15">
        <f t="shared" si="1"/>
        <v>9.6237970253718288</v>
      </c>
    </row>
    <row r="16" spans="1:7" x14ac:dyDescent="0.2">
      <c r="A16" t="s">
        <v>3</v>
      </c>
      <c r="B16">
        <v>3</v>
      </c>
      <c r="C16" t="str">
        <f t="shared" si="0"/>
        <v>04-3</v>
      </c>
      <c r="D16">
        <v>14</v>
      </c>
      <c r="E16">
        <v>10</v>
      </c>
      <c r="F16">
        <v>12</v>
      </c>
      <c r="G16">
        <f t="shared" si="1"/>
        <v>7.8740157480314963</v>
      </c>
    </row>
    <row r="17" spans="1:7" x14ac:dyDescent="0.2">
      <c r="A17" t="s">
        <v>3</v>
      </c>
      <c r="B17">
        <v>2</v>
      </c>
      <c r="C17" t="str">
        <f t="shared" si="0"/>
        <v>04-2</v>
      </c>
      <c r="D17">
        <v>17</v>
      </c>
      <c r="E17">
        <v>18</v>
      </c>
      <c r="F17">
        <v>14</v>
      </c>
      <c r="G17">
        <f t="shared" si="1"/>
        <v>10.717410323709537</v>
      </c>
    </row>
    <row r="18" spans="1:7" x14ac:dyDescent="0.2">
      <c r="A18" t="s">
        <v>3</v>
      </c>
      <c r="B18">
        <v>1</v>
      </c>
      <c r="C18" t="str">
        <f t="shared" si="0"/>
        <v>04-1</v>
      </c>
      <c r="D18">
        <v>13</v>
      </c>
      <c r="E18">
        <v>16</v>
      </c>
      <c r="F18">
        <v>13</v>
      </c>
      <c r="G18">
        <f t="shared" si="1"/>
        <v>9.1863517060367457</v>
      </c>
    </row>
    <row r="19" spans="1:7" x14ac:dyDescent="0.2">
      <c r="A19" t="s">
        <v>4</v>
      </c>
      <c r="B19">
        <v>1</v>
      </c>
      <c r="C19" t="str">
        <f t="shared" si="0"/>
        <v>05-1</v>
      </c>
      <c r="D19">
        <v>15</v>
      </c>
      <c r="E19">
        <v>16</v>
      </c>
      <c r="F19">
        <v>12</v>
      </c>
      <c r="G19">
        <f t="shared" si="1"/>
        <v>9.4050743657042872</v>
      </c>
    </row>
    <row r="20" spans="1:7" x14ac:dyDescent="0.2">
      <c r="A20" t="s">
        <v>4</v>
      </c>
      <c r="B20">
        <v>2</v>
      </c>
      <c r="C20" t="str">
        <f t="shared" si="0"/>
        <v>05-2</v>
      </c>
      <c r="D20">
        <v>12</v>
      </c>
      <c r="E20">
        <v>17</v>
      </c>
      <c r="F20">
        <v>16</v>
      </c>
      <c r="G20">
        <f t="shared" si="1"/>
        <v>9.8425196850393704</v>
      </c>
    </row>
    <row r="21" spans="1:7" x14ac:dyDescent="0.2">
      <c r="A21" t="s">
        <v>4</v>
      </c>
      <c r="B21">
        <v>3</v>
      </c>
      <c r="C21" t="str">
        <f t="shared" si="0"/>
        <v>05-3</v>
      </c>
      <c r="D21">
        <v>18</v>
      </c>
      <c r="E21">
        <v>19</v>
      </c>
      <c r="F21">
        <v>14</v>
      </c>
      <c r="G21">
        <f t="shared" si="1"/>
        <v>11.15485564304462</v>
      </c>
    </row>
    <row r="22" spans="1:7" x14ac:dyDescent="0.2">
      <c r="A22" t="s">
        <v>4</v>
      </c>
      <c r="B22">
        <v>4</v>
      </c>
      <c r="C22" t="str">
        <f t="shared" si="0"/>
        <v>05-4</v>
      </c>
      <c r="D22">
        <v>11</v>
      </c>
      <c r="E22">
        <v>13</v>
      </c>
      <c r="F22">
        <v>14</v>
      </c>
      <c r="G22">
        <f t="shared" si="1"/>
        <v>8.3114610673665794</v>
      </c>
    </row>
    <row r="23" spans="1:7" x14ac:dyDescent="0.2">
      <c r="A23" t="s">
        <v>5</v>
      </c>
      <c r="B23">
        <v>4</v>
      </c>
      <c r="C23" t="str">
        <f t="shared" si="0"/>
        <v>06-4</v>
      </c>
      <c r="D23">
        <v>9</v>
      </c>
      <c r="E23">
        <v>15</v>
      </c>
      <c r="F23">
        <v>16</v>
      </c>
      <c r="G23">
        <f t="shared" si="1"/>
        <v>8.7489063867016625</v>
      </c>
    </row>
    <row r="24" spans="1:7" x14ac:dyDescent="0.2">
      <c r="A24" t="s">
        <v>5</v>
      </c>
      <c r="B24">
        <v>3</v>
      </c>
      <c r="C24" t="str">
        <f t="shared" si="0"/>
        <v>06-3</v>
      </c>
      <c r="D24">
        <v>10</v>
      </c>
      <c r="E24">
        <v>16</v>
      </c>
      <c r="F24">
        <v>13</v>
      </c>
      <c r="G24">
        <f t="shared" si="1"/>
        <v>8.530183727034121</v>
      </c>
    </row>
    <row r="25" spans="1:7" x14ac:dyDescent="0.2">
      <c r="A25" t="s">
        <v>5</v>
      </c>
      <c r="B25">
        <v>2</v>
      </c>
      <c r="C25" t="str">
        <f t="shared" si="0"/>
        <v>06-2</v>
      </c>
      <c r="D25">
        <v>15</v>
      </c>
      <c r="E25">
        <v>13</v>
      </c>
      <c r="F25">
        <v>10</v>
      </c>
      <c r="G25">
        <f t="shared" si="1"/>
        <v>8.3114610673665794</v>
      </c>
    </row>
    <row r="26" spans="1:7" x14ac:dyDescent="0.2">
      <c r="A26" t="s">
        <v>5</v>
      </c>
      <c r="B26">
        <v>1</v>
      </c>
      <c r="C26" t="str">
        <f t="shared" si="0"/>
        <v>06-1</v>
      </c>
      <c r="D26">
        <v>14</v>
      </c>
      <c r="E26">
        <v>14</v>
      </c>
      <c r="F26">
        <v>12</v>
      </c>
      <c r="G26">
        <f t="shared" si="1"/>
        <v>8.7489063867016625</v>
      </c>
    </row>
    <row r="27" spans="1:7" x14ac:dyDescent="0.2">
      <c r="A27" t="s">
        <v>35</v>
      </c>
      <c r="B27">
        <v>4</v>
      </c>
      <c r="C27" t="str">
        <f t="shared" si="0"/>
        <v>07-4</v>
      </c>
      <c r="D27">
        <v>12</v>
      </c>
      <c r="E27">
        <v>10</v>
      </c>
      <c r="F27">
        <v>9</v>
      </c>
      <c r="G27">
        <f t="shared" si="1"/>
        <v>6.7804024496937885</v>
      </c>
    </row>
    <row r="28" spans="1:7" x14ac:dyDescent="0.2">
      <c r="A28" t="s">
        <v>35</v>
      </c>
      <c r="B28">
        <v>3</v>
      </c>
      <c r="C28" t="str">
        <f t="shared" si="0"/>
        <v>07-3</v>
      </c>
      <c r="D28">
        <v>16</v>
      </c>
      <c r="E28">
        <v>14</v>
      </c>
      <c r="F28">
        <v>12</v>
      </c>
      <c r="G28">
        <f t="shared" si="1"/>
        <v>9.1863517060367457</v>
      </c>
    </row>
    <row r="29" spans="1:7" x14ac:dyDescent="0.2">
      <c r="A29" t="s">
        <v>35</v>
      </c>
      <c r="B29">
        <v>2</v>
      </c>
      <c r="C29" t="str">
        <f t="shared" si="0"/>
        <v>07-2</v>
      </c>
      <c r="D29">
        <v>13</v>
      </c>
      <c r="E29">
        <v>15</v>
      </c>
      <c r="F29">
        <v>14</v>
      </c>
      <c r="G29">
        <f t="shared" si="1"/>
        <v>9.1863517060367457</v>
      </c>
    </row>
    <row r="30" spans="1:7" x14ac:dyDescent="0.2">
      <c r="A30" t="s">
        <v>35</v>
      </c>
      <c r="B30">
        <v>1</v>
      </c>
      <c r="C30" t="str">
        <f t="shared" si="0"/>
        <v>07-1</v>
      </c>
      <c r="D30">
        <v>9</v>
      </c>
      <c r="E30">
        <v>13</v>
      </c>
      <c r="F30">
        <v>13</v>
      </c>
      <c r="G30">
        <f t="shared" si="1"/>
        <v>7.6552930883639547</v>
      </c>
    </row>
    <row r="31" spans="1:7" x14ac:dyDescent="0.2">
      <c r="A31" t="s">
        <v>36</v>
      </c>
      <c r="B31">
        <v>1</v>
      </c>
      <c r="C31" t="str">
        <f t="shared" si="0"/>
        <v>08-1</v>
      </c>
      <c r="D31">
        <v>14</v>
      </c>
      <c r="E31">
        <v>14</v>
      </c>
      <c r="F31">
        <v>15</v>
      </c>
      <c r="G31">
        <f t="shared" si="1"/>
        <v>9.4050743657042872</v>
      </c>
    </row>
    <row r="32" spans="1:7" x14ac:dyDescent="0.2">
      <c r="A32" t="s">
        <v>36</v>
      </c>
      <c r="B32">
        <v>2</v>
      </c>
      <c r="C32" t="str">
        <f t="shared" si="0"/>
        <v>08-2</v>
      </c>
      <c r="D32">
        <v>13</v>
      </c>
      <c r="E32">
        <v>17</v>
      </c>
      <c r="F32">
        <v>16</v>
      </c>
      <c r="G32">
        <f t="shared" si="1"/>
        <v>10.061242344706912</v>
      </c>
    </row>
    <row r="33" spans="1:7" x14ac:dyDescent="0.2">
      <c r="A33" t="s">
        <v>36</v>
      </c>
      <c r="B33">
        <v>3</v>
      </c>
      <c r="C33" t="str">
        <f t="shared" si="0"/>
        <v>08-3</v>
      </c>
      <c r="D33">
        <v>10</v>
      </c>
      <c r="E33">
        <v>14</v>
      </c>
      <c r="F33">
        <v>15</v>
      </c>
      <c r="G33">
        <f t="shared" si="1"/>
        <v>8.530183727034121</v>
      </c>
    </row>
    <row r="34" spans="1:7" x14ac:dyDescent="0.2">
      <c r="A34" t="s">
        <v>36</v>
      </c>
      <c r="B34">
        <v>4</v>
      </c>
      <c r="C34" t="str">
        <f t="shared" si="0"/>
        <v>08-4</v>
      </c>
      <c r="D34">
        <v>15</v>
      </c>
      <c r="E34">
        <v>11</v>
      </c>
      <c r="F34">
        <v>14</v>
      </c>
      <c r="G34">
        <f t="shared" si="1"/>
        <v>8.7489063867016625</v>
      </c>
    </row>
    <row r="35" spans="1:7" x14ac:dyDescent="0.2">
      <c r="A35" t="s">
        <v>37</v>
      </c>
      <c r="B35">
        <v>4</v>
      </c>
      <c r="C35" t="str">
        <f t="shared" si="0"/>
        <v>09-4</v>
      </c>
      <c r="D35">
        <v>17</v>
      </c>
      <c r="E35">
        <v>12</v>
      </c>
      <c r="F35">
        <v>13</v>
      </c>
      <c r="G35">
        <f t="shared" si="1"/>
        <v>9.1863517060367457</v>
      </c>
    </row>
    <row r="36" spans="1:7" x14ac:dyDescent="0.2">
      <c r="A36" t="s">
        <v>37</v>
      </c>
      <c r="B36">
        <v>3</v>
      </c>
      <c r="C36" t="str">
        <f t="shared" si="0"/>
        <v>09-3</v>
      </c>
      <c r="D36">
        <v>13</v>
      </c>
      <c r="E36">
        <v>10</v>
      </c>
      <c r="F36">
        <v>14</v>
      </c>
      <c r="G36">
        <f t="shared" si="1"/>
        <v>8.0927384076990379</v>
      </c>
    </row>
    <row r="37" spans="1:7" x14ac:dyDescent="0.2">
      <c r="A37" t="s">
        <v>37</v>
      </c>
      <c r="B37">
        <v>2</v>
      </c>
      <c r="C37" t="str">
        <f t="shared" si="0"/>
        <v>09-2</v>
      </c>
      <c r="D37">
        <v>16</v>
      </c>
      <c r="E37">
        <v>14</v>
      </c>
      <c r="F37">
        <v>13</v>
      </c>
      <c r="G37">
        <f t="shared" si="1"/>
        <v>9.4050743657042872</v>
      </c>
    </row>
    <row r="38" spans="1:7" x14ac:dyDescent="0.2">
      <c r="A38" t="s">
        <v>37</v>
      </c>
      <c r="B38">
        <v>1</v>
      </c>
      <c r="C38" t="str">
        <f t="shared" si="0"/>
        <v>09-1</v>
      </c>
      <c r="D38">
        <v>11</v>
      </c>
      <c r="E38">
        <v>13</v>
      </c>
      <c r="F38">
        <v>14</v>
      </c>
      <c r="G38">
        <f t="shared" si="1"/>
        <v>8.3114610673665794</v>
      </c>
    </row>
    <row r="39" spans="1:7" x14ac:dyDescent="0.2">
      <c r="A39" t="s">
        <v>38</v>
      </c>
      <c r="B39">
        <v>4</v>
      </c>
      <c r="C39" t="str">
        <f t="shared" si="0"/>
        <v>10-4</v>
      </c>
      <c r="D39">
        <v>12</v>
      </c>
      <c r="E39">
        <v>13</v>
      </c>
      <c r="F39">
        <v>15</v>
      </c>
      <c r="G39">
        <f t="shared" si="1"/>
        <v>8.7489063867016625</v>
      </c>
    </row>
    <row r="40" spans="1:7" x14ac:dyDescent="0.2">
      <c r="A40" t="s">
        <v>38</v>
      </c>
      <c r="B40">
        <v>3</v>
      </c>
      <c r="C40" t="str">
        <f t="shared" si="0"/>
        <v>10-3</v>
      </c>
      <c r="D40">
        <v>13</v>
      </c>
      <c r="E40">
        <v>12</v>
      </c>
      <c r="F40">
        <v>12</v>
      </c>
      <c r="G40">
        <f t="shared" si="1"/>
        <v>8.0927384076990379</v>
      </c>
    </row>
    <row r="41" spans="1:7" x14ac:dyDescent="0.2">
      <c r="A41" t="s">
        <v>38</v>
      </c>
      <c r="B41">
        <v>2</v>
      </c>
      <c r="C41" t="str">
        <f t="shared" si="0"/>
        <v>10-2</v>
      </c>
      <c r="D41">
        <v>15</v>
      </c>
      <c r="E41">
        <v>14</v>
      </c>
      <c r="F41">
        <v>16</v>
      </c>
      <c r="G41">
        <f t="shared" si="1"/>
        <v>9.8425196850393704</v>
      </c>
    </row>
    <row r="42" spans="1:7" x14ac:dyDescent="0.2">
      <c r="A42" t="s">
        <v>38</v>
      </c>
      <c r="B42">
        <v>1</v>
      </c>
      <c r="C42" t="str">
        <f t="shared" si="0"/>
        <v>10-1</v>
      </c>
      <c r="D42">
        <v>12</v>
      </c>
      <c r="E42">
        <v>16</v>
      </c>
      <c r="F42">
        <v>14</v>
      </c>
      <c r="G42">
        <f t="shared" si="1"/>
        <v>9.1863517060367457</v>
      </c>
    </row>
    <row r="43" spans="1:7" x14ac:dyDescent="0.2">
      <c r="A43" t="s">
        <v>39</v>
      </c>
      <c r="B43">
        <v>1</v>
      </c>
      <c r="C43" t="str">
        <f t="shared" si="0"/>
        <v>11-1</v>
      </c>
      <c r="D43">
        <v>11</v>
      </c>
      <c r="E43">
        <v>18</v>
      </c>
      <c r="F43">
        <v>16</v>
      </c>
      <c r="G43">
        <f t="shared" si="1"/>
        <v>9.8425196850393704</v>
      </c>
    </row>
    <row r="44" spans="1:7" x14ac:dyDescent="0.2">
      <c r="A44" t="s">
        <v>39</v>
      </c>
      <c r="B44">
        <v>2</v>
      </c>
      <c r="C44" t="str">
        <f t="shared" si="0"/>
        <v>11-2</v>
      </c>
      <c r="D44">
        <v>14</v>
      </c>
      <c r="E44">
        <v>13</v>
      </c>
      <c r="F44">
        <v>14</v>
      </c>
      <c r="G44">
        <f t="shared" si="1"/>
        <v>8.9676290463692041</v>
      </c>
    </row>
    <row r="45" spans="1:7" x14ac:dyDescent="0.2">
      <c r="A45" t="s">
        <v>39</v>
      </c>
      <c r="B45">
        <v>3</v>
      </c>
      <c r="C45" t="str">
        <f t="shared" si="0"/>
        <v>11-3</v>
      </c>
      <c r="D45">
        <v>13</v>
      </c>
      <c r="E45">
        <v>10</v>
      </c>
      <c r="F45">
        <v>10</v>
      </c>
      <c r="G45">
        <f t="shared" si="1"/>
        <v>7.2178477690288716</v>
      </c>
    </row>
    <row r="46" spans="1:7" x14ac:dyDescent="0.2">
      <c r="A46" t="s">
        <v>39</v>
      </c>
      <c r="B46">
        <v>4</v>
      </c>
      <c r="C46" t="str">
        <f t="shared" si="0"/>
        <v>11-4</v>
      </c>
      <c r="D46">
        <v>12</v>
      </c>
      <c r="E46">
        <v>14</v>
      </c>
      <c r="F46">
        <v>12</v>
      </c>
      <c r="G46">
        <f t="shared" si="1"/>
        <v>8.3114610673665794</v>
      </c>
    </row>
    <row r="47" spans="1:7" x14ac:dyDescent="0.2">
      <c r="A47" t="s">
        <v>40</v>
      </c>
      <c r="B47">
        <v>4</v>
      </c>
      <c r="C47" t="str">
        <f t="shared" si="0"/>
        <v>12-4</v>
      </c>
      <c r="D47">
        <v>11</v>
      </c>
      <c r="E47">
        <v>11</v>
      </c>
      <c r="F47">
        <v>9</v>
      </c>
      <c r="G47">
        <f t="shared" si="1"/>
        <v>6.7804024496937885</v>
      </c>
    </row>
    <row r="48" spans="1:7" x14ac:dyDescent="0.2">
      <c r="A48" t="s">
        <v>40</v>
      </c>
      <c r="B48">
        <v>3</v>
      </c>
      <c r="C48" t="str">
        <f t="shared" si="0"/>
        <v>12-3</v>
      </c>
      <c r="D48">
        <v>10</v>
      </c>
      <c r="E48">
        <v>16</v>
      </c>
      <c r="F48">
        <v>13</v>
      </c>
      <c r="G48">
        <f t="shared" si="1"/>
        <v>8.530183727034121</v>
      </c>
    </row>
    <row r="49" spans="1:7" x14ac:dyDescent="0.2">
      <c r="A49" t="s">
        <v>40</v>
      </c>
      <c r="B49">
        <v>2</v>
      </c>
      <c r="C49" t="str">
        <f t="shared" si="0"/>
        <v>12-2</v>
      </c>
      <c r="D49">
        <v>13</v>
      </c>
      <c r="E49">
        <v>14</v>
      </c>
      <c r="F49">
        <v>12</v>
      </c>
      <c r="G49">
        <f t="shared" si="1"/>
        <v>8.530183727034121</v>
      </c>
    </row>
    <row r="50" spans="1:7" x14ac:dyDescent="0.2">
      <c r="A50" t="s">
        <v>40</v>
      </c>
      <c r="B50">
        <v>1</v>
      </c>
      <c r="C50" t="str">
        <f t="shared" si="0"/>
        <v>12-1</v>
      </c>
      <c r="D50">
        <v>14</v>
      </c>
      <c r="E50">
        <v>13</v>
      </c>
      <c r="F50">
        <v>11</v>
      </c>
      <c r="G50">
        <f t="shared" si="1"/>
        <v>8.3114610673665794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69EA-A75E-448C-8AC6-1F8AD77F132B}">
  <dimension ref="A1:M155"/>
  <sheetViews>
    <sheetView topLeftCell="A70" zoomScale="85" zoomScaleNormal="85" zoomScaleSheetLayoutView="55" workbookViewId="0">
      <selection activeCell="M83" sqref="M83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1.28515625" customWidth="1"/>
    <col min="7" max="9" width="8.7109375" customWidth="1"/>
    <col min="10" max="10" width="2.28515625" customWidth="1"/>
  </cols>
  <sheetData>
    <row r="1" spans="1:13" ht="15.75" x14ac:dyDescent="0.25">
      <c r="A1" s="6">
        <v>2021</v>
      </c>
      <c r="B1" s="8" t="s">
        <v>25</v>
      </c>
    </row>
    <row r="2" spans="1:13" ht="14.45" customHeight="1" x14ac:dyDescent="0.25">
      <c r="A2" s="6"/>
      <c r="B2" s="65" t="s">
        <v>6</v>
      </c>
      <c r="C2" s="8"/>
      <c r="D2" s="8"/>
    </row>
    <row r="3" spans="1:13" x14ac:dyDescent="0.2">
      <c r="A3" s="5" t="s">
        <v>423</v>
      </c>
    </row>
    <row r="4" spans="1:13" ht="7.9" customHeight="1" x14ac:dyDescent="0.2">
      <c r="B4" s="5"/>
    </row>
    <row r="5" spans="1:13" x14ac:dyDescent="0.2">
      <c r="B5" s="2" t="s">
        <v>422</v>
      </c>
    </row>
    <row r="6" spans="1:13" x14ac:dyDescent="0.2">
      <c r="B6" s="2" t="s">
        <v>421</v>
      </c>
    </row>
    <row r="7" spans="1:13" x14ac:dyDescent="0.2">
      <c r="B7" s="2"/>
    </row>
    <row r="8" spans="1:13" x14ac:dyDescent="0.2">
      <c r="B8" s="2"/>
    </row>
    <row r="9" spans="1:13" x14ac:dyDescent="0.2">
      <c r="B9" s="2"/>
      <c r="D9" s="1" t="s">
        <v>8</v>
      </c>
      <c r="E9" s="230">
        <v>44368</v>
      </c>
      <c r="F9" s="230">
        <v>44371</v>
      </c>
      <c r="G9" s="230">
        <v>44375</v>
      </c>
      <c r="H9" s="230">
        <v>44378</v>
      </c>
      <c r="I9" s="35"/>
      <c r="J9" s="35"/>
    </row>
    <row r="10" spans="1:13" ht="22.15" customHeight="1" x14ac:dyDescent="0.2">
      <c r="B10" s="229"/>
      <c r="C10"/>
      <c r="D10" s="1" t="s">
        <v>17</v>
      </c>
      <c r="E10" s="35">
        <v>172</v>
      </c>
      <c r="F10" s="35">
        <v>175</v>
      </c>
      <c r="G10" s="35">
        <v>179</v>
      </c>
      <c r="H10" s="35">
        <v>182</v>
      </c>
      <c r="I10" s="35"/>
      <c r="J10" s="35"/>
    </row>
    <row r="11" spans="1:13" ht="51" customHeight="1" thickBot="1" x14ac:dyDescent="0.25">
      <c r="B11" s="268" t="s">
        <v>7</v>
      </c>
      <c r="C11" s="268"/>
      <c r="D11" s="18" t="s">
        <v>12</v>
      </c>
      <c r="E11" s="21" t="s">
        <v>420</v>
      </c>
      <c r="F11" s="21" t="s">
        <v>420</v>
      </c>
      <c r="G11" s="21" t="s">
        <v>420</v>
      </c>
      <c r="H11" s="21" t="s">
        <v>420</v>
      </c>
      <c r="I11" s="18"/>
      <c r="J11" s="18"/>
    </row>
    <row r="12" spans="1:13" ht="34.9" customHeight="1" x14ac:dyDescent="0.2">
      <c r="A12" s="63"/>
      <c r="B12" s="61" t="s">
        <v>0</v>
      </c>
      <c r="C12" s="62">
        <v>1</v>
      </c>
      <c r="D12" s="13" t="s">
        <v>10</v>
      </c>
      <c r="E12" s="9"/>
      <c r="F12" s="9"/>
      <c r="G12" s="9"/>
      <c r="H12" s="9"/>
      <c r="I12" s="9"/>
      <c r="L12" t="s">
        <v>408</v>
      </c>
    </row>
    <row r="13" spans="1:13" ht="34.9" customHeight="1" x14ac:dyDescent="0.2">
      <c r="B13" s="58"/>
      <c r="C13" s="59"/>
      <c r="D13" s="60" t="s">
        <v>34</v>
      </c>
      <c r="E13" s="49">
        <v>0</v>
      </c>
      <c r="F13" s="49">
        <v>1</v>
      </c>
      <c r="G13" s="49">
        <v>3</v>
      </c>
      <c r="H13" s="49">
        <v>7</v>
      </c>
      <c r="I13" s="49"/>
      <c r="K13" s="52">
        <v>5</v>
      </c>
      <c r="L13" s="231">
        <f>G$10+(K13-G13)/(H13-G13)*(H$10-G$10)</f>
        <v>180.5</v>
      </c>
      <c r="M13" t="s">
        <v>213</v>
      </c>
    </row>
    <row r="14" spans="1:13" ht="34.9" customHeight="1" thickBot="1" x14ac:dyDescent="0.25">
      <c r="B14" s="14"/>
      <c r="C14" s="16"/>
      <c r="D14" s="17" t="s">
        <v>11</v>
      </c>
      <c r="E14" s="10"/>
      <c r="F14" s="10"/>
      <c r="G14" s="10"/>
      <c r="H14" s="10"/>
      <c r="I14" s="10"/>
    </row>
    <row r="15" spans="1:13" ht="34.9" customHeight="1" x14ac:dyDescent="0.2">
      <c r="B15" s="61" t="s">
        <v>0</v>
      </c>
      <c r="C15" s="62">
        <v>2</v>
      </c>
      <c r="D15" s="13" t="s">
        <v>10</v>
      </c>
      <c r="E15" s="9"/>
      <c r="F15" s="9"/>
      <c r="G15" s="9"/>
      <c r="H15" s="9"/>
      <c r="I15" s="9"/>
    </row>
    <row r="16" spans="1:13" ht="34.9" customHeight="1" x14ac:dyDescent="0.2">
      <c r="B16" s="58"/>
      <c r="C16" s="59"/>
      <c r="D16" s="60" t="s">
        <v>34</v>
      </c>
      <c r="E16" s="49">
        <v>0</v>
      </c>
      <c r="F16" s="49">
        <v>2</v>
      </c>
      <c r="G16" s="49">
        <v>6</v>
      </c>
      <c r="H16" s="49">
        <v>9</v>
      </c>
      <c r="I16" s="49"/>
      <c r="K16" s="52">
        <v>5</v>
      </c>
      <c r="L16" s="231">
        <f>G$10+(K16-G16)/(H16-G16)*(H$10-G$10)</f>
        <v>178</v>
      </c>
      <c r="M16" t="s">
        <v>210</v>
      </c>
    </row>
    <row r="17" spans="1:13" ht="34.9" customHeight="1" thickBot="1" x14ac:dyDescent="0.25">
      <c r="B17" s="14"/>
      <c r="C17" s="16"/>
      <c r="D17" s="17" t="s">
        <v>11</v>
      </c>
      <c r="E17" s="10"/>
      <c r="F17" s="10"/>
      <c r="G17" s="10"/>
      <c r="H17" s="10"/>
      <c r="I17" s="10"/>
    </row>
    <row r="18" spans="1:13" ht="34.9" customHeight="1" x14ac:dyDescent="0.2">
      <c r="B18" s="61" t="s">
        <v>0</v>
      </c>
      <c r="C18" s="62">
        <v>3</v>
      </c>
      <c r="D18" s="13" t="s">
        <v>10</v>
      </c>
      <c r="E18" s="9"/>
      <c r="F18" s="9"/>
      <c r="G18" s="9"/>
      <c r="H18" s="9"/>
      <c r="I18" s="9"/>
    </row>
    <row r="19" spans="1:13" ht="34.9" customHeight="1" x14ac:dyDescent="0.2">
      <c r="B19" s="58"/>
      <c r="C19" s="59"/>
      <c r="D19" s="60" t="s">
        <v>34</v>
      </c>
      <c r="E19" s="49">
        <v>1</v>
      </c>
      <c r="F19" s="49">
        <v>1</v>
      </c>
      <c r="G19" s="49">
        <v>5</v>
      </c>
      <c r="H19" s="49">
        <v>9</v>
      </c>
      <c r="I19" s="49"/>
      <c r="K19" s="52">
        <v>5</v>
      </c>
      <c r="L19" s="231">
        <f>G$10+(K19-G19)/(H19-G19)*(H$10-G$10)</f>
        <v>179</v>
      </c>
      <c r="M19" t="s">
        <v>207</v>
      </c>
    </row>
    <row r="20" spans="1:13" ht="34.9" customHeight="1" thickBot="1" x14ac:dyDescent="0.25">
      <c r="B20" s="14"/>
      <c r="C20" s="16"/>
      <c r="D20" s="17" t="s">
        <v>11</v>
      </c>
      <c r="E20" s="10"/>
      <c r="F20" s="10"/>
      <c r="G20" s="10"/>
      <c r="H20" s="10"/>
      <c r="I20" s="10"/>
    </row>
    <row r="21" spans="1:13" ht="34.9" customHeight="1" x14ac:dyDescent="0.2">
      <c r="B21" s="61" t="s">
        <v>0</v>
      </c>
      <c r="C21" s="62">
        <v>4</v>
      </c>
      <c r="D21" s="13" t="s">
        <v>10</v>
      </c>
      <c r="E21" s="9"/>
      <c r="F21" s="9"/>
      <c r="G21" s="9"/>
      <c r="H21" s="9"/>
      <c r="I21" s="9"/>
    </row>
    <row r="22" spans="1:13" ht="34.9" customHeight="1" x14ac:dyDescent="0.2">
      <c r="B22" s="58"/>
      <c r="C22" s="59"/>
      <c r="D22" s="60" t="s">
        <v>34</v>
      </c>
      <c r="E22" s="49">
        <v>0</v>
      </c>
      <c r="F22" s="49">
        <v>0</v>
      </c>
      <c r="G22" s="49">
        <v>2</v>
      </c>
      <c r="H22" s="49">
        <v>6</v>
      </c>
      <c r="I22" s="49"/>
      <c r="K22" s="52">
        <v>5</v>
      </c>
      <c r="L22" s="231">
        <f>G$10+(K22-G22)/(H22-G22)*(H$10-G$10)</f>
        <v>181.25</v>
      </c>
      <c r="M22" t="s">
        <v>204</v>
      </c>
    </row>
    <row r="23" spans="1:13" ht="34.9" customHeight="1" thickBot="1" x14ac:dyDescent="0.25">
      <c r="B23" s="14"/>
      <c r="C23" s="16"/>
      <c r="D23" s="17" t="s">
        <v>11</v>
      </c>
      <c r="E23" s="10"/>
      <c r="F23" s="10"/>
      <c r="G23" s="10"/>
      <c r="H23" s="10"/>
      <c r="I23" s="10"/>
    </row>
    <row r="24" spans="1:13" ht="34.9" customHeight="1" x14ac:dyDescent="0.2">
      <c r="A24" s="63"/>
      <c r="B24" s="61" t="s">
        <v>1</v>
      </c>
      <c r="C24" s="62">
        <v>4</v>
      </c>
      <c r="D24" s="13" t="s">
        <v>11</v>
      </c>
      <c r="E24" s="9"/>
      <c r="F24" s="9"/>
      <c r="G24" s="9"/>
      <c r="H24" s="9"/>
      <c r="I24" s="9"/>
    </row>
    <row r="25" spans="1:13" ht="34.9" customHeight="1" x14ac:dyDescent="0.2">
      <c r="B25" s="58"/>
      <c r="C25" s="59"/>
      <c r="D25" s="60" t="s">
        <v>34</v>
      </c>
      <c r="E25" s="49">
        <v>1</v>
      </c>
      <c r="F25" s="49">
        <v>2</v>
      </c>
      <c r="G25" s="49">
        <v>5</v>
      </c>
      <c r="H25" s="49">
        <v>8</v>
      </c>
      <c r="I25" s="49"/>
      <c r="K25" s="52">
        <v>5</v>
      </c>
      <c r="L25" s="231">
        <f>G$10+(K25-G25)/(H25-G25)*(H$10-G$10)</f>
        <v>179</v>
      </c>
      <c r="M25" t="s">
        <v>192</v>
      </c>
    </row>
    <row r="26" spans="1:13" ht="34.9" customHeight="1" thickBot="1" x14ac:dyDescent="0.25">
      <c r="B26" s="14"/>
      <c r="C26" s="16"/>
      <c r="D26" s="17" t="s">
        <v>10</v>
      </c>
      <c r="E26" s="10"/>
      <c r="F26" s="10"/>
      <c r="G26" s="10"/>
      <c r="H26" s="10"/>
      <c r="I26" s="10"/>
    </row>
    <row r="27" spans="1:13" ht="34.9" customHeight="1" x14ac:dyDescent="0.2">
      <c r="B27" s="61" t="s">
        <v>1</v>
      </c>
      <c r="C27" s="62">
        <v>3</v>
      </c>
      <c r="D27" s="13" t="s">
        <v>11</v>
      </c>
      <c r="E27" s="9"/>
      <c r="F27" s="9"/>
      <c r="G27" s="9"/>
      <c r="H27" s="9"/>
      <c r="I27" s="9"/>
    </row>
    <row r="28" spans="1:13" ht="34.9" customHeight="1" x14ac:dyDescent="0.2">
      <c r="B28" s="58"/>
      <c r="C28" s="59"/>
      <c r="D28" s="60" t="s">
        <v>34</v>
      </c>
      <c r="E28" s="49">
        <v>1</v>
      </c>
      <c r="F28" s="49">
        <v>1</v>
      </c>
      <c r="G28" s="49">
        <v>4</v>
      </c>
      <c r="H28" s="49">
        <v>7</v>
      </c>
      <c r="I28" s="49"/>
      <c r="K28" s="52">
        <v>5</v>
      </c>
      <c r="L28" s="231">
        <f>G$10+(K28-G28)/(H28-G28)*(H$10-G$10)</f>
        <v>180</v>
      </c>
      <c r="M28" t="s">
        <v>195</v>
      </c>
    </row>
    <row r="29" spans="1:13" ht="34.9" customHeight="1" thickBot="1" x14ac:dyDescent="0.25">
      <c r="B29" s="14"/>
      <c r="C29" s="16"/>
      <c r="D29" s="17" t="s">
        <v>10</v>
      </c>
      <c r="E29" s="10"/>
      <c r="F29" s="10"/>
      <c r="G29" s="10"/>
      <c r="H29" s="10"/>
      <c r="I29" s="10"/>
    </row>
    <row r="30" spans="1:13" ht="34.9" customHeight="1" x14ac:dyDescent="0.2">
      <c r="B30" s="61" t="s">
        <v>1</v>
      </c>
      <c r="C30" s="62">
        <v>2</v>
      </c>
      <c r="D30" s="13" t="s">
        <v>11</v>
      </c>
      <c r="E30" s="9"/>
      <c r="F30" s="9"/>
      <c r="G30" s="9"/>
      <c r="H30" s="9"/>
      <c r="I30" s="9"/>
    </row>
    <row r="31" spans="1:13" ht="34.9" customHeight="1" x14ac:dyDescent="0.2">
      <c r="B31" s="58"/>
      <c r="C31" s="59"/>
      <c r="D31" s="60" t="s">
        <v>34</v>
      </c>
      <c r="E31" s="49">
        <v>1</v>
      </c>
      <c r="F31" s="49">
        <v>2</v>
      </c>
      <c r="G31" s="49">
        <v>3</v>
      </c>
      <c r="H31" s="49">
        <v>5</v>
      </c>
      <c r="I31" s="49"/>
      <c r="K31" s="52">
        <v>5</v>
      </c>
      <c r="L31" s="231">
        <f>G$10+(K31-G31)/(H31-G31)*(H$10-G$10)</f>
        <v>182</v>
      </c>
      <c r="M31" t="s">
        <v>198</v>
      </c>
    </row>
    <row r="32" spans="1:13" ht="34.9" customHeight="1" thickBot="1" x14ac:dyDescent="0.25">
      <c r="B32" s="14"/>
      <c r="C32" s="16"/>
      <c r="D32" s="17" t="s">
        <v>10</v>
      </c>
      <c r="E32" s="10"/>
      <c r="F32" s="10"/>
      <c r="G32" s="10"/>
      <c r="H32" s="10"/>
      <c r="I32" s="10"/>
    </row>
    <row r="33" spans="1:13" ht="34.9" customHeight="1" x14ac:dyDescent="0.2">
      <c r="B33" s="61" t="s">
        <v>1</v>
      </c>
      <c r="C33" s="62">
        <v>1</v>
      </c>
      <c r="D33" s="13" t="s">
        <v>11</v>
      </c>
      <c r="E33" s="9"/>
      <c r="F33" s="9"/>
      <c r="G33" s="9"/>
      <c r="H33" s="9"/>
      <c r="I33" s="9"/>
    </row>
    <row r="34" spans="1:13" ht="34.9" customHeight="1" x14ac:dyDescent="0.2">
      <c r="B34" s="58"/>
      <c r="C34" s="59"/>
      <c r="D34" s="60" t="s">
        <v>34</v>
      </c>
      <c r="E34" s="49">
        <v>1</v>
      </c>
      <c r="F34" s="49">
        <v>3</v>
      </c>
      <c r="G34" s="49">
        <v>4</v>
      </c>
      <c r="H34" s="49">
        <v>7</v>
      </c>
      <c r="I34" s="49"/>
      <c r="K34" s="52">
        <v>5</v>
      </c>
      <c r="L34" s="231">
        <f>G$10+(K34-G34)/(H34-G34)*(H$10-G$10)</f>
        <v>180</v>
      </c>
      <c r="M34" t="s">
        <v>201</v>
      </c>
    </row>
    <row r="35" spans="1:13" ht="34.9" customHeight="1" thickBot="1" x14ac:dyDescent="0.25">
      <c r="B35" s="14"/>
      <c r="C35" s="16"/>
      <c r="D35" s="17" t="s">
        <v>10</v>
      </c>
      <c r="E35" s="10"/>
      <c r="F35" s="10"/>
      <c r="G35" s="10"/>
      <c r="H35" s="10"/>
      <c r="I35" s="10"/>
    </row>
    <row r="36" spans="1:13" ht="34.9" customHeight="1" x14ac:dyDescent="0.2">
      <c r="A36" s="63"/>
      <c r="B36" s="61" t="s">
        <v>2</v>
      </c>
      <c r="C36" s="62">
        <v>1</v>
      </c>
      <c r="D36" s="13" t="s">
        <v>10</v>
      </c>
      <c r="E36" s="9"/>
      <c r="F36" s="9"/>
      <c r="G36" s="9"/>
      <c r="H36" s="9"/>
      <c r="I36" s="9"/>
    </row>
    <row r="37" spans="1:13" ht="34.9" customHeight="1" x14ac:dyDescent="0.2">
      <c r="B37" s="58"/>
      <c r="C37" s="59"/>
      <c r="D37" s="60" t="s">
        <v>34</v>
      </c>
      <c r="E37" s="49">
        <v>0</v>
      </c>
      <c r="F37" s="49">
        <v>1</v>
      </c>
      <c r="G37" s="49">
        <v>3</v>
      </c>
      <c r="H37" s="49">
        <v>6</v>
      </c>
      <c r="I37" s="49"/>
      <c r="K37" s="52">
        <v>5</v>
      </c>
      <c r="L37" s="231">
        <f>G$10+(K37-G37)/(H37-G37)*(H$10-G$10)</f>
        <v>181</v>
      </c>
      <c r="M37" t="s">
        <v>189</v>
      </c>
    </row>
    <row r="38" spans="1:13" ht="34.9" customHeight="1" thickBot="1" x14ac:dyDescent="0.25">
      <c r="B38" s="14"/>
      <c r="C38" s="16"/>
      <c r="D38" s="17" t="s">
        <v>11</v>
      </c>
      <c r="E38" s="10"/>
      <c r="F38" s="10"/>
      <c r="G38" s="10"/>
      <c r="H38" s="10"/>
      <c r="I38" s="10"/>
    </row>
    <row r="39" spans="1:13" ht="34.9" customHeight="1" x14ac:dyDescent="0.2">
      <c r="B39" s="61" t="s">
        <v>2</v>
      </c>
      <c r="C39" s="62">
        <v>2</v>
      </c>
      <c r="D39" s="13" t="s">
        <v>10</v>
      </c>
      <c r="E39" s="9"/>
      <c r="F39" s="9"/>
      <c r="G39" s="9"/>
      <c r="H39" s="9"/>
      <c r="I39" s="9"/>
    </row>
    <row r="40" spans="1:13" ht="34.9" customHeight="1" x14ac:dyDescent="0.2">
      <c r="B40" s="58"/>
      <c r="C40" s="59"/>
      <c r="D40" s="60" t="s">
        <v>34</v>
      </c>
      <c r="E40" s="49">
        <v>0</v>
      </c>
      <c r="F40" s="49">
        <v>0</v>
      </c>
      <c r="G40" s="49">
        <v>3</v>
      </c>
      <c r="H40" s="49">
        <v>6</v>
      </c>
      <c r="I40" s="49"/>
      <c r="K40" s="52">
        <v>5</v>
      </c>
      <c r="L40" s="231">
        <f>G$10+(K40-G40)/(H40-G40)*(H$10-G$10)</f>
        <v>181</v>
      </c>
      <c r="M40" t="s">
        <v>186</v>
      </c>
    </row>
    <row r="41" spans="1:13" ht="34.9" customHeight="1" thickBot="1" x14ac:dyDescent="0.25">
      <c r="B41" s="14"/>
      <c r="C41" s="16"/>
      <c r="D41" s="17" t="s">
        <v>11</v>
      </c>
      <c r="E41" s="10"/>
      <c r="F41" s="10"/>
      <c r="G41" s="10"/>
      <c r="H41" s="10"/>
      <c r="I41" s="10"/>
    </row>
    <row r="42" spans="1:13" ht="34.9" customHeight="1" x14ac:dyDescent="0.2">
      <c r="B42" s="61" t="s">
        <v>2</v>
      </c>
      <c r="C42" s="62">
        <v>3</v>
      </c>
      <c r="D42" s="13" t="s">
        <v>10</v>
      </c>
      <c r="E42" s="9"/>
      <c r="F42" s="9"/>
      <c r="G42" s="9"/>
      <c r="H42" s="9"/>
      <c r="I42" s="9"/>
    </row>
    <row r="43" spans="1:13" ht="34.9" customHeight="1" x14ac:dyDescent="0.2">
      <c r="B43" s="58"/>
      <c r="C43" s="59"/>
      <c r="D43" s="60" t="s">
        <v>34</v>
      </c>
      <c r="E43" s="49">
        <v>0</v>
      </c>
      <c r="F43" s="49">
        <v>1</v>
      </c>
      <c r="G43" s="49">
        <v>2</v>
      </c>
      <c r="H43" s="49">
        <v>7</v>
      </c>
      <c r="I43" s="49"/>
      <c r="K43" s="52">
        <v>5</v>
      </c>
      <c r="L43" s="231">
        <f>G$10+(K43-G43)/(H43-G43)*(H$10-G$10)</f>
        <v>180.8</v>
      </c>
      <c r="M43" t="s">
        <v>183</v>
      </c>
    </row>
    <row r="44" spans="1:13" ht="34.9" customHeight="1" thickBot="1" x14ac:dyDescent="0.25">
      <c r="B44" s="14"/>
      <c r="C44" s="16"/>
      <c r="D44" s="17" t="s">
        <v>11</v>
      </c>
      <c r="E44" s="10"/>
      <c r="F44" s="10"/>
      <c r="G44" s="10"/>
      <c r="H44" s="10"/>
      <c r="I44" s="10"/>
    </row>
    <row r="45" spans="1:13" ht="34.9" customHeight="1" x14ac:dyDescent="0.2">
      <c r="B45" s="61" t="s">
        <v>2</v>
      </c>
      <c r="C45" s="62">
        <v>4</v>
      </c>
      <c r="D45" s="13" t="s">
        <v>10</v>
      </c>
      <c r="E45" s="9"/>
      <c r="F45" s="9"/>
      <c r="G45" s="9"/>
      <c r="H45" s="9"/>
      <c r="I45" s="9"/>
    </row>
    <row r="46" spans="1:13" ht="34.9" customHeight="1" x14ac:dyDescent="0.2">
      <c r="B46" s="58"/>
      <c r="C46" s="59"/>
      <c r="D46" s="60" t="s">
        <v>34</v>
      </c>
      <c r="E46" s="49">
        <v>1</v>
      </c>
      <c r="F46" s="49">
        <v>2</v>
      </c>
      <c r="G46" s="49">
        <v>5</v>
      </c>
      <c r="H46" s="49">
        <v>8</v>
      </c>
      <c r="I46" s="49"/>
      <c r="K46" s="52">
        <v>5</v>
      </c>
      <c r="L46" s="231">
        <f>G$10+(K46-G46)/(H46-G46)*(H$10-G$10)</f>
        <v>179</v>
      </c>
      <c r="M46" t="s">
        <v>180</v>
      </c>
    </row>
    <row r="47" spans="1:13" ht="34.9" customHeight="1" thickBot="1" x14ac:dyDescent="0.25">
      <c r="B47" s="14"/>
      <c r="C47" s="16"/>
      <c r="D47" s="17" t="s">
        <v>11</v>
      </c>
      <c r="E47" s="10"/>
      <c r="F47" s="10"/>
      <c r="G47" s="10"/>
      <c r="H47" s="10"/>
      <c r="I47" s="10"/>
    </row>
    <row r="48" spans="1:13" ht="34.9" customHeight="1" x14ac:dyDescent="0.2">
      <c r="A48" s="63"/>
      <c r="B48" s="61" t="s">
        <v>3</v>
      </c>
      <c r="C48" s="62">
        <v>4</v>
      </c>
      <c r="D48" s="13" t="s">
        <v>11</v>
      </c>
      <c r="E48" s="9"/>
      <c r="F48" s="9"/>
      <c r="G48" s="9"/>
      <c r="H48" s="9"/>
      <c r="I48" s="9"/>
    </row>
    <row r="49" spans="1:13" ht="34.9" customHeight="1" x14ac:dyDescent="0.2">
      <c r="B49" s="58"/>
      <c r="C49" s="59"/>
      <c r="D49" s="60" t="s">
        <v>34</v>
      </c>
      <c r="E49" s="49">
        <v>0</v>
      </c>
      <c r="F49" s="49">
        <v>1</v>
      </c>
      <c r="G49" s="49">
        <v>3</v>
      </c>
      <c r="H49" s="49">
        <v>6</v>
      </c>
      <c r="I49" s="49"/>
      <c r="K49" s="52">
        <v>5</v>
      </c>
      <c r="L49" s="231">
        <f>G$10+(K49-G49)/(H49-G49)*(H$10-G$10)</f>
        <v>181</v>
      </c>
      <c r="M49" t="s">
        <v>168</v>
      </c>
    </row>
    <row r="50" spans="1:13" ht="34.9" customHeight="1" thickBot="1" x14ac:dyDescent="0.25">
      <c r="B50" s="14"/>
      <c r="C50" s="16"/>
      <c r="D50" s="17" t="s">
        <v>10</v>
      </c>
      <c r="E50" s="10"/>
      <c r="F50" s="10"/>
      <c r="G50" s="10"/>
      <c r="H50" s="10"/>
      <c r="I50" s="10"/>
    </row>
    <row r="51" spans="1:13" ht="34.9" customHeight="1" x14ac:dyDescent="0.2">
      <c r="B51" s="61" t="s">
        <v>3</v>
      </c>
      <c r="C51" s="62">
        <v>3</v>
      </c>
      <c r="D51" s="13" t="s">
        <v>11</v>
      </c>
      <c r="E51" s="9"/>
      <c r="F51" s="9"/>
      <c r="G51" s="9"/>
      <c r="H51" s="9"/>
      <c r="I51" s="9"/>
    </row>
    <row r="52" spans="1:13" ht="34.9" customHeight="1" x14ac:dyDescent="0.2">
      <c r="B52" s="58"/>
      <c r="C52" s="59"/>
      <c r="D52" s="60" t="s">
        <v>34</v>
      </c>
      <c r="E52" s="49">
        <v>1</v>
      </c>
      <c r="F52" s="49">
        <v>1</v>
      </c>
      <c r="G52" s="49">
        <v>6</v>
      </c>
      <c r="H52" s="49">
        <v>7</v>
      </c>
      <c r="I52" s="49"/>
      <c r="K52" s="52">
        <v>5</v>
      </c>
      <c r="L52" s="231">
        <f>G$10+(K52-G52)/(H52-G52)*(H$10-G$10)</f>
        <v>176</v>
      </c>
      <c r="M52" t="s">
        <v>171</v>
      </c>
    </row>
    <row r="53" spans="1:13" ht="34.9" customHeight="1" thickBot="1" x14ac:dyDescent="0.25">
      <c r="B53" s="14"/>
      <c r="C53" s="16"/>
      <c r="D53" s="17" t="s">
        <v>10</v>
      </c>
      <c r="E53" s="10"/>
      <c r="F53" s="10"/>
      <c r="G53" s="10"/>
      <c r="H53" s="10"/>
      <c r="I53" s="10"/>
    </row>
    <row r="54" spans="1:13" ht="34.9" customHeight="1" x14ac:dyDescent="0.2">
      <c r="B54" s="61" t="s">
        <v>3</v>
      </c>
      <c r="C54" s="62">
        <v>2</v>
      </c>
      <c r="D54" s="13" t="s">
        <v>11</v>
      </c>
      <c r="E54" s="9"/>
      <c r="F54" s="9"/>
      <c r="G54" s="9"/>
      <c r="H54" s="9"/>
      <c r="I54" s="9"/>
    </row>
    <row r="55" spans="1:13" ht="34.9" customHeight="1" x14ac:dyDescent="0.2">
      <c r="B55" s="58"/>
      <c r="C55" s="59"/>
      <c r="D55" s="60" t="s">
        <v>34</v>
      </c>
      <c r="E55" s="49">
        <v>1</v>
      </c>
      <c r="F55" s="49">
        <v>2</v>
      </c>
      <c r="G55" s="49">
        <v>4</v>
      </c>
      <c r="H55" s="49">
        <v>6</v>
      </c>
      <c r="I55" s="49"/>
      <c r="K55" s="52">
        <v>5</v>
      </c>
      <c r="L55" s="231">
        <f>G$10+(K55-G55)/(H55-G55)*(H$10-G$10)</f>
        <v>180.5</v>
      </c>
      <c r="M55" t="s">
        <v>174</v>
      </c>
    </row>
    <row r="56" spans="1:13" ht="34.9" customHeight="1" thickBot="1" x14ac:dyDescent="0.25">
      <c r="B56" s="14"/>
      <c r="C56" s="16"/>
      <c r="D56" s="17" t="s">
        <v>10</v>
      </c>
      <c r="E56" s="10"/>
      <c r="F56" s="10"/>
      <c r="G56" s="10"/>
      <c r="H56" s="10"/>
      <c r="I56" s="10"/>
    </row>
    <row r="57" spans="1:13" ht="34.9" customHeight="1" x14ac:dyDescent="0.2">
      <c r="B57" s="61" t="s">
        <v>3</v>
      </c>
      <c r="C57" s="62">
        <v>1</v>
      </c>
      <c r="D57" s="13" t="s">
        <v>11</v>
      </c>
      <c r="E57" s="9"/>
      <c r="F57" s="9"/>
      <c r="G57" s="9"/>
      <c r="H57" s="9"/>
      <c r="I57" s="9"/>
    </row>
    <row r="58" spans="1:13" ht="34.9" customHeight="1" x14ac:dyDescent="0.2">
      <c r="B58" s="58"/>
      <c r="C58" s="59"/>
      <c r="D58" s="60" t="s">
        <v>34</v>
      </c>
      <c r="E58" s="49">
        <v>0</v>
      </c>
      <c r="F58" s="49">
        <v>2</v>
      </c>
      <c r="G58" s="49">
        <v>4</v>
      </c>
      <c r="H58" s="49">
        <v>7</v>
      </c>
      <c r="I58" s="49"/>
      <c r="K58" s="52">
        <v>5</v>
      </c>
      <c r="L58" s="231">
        <f>G$10+(K58-G58)/(H58-G58)*(H$10-G$10)</f>
        <v>180</v>
      </c>
      <c r="M58" t="s">
        <v>177</v>
      </c>
    </row>
    <row r="59" spans="1:13" ht="34.9" customHeight="1" thickBot="1" x14ac:dyDescent="0.25">
      <c r="B59" s="14"/>
      <c r="C59" s="16"/>
      <c r="D59" s="17" t="s">
        <v>10</v>
      </c>
      <c r="E59" s="10"/>
      <c r="F59" s="10"/>
      <c r="G59" s="10"/>
      <c r="H59" s="10"/>
      <c r="I59" s="10"/>
    </row>
    <row r="60" spans="1:13" ht="34.9" customHeight="1" x14ac:dyDescent="0.2">
      <c r="A60" s="63"/>
      <c r="B60" s="61" t="s">
        <v>4</v>
      </c>
      <c r="C60" s="62">
        <v>1</v>
      </c>
      <c r="D60" s="13" t="s">
        <v>10</v>
      </c>
      <c r="E60" s="9"/>
      <c r="F60" s="9"/>
      <c r="G60" s="9"/>
      <c r="H60" s="9"/>
      <c r="I60" s="9"/>
    </row>
    <row r="61" spans="1:13" ht="34.9" customHeight="1" x14ac:dyDescent="0.2">
      <c r="B61" s="58"/>
      <c r="C61" s="59"/>
      <c r="D61" s="60" t="s">
        <v>34</v>
      </c>
      <c r="E61" s="49">
        <v>0</v>
      </c>
      <c r="F61" s="49">
        <v>1</v>
      </c>
      <c r="G61" s="49">
        <v>3</v>
      </c>
      <c r="H61" s="49">
        <v>6</v>
      </c>
      <c r="I61" s="49"/>
      <c r="K61" s="52">
        <v>5</v>
      </c>
      <c r="L61" s="231">
        <f>G$10+(K61-G61)/(H61-G61)*(H$10-G$10)</f>
        <v>181</v>
      </c>
      <c r="M61" t="s">
        <v>165</v>
      </c>
    </row>
    <row r="62" spans="1:13" ht="34.9" customHeight="1" thickBot="1" x14ac:dyDescent="0.25">
      <c r="B62" s="14"/>
      <c r="C62" s="16"/>
      <c r="D62" s="17" t="s">
        <v>11</v>
      </c>
      <c r="E62" s="10"/>
      <c r="F62" s="10"/>
      <c r="G62" s="10"/>
      <c r="H62" s="10"/>
      <c r="I62" s="10"/>
    </row>
    <row r="63" spans="1:13" ht="34.9" customHeight="1" x14ac:dyDescent="0.2">
      <c r="B63" s="61" t="s">
        <v>4</v>
      </c>
      <c r="C63" s="62">
        <v>2</v>
      </c>
      <c r="D63" s="13" t="s">
        <v>10</v>
      </c>
      <c r="E63" s="9"/>
      <c r="F63" s="9"/>
      <c r="G63" s="9"/>
      <c r="H63" s="9"/>
      <c r="I63" s="9"/>
    </row>
    <row r="64" spans="1:13" ht="34.9" customHeight="1" x14ac:dyDescent="0.2">
      <c r="B64" s="58"/>
      <c r="C64" s="59"/>
      <c r="D64" s="60" t="s">
        <v>34</v>
      </c>
      <c r="E64" s="49">
        <v>0</v>
      </c>
      <c r="F64" s="49">
        <v>0</v>
      </c>
      <c r="G64" s="49">
        <v>1</v>
      </c>
      <c r="H64" s="49">
        <v>5</v>
      </c>
      <c r="I64" s="49"/>
      <c r="K64" s="52">
        <v>5</v>
      </c>
      <c r="L64" s="231">
        <f>G$10+(K64-G64)/(H64-G64)*(H$10-G$10)</f>
        <v>182</v>
      </c>
      <c r="M64" t="s">
        <v>162</v>
      </c>
    </row>
    <row r="65" spans="1:13" ht="34.9" customHeight="1" thickBot="1" x14ac:dyDescent="0.25">
      <c r="B65" s="14"/>
      <c r="C65" s="16"/>
      <c r="D65" s="17" t="s">
        <v>11</v>
      </c>
      <c r="E65" s="10"/>
      <c r="F65" s="10"/>
      <c r="G65" s="10"/>
      <c r="H65" s="10"/>
      <c r="I65" s="10"/>
    </row>
    <row r="66" spans="1:13" ht="34.9" customHeight="1" x14ac:dyDescent="0.2">
      <c r="B66" s="61" t="s">
        <v>4</v>
      </c>
      <c r="C66" s="62">
        <v>3</v>
      </c>
      <c r="D66" s="13" t="s">
        <v>10</v>
      </c>
      <c r="E66" s="9"/>
      <c r="F66" s="9"/>
      <c r="G66" s="9"/>
      <c r="H66" s="9"/>
      <c r="I66" s="9"/>
    </row>
    <row r="67" spans="1:13" ht="34.9" customHeight="1" x14ac:dyDescent="0.2">
      <c r="B67" s="58"/>
      <c r="C67" s="59"/>
      <c r="D67" s="60" t="s">
        <v>34</v>
      </c>
      <c r="E67" s="49">
        <v>0</v>
      </c>
      <c r="F67" s="49">
        <v>1</v>
      </c>
      <c r="G67" s="49">
        <v>4</v>
      </c>
      <c r="H67" s="49">
        <v>6</v>
      </c>
      <c r="I67" s="49"/>
      <c r="K67" s="52">
        <v>5</v>
      </c>
      <c r="L67" s="231">
        <f>G$10+(K67-G67)/(H67-G67)*(H$10-G$10)</f>
        <v>180.5</v>
      </c>
      <c r="M67" t="s">
        <v>159</v>
      </c>
    </row>
    <row r="68" spans="1:13" ht="34.9" customHeight="1" thickBot="1" x14ac:dyDescent="0.25">
      <c r="B68" s="14"/>
      <c r="C68" s="16"/>
      <c r="D68" s="17" t="s">
        <v>11</v>
      </c>
      <c r="E68" s="10"/>
      <c r="F68" s="10"/>
      <c r="G68" s="10"/>
      <c r="H68" s="10"/>
      <c r="I68" s="10"/>
    </row>
    <row r="69" spans="1:13" ht="34.9" customHeight="1" x14ac:dyDescent="0.2">
      <c r="B69" s="61" t="s">
        <v>4</v>
      </c>
      <c r="C69" s="62">
        <v>4</v>
      </c>
      <c r="D69" s="13" t="s">
        <v>10</v>
      </c>
      <c r="E69" s="9"/>
      <c r="F69" s="9"/>
      <c r="G69" s="9"/>
      <c r="H69" s="9"/>
      <c r="I69" s="9"/>
    </row>
    <row r="70" spans="1:13" ht="34.9" customHeight="1" x14ac:dyDescent="0.2">
      <c r="B70" s="58"/>
      <c r="C70" s="59"/>
      <c r="D70" s="60" t="s">
        <v>34</v>
      </c>
      <c r="E70" s="49">
        <v>1</v>
      </c>
      <c r="F70" s="49">
        <v>2</v>
      </c>
      <c r="G70" s="49">
        <v>4</v>
      </c>
      <c r="H70" s="49">
        <v>8</v>
      </c>
      <c r="I70" s="49"/>
      <c r="K70" s="52">
        <v>5</v>
      </c>
      <c r="L70" s="231">
        <f>G$10+(K70-G70)/(H70-G70)*(H$10-G$10)</f>
        <v>179.75</v>
      </c>
      <c r="M70" t="s">
        <v>156</v>
      </c>
    </row>
    <row r="71" spans="1:13" ht="34.9" customHeight="1" thickBot="1" x14ac:dyDescent="0.25">
      <c r="B71" s="14"/>
      <c r="C71" s="16"/>
      <c r="D71" s="17" t="s">
        <v>11</v>
      </c>
      <c r="E71" s="10"/>
      <c r="F71" s="10"/>
      <c r="G71" s="10"/>
      <c r="H71" s="10"/>
      <c r="I71" s="10"/>
    </row>
    <row r="72" spans="1:13" ht="34.9" customHeight="1" x14ac:dyDescent="0.2">
      <c r="A72" s="63"/>
      <c r="B72" s="61" t="s">
        <v>5</v>
      </c>
      <c r="C72" s="62">
        <v>4</v>
      </c>
      <c r="D72" s="13" t="s">
        <v>11</v>
      </c>
      <c r="E72" s="9"/>
      <c r="F72" s="9"/>
      <c r="G72" s="9"/>
      <c r="H72" s="9"/>
      <c r="I72" s="9"/>
    </row>
    <row r="73" spans="1:13" ht="34.9" customHeight="1" x14ac:dyDescent="0.2">
      <c r="B73" s="58"/>
      <c r="C73" s="59"/>
      <c r="D73" s="60" t="s">
        <v>34</v>
      </c>
      <c r="E73" s="49">
        <v>1</v>
      </c>
      <c r="F73" s="49">
        <v>2</v>
      </c>
      <c r="G73" s="49">
        <v>5</v>
      </c>
      <c r="H73" s="49">
        <v>7</v>
      </c>
      <c r="I73" s="49"/>
      <c r="K73" s="52">
        <v>5</v>
      </c>
      <c r="L73" s="231">
        <f>G$10+(K73-G73)/(H73-G73)*(H$10-G$10)</f>
        <v>179</v>
      </c>
      <c r="M73" t="s">
        <v>144</v>
      </c>
    </row>
    <row r="74" spans="1:13" ht="34.9" customHeight="1" thickBot="1" x14ac:dyDescent="0.25">
      <c r="B74" s="14"/>
      <c r="C74" s="16"/>
      <c r="D74" s="17" t="s">
        <v>10</v>
      </c>
      <c r="E74" s="10"/>
      <c r="F74" s="10"/>
      <c r="G74" s="10"/>
      <c r="H74" s="10"/>
      <c r="I74" s="10"/>
    </row>
    <row r="75" spans="1:13" ht="34.9" customHeight="1" x14ac:dyDescent="0.2">
      <c r="B75" s="61" t="s">
        <v>5</v>
      </c>
      <c r="C75" s="62">
        <v>3</v>
      </c>
      <c r="D75" s="13" t="s">
        <v>11</v>
      </c>
      <c r="E75" s="9"/>
      <c r="F75" s="9"/>
      <c r="G75" s="9"/>
      <c r="H75" s="9"/>
      <c r="I75" s="9"/>
    </row>
    <row r="76" spans="1:13" ht="34.9" customHeight="1" x14ac:dyDescent="0.2">
      <c r="B76" s="58"/>
      <c r="C76" s="59"/>
      <c r="D76" s="60" t="s">
        <v>34</v>
      </c>
      <c r="E76" s="49">
        <v>0</v>
      </c>
      <c r="F76" s="49">
        <v>0</v>
      </c>
      <c r="G76" s="49">
        <v>3</v>
      </c>
      <c r="H76" s="49">
        <v>6</v>
      </c>
      <c r="I76" s="49"/>
      <c r="K76" s="52">
        <v>5</v>
      </c>
      <c r="L76" s="231">
        <f>G$10+(K76-G76)/(H76-G76)*(H$10-G$10)</f>
        <v>181</v>
      </c>
      <c r="M76" t="s">
        <v>147</v>
      </c>
    </row>
    <row r="77" spans="1:13" ht="34.9" customHeight="1" thickBot="1" x14ac:dyDescent="0.25">
      <c r="B77" s="14"/>
      <c r="C77" s="16"/>
      <c r="D77" s="17" t="s">
        <v>10</v>
      </c>
      <c r="E77" s="10"/>
      <c r="F77" s="10"/>
      <c r="G77" s="10"/>
      <c r="H77" s="10"/>
      <c r="I77" s="10"/>
    </row>
    <row r="78" spans="1:13" ht="34.9" customHeight="1" x14ac:dyDescent="0.2">
      <c r="B78" s="61" t="s">
        <v>5</v>
      </c>
      <c r="C78" s="62">
        <v>2</v>
      </c>
      <c r="D78" s="13" t="s">
        <v>11</v>
      </c>
      <c r="E78" s="9">
        <v>0</v>
      </c>
      <c r="F78" s="9">
        <v>1</v>
      </c>
      <c r="G78" s="9">
        <v>4</v>
      </c>
      <c r="H78" s="9">
        <v>7</v>
      </c>
      <c r="I78" s="9"/>
      <c r="K78" s="52">
        <v>5</v>
      </c>
      <c r="L78" s="231">
        <f t="shared" ref="L78:L83" si="0">G$10+(K78-G78)/(H78-G78)*(H$10-G$10)</f>
        <v>180</v>
      </c>
      <c r="M78" t="s">
        <v>152</v>
      </c>
    </row>
    <row r="79" spans="1:13" ht="34.9" customHeight="1" x14ac:dyDescent="0.2">
      <c r="B79" s="58"/>
      <c r="C79" s="59"/>
      <c r="D79" s="60" t="s">
        <v>34</v>
      </c>
      <c r="E79" s="49">
        <v>0</v>
      </c>
      <c r="F79" s="49">
        <v>1</v>
      </c>
      <c r="G79" s="49">
        <v>2</v>
      </c>
      <c r="H79" s="49">
        <v>5</v>
      </c>
      <c r="I79" s="49"/>
      <c r="K79" s="52">
        <v>5</v>
      </c>
      <c r="L79" s="231">
        <f t="shared" si="0"/>
        <v>182</v>
      </c>
      <c r="M79" t="s">
        <v>150</v>
      </c>
    </row>
    <row r="80" spans="1:13" ht="34.9" customHeight="1" thickBot="1" x14ac:dyDescent="0.25">
      <c r="B80" s="14"/>
      <c r="C80" s="16"/>
      <c r="D80" s="17" t="s">
        <v>10</v>
      </c>
      <c r="E80" s="10">
        <v>1</v>
      </c>
      <c r="F80" s="10">
        <v>2</v>
      </c>
      <c r="G80" s="10">
        <v>5</v>
      </c>
      <c r="H80" s="10">
        <v>7</v>
      </c>
      <c r="I80" s="10"/>
      <c r="K80" s="52">
        <v>5</v>
      </c>
      <c r="L80" s="231">
        <f t="shared" si="0"/>
        <v>179</v>
      </c>
      <c r="M80" t="s">
        <v>154</v>
      </c>
    </row>
    <row r="81" spans="1:13" ht="34.9" customHeight="1" x14ac:dyDescent="0.2">
      <c r="B81" s="66" t="s">
        <v>5</v>
      </c>
      <c r="C81" s="67">
        <v>1</v>
      </c>
      <c r="D81" s="68" t="s">
        <v>11</v>
      </c>
      <c r="E81" s="69">
        <v>0</v>
      </c>
      <c r="F81" s="69">
        <v>2</v>
      </c>
      <c r="G81" s="69">
        <v>6</v>
      </c>
      <c r="H81" s="69">
        <v>7</v>
      </c>
      <c r="I81" s="69"/>
      <c r="K81" s="52">
        <v>5</v>
      </c>
      <c r="L81" s="231">
        <f t="shared" si="0"/>
        <v>176</v>
      </c>
      <c r="M81" t="s">
        <v>152</v>
      </c>
    </row>
    <row r="82" spans="1:13" ht="34.9" customHeight="1" x14ac:dyDescent="0.2">
      <c r="B82" s="70"/>
      <c r="C82" s="71"/>
      <c r="D82" s="72" t="s">
        <v>34</v>
      </c>
      <c r="E82" s="73">
        <v>0</v>
      </c>
      <c r="F82" s="73">
        <v>1</v>
      </c>
      <c r="G82" s="73">
        <v>5</v>
      </c>
      <c r="H82" s="73">
        <v>6</v>
      </c>
      <c r="I82" s="73"/>
      <c r="K82" s="52">
        <v>5</v>
      </c>
      <c r="L82" s="231">
        <f t="shared" si="0"/>
        <v>179</v>
      </c>
      <c r="M82" t="s">
        <v>153</v>
      </c>
    </row>
    <row r="83" spans="1:13" ht="34.9" customHeight="1" thickBot="1" x14ac:dyDescent="0.25">
      <c r="B83" s="74"/>
      <c r="C83" s="75"/>
      <c r="D83" s="76" t="s">
        <v>10</v>
      </c>
      <c r="E83" s="77">
        <v>0</v>
      </c>
      <c r="F83" s="77">
        <v>1</v>
      </c>
      <c r="G83" s="77">
        <v>5</v>
      </c>
      <c r="H83" s="77">
        <v>6</v>
      </c>
      <c r="I83" s="77"/>
      <c r="K83" s="52">
        <v>5</v>
      </c>
      <c r="L83" s="231">
        <f t="shared" si="0"/>
        <v>179</v>
      </c>
      <c r="M83" t="s">
        <v>154</v>
      </c>
    </row>
    <row r="84" spans="1:13" ht="34.5" customHeight="1" x14ac:dyDescent="0.2">
      <c r="A84" s="63"/>
      <c r="B84" s="61" t="s">
        <v>35</v>
      </c>
      <c r="C84" s="62">
        <v>1</v>
      </c>
      <c r="D84" s="13" t="s">
        <v>10</v>
      </c>
      <c r="E84" s="9"/>
      <c r="F84" s="9"/>
      <c r="G84" s="9"/>
      <c r="H84" s="9"/>
      <c r="I84" s="9"/>
    </row>
    <row r="85" spans="1:13" ht="34.5" customHeight="1" x14ac:dyDescent="0.2">
      <c r="B85" s="58"/>
      <c r="C85" s="59"/>
      <c r="D85" s="60" t="s">
        <v>34</v>
      </c>
      <c r="E85" s="49">
        <v>0</v>
      </c>
      <c r="F85" s="49">
        <v>0</v>
      </c>
      <c r="G85" s="49">
        <v>1</v>
      </c>
      <c r="H85" s="49">
        <v>5</v>
      </c>
      <c r="I85" s="49"/>
      <c r="K85" s="52">
        <v>5</v>
      </c>
      <c r="L85" s="231">
        <f>G$10+(K85-G85)/(H85-G85)*(H$10-G$10)</f>
        <v>182</v>
      </c>
      <c r="M85" t="s">
        <v>141</v>
      </c>
    </row>
    <row r="86" spans="1:13" ht="34.5" customHeight="1" thickBot="1" x14ac:dyDescent="0.25">
      <c r="B86" s="14"/>
      <c r="C86" s="16"/>
      <c r="D86" s="17" t="s">
        <v>11</v>
      </c>
      <c r="E86" s="10"/>
      <c r="F86" s="10"/>
      <c r="G86" s="10"/>
      <c r="H86" s="10"/>
      <c r="I86" s="10"/>
    </row>
    <row r="87" spans="1:13" ht="34.5" customHeight="1" x14ac:dyDescent="0.2">
      <c r="B87" s="61" t="s">
        <v>35</v>
      </c>
      <c r="C87" s="62">
        <v>2</v>
      </c>
      <c r="D87" s="13" t="s">
        <v>10</v>
      </c>
      <c r="E87" s="9"/>
      <c r="F87" s="9"/>
      <c r="G87" s="9"/>
      <c r="H87" s="9"/>
      <c r="I87" s="9"/>
    </row>
    <row r="88" spans="1:13" ht="34.5" customHeight="1" x14ac:dyDescent="0.2">
      <c r="B88" s="58"/>
      <c r="C88" s="59"/>
      <c r="D88" s="60" t="s">
        <v>34</v>
      </c>
      <c r="E88" s="49">
        <v>0</v>
      </c>
      <c r="F88" s="49">
        <v>1</v>
      </c>
      <c r="G88" s="49">
        <v>3</v>
      </c>
      <c r="H88" s="49">
        <v>6</v>
      </c>
      <c r="I88" s="49"/>
      <c r="K88" s="52">
        <v>5</v>
      </c>
      <c r="L88" s="231">
        <f>G$10+(K88-G88)/(H88-G88)*(H$10-G$10)</f>
        <v>181</v>
      </c>
      <c r="M88" t="s">
        <v>138</v>
      </c>
    </row>
    <row r="89" spans="1:13" ht="34.5" customHeight="1" thickBot="1" x14ac:dyDescent="0.25">
      <c r="B89" s="14"/>
      <c r="C89" s="16"/>
      <c r="D89" s="17" t="s">
        <v>11</v>
      </c>
      <c r="E89" s="10"/>
      <c r="F89" s="10"/>
      <c r="G89" s="10"/>
      <c r="H89" s="10"/>
      <c r="I89" s="10"/>
    </row>
    <row r="90" spans="1:13" ht="34.5" customHeight="1" x14ac:dyDescent="0.2">
      <c r="B90" s="61" t="s">
        <v>35</v>
      </c>
      <c r="C90" s="62">
        <v>3</v>
      </c>
      <c r="D90" s="13" t="s">
        <v>10</v>
      </c>
      <c r="E90" s="9"/>
      <c r="F90" s="9"/>
      <c r="G90" s="9"/>
      <c r="H90" s="9"/>
      <c r="I90" s="9"/>
    </row>
    <row r="91" spans="1:13" ht="34.5" customHeight="1" x14ac:dyDescent="0.2">
      <c r="B91" s="58"/>
      <c r="C91" s="59"/>
      <c r="D91" s="60" t="s">
        <v>34</v>
      </c>
      <c r="E91" s="49">
        <v>0</v>
      </c>
      <c r="F91" s="49">
        <v>1</v>
      </c>
      <c r="G91" s="49">
        <v>2</v>
      </c>
      <c r="H91" s="49">
        <v>6</v>
      </c>
      <c r="I91" s="49"/>
      <c r="K91" s="52">
        <v>5</v>
      </c>
      <c r="L91" s="231">
        <f>G$10+(K91-G91)/(H91-G91)*(H$10-G$10)</f>
        <v>181.25</v>
      </c>
      <c r="M91" t="s">
        <v>135</v>
      </c>
    </row>
    <row r="92" spans="1:13" ht="34.5" customHeight="1" thickBot="1" x14ac:dyDescent="0.25">
      <c r="B92" s="14"/>
      <c r="C92" s="16"/>
      <c r="D92" s="17" t="s">
        <v>11</v>
      </c>
      <c r="E92" s="10"/>
      <c r="F92" s="10"/>
      <c r="G92" s="10"/>
      <c r="H92" s="10"/>
      <c r="I92" s="10"/>
    </row>
    <row r="93" spans="1:13" ht="34.5" customHeight="1" x14ac:dyDescent="0.2">
      <c r="B93" s="61" t="s">
        <v>35</v>
      </c>
      <c r="C93" s="62">
        <v>4</v>
      </c>
      <c r="D93" s="13" t="s">
        <v>10</v>
      </c>
      <c r="E93" s="9"/>
      <c r="F93" s="9"/>
      <c r="G93" s="9"/>
      <c r="H93" s="9"/>
      <c r="I93" s="9"/>
    </row>
    <row r="94" spans="1:13" ht="34.5" customHeight="1" x14ac:dyDescent="0.2">
      <c r="B94" s="58"/>
      <c r="C94" s="59"/>
      <c r="D94" s="60" t="s">
        <v>34</v>
      </c>
      <c r="E94" s="49">
        <v>1</v>
      </c>
      <c r="F94" s="49">
        <v>2</v>
      </c>
      <c r="G94" s="49">
        <v>4</v>
      </c>
      <c r="H94" s="49">
        <v>6</v>
      </c>
      <c r="I94" s="49"/>
      <c r="K94" s="52">
        <v>5</v>
      </c>
      <c r="L94" s="231">
        <f>G$10+(K94-G94)/(H94-G94)*(H$10-G$10)</f>
        <v>180.5</v>
      </c>
      <c r="M94" t="s">
        <v>132</v>
      </c>
    </row>
    <row r="95" spans="1:13" ht="34.5" customHeight="1" thickBot="1" x14ac:dyDescent="0.25">
      <c r="B95" s="14"/>
      <c r="C95" s="16"/>
      <c r="D95" s="17" t="s">
        <v>11</v>
      </c>
      <c r="E95" s="10"/>
      <c r="F95" s="10"/>
      <c r="G95" s="10"/>
      <c r="H95" s="10"/>
      <c r="I95" s="10"/>
    </row>
    <row r="96" spans="1:13" ht="34.5" customHeight="1" x14ac:dyDescent="0.2">
      <c r="A96" s="63"/>
      <c r="B96" s="61" t="s">
        <v>36</v>
      </c>
      <c r="C96" s="62">
        <v>4</v>
      </c>
      <c r="D96" s="13" t="s">
        <v>11</v>
      </c>
      <c r="E96" s="9"/>
      <c r="F96" s="9"/>
      <c r="G96" s="9"/>
      <c r="H96" s="9"/>
      <c r="I96" s="9"/>
    </row>
    <row r="97" spans="1:13" ht="34.5" customHeight="1" x14ac:dyDescent="0.2">
      <c r="B97" s="58"/>
      <c r="C97" s="59"/>
      <c r="D97" s="60" t="s">
        <v>34</v>
      </c>
      <c r="E97" s="49">
        <v>1</v>
      </c>
      <c r="F97" s="49">
        <v>2</v>
      </c>
      <c r="G97" s="49">
        <v>5</v>
      </c>
      <c r="H97" s="49">
        <v>7</v>
      </c>
      <c r="I97" s="49"/>
      <c r="K97" s="52">
        <v>5</v>
      </c>
      <c r="L97" s="231">
        <f>G$10+(K97-G97)/(H97-G97)*(H$10-G$10)</f>
        <v>179</v>
      </c>
      <c r="M97" t="s">
        <v>120</v>
      </c>
    </row>
    <row r="98" spans="1:13" ht="34.5" customHeight="1" thickBot="1" x14ac:dyDescent="0.25">
      <c r="B98" s="14"/>
      <c r="C98" s="16"/>
      <c r="D98" s="17" t="s">
        <v>10</v>
      </c>
      <c r="E98" s="10"/>
      <c r="F98" s="10"/>
      <c r="G98" s="10"/>
      <c r="H98" s="10"/>
      <c r="I98" s="10"/>
    </row>
    <row r="99" spans="1:13" ht="34.5" customHeight="1" x14ac:dyDescent="0.2">
      <c r="B99" s="61" t="s">
        <v>36</v>
      </c>
      <c r="C99" s="62">
        <v>3</v>
      </c>
      <c r="D99" s="13" t="s">
        <v>11</v>
      </c>
      <c r="E99" s="9"/>
      <c r="F99" s="9"/>
      <c r="G99" s="9"/>
      <c r="H99" s="9"/>
      <c r="I99" s="9"/>
    </row>
    <row r="100" spans="1:13" ht="34.5" customHeight="1" x14ac:dyDescent="0.2">
      <c r="B100" s="58"/>
      <c r="C100" s="59"/>
      <c r="D100" s="60" t="s">
        <v>34</v>
      </c>
      <c r="E100" s="49">
        <v>0</v>
      </c>
      <c r="F100" s="49">
        <v>1</v>
      </c>
      <c r="G100" s="49">
        <v>4</v>
      </c>
      <c r="H100" s="49">
        <v>6</v>
      </c>
      <c r="I100" s="49"/>
      <c r="K100" s="52">
        <v>5</v>
      </c>
      <c r="L100" s="231">
        <f>G$10+(K100-G100)/(H100-G100)*(H$10-G$10)</f>
        <v>180.5</v>
      </c>
      <c r="M100" t="s">
        <v>123</v>
      </c>
    </row>
    <row r="101" spans="1:13" ht="34.5" customHeight="1" thickBot="1" x14ac:dyDescent="0.25">
      <c r="B101" s="14"/>
      <c r="C101" s="16"/>
      <c r="D101" s="17" t="s">
        <v>10</v>
      </c>
      <c r="E101" s="10"/>
      <c r="F101" s="10"/>
      <c r="G101" s="10"/>
      <c r="H101" s="10"/>
      <c r="I101" s="10"/>
    </row>
    <row r="102" spans="1:13" ht="34.5" customHeight="1" x14ac:dyDescent="0.2">
      <c r="B102" s="61" t="s">
        <v>36</v>
      </c>
      <c r="C102" s="62">
        <v>2</v>
      </c>
      <c r="D102" s="13" t="s">
        <v>11</v>
      </c>
      <c r="E102" s="9"/>
      <c r="F102" s="9"/>
      <c r="G102" s="9"/>
      <c r="H102" s="9"/>
      <c r="I102" s="9"/>
    </row>
    <row r="103" spans="1:13" ht="34.5" customHeight="1" x14ac:dyDescent="0.2">
      <c r="B103" s="58"/>
      <c r="C103" s="59"/>
      <c r="D103" s="60" t="s">
        <v>34</v>
      </c>
      <c r="E103" s="49">
        <v>0</v>
      </c>
      <c r="F103" s="49">
        <v>1</v>
      </c>
      <c r="G103" s="49">
        <v>3</v>
      </c>
      <c r="H103" s="49">
        <v>7</v>
      </c>
      <c r="I103" s="49"/>
      <c r="K103" s="52">
        <v>5</v>
      </c>
      <c r="L103" s="231">
        <f>G$10+(K103-G103)/(H103-G103)*(H$10-G$10)</f>
        <v>180.5</v>
      </c>
      <c r="M103" t="s">
        <v>126</v>
      </c>
    </row>
    <row r="104" spans="1:13" ht="34.5" customHeight="1" thickBot="1" x14ac:dyDescent="0.25">
      <c r="B104" s="14"/>
      <c r="C104" s="16"/>
      <c r="D104" s="17" t="s">
        <v>10</v>
      </c>
      <c r="E104" s="10"/>
      <c r="F104" s="10"/>
      <c r="G104" s="10"/>
      <c r="H104" s="10"/>
      <c r="I104" s="10"/>
    </row>
    <row r="105" spans="1:13" ht="34.5" customHeight="1" x14ac:dyDescent="0.2">
      <c r="B105" s="61" t="s">
        <v>36</v>
      </c>
      <c r="C105" s="62">
        <v>1</v>
      </c>
      <c r="D105" s="13" t="s">
        <v>11</v>
      </c>
      <c r="E105" s="9"/>
      <c r="F105" s="9"/>
      <c r="G105" s="9"/>
      <c r="H105" s="9"/>
      <c r="I105" s="9"/>
    </row>
    <row r="106" spans="1:13" ht="34.5" customHeight="1" x14ac:dyDescent="0.2">
      <c r="B106" s="58"/>
      <c r="C106" s="59"/>
      <c r="D106" s="60" t="s">
        <v>34</v>
      </c>
      <c r="E106" s="49">
        <v>0</v>
      </c>
      <c r="F106" s="49">
        <v>0</v>
      </c>
      <c r="G106" s="49">
        <v>2</v>
      </c>
      <c r="H106" s="49">
        <v>5</v>
      </c>
      <c r="I106" s="49"/>
      <c r="K106" s="52">
        <v>5</v>
      </c>
      <c r="L106" s="231">
        <f>G$10+(K106-G106)/(H106-G106)*(H$10-G$10)</f>
        <v>182</v>
      </c>
      <c r="M106" t="s">
        <v>129</v>
      </c>
    </row>
    <row r="107" spans="1:13" ht="34.5" customHeight="1" thickBot="1" x14ac:dyDescent="0.25">
      <c r="B107" s="14"/>
      <c r="C107" s="16"/>
      <c r="D107" s="17" t="s">
        <v>10</v>
      </c>
      <c r="E107" s="10"/>
      <c r="F107" s="10"/>
      <c r="G107" s="10"/>
      <c r="H107" s="10"/>
      <c r="I107" s="10"/>
    </row>
    <row r="108" spans="1:13" ht="34.5" customHeight="1" x14ac:dyDescent="0.2">
      <c r="A108" s="63"/>
      <c r="B108" s="61" t="s">
        <v>37</v>
      </c>
      <c r="C108" s="62">
        <v>1</v>
      </c>
      <c r="D108" s="13" t="s">
        <v>10</v>
      </c>
      <c r="E108" s="9">
        <v>0</v>
      </c>
      <c r="F108" s="9">
        <v>0</v>
      </c>
      <c r="G108" s="9">
        <v>1</v>
      </c>
      <c r="H108" s="9">
        <v>5</v>
      </c>
      <c r="I108" s="9"/>
      <c r="K108" s="52">
        <v>4</v>
      </c>
      <c r="L108" s="231">
        <f>G$10+(K108-G108)/(H108-G108)*(H$10-G$10)</f>
        <v>181.25</v>
      </c>
      <c r="M108" t="s">
        <v>118</v>
      </c>
    </row>
    <row r="109" spans="1:13" ht="34.5" customHeight="1" x14ac:dyDescent="0.2">
      <c r="B109" s="58"/>
      <c r="C109" s="59"/>
      <c r="D109" s="60" t="s">
        <v>34</v>
      </c>
      <c r="E109" s="49">
        <v>0</v>
      </c>
      <c r="F109" s="49">
        <v>1</v>
      </c>
      <c r="G109" s="49">
        <v>5</v>
      </c>
      <c r="H109" s="49">
        <v>6</v>
      </c>
      <c r="I109" s="49"/>
      <c r="K109" s="52">
        <v>5</v>
      </c>
      <c r="L109" s="231">
        <f>G$10+(K109-G109)/(H109-G109)*(H$10-G$10)</f>
        <v>179</v>
      </c>
      <c r="M109" t="s">
        <v>117</v>
      </c>
    </row>
    <row r="110" spans="1:13" ht="34.5" customHeight="1" thickBot="1" x14ac:dyDescent="0.25">
      <c r="B110" s="14"/>
      <c r="C110" s="16"/>
      <c r="D110" s="17" t="s">
        <v>11</v>
      </c>
      <c r="E110" s="10">
        <v>1</v>
      </c>
      <c r="F110" s="10">
        <v>2</v>
      </c>
      <c r="G110" s="10">
        <v>4</v>
      </c>
      <c r="H110" s="10">
        <v>6</v>
      </c>
      <c r="I110" s="10"/>
      <c r="K110" s="52">
        <v>6</v>
      </c>
      <c r="L110" s="231">
        <f>G$10+(K110-G110)/(H110-G110)*(H$10-G$10)</f>
        <v>182</v>
      </c>
      <c r="M110" t="s">
        <v>116</v>
      </c>
    </row>
    <row r="111" spans="1:13" ht="34.5" customHeight="1" x14ac:dyDescent="0.2">
      <c r="B111" s="61" t="s">
        <v>37</v>
      </c>
      <c r="C111" s="62">
        <v>2</v>
      </c>
      <c r="D111" s="13" t="s">
        <v>10</v>
      </c>
      <c r="E111" s="9"/>
      <c r="F111" s="9"/>
      <c r="G111" s="9"/>
      <c r="H111" s="9"/>
      <c r="I111" s="9"/>
    </row>
    <row r="112" spans="1:13" ht="34.5" customHeight="1" x14ac:dyDescent="0.2">
      <c r="B112" s="58"/>
      <c r="C112" s="59"/>
      <c r="D112" s="60" t="s">
        <v>34</v>
      </c>
      <c r="E112" s="49">
        <v>0</v>
      </c>
      <c r="F112" s="49">
        <v>0</v>
      </c>
      <c r="G112" s="49">
        <v>3</v>
      </c>
      <c r="H112" s="49">
        <v>6</v>
      </c>
      <c r="I112" s="49"/>
      <c r="K112" s="52">
        <v>5</v>
      </c>
      <c r="L112" s="231">
        <f>G$10+(K112-G112)/(H112-G112)*(H$10-G$10)</f>
        <v>181</v>
      </c>
      <c r="M112" t="s">
        <v>114</v>
      </c>
    </row>
    <row r="113" spans="1:13" ht="34.5" customHeight="1" thickBot="1" x14ac:dyDescent="0.25">
      <c r="B113" s="14"/>
      <c r="C113" s="16"/>
      <c r="D113" s="17" t="s">
        <v>11</v>
      </c>
      <c r="E113" s="10"/>
      <c r="F113" s="10"/>
      <c r="G113" s="10"/>
      <c r="H113" s="10"/>
      <c r="I113" s="10"/>
    </row>
    <row r="114" spans="1:13" ht="34.5" customHeight="1" x14ac:dyDescent="0.2">
      <c r="B114" s="61" t="s">
        <v>37</v>
      </c>
      <c r="C114" s="62">
        <v>3</v>
      </c>
      <c r="D114" s="13" t="s">
        <v>10</v>
      </c>
      <c r="E114" s="9"/>
      <c r="F114" s="9"/>
      <c r="G114" s="9"/>
      <c r="H114" s="9"/>
      <c r="I114" s="9"/>
    </row>
    <row r="115" spans="1:13" ht="34.5" customHeight="1" x14ac:dyDescent="0.2">
      <c r="B115" s="58"/>
      <c r="C115" s="59"/>
      <c r="D115" s="60" t="s">
        <v>34</v>
      </c>
      <c r="E115" s="49">
        <v>0</v>
      </c>
      <c r="F115" s="49">
        <v>1</v>
      </c>
      <c r="G115" s="49">
        <v>3</v>
      </c>
      <c r="H115" s="49">
        <v>6</v>
      </c>
      <c r="I115" s="49"/>
      <c r="K115" s="52">
        <v>5</v>
      </c>
      <c r="L115" s="231">
        <f>G$10+(K115-G115)/(H115-G115)*(H$10-G$10)</f>
        <v>181</v>
      </c>
      <c r="M115" t="s">
        <v>111</v>
      </c>
    </row>
    <row r="116" spans="1:13" ht="34.5" customHeight="1" thickBot="1" x14ac:dyDescent="0.25">
      <c r="B116" s="14"/>
      <c r="C116" s="16"/>
      <c r="D116" s="17" t="s">
        <v>11</v>
      </c>
      <c r="E116" s="10"/>
      <c r="F116" s="10"/>
      <c r="G116" s="10"/>
      <c r="H116" s="10"/>
      <c r="I116" s="10"/>
    </row>
    <row r="117" spans="1:13" ht="34.5" customHeight="1" x14ac:dyDescent="0.2">
      <c r="B117" s="61" t="s">
        <v>37</v>
      </c>
      <c r="C117" s="62">
        <v>4</v>
      </c>
      <c r="D117" s="13" t="s">
        <v>10</v>
      </c>
      <c r="E117" s="9"/>
      <c r="F117" s="9"/>
      <c r="G117" s="9"/>
      <c r="H117" s="9"/>
      <c r="I117" s="9"/>
    </row>
    <row r="118" spans="1:13" ht="34.5" customHeight="1" x14ac:dyDescent="0.2">
      <c r="B118" s="58"/>
      <c r="C118" s="59"/>
      <c r="D118" s="60" t="s">
        <v>34</v>
      </c>
      <c r="E118" s="49">
        <v>1</v>
      </c>
      <c r="F118" s="49">
        <v>1</v>
      </c>
      <c r="G118" s="49">
        <v>3</v>
      </c>
      <c r="H118" s="49">
        <v>7</v>
      </c>
      <c r="I118" s="49"/>
      <c r="K118" s="52">
        <v>5</v>
      </c>
      <c r="L118" s="231">
        <f>G$10+(K118-G118)/(H118-G118)*(H$10-G$10)</f>
        <v>180.5</v>
      </c>
      <c r="M118" t="s">
        <v>108</v>
      </c>
    </row>
    <row r="119" spans="1:13" ht="34.5" customHeight="1" thickBot="1" x14ac:dyDescent="0.25">
      <c r="B119" s="14"/>
      <c r="C119" s="16"/>
      <c r="D119" s="17" t="s">
        <v>11</v>
      </c>
      <c r="E119" s="10"/>
      <c r="F119" s="10"/>
      <c r="G119" s="10"/>
      <c r="H119" s="10"/>
      <c r="I119" s="10"/>
    </row>
    <row r="120" spans="1:13" ht="34.5" customHeight="1" x14ac:dyDescent="0.2">
      <c r="A120" s="63"/>
      <c r="B120" s="61" t="s">
        <v>38</v>
      </c>
      <c r="C120" s="62">
        <v>4</v>
      </c>
      <c r="D120" s="13" t="s">
        <v>11</v>
      </c>
      <c r="E120" s="9"/>
      <c r="F120" s="9"/>
      <c r="G120" s="9"/>
      <c r="H120" s="9"/>
      <c r="I120" s="9"/>
    </row>
    <row r="121" spans="1:13" ht="34.5" customHeight="1" x14ac:dyDescent="0.2">
      <c r="B121" s="58"/>
      <c r="C121" s="59"/>
      <c r="D121" s="60" t="s">
        <v>34</v>
      </c>
      <c r="E121" s="49">
        <v>1</v>
      </c>
      <c r="F121" s="49">
        <v>3</v>
      </c>
      <c r="G121" s="49">
        <v>5</v>
      </c>
      <c r="H121" s="49">
        <v>7</v>
      </c>
      <c r="I121" s="49"/>
      <c r="K121" s="52">
        <v>5</v>
      </c>
      <c r="L121" s="231">
        <f>G$10+(K121-G121)/(H121-G121)*(H$10-G$10)</f>
        <v>179</v>
      </c>
      <c r="M121" t="s">
        <v>96</v>
      </c>
    </row>
    <row r="122" spans="1:13" ht="34.5" customHeight="1" thickBot="1" x14ac:dyDescent="0.25">
      <c r="B122" s="14"/>
      <c r="C122" s="16"/>
      <c r="D122" s="17" t="s">
        <v>10</v>
      </c>
      <c r="E122" s="10"/>
      <c r="F122" s="10"/>
      <c r="G122" s="10"/>
      <c r="H122" s="10"/>
      <c r="I122" s="10"/>
    </row>
    <row r="123" spans="1:13" ht="34.5" customHeight="1" x14ac:dyDescent="0.2">
      <c r="B123" s="61" t="s">
        <v>38</v>
      </c>
      <c r="C123" s="62">
        <v>3</v>
      </c>
      <c r="D123" s="13" t="s">
        <v>11</v>
      </c>
      <c r="E123" s="9"/>
      <c r="F123" s="9"/>
      <c r="G123" s="9"/>
      <c r="H123" s="9"/>
      <c r="I123" s="9"/>
    </row>
    <row r="124" spans="1:13" ht="34.5" customHeight="1" x14ac:dyDescent="0.2">
      <c r="B124" s="58"/>
      <c r="C124" s="59"/>
      <c r="D124" s="60" t="s">
        <v>34</v>
      </c>
      <c r="E124" s="49">
        <v>0</v>
      </c>
      <c r="F124" s="49">
        <v>1</v>
      </c>
      <c r="G124" s="49">
        <v>3</v>
      </c>
      <c r="H124" s="49">
        <v>6</v>
      </c>
      <c r="I124" s="49"/>
      <c r="K124" s="52">
        <v>5</v>
      </c>
      <c r="L124" s="231">
        <f>G$10+(K124-G124)/(H124-G124)*(H$10-G$10)</f>
        <v>181</v>
      </c>
      <c r="M124" t="s">
        <v>99</v>
      </c>
    </row>
    <row r="125" spans="1:13" ht="34.5" customHeight="1" thickBot="1" x14ac:dyDescent="0.25">
      <c r="B125" s="14"/>
      <c r="C125" s="16"/>
      <c r="D125" s="17" t="s">
        <v>10</v>
      </c>
      <c r="E125" s="10"/>
      <c r="F125" s="10"/>
      <c r="G125" s="10"/>
      <c r="H125" s="10"/>
      <c r="I125" s="10"/>
    </row>
    <row r="126" spans="1:13" ht="34.5" customHeight="1" x14ac:dyDescent="0.2">
      <c r="B126" s="61" t="s">
        <v>38</v>
      </c>
      <c r="C126" s="62">
        <v>2</v>
      </c>
      <c r="D126" s="13" t="s">
        <v>11</v>
      </c>
      <c r="E126" s="9"/>
      <c r="F126" s="9"/>
      <c r="G126" s="9"/>
      <c r="H126" s="9"/>
      <c r="I126" s="9"/>
    </row>
    <row r="127" spans="1:13" ht="34.5" customHeight="1" x14ac:dyDescent="0.2">
      <c r="B127" s="58"/>
      <c r="C127" s="59"/>
      <c r="D127" s="60" t="s">
        <v>34</v>
      </c>
      <c r="E127" s="49">
        <v>0</v>
      </c>
      <c r="F127" s="49">
        <v>2</v>
      </c>
      <c r="G127" s="49">
        <v>5</v>
      </c>
      <c r="H127" s="49">
        <v>7</v>
      </c>
      <c r="I127" s="49"/>
      <c r="K127" s="52">
        <v>5</v>
      </c>
      <c r="L127" s="231">
        <f>G$10+(K127-G127)/(H127-G127)*(H$10-G$10)</f>
        <v>179</v>
      </c>
      <c r="M127" t="s">
        <v>102</v>
      </c>
    </row>
    <row r="128" spans="1:13" ht="34.5" customHeight="1" thickBot="1" x14ac:dyDescent="0.25">
      <c r="B128" s="14"/>
      <c r="C128" s="16"/>
      <c r="D128" s="17" t="s">
        <v>10</v>
      </c>
      <c r="E128" s="10"/>
      <c r="F128" s="10"/>
      <c r="G128" s="10"/>
      <c r="H128" s="10"/>
      <c r="I128" s="10"/>
    </row>
    <row r="129" spans="1:13" ht="34.5" customHeight="1" x14ac:dyDescent="0.2">
      <c r="B129" s="61" t="s">
        <v>38</v>
      </c>
      <c r="C129" s="62">
        <v>1</v>
      </c>
      <c r="D129" s="13" t="s">
        <v>11</v>
      </c>
      <c r="E129" s="9"/>
      <c r="F129" s="9"/>
      <c r="G129" s="9"/>
      <c r="H129" s="9"/>
      <c r="I129" s="9"/>
    </row>
    <row r="130" spans="1:13" ht="34.5" customHeight="1" x14ac:dyDescent="0.2">
      <c r="B130" s="58"/>
      <c r="C130" s="59"/>
      <c r="D130" s="60" t="s">
        <v>34</v>
      </c>
      <c r="E130" s="49">
        <v>1</v>
      </c>
      <c r="F130" s="49">
        <v>3</v>
      </c>
      <c r="G130" s="49">
        <v>6</v>
      </c>
      <c r="H130" s="49">
        <v>7</v>
      </c>
      <c r="I130" s="49"/>
      <c r="K130" s="52">
        <v>5</v>
      </c>
      <c r="L130" s="231">
        <f>F$10+(K130-F130)/(G130-F130)*(G$10-F$10)</f>
        <v>177.66666666666666</v>
      </c>
      <c r="M130" t="s">
        <v>105</v>
      </c>
    </row>
    <row r="131" spans="1:13" ht="34.5" customHeight="1" thickBot="1" x14ac:dyDescent="0.25">
      <c r="B131" s="14"/>
      <c r="C131" s="16"/>
      <c r="D131" s="17" t="s">
        <v>10</v>
      </c>
      <c r="E131" s="10"/>
      <c r="F131" s="10"/>
      <c r="G131" s="10"/>
      <c r="H131" s="10"/>
      <c r="I131" s="10"/>
    </row>
    <row r="132" spans="1:13" ht="34.5" customHeight="1" x14ac:dyDescent="0.2">
      <c r="A132" s="63"/>
      <c r="B132" s="61" t="s">
        <v>39</v>
      </c>
      <c r="C132" s="62">
        <v>1</v>
      </c>
      <c r="D132" s="13" t="s">
        <v>10</v>
      </c>
      <c r="E132" s="9"/>
      <c r="F132" s="9"/>
      <c r="G132" s="9"/>
      <c r="H132" s="9"/>
      <c r="I132" s="9"/>
    </row>
    <row r="133" spans="1:13" ht="34.5" customHeight="1" x14ac:dyDescent="0.2">
      <c r="B133" s="58"/>
      <c r="C133" s="59"/>
      <c r="D133" s="60" t="s">
        <v>34</v>
      </c>
      <c r="E133" s="49">
        <v>0</v>
      </c>
      <c r="F133" s="49">
        <v>0</v>
      </c>
      <c r="G133" s="49">
        <v>2</v>
      </c>
      <c r="H133" s="49">
        <v>5</v>
      </c>
      <c r="I133" s="49"/>
      <c r="K133" s="52">
        <v>5</v>
      </c>
      <c r="L133" s="231">
        <f>G$10+(K133-G133)/(H133-G133)*(H$10-G$10)</f>
        <v>182</v>
      </c>
      <c r="M133" t="s">
        <v>93</v>
      </c>
    </row>
    <row r="134" spans="1:13" ht="34.5" customHeight="1" thickBot="1" x14ac:dyDescent="0.25">
      <c r="B134" s="14"/>
      <c r="C134" s="16"/>
      <c r="D134" s="17" t="s">
        <v>11</v>
      </c>
      <c r="E134" s="10"/>
      <c r="F134" s="10"/>
      <c r="G134" s="10"/>
      <c r="H134" s="10"/>
      <c r="I134" s="10"/>
    </row>
    <row r="135" spans="1:13" ht="34.5" customHeight="1" x14ac:dyDescent="0.2">
      <c r="B135" s="61" t="s">
        <v>39</v>
      </c>
      <c r="C135" s="62">
        <v>2</v>
      </c>
      <c r="D135" s="13" t="s">
        <v>10</v>
      </c>
      <c r="E135" s="9"/>
      <c r="F135" s="9"/>
      <c r="G135" s="9"/>
      <c r="H135" s="9"/>
      <c r="I135" s="9"/>
    </row>
    <row r="136" spans="1:13" ht="34.5" customHeight="1" x14ac:dyDescent="0.2">
      <c r="B136" s="58"/>
      <c r="C136" s="59"/>
      <c r="D136" s="60" t="s">
        <v>34</v>
      </c>
      <c r="E136" s="49">
        <v>0</v>
      </c>
      <c r="F136" s="49">
        <v>1</v>
      </c>
      <c r="G136" s="49">
        <v>2</v>
      </c>
      <c r="H136" s="49">
        <v>5</v>
      </c>
      <c r="I136" s="49"/>
      <c r="K136" s="52">
        <v>5</v>
      </c>
      <c r="L136" s="231">
        <f>G$10+(K136-G136)/(H136-G136)*(H$10-G$10)</f>
        <v>182</v>
      </c>
      <c r="M136" t="s">
        <v>90</v>
      </c>
    </row>
    <row r="137" spans="1:13" ht="34.5" customHeight="1" thickBot="1" x14ac:dyDescent="0.25">
      <c r="B137" s="14"/>
      <c r="C137" s="16"/>
      <c r="D137" s="17" t="s">
        <v>11</v>
      </c>
      <c r="E137" s="10"/>
      <c r="F137" s="10"/>
      <c r="G137" s="10"/>
      <c r="H137" s="10"/>
      <c r="I137" s="10"/>
    </row>
    <row r="138" spans="1:13" ht="34.5" customHeight="1" x14ac:dyDescent="0.2">
      <c r="B138" s="61" t="s">
        <v>39</v>
      </c>
      <c r="C138" s="62">
        <v>3</v>
      </c>
      <c r="D138" s="13" t="s">
        <v>10</v>
      </c>
      <c r="E138" s="9"/>
      <c r="F138" s="9"/>
      <c r="G138" s="9"/>
      <c r="H138" s="9"/>
      <c r="I138" s="9"/>
    </row>
    <row r="139" spans="1:13" ht="34.5" customHeight="1" x14ac:dyDescent="0.2">
      <c r="B139" s="58"/>
      <c r="C139" s="59"/>
      <c r="D139" s="60" t="s">
        <v>34</v>
      </c>
      <c r="E139" s="49">
        <v>0</v>
      </c>
      <c r="F139" s="49">
        <v>0</v>
      </c>
      <c r="G139" s="49">
        <v>3</v>
      </c>
      <c r="H139" s="49">
        <v>6</v>
      </c>
      <c r="I139" s="49"/>
      <c r="K139" s="52">
        <v>5</v>
      </c>
      <c r="L139" s="231">
        <f>G$10+(K139-G139)/(H139-G139)*(H$10-G$10)</f>
        <v>181</v>
      </c>
      <c r="M139" t="s">
        <v>87</v>
      </c>
    </row>
    <row r="140" spans="1:13" ht="34.5" customHeight="1" thickBot="1" x14ac:dyDescent="0.25">
      <c r="B140" s="14"/>
      <c r="C140" s="16"/>
      <c r="D140" s="17" t="s">
        <v>11</v>
      </c>
      <c r="E140" s="10"/>
      <c r="F140" s="10"/>
      <c r="G140" s="10"/>
      <c r="H140" s="10"/>
      <c r="I140" s="10"/>
    </row>
    <row r="141" spans="1:13" ht="34.5" customHeight="1" x14ac:dyDescent="0.2">
      <c r="B141" s="61" t="s">
        <v>39</v>
      </c>
      <c r="C141" s="62">
        <v>4</v>
      </c>
      <c r="D141" s="13" t="s">
        <v>10</v>
      </c>
      <c r="E141" s="9"/>
      <c r="F141" s="9"/>
      <c r="G141" s="9"/>
      <c r="H141" s="9"/>
      <c r="I141" s="9"/>
    </row>
    <row r="142" spans="1:13" ht="34.5" customHeight="1" x14ac:dyDescent="0.2">
      <c r="B142" s="58"/>
      <c r="C142" s="59"/>
      <c r="D142" s="60" t="s">
        <v>34</v>
      </c>
      <c r="E142" s="49">
        <v>0</v>
      </c>
      <c r="F142" s="49">
        <v>2</v>
      </c>
      <c r="G142" s="49">
        <v>6</v>
      </c>
      <c r="H142" s="49">
        <v>7</v>
      </c>
      <c r="I142" s="49"/>
      <c r="K142" s="52">
        <v>5</v>
      </c>
      <c r="L142" s="231">
        <f>F$10+(K142-F142)/(G142-F142)*(G$10-F$10)</f>
        <v>178</v>
      </c>
      <c r="M142" t="s">
        <v>84</v>
      </c>
    </row>
    <row r="143" spans="1:13" ht="34.5" customHeight="1" thickBot="1" x14ac:dyDescent="0.25">
      <c r="B143" s="14"/>
      <c r="C143" s="16"/>
      <c r="D143" s="17" t="s">
        <v>11</v>
      </c>
      <c r="E143" s="10"/>
      <c r="F143" s="10"/>
      <c r="G143" s="10"/>
      <c r="H143" s="10"/>
      <c r="I143" s="10"/>
    </row>
    <row r="144" spans="1:13" ht="34.5" customHeight="1" x14ac:dyDescent="0.2">
      <c r="A144" s="63"/>
      <c r="B144" s="61" t="s">
        <v>40</v>
      </c>
      <c r="C144" s="62">
        <v>4</v>
      </c>
      <c r="D144" s="13" t="s">
        <v>11</v>
      </c>
      <c r="E144" s="9"/>
      <c r="F144" s="9"/>
      <c r="G144" s="9"/>
      <c r="H144" s="9"/>
      <c r="I144" s="9"/>
    </row>
    <row r="145" spans="1:13" ht="34.5" customHeight="1" x14ac:dyDescent="0.2">
      <c r="B145" s="58"/>
      <c r="C145" s="59"/>
      <c r="D145" s="60" t="s">
        <v>34</v>
      </c>
      <c r="E145" s="49">
        <v>0</v>
      </c>
      <c r="F145" s="49">
        <v>1</v>
      </c>
      <c r="G145" s="49">
        <v>2</v>
      </c>
      <c r="H145" s="49">
        <v>6</v>
      </c>
      <c r="I145" s="49"/>
      <c r="K145" s="52">
        <v>5</v>
      </c>
      <c r="L145" s="231">
        <f>G$10+(K145-G145)/(H145-G145)*(H$10-G$10)</f>
        <v>181.25</v>
      </c>
      <c r="M145" t="s">
        <v>72</v>
      </c>
    </row>
    <row r="146" spans="1:13" ht="34.5" customHeight="1" thickBot="1" x14ac:dyDescent="0.25">
      <c r="B146" s="14"/>
      <c r="C146" s="16"/>
      <c r="D146" s="17" t="s">
        <v>10</v>
      </c>
      <c r="E146" s="10"/>
      <c r="F146" s="10"/>
      <c r="G146" s="10"/>
      <c r="H146" s="10"/>
      <c r="I146" s="10"/>
    </row>
    <row r="147" spans="1:13" ht="34.5" customHeight="1" x14ac:dyDescent="0.2">
      <c r="B147" s="61" t="s">
        <v>40</v>
      </c>
      <c r="C147" s="62">
        <v>3</v>
      </c>
      <c r="D147" s="13" t="s">
        <v>11</v>
      </c>
      <c r="E147" s="9"/>
      <c r="F147" s="9"/>
      <c r="G147" s="9"/>
      <c r="H147" s="9"/>
      <c r="I147" s="9"/>
    </row>
    <row r="148" spans="1:13" ht="34.5" customHeight="1" x14ac:dyDescent="0.2">
      <c r="B148" s="58"/>
      <c r="C148" s="59"/>
      <c r="D148" s="60" t="s">
        <v>34</v>
      </c>
      <c r="E148" s="49">
        <v>0</v>
      </c>
      <c r="F148" s="49">
        <v>0</v>
      </c>
      <c r="G148" s="49">
        <v>3</v>
      </c>
      <c r="H148" s="49">
        <v>5</v>
      </c>
      <c r="I148" s="49"/>
      <c r="K148" s="52">
        <v>5</v>
      </c>
      <c r="L148" s="231">
        <f>G$10+(K148-G148)/(H148-G148)*(H$10-G$10)</f>
        <v>182</v>
      </c>
      <c r="M148" t="s">
        <v>75</v>
      </c>
    </row>
    <row r="149" spans="1:13" ht="34.5" customHeight="1" thickBot="1" x14ac:dyDescent="0.25">
      <c r="B149" s="14"/>
      <c r="C149" s="16"/>
      <c r="D149" s="17" t="s">
        <v>10</v>
      </c>
      <c r="E149" s="10"/>
      <c r="F149" s="10"/>
      <c r="G149" s="10"/>
      <c r="H149" s="10"/>
      <c r="I149" s="10"/>
    </row>
    <row r="150" spans="1:13" ht="34.5" customHeight="1" x14ac:dyDescent="0.2">
      <c r="B150" s="61" t="s">
        <v>40</v>
      </c>
      <c r="C150" s="62">
        <v>2</v>
      </c>
      <c r="D150" s="13" t="s">
        <v>11</v>
      </c>
      <c r="E150" s="9"/>
      <c r="F150" s="9"/>
      <c r="G150" s="9"/>
      <c r="H150" s="9"/>
      <c r="I150" s="9"/>
    </row>
    <row r="151" spans="1:13" ht="34.5" customHeight="1" x14ac:dyDescent="0.2">
      <c r="B151" s="58"/>
      <c r="C151" s="59"/>
      <c r="D151" s="60" t="s">
        <v>34</v>
      </c>
      <c r="E151" s="49">
        <v>0</v>
      </c>
      <c r="F151" s="49">
        <v>1</v>
      </c>
      <c r="G151" s="49">
        <v>3</v>
      </c>
      <c r="H151" s="49">
        <v>6</v>
      </c>
      <c r="I151" s="49"/>
      <c r="K151" s="52">
        <v>5</v>
      </c>
      <c r="L151" s="231">
        <f>G$10+(K151-G151)/(H151-G151)*(H$10-G$10)</f>
        <v>181</v>
      </c>
      <c r="M151" t="s">
        <v>78</v>
      </c>
    </row>
    <row r="152" spans="1:13" ht="34.5" customHeight="1" thickBot="1" x14ac:dyDescent="0.25">
      <c r="B152" s="14"/>
      <c r="C152" s="16"/>
      <c r="D152" s="17" t="s">
        <v>10</v>
      </c>
      <c r="E152" s="10"/>
      <c r="F152" s="10"/>
      <c r="G152" s="10"/>
      <c r="H152" s="10"/>
      <c r="I152" s="10"/>
    </row>
    <row r="153" spans="1:13" ht="34.5" customHeight="1" x14ac:dyDescent="0.2">
      <c r="B153" s="61" t="s">
        <v>40</v>
      </c>
      <c r="C153" s="62">
        <v>1</v>
      </c>
      <c r="D153" s="13" t="s">
        <v>11</v>
      </c>
      <c r="E153" s="9"/>
      <c r="F153" s="9"/>
      <c r="G153" s="9"/>
      <c r="H153" s="9"/>
      <c r="I153" s="9"/>
    </row>
    <row r="154" spans="1:13" ht="34.5" customHeight="1" x14ac:dyDescent="0.2">
      <c r="B154" s="58"/>
      <c r="C154" s="59"/>
      <c r="D154" s="60" t="s">
        <v>34</v>
      </c>
      <c r="E154" s="49">
        <v>0</v>
      </c>
      <c r="F154" s="49">
        <v>2</v>
      </c>
      <c r="G154" s="49">
        <v>4</v>
      </c>
      <c r="H154" s="49">
        <v>6</v>
      </c>
      <c r="I154" s="49"/>
      <c r="K154" s="52">
        <v>5</v>
      </c>
      <c r="L154" s="231">
        <f>G$10+(K154-G154)/(H154-G154)*(H$10-G$10)</f>
        <v>180.5</v>
      </c>
      <c r="M154" t="s">
        <v>81</v>
      </c>
    </row>
    <row r="155" spans="1:13" ht="34.5" customHeight="1" thickBot="1" x14ac:dyDescent="0.25">
      <c r="A155" s="64"/>
      <c r="B155" s="14"/>
      <c r="C155" s="16"/>
      <c r="D155" s="17" t="s">
        <v>10</v>
      </c>
      <c r="E155" s="10"/>
      <c r="F155" s="10"/>
      <c r="G155" s="10"/>
      <c r="H155" s="10"/>
      <c r="I155" s="10"/>
    </row>
  </sheetData>
  <mergeCells count="1">
    <mergeCell ref="B11:C11"/>
  </mergeCells>
  <printOptions horizontalCentered="1" verticalCentered="1"/>
  <pageMargins left="0.2" right="0.2" top="0.25" bottom="0.25" header="0" footer="0"/>
  <pageSetup scale="73" fitToHeight="6" pageOrder="overThenDown" orientation="portrait" r:id="rId1"/>
  <headerFooter>
    <oddFooter>&amp;R&amp;8&amp;D&amp;   &amp;Z&amp;F&amp;' page &amp;P&amp;' o&amp;Of &amp;N</oddFooter>
  </headerFooter>
  <rowBreaks count="5" manualBreakCount="5">
    <brk id="35" max="9" man="1"/>
    <brk id="59" max="9" man="1"/>
    <brk id="83" max="9" man="1"/>
    <brk id="107" max="9" man="1"/>
    <brk id="131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369B-C324-4EE5-9BC2-A509FAE53E30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4" width="12.7109375" style="52" customWidth="1"/>
    <col min="5" max="12" width="12.7109375" customWidth="1"/>
  </cols>
  <sheetData>
    <row r="1" spans="1:13" ht="15.75" x14ac:dyDescent="0.25">
      <c r="A1" s="6">
        <v>2021</v>
      </c>
      <c r="B1" s="8" t="s">
        <v>25</v>
      </c>
      <c r="D1" s="264" t="s">
        <v>6</v>
      </c>
      <c r="F1" s="4" t="s">
        <v>8</v>
      </c>
      <c r="G1" s="263">
        <v>44378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60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52">
        <v>9</v>
      </c>
      <c r="E7" s="108">
        <v>9</v>
      </c>
      <c r="F7" s="108">
        <v>10</v>
      </c>
      <c r="G7" s="108">
        <v>8</v>
      </c>
      <c r="H7" s="108">
        <v>8</v>
      </c>
      <c r="I7" s="108">
        <v>9</v>
      </c>
      <c r="J7" s="108">
        <v>7</v>
      </c>
      <c r="K7" s="108">
        <v>8</v>
      </c>
      <c r="L7" s="108">
        <v>8</v>
      </c>
      <c r="M7" s="254">
        <f>AVERAGE(E7:L7)</f>
        <v>8.375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8</v>
      </c>
      <c r="E8" s="255">
        <v>8</v>
      </c>
      <c r="F8" s="255">
        <v>9</v>
      </c>
      <c r="G8" s="255">
        <v>8</v>
      </c>
      <c r="H8" s="255">
        <v>7</v>
      </c>
      <c r="I8" s="255">
        <v>8</v>
      </c>
      <c r="J8" s="255">
        <v>7</v>
      </c>
      <c r="K8" s="255">
        <v>9</v>
      </c>
      <c r="L8" s="255">
        <v>8</v>
      </c>
      <c r="M8" s="254">
        <f t="shared" ref="M8:M54" si="0">AVERAGE(D8:L8)</f>
        <v>8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9</v>
      </c>
      <c r="E9" s="255">
        <v>8</v>
      </c>
      <c r="F9" s="255">
        <v>8</v>
      </c>
      <c r="G9" s="255">
        <v>8</v>
      </c>
      <c r="H9" s="255">
        <v>9</v>
      </c>
      <c r="I9" s="255">
        <v>9</v>
      </c>
      <c r="J9" s="255">
        <v>8</v>
      </c>
      <c r="K9" s="255">
        <v>8</v>
      </c>
      <c r="L9" s="255">
        <v>10</v>
      </c>
      <c r="M9" s="254">
        <f t="shared" si="0"/>
        <v>8.5555555555555554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10</v>
      </c>
      <c r="E10" s="113">
        <v>9</v>
      </c>
      <c r="F10" s="113">
        <v>9</v>
      </c>
      <c r="G10" s="113">
        <v>9</v>
      </c>
      <c r="H10" s="113">
        <v>8</v>
      </c>
      <c r="I10" s="113">
        <v>9</v>
      </c>
      <c r="J10" s="113">
        <v>8</v>
      </c>
      <c r="K10" s="113">
        <v>7</v>
      </c>
      <c r="L10" s="113">
        <v>8</v>
      </c>
      <c r="M10" s="254">
        <f t="shared" si="0"/>
        <v>8.5555555555555554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8</v>
      </c>
      <c r="E11" s="108">
        <v>9</v>
      </c>
      <c r="F11" s="108">
        <v>9</v>
      </c>
      <c r="G11" s="108">
        <v>10</v>
      </c>
      <c r="H11" s="108">
        <v>8</v>
      </c>
      <c r="I11" s="108">
        <v>7</v>
      </c>
      <c r="J11" s="108">
        <v>8</v>
      </c>
      <c r="K11" s="108">
        <v>9</v>
      </c>
      <c r="L11" s="108">
        <v>7</v>
      </c>
      <c r="M11" s="254">
        <f t="shared" si="0"/>
        <v>8.3333333333333339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8</v>
      </c>
      <c r="E12" s="255">
        <v>8</v>
      </c>
      <c r="F12" s="255">
        <v>9</v>
      </c>
      <c r="G12" s="255">
        <v>8</v>
      </c>
      <c r="H12" s="255">
        <v>8</v>
      </c>
      <c r="I12" s="255">
        <v>7</v>
      </c>
      <c r="J12" s="255">
        <v>8</v>
      </c>
      <c r="K12" s="255">
        <v>8</v>
      </c>
      <c r="L12" s="255">
        <v>8</v>
      </c>
      <c r="M12" s="254">
        <f t="shared" si="0"/>
        <v>8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9</v>
      </c>
      <c r="E13" s="255">
        <v>8</v>
      </c>
      <c r="F13" s="255">
        <v>8</v>
      </c>
      <c r="G13" s="255">
        <v>9</v>
      </c>
      <c r="H13" s="255">
        <v>8</v>
      </c>
      <c r="I13" s="255">
        <v>8</v>
      </c>
      <c r="J13" s="255">
        <v>8</v>
      </c>
      <c r="K13" s="255">
        <v>9</v>
      </c>
      <c r="L13" s="255">
        <v>7</v>
      </c>
      <c r="M13" s="254">
        <f t="shared" si="0"/>
        <v>8.2222222222222214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9</v>
      </c>
      <c r="E14" s="113">
        <v>9</v>
      </c>
      <c r="F14" s="113">
        <v>10</v>
      </c>
      <c r="G14" s="113">
        <v>9</v>
      </c>
      <c r="H14" s="113">
        <v>9</v>
      </c>
      <c r="I14" s="113">
        <v>8</v>
      </c>
      <c r="J14" s="113">
        <v>9</v>
      </c>
      <c r="K14" s="113">
        <v>8</v>
      </c>
      <c r="L14" s="113">
        <v>8</v>
      </c>
      <c r="M14" s="254">
        <f t="shared" si="0"/>
        <v>8.7777777777777786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9</v>
      </c>
      <c r="E15" s="108">
        <v>7</v>
      </c>
      <c r="F15" s="108">
        <v>9</v>
      </c>
      <c r="G15" s="108">
        <v>8</v>
      </c>
      <c r="H15" s="108">
        <v>8</v>
      </c>
      <c r="I15" s="108">
        <v>8</v>
      </c>
      <c r="J15" s="108">
        <v>7</v>
      </c>
      <c r="K15" s="108">
        <v>7</v>
      </c>
      <c r="L15" s="108">
        <v>8</v>
      </c>
      <c r="M15" s="254">
        <f t="shared" si="0"/>
        <v>7.8888888888888893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8</v>
      </c>
      <c r="E16" s="255">
        <v>9</v>
      </c>
      <c r="F16" s="255">
        <v>8</v>
      </c>
      <c r="G16" s="255">
        <v>8</v>
      </c>
      <c r="H16" s="255">
        <v>10</v>
      </c>
      <c r="I16" s="255">
        <v>9</v>
      </c>
      <c r="J16" s="255">
        <v>9</v>
      </c>
      <c r="K16" s="255">
        <v>10</v>
      </c>
      <c r="L16" s="255">
        <v>8</v>
      </c>
      <c r="M16" s="254">
        <f t="shared" si="0"/>
        <v>8.7777777777777786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9</v>
      </c>
      <c r="E17" s="255">
        <v>10</v>
      </c>
      <c r="F17" s="255">
        <v>8</v>
      </c>
      <c r="G17" s="255">
        <v>8</v>
      </c>
      <c r="H17" s="255">
        <v>8</v>
      </c>
      <c r="I17" s="255">
        <v>9</v>
      </c>
      <c r="J17" s="255">
        <v>8</v>
      </c>
      <c r="K17" s="255">
        <v>9</v>
      </c>
      <c r="L17" s="255">
        <v>10</v>
      </c>
      <c r="M17" s="254">
        <f t="shared" si="0"/>
        <v>8.7777777777777786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9</v>
      </c>
      <c r="E18" s="113">
        <v>8</v>
      </c>
      <c r="F18" s="113">
        <v>8</v>
      </c>
      <c r="G18" s="113">
        <v>8</v>
      </c>
      <c r="H18" s="113">
        <v>8</v>
      </c>
      <c r="I18" s="113">
        <v>7</v>
      </c>
      <c r="J18" s="113">
        <v>7</v>
      </c>
      <c r="K18" s="113">
        <v>7</v>
      </c>
      <c r="L18" s="113">
        <v>8</v>
      </c>
      <c r="M18" s="254">
        <f t="shared" si="0"/>
        <v>7.7777777777777777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9</v>
      </c>
      <c r="E19" s="108">
        <v>8</v>
      </c>
      <c r="F19" s="108">
        <v>8</v>
      </c>
      <c r="G19" s="108">
        <v>8</v>
      </c>
      <c r="H19" s="108">
        <v>9</v>
      </c>
      <c r="I19" s="108">
        <v>9</v>
      </c>
      <c r="J19" s="108">
        <v>9</v>
      </c>
      <c r="K19" s="108">
        <v>8</v>
      </c>
      <c r="L19" s="108">
        <v>8</v>
      </c>
      <c r="M19" s="254">
        <f t="shared" si="0"/>
        <v>8.4444444444444446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9</v>
      </c>
      <c r="E20" s="255">
        <v>9</v>
      </c>
      <c r="F20" s="255">
        <v>9</v>
      </c>
      <c r="G20" s="255">
        <v>8</v>
      </c>
      <c r="H20" s="255">
        <v>8</v>
      </c>
      <c r="I20" s="255">
        <v>9</v>
      </c>
      <c r="J20" s="255">
        <v>10</v>
      </c>
      <c r="K20" s="255">
        <v>8</v>
      </c>
      <c r="L20" s="255">
        <v>9</v>
      </c>
      <c r="M20" s="254">
        <f t="shared" si="0"/>
        <v>8.7777777777777786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8</v>
      </c>
      <c r="E21" s="255">
        <v>8</v>
      </c>
      <c r="F21" s="255">
        <v>8</v>
      </c>
      <c r="G21" s="255">
        <v>8</v>
      </c>
      <c r="H21" s="255">
        <v>8</v>
      </c>
      <c r="I21" s="255">
        <v>8</v>
      </c>
      <c r="J21" s="255">
        <v>9</v>
      </c>
      <c r="K21" s="255">
        <v>9</v>
      </c>
      <c r="L21" s="255">
        <v>9</v>
      </c>
      <c r="M21" s="254">
        <f t="shared" si="0"/>
        <v>8.3333333333333339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8</v>
      </c>
      <c r="E22" s="113">
        <v>9</v>
      </c>
      <c r="F22" s="113">
        <v>8</v>
      </c>
      <c r="G22" s="113">
        <v>8</v>
      </c>
      <c r="H22" s="113">
        <v>8</v>
      </c>
      <c r="I22" s="113">
        <v>9</v>
      </c>
      <c r="J22" s="113">
        <v>8</v>
      </c>
      <c r="K22" s="113">
        <v>8</v>
      </c>
      <c r="L22" s="113">
        <v>8</v>
      </c>
      <c r="M22" s="254">
        <f t="shared" si="0"/>
        <v>8.2222222222222214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9</v>
      </c>
      <c r="E23" s="108">
        <v>8</v>
      </c>
      <c r="F23" s="108">
        <v>7</v>
      </c>
      <c r="G23" s="108">
        <v>8</v>
      </c>
      <c r="H23" s="108">
        <v>8</v>
      </c>
      <c r="I23" s="108">
        <v>7</v>
      </c>
      <c r="J23" s="108">
        <v>8</v>
      </c>
      <c r="K23" s="108">
        <v>9</v>
      </c>
      <c r="L23" s="108">
        <v>9</v>
      </c>
      <c r="M23" s="254">
        <f t="shared" si="0"/>
        <v>8.1111111111111107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8</v>
      </c>
      <c r="E24" s="255">
        <v>9</v>
      </c>
      <c r="F24" s="255">
        <v>8</v>
      </c>
      <c r="G24" s="255">
        <v>8</v>
      </c>
      <c r="H24" s="255">
        <v>8</v>
      </c>
      <c r="I24" s="255">
        <v>8</v>
      </c>
      <c r="J24" s="255">
        <v>9</v>
      </c>
      <c r="K24" s="255">
        <v>10</v>
      </c>
      <c r="L24" s="255">
        <v>8</v>
      </c>
      <c r="M24" s="254">
        <f t="shared" si="0"/>
        <v>8.4444444444444446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8</v>
      </c>
      <c r="E25" s="255">
        <v>9</v>
      </c>
      <c r="F25" s="255">
        <v>9</v>
      </c>
      <c r="G25" s="255">
        <v>8</v>
      </c>
      <c r="H25" s="255">
        <v>9</v>
      </c>
      <c r="I25" s="255">
        <v>9</v>
      </c>
      <c r="J25" s="255">
        <v>10</v>
      </c>
      <c r="K25" s="255">
        <v>8</v>
      </c>
      <c r="L25" s="255">
        <v>8</v>
      </c>
      <c r="M25" s="254">
        <f t="shared" si="0"/>
        <v>8.6666666666666661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8</v>
      </c>
      <c r="E26" s="113">
        <v>8</v>
      </c>
      <c r="F26" s="113">
        <v>8</v>
      </c>
      <c r="G26" s="113">
        <v>7</v>
      </c>
      <c r="H26" s="113">
        <v>8</v>
      </c>
      <c r="I26" s="113">
        <v>7</v>
      </c>
      <c r="J26" s="113">
        <v>8</v>
      </c>
      <c r="K26" s="113">
        <v>9</v>
      </c>
      <c r="L26" s="113">
        <v>8</v>
      </c>
      <c r="M26" s="254">
        <f t="shared" si="0"/>
        <v>7.8888888888888893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8</v>
      </c>
      <c r="E27" s="108">
        <v>7</v>
      </c>
      <c r="F27" s="108">
        <v>8</v>
      </c>
      <c r="G27" s="108">
        <v>8</v>
      </c>
      <c r="H27" s="108">
        <v>8</v>
      </c>
      <c r="I27" s="108">
        <v>8</v>
      </c>
      <c r="J27" s="108">
        <v>8</v>
      </c>
      <c r="K27" s="108">
        <v>8</v>
      </c>
      <c r="L27" s="108">
        <v>8</v>
      </c>
      <c r="M27" s="254">
        <f t="shared" si="0"/>
        <v>7.8888888888888893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8</v>
      </c>
      <c r="E28" s="255">
        <v>9</v>
      </c>
      <c r="F28" s="255">
        <v>9</v>
      </c>
      <c r="G28" s="255">
        <v>9</v>
      </c>
      <c r="H28" s="255">
        <v>8</v>
      </c>
      <c r="I28" s="255">
        <v>9</v>
      </c>
      <c r="J28" s="255">
        <v>8</v>
      </c>
      <c r="K28" s="255">
        <v>8</v>
      </c>
      <c r="L28" s="255">
        <v>7</v>
      </c>
      <c r="M28" s="254">
        <f t="shared" si="0"/>
        <v>8.3333333333333339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8</v>
      </c>
      <c r="E29" s="255">
        <v>9</v>
      </c>
      <c r="F29" s="255">
        <v>9</v>
      </c>
      <c r="G29" s="255">
        <v>8</v>
      </c>
      <c r="H29" s="255">
        <v>9</v>
      </c>
      <c r="I29" s="255">
        <v>10</v>
      </c>
      <c r="J29" s="255">
        <v>8</v>
      </c>
      <c r="K29" s="255">
        <v>9</v>
      </c>
      <c r="L29" s="255">
        <v>9</v>
      </c>
      <c r="M29" s="254">
        <f t="shared" si="0"/>
        <v>8.7777777777777786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9</v>
      </c>
      <c r="E30" s="113">
        <v>10</v>
      </c>
      <c r="F30" s="113">
        <v>9</v>
      </c>
      <c r="G30" s="113">
        <v>8</v>
      </c>
      <c r="H30" s="113">
        <v>9</v>
      </c>
      <c r="I30" s="113">
        <v>9</v>
      </c>
      <c r="J30" s="113">
        <v>8</v>
      </c>
      <c r="K30" s="113">
        <v>9</v>
      </c>
      <c r="L30" s="113">
        <v>9</v>
      </c>
      <c r="M30" s="254">
        <f t="shared" si="0"/>
        <v>8.8888888888888893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8</v>
      </c>
      <c r="E31" s="108">
        <v>8</v>
      </c>
      <c r="F31" s="108">
        <v>8</v>
      </c>
      <c r="G31" s="108">
        <v>7</v>
      </c>
      <c r="H31" s="108">
        <v>7</v>
      </c>
      <c r="I31" s="108">
        <v>7</v>
      </c>
      <c r="J31" s="108">
        <v>8</v>
      </c>
      <c r="K31" s="108">
        <v>8</v>
      </c>
      <c r="L31" s="108">
        <v>8</v>
      </c>
      <c r="M31" s="254">
        <f t="shared" si="0"/>
        <v>7.666666666666667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9</v>
      </c>
      <c r="E32" s="255">
        <v>8</v>
      </c>
      <c r="F32" s="255">
        <v>7</v>
      </c>
      <c r="G32" s="255">
        <v>8</v>
      </c>
      <c r="H32" s="255">
        <v>8</v>
      </c>
      <c r="I32" s="255">
        <v>8</v>
      </c>
      <c r="J32" s="255">
        <v>7</v>
      </c>
      <c r="K32" s="255">
        <v>8</v>
      </c>
      <c r="L32" s="255">
        <v>9</v>
      </c>
      <c r="M32" s="254">
        <f t="shared" si="0"/>
        <v>8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8</v>
      </c>
      <c r="E33" s="255">
        <v>7</v>
      </c>
      <c r="F33" s="255">
        <v>9</v>
      </c>
      <c r="G33" s="255">
        <v>8</v>
      </c>
      <c r="H33" s="255">
        <v>8</v>
      </c>
      <c r="I33" s="255">
        <v>7</v>
      </c>
      <c r="J33" s="255">
        <v>9</v>
      </c>
      <c r="K33" s="255">
        <v>9</v>
      </c>
      <c r="L33" s="255">
        <v>8</v>
      </c>
      <c r="M33" s="254">
        <f t="shared" si="0"/>
        <v>8.1111111111111107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9</v>
      </c>
      <c r="E34" s="113">
        <v>9</v>
      </c>
      <c r="F34" s="113">
        <v>8</v>
      </c>
      <c r="G34" s="113">
        <v>9</v>
      </c>
      <c r="H34" s="113">
        <v>8</v>
      </c>
      <c r="I34" s="113">
        <v>8</v>
      </c>
      <c r="J34" s="113">
        <v>7</v>
      </c>
      <c r="K34" s="113">
        <v>8</v>
      </c>
      <c r="L34" s="113">
        <v>9</v>
      </c>
      <c r="M34" s="254">
        <f t="shared" si="0"/>
        <v>8.3333333333333339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7</v>
      </c>
      <c r="E35" s="108">
        <v>7</v>
      </c>
      <c r="F35" s="108">
        <v>7</v>
      </c>
      <c r="G35" s="108">
        <v>9</v>
      </c>
      <c r="H35" s="108">
        <v>8</v>
      </c>
      <c r="I35" s="108">
        <v>7</v>
      </c>
      <c r="J35" s="108">
        <v>8</v>
      </c>
      <c r="K35" s="108">
        <v>9</v>
      </c>
      <c r="L35" s="108">
        <v>8</v>
      </c>
      <c r="M35" s="254">
        <f t="shared" si="0"/>
        <v>7.7777777777777777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8</v>
      </c>
      <c r="E36" s="255">
        <v>9</v>
      </c>
      <c r="F36" s="255">
        <v>7</v>
      </c>
      <c r="G36" s="255">
        <v>8</v>
      </c>
      <c r="H36" s="255">
        <v>9</v>
      </c>
      <c r="I36" s="255">
        <v>8</v>
      </c>
      <c r="J36" s="255">
        <v>9</v>
      </c>
      <c r="K36" s="255">
        <v>9</v>
      </c>
      <c r="L36" s="255">
        <v>7</v>
      </c>
      <c r="M36" s="254">
        <f t="shared" si="0"/>
        <v>8.2222222222222214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7</v>
      </c>
      <c r="E37" s="255">
        <v>8</v>
      </c>
      <c r="F37" s="255">
        <v>7</v>
      </c>
      <c r="G37" s="255">
        <v>8</v>
      </c>
      <c r="H37" s="255">
        <v>9</v>
      </c>
      <c r="I37" s="255">
        <v>7</v>
      </c>
      <c r="J37" s="255">
        <v>7</v>
      </c>
      <c r="K37" s="255">
        <v>7</v>
      </c>
      <c r="L37" s="255">
        <v>8</v>
      </c>
      <c r="M37" s="254">
        <f t="shared" si="0"/>
        <v>7.5555555555555554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8</v>
      </c>
      <c r="E38" s="113">
        <v>8</v>
      </c>
      <c r="F38" s="113">
        <v>7</v>
      </c>
      <c r="G38" s="113">
        <v>7</v>
      </c>
      <c r="H38" s="113">
        <v>8</v>
      </c>
      <c r="I38" s="113">
        <v>8</v>
      </c>
      <c r="J38" s="113">
        <v>7</v>
      </c>
      <c r="K38" s="113">
        <v>7</v>
      </c>
      <c r="L38" s="113">
        <v>7</v>
      </c>
      <c r="M38" s="254">
        <f t="shared" si="0"/>
        <v>7.4444444444444446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9</v>
      </c>
      <c r="E39" s="108">
        <v>8</v>
      </c>
      <c r="F39" s="108">
        <v>10</v>
      </c>
      <c r="G39" s="108">
        <v>9</v>
      </c>
      <c r="H39" s="108">
        <v>8</v>
      </c>
      <c r="I39" s="108">
        <v>7</v>
      </c>
      <c r="J39" s="108">
        <v>8</v>
      </c>
      <c r="K39" s="108">
        <v>9</v>
      </c>
      <c r="L39" s="108">
        <v>8</v>
      </c>
      <c r="M39" s="254">
        <f t="shared" si="0"/>
        <v>8.4444444444444446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8</v>
      </c>
      <c r="E40" s="255">
        <v>9</v>
      </c>
      <c r="F40" s="255">
        <v>9</v>
      </c>
      <c r="G40" s="255">
        <v>8</v>
      </c>
      <c r="H40" s="255">
        <v>7</v>
      </c>
      <c r="I40" s="255">
        <v>9</v>
      </c>
      <c r="J40" s="255">
        <v>9</v>
      </c>
      <c r="K40" s="255">
        <v>7</v>
      </c>
      <c r="L40" s="255">
        <v>8</v>
      </c>
      <c r="M40" s="254">
        <f t="shared" si="0"/>
        <v>8.2222222222222214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10</v>
      </c>
      <c r="E41" s="255">
        <v>8</v>
      </c>
      <c r="F41" s="255">
        <v>8</v>
      </c>
      <c r="G41" s="255">
        <v>9</v>
      </c>
      <c r="H41" s="255">
        <v>8</v>
      </c>
      <c r="I41" s="255">
        <v>8</v>
      </c>
      <c r="J41" s="255">
        <v>9</v>
      </c>
      <c r="K41" s="255">
        <v>8</v>
      </c>
      <c r="L41" s="255">
        <v>9</v>
      </c>
      <c r="M41" s="254">
        <f t="shared" si="0"/>
        <v>8.5555555555555554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7</v>
      </c>
      <c r="E42" s="113">
        <v>9</v>
      </c>
      <c r="F42" s="113">
        <v>8</v>
      </c>
      <c r="G42" s="113">
        <v>8</v>
      </c>
      <c r="H42" s="113">
        <v>8</v>
      </c>
      <c r="I42" s="113">
        <v>8</v>
      </c>
      <c r="J42" s="113">
        <v>7</v>
      </c>
      <c r="K42" s="113">
        <v>8</v>
      </c>
      <c r="L42" s="113">
        <v>9</v>
      </c>
      <c r="M42" s="254">
        <f t="shared" si="0"/>
        <v>8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8</v>
      </c>
      <c r="E43" s="108">
        <v>7</v>
      </c>
      <c r="F43" s="108">
        <v>7</v>
      </c>
      <c r="G43" s="108">
        <v>7</v>
      </c>
      <c r="H43" s="108">
        <v>8</v>
      </c>
      <c r="I43" s="108">
        <v>8</v>
      </c>
      <c r="J43" s="108">
        <v>8</v>
      </c>
      <c r="K43" s="108">
        <v>8</v>
      </c>
      <c r="L43" s="108">
        <v>8</v>
      </c>
      <c r="M43" s="254">
        <f t="shared" si="0"/>
        <v>7.666666666666667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8</v>
      </c>
      <c r="E44" s="255">
        <v>8</v>
      </c>
      <c r="F44" s="255">
        <v>9</v>
      </c>
      <c r="G44" s="255">
        <v>8</v>
      </c>
      <c r="H44" s="255">
        <v>8</v>
      </c>
      <c r="I44" s="255">
        <v>9</v>
      </c>
      <c r="J44" s="255">
        <v>7</v>
      </c>
      <c r="K44" s="255">
        <v>8</v>
      </c>
      <c r="L44" s="255">
        <v>8</v>
      </c>
      <c r="M44" s="254">
        <f t="shared" si="0"/>
        <v>8.1111111111111107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9</v>
      </c>
      <c r="E45" s="255">
        <v>8</v>
      </c>
      <c r="F45" s="255">
        <v>8</v>
      </c>
      <c r="G45" s="255">
        <v>8</v>
      </c>
      <c r="H45" s="255">
        <v>8</v>
      </c>
      <c r="I45" s="255">
        <v>8</v>
      </c>
      <c r="J45" s="255">
        <v>8</v>
      </c>
      <c r="K45" s="255">
        <v>8</v>
      </c>
      <c r="L45" s="255">
        <v>8</v>
      </c>
      <c r="M45" s="254">
        <f t="shared" si="0"/>
        <v>8.1111111111111107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8</v>
      </c>
      <c r="E46" s="113">
        <v>7</v>
      </c>
      <c r="F46" s="113">
        <v>8</v>
      </c>
      <c r="G46" s="113">
        <v>7</v>
      </c>
      <c r="H46" s="113">
        <v>8</v>
      </c>
      <c r="I46" s="113">
        <v>8</v>
      </c>
      <c r="J46" s="113">
        <v>9</v>
      </c>
      <c r="K46" s="113">
        <v>9</v>
      </c>
      <c r="L46" s="113">
        <v>8</v>
      </c>
      <c r="M46" s="254">
        <f t="shared" si="0"/>
        <v>8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8</v>
      </c>
      <c r="E47" s="108">
        <v>8</v>
      </c>
      <c r="F47" s="108">
        <v>8</v>
      </c>
      <c r="G47" s="108">
        <v>9</v>
      </c>
      <c r="H47" s="108">
        <v>10</v>
      </c>
      <c r="I47" s="108">
        <v>8</v>
      </c>
      <c r="J47" s="108">
        <v>8</v>
      </c>
      <c r="K47" s="108">
        <v>9</v>
      </c>
      <c r="L47" s="108">
        <v>8</v>
      </c>
      <c r="M47" s="254">
        <f t="shared" si="0"/>
        <v>8.4444444444444446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8</v>
      </c>
      <c r="E48" s="255">
        <v>7</v>
      </c>
      <c r="F48" s="255">
        <v>8</v>
      </c>
      <c r="G48" s="255">
        <v>8</v>
      </c>
      <c r="H48" s="255">
        <v>8</v>
      </c>
      <c r="I48" s="255">
        <v>9</v>
      </c>
      <c r="J48" s="255">
        <v>8</v>
      </c>
      <c r="K48" s="255">
        <v>9</v>
      </c>
      <c r="L48" s="255">
        <v>8</v>
      </c>
      <c r="M48" s="254">
        <f t="shared" si="0"/>
        <v>8.1111111111111107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9</v>
      </c>
      <c r="E49" s="255">
        <v>8</v>
      </c>
      <c r="F49" s="255">
        <v>8</v>
      </c>
      <c r="G49" s="255">
        <v>8</v>
      </c>
      <c r="H49" s="255">
        <v>7</v>
      </c>
      <c r="I49" s="255">
        <v>8</v>
      </c>
      <c r="J49" s="255">
        <v>8</v>
      </c>
      <c r="K49" s="255">
        <v>9</v>
      </c>
      <c r="L49" s="255">
        <v>8</v>
      </c>
      <c r="M49" s="254">
        <f t="shared" si="0"/>
        <v>8.1111111111111107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7</v>
      </c>
      <c r="E50" s="113">
        <v>8</v>
      </c>
      <c r="F50" s="113">
        <v>7</v>
      </c>
      <c r="G50" s="113">
        <v>8</v>
      </c>
      <c r="H50" s="113">
        <v>8</v>
      </c>
      <c r="I50" s="113">
        <v>8</v>
      </c>
      <c r="J50" s="113">
        <v>7</v>
      </c>
      <c r="K50" s="113">
        <v>7</v>
      </c>
      <c r="L50" s="113">
        <v>8</v>
      </c>
      <c r="M50" s="254">
        <f t="shared" si="0"/>
        <v>7.5555555555555554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8</v>
      </c>
      <c r="E51" s="108">
        <v>10</v>
      </c>
      <c r="F51" s="108">
        <v>9</v>
      </c>
      <c r="G51" s="108">
        <v>8</v>
      </c>
      <c r="H51" s="108">
        <v>8</v>
      </c>
      <c r="I51" s="108">
        <v>8</v>
      </c>
      <c r="J51" s="108">
        <v>9</v>
      </c>
      <c r="K51" s="108">
        <v>8</v>
      </c>
      <c r="L51" s="108">
        <v>7</v>
      </c>
      <c r="M51" s="254">
        <f t="shared" si="0"/>
        <v>8.3333333333333339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8</v>
      </c>
      <c r="E52" s="255">
        <v>8</v>
      </c>
      <c r="F52" s="255">
        <v>8</v>
      </c>
      <c r="G52" s="255">
        <v>9</v>
      </c>
      <c r="H52" s="255">
        <v>9</v>
      </c>
      <c r="I52" s="255">
        <v>9</v>
      </c>
      <c r="J52" s="255">
        <v>9</v>
      </c>
      <c r="K52" s="255">
        <v>8</v>
      </c>
      <c r="L52" s="255">
        <v>9</v>
      </c>
      <c r="M52" s="254">
        <f t="shared" si="0"/>
        <v>8.5555555555555554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7</v>
      </c>
      <c r="E53" s="255">
        <v>8</v>
      </c>
      <c r="F53" s="255">
        <v>7</v>
      </c>
      <c r="G53" s="255">
        <v>7</v>
      </c>
      <c r="H53" s="255">
        <v>8</v>
      </c>
      <c r="I53" s="255">
        <v>9</v>
      </c>
      <c r="J53" s="255">
        <v>8</v>
      </c>
      <c r="K53" s="255">
        <v>7</v>
      </c>
      <c r="L53" s="255">
        <v>9</v>
      </c>
      <c r="M53" s="254">
        <f t="shared" si="0"/>
        <v>7.7777777777777777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8</v>
      </c>
      <c r="E54" s="113">
        <v>9</v>
      </c>
      <c r="F54" s="113">
        <v>9</v>
      </c>
      <c r="G54" s="113">
        <v>7</v>
      </c>
      <c r="H54" s="113">
        <v>7</v>
      </c>
      <c r="I54" s="113">
        <v>7</v>
      </c>
      <c r="J54" s="113">
        <v>8</v>
      </c>
      <c r="K54" s="113">
        <v>9</v>
      </c>
      <c r="L54" s="113">
        <v>9</v>
      </c>
      <c r="M54" s="254">
        <f t="shared" si="0"/>
        <v>8.1111111111111107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82FA-05B9-40D8-A9F9-B760AC9DA6C6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44390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6</v>
      </c>
      <c r="E7" s="108">
        <v>6</v>
      </c>
      <c r="F7" s="108">
        <v>6</v>
      </c>
      <c r="G7" s="108">
        <v>7</v>
      </c>
      <c r="H7" s="108">
        <v>7</v>
      </c>
      <c r="I7" s="108">
        <v>7</v>
      </c>
      <c r="J7" s="108">
        <v>7</v>
      </c>
      <c r="K7" s="108">
        <v>6</v>
      </c>
      <c r="L7" s="108">
        <v>7</v>
      </c>
      <c r="M7" s="254">
        <f t="shared" ref="M7:M54" si="0">AVERAGE(D7:L7)</f>
        <v>6.5555555555555554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4</v>
      </c>
      <c r="E8" s="255">
        <v>4</v>
      </c>
      <c r="F8" s="255">
        <v>5</v>
      </c>
      <c r="G8" s="255">
        <v>5</v>
      </c>
      <c r="H8" s="255">
        <v>5</v>
      </c>
      <c r="I8" s="255">
        <v>4</v>
      </c>
      <c r="J8" s="255">
        <v>5</v>
      </c>
      <c r="K8" s="255">
        <v>4</v>
      </c>
      <c r="L8" s="255">
        <v>4</v>
      </c>
      <c r="M8" s="254">
        <f t="shared" si="0"/>
        <v>4.4444444444444446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4</v>
      </c>
      <c r="E9" s="255">
        <v>5</v>
      </c>
      <c r="F9" s="255">
        <v>6</v>
      </c>
      <c r="G9" s="255">
        <v>5</v>
      </c>
      <c r="H9" s="255">
        <v>5</v>
      </c>
      <c r="I9" s="255">
        <v>6</v>
      </c>
      <c r="J9" s="255">
        <v>5</v>
      </c>
      <c r="K9" s="255">
        <v>4</v>
      </c>
      <c r="L9" s="255">
        <v>4</v>
      </c>
      <c r="M9" s="254">
        <f t="shared" si="0"/>
        <v>4.8888888888888893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6</v>
      </c>
      <c r="E10" s="113">
        <v>5</v>
      </c>
      <c r="F10" s="113">
        <v>6</v>
      </c>
      <c r="G10" s="113">
        <v>6</v>
      </c>
      <c r="H10" s="113">
        <v>5</v>
      </c>
      <c r="I10" s="113">
        <v>5</v>
      </c>
      <c r="J10" s="113">
        <v>7</v>
      </c>
      <c r="K10" s="113">
        <v>7</v>
      </c>
      <c r="L10" s="113">
        <v>6</v>
      </c>
      <c r="M10" s="254">
        <f t="shared" si="0"/>
        <v>5.8888888888888893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6</v>
      </c>
      <c r="E11" s="108">
        <v>6</v>
      </c>
      <c r="F11" s="108">
        <v>8</v>
      </c>
      <c r="G11" s="108">
        <v>6</v>
      </c>
      <c r="H11" s="108">
        <v>7</v>
      </c>
      <c r="I11" s="108">
        <v>6</v>
      </c>
      <c r="J11" s="108">
        <v>5</v>
      </c>
      <c r="K11" s="108">
        <v>6</v>
      </c>
      <c r="L11" s="108">
        <v>6</v>
      </c>
      <c r="M11" s="254">
        <f t="shared" si="0"/>
        <v>6.2222222222222223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4</v>
      </c>
      <c r="E12" s="255">
        <v>4</v>
      </c>
      <c r="F12" s="255">
        <v>4</v>
      </c>
      <c r="G12" s="255">
        <v>4</v>
      </c>
      <c r="H12" s="255">
        <v>5</v>
      </c>
      <c r="I12" s="255">
        <v>5</v>
      </c>
      <c r="J12" s="255">
        <v>5</v>
      </c>
      <c r="K12" s="255">
        <v>4</v>
      </c>
      <c r="L12" s="255">
        <v>4</v>
      </c>
      <c r="M12" s="254">
        <f t="shared" si="0"/>
        <v>4.333333333333333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5</v>
      </c>
      <c r="E13" s="255">
        <v>4</v>
      </c>
      <c r="F13" s="255">
        <v>5</v>
      </c>
      <c r="G13" s="255">
        <v>5</v>
      </c>
      <c r="H13" s="255">
        <v>5</v>
      </c>
      <c r="I13" s="255">
        <v>5</v>
      </c>
      <c r="J13" s="255">
        <v>5</v>
      </c>
      <c r="K13" s="255">
        <v>4</v>
      </c>
      <c r="L13" s="255">
        <v>5</v>
      </c>
      <c r="M13" s="254">
        <f t="shared" si="0"/>
        <v>4.7777777777777777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5</v>
      </c>
      <c r="E14" s="113">
        <v>5</v>
      </c>
      <c r="F14" s="113">
        <v>5</v>
      </c>
      <c r="G14" s="113">
        <v>6</v>
      </c>
      <c r="H14" s="113">
        <v>6</v>
      </c>
      <c r="I14" s="113">
        <v>5</v>
      </c>
      <c r="J14" s="113">
        <v>6</v>
      </c>
      <c r="K14" s="113">
        <v>6</v>
      </c>
      <c r="L14" s="113">
        <v>5</v>
      </c>
      <c r="M14" s="254">
        <f t="shared" si="0"/>
        <v>5.4444444444444446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6</v>
      </c>
      <c r="E15" s="108">
        <v>5</v>
      </c>
      <c r="F15" s="108">
        <v>5</v>
      </c>
      <c r="G15" s="108">
        <v>6</v>
      </c>
      <c r="H15" s="108">
        <v>5</v>
      </c>
      <c r="I15" s="108">
        <v>6</v>
      </c>
      <c r="J15" s="108">
        <v>6</v>
      </c>
      <c r="K15" s="108">
        <v>6</v>
      </c>
      <c r="L15" s="108">
        <v>5</v>
      </c>
      <c r="M15" s="254">
        <f t="shared" si="0"/>
        <v>5.5555555555555554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7</v>
      </c>
      <c r="E16" s="255">
        <v>6</v>
      </c>
      <c r="F16" s="255">
        <v>7</v>
      </c>
      <c r="G16" s="255">
        <v>6</v>
      </c>
      <c r="H16" s="255">
        <v>6</v>
      </c>
      <c r="I16" s="255">
        <v>7</v>
      </c>
      <c r="J16" s="255">
        <v>7</v>
      </c>
      <c r="K16" s="255">
        <v>7</v>
      </c>
      <c r="L16" s="255">
        <v>6</v>
      </c>
      <c r="M16" s="254">
        <f t="shared" si="0"/>
        <v>6.5555555555555554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7</v>
      </c>
      <c r="E17" s="255">
        <v>7</v>
      </c>
      <c r="F17" s="255">
        <v>7</v>
      </c>
      <c r="G17" s="255">
        <v>7</v>
      </c>
      <c r="H17" s="255">
        <v>6</v>
      </c>
      <c r="I17" s="255">
        <v>6</v>
      </c>
      <c r="J17" s="255">
        <v>7</v>
      </c>
      <c r="K17" s="255">
        <v>7</v>
      </c>
      <c r="L17" s="255">
        <v>6</v>
      </c>
      <c r="M17" s="254">
        <f t="shared" si="0"/>
        <v>6.666666666666667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5</v>
      </c>
      <c r="E18" s="113">
        <v>6</v>
      </c>
      <c r="F18" s="113">
        <v>6</v>
      </c>
      <c r="G18" s="113">
        <v>5</v>
      </c>
      <c r="H18" s="113">
        <v>5</v>
      </c>
      <c r="I18" s="113">
        <v>5</v>
      </c>
      <c r="J18" s="113">
        <v>6</v>
      </c>
      <c r="K18" s="113">
        <v>6</v>
      </c>
      <c r="L18" s="113">
        <v>6</v>
      </c>
      <c r="M18" s="254">
        <f t="shared" si="0"/>
        <v>5.5555555555555554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6</v>
      </c>
      <c r="E19" s="108">
        <v>6</v>
      </c>
      <c r="F19" s="108">
        <v>7</v>
      </c>
      <c r="G19" s="108">
        <v>7</v>
      </c>
      <c r="H19" s="108">
        <v>7</v>
      </c>
      <c r="I19" s="108">
        <v>7</v>
      </c>
      <c r="J19" s="108">
        <v>8</v>
      </c>
      <c r="K19" s="108">
        <v>6</v>
      </c>
      <c r="L19" s="108">
        <v>6</v>
      </c>
      <c r="M19" s="254">
        <f t="shared" si="0"/>
        <v>6.666666666666667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7</v>
      </c>
      <c r="E20" s="255">
        <v>8</v>
      </c>
      <c r="F20" s="255">
        <v>7</v>
      </c>
      <c r="G20" s="255">
        <v>7</v>
      </c>
      <c r="H20" s="255">
        <v>7</v>
      </c>
      <c r="I20" s="255">
        <v>7</v>
      </c>
      <c r="J20" s="255">
        <v>7</v>
      </c>
      <c r="K20" s="255">
        <v>8</v>
      </c>
      <c r="L20" s="255">
        <v>7</v>
      </c>
      <c r="M20" s="254">
        <f t="shared" si="0"/>
        <v>7.2222222222222223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7</v>
      </c>
      <c r="E21" s="255">
        <v>7</v>
      </c>
      <c r="F21" s="255">
        <v>6</v>
      </c>
      <c r="G21" s="255">
        <v>7</v>
      </c>
      <c r="H21" s="255">
        <v>7</v>
      </c>
      <c r="I21" s="255">
        <v>7</v>
      </c>
      <c r="J21" s="255">
        <v>8</v>
      </c>
      <c r="K21" s="255">
        <v>8</v>
      </c>
      <c r="L21" s="255">
        <v>7</v>
      </c>
      <c r="M21" s="254">
        <f t="shared" si="0"/>
        <v>7.1111111111111107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7</v>
      </c>
      <c r="E22" s="113">
        <v>7</v>
      </c>
      <c r="F22" s="113">
        <v>8</v>
      </c>
      <c r="G22" s="113">
        <v>8</v>
      </c>
      <c r="H22" s="113">
        <v>6</v>
      </c>
      <c r="I22" s="113">
        <v>7</v>
      </c>
      <c r="J22" s="113">
        <v>6</v>
      </c>
      <c r="K22" s="113">
        <v>7</v>
      </c>
      <c r="L22" s="113">
        <v>6</v>
      </c>
      <c r="M22" s="254">
        <f t="shared" si="0"/>
        <v>6.8888888888888893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6</v>
      </c>
      <c r="E23" s="108">
        <v>6</v>
      </c>
      <c r="F23" s="108">
        <v>7</v>
      </c>
      <c r="G23" s="108">
        <v>6</v>
      </c>
      <c r="H23" s="108">
        <v>6</v>
      </c>
      <c r="I23" s="108">
        <v>6</v>
      </c>
      <c r="J23" s="108">
        <v>7</v>
      </c>
      <c r="K23" s="108">
        <v>6</v>
      </c>
      <c r="L23" s="108">
        <v>6</v>
      </c>
      <c r="M23" s="254">
        <f t="shared" si="0"/>
        <v>6.2222222222222223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7</v>
      </c>
      <c r="E24" s="255">
        <v>8</v>
      </c>
      <c r="F24" s="255">
        <v>7</v>
      </c>
      <c r="G24" s="255">
        <v>8</v>
      </c>
      <c r="H24" s="255">
        <v>7</v>
      </c>
      <c r="I24" s="255">
        <v>6</v>
      </c>
      <c r="J24" s="255">
        <v>6</v>
      </c>
      <c r="K24" s="255">
        <v>5</v>
      </c>
      <c r="L24" s="255">
        <v>6</v>
      </c>
      <c r="M24" s="254">
        <f t="shared" si="0"/>
        <v>6.666666666666667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5</v>
      </c>
      <c r="E25" s="255">
        <v>5</v>
      </c>
      <c r="F25" s="255">
        <v>7</v>
      </c>
      <c r="G25" s="255">
        <v>6</v>
      </c>
      <c r="H25" s="255">
        <v>5</v>
      </c>
      <c r="I25" s="255">
        <v>5</v>
      </c>
      <c r="J25" s="255">
        <v>6</v>
      </c>
      <c r="K25" s="255">
        <v>6</v>
      </c>
      <c r="L25" s="255">
        <v>6</v>
      </c>
      <c r="M25" s="254">
        <f t="shared" si="0"/>
        <v>5.666666666666667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6</v>
      </c>
      <c r="E26" s="113">
        <v>6</v>
      </c>
      <c r="F26" s="113">
        <v>6</v>
      </c>
      <c r="G26" s="113">
        <v>6</v>
      </c>
      <c r="H26" s="113">
        <v>7</v>
      </c>
      <c r="I26" s="113">
        <v>6</v>
      </c>
      <c r="J26" s="113">
        <v>7</v>
      </c>
      <c r="K26" s="113">
        <v>6</v>
      </c>
      <c r="L26" s="113">
        <v>5</v>
      </c>
      <c r="M26" s="254">
        <f t="shared" si="0"/>
        <v>6.1111111111111107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6</v>
      </c>
      <c r="E27" s="108">
        <v>6</v>
      </c>
      <c r="F27" s="108">
        <v>7</v>
      </c>
      <c r="G27" s="108">
        <v>7</v>
      </c>
      <c r="H27" s="108">
        <v>6</v>
      </c>
      <c r="I27" s="108">
        <v>6</v>
      </c>
      <c r="J27" s="108">
        <v>5</v>
      </c>
      <c r="K27" s="108">
        <v>6</v>
      </c>
      <c r="L27" s="108">
        <v>7</v>
      </c>
      <c r="M27" s="254">
        <f t="shared" si="0"/>
        <v>6.2222222222222223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7</v>
      </c>
      <c r="E28" s="255">
        <v>6</v>
      </c>
      <c r="F28" s="255">
        <v>7</v>
      </c>
      <c r="G28" s="255">
        <v>8</v>
      </c>
      <c r="H28" s="255">
        <v>7</v>
      </c>
      <c r="I28" s="255">
        <v>7</v>
      </c>
      <c r="J28" s="255">
        <v>8</v>
      </c>
      <c r="K28" s="255">
        <v>8</v>
      </c>
      <c r="L28" s="255">
        <v>7</v>
      </c>
      <c r="M28" s="254">
        <f t="shared" si="0"/>
        <v>7.2222222222222223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7</v>
      </c>
      <c r="E29" s="255">
        <v>7</v>
      </c>
      <c r="F29" s="255">
        <v>8</v>
      </c>
      <c r="G29" s="255">
        <v>7</v>
      </c>
      <c r="H29" s="255">
        <v>8</v>
      </c>
      <c r="I29" s="255">
        <v>8</v>
      </c>
      <c r="J29" s="255">
        <v>7</v>
      </c>
      <c r="K29" s="255">
        <v>8</v>
      </c>
      <c r="L29" s="255">
        <v>7</v>
      </c>
      <c r="M29" s="254">
        <f t="shared" si="0"/>
        <v>7.4444444444444446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8</v>
      </c>
      <c r="E30" s="113">
        <v>8</v>
      </c>
      <c r="F30" s="113">
        <v>8</v>
      </c>
      <c r="G30" s="113">
        <v>9</v>
      </c>
      <c r="H30" s="113">
        <v>8</v>
      </c>
      <c r="I30" s="113">
        <v>7</v>
      </c>
      <c r="J30" s="113">
        <v>8</v>
      </c>
      <c r="K30" s="113">
        <v>8</v>
      </c>
      <c r="L30" s="113">
        <v>8</v>
      </c>
      <c r="M30" s="254">
        <f t="shared" si="0"/>
        <v>8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6</v>
      </c>
      <c r="E31" s="108">
        <v>6</v>
      </c>
      <c r="F31" s="108">
        <v>6</v>
      </c>
      <c r="G31" s="108">
        <v>5</v>
      </c>
      <c r="H31" s="108">
        <v>5</v>
      </c>
      <c r="I31" s="108">
        <v>6</v>
      </c>
      <c r="J31" s="108">
        <v>5</v>
      </c>
      <c r="K31" s="108">
        <v>6</v>
      </c>
      <c r="L31" s="108">
        <v>5</v>
      </c>
      <c r="M31" s="254">
        <f t="shared" si="0"/>
        <v>5.5555555555555554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7</v>
      </c>
      <c r="E32" s="255">
        <v>7</v>
      </c>
      <c r="F32" s="255">
        <v>7</v>
      </c>
      <c r="G32" s="255">
        <v>7</v>
      </c>
      <c r="H32" s="255">
        <v>8</v>
      </c>
      <c r="I32" s="255">
        <v>6</v>
      </c>
      <c r="J32" s="255">
        <v>6</v>
      </c>
      <c r="K32" s="255">
        <v>7</v>
      </c>
      <c r="L32" s="255">
        <v>7</v>
      </c>
      <c r="M32" s="254">
        <f t="shared" si="0"/>
        <v>6.8888888888888893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5</v>
      </c>
      <c r="E33" s="255">
        <v>6</v>
      </c>
      <c r="F33" s="255">
        <v>5</v>
      </c>
      <c r="G33" s="255">
        <v>5</v>
      </c>
      <c r="H33" s="255">
        <v>6</v>
      </c>
      <c r="I33" s="255">
        <v>6</v>
      </c>
      <c r="J33" s="255">
        <v>6</v>
      </c>
      <c r="K33" s="255">
        <v>5</v>
      </c>
      <c r="L33" s="255">
        <v>6</v>
      </c>
      <c r="M33" s="254">
        <f t="shared" si="0"/>
        <v>5.5555555555555554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7</v>
      </c>
      <c r="E34" s="113">
        <v>7</v>
      </c>
      <c r="F34" s="113">
        <v>7</v>
      </c>
      <c r="G34" s="113">
        <v>8</v>
      </c>
      <c r="H34" s="113">
        <v>7</v>
      </c>
      <c r="I34" s="113">
        <v>8</v>
      </c>
      <c r="J34" s="113">
        <v>7</v>
      </c>
      <c r="K34" s="113">
        <v>7</v>
      </c>
      <c r="L34" s="113">
        <v>6</v>
      </c>
      <c r="M34" s="254">
        <f t="shared" si="0"/>
        <v>7.1111111111111107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8</v>
      </c>
      <c r="E35" s="108">
        <v>8</v>
      </c>
      <c r="F35" s="108">
        <v>7</v>
      </c>
      <c r="G35" s="108">
        <v>7</v>
      </c>
      <c r="H35" s="108">
        <v>7</v>
      </c>
      <c r="I35" s="108">
        <v>7</v>
      </c>
      <c r="J35" s="108">
        <v>7</v>
      </c>
      <c r="K35" s="108">
        <v>7</v>
      </c>
      <c r="L35" s="108">
        <v>8</v>
      </c>
      <c r="M35" s="254">
        <f t="shared" si="0"/>
        <v>7.333333333333333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6</v>
      </c>
      <c r="E36" s="255">
        <v>6</v>
      </c>
      <c r="F36" s="255">
        <v>5</v>
      </c>
      <c r="G36" s="255">
        <v>6</v>
      </c>
      <c r="H36" s="255">
        <v>6</v>
      </c>
      <c r="I36" s="255">
        <v>6</v>
      </c>
      <c r="J36" s="255">
        <v>5</v>
      </c>
      <c r="K36" s="255">
        <v>6</v>
      </c>
      <c r="L36" s="255">
        <v>6</v>
      </c>
      <c r="M36" s="254">
        <f t="shared" si="0"/>
        <v>5.7777777777777777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6</v>
      </c>
      <c r="E37" s="255">
        <v>6</v>
      </c>
      <c r="F37" s="255">
        <v>7</v>
      </c>
      <c r="G37" s="255">
        <v>6</v>
      </c>
      <c r="H37" s="255">
        <v>6</v>
      </c>
      <c r="I37" s="255">
        <v>6</v>
      </c>
      <c r="J37" s="255">
        <v>6</v>
      </c>
      <c r="K37" s="255">
        <v>5</v>
      </c>
      <c r="L37" s="255">
        <v>6</v>
      </c>
      <c r="M37" s="254">
        <f t="shared" si="0"/>
        <v>6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6</v>
      </c>
      <c r="E38" s="113">
        <v>6</v>
      </c>
      <c r="F38" s="113">
        <v>5</v>
      </c>
      <c r="G38" s="113">
        <v>6</v>
      </c>
      <c r="H38" s="113">
        <v>6</v>
      </c>
      <c r="I38" s="113">
        <v>5</v>
      </c>
      <c r="J38" s="113">
        <v>6</v>
      </c>
      <c r="K38" s="113">
        <v>7</v>
      </c>
      <c r="L38" s="113">
        <v>5</v>
      </c>
      <c r="M38" s="254">
        <f t="shared" si="0"/>
        <v>5.7777777777777777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7</v>
      </c>
      <c r="E39" s="108">
        <v>8</v>
      </c>
      <c r="F39" s="108">
        <v>7</v>
      </c>
      <c r="G39" s="108">
        <v>8</v>
      </c>
      <c r="H39" s="108">
        <v>7</v>
      </c>
      <c r="I39" s="108">
        <v>7</v>
      </c>
      <c r="J39" s="108">
        <v>8</v>
      </c>
      <c r="K39" s="108">
        <v>7</v>
      </c>
      <c r="L39" s="108">
        <v>7</v>
      </c>
      <c r="M39" s="254">
        <f t="shared" si="0"/>
        <v>7.333333333333333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6</v>
      </c>
      <c r="E40" s="255">
        <v>6</v>
      </c>
      <c r="F40" s="255">
        <v>5</v>
      </c>
      <c r="G40" s="255">
        <v>7</v>
      </c>
      <c r="H40" s="255">
        <v>7</v>
      </c>
      <c r="I40" s="255">
        <v>7</v>
      </c>
      <c r="J40" s="255">
        <v>6</v>
      </c>
      <c r="K40" s="255">
        <v>6</v>
      </c>
      <c r="L40" s="255">
        <v>6</v>
      </c>
      <c r="M40" s="254">
        <f t="shared" si="0"/>
        <v>6.2222222222222223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7</v>
      </c>
      <c r="E41" s="255">
        <v>8</v>
      </c>
      <c r="F41" s="255">
        <v>7</v>
      </c>
      <c r="G41" s="255">
        <v>8</v>
      </c>
      <c r="H41" s="255">
        <v>8</v>
      </c>
      <c r="I41" s="255">
        <v>7</v>
      </c>
      <c r="J41" s="255">
        <v>7</v>
      </c>
      <c r="K41" s="255">
        <v>8</v>
      </c>
      <c r="L41" s="255">
        <v>7</v>
      </c>
      <c r="M41" s="254">
        <f t="shared" si="0"/>
        <v>7.4444444444444446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7</v>
      </c>
      <c r="E42" s="113">
        <v>7</v>
      </c>
      <c r="F42" s="113">
        <v>7</v>
      </c>
      <c r="G42" s="113">
        <v>8</v>
      </c>
      <c r="H42" s="113">
        <v>7</v>
      </c>
      <c r="I42" s="113">
        <v>7</v>
      </c>
      <c r="J42" s="113">
        <v>7</v>
      </c>
      <c r="K42" s="113">
        <v>6</v>
      </c>
      <c r="L42" s="113">
        <v>7</v>
      </c>
      <c r="M42" s="254">
        <f t="shared" si="0"/>
        <v>7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6</v>
      </c>
      <c r="E43" s="108">
        <v>7</v>
      </c>
      <c r="F43" s="108">
        <v>6</v>
      </c>
      <c r="G43" s="108">
        <v>5</v>
      </c>
      <c r="H43" s="108">
        <v>5</v>
      </c>
      <c r="I43" s="108">
        <v>5</v>
      </c>
      <c r="J43" s="108">
        <v>6</v>
      </c>
      <c r="K43" s="108">
        <v>6</v>
      </c>
      <c r="L43" s="108">
        <v>6</v>
      </c>
      <c r="M43" s="254">
        <f t="shared" si="0"/>
        <v>5.7777777777777777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7</v>
      </c>
      <c r="E44" s="255">
        <v>6</v>
      </c>
      <c r="F44" s="255">
        <v>7</v>
      </c>
      <c r="G44" s="255">
        <v>7</v>
      </c>
      <c r="H44" s="255">
        <v>6</v>
      </c>
      <c r="I44" s="255">
        <v>7</v>
      </c>
      <c r="J44" s="255">
        <v>8</v>
      </c>
      <c r="K44" s="255">
        <v>7</v>
      </c>
      <c r="L44" s="255">
        <v>8</v>
      </c>
      <c r="M44" s="254">
        <f t="shared" si="0"/>
        <v>7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7</v>
      </c>
      <c r="E45" s="255">
        <v>6</v>
      </c>
      <c r="F45" s="255">
        <v>6</v>
      </c>
      <c r="G45" s="255">
        <v>7</v>
      </c>
      <c r="H45" s="255">
        <v>5</v>
      </c>
      <c r="I45" s="255">
        <v>5</v>
      </c>
      <c r="J45" s="255">
        <v>7</v>
      </c>
      <c r="K45" s="255">
        <v>6</v>
      </c>
      <c r="L45" s="255">
        <v>6</v>
      </c>
      <c r="M45" s="254">
        <f t="shared" si="0"/>
        <v>6.1111111111111107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6</v>
      </c>
      <c r="E46" s="113">
        <v>7</v>
      </c>
      <c r="F46" s="113">
        <v>8</v>
      </c>
      <c r="G46" s="113">
        <v>7</v>
      </c>
      <c r="H46" s="113">
        <v>7</v>
      </c>
      <c r="I46" s="113">
        <v>6</v>
      </c>
      <c r="J46" s="113">
        <v>6</v>
      </c>
      <c r="K46" s="113">
        <v>6</v>
      </c>
      <c r="L46" s="113">
        <v>7</v>
      </c>
      <c r="M46" s="254">
        <f t="shared" si="0"/>
        <v>6.666666666666667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5</v>
      </c>
      <c r="E47" s="108">
        <v>6</v>
      </c>
      <c r="F47" s="108">
        <v>7</v>
      </c>
      <c r="G47" s="108">
        <v>6</v>
      </c>
      <c r="H47" s="108">
        <v>7</v>
      </c>
      <c r="I47" s="108">
        <v>7</v>
      </c>
      <c r="J47" s="108">
        <v>7</v>
      </c>
      <c r="K47" s="108">
        <v>7</v>
      </c>
      <c r="L47" s="108">
        <v>7</v>
      </c>
      <c r="M47" s="254">
        <f t="shared" si="0"/>
        <v>6.5555555555555554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6</v>
      </c>
      <c r="E48" s="255">
        <v>7</v>
      </c>
      <c r="F48" s="255">
        <v>6</v>
      </c>
      <c r="G48" s="255">
        <v>7</v>
      </c>
      <c r="H48" s="255">
        <v>7</v>
      </c>
      <c r="I48" s="255">
        <v>7</v>
      </c>
      <c r="J48" s="255">
        <v>6</v>
      </c>
      <c r="K48" s="255">
        <v>6</v>
      </c>
      <c r="L48" s="255">
        <v>5</v>
      </c>
      <c r="M48" s="254">
        <f t="shared" si="0"/>
        <v>6.333333333333333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7</v>
      </c>
      <c r="E49" s="255">
        <v>8</v>
      </c>
      <c r="F49" s="255">
        <v>7</v>
      </c>
      <c r="G49" s="255">
        <v>7</v>
      </c>
      <c r="H49" s="255">
        <v>7</v>
      </c>
      <c r="I49" s="255">
        <v>7</v>
      </c>
      <c r="J49" s="255">
        <v>6</v>
      </c>
      <c r="K49" s="255">
        <v>7</v>
      </c>
      <c r="L49" s="255">
        <v>7</v>
      </c>
      <c r="M49" s="254">
        <f t="shared" si="0"/>
        <v>7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6</v>
      </c>
      <c r="E50" s="113">
        <v>5</v>
      </c>
      <c r="F50" s="113">
        <v>6</v>
      </c>
      <c r="G50" s="113">
        <v>7</v>
      </c>
      <c r="H50" s="113">
        <v>7</v>
      </c>
      <c r="I50" s="113">
        <v>6</v>
      </c>
      <c r="J50" s="113">
        <v>5</v>
      </c>
      <c r="K50" s="113">
        <v>6</v>
      </c>
      <c r="L50" s="113">
        <v>5</v>
      </c>
      <c r="M50" s="254">
        <f t="shared" si="0"/>
        <v>5.8888888888888893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7</v>
      </c>
      <c r="E51" s="108">
        <v>6</v>
      </c>
      <c r="F51" s="108">
        <v>6</v>
      </c>
      <c r="G51" s="108">
        <v>5</v>
      </c>
      <c r="H51" s="108">
        <v>5</v>
      </c>
      <c r="I51" s="108">
        <v>6</v>
      </c>
      <c r="J51" s="108">
        <v>7</v>
      </c>
      <c r="K51" s="108">
        <v>6</v>
      </c>
      <c r="L51" s="108">
        <v>7</v>
      </c>
      <c r="M51" s="254">
        <f t="shared" si="0"/>
        <v>6.1111111111111107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8</v>
      </c>
      <c r="E52" s="255">
        <v>7</v>
      </c>
      <c r="F52" s="255">
        <v>7</v>
      </c>
      <c r="G52" s="255">
        <v>7</v>
      </c>
      <c r="H52" s="255">
        <v>8</v>
      </c>
      <c r="I52" s="255">
        <v>7</v>
      </c>
      <c r="J52" s="255">
        <v>8</v>
      </c>
      <c r="K52" s="255">
        <v>8</v>
      </c>
      <c r="L52" s="255">
        <v>8</v>
      </c>
      <c r="M52" s="254">
        <f t="shared" si="0"/>
        <v>7.5555555555555554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7</v>
      </c>
      <c r="E53" s="255">
        <v>8</v>
      </c>
      <c r="F53" s="255">
        <v>7</v>
      </c>
      <c r="G53" s="255">
        <v>7</v>
      </c>
      <c r="H53" s="255">
        <v>7</v>
      </c>
      <c r="I53" s="255">
        <v>7</v>
      </c>
      <c r="J53" s="255">
        <v>7</v>
      </c>
      <c r="K53" s="255">
        <v>8</v>
      </c>
      <c r="L53" s="255">
        <v>7</v>
      </c>
      <c r="M53" s="254">
        <f t="shared" si="0"/>
        <v>7.2222222222222223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8</v>
      </c>
      <c r="E54" s="113">
        <v>7</v>
      </c>
      <c r="F54" s="113">
        <v>8</v>
      </c>
      <c r="G54" s="113">
        <v>7</v>
      </c>
      <c r="H54" s="113">
        <v>8</v>
      </c>
      <c r="I54" s="113">
        <v>7</v>
      </c>
      <c r="J54" s="113">
        <v>8</v>
      </c>
      <c r="K54" s="113">
        <v>7</v>
      </c>
      <c r="L54" s="113">
        <v>8</v>
      </c>
      <c r="M54" s="254">
        <f t="shared" si="0"/>
        <v>7.5555555555555554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3DD2-05D2-4876-8491-0AC01BB11AF8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44396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5</v>
      </c>
      <c r="E7" s="108">
        <v>4</v>
      </c>
      <c r="F7" s="108">
        <v>4</v>
      </c>
      <c r="G7" s="108">
        <v>4</v>
      </c>
      <c r="H7" s="108">
        <v>4</v>
      </c>
      <c r="I7" s="108">
        <v>5</v>
      </c>
      <c r="J7" s="108">
        <v>5</v>
      </c>
      <c r="K7" s="108">
        <v>5</v>
      </c>
      <c r="L7" s="108">
        <v>4</v>
      </c>
      <c r="M7" s="254">
        <f t="shared" ref="M7:M54" si="0">AVERAGE(D7:L7)</f>
        <v>4.4444444444444446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5</v>
      </c>
      <c r="E8" s="255">
        <v>5</v>
      </c>
      <c r="F8" s="255">
        <v>6</v>
      </c>
      <c r="G8" s="255">
        <v>4</v>
      </c>
      <c r="H8" s="255">
        <v>5</v>
      </c>
      <c r="I8" s="255">
        <v>5</v>
      </c>
      <c r="J8" s="255">
        <v>5</v>
      </c>
      <c r="K8" s="255">
        <v>6</v>
      </c>
      <c r="L8" s="255">
        <v>6</v>
      </c>
      <c r="M8" s="254">
        <f t="shared" si="0"/>
        <v>5.2222222222222223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6</v>
      </c>
      <c r="E9" s="255">
        <v>6</v>
      </c>
      <c r="F9" s="255">
        <v>5</v>
      </c>
      <c r="G9" s="255">
        <v>5</v>
      </c>
      <c r="H9" s="255">
        <v>5</v>
      </c>
      <c r="I9" s="255">
        <v>6</v>
      </c>
      <c r="J9" s="255">
        <v>5</v>
      </c>
      <c r="K9" s="255">
        <v>6</v>
      </c>
      <c r="L9" s="255">
        <v>7</v>
      </c>
      <c r="M9" s="254">
        <f t="shared" si="0"/>
        <v>5.666666666666667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5</v>
      </c>
      <c r="E10" s="113">
        <v>6</v>
      </c>
      <c r="F10" s="113">
        <v>6</v>
      </c>
      <c r="G10" s="113">
        <v>6</v>
      </c>
      <c r="H10" s="113">
        <v>5</v>
      </c>
      <c r="I10" s="113">
        <v>5</v>
      </c>
      <c r="J10" s="113">
        <v>6</v>
      </c>
      <c r="K10" s="113">
        <v>5</v>
      </c>
      <c r="L10" s="113">
        <v>6</v>
      </c>
      <c r="M10" s="254">
        <f t="shared" si="0"/>
        <v>5.5555555555555554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5</v>
      </c>
      <c r="E11" s="108">
        <v>4</v>
      </c>
      <c r="F11" s="108">
        <v>5</v>
      </c>
      <c r="G11" s="108">
        <v>5</v>
      </c>
      <c r="H11" s="108">
        <v>6</v>
      </c>
      <c r="I11" s="108">
        <v>5</v>
      </c>
      <c r="J11" s="108">
        <v>5</v>
      </c>
      <c r="K11" s="108">
        <v>5</v>
      </c>
      <c r="L11" s="108">
        <v>5</v>
      </c>
      <c r="M11" s="254">
        <f t="shared" si="0"/>
        <v>5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5</v>
      </c>
      <c r="E12" s="255">
        <v>5</v>
      </c>
      <c r="F12" s="255">
        <v>6</v>
      </c>
      <c r="G12" s="255">
        <v>4</v>
      </c>
      <c r="H12" s="255">
        <v>5</v>
      </c>
      <c r="I12" s="255">
        <v>6</v>
      </c>
      <c r="J12" s="255">
        <v>5</v>
      </c>
      <c r="K12" s="255">
        <v>6</v>
      </c>
      <c r="L12" s="255">
        <v>6</v>
      </c>
      <c r="M12" s="254">
        <f t="shared" si="0"/>
        <v>5.333333333333333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6</v>
      </c>
      <c r="E13" s="255">
        <v>6</v>
      </c>
      <c r="F13" s="255">
        <v>6</v>
      </c>
      <c r="G13" s="255">
        <v>5</v>
      </c>
      <c r="H13" s="255">
        <v>5</v>
      </c>
      <c r="I13" s="255">
        <v>6</v>
      </c>
      <c r="J13" s="255">
        <v>5</v>
      </c>
      <c r="K13" s="255">
        <v>5</v>
      </c>
      <c r="L13" s="255">
        <v>7</v>
      </c>
      <c r="M13" s="254">
        <f t="shared" si="0"/>
        <v>5.666666666666667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7</v>
      </c>
      <c r="E14" s="113">
        <v>6</v>
      </c>
      <c r="F14" s="113">
        <v>6</v>
      </c>
      <c r="G14" s="113">
        <v>5</v>
      </c>
      <c r="H14" s="113">
        <v>6</v>
      </c>
      <c r="I14" s="113">
        <v>6</v>
      </c>
      <c r="J14" s="113">
        <v>7</v>
      </c>
      <c r="K14" s="113">
        <v>6</v>
      </c>
      <c r="L14" s="113">
        <v>5</v>
      </c>
      <c r="M14" s="254">
        <f t="shared" si="0"/>
        <v>6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6</v>
      </c>
      <c r="E15" s="108">
        <v>5</v>
      </c>
      <c r="F15" s="108">
        <v>6</v>
      </c>
      <c r="G15" s="108">
        <v>6</v>
      </c>
      <c r="H15" s="108">
        <v>5</v>
      </c>
      <c r="I15" s="108">
        <v>6</v>
      </c>
      <c r="J15" s="108">
        <v>6</v>
      </c>
      <c r="K15" s="108">
        <v>6</v>
      </c>
      <c r="L15" s="108">
        <v>6</v>
      </c>
      <c r="M15" s="254">
        <f t="shared" si="0"/>
        <v>5.7777777777777777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5</v>
      </c>
      <c r="E16" s="255">
        <v>5</v>
      </c>
      <c r="F16" s="255">
        <v>5</v>
      </c>
      <c r="G16" s="255">
        <v>5</v>
      </c>
      <c r="H16" s="255">
        <v>6</v>
      </c>
      <c r="I16" s="255">
        <v>5</v>
      </c>
      <c r="J16" s="255">
        <v>6</v>
      </c>
      <c r="K16" s="255">
        <v>5</v>
      </c>
      <c r="L16" s="255">
        <v>5</v>
      </c>
      <c r="M16" s="254">
        <f t="shared" si="0"/>
        <v>5.2222222222222223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5</v>
      </c>
      <c r="E17" s="255">
        <v>5</v>
      </c>
      <c r="F17" s="255">
        <v>7</v>
      </c>
      <c r="G17" s="255">
        <v>5</v>
      </c>
      <c r="H17" s="255">
        <v>5</v>
      </c>
      <c r="I17" s="255">
        <v>6</v>
      </c>
      <c r="J17" s="255">
        <v>5</v>
      </c>
      <c r="K17" s="255">
        <v>6</v>
      </c>
      <c r="L17" s="255">
        <v>5</v>
      </c>
      <c r="M17" s="254">
        <f t="shared" si="0"/>
        <v>5.4444444444444446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5</v>
      </c>
      <c r="E18" s="113">
        <v>5</v>
      </c>
      <c r="F18" s="113">
        <v>5</v>
      </c>
      <c r="G18" s="113">
        <v>4</v>
      </c>
      <c r="H18" s="113">
        <v>5</v>
      </c>
      <c r="I18" s="113">
        <v>5</v>
      </c>
      <c r="J18" s="113">
        <v>6</v>
      </c>
      <c r="K18" s="113">
        <v>5</v>
      </c>
      <c r="L18" s="113">
        <v>5</v>
      </c>
      <c r="M18" s="254">
        <f t="shared" si="0"/>
        <v>5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6</v>
      </c>
      <c r="E19" s="108">
        <v>5</v>
      </c>
      <c r="F19" s="108">
        <v>5</v>
      </c>
      <c r="G19" s="108">
        <v>5</v>
      </c>
      <c r="H19" s="108">
        <v>5</v>
      </c>
      <c r="I19" s="108">
        <v>5</v>
      </c>
      <c r="J19" s="108">
        <v>5</v>
      </c>
      <c r="K19" s="108">
        <v>6</v>
      </c>
      <c r="L19" s="108">
        <v>5</v>
      </c>
      <c r="M19" s="254">
        <f t="shared" si="0"/>
        <v>5.2222222222222223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7</v>
      </c>
      <c r="E20" s="255">
        <v>6</v>
      </c>
      <c r="F20" s="255">
        <v>6</v>
      </c>
      <c r="G20" s="255">
        <v>6</v>
      </c>
      <c r="H20" s="255">
        <v>6</v>
      </c>
      <c r="I20" s="255">
        <v>6</v>
      </c>
      <c r="J20" s="255">
        <v>6</v>
      </c>
      <c r="K20" s="255">
        <v>6</v>
      </c>
      <c r="L20" s="255">
        <v>5</v>
      </c>
      <c r="M20" s="254">
        <f t="shared" si="0"/>
        <v>6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6</v>
      </c>
      <c r="E21" s="255">
        <v>7</v>
      </c>
      <c r="F21" s="255">
        <v>6</v>
      </c>
      <c r="G21" s="255">
        <v>6</v>
      </c>
      <c r="H21" s="255">
        <v>5</v>
      </c>
      <c r="I21" s="255">
        <v>5</v>
      </c>
      <c r="J21" s="255">
        <v>5</v>
      </c>
      <c r="K21" s="255">
        <v>5</v>
      </c>
      <c r="L21" s="255">
        <v>6</v>
      </c>
      <c r="M21" s="254">
        <f t="shared" si="0"/>
        <v>5.666666666666667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5</v>
      </c>
      <c r="E22" s="113">
        <v>5</v>
      </c>
      <c r="F22" s="113">
        <v>5</v>
      </c>
      <c r="G22" s="113">
        <v>6</v>
      </c>
      <c r="H22" s="113">
        <v>7</v>
      </c>
      <c r="I22" s="113">
        <v>6</v>
      </c>
      <c r="J22" s="113">
        <v>6</v>
      </c>
      <c r="K22" s="113">
        <v>5</v>
      </c>
      <c r="L22" s="113">
        <v>5</v>
      </c>
      <c r="M22" s="254">
        <f t="shared" si="0"/>
        <v>5.5555555555555554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7</v>
      </c>
      <c r="E23" s="108">
        <v>6</v>
      </c>
      <c r="F23" s="108">
        <v>5</v>
      </c>
      <c r="G23" s="108">
        <v>6</v>
      </c>
      <c r="H23" s="108">
        <v>5</v>
      </c>
      <c r="I23" s="108">
        <v>6</v>
      </c>
      <c r="J23" s="108">
        <v>6</v>
      </c>
      <c r="K23" s="108">
        <v>5</v>
      </c>
      <c r="L23" s="108">
        <v>5</v>
      </c>
      <c r="M23" s="254">
        <f t="shared" si="0"/>
        <v>5.666666666666667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6</v>
      </c>
      <c r="E24" s="255">
        <v>5</v>
      </c>
      <c r="F24" s="255">
        <v>6</v>
      </c>
      <c r="G24" s="255">
        <v>6</v>
      </c>
      <c r="H24" s="255">
        <v>5</v>
      </c>
      <c r="I24" s="255">
        <v>5</v>
      </c>
      <c r="J24" s="255">
        <v>7</v>
      </c>
      <c r="K24" s="255">
        <v>5</v>
      </c>
      <c r="L24" s="255">
        <v>6</v>
      </c>
      <c r="M24" s="254">
        <f t="shared" si="0"/>
        <v>5.666666666666667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6</v>
      </c>
      <c r="E25" s="255">
        <v>7</v>
      </c>
      <c r="F25" s="255">
        <v>8</v>
      </c>
      <c r="G25" s="255">
        <v>6</v>
      </c>
      <c r="H25" s="255">
        <v>6</v>
      </c>
      <c r="I25" s="255">
        <v>6</v>
      </c>
      <c r="J25" s="255">
        <v>6</v>
      </c>
      <c r="K25" s="255">
        <v>7</v>
      </c>
      <c r="L25" s="255">
        <v>6</v>
      </c>
      <c r="M25" s="254">
        <f t="shared" si="0"/>
        <v>6.4444444444444446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6</v>
      </c>
      <c r="E26" s="113">
        <v>6</v>
      </c>
      <c r="F26" s="113">
        <v>5</v>
      </c>
      <c r="G26" s="113">
        <v>5</v>
      </c>
      <c r="H26" s="113">
        <v>6</v>
      </c>
      <c r="I26" s="113">
        <v>7</v>
      </c>
      <c r="J26" s="113">
        <v>6</v>
      </c>
      <c r="K26" s="113">
        <v>5</v>
      </c>
      <c r="L26" s="113">
        <v>6</v>
      </c>
      <c r="M26" s="254">
        <f t="shared" si="0"/>
        <v>5.7777777777777777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5</v>
      </c>
      <c r="E27" s="108">
        <v>5</v>
      </c>
      <c r="F27" s="108">
        <v>5</v>
      </c>
      <c r="G27" s="108">
        <v>6</v>
      </c>
      <c r="H27" s="108">
        <v>6</v>
      </c>
      <c r="I27" s="108">
        <v>6</v>
      </c>
      <c r="J27" s="108">
        <v>6</v>
      </c>
      <c r="K27" s="108">
        <v>6</v>
      </c>
      <c r="L27" s="108">
        <v>6</v>
      </c>
      <c r="M27" s="254">
        <f t="shared" si="0"/>
        <v>5.666666666666667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7</v>
      </c>
      <c r="E28" s="255">
        <v>6</v>
      </c>
      <c r="F28" s="255">
        <v>6</v>
      </c>
      <c r="G28" s="255">
        <v>8</v>
      </c>
      <c r="H28" s="255">
        <v>7</v>
      </c>
      <c r="I28" s="255">
        <v>6</v>
      </c>
      <c r="J28" s="255">
        <v>6</v>
      </c>
      <c r="K28" s="255">
        <v>6</v>
      </c>
      <c r="L28" s="255">
        <v>5</v>
      </c>
      <c r="M28" s="254">
        <f t="shared" si="0"/>
        <v>6.333333333333333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7</v>
      </c>
      <c r="E29" s="255">
        <v>7</v>
      </c>
      <c r="F29" s="255">
        <v>7</v>
      </c>
      <c r="G29" s="255">
        <v>6</v>
      </c>
      <c r="H29" s="255">
        <v>6</v>
      </c>
      <c r="I29" s="255">
        <v>6</v>
      </c>
      <c r="J29" s="255">
        <v>6</v>
      </c>
      <c r="K29" s="255">
        <v>7</v>
      </c>
      <c r="L29" s="255">
        <v>6</v>
      </c>
      <c r="M29" s="254">
        <f t="shared" si="0"/>
        <v>6.4444444444444446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6</v>
      </c>
      <c r="E30" s="113">
        <v>5</v>
      </c>
      <c r="F30" s="113">
        <v>6</v>
      </c>
      <c r="G30" s="113">
        <v>6</v>
      </c>
      <c r="H30" s="113">
        <v>6</v>
      </c>
      <c r="I30" s="113">
        <v>6</v>
      </c>
      <c r="J30" s="113">
        <v>7</v>
      </c>
      <c r="K30" s="113">
        <v>6</v>
      </c>
      <c r="L30" s="113">
        <v>6</v>
      </c>
      <c r="M30" s="254">
        <f t="shared" si="0"/>
        <v>6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6</v>
      </c>
      <c r="E31" s="108">
        <v>7</v>
      </c>
      <c r="F31" s="108">
        <v>5</v>
      </c>
      <c r="G31" s="108">
        <v>5</v>
      </c>
      <c r="H31" s="108">
        <v>6</v>
      </c>
      <c r="I31" s="108">
        <v>7</v>
      </c>
      <c r="J31" s="108">
        <v>5</v>
      </c>
      <c r="K31" s="108">
        <v>6</v>
      </c>
      <c r="L31" s="108">
        <v>6</v>
      </c>
      <c r="M31" s="254">
        <f t="shared" si="0"/>
        <v>5.8888888888888893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7</v>
      </c>
      <c r="E32" s="255">
        <v>6</v>
      </c>
      <c r="F32" s="255">
        <v>6</v>
      </c>
      <c r="G32" s="255">
        <v>6</v>
      </c>
      <c r="H32" s="255">
        <v>6</v>
      </c>
      <c r="I32" s="255">
        <v>6</v>
      </c>
      <c r="J32" s="255">
        <v>5</v>
      </c>
      <c r="K32" s="255">
        <v>5</v>
      </c>
      <c r="L32" s="255">
        <v>6</v>
      </c>
      <c r="M32" s="254">
        <f t="shared" si="0"/>
        <v>5.8888888888888893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6</v>
      </c>
      <c r="E33" s="255">
        <v>5</v>
      </c>
      <c r="F33" s="255">
        <v>6</v>
      </c>
      <c r="G33" s="255">
        <v>5</v>
      </c>
      <c r="H33" s="255">
        <v>7</v>
      </c>
      <c r="I33" s="255">
        <v>5</v>
      </c>
      <c r="J33" s="255">
        <v>6</v>
      </c>
      <c r="K33" s="255">
        <v>7</v>
      </c>
      <c r="L33" s="255">
        <v>6</v>
      </c>
      <c r="M33" s="254">
        <f t="shared" si="0"/>
        <v>5.8888888888888893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6</v>
      </c>
      <c r="E34" s="113">
        <v>7</v>
      </c>
      <c r="F34" s="113">
        <v>7</v>
      </c>
      <c r="G34" s="113">
        <v>6</v>
      </c>
      <c r="H34" s="113">
        <v>6</v>
      </c>
      <c r="I34" s="113">
        <v>5</v>
      </c>
      <c r="J34" s="113">
        <v>5</v>
      </c>
      <c r="K34" s="113">
        <v>6</v>
      </c>
      <c r="L34" s="113">
        <v>6</v>
      </c>
      <c r="M34" s="254">
        <f t="shared" si="0"/>
        <v>6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5</v>
      </c>
      <c r="E35" s="108">
        <v>5</v>
      </c>
      <c r="F35" s="108">
        <v>6</v>
      </c>
      <c r="G35" s="108">
        <v>5</v>
      </c>
      <c r="H35" s="108">
        <v>6</v>
      </c>
      <c r="I35" s="108">
        <v>6</v>
      </c>
      <c r="J35" s="108">
        <v>6</v>
      </c>
      <c r="K35" s="108">
        <v>7</v>
      </c>
      <c r="L35" s="108">
        <v>5</v>
      </c>
      <c r="M35" s="254">
        <f t="shared" si="0"/>
        <v>5.666666666666667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6</v>
      </c>
      <c r="E36" s="255">
        <v>5</v>
      </c>
      <c r="F36" s="255">
        <v>7</v>
      </c>
      <c r="G36" s="255">
        <v>6</v>
      </c>
      <c r="H36" s="255">
        <v>5</v>
      </c>
      <c r="I36" s="255">
        <v>6</v>
      </c>
      <c r="J36" s="255">
        <v>6</v>
      </c>
      <c r="K36" s="255">
        <v>6</v>
      </c>
      <c r="L36" s="255">
        <v>6</v>
      </c>
      <c r="M36" s="254">
        <f t="shared" si="0"/>
        <v>5.8888888888888893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6</v>
      </c>
      <c r="E37" s="255">
        <v>7</v>
      </c>
      <c r="F37" s="255">
        <v>5</v>
      </c>
      <c r="G37" s="255">
        <v>6</v>
      </c>
      <c r="H37" s="255">
        <v>6</v>
      </c>
      <c r="I37" s="255">
        <v>7</v>
      </c>
      <c r="J37" s="255">
        <v>6</v>
      </c>
      <c r="K37" s="255">
        <v>6</v>
      </c>
      <c r="L37" s="255">
        <v>5</v>
      </c>
      <c r="M37" s="254">
        <f t="shared" si="0"/>
        <v>6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7</v>
      </c>
      <c r="E38" s="113">
        <v>6</v>
      </c>
      <c r="F38" s="113">
        <v>6</v>
      </c>
      <c r="G38" s="113">
        <v>7</v>
      </c>
      <c r="H38" s="113">
        <v>6</v>
      </c>
      <c r="I38" s="113">
        <v>6</v>
      </c>
      <c r="J38" s="113">
        <v>7</v>
      </c>
      <c r="K38" s="113">
        <v>6</v>
      </c>
      <c r="L38" s="113">
        <v>7</v>
      </c>
      <c r="M38" s="254">
        <f t="shared" si="0"/>
        <v>6.4444444444444446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6</v>
      </c>
      <c r="E39" s="108">
        <v>7</v>
      </c>
      <c r="F39" s="108">
        <v>8</v>
      </c>
      <c r="G39" s="108">
        <v>6</v>
      </c>
      <c r="H39" s="108">
        <v>6</v>
      </c>
      <c r="I39" s="108">
        <v>7</v>
      </c>
      <c r="J39" s="108">
        <v>6</v>
      </c>
      <c r="K39" s="108">
        <v>7</v>
      </c>
      <c r="L39" s="108">
        <v>6</v>
      </c>
      <c r="M39" s="254">
        <f t="shared" si="0"/>
        <v>6.5555555555555554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7</v>
      </c>
      <c r="E40" s="255">
        <v>7</v>
      </c>
      <c r="F40" s="255">
        <v>7</v>
      </c>
      <c r="G40" s="255">
        <v>6</v>
      </c>
      <c r="H40" s="255">
        <v>7</v>
      </c>
      <c r="I40" s="255">
        <v>6</v>
      </c>
      <c r="J40" s="255">
        <v>6</v>
      </c>
      <c r="K40" s="255">
        <v>7</v>
      </c>
      <c r="L40" s="255">
        <v>6</v>
      </c>
      <c r="M40" s="254">
        <f t="shared" si="0"/>
        <v>6.5555555555555554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6</v>
      </c>
      <c r="E41" s="255">
        <v>5</v>
      </c>
      <c r="F41" s="255">
        <v>6</v>
      </c>
      <c r="G41" s="255">
        <v>7</v>
      </c>
      <c r="H41" s="255">
        <v>7</v>
      </c>
      <c r="I41" s="255">
        <v>7</v>
      </c>
      <c r="J41" s="255">
        <v>6</v>
      </c>
      <c r="K41" s="255">
        <v>6</v>
      </c>
      <c r="L41" s="255">
        <v>6</v>
      </c>
      <c r="M41" s="254">
        <f t="shared" si="0"/>
        <v>6.2222222222222223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6</v>
      </c>
      <c r="E42" s="113">
        <v>6</v>
      </c>
      <c r="F42" s="113">
        <v>6</v>
      </c>
      <c r="G42" s="113">
        <v>6</v>
      </c>
      <c r="H42" s="113">
        <v>5</v>
      </c>
      <c r="I42" s="113">
        <v>6</v>
      </c>
      <c r="J42" s="113">
        <v>6</v>
      </c>
      <c r="K42" s="113">
        <v>6</v>
      </c>
      <c r="L42" s="113">
        <v>6</v>
      </c>
      <c r="M42" s="254">
        <f t="shared" si="0"/>
        <v>5.8888888888888893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5</v>
      </c>
      <c r="E43" s="108">
        <v>5</v>
      </c>
      <c r="F43" s="108">
        <v>6</v>
      </c>
      <c r="G43" s="108">
        <v>6</v>
      </c>
      <c r="H43" s="108">
        <v>6</v>
      </c>
      <c r="I43" s="108">
        <v>5</v>
      </c>
      <c r="J43" s="108">
        <v>5</v>
      </c>
      <c r="K43" s="108">
        <v>4</v>
      </c>
      <c r="L43" s="108">
        <v>5</v>
      </c>
      <c r="M43" s="254">
        <f t="shared" si="0"/>
        <v>5.2222222222222223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6</v>
      </c>
      <c r="E44" s="255">
        <v>6</v>
      </c>
      <c r="F44" s="255">
        <v>6</v>
      </c>
      <c r="G44" s="255">
        <v>6</v>
      </c>
      <c r="H44" s="255">
        <v>6</v>
      </c>
      <c r="I44" s="255">
        <v>6</v>
      </c>
      <c r="J44" s="255">
        <v>5</v>
      </c>
      <c r="K44" s="255">
        <v>5</v>
      </c>
      <c r="L44" s="255">
        <v>6</v>
      </c>
      <c r="M44" s="254">
        <f t="shared" si="0"/>
        <v>5.7777777777777777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7</v>
      </c>
      <c r="E45" s="255">
        <v>7</v>
      </c>
      <c r="F45" s="255">
        <v>5</v>
      </c>
      <c r="G45" s="255">
        <v>6</v>
      </c>
      <c r="H45" s="255">
        <v>6</v>
      </c>
      <c r="I45" s="255">
        <v>6</v>
      </c>
      <c r="J45" s="255">
        <v>6</v>
      </c>
      <c r="K45" s="255">
        <v>7</v>
      </c>
      <c r="L45" s="255">
        <v>6</v>
      </c>
      <c r="M45" s="254">
        <f t="shared" si="0"/>
        <v>6.2222222222222223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6</v>
      </c>
      <c r="E46" s="113">
        <v>6</v>
      </c>
      <c r="F46" s="113">
        <v>6</v>
      </c>
      <c r="G46" s="113">
        <v>5</v>
      </c>
      <c r="H46" s="113">
        <v>6</v>
      </c>
      <c r="I46" s="113">
        <v>6</v>
      </c>
      <c r="J46" s="113">
        <v>7</v>
      </c>
      <c r="K46" s="113">
        <v>6</v>
      </c>
      <c r="L46" s="113">
        <v>6</v>
      </c>
      <c r="M46" s="254">
        <f t="shared" si="0"/>
        <v>6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6</v>
      </c>
      <c r="E47" s="108">
        <v>6</v>
      </c>
      <c r="F47" s="108">
        <v>6</v>
      </c>
      <c r="G47" s="108">
        <v>7</v>
      </c>
      <c r="H47" s="108">
        <v>6</v>
      </c>
      <c r="I47" s="108">
        <v>6</v>
      </c>
      <c r="J47" s="108">
        <v>7</v>
      </c>
      <c r="K47" s="108">
        <v>6</v>
      </c>
      <c r="L47" s="108">
        <v>5</v>
      </c>
      <c r="M47" s="254">
        <f t="shared" si="0"/>
        <v>6.1111111111111107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5</v>
      </c>
      <c r="E48" s="255">
        <v>6</v>
      </c>
      <c r="F48" s="255">
        <v>6</v>
      </c>
      <c r="G48" s="255">
        <v>6</v>
      </c>
      <c r="H48" s="255">
        <v>7</v>
      </c>
      <c r="I48" s="255">
        <v>6</v>
      </c>
      <c r="J48" s="255">
        <v>6</v>
      </c>
      <c r="K48" s="255">
        <v>6</v>
      </c>
      <c r="L48" s="255">
        <v>5</v>
      </c>
      <c r="M48" s="254">
        <f t="shared" si="0"/>
        <v>5.8888888888888893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7</v>
      </c>
      <c r="E49" s="255">
        <v>7</v>
      </c>
      <c r="F49" s="255">
        <v>7</v>
      </c>
      <c r="G49" s="255">
        <v>6</v>
      </c>
      <c r="H49" s="255">
        <v>6</v>
      </c>
      <c r="I49" s="255">
        <v>6</v>
      </c>
      <c r="J49" s="255">
        <v>6</v>
      </c>
      <c r="K49" s="255">
        <v>5</v>
      </c>
      <c r="L49" s="255">
        <v>5</v>
      </c>
      <c r="M49" s="254">
        <f t="shared" si="0"/>
        <v>6.1111111111111107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6</v>
      </c>
      <c r="E50" s="113">
        <v>5</v>
      </c>
      <c r="F50" s="113">
        <v>6</v>
      </c>
      <c r="G50" s="113">
        <v>6</v>
      </c>
      <c r="H50" s="113">
        <v>6</v>
      </c>
      <c r="I50" s="113">
        <v>6</v>
      </c>
      <c r="J50" s="113">
        <v>7</v>
      </c>
      <c r="K50" s="113">
        <v>6</v>
      </c>
      <c r="L50" s="113">
        <v>6</v>
      </c>
      <c r="M50" s="254">
        <f t="shared" si="0"/>
        <v>6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6</v>
      </c>
      <c r="E51" s="108">
        <v>6</v>
      </c>
      <c r="F51" s="108">
        <v>6</v>
      </c>
      <c r="G51" s="108">
        <v>6</v>
      </c>
      <c r="H51" s="108">
        <v>7</v>
      </c>
      <c r="I51" s="108">
        <v>8</v>
      </c>
      <c r="J51" s="108">
        <v>6</v>
      </c>
      <c r="K51" s="108">
        <v>7</v>
      </c>
      <c r="L51" s="108">
        <v>7</v>
      </c>
      <c r="M51" s="254">
        <f t="shared" si="0"/>
        <v>6.5555555555555554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7</v>
      </c>
      <c r="E52" s="255">
        <v>6</v>
      </c>
      <c r="F52" s="255">
        <v>7</v>
      </c>
      <c r="G52" s="255">
        <v>7</v>
      </c>
      <c r="H52" s="255">
        <v>6</v>
      </c>
      <c r="I52" s="255">
        <v>7</v>
      </c>
      <c r="J52" s="255">
        <v>6</v>
      </c>
      <c r="K52" s="255">
        <v>7</v>
      </c>
      <c r="L52" s="255">
        <v>7</v>
      </c>
      <c r="M52" s="254">
        <f t="shared" si="0"/>
        <v>6.666666666666667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6</v>
      </c>
      <c r="E53" s="255">
        <v>6</v>
      </c>
      <c r="F53" s="255">
        <v>6</v>
      </c>
      <c r="G53" s="255">
        <v>6</v>
      </c>
      <c r="H53" s="255">
        <v>7</v>
      </c>
      <c r="I53" s="255">
        <v>6</v>
      </c>
      <c r="J53" s="255">
        <v>6</v>
      </c>
      <c r="K53" s="255">
        <v>7</v>
      </c>
      <c r="L53" s="255">
        <v>6</v>
      </c>
      <c r="M53" s="254">
        <f t="shared" si="0"/>
        <v>6.2222222222222223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6</v>
      </c>
      <c r="E54" s="113">
        <v>5</v>
      </c>
      <c r="F54" s="113">
        <v>6</v>
      </c>
      <c r="G54" s="113">
        <v>7</v>
      </c>
      <c r="H54" s="113">
        <v>7</v>
      </c>
      <c r="I54" s="113">
        <v>7</v>
      </c>
      <c r="J54" s="113">
        <v>6</v>
      </c>
      <c r="K54" s="113">
        <v>7</v>
      </c>
      <c r="L54" s="113">
        <v>6</v>
      </c>
      <c r="M54" s="254">
        <f t="shared" si="0"/>
        <v>6.333333333333333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8D51-05D1-40CB-8AA1-BA13E21E423B}">
  <dimension ref="A1:N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44413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  <c r="H3" s="265" t="s">
        <v>440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4</v>
      </c>
      <c r="E7" s="108">
        <v>5</v>
      </c>
      <c r="F7" s="108">
        <v>5</v>
      </c>
      <c r="G7" s="108">
        <v>5</v>
      </c>
      <c r="H7" s="108">
        <v>4</v>
      </c>
      <c r="I7" s="108">
        <v>5</v>
      </c>
      <c r="J7" s="108">
        <v>5</v>
      </c>
      <c r="K7" s="108">
        <v>5</v>
      </c>
      <c r="L7" s="108">
        <v>4</v>
      </c>
      <c r="M7" s="254">
        <f t="shared" ref="M7:M54" si="0">AVERAGE(D7:L7)</f>
        <v>4.666666666666667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6</v>
      </c>
      <c r="E8" s="255">
        <v>6</v>
      </c>
      <c r="F8" s="255">
        <v>5</v>
      </c>
      <c r="G8" s="255">
        <v>6</v>
      </c>
      <c r="H8" s="255">
        <v>6</v>
      </c>
      <c r="I8" s="255">
        <v>5</v>
      </c>
      <c r="J8" s="255">
        <v>5</v>
      </c>
      <c r="K8" s="255">
        <v>5</v>
      </c>
      <c r="L8" s="255">
        <v>5</v>
      </c>
      <c r="M8" s="254">
        <f t="shared" si="0"/>
        <v>5.4444444444444446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5</v>
      </c>
      <c r="E9" s="255">
        <v>6</v>
      </c>
      <c r="F9" s="255">
        <v>6</v>
      </c>
      <c r="G9" s="255">
        <v>5</v>
      </c>
      <c r="H9" s="255">
        <v>6</v>
      </c>
      <c r="I9" s="255">
        <v>5</v>
      </c>
      <c r="J9" s="255">
        <v>4</v>
      </c>
      <c r="K9" s="255">
        <v>6</v>
      </c>
      <c r="L9" s="255">
        <v>5</v>
      </c>
      <c r="M9" s="254">
        <f t="shared" si="0"/>
        <v>5.333333333333333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5</v>
      </c>
      <c r="E10" s="113">
        <v>5</v>
      </c>
      <c r="F10" s="113">
        <v>5</v>
      </c>
      <c r="G10" s="113">
        <v>6</v>
      </c>
      <c r="H10" s="113">
        <v>6</v>
      </c>
      <c r="I10" s="113">
        <v>6</v>
      </c>
      <c r="J10" s="113">
        <v>5</v>
      </c>
      <c r="K10" s="113">
        <v>6</v>
      </c>
      <c r="L10" s="113">
        <v>6</v>
      </c>
      <c r="M10" s="254">
        <f t="shared" si="0"/>
        <v>5.5555555555555554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6</v>
      </c>
      <c r="E11" s="108">
        <v>6</v>
      </c>
      <c r="F11" s="108">
        <v>5</v>
      </c>
      <c r="G11" s="108">
        <v>6</v>
      </c>
      <c r="H11" s="108">
        <v>6</v>
      </c>
      <c r="I11" s="108">
        <v>6</v>
      </c>
      <c r="J11" s="108">
        <v>5</v>
      </c>
      <c r="K11" s="108">
        <v>5</v>
      </c>
      <c r="L11" s="108">
        <v>6</v>
      </c>
      <c r="M11" s="254">
        <f t="shared" si="0"/>
        <v>5.666666666666667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5</v>
      </c>
      <c r="E12" s="255">
        <v>5</v>
      </c>
      <c r="F12" s="255">
        <v>5</v>
      </c>
      <c r="G12" s="255">
        <v>5</v>
      </c>
      <c r="H12" s="255">
        <v>5</v>
      </c>
      <c r="I12" s="255">
        <v>6</v>
      </c>
      <c r="J12" s="255">
        <v>6</v>
      </c>
      <c r="K12" s="255">
        <v>5</v>
      </c>
      <c r="L12" s="255">
        <v>4</v>
      </c>
      <c r="M12" s="254">
        <f t="shared" si="0"/>
        <v>5.1111111111111107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6</v>
      </c>
      <c r="E13" s="255">
        <v>6</v>
      </c>
      <c r="F13" s="255">
        <v>6</v>
      </c>
      <c r="G13" s="255">
        <v>5</v>
      </c>
      <c r="H13" s="255">
        <v>6</v>
      </c>
      <c r="I13" s="255">
        <v>7</v>
      </c>
      <c r="J13" s="255">
        <v>7</v>
      </c>
      <c r="K13" s="255">
        <v>6</v>
      </c>
      <c r="L13" s="255">
        <v>5</v>
      </c>
      <c r="M13" s="254">
        <f t="shared" si="0"/>
        <v>6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6</v>
      </c>
      <c r="E14" s="113">
        <v>6</v>
      </c>
      <c r="F14" s="113">
        <v>6</v>
      </c>
      <c r="G14" s="113">
        <v>5</v>
      </c>
      <c r="H14" s="113">
        <v>5</v>
      </c>
      <c r="I14" s="113">
        <v>5</v>
      </c>
      <c r="J14" s="113">
        <v>5</v>
      </c>
      <c r="K14" s="113">
        <v>5</v>
      </c>
      <c r="L14" s="113">
        <v>6</v>
      </c>
      <c r="M14" s="254">
        <f t="shared" si="0"/>
        <v>5.4444444444444446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5</v>
      </c>
      <c r="E15" s="108">
        <v>6</v>
      </c>
      <c r="F15" s="108">
        <v>6</v>
      </c>
      <c r="G15" s="108">
        <v>5</v>
      </c>
      <c r="H15" s="108">
        <v>6</v>
      </c>
      <c r="I15" s="108">
        <v>6</v>
      </c>
      <c r="J15" s="108">
        <v>5</v>
      </c>
      <c r="K15" s="108">
        <v>6</v>
      </c>
      <c r="L15" s="108">
        <v>6</v>
      </c>
      <c r="M15" s="254">
        <f t="shared" si="0"/>
        <v>5.666666666666667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7</v>
      </c>
      <c r="E16" s="255">
        <v>6</v>
      </c>
      <c r="F16" s="255">
        <v>6</v>
      </c>
      <c r="G16" s="255">
        <v>5</v>
      </c>
      <c r="H16" s="255">
        <v>6</v>
      </c>
      <c r="I16" s="255">
        <v>5</v>
      </c>
      <c r="J16" s="255">
        <v>5</v>
      </c>
      <c r="K16" s="255">
        <v>6</v>
      </c>
      <c r="L16" s="255">
        <v>5</v>
      </c>
      <c r="M16" s="254">
        <f t="shared" si="0"/>
        <v>5.666666666666667</v>
      </c>
    </row>
    <row r="17" spans="1:14" ht="21.6" customHeight="1" thickTop="1" thickBot="1" x14ac:dyDescent="0.25">
      <c r="B17" s="239" t="s">
        <v>2</v>
      </c>
      <c r="C17" s="257">
        <v>3</v>
      </c>
      <c r="D17" s="255">
        <v>6</v>
      </c>
      <c r="E17" s="255">
        <v>6</v>
      </c>
      <c r="F17" s="255">
        <v>6</v>
      </c>
      <c r="G17" s="255">
        <v>6</v>
      </c>
      <c r="H17" s="255">
        <v>6</v>
      </c>
      <c r="I17" s="255">
        <v>6</v>
      </c>
      <c r="J17" s="255">
        <v>7</v>
      </c>
      <c r="K17" s="255">
        <v>6</v>
      </c>
      <c r="L17" s="255">
        <v>7</v>
      </c>
      <c r="M17" s="254">
        <f t="shared" si="0"/>
        <v>6.2222222222222223</v>
      </c>
    </row>
    <row r="18" spans="1:14" ht="21.6" customHeight="1" thickTop="1" thickBot="1" x14ac:dyDescent="0.25">
      <c r="B18" s="235" t="s">
        <v>2</v>
      </c>
      <c r="C18" s="256">
        <v>4</v>
      </c>
      <c r="D18" s="113">
        <v>5</v>
      </c>
      <c r="E18" s="113">
        <v>5</v>
      </c>
      <c r="F18" s="113">
        <v>5</v>
      </c>
      <c r="G18" s="113">
        <v>5</v>
      </c>
      <c r="H18" s="113">
        <v>4</v>
      </c>
      <c r="I18" s="113">
        <v>5</v>
      </c>
      <c r="J18" s="113">
        <v>5</v>
      </c>
      <c r="K18" s="113">
        <v>5</v>
      </c>
      <c r="L18" s="113">
        <v>5</v>
      </c>
      <c r="M18" s="254">
        <f t="shared" si="0"/>
        <v>4.8888888888888893</v>
      </c>
    </row>
    <row r="19" spans="1:14" ht="21.6" customHeight="1" thickTop="1" thickBot="1" x14ac:dyDescent="0.25">
      <c r="B19" s="11" t="s">
        <v>3</v>
      </c>
      <c r="C19" s="15">
        <v>4</v>
      </c>
      <c r="D19" s="108">
        <v>5</v>
      </c>
      <c r="E19" s="108">
        <v>5</v>
      </c>
      <c r="F19" s="108">
        <v>4</v>
      </c>
      <c r="G19" s="108">
        <v>5</v>
      </c>
      <c r="H19" s="108">
        <v>5</v>
      </c>
      <c r="I19" s="108">
        <v>5</v>
      </c>
      <c r="J19" s="108">
        <v>5</v>
      </c>
      <c r="K19" s="108">
        <v>5</v>
      </c>
      <c r="L19" s="108">
        <v>5</v>
      </c>
      <c r="M19" s="254">
        <f t="shared" si="0"/>
        <v>4.8888888888888893</v>
      </c>
      <c r="N19" s="50" t="s">
        <v>439</v>
      </c>
    </row>
    <row r="20" spans="1:14" ht="21.6" customHeight="1" thickTop="1" thickBot="1" x14ac:dyDescent="0.25">
      <c r="B20" s="239" t="s">
        <v>3</v>
      </c>
      <c r="C20" s="257">
        <v>3</v>
      </c>
      <c r="D20" s="255">
        <v>5</v>
      </c>
      <c r="E20" s="255">
        <v>5</v>
      </c>
      <c r="F20" s="255">
        <v>6</v>
      </c>
      <c r="G20" s="255">
        <v>6</v>
      </c>
      <c r="H20" s="255">
        <v>6</v>
      </c>
      <c r="I20" s="255">
        <v>6</v>
      </c>
      <c r="J20" s="255">
        <v>5</v>
      </c>
      <c r="K20" s="255">
        <v>6</v>
      </c>
      <c r="L20" s="255">
        <v>6</v>
      </c>
      <c r="M20" s="254">
        <f t="shared" si="0"/>
        <v>5.666666666666667</v>
      </c>
    </row>
    <row r="21" spans="1:14" ht="21.6" customHeight="1" thickTop="1" thickBot="1" x14ac:dyDescent="0.25">
      <c r="B21" s="239" t="s">
        <v>3</v>
      </c>
      <c r="C21" s="257">
        <v>2</v>
      </c>
      <c r="D21" s="255">
        <v>6</v>
      </c>
      <c r="E21" s="255">
        <v>6</v>
      </c>
      <c r="F21" s="255">
        <v>6</v>
      </c>
      <c r="G21" s="255">
        <v>5</v>
      </c>
      <c r="H21" s="255">
        <v>6</v>
      </c>
      <c r="I21" s="255">
        <v>6</v>
      </c>
      <c r="J21" s="255">
        <v>7</v>
      </c>
      <c r="K21" s="255">
        <v>6</v>
      </c>
      <c r="L21" s="255">
        <v>6</v>
      </c>
      <c r="M21" s="254">
        <f t="shared" si="0"/>
        <v>6</v>
      </c>
    </row>
    <row r="22" spans="1:14" ht="21.6" customHeight="1" thickTop="1" thickBot="1" x14ac:dyDescent="0.25">
      <c r="A22" s="1"/>
      <c r="B22" s="235" t="s">
        <v>3</v>
      </c>
      <c r="C22" s="256">
        <v>1</v>
      </c>
      <c r="D22" s="113">
        <v>6</v>
      </c>
      <c r="E22" s="113">
        <v>7</v>
      </c>
      <c r="F22" s="113">
        <v>6</v>
      </c>
      <c r="G22" s="113">
        <v>7</v>
      </c>
      <c r="H22" s="113">
        <v>6</v>
      </c>
      <c r="I22" s="113">
        <v>6</v>
      </c>
      <c r="J22" s="113">
        <v>6</v>
      </c>
      <c r="K22" s="113">
        <v>7</v>
      </c>
      <c r="L22" s="113">
        <v>6</v>
      </c>
      <c r="M22" s="254">
        <f t="shared" si="0"/>
        <v>6.333333333333333</v>
      </c>
    </row>
    <row r="23" spans="1:14" ht="21.6" customHeight="1" thickTop="1" thickBot="1" x14ac:dyDescent="0.25">
      <c r="A23" s="12"/>
      <c r="B23" s="11" t="s">
        <v>4</v>
      </c>
      <c r="C23" s="15">
        <v>1</v>
      </c>
      <c r="D23" s="108">
        <v>5</v>
      </c>
      <c r="E23" s="108">
        <v>6</v>
      </c>
      <c r="F23" s="108">
        <v>6</v>
      </c>
      <c r="G23" s="108">
        <v>5</v>
      </c>
      <c r="H23" s="108">
        <v>6</v>
      </c>
      <c r="I23" s="108">
        <v>6</v>
      </c>
      <c r="J23" s="108">
        <v>6</v>
      </c>
      <c r="K23" s="108">
        <v>6</v>
      </c>
      <c r="L23" s="108">
        <v>6</v>
      </c>
      <c r="M23" s="254">
        <f t="shared" si="0"/>
        <v>5.7777777777777777</v>
      </c>
      <c r="N23" s="50" t="s">
        <v>439</v>
      </c>
    </row>
    <row r="24" spans="1:14" ht="21.6" customHeight="1" thickTop="1" thickBot="1" x14ac:dyDescent="0.25">
      <c r="B24" s="239" t="s">
        <v>4</v>
      </c>
      <c r="C24" s="257">
        <v>2</v>
      </c>
      <c r="D24" s="255">
        <v>6</v>
      </c>
      <c r="E24" s="255">
        <v>6</v>
      </c>
      <c r="F24" s="255">
        <v>6</v>
      </c>
      <c r="G24" s="255">
        <v>6</v>
      </c>
      <c r="H24" s="255">
        <v>6</v>
      </c>
      <c r="I24" s="255">
        <v>6</v>
      </c>
      <c r="J24" s="255">
        <v>7</v>
      </c>
      <c r="K24" s="255">
        <v>6</v>
      </c>
      <c r="L24" s="255">
        <v>6</v>
      </c>
      <c r="M24" s="254">
        <f t="shared" si="0"/>
        <v>6.1111111111111107</v>
      </c>
    </row>
    <row r="25" spans="1:14" ht="21.6" customHeight="1" thickTop="1" thickBot="1" x14ac:dyDescent="0.25">
      <c r="B25" s="239" t="s">
        <v>4</v>
      </c>
      <c r="C25" s="257">
        <v>3</v>
      </c>
      <c r="D25" s="255">
        <v>6</v>
      </c>
      <c r="E25" s="255">
        <v>5</v>
      </c>
      <c r="F25" s="255">
        <v>5</v>
      </c>
      <c r="G25" s="255">
        <v>5</v>
      </c>
      <c r="H25" s="255">
        <v>5</v>
      </c>
      <c r="I25" s="255">
        <v>5</v>
      </c>
      <c r="J25" s="255">
        <v>4</v>
      </c>
      <c r="K25" s="255">
        <v>5</v>
      </c>
      <c r="L25" s="255">
        <v>5</v>
      </c>
      <c r="M25" s="254">
        <f t="shared" si="0"/>
        <v>5</v>
      </c>
    </row>
    <row r="26" spans="1:14" ht="21.6" customHeight="1" thickTop="1" thickBot="1" x14ac:dyDescent="0.25">
      <c r="B26" s="235" t="s">
        <v>4</v>
      </c>
      <c r="C26" s="256">
        <v>4</v>
      </c>
      <c r="D26" s="113">
        <v>5</v>
      </c>
      <c r="E26" s="113">
        <v>5</v>
      </c>
      <c r="F26" s="113">
        <v>6</v>
      </c>
      <c r="G26" s="113">
        <v>5</v>
      </c>
      <c r="H26" s="113">
        <v>6</v>
      </c>
      <c r="I26" s="113">
        <v>6</v>
      </c>
      <c r="J26" s="113">
        <v>6</v>
      </c>
      <c r="K26" s="113">
        <v>5</v>
      </c>
      <c r="L26" s="113">
        <v>6</v>
      </c>
      <c r="M26" s="254">
        <f t="shared" si="0"/>
        <v>5.5555555555555554</v>
      </c>
    </row>
    <row r="27" spans="1:14" ht="21.6" customHeight="1" thickTop="1" thickBot="1" x14ac:dyDescent="0.25">
      <c r="B27" s="11" t="s">
        <v>5</v>
      </c>
      <c r="C27" s="15">
        <v>4</v>
      </c>
      <c r="D27" s="108">
        <v>6</v>
      </c>
      <c r="E27" s="108">
        <v>6</v>
      </c>
      <c r="F27" s="108">
        <v>6</v>
      </c>
      <c r="G27" s="108">
        <v>5</v>
      </c>
      <c r="H27" s="108">
        <v>6</v>
      </c>
      <c r="I27" s="108">
        <v>6</v>
      </c>
      <c r="J27" s="108">
        <v>6</v>
      </c>
      <c r="K27" s="108">
        <v>6</v>
      </c>
      <c r="L27" s="108">
        <v>6</v>
      </c>
      <c r="M27" s="254">
        <f t="shared" si="0"/>
        <v>5.8888888888888893</v>
      </c>
      <c r="N27" s="50" t="s">
        <v>439</v>
      </c>
    </row>
    <row r="28" spans="1:14" ht="21.6" customHeight="1" thickTop="1" thickBot="1" x14ac:dyDescent="0.25">
      <c r="B28" s="239" t="s">
        <v>5</v>
      </c>
      <c r="C28" s="257">
        <v>3</v>
      </c>
      <c r="D28" s="255">
        <v>5</v>
      </c>
      <c r="E28" s="255">
        <v>4</v>
      </c>
      <c r="F28" s="255">
        <v>6</v>
      </c>
      <c r="G28" s="255">
        <v>5</v>
      </c>
      <c r="H28" s="255">
        <v>5</v>
      </c>
      <c r="I28" s="255">
        <v>5</v>
      </c>
      <c r="J28" s="255">
        <v>5</v>
      </c>
      <c r="K28" s="255">
        <v>5</v>
      </c>
      <c r="L28" s="255">
        <v>5</v>
      </c>
      <c r="M28" s="254">
        <f t="shared" si="0"/>
        <v>5</v>
      </c>
    </row>
    <row r="29" spans="1:14" ht="21.6" customHeight="1" thickTop="1" thickBot="1" x14ac:dyDescent="0.25">
      <c r="B29" s="239" t="s">
        <v>5</v>
      </c>
      <c r="C29" s="257">
        <v>2</v>
      </c>
      <c r="D29" s="255">
        <v>6</v>
      </c>
      <c r="E29" s="255">
        <v>6</v>
      </c>
      <c r="F29" s="255">
        <v>6</v>
      </c>
      <c r="G29" s="255">
        <v>6</v>
      </c>
      <c r="H29" s="255">
        <v>6</v>
      </c>
      <c r="I29" s="255">
        <v>5</v>
      </c>
      <c r="J29" s="255">
        <v>6</v>
      </c>
      <c r="K29" s="255">
        <v>6</v>
      </c>
      <c r="L29" s="255">
        <v>6</v>
      </c>
      <c r="M29" s="254">
        <f t="shared" si="0"/>
        <v>5.8888888888888893</v>
      </c>
    </row>
    <row r="30" spans="1:14" ht="21.6" customHeight="1" thickTop="1" thickBot="1" x14ac:dyDescent="0.25">
      <c r="B30" s="235" t="s">
        <v>5</v>
      </c>
      <c r="C30" s="256">
        <v>1</v>
      </c>
      <c r="D30" s="113">
        <v>6</v>
      </c>
      <c r="E30" s="113">
        <v>6</v>
      </c>
      <c r="F30" s="113">
        <v>7</v>
      </c>
      <c r="G30" s="113">
        <v>6</v>
      </c>
      <c r="H30" s="113">
        <v>6</v>
      </c>
      <c r="I30" s="113">
        <v>5</v>
      </c>
      <c r="J30" s="113">
        <v>6</v>
      </c>
      <c r="K30" s="113">
        <v>6</v>
      </c>
      <c r="L30" s="113">
        <v>6</v>
      </c>
      <c r="M30" s="254">
        <f t="shared" si="0"/>
        <v>6</v>
      </c>
    </row>
    <row r="31" spans="1:14" ht="21.6" customHeight="1" thickTop="1" thickBot="1" x14ac:dyDescent="0.25">
      <c r="B31" s="11" t="s">
        <v>35</v>
      </c>
      <c r="C31" s="242">
        <v>1</v>
      </c>
      <c r="D31" s="108">
        <v>6</v>
      </c>
      <c r="E31" s="108">
        <v>6</v>
      </c>
      <c r="F31" s="108">
        <v>6</v>
      </c>
      <c r="G31" s="108">
        <v>6</v>
      </c>
      <c r="H31" s="108">
        <v>6</v>
      </c>
      <c r="I31" s="108">
        <v>6</v>
      </c>
      <c r="J31" s="108">
        <v>6</v>
      </c>
      <c r="K31" s="108">
        <v>5</v>
      </c>
      <c r="L31" s="108">
        <v>5</v>
      </c>
      <c r="M31" s="254">
        <f t="shared" si="0"/>
        <v>5.7777777777777777</v>
      </c>
      <c r="N31" s="50" t="s">
        <v>439</v>
      </c>
    </row>
    <row r="32" spans="1:14" ht="21.6" customHeight="1" thickTop="1" thickBot="1" x14ac:dyDescent="0.25">
      <c r="B32" s="239" t="s">
        <v>35</v>
      </c>
      <c r="C32" s="238">
        <v>2</v>
      </c>
      <c r="D32" s="255">
        <v>6</v>
      </c>
      <c r="E32" s="255">
        <v>6</v>
      </c>
      <c r="F32" s="255">
        <v>6</v>
      </c>
      <c r="G32" s="255">
        <v>6</v>
      </c>
      <c r="H32" s="255">
        <v>5</v>
      </c>
      <c r="I32" s="255">
        <v>6</v>
      </c>
      <c r="J32" s="255">
        <v>6</v>
      </c>
      <c r="K32" s="255">
        <v>6</v>
      </c>
      <c r="L32" s="255">
        <v>5</v>
      </c>
      <c r="M32" s="254">
        <f t="shared" si="0"/>
        <v>5.7777777777777777</v>
      </c>
    </row>
    <row r="33" spans="2:14" ht="21.6" customHeight="1" thickTop="1" thickBot="1" x14ac:dyDescent="0.25">
      <c r="B33" s="239" t="s">
        <v>35</v>
      </c>
      <c r="C33" s="238">
        <v>3</v>
      </c>
      <c r="D33" s="255">
        <v>5</v>
      </c>
      <c r="E33" s="255">
        <v>5</v>
      </c>
      <c r="F33" s="255">
        <v>5</v>
      </c>
      <c r="G33" s="255">
        <v>5</v>
      </c>
      <c r="H33" s="255">
        <v>5</v>
      </c>
      <c r="I33" s="255">
        <v>5</v>
      </c>
      <c r="J33" s="255">
        <v>5</v>
      </c>
      <c r="K33" s="255">
        <v>5</v>
      </c>
      <c r="L33" s="255">
        <v>4</v>
      </c>
      <c r="M33" s="254">
        <f t="shared" si="0"/>
        <v>4.8888888888888893</v>
      </c>
    </row>
    <row r="34" spans="2:14" ht="21.6" customHeight="1" thickTop="1" thickBot="1" x14ac:dyDescent="0.25">
      <c r="B34" s="235" t="s">
        <v>35</v>
      </c>
      <c r="C34" s="234">
        <v>4</v>
      </c>
      <c r="D34" s="113">
        <v>6</v>
      </c>
      <c r="E34" s="113">
        <v>6</v>
      </c>
      <c r="F34" s="113">
        <v>6</v>
      </c>
      <c r="G34" s="113">
        <v>5</v>
      </c>
      <c r="H34" s="113">
        <v>6</v>
      </c>
      <c r="I34" s="113">
        <v>6</v>
      </c>
      <c r="J34" s="113">
        <v>7</v>
      </c>
      <c r="K34" s="113">
        <v>5</v>
      </c>
      <c r="L34" s="113">
        <v>6</v>
      </c>
      <c r="M34" s="254">
        <f t="shared" si="0"/>
        <v>5.8888888888888893</v>
      </c>
    </row>
    <row r="35" spans="2:14" ht="21.6" customHeight="1" thickTop="1" thickBot="1" x14ac:dyDescent="0.25">
      <c r="B35" s="11" t="s">
        <v>36</v>
      </c>
      <c r="C35" s="242">
        <v>4</v>
      </c>
      <c r="D35" s="108">
        <v>7</v>
      </c>
      <c r="E35" s="108">
        <v>6</v>
      </c>
      <c r="F35" s="108">
        <v>6</v>
      </c>
      <c r="G35" s="108">
        <v>7</v>
      </c>
      <c r="H35" s="108">
        <v>6</v>
      </c>
      <c r="I35" s="108">
        <v>5</v>
      </c>
      <c r="J35" s="108">
        <v>5</v>
      </c>
      <c r="K35" s="108">
        <v>5</v>
      </c>
      <c r="L35" s="108">
        <v>6</v>
      </c>
      <c r="M35" s="254">
        <f t="shared" si="0"/>
        <v>5.8888888888888893</v>
      </c>
    </row>
    <row r="36" spans="2:14" ht="21.6" customHeight="1" thickTop="1" thickBot="1" x14ac:dyDescent="0.25">
      <c r="B36" s="239" t="s">
        <v>36</v>
      </c>
      <c r="C36" s="238">
        <v>3</v>
      </c>
      <c r="D36" s="255">
        <v>5</v>
      </c>
      <c r="E36" s="255">
        <v>5</v>
      </c>
      <c r="F36" s="255">
        <v>4</v>
      </c>
      <c r="G36" s="255">
        <v>5</v>
      </c>
      <c r="H36" s="255">
        <v>5</v>
      </c>
      <c r="I36" s="255">
        <v>6</v>
      </c>
      <c r="J36" s="255">
        <v>5</v>
      </c>
      <c r="K36" s="255">
        <v>5</v>
      </c>
      <c r="L36" s="255">
        <v>5</v>
      </c>
      <c r="M36" s="254">
        <f t="shared" si="0"/>
        <v>5</v>
      </c>
    </row>
    <row r="37" spans="2:14" ht="21.6" customHeight="1" thickTop="1" thickBot="1" x14ac:dyDescent="0.25">
      <c r="B37" s="239" t="s">
        <v>36</v>
      </c>
      <c r="C37" s="238">
        <v>2</v>
      </c>
      <c r="D37" s="255">
        <v>7</v>
      </c>
      <c r="E37" s="255">
        <v>6</v>
      </c>
      <c r="F37" s="255">
        <v>7</v>
      </c>
      <c r="G37" s="255">
        <v>6</v>
      </c>
      <c r="H37" s="255">
        <v>6</v>
      </c>
      <c r="I37" s="255">
        <v>6</v>
      </c>
      <c r="J37" s="255">
        <v>6</v>
      </c>
      <c r="K37" s="255">
        <v>7</v>
      </c>
      <c r="L37" s="255">
        <v>6</v>
      </c>
      <c r="M37" s="254">
        <f t="shared" si="0"/>
        <v>6.333333333333333</v>
      </c>
    </row>
    <row r="38" spans="2:14" ht="21.6" customHeight="1" thickTop="1" thickBot="1" x14ac:dyDescent="0.25">
      <c r="B38" s="235" t="s">
        <v>36</v>
      </c>
      <c r="C38" s="234">
        <v>1</v>
      </c>
      <c r="D38" s="113">
        <v>6</v>
      </c>
      <c r="E38" s="113">
        <v>5</v>
      </c>
      <c r="F38" s="113">
        <v>5</v>
      </c>
      <c r="G38" s="113">
        <v>5</v>
      </c>
      <c r="H38" s="113">
        <v>5</v>
      </c>
      <c r="I38" s="113">
        <v>5</v>
      </c>
      <c r="J38" s="113">
        <v>5</v>
      </c>
      <c r="K38" s="113">
        <v>6</v>
      </c>
      <c r="L38" s="113">
        <v>6</v>
      </c>
      <c r="M38" s="254">
        <f t="shared" si="0"/>
        <v>5.333333333333333</v>
      </c>
    </row>
    <row r="39" spans="2:14" ht="21.6" customHeight="1" thickTop="1" thickBot="1" x14ac:dyDescent="0.25">
      <c r="B39" s="11" t="s">
        <v>37</v>
      </c>
      <c r="C39" s="242">
        <v>1</v>
      </c>
      <c r="D39" s="108">
        <v>6</v>
      </c>
      <c r="E39" s="108">
        <v>6</v>
      </c>
      <c r="F39" s="108">
        <v>5</v>
      </c>
      <c r="G39" s="108">
        <v>5</v>
      </c>
      <c r="H39" s="108">
        <v>6</v>
      </c>
      <c r="I39" s="108">
        <v>5</v>
      </c>
      <c r="J39" s="108">
        <v>6</v>
      </c>
      <c r="K39" s="108">
        <v>5</v>
      </c>
      <c r="L39" s="108">
        <v>5</v>
      </c>
      <c r="M39" s="254">
        <f t="shared" si="0"/>
        <v>5.4444444444444446</v>
      </c>
      <c r="N39" s="50" t="s">
        <v>439</v>
      </c>
    </row>
    <row r="40" spans="2:14" ht="21.6" customHeight="1" thickTop="1" thickBot="1" x14ac:dyDescent="0.25">
      <c r="B40" s="239" t="s">
        <v>37</v>
      </c>
      <c r="C40" s="238">
        <v>2</v>
      </c>
      <c r="D40" s="255">
        <v>5</v>
      </c>
      <c r="E40" s="255">
        <v>5</v>
      </c>
      <c r="F40" s="255">
        <v>6</v>
      </c>
      <c r="G40" s="255">
        <v>6</v>
      </c>
      <c r="H40" s="255">
        <v>5</v>
      </c>
      <c r="I40" s="255">
        <v>5</v>
      </c>
      <c r="J40" s="255">
        <v>5</v>
      </c>
      <c r="K40" s="255">
        <v>4</v>
      </c>
      <c r="L40" s="255">
        <v>4</v>
      </c>
      <c r="M40" s="254">
        <f t="shared" si="0"/>
        <v>5</v>
      </c>
    </row>
    <row r="41" spans="2:14" ht="21.6" customHeight="1" thickTop="1" thickBot="1" x14ac:dyDescent="0.25">
      <c r="B41" s="239" t="s">
        <v>37</v>
      </c>
      <c r="C41" s="238">
        <v>3</v>
      </c>
      <c r="D41" s="255">
        <v>6</v>
      </c>
      <c r="E41" s="255">
        <v>7</v>
      </c>
      <c r="F41" s="255">
        <v>6</v>
      </c>
      <c r="G41" s="255">
        <v>6</v>
      </c>
      <c r="H41" s="255">
        <v>7</v>
      </c>
      <c r="I41" s="255">
        <v>6</v>
      </c>
      <c r="J41" s="255">
        <v>7</v>
      </c>
      <c r="K41" s="255">
        <v>6</v>
      </c>
      <c r="L41" s="255">
        <v>6</v>
      </c>
      <c r="M41" s="254">
        <f t="shared" si="0"/>
        <v>6.333333333333333</v>
      </c>
    </row>
    <row r="42" spans="2:14" ht="21.6" customHeight="1" thickTop="1" thickBot="1" x14ac:dyDescent="0.25">
      <c r="B42" s="235" t="s">
        <v>37</v>
      </c>
      <c r="C42" s="234">
        <v>4</v>
      </c>
      <c r="D42" s="113">
        <v>5</v>
      </c>
      <c r="E42" s="113">
        <v>5</v>
      </c>
      <c r="F42" s="113">
        <v>4</v>
      </c>
      <c r="G42" s="113">
        <v>4</v>
      </c>
      <c r="H42" s="113">
        <v>5</v>
      </c>
      <c r="I42" s="113">
        <v>6</v>
      </c>
      <c r="J42" s="113">
        <v>6</v>
      </c>
      <c r="K42" s="113">
        <v>6</v>
      </c>
      <c r="L42" s="113">
        <v>5</v>
      </c>
      <c r="M42" s="254">
        <f t="shared" si="0"/>
        <v>5.1111111111111107</v>
      </c>
    </row>
    <row r="43" spans="2:14" ht="21.6" customHeight="1" thickTop="1" thickBot="1" x14ac:dyDescent="0.25">
      <c r="B43" s="11" t="s">
        <v>38</v>
      </c>
      <c r="C43" s="242">
        <v>4</v>
      </c>
      <c r="D43" s="108">
        <v>5</v>
      </c>
      <c r="E43" s="108">
        <v>5</v>
      </c>
      <c r="F43" s="108">
        <v>4</v>
      </c>
      <c r="G43" s="108">
        <v>4</v>
      </c>
      <c r="H43" s="108">
        <v>5</v>
      </c>
      <c r="I43" s="108">
        <v>5</v>
      </c>
      <c r="J43" s="108">
        <v>4</v>
      </c>
      <c r="K43" s="108">
        <v>5</v>
      </c>
      <c r="L43" s="108">
        <v>4</v>
      </c>
      <c r="M43" s="254">
        <f t="shared" si="0"/>
        <v>4.5555555555555554</v>
      </c>
    </row>
    <row r="44" spans="2:14" ht="21.6" customHeight="1" thickTop="1" thickBot="1" x14ac:dyDescent="0.25">
      <c r="B44" s="239" t="s">
        <v>38</v>
      </c>
      <c r="C44" s="238">
        <v>3</v>
      </c>
      <c r="D44" s="255">
        <v>5</v>
      </c>
      <c r="E44" s="255">
        <v>5</v>
      </c>
      <c r="F44" s="255">
        <v>6</v>
      </c>
      <c r="G44" s="255">
        <v>5</v>
      </c>
      <c r="H44" s="255">
        <v>6</v>
      </c>
      <c r="I44" s="255">
        <v>5</v>
      </c>
      <c r="J44" s="255">
        <v>5</v>
      </c>
      <c r="K44" s="255">
        <v>5</v>
      </c>
      <c r="L44" s="255">
        <v>5</v>
      </c>
      <c r="M44" s="254">
        <f t="shared" si="0"/>
        <v>5.2222222222222223</v>
      </c>
    </row>
    <row r="45" spans="2:14" ht="21.6" customHeight="1" thickTop="1" thickBot="1" x14ac:dyDescent="0.25">
      <c r="B45" s="239" t="s">
        <v>38</v>
      </c>
      <c r="C45" s="238">
        <v>2</v>
      </c>
      <c r="D45" s="255">
        <v>6</v>
      </c>
      <c r="E45" s="255">
        <v>5</v>
      </c>
      <c r="F45" s="255">
        <v>5</v>
      </c>
      <c r="G45" s="255">
        <v>6</v>
      </c>
      <c r="H45" s="255">
        <v>5</v>
      </c>
      <c r="I45" s="255">
        <v>6</v>
      </c>
      <c r="J45" s="255">
        <v>6</v>
      </c>
      <c r="K45" s="255">
        <v>7</v>
      </c>
      <c r="L45" s="255">
        <v>4</v>
      </c>
      <c r="M45" s="254">
        <f t="shared" si="0"/>
        <v>5.5555555555555554</v>
      </c>
    </row>
    <row r="46" spans="2:14" ht="21.6" customHeight="1" thickTop="1" thickBot="1" x14ac:dyDescent="0.25">
      <c r="B46" s="235" t="s">
        <v>38</v>
      </c>
      <c r="C46" s="234">
        <v>1</v>
      </c>
      <c r="D46" s="113">
        <v>6</v>
      </c>
      <c r="E46" s="113">
        <v>5</v>
      </c>
      <c r="F46" s="113">
        <v>5</v>
      </c>
      <c r="G46" s="113">
        <v>6</v>
      </c>
      <c r="H46" s="113">
        <v>6</v>
      </c>
      <c r="I46" s="113">
        <v>6</v>
      </c>
      <c r="J46" s="113">
        <v>6</v>
      </c>
      <c r="K46" s="113">
        <v>6</v>
      </c>
      <c r="L46" s="113">
        <v>6</v>
      </c>
      <c r="M46" s="254">
        <f t="shared" si="0"/>
        <v>5.7777777777777777</v>
      </c>
    </row>
    <row r="47" spans="2:14" ht="21.6" customHeight="1" thickTop="1" thickBot="1" x14ac:dyDescent="0.25">
      <c r="B47" s="11" t="s">
        <v>39</v>
      </c>
      <c r="C47" s="242">
        <v>1</v>
      </c>
      <c r="D47" s="108">
        <v>5</v>
      </c>
      <c r="E47" s="108">
        <v>5</v>
      </c>
      <c r="F47" s="108">
        <v>5</v>
      </c>
      <c r="G47" s="108">
        <v>5</v>
      </c>
      <c r="H47" s="108">
        <v>5</v>
      </c>
      <c r="I47" s="108">
        <v>5</v>
      </c>
      <c r="J47" s="108">
        <v>4</v>
      </c>
      <c r="K47" s="108">
        <v>5</v>
      </c>
      <c r="L47" s="108">
        <v>5</v>
      </c>
      <c r="M47" s="254">
        <f t="shared" si="0"/>
        <v>4.8888888888888893</v>
      </c>
    </row>
    <row r="48" spans="2:14" ht="21.6" customHeight="1" thickTop="1" thickBot="1" x14ac:dyDescent="0.25">
      <c r="B48" s="239" t="s">
        <v>39</v>
      </c>
      <c r="C48" s="238">
        <v>2</v>
      </c>
      <c r="D48" s="255">
        <v>5</v>
      </c>
      <c r="E48" s="255">
        <v>6</v>
      </c>
      <c r="F48" s="255">
        <v>5</v>
      </c>
      <c r="G48" s="255">
        <v>5</v>
      </c>
      <c r="H48" s="255">
        <v>5</v>
      </c>
      <c r="I48" s="255">
        <v>5</v>
      </c>
      <c r="J48" s="255">
        <v>4</v>
      </c>
      <c r="K48" s="255">
        <v>4</v>
      </c>
      <c r="L48" s="255">
        <v>5</v>
      </c>
      <c r="M48" s="254">
        <f t="shared" si="0"/>
        <v>4.8888888888888893</v>
      </c>
    </row>
    <row r="49" spans="2:14" ht="21.6" customHeight="1" thickTop="1" thickBot="1" x14ac:dyDescent="0.25">
      <c r="B49" s="239" t="s">
        <v>39</v>
      </c>
      <c r="C49" s="238">
        <v>3</v>
      </c>
      <c r="D49" s="255">
        <v>5</v>
      </c>
      <c r="E49" s="255">
        <v>5</v>
      </c>
      <c r="F49" s="255">
        <v>4</v>
      </c>
      <c r="G49" s="255">
        <v>4</v>
      </c>
      <c r="H49" s="255">
        <v>5</v>
      </c>
      <c r="I49" s="255">
        <v>4</v>
      </c>
      <c r="J49" s="255">
        <v>5</v>
      </c>
      <c r="K49" s="255">
        <v>5</v>
      </c>
      <c r="L49" s="255">
        <v>4</v>
      </c>
      <c r="M49" s="254">
        <f t="shared" si="0"/>
        <v>4.5555555555555554</v>
      </c>
    </row>
    <row r="50" spans="2:14" ht="21.6" customHeight="1" thickTop="1" thickBot="1" x14ac:dyDescent="0.25">
      <c r="B50" s="235" t="s">
        <v>39</v>
      </c>
      <c r="C50" s="234">
        <v>4</v>
      </c>
      <c r="D50" s="113">
        <v>4</v>
      </c>
      <c r="E50" s="113">
        <v>4</v>
      </c>
      <c r="F50" s="113">
        <v>4</v>
      </c>
      <c r="G50" s="113">
        <v>4</v>
      </c>
      <c r="H50" s="113">
        <v>4</v>
      </c>
      <c r="I50" s="113">
        <v>4</v>
      </c>
      <c r="J50" s="113">
        <v>3</v>
      </c>
      <c r="K50" s="113">
        <v>4</v>
      </c>
      <c r="L50" s="113">
        <v>3</v>
      </c>
      <c r="M50" s="254">
        <f t="shared" si="0"/>
        <v>3.7777777777777777</v>
      </c>
    </row>
    <row r="51" spans="2:14" ht="21.6" customHeight="1" thickTop="1" thickBot="1" x14ac:dyDescent="0.25">
      <c r="B51" s="11" t="s">
        <v>40</v>
      </c>
      <c r="C51" s="242">
        <v>4</v>
      </c>
      <c r="D51" s="108">
        <v>4</v>
      </c>
      <c r="E51" s="108">
        <v>4</v>
      </c>
      <c r="F51" s="108">
        <v>5</v>
      </c>
      <c r="G51" s="108">
        <v>5</v>
      </c>
      <c r="H51" s="108">
        <v>4</v>
      </c>
      <c r="I51" s="108">
        <v>4</v>
      </c>
      <c r="J51" s="108">
        <v>5</v>
      </c>
      <c r="K51" s="108">
        <v>4</v>
      </c>
      <c r="L51" s="108">
        <v>5</v>
      </c>
      <c r="M51" s="254">
        <f t="shared" si="0"/>
        <v>4.4444444444444446</v>
      </c>
      <c r="N51" s="50" t="s">
        <v>439</v>
      </c>
    </row>
    <row r="52" spans="2:14" ht="21.6" customHeight="1" thickTop="1" thickBot="1" x14ac:dyDescent="0.25">
      <c r="B52" s="239" t="s">
        <v>40</v>
      </c>
      <c r="C52" s="238">
        <v>3</v>
      </c>
      <c r="D52" s="255">
        <v>6</v>
      </c>
      <c r="E52" s="255">
        <v>5</v>
      </c>
      <c r="F52" s="255">
        <v>6</v>
      </c>
      <c r="G52" s="255">
        <v>6</v>
      </c>
      <c r="H52" s="255">
        <v>5</v>
      </c>
      <c r="I52" s="255">
        <v>6</v>
      </c>
      <c r="J52" s="255">
        <v>6</v>
      </c>
      <c r="K52" s="255">
        <v>6</v>
      </c>
      <c r="L52" s="255">
        <v>6</v>
      </c>
      <c r="M52" s="254">
        <f t="shared" si="0"/>
        <v>5.7777777777777777</v>
      </c>
    </row>
    <row r="53" spans="2:14" ht="21.6" customHeight="1" thickTop="1" thickBot="1" x14ac:dyDescent="0.25">
      <c r="B53" s="239" t="s">
        <v>40</v>
      </c>
      <c r="C53" s="238">
        <v>2</v>
      </c>
      <c r="D53" s="255">
        <v>4</v>
      </c>
      <c r="E53" s="255">
        <v>4</v>
      </c>
      <c r="F53" s="255">
        <v>5</v>
      </c>
      <c r="G53" s="255">
        <v>4</v>
      </c>
      <c r="H53" s="255">
        <v>5</v>
      </c>
      <c r="I53" s="255">
        <v>5</v>
      </c>
      <c r="J53" s="255">
        <v>4</v>
      </c>
      <c r="K53" s="255">
        <v>5</v>
      </c>
      <c r="L53" s="255">
        <v>5</v>
      </c>
      <c r="M53" s="254">
        <f t="shared" si="0"/>
        <v>4.5555555555555554</v>
      </c>
    </row>
    <row r="54" spans="2:14" ht="21.6" customHeight="1" thickTop="1" thickBot="1" x14ac:dyDescent="0.25">
      <c r="B54" s="235" t="s">
        <v>40</v>
      </c>
      <c r="C54" s="234">
        <v>1</v>
      </c>
      <c r="D54" s="113">
        <v>5</v>
      </c>
      <c r="E54" s="113">
        <v>5</v>
      </c>
      <c r="F54" s="113">
        <v>5</v>
      </c>
      <c r="G54" s="113">
        <v>5</v>
      </c>
      <c r="H54" s="113">
        <v>5</v>
      </c>
      <c r="I54" s="113">
        <v>6</v>
      </c>
      <c r="J54" s="113">
        <v>5</v>
      </c>
      <c r="K54" s="113">
        <v>6</v>
      </c>
      <c r="L54" s="113">
        <v>5</v>
      </c>
      <c r="M54" s="254">
        <f t="shared" si="0"/>
        <v>5.2222222222222223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69B2-EEBB-44E1-8B64-B96BB4499F2F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44420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5</v>
      </c>
      <c r="E7" s="108">
        <v>6</v>
      </c>
      <c r="F7" s="108">
        <v>5</v>
      </c>
      <c r="G7" s="108">
        <v>5</v>
      </c>
      <c r="H7" s="108">
        <v>5</v>
      </c>
      <c r="I7" s="108">
        <v>4</v>
      </c>
      <c r="J7" s="108">
        <v>5</v>
      </c>
      <c r="K7" s="108">
        <v>5</v>
      </c>
      <c r="L7" s="108">
        <v>4</v>
      </c>
      <c r="M7" s="254">
        <f t="shared" ref="M7:M54" si="0">AVERAGE(D7:L7)</f>
        <v>4.8888888888888893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6</v>
      </c>
      <c r="E8" s="255">
        <v>5</v>
      </c>
      <c r="F8" s="255">
        <v>6</v>
      </c>
      <c r="G8" s="255">
        <v>6</v>
      </c>
      <c r="H8" s="255">
        <v>6</v>
      </c>
      <c r="I8" s="255">
        <v>6</v>
      </c>
      <c r="J8" s="255">
        <v>6</v>
      </c>
      <c r="K8" s="255">
        <v>5</v>
      </c>
      <c r="L8" s="255">
        <v>6</v>
      </c>
      <c r="M8" s="254">
        <f t="shared" si="0"/>
        <v>5.7777777777777777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5</v>
      </c>
      <c r="E9" s="255">
        <v>5</v>
      </c>
      <c r="F9" s="255">
        <v>5</v>
      </c>
      <c r="G9" s="255">
        <v>6</v>
      </c>
      <c r="H9" s="255">
        <v>5</v>
      </c>
      <c r="I9" s="255">
        <v>6</v>
      </c>
      <c r="J9" s="255">
        <v>5</v>
      </c>
      <c r="K9" s="255">
        <v>5</v>
      </c>
      <c r="L9" s="255">
        <f>5</f>
        <v>5</v>
      </c>
      <c r="M9" s="254">
        <f t="shared" si="0"/>
        <v>5.2222222222222223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6</v>
      </c>
      <c r="E10" s="113">
        <v>6</v>
      </c>
      <c r="F10" s="113">
        <v>5</v>
      </c>
      <c r="G10" s="113">
        <v>5</v>
      </c>
      <c r="H10" s="113">
        <v>6</v>
      </c>
      <c r="I10" s="113">
        <v>6</v>
      </c>
      <c r="J10" s="113">
        <v>5</v>
      </c>
      <c r="K10" s="113">
        <v>5</v>
      </c>
      <c r="L10" s="113">
        <v>5</v>
      </c>
      <c r="M10" s="254">
        <f t="shared" si="0"/>
        <v>5.4444444444444446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5</v>
      </c>
      <c r="E11" s="108">
        <v>5</v>
      </c>
      <c r="F11" s="108">
        <v>6</v>
      </c>
      <c r="G11" s="108">
        <v>7</v>
      </c>
      <c r="H11" s="108">
        <v>5</v>
      </c>
      <c r="I11" s="108">
        <v>5</v>
      </c>
      <c r="J11" s="108">
        <v>5</v>
      </c>
      <c r="K11" s="108">
        <v>5</v>
      </c>
      <c r="L11" s="108">
        <v>5</v>
      </c>
      <c r="M11" s="254">
        <f t="shared" si="0"/>
        <v>5.333333333333333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6</v>
      </c>
      <c r="E12" s="255">
        <v>6</v>
      </c>
      <c r="F12" s="255">
        <v>5</v>
      </c>
      <c r="G12" s="255">
        <v>6</v>
      </c>
      <c r="H12" s="255">
        <v>6</v>
      </c>
      <c r="I12" s="255">
        <v>5</v>
      </c>
      <c r="J12" s="255">
        <v>5</v>
      </c>
      <c r="K12" s="255">
        <v>6</v>
      </c>
      <c r="L12" s="255">
        <v>6</v>
      </c>
      <c r="M12" s="254">
        <f t="shared" si="0"/>
        <v>5.666666666666667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5</v>
      </c>
      <c r="E13" s="255">
        <v>5</v>
      </c>
      <c r="F13" s="255">
        <v>5</v>
      </c>
      <c r="G13" s="255">
        <v>6</v>
      </c>
      <c r="H13" s="255">
        <v>6</v>
      </c>
      <c r="I13" s="255">
        <v>5</v>
      </c>
      <c r="J13" s="255">
        <v>5</v>
      </c>
      <c r="K13" s="255">
        <v>5</v>
      </c>
      <c r="L13" s="255">
        <v>6</v>
      </c>
      <c r="M13" s="254">
        <f t="shared" si="0"/>
        <v>5.333333333333333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6</v>
      </c>
      <c r="E14" s="113">
        <v>5</v>
      </c>
      <c r="F14" s="113">
        <v>4</v>
      </c>
      <c r="G14" s="113">
        <v>6</v>
      </c>
      <c r="H14" s="113">
        <v>4</v>
      </c>
      <c r="I14" s="113">
        <v>5</v>
      </c>
      <c r="J14" s="113">
        <v>5</v>
      </c>
      <c r="K14" s="113">
        <v>6</v>
      </c>
      <c r="L14" s="113">
        <v>6</v>
      </c>
      <c r="M14" s="254">
        <f t="shared" si="0"/>
        <v>5.2222222222222223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6</v>
      </c>
      <c r="E15" s="108">
        <v>6</v>
      </c>
      <c r="F15" s="108">
        <v>6</v>
      </c>
      <c r="G15" s="108">
        <v>6</v>
      </c>
      <c r="H15" s="108">
        <v>5</v>
      </c>
      <c r="I15" s="108">
        <v>6</v>
      </c>
      <c r="J15" s="108">
        <v>5</v>
      </c>
      <c r="K15" s="108">
        <v>5</v>
      </c>
      <c r="L15" s="108">
        <v>5</v>
      </c>
      <c r="M15" s="254">
        <f t="shared" si="0"/>
        <v>5.5555555555555554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5</v>
      </c>
      <c r="E16" s="255">
        <v>6</v>
      </c>
      <c r="F16" s="255">
        <v>5</v>
      </c>
      <c r="G16" s="255">
        <v>5</v>
      </c>
      <c r="H16" s="255">
        <v>4</v>
      </c>
      <c r="I16" s="255">
        <v>6</v>
      </c>
      <c r="J16" s="255">
        <v>6</v>
      </c>
      <c r="K16" s="255">
        <v>5</v>
      </c>
      <c r="L16" s="255">
        <v>5</v>
      </c>
      <c r="M16" s="254">
        <f t="shared" si="0"/>
        <v>5.2222222222222223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5</v>
      </c>
      <c r="E17" s="255">
        <v>5</v>
      </c>
      <c r="F17" s="255">
        <v>5</v>
      </c>
      <c r="G17" s="255">
        <v>5</v>
      </c>
      <c r="H17" s="255">
        <v>5</v>
      </c>
      <c r="I17" s="255">
        <v>5</v>
      </c>
      <c r="J17" s="255">
        <v>5</v>
      </c>
      <c r="K17" s="255">
        <v>4</v>
      </c>
      <c r="L17" s="255">
        <v>5</v>
      </c>
      <c r="M17" s="254">
        <f t="shared" si="0"/>
        <v>4.8888888888888893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5</v>
      </c>
      <c r="E18" s="113">
        <v>6</v>
      </c>
      <c r="F18" s="113">
        <v>5</v>
      </c>
      <c r="G18" s="113">
        <v>5</v>
      </c>
      <c r="H18" s="113">
        <v>4</v>
      </c>
      <c r="I18" s="113">
        <v>5</v>
      </c>
      <c r="J18" s="113">
        <v>5</v>
      </c>
      <c r="K18" s="113">
        <v>5</v>
      </c>
      <c r="L18" s="113">
        <v>6</v>
      </c>
      <c r="M18" s="254">
        <f t="shared" si="0"/>
        <v>5.1111111111111107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4</v>
      </c>
      <c r="E19" s="108">
        <v>5</v>
      </c>
      <c r="F19" s="108">
        <v>4</v>
      </c>
      <c r="G19" s="108">
        <v>5</v>
      </c>
      <c r="H19" s="108">
        <v>5</v>
      </c>
      <c r="I19" s="108">
        <v>5</v>
      </c>
      <c r="J19" s="108">
        <v>5</v>
      </c>
      <c r="K19" s="108">
        <v>4</v>
      </c>
      <c r="L19" s="108">
        <v>5</v>
      </c>
      <c r="M19" s="254">
        <f t="shared" si="0"/>
        <v>4.666666666666667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5</v>
      </c>
      <c r="E20" s="255">
        <v>5</v>
      </c>
      <c r="F20" s="255">
        <v>4</v>
      </c>
      <c r="G20" s="255">
        <v>4</v>
      </c>
      <c r="H20" s="255">
        <v>5</v>
      </c>
      <c r="I20" s="255">
        <v>5</v>
      </c>
      <c r="J20" s="255">
        <v>5</v>
      </c>
      <c r="K20" s="255">
        <v>5</v>
      </c>
      <c r="L20" s="255">
        <v>4</v>
      </c>
      <c r="M20" s="254">
        <f t="shared" si="0"/>
        <v>4.666666666666667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6</v>
      </c>
      <c r="E21" s="255">
        <v>5</v>
      </c>
      <c r="F21" s="255">
        <v>5</v>
      </c>
      <c r="G21" s="255">
        <v>5</v>
      </c>
      <c r="H21" s="255">
        <v>5</v>
      </c>
      <c r="I21" s="255">
        <v>5</v>
      </c>
      <c r="J21" s="255">
        <v>6</v>
      </c>
      <c r="K21" s="255">
        <v>5</v>
      </c>
      <c r="L21" s="255">
        <v>4</v>
      </c>
      <c r="M21" s="254">
        <f t="shared" si="0"/>
        <v>5.1111111111111107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5</v>
      </c>
      <c r="E22" s="113">
        <v>5</v>
      </c>
      <c r="F22" s="113">
        <v>5</v>
      </c>
      <c r="G22" s="113">
        <v>6</v>
      </c>
      <c r="H22" s="113">
        <v>5</v>
      </c>
      <c r="I22" s="113">
        <v>5</v>
      </c>
      <c r="J22" s="113">
        <v>5</v>
      </c>
      <c r="K22" s="113">
        <v>5</v>
      </c>
      <c r="L22" s="113">
        <v>6</v>
      </c>
      <c r="M22" s="254">
        <f t="shared" si="0"/>
        <v>5.2222222222222223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6</v>
      </c>
      <c r="E23" s="108">
        <v>5</v>
      </c>
      <c r="F23" s="108">
        <v>5</v>
      </c>
      <c r="G23" s="108">
        <v>4</v>
      </c>
      <c r="H23" s="108">
        <v>5</v>
      </c>
      <c r="I23" s="108">
        <v>5</v>
      </c>
      <c r="J23" s="108">
        <v>4</v>
      </c>
      <c r="K23" s="108">
        <v>5</v>
      </c>
      <c r="L23" s="108">
        <v>4</v>
      </c>
      <c r="M23" s="254">
        <f t="shared" si="0"/>
        <v>4.7777777777777777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5</v>
      </c>
      <c r="E24" s="255">
        <v>5</v>
      </c>
      <c r="F24" s="255">
        <v>5</v>
      </c>
      <c r="G24" s="255">
        <v>5</v>
      </c>
      <c r="H24" s="255">
        <v>5</v>
      </c>
      <c r="I24" s="255">
        <v>5</v>
      </c>
      <c r="J24" s="255">
        <v>6</v>
      </c>
      <c r="K24" s="255">
        <v>5</v>
      </c>
      <c r="L24" s="255">
        <v>5</v>
      </c>
      <c r="M24" s="254">
        <f t="shared" si="0"/>
        <v>5.1111111111111107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6</v>
      </c>
      <c r="E25" s="255">
        <v>6</v>
      </c>
      <c r="F25" s="255">
        <v>5</v>
      </c>
      <c r="G25" s="255">
        <v>5</v>
      </c>
      <c r="H25" s="255">
        <v>5</v>
      </c>
      <c r="I25" s="255">
        <v>5</v>
      </c>
      <c r="J25" s="255">
        <v>6</v>
      </c>
      <c r="K25" s="255">
        <v>5</v>
      </c>
      <c r="L25" s="255">
        <v>5</v>
      </c>
      <c r="M25" s="254">
        <f t="shared" si="0"/>
        <v>5.333333333333333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5</v>
      </c>
      <c r="E26" s="113">
        <v>5</v>
      </c>
      <c r="F26" s="113">
        <v>5</v>
      </c>
      <c r="G26" s="113">
        <v>6</v>
      </c>
      <c r="H26" s="113">
        <v>5</v>
      </c>
      <c r="I26" s="113">
        <v>6</v>
      </c>
      <c r="J26" s="113">
        <v>6</v>
      </c>
      <c r="K26" s="113">
        <v>5</v>
      </c>
      <c r="L26" s="113">
        <v>6</v>
      </c>
      <c r="M26" s="254">
        <f t="shared" si="0"/>
        <v>5.4444444444444446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5</v>
      </c>
      <c r="E27" s="108">
        <v>5</v>
      </c>
      <c r="F27" s="108">
        <v>6</v>
      </c>
      <c r="G27" s="108">
        <v>7</v>
      </c>
      <c r="H27" s="108">
        <v>6</v>
      </c>
      <c r="I27" s="108">
        <v>6</v>
      </c>
      <c r="J27" s="108">
        <v>6</v>
      </c>
      <c r="K27" s="108">
        <v>5</v>
      </c>
      <c r="L27" s="108">
        <v>6</v>
      </c>
      <c r="M27" s="254">
        <f t="shared" si="0"/>
        <v>5.7777777777777777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5</v>
      </c>
      <c r="E28" s="255">
        <v>6</v>
      </c>
      <c r="F28" s="255">
        <v>5</v>
      </c>
      <c r="G28" s="255">
        <v>5</v>
      </c>
      <c r="H28" s="255">
        <v>6</v>
      </c>
      <c r="I28" s="255">
        <v>4</v>
      </c>
      <c r="J28" s="255">
        <v>5</v>
      </c>
      <c r="K28" s="255">
        <v>6</v>
      </c>
      <c r="L28" s="255">
        <v>5</v>
      </c>
      <c r="M28" s="254">
        <f t="shared" si="0"/>
        <v>5.2222222222222223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5</v>
      </c>
      <c r="E29" s="255">
        <v>5</v>
      </c>
      <c r="F29" s="255">
        <v>5</v>
      </c>
      <c r="G29" s="255">
        <v>5</v>
      </c>
      <c r="H29" s="255">
        <v>5</v>
      </c>
      <c r="I29" s="255">
        <v>4</v>
      </c>
      <c r="J29" s="255">
        <v>5</v>
      </c>
      <c r="K29" s="255">
        <v>5</v>
      </c>
      <c r="L29" s="255">
        <v>5</v>
      </c>
      <c r="M29" s="254">
        <f t="shared" si="0"/>
        <v>4.8888888888888893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5</v>
      </c>
      <c r="E30" s="113">
        <v>5</v>
      </c>
      <c r="F30" s="113">
        <v>5</v>
      </c>
      <c r="G30" s="113">
        <v>5</v>
      </c>
      <c r="H30" s="113">
        <v>5</v>
      </c>
      <c r="I30" s="113">
        <v>5</v>
      </c>
      <c r="J30" s="113">
        <v>5</v>
      </c>
      <c r="K30" s="113">
        <v>5</v>
      </c>
      <c r="L30" s="113">
        <v>6</v>
      </c>
      <c r="M30" s="254">
        <f t="shared" si="0"/>
        <v>5.1111111111111107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6</v>
      </c>
      <c r="E31" s="108">
        <v>6</v>
      </c>
      <c r="F31" s="108">
        <v>5</v>
      </c>
      <c r="G31" s="108">
        <v>6</v>
      </c>
      <c r="H31" s="108">
        <v>7</v>
      </c>
      <c r="I31" s="108">
        <v>6</v>
      </c>
      <c r="J31" s="108">
        <v>5</v>
      </c>
      <c r="K31" s="108">
        <v>5</v>
      </c>
      <c r="L31" s="108">
        <v>6</v>
      </c>
      <c r="M31" s="254">
        <f t="shared" si="0"/>
        <v>5.7777777777777777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5</v>
      </c>
      <c r="E32" s="255">
        <v>5</v>
      </c>
      <c r="F32" s="255">
        <v>5</v>
      </c>
      <c r="G32" s="255">
        <v>5</v>
      </c>
      <c r="H32" s="255">
        <v>6</v>
      </c>
      <c r="I32" s="255">
        <v>6</v>
      </c>
      <c r="J32" s="255">
        <v>5</v>
      </c>
      <c r="K32" s="255">
        <v>5</v>
      </c>
      <c r="L32" s="255">
        <v>6</v>
      </c>
      <c r="M32" s="254">
        <f t="shared" si="0"/>
        <v>5.333333333333333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6</v>
      </c>
      <c r="E33" s="255">
        <v>6</v>
      </c>
      <c r="F33" s="255">
        <v>6</v>
      </c>
      <c r="G33" s="255">
        <v>6</v>
      </c>
      <c r="H33" s="255">
        <v>5</v>
      </c>
      <c r="I33" s="255">
        <v>5</v>
      </c>
      <c r="J33" s="255">
        <v>5</v>
      </c>
      <c r="K33" s="255">
        <v>5</v>
      </c>
      <c r="L33" s="255">
        <v>5</v>
      </c>
      <c r="M33" s="254">
        <f t="shared" si="0"/>
        <v>5.4444444444444446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5</v>
      </c>
      <c r="E34" s="113">
        <v>4</v>
      </c>
      <c r="F34" s="113">
        <v>5</v>
      </c>
      <c r="G34" s="113">
        <v>5</v>
      </c>
      <c r="H34" s="113">
        <v>4</v>
      </c>
      <c r="I34" s="113">
        <v>5</v>
      </c>
      <c r="J34" s="113">
        <v>5</v>
      </c>
      <c r="K34" s="113">
        <v>5</v>
      </c>
      <c r="L34" s="113">
        <v>5</v>
      </c>
      <c r="M34" s="254">
        <f t="shared" si="0"/>
        <v>4.7777777777777777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4</v>
      </c>
      <c r="E35" s="108">
        <v>5</v>
      </c>
      <c r="F35" s="108">
        <v>6</v>
      </c>
      <c r="G35" s="108">
        <v>6</v>
      </c>
      <c r="H35" s="108">
        <v>6</v>
      </c>
      <c r="I35" s="108">
        <v>5</v>
      </c>
      <c r="J35" s="108">
        <v>6</v>
      </c>
      <c r="K35" s="108">
        <v>6</v>
      </c>
      <c r="L35" s="108">
        <v>5</v>
      </c>
      <c r="M35" s="254">
        <f t="shared" si="0"/>
        <v>5.4444444444444446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5</v>
      </c>
      <c r="E36" s="255">
        <v>6</v>
      </c>
      <c r="F36" s="255">
        <v>5</v>
      </c>
      <c r="G36" s="255">
        <v>6</v>
      </c>
      <c r="H36" s="255">
        <v>5</v>
      </c>
      <c r="I36" s="255">
        <v>4</v>
      </c>
      <c r="J36" s="255">
        <v>5</v>
      </c>
      <c r="K36" s="255">
        <v>5</v>
      </c>
      <c r="L36" s="255">
        <v>6</v>
      </c>
      <c r="M36" s="254">
        <f t="shared" si="0"/>
        <v>5.2222222222222223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6</v>
      </c>
      <c r="E37" s="255">
        <v>6</v>
      </c>
      <c r="F37" s="255">
        <v>5</v>
      </c>
      <c r="G37" s="255">
        <v>6</v>
      </c>
      <c r="H37" s="255">
        <v>6</v>
      </c>
      <c r="I37" s="255">
        <v>6</v>
      </c>
      <c r="J37" s="255">
        <v>5</v>
      </c>
      <c r="K37" s="255">
        <v>5</v>
      </c>
      <c r="L37" s="255">
        <v>5</v>
      </c>
      <c r="M37" s="254">
        <f t="shared" si="0"/>
        <v>5.5555555555555554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5</v>
      </c>
      <c r="E38" s="113">
        <v>4</v>
      </c>
      <c r="F38" s="113">
        <v>5</v>
      </c>
      <c r="G38" s="113">
        <v>5</v>
      </c>
      <c r="H38" s="113">
        <v>5</v>
      </c>
      <c r="I38" s="113">
        <v>5</v>
      </c>
      <c r="J38" s="113">
        <v>5</v>
      </c>
      <c r="K38" s="113">
        <v>5</v>
      </c>
      <c r="L38" s="113">
        <v>6</v>
      </c>
      <c r="M38" s="254">
        <f t="shared" si="0"/>
        <v>5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6</v>
      </c>
      <c r="E39" s="108">
        <v>5</v>
      </c>
      <c r="F39" s="108">
        <v>5</v>
      </c>
      <c r="G39" s="108">
        <v>5</v>
      </c>
      <c r="H39" s="108">
        <v>5</v>
      </c>
      <c r="I39" s="108">
        <v>4</v>
      </c>
      <c r="J39" s="108">
        <v>4</v>
      </c>
      <c r="K39" s="108">
        <v>5</v>
      </c>
      <c r="L39" s="108">
        <v>5</v>
      </c>
      <c r="M39" s="254">
        <f t="shared" si="0"/>
        <v>4.8888888888888893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5</v>
      </c>
      <c r="E40" s="255">
        <v>5</v>
      </c>
      <c r="F40" s="255">
        <v>5</v>
      </c>
      <c r="G40" s="255">
        <v>6</v>
      </c>
      <c r="H40" s="255">
        <v>5</v>
      </c>
      <c r="I40" s="255">
        <v>5</v>
      </c>
      <c r="J40" s="255">
        <v>5</v>
      </c>
      <c r="K40" s="255">
        <v>5</v>
      </c>
      <c r="L40" s="255">
        <v>5</v>
      </c>
      <c r="M40" s="254">
        <f t="shared" si="0"/>
        <v>5.1111111111111107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5</v>
      </c>
      <c r="E41" s="255">
        <v>5</v>
      </c>
      <c r="F41" s="255">
        <v>5</v>
      </c>
      <c r="G41" s="255">
        <v>6</v>
      </c>
      <c r="H41" s="255">
        <v>6</v>
      </c>
      <c r="I41" s="255">
        <v>5</v>
      </c>
      <c r="J41" s="255">
        <v>5</v>
      </c>
      <c r="K41" s="255">
        <v>5</v>
      </c>
      <c r="L41" s="255">
        <v>5</v>
      </c>
      <c r="M41" s="254">
        <f t="shared" si="0"/>
        <v>5.2222222222222223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6</v>
      </c>
      <c r="E42" s="113">
        <v>7</v>
      </c>
      <c r="F42" s="113">
        <v>6</v>
      </c>
      <c r="G42" s="113">
        <v>6</v>
      </c>
      <c r="H42" s="113">
        <v>5</v>
      </c>
      <c r="I42" s="113">
        <v>5</v>
      </c>
      <c r="J42" s="113">
        <v>6</v>
      </c>
      <c r="K42" s="113">
        <v>5</v>
      </c>
      <c r="L42" s="113">
        <v>6</v>
      </c>
      <c r="M42" s="254">
        <f t="shared" si="0"/>
        <v>5.7777777777777777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5</v>
      </c>
      <c r="E43" s="108">
        <v>5</v>
      </c>
      <c r="F43" s="108">
        <v>6</v>
      </c>
      <c r="G43" s="108">
        <v>6</v>
      </c>
      <c r="H43" s="108">
        <v>6</v>
      </c>
      <c r="I43" s="108">
        <v>6</v>
      </c>
      <c r="J43" s="108">
        <v>5</v>
      </c>
      <c r="K43" s="108">
        <v>5</v>
      </c>
      <c r="L43" s="108">
        <v>4</v>
      </c>
      <c r="M43" s="254">
        <f t="shared" si="0"/>
        <v>5.333333333333333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5</v>
      </c>
      <c r="E44" s="255">
        <v>4</v>
      </c>
      <c r="F44" s="255">
        <v>4</v>
      </c>
      <c r="G44" s="255">
        <v>5</v>
      </c>
      <c r="H44" s="255">
        <v>5</v>
      </c>
      <c r="I44" s="255">
        <v>5</v>
      </c>
      <c r="J44" s="255">
        <v>4</v>
      </c>
      <c r="K44" s="255">
        <v>5</v>
      </c>
      <c r="L44" s="255">
        <v>6</v>
      </c>
      <c r="M44" s="254">
        <f t="shared" si="0"/>
        <v>4.7777777777777777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5</v>
      </c>
      <c r="E45" s="255">
        <v>5</v>
      </c>
      <c r="F45" s="255">
        <v>6</v>
      </c>
      <c r="G45" s="255">
        <v>6</v>
      </c>
      <c r="H45" s="255">
        <v>5</v>
      </c>
      <c r="I45" s="255">
        <v>5</v>
      </c>
      <c r="J45" s="255">
        <v>6</v>
      </c>
      <c r="K45" s="255">
        <v>6</v>
      </c>
      <c r="L45" s="255">
        <v>5</v>
      </c>
      <c r="M45" s="254">
        <f t="shared" si="0"/>
        <v>5.4444444444444446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5</v>
      </c>
      <c r="E46" s="113">
        <v>5</v>
      </c>
      <c r="F46" s="113">
        <v>5</v>
      </c>
      <c r="G46" s="113">
        <v>4</v>
      </c>
      <c r="H46" s="113">
        <v>5</v>
      </c>
      <c r="I46" s="113">
        <v>5</v>
      </c>
      <c r="J46" s="113">
        <v>6</v>
      </c>
      <c r="K46" s="113">
        <v>6</v>
      </c>
      <c r="L46" s="113">
        <v>6</v>
      </c>
      <c r="M46" s="254">
        <f t="shared" si="0"/>
        <v>5.2222222222222223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6</v>
      </c>
      <c r="E47" s="108">
        <v>6</v>
      </c>
      <c r="F47" s="108">
        <v>5</v>
      </c>
      <c r="G47" s="108">
        <v>4</v>
      </c>
      <c r="H47" s="108">
        <v>4</v>
      </c>
      <c r="I47" s="108">
        <v>5</v>
      </c>
      <c r="J47" s="108">
        <v>5</v>
      </c>
      <c r="K47" s="108">
        <v>4</v>
      </c>
      <c r="L47" s="108">
        <v>5</v>
      </c>
      <c r="M47" s="254">
        <f t="shared" si="0"/>
        <v>4.8888888888888893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4</v>
      </c>
      <c r="E48" s="255">
        <v>4</v>
      </c>
      <c r="F48" s="255">
        <v>5</v>
      </c>
      <c r="G48" s="255">
        <v>5</v>
      </c>
      <c r="H48" s="255">
        <v>5</v>
      </c>
      <c r="I48" s="255">
        <v>5</v>
      </c>
      <c r="J48" s="255">
        <v>4</v>
      </c>
      <c r="K48" s="255">
        <v>4</v>
      </c>
      <c r="L48" s="255">
        <v>5</v>
      </c>
      <c r="M48" s="254">
        <f t="shared" si="0"/>
        <v>4.5555555555555554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5</v>
      </c>
      <c r="E49" s="255">
        <v>5</v>
      </c>
      <c r="F49" s="255">
        <v>5</v>
      </c>
      <c r="G49" s="255">
        <v>6</v>
      </c>
      <c r="H49" s="255">
        <v>5</v>
      </c>
      <c r="I49" s="255">
        <v>5</v>
      </c>
      <c r="J49" s="255">
        <v>4</v>
      </c>
      <c r="K49" s="255">
        <v>4</v>
      </c>
      <c r="L49" s="255">
        <v>5</v>
      </c>
      <c r="M49" s="254">
        <f t="shared" si="0"/>
        <v>4.8888888888888893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4</v>
      </c>
      <c r="E50" s="113">
        <v>5</v>
      </c>
      <c r="F50" s="113">
        <v>5</v>
      </c>
      <c r="G50" s="113">
        <v>5</v>
      </c>
      <c r="H50" s="113">
        <v>7</v>
      </c>
      <c r="I50" s="113">
        <v>7</v>
      </c>
      <c r="J50" s="113">
        <v>5</v>
      </c>
      <c r="K50" s="113">
        <v>6</v>
      </c>
      <c r="L50" s="113">
        <v>5</v>
      </c>
      <c r="M50" s="254">
        <f t="shared" si="0"/>
        <v>5.4444444444444446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4</v>
      </c>
      <c r="E51" s="108">
        <v>5</v>
      </c>
      <c r="F51" s="108">
        <v>6</v>
      </c>
      <c r="G51" s="108">
        <v>6</v>
      </c>
      <c r="H51" s="108">
        <v>5</v>
      </c>
      <c r="I51" s="108">
        <v>5</v>
      </c>
      <c r="J51" s="108">
        <v>6</v>
      </c>
      <c r="K51" s="108">
        <v>6</v>
      </c>
      <c r="L51" s="108">
        <v>5</v>
      </c>
      <c r="M51" s="254">
        <f t="shared" si="0"/>
        <v>5.333333333333333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5</v>
      </c>
      <c r="E52" s="255">
        <v>5</v>
      </c>
      <c r="F52" s="255">
        <v>5</v>
      </c>
      <c r="G52" s="255">
        <v>5</v>
      </c>
      <c r="H52" s="255">
        <v>5</v>
      </c>
      <c r="I52" s="255">
        <v>5</v>
      </c>
      <c r="J52" s="255">
        <v>5</v>
      </c>
      <c r="K52" s="255">
        <v>5</v>
      </c>
      <c r="L52" s="255">
        <v>5</v>
      </c>
      <c r="M52" s="254">
        <f t="shared" si="0"/>
        <v>5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5</v>
      </c>
      <c r="E53" s="255">
        <v>5</v>
      </c>
      <c r="F53" s="255">
        <v>5</v>
      </c>
      <c r="G53" s="255">
        <v>6</v>
      </c>
      <c r="H53" s="255">
        <v>5</v>
      </c>
      <c r="I53" s="255">
        <v>6</v>
      </c>
      <c r="J53" s="255">
        <v>5</v>
      </c>
      <c r="K53" s="255">
        <v>5</v>
      </c>
      <c r="L53" s="255">
        <v>5</v>
      </c>
      <c r="M53" s="254">
        <f t="shared" si="0"/>
        <v>5.2222222222222223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5</v>
      </c>
      <c r="E54" s="113">
        <v>4</v>
      </c>
      <c r="F54" s="113">
        <v>5</v>
      </c>
      <c r="G54" s="113">
        <v>5</v>
      </c>
      <c r="H54" s="113">
        <v>6</v>
      </c>
      <c r="I54" s="113">
        <v>5</v>
      </c>
      <c r="J54" s="113">
        <v>5</v>
      </c>
      <c r="K54" s="113">
        <v>4</v>
      </c>
      <c r="L54" s="113"/>
      <c r="M54" s="254">
        <f t="shared" si="0"/>
        <v>4.875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B8BC-4B95-430E-B9F4-EABA189B62BF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44427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5</v>
      </c>
      <c r="E7" s="108">
        <v>6</v>
      </c>
      <c r="F7" s="108">
        <v>6</v>
      </c>
      <c r="G7" s="108">
        <v>7</v>
      </c>
      <c r="H7" s="108">
        <v>6</v>
      </c>
      <c r="I7" s="108">
        <v>6</v>
      </c>
      <c r="J7" s="108">
        <v>6</v>
      </c>
      <c r="K7" s="108">
        <v>7</v>
      </c>
      <c r="L7" s="108">
        <v>6</v>
      </c>
      <c r="M7" s="254">
        <f t="shared" ref="M7:M54" si="0">AVERAGE(D7:L7)</f>
        <v>6.1111111111111107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6</v>
      </c>
      <c r="E8" s="255">
        <v>6</v>
      </c>
      <c r="F8" s="255">
        <v>6</v>
      </c>
      <c r="G8" s="255">
        <v>7</v>
      </c>
      <c r="H8" s="255">
        <v>5</v>
      </c>
      <c r="I8" s="255">
        <v>6</v>
      </c>
      <c r="J8" s="255">
        <v>5</v>
      </c>
      <c r="K8" s="255">
        <v>6</v>
      </c>
      <c r="L8" s="255">
        <v>6</v>
      </c>
      <c r="M8" s="254">
        <f t="shared" si="0"/>
        <v>5.8888888888888893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5</v>
      </c>
      <c r="E9" s="255">
        <v>4</v>
      </c>
      <c r="F9" s="255">
        <v>4</v>
      </c>
      <c r="G9" s="255">
        <v>5</v>
      </c>
      <c r="H9" s="255">
        <v>5</v>
      </c>
      <c r="I9" s="255">
        <v>4</v>
      </c>
      <c r="J9" s="255">
        <v>4</v>
      </c>
      <c r="K9" s="255">
        <v>4</v>
      </c>
      <c r="L9" s="255">
        <v>5</v>
      </c>
      <c r="M9" s="254">
        <f t="shared" si="0"/>
        <v>4.4444444444444446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4</v>
      </c>
      <c r="E10" s="113">
        <v>5</v>
      </c>
      <c r="F10" s="113">
        <v>5</v>
      </c>
      <c r="G10" s="113">
        <v>6</v>
      </c>
      <c r="H10" s="113">
        <v>5</v>
      </c>
      <c r="I10" s="113">
        <v>5</v>
      </c>
      <c r="J10" s="113">
        <v>5</v>
      </c>
      <c r="K10" s="113">
        <v>6</v>
      </c>
      <c r="L10" s="113">
        <v>5</v>
      </c>
      <c r="M10" s="254">
        <f t="shared" si="0"/>
        <v>5.1111111111111107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4</v>
      </c>
      <c r="E11" s="108">
        <v>4</v>
      </c>
      <c r="F11" s="108">
        <v>4</v>
      </c>
      <c r="G11" s="108">
        <v>4</v>
      </c>
      <c r="H11" s="108">
        <v>4</v>
      </c>
      <c r="I11" s="108">
        <v>5</v>
      </c>
      <c r="J11" s="108">
        <v>5</v>
      </c>
      <c r="K11" s="108">
        <v>4</v>
      </c>
      <c r="L11" s="108">
        <v>5</v>
      </c>
      <c r="M11" s="254">
        <f t="shared" si="0"/>
        <v>4.333333333333333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5</v>
      </c>
      <c r="E12" s="255">
        <v>5</v>
      </c>
      <c r="F12" s="255">
        <v>5</v>
      </c>
      <c r="G12" s="255">
        <v>4</v>
      </c>
      <c r="H12" s="255">
        <v>4</v>
      </c>
      <c r="I12" s="255">
        <v>5</v>
      </c>
      <c r="J12" s="255">
        <v>4</v>
      </c>
      <c r="K12" s="255">
        <v>5</v>
      </c>
      <c r="L12" s="255">
        <v>5</v>
      </c>
      <c r="M12" s="254">
        <f t="shared" si="0"/>
        <v>4.666666666666667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5</v>
      </c>
      <c r="E13" s="255">
        <v>5</v>
      </c>
      <c r="F13" s="255">
        <v>5</v>
      </c>
      <c r="G13" s="255">
        <v>5</v>
      </c>
      <c r="H13" s="255">
        <v>5</v>
      </c>
      <c r="I13" s="255">
        <v>5</v>
      </c>
      <c r="J13" s="255">
        <v>4</v>
      </c>
      <c r="K13" s="255">
        <v>5</v>
      </c>
      <c r="L13" s="255">
        <v>5</v>
      </c>
      <c r="M13" s="254">
        <f t="shared" si="0"/>
        <v>4.8888888888888893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6</v>
      </c>
      <c r="E14" s="113">
        <v>6</v>
      </c>
      <c r="F14" s="113">
        <v>5</v>
      </c>
      <c r="G14" s="113">
        <v>5</v>
      </c>
      <c r="H14" s="113">
        <v>5</v>
      </c>
      <c r="I14" s="113">
        <v>6</v>
      </c>
      <c r="J14" s="113">
        <v>6</v>
      </c>
      <c r="K14" s="113">
        <v>5</v>
      </c>
      <c r="L14" s="113">
        <v>5</v>
      </c>
      <c r="M14" s="254">
        <f t="shared" si="0"/>
        <v>5.4444444444444446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5</v>
      </c>
      <c r="E15" s="108">
        <v>5</v>
      </c>
      <c r="F15" s="108">
        <v>5</v>
      </c>
      <c r="G15" s="108">
        <v>5</v>
      </c>
      <c r="H15" s="108">
        <v>5</v>
      </c>
      <c r="I15" s="108">
        <v>6</v>
      </c>
      <c r="J15" s="108">
        <v>6</v>
      </c>
      <c r="K15" s="108">
        <v>5</v>
      </c>
      <c r="L15" s="108">
        <v>5</v>
      </c>
      <c r="M15" s="254">
        <f t="shared" si="0"/>
        <v>5.2222222222222223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5</v>
      </c>
      <c r="E16" s="255">
        <v>5</v>
      </c>
      <c r="F16" s="255">
        <v>5</v>
      </c>
      <c r="G16" s="255">
        <v>5</v>
      </c>
      <c r="H16" s="255">
        <v>5</v>
      </c>
      <c r="I16" s="255">
        <v>5</v>
      </c>
      <c r="J16" s="255">
        <v>5</v>
      </c>
      <c r="K16" s="255">
        <v>5</v>
      </c>
      <c r="L16" s="255">
        <v>5</v>
      </c>
      <c r="M16" s="254">
        <f t="shared" si="0"/>
        <v>5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5</v>
      </c>
      <c r="E17" s="255">
        <v>5</v>
      </c>
      <c r="F17" s="255">
        <v>4</v>
      </c>
      <c r="G17" s="255">
        <v>4</v>
      </c>
      <c r="H17" s="255">
        <v>5</v>
      </c>
      <c r="I17" s="255">
        <v>5</v>
      </c>
      <c r="J17" s="255">
        <v>5</v>
      </c>
      <c r="K17" s="255">
        <v>4</v>
      </c>
      <c r="L17" s="255">
        <v>5</v>
      </c>
      <c r="M17" s="254">
        <f t="shared" si="0"/>
        <v>4.666666666666667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3</v>
      </c>
      <c r="E18" s="113">
        <v>5</v>
      </c>
      <c r="F18" s="113">
        <v>5</v>
      </c>
      <c r="G18" s="113">
        <v>6</v>
      </c>
      <c r="H18" s="113">
        <v>6</v>
      </c>
      <c r="I18" s="113">
        <v>5</v>
      </c>
      <c r="J18" s="113">
        <v>4</v>
      </c>
      <c r="K18" s="113">
        <v>5</v>
      </c>
      <c r="L18" s="113">
        <v>5</v>
      </c>
      <c r="M18" s="254">
        <f t="shared" si="0"/>
        <v>4.8888888888888893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4</v>
      </c>
      <c r="E19" s="108">
        <v>3</v>
      </c>
      <c r="F19" s="108">
        <v>4</v>
      </c>
      <c r="G19" s="108">
        <v>3</v>
      </c>
      <c r="H19" s="108">
        <v>3</v>
      </c>
      <c r="I19" s="108">
        <v>3</v>
      </c>
      <c r="J19" s="108">
        <v>3</v>
      </c>
      <c r="K19" s="108">
        <v>4</v>
      </c>
      <c r="L19" s="108">
        <v>3</v>
      </c>
      <c r="M19" s="254">
        <f t="shared" si="0"/>
        <v>3.3333333333333335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4</v>
      </c>
      <c r="E20" s="255">
        <v>4</v>
      </c>
      <c r="F20" s="255">
        <v>4</v>
      </c>
      <c r="G20" s="255">
        <v>5</v>
      </c>
      <c r="H20" s="255">
        <v>4</v>
      </c>
      <c r="I20" s="255">
        <v>4</v>
      </c>
      <c r="J20" s="255">
        <v>4</v>
      </c>
      <c r="K20" s="255">
        <v>4</v>
      </c>
      <c r="L20" s="255">
        <v>4</v>
      </c>
      <c r="M20" s="254">
        <f t="shared" si="0"/>
        <v>4.1111111111111107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5</v>
      </c>
      <c r="E21" s="255">
        <v>5</v>
      </c>
      <c r="F21" s="255">
        <v>4</v>
      </c>
      <c r="G21" s="255">
        <v>5</v>
      </c>
      <c r="H21" s="255">
        <v>5</v>
      </c>
      <c r="I21" s="255">
        <v>5</v>
      </c>
      <c r="J21" s="255">
        <v>5</v>
      </c>
      <c r="K21" s="255">
        <v>5</v>
      </c>
      <c r="L21" s="255">
        <v>5</v>
      </c>
      <c r="M21" s="254">
        <f t="shared" si="0"/>
        <v>4.8888888888888893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5</v>
      </c>
      <c r="E22" s="113">
        <v>5</v>
      </c>
      <c r="F22" s="113">
        <v>6</v>
      </c>
      <c r="G22" s="113">
        <v>5</v>
      </c>
      <c r="H22" s="113">
        <v>5</v>
      </c>
      <c r="I22" s="113">
        <v>5</v>
      </c>
      <c r="J22" s="113">
        <v>6</v>
      </c>
      <c r="K22" s="113">
        <v>5</v>
      </c>
      <c r="L22" s="113">
        <v>5</v>
      </c>
      <c r="M22" s="254">
        <f t="shared" si="0"/>
        <v>5.2222222222222223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4</v>
      </c>
      <c r="E23" s="108">
        <v>4</v>
      </c>
      <c r="F23" s="108">
        <v>6</v>
      </c>
      <c r="G23" s="108">
        <v>5</v>
      </c>
      <c r="H23" s="108">
        <v>4</v>
      </c>
      <c r="I23" s="108">
        <v>4</v>
      </c>
      <c r="J23" s="108">
        <v>4</v>
      </c>
      <c r="K23" s="108">
        <v>3</v>
      </c>
      <c r="L23" s="108">
        <v>4</v>
      </c>
      <c r="M23" s="254">
        <f t="shared" si="0"/>
        <v>4.2222222222222223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5</v>
      </c>
      <c r="E24" s="255">
        <v>4</v>
      </c>
      <c r="F24" s="255">
        <v>4</v>
      </c>
      <c r="G24" s="255">
        <v>5</v>
      </c>
      <c r="H24" s="255">
        <v>4</v>
      </c>
      <c r="I24" s="255">
        <v>4</v>
      </c>
      <c r="J24" s="255">
        <v>6</v>
      </c>
      <c r="K24" s="255">
        <v>4</v>
      </c>
      <c r="L24" s="255">
        <v>5</v>
      </c>
      <c r="M24" s="254">
        <f t="shared" si="0"/>
        <v>4.5555555555555554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5</v>
      </c>
      <c r="E25" s="255">
        <v>5</v>
      </c>
      <c r="F25" s="255">
        <v>4</v>
      </c>
      <c r="G25" s="255">
        <v>4</v>
      </c>
      <c r="H25" s="255">
        <v>6</v>
      </c>
      <c r="I25" s="255">
        <v>5</v>
      </c>
      <c r="J25" s="255">
        <v>5</v>
      </c>
      <c r="K25" s="255">
        <v>5</v>
      </c>
      <c r="L25" s="255">
        <v>5</v>
      </c>
      <c r="M25" s="254">
        <f t="shared" si="0"/>
        <v>4.8888888888888893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4</v>
      </c>
      <c r="E26" s="113">
        <v>4</v>
      </c>
      <c r="F26" s="113">
        <v>5</v>
      </c>
      <c r="G26" s="113">
        <v>5</v>
      </c>
      <c r="H26" s="113">
        <v>5</v>
      </c>
      <c r="I26" s="113">
        <v>4</v>
      </c>
      <c r="J26" s="113">
        <v>5</v>
      </c>
      <c r="K26" s="113">
        <v>6</v>
      </c>
      <c r="L26" s="113">
        <v>6</v>
      </c>
      <c r="M26" s="254">
        <f t="shared" si="0"/>
        <v>4.8888888888888893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5</v>
      </c>
      <c r="E27" s="108">
        <v>6</v>
      </c>
      <c r="F27" s="108">
        <v>7</v>
      </c>
      <c r="G27" s="108">
        <v>6</v>
      </c>
      <c r="H27" s="108">
        <v>6</v>
      </c>
      <c r="I27" s="108">
        <v>5</v>
      </c>
      <c r="J27" s="108">
        <v>6</v>
      </c>
      <c r="K27" s="108">
        <v>5</v>
      </c>
      <c r="L27" s="108">
        <v>5</v>
      </c>
      <c r="M27" s="254">
        <f t="shared" si="0"/>
        <v>5.666666666666667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4</v>
      </c>
      <c r="E28" s="255">
        <v>4</v>
      </c>
      <c r="F28" s="255">
        <v>4</v>
      </c>
      <c r="G28" s="255">
        <v>5</v>
      </c>
      <c r="H28" s="255">
        <v>5</v>
      </c>
      <c r="I28" s="255">
        <v>6</v>
      </c>
      <c r="J28" s="255">
        <v>5</v>
      </c>
      <c r="K28" s="255">
        <v>5</v>
      </c>
      <c r="L28" s="255">
        <v>5</v>
      </c>
      <c r="M28" s="254">
        <f t="shared" si="0"/>
        <v>4.7777777777777777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4</v>
      </c>
      <c r="E29" s="255">
        <v>3</v>
      </c>
      <c r="F29" s="255">
        <v>3</v>
      </c>
      <c r="G29" s="255">
        <v>5</v>
      </c>
      <c r="H29" s="255">
        <v>4</v>
      </c>
      <c r="I29" s="255">
        <v>4</v>
      </c>
      <c r="J29" s="255">
        <v>5</v>
      </c>
      <c r="K29" s="255">
        <v>5</v>
      </c>
      <c r="L29" s="255">
        <v>4</v>
      </c>
      <c r="M29" s="254">
        <f t="shared" si="0"/>
        <v>4.1111111111111107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5</v>
      </c>
      <c r="E30" s="113">
        <v>5</v>
      </c>
      <c r="F30" s="113">
        <v>6</v>
      </c>
      <c r="G30" s="113">
        <v>5</v>
      </c>
      <c r="H30" s="113">
        <v>6</v>
      </c>
      <c r="I30" s="113">
        <v>5</v>
      </c>
      <c r="J30" s="113">
        <v>6</v>
      </c>
      <c r="K30" s="113">
        <v>4</v>
      </c>
      <c r="L30" s="113">
        <v>5</v>
      </c>
      <c r="M30" s="254">
        <f t="shared" si="0"/>
        <v>5.2222222222222223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7</v>
      </c>
      <c r="E31" s="108">
        <v>7</v>
      </c>
      <c r="F31" s="108">
        <v>6</v>
      </c>
      <c r="G31" s="108">
        <v>5</v>
      </c>
      <c r="H31" s="108">
        <v>5</v>
      </c>
      <c r="I31" s="108">
        <v>5</v>
      </c>
      <c r="J31" s="108">
        <v>6</v>
      </c>
      <c r="K31" s="108">
        <v>5</v>
      </c>
      <c r="L31" s="108">
        <v>5</v>
      </c>
      <c r="M31" s="254">
        <f t="shared" si="0"/>
        <v>5.666666666666667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5</v>
      </c>
      <c r="E32" s="255">
        <v>5</v>
      </c>
      <c r="F32" s="255">
        <v>5</v>
      </c>
      <c r="G32" s="255">
        <v>4</v>
      </c>
      <c r="H32" s="255">
        <v>5</v>
      </c>
      <c r="I32" s="255">
        <v>6</v>
      </c>
      <c r="J32" s="255">
        <v>6</v>
      </c>
      <c r="K32" s="255">
        <v>7</v>
      </c>
      <c r="L32" s="255">
        <v>4</v>
      </c>
      <c r="M32" s="254">
        <f t="shared" si="0"/>
        <v>5.2222222222222223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4</v>
      </c>
      <c r="E33" s="255">
        <v>5</v>
      </c>
      <c r="F33" s="255">
        <v>4</v>
      </c>
      <c r="G33" s="255">
        <v>6</v>
      </c>
      <c r="H33" s="255">
        <v>5</v>
      </c>
      <c r="I33" s="255">
        <v>5</v>
      </c>
      <c r="J33" s="255">
        <v>3</v>
      </c>
      <c r="K33" s="255">
        <v>5</v>
      </c>
      <c r="L33" s="255">
        <v>6</v>
      </c>
      <c r="M33" s="254">
        <f t="shared" si="0"/>
        <v>4.7777777777777777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6</v>
      </c>
      <c r="E34" s="113">
        <v>5</v>
      </c>
      <c r="F34" s="113">
        <v>4</v>
      </c>
      <c r="G34" s="113">
        <v>4</v>
      </c>
      <c r="H34" s="113">
        <v>4</v>
      </c>
      <c r="I34" s="113">
        <v>5</v>
      </c>
      <c r="J34" s="113">
        <v>4</v>
      </c>
      <c r="K34" s="113">
        <v>5</v>
      </c>
      <c r="L34" s="113">
        <v>3</v>
      </c>
      <c r="M34" s="254">
        <f t="shared" si="0"/>
        <v>4.4444444444444446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4</v>
      </c>
      <c r="E35" s="108">
        <v>3</v>
      </c>
      <c r="F35" s="108">
        <v>5</v>
      </c>
      <c r="G35" s="108">
        <v>5</v>
      </c>
      <c r="H35" s="108">
        <v>7</v>
      </c>
      <c r="I35" s="108">
        <v>5</v>
      </c>
      <c r="J35" s="108">
        <v>5</v>
      </c>
      <c r="K35" s="108">
        <v>4</v>
      </c>
      <c r="L35" s="108">
        <v>4</v>
      </c>
      <c r="M35" s="254">
        <f t="shared" si="0"/>
        <v>4.666666666666667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6</v>
      </c>
      <c r="E36" s="255">
        <v>6</v>
      </c>
      <c r="F36" s="255">
        <v>4</v>
      </c>
      <c r="G36" s="255">
        <v>5</v>
      </c>
      <c r="H36" s="255">
        <v>5</v>
      </c>
      <c r="I36" s="255">
        <v>4</v>
      </c>
      <c r="J36" s="255">
        <v>4</v>
      </c>
      <c r="K36" s="255">
        <v>5</v>
      </c>
      <c r="L36" s="255">
        <v>4</v>
      </c>
      <c r="M36" s="254">
        <f t="shared" si="0"/>
        <v>4.7777777777777777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4</v>
      </c>
      <c r="E37" s="255">
        <v>5</v>
      </c>
      <c r="F37" s="255">
        <v>5</v>
      </c>
      <c r="G37" s="255">
        <v>4</v>
      </c>
      <c r="H37" s="255">
        <v>5</v>
      </c>
      <c r="I37" s="255">
        <v>5</v>
      </c>
      <c r="J37" s="255">
        <v>5</v>
      </c>
      <c r="K37" s="255">
        <v>5</v>
      </c>
      <c r="L37" s="255">
        <v>5</v>
      </c>
      <c r="M37" s="254">
        <f t="shared" si="0"/>
        <v>4.7777777777777777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5</v>
      </c>
      <c r="E38" s="113">
        <v>5</v>
      </c>
      <c r="F38" s="113">
        <v>5</v>
      </c>
      <c r="G38" s="113">
        <v>5</v>
      </c>
      <c r="H38" s="113">
        <v>5</v>
      </c>
      <c r="I38" s="113">
        <v>5</v>
      </c>
      <c r="J38" s="113">
        <v>4</v>
      </c>
      <c r="K38" s="113">
        <v>5</v>
      </c>
      <c r="L38" s="113">
        <v>4</v>
      </c>
      <c r="M38" s="254">
        <f t="shared" si="0"/>
        <v>4.7777777777777777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4</v>
      </c>
      <c r="E39" s="108">
        <v>5</v>
      </c>
      <c r="F39" s="108">
        <v>4</v>
      </c>
      <c r="G39" s="108">
        <v>4</v>
      </c>
      <c r="H39" s="108">
        <v>5</v>
      </c>
      <c r="I39" s="108">
        <v>4</v>
      </c>
      <c r="J39" s="108">
        <v>5</v>
      </c>
      <c r="K39" s="108">
        <v>5</v>
      </c>
      <c r="L39" s="108">
        <v>5</v>
      </c>
      <c r="M39" s="254">
        <f t="shared" si="0"/>
        <v>4.5555555555555554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5</v>
      </c>
      <c r="E40" s="255">
        <v>6</v>
      </c>
      <c r="F40" s="255">
        <v>7</v>
      </c>
      <c r="G40" s="255">
        <v>5</v>
      </c>
      <c r="H40" s="255">
        <v>4</v>
      </c>
      <c r="I40" s="255">
        <v>5</v>
      </c>
      <c r="J40" s="255">
        <v>5</v>
      </c>
      <c r="K40" s="255">
        <v>5</v>
      </c>
      <c r="L40" s="255">
        <v>5</v>
      </c>
      <c r="M40" s="254">
        <f t="shared" si="0"/>
        <v>5.2222222222222223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6</v>
      </c>
      <c r="E41" s="255">
        <v>5</v>
      </c>
      <c r="F41" s="255">
        <v>5</v>
      </c>
      <c r="G41" s="255">
        <v>5</v>
      </c>
      <c r="H41" s="255">
        <v>6</v>
      </c>
      <c r="I41" s="255">
        <v>6</v>
      </c>
      <c r="J41" s="255">
        <v>4</v>
      </c>
      <c r="K41" s="255">
        <v>4</v>
      </c>
      <c r="L41" s="255">
        <v>5</v>
      </c>
      <c r="M41" s="254">
        <f t="shared" si="0"/>
        <v>5.1111111111111107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6</v>
      </c>
      <c r="E42" s="113">
        <v>6</v>
      </c>
      <c r="F42" s="113">
        <v>6</v>
      </c>
      <c r="G42" s="113">
        <v>5</v>
      </c>
      <c r="H42" s="113">
        <v>5</v>
      </c>
      <c r="I42" s="113">
        <v>5</v>
      </c>
      <c r="J42" s="113">
        <v>6</v>
      </c>
      <c r="K42" s="113">
        <v>5</v>
      </c>
      <c r="L42" s="113">
        <v>5</v>
      </c>
      <c r="M42" s="254">
        <f t="shared" si="0"/>
        <v>5.4444444444444446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5</v>
      </c>
      <c r="E43" s="108">
        <v>5</v>
      </c>
      <c r="F43" s="108">
        <v>6</v>
      </c>
      <c r="G43" s="108">
        <v>6</v>
      </c>
      <c r="H43" s="108">
        <v>5</v>
      </c>
      <c r="I43" s="108">
        <v>4</v>
      </c>
      <c r="J43" s="108">
        <v>4</v>
      </c>
      <c r="K43" s="108">
        <v>5</v>
      </c>
      <c r="L43" s="108">
        <v>5</v>
      </c>
      <c r="M43" s="254">
        <f t="shared" si="0"/>
        <v>5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3</v>
      </c>
      <c r="E44" s="255">
        <v>4</v>
      </c>
      <c r="F44" s="255">
        <v>4</v>
      </c>
      <c r="G44" s="255">
        <v>5</v>
      </c>
      <c r="H44" s="255">
        <v>4</v>
      </c>
      <c r="I44" s="255">
        <v>4</v>
      </c>
      <c r="J44" s="255">
        <v>5</v>
      </c>
      <c r="K44" s="255">
        <v>4</v>
      </c>
      <c r="L44" s="255">
        <v>5</v>
      </c>
      <c r="M44" s="254">
        <f t="shared" si="0"/>
        <v>4.2222222222222223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5</v>
      </c>
      <c r="E45" s="255">
        <v>7</v>
      </c>
      <c r="F45" s="255">
        <v>6</v>
      </c>
      <c r="G45" s="255">
        <v>7</v>
      </c>
      <c r="H45" s="255">
        <v>5</v>
      </c>
      <c r="I45" s="255">
        <v>4</v>
      </c>
      <c r="J45" s="255">
        <v>5</v>
      </c>
      <c r="K45" s="255">
        <v>4</v>
      </c>
      <c r="L45" s="255">
        <v>5</v>
      </c>
      <c r="M45" s="254">
        <f t="shared" si="0"/>
        <v>5.333333333333333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6</v>
      </c>
      <c r="E46" s="113">
        <v>5</v>
      </c>
      <c r="F46" s="113">
        <v>5</v>
      </c>
      <c r="G46" s="113">
        <v>6</v>
      </c>
      <c r="H46" s="113">
        <v>4</v>
      </c>
      <c r="I46" s="113">
        <v>6</v>
      </c>
      <c r="J46" s="113">
        <v>5</v>
      </c>
      <c r="K46" s="113">
        <v>6</v>
      </c>
      <c r="L46" s="113">
        <v>5</v>
      </c>
      <c r="M46" s="254">
        <f t="shared" si="0"/>
        <v>5.333333333333333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7</v>
      </c>
      <c r="E47" s="108">
        <v>5</v>
      </c>
      <c r="F47" s="108">
        <v>5</v>
      </c>
      <c r="G47" s="108">
        <v>6</v>
      </c>
      <c r="H47" s="108">
        <v>5</v>
      </c>
      <c r="I47" s="108">
        <v>4</v>
      </c>
      <c r="J47" s="108">
        <v>5</v>
      </c>
      <c r="K47" s="108">
        <v>4</v>
      </c>
      <c r="L47" s="108">
        <v>5</v>
      </c>
      <c r="M47" s="254">
        <f t="shared" si="0"/>
        <v>5.1111111111111107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4</v>
      </c>
      <c r="E48" s="255">
        <v>5</v>
      </c>
      <c r="F48" s="255">
        <v>4</v>
      </c>
      <c r="G48" s="255">
        <v>5</v>
      </c>
      <c r="H48" s="255">
        <v>4</v>
      </c>
      <c r="I48" s="255">
        <v>5</v>
      </c>
      <c r="J48" s="255">
        <v>5</v>
      </c>
      <c r="K48" s="255">
        <v>4</v>
      </c>
      <c r="L48" s="255">
        <v>5</v>
      </c>
      <c r="M48" s="254">
        <f t="shared" si="0"/>
        <v>4.5555555555555554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5</v>
      </c>
      <c r="E49" s="255">
        <v>5</v>
      </c>
      <c r="F49" s="255">
        <v>4</v>
      </c>
      <c r="G49" s="255">
        <v>4</v>
      </c>
      <c r="H49" s="255">
        <v>5</v>
      </c>
      <c r="I49" s="255">
        <v>4</v>
      </c>
      <c r="J49" s="255">
        <v>4</v>
      </c>
      <c r="K49" s="255">
        <v>5</v>
      </c>
      <c r="L49" s="255">
        <v>5</v>
      </c>
      <c r="M49" s="254">
        <f t="shared" si="0"/>
        <v>4.5555555555555554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5</v>
      </c>
      <c r="E50" s="113">
        <v>5</v>
      </c>
      <c r="F50" s="113">
        <v>5</v>
      </c>
      <c r="G50" s="113">
        <v>5</v>
      </c>
      <c r="H50" s="113">
        <v>5</v>
      </c>
      <c r="I50" s="113">
        <v>5</v>
      </c>
      <c r="J50" s="113">
        <v>5</v>
      </c>
      <c r="K50" s="113">
        <v>5</v>
      </c>
      <c r="L50" s="113">
        <v>5</v>
      </c>
      <c r="M50" s="254">
        <f t="shared" si="0"/>
        <v>5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5</v>
      </c>
      <c r="E51" s="108">
        <v>5</v>
      </c>
      <c r="F51" s="108">
        <v>6</v>
      </c>
      <c r="G51" s="108">
        <v>5</v>
      </c>
      <c r="H51" s="108">
        <v>5</v>
      </c>
      <c r="I51" s="108">
        <v>5</v>
      </c>
      <c r="J51" s="108">
        <v>5</v>
      </c>
      <c r="K51" s="108">
        <v>5</v>
      </c>
      <c r="L51" s="108">
        <v>5</v>
      </c>
      <c r="M51" s="254">
        <f t="shared" si="0"/>
        <v>5.1111111111111107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4</v>
      </c>
      <c r="E52" s="255">
        <v>4</v>
      </c>
      <c r="F52" s="255">
        <v>5</v>
      </c>
      <c r="G52" s="255">
        <v>4</v>
      </c>
      <c r="H52" s="255">
        <v>4</v>
      </c>
      <c r="I52" s="255">
        <v>4</v>
      </c>
      <c r="J52" s="255">
        <v>3</v>
      </c>
      <c r="K52" s="255">
        <v>4</v>
      </c>
      <c r="L52" s="255">
        <v>4</v>
      </c>
      <c r="M52" s="254">
        <f t="shared" si="0"/>
        <v>4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5</v>
      </c>
      <c r="E53" s="255">
        <v>5</v>
      </c>
      <c r="F53" s="255">
        <v>5</v>
      </c>
      <c r="G53" s="255">
        <v>4</v>
      </c>
      <c r="H53" s="255">
        <v>5</v>
      </c>
      <c r="I53" s="255">
        <v>5</v>
      </c>
      <c r="J53" s="255">
        <v>6</v>
      </c>
      <c r="K53" s="255">
        <v>5</v>
      </c>
      <c r="L53" s="255">
        <v>5</v>
      </c>
      <c r="M53" s="254">
        <f t="shared" si="0"/>
        <v>5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4</v>
      </c>
      <c r="E54" s="113">
        <v>3</v>
      </c>
      <c r="F54" s="113">
        <v>5</v>
      </c>
      <c r="G54" s="113">
        <v>4</v>
      </c>
      <c r="H54" s="113">
        <v>3</v>
      </c>
      <c r="I54" s="113">
        <v>5</v>
      </c>
      <c r="J54" s="113">
        <v>3</v>
      </c>
      <c r="K54" s="113">
        <v>3</v>
      </c>
      <c r="L54" s="113">
        <v>4</v>
      </c>
      <c r="M54" s="254">
        <f t="shared" si="0"/>
        <v>3.7777777777777777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96CA-60DB-4F8E-B0CD-5267B15D00B6}">
  <dimension ref="A1:M54"/>
  <sheetViews>
    <sheetView topLeftCell="A26" zoomScaleNormal="100" zoomScaleSheetLayoutView="100" workbookViewId="0">
      <selection activeCell="M7" sqref="M7:M5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12" width="12.7109375" customWidth="1"/>
  </cols>
  <sheetData>
    <row r="1" spans="1:13" ht="15.75" x14ac:dyDescent="0.25">
      <c r="A1" s="6">
        <v>2021</v>
      </c>
      <c r="B1" s="8" t="s">
        <v>25</v>
      </c>
      <c r="D1" s="8" t="s">
        <v>6</v>
      </c>
      <c r="F1" s="4" t="s">
        <v>8</v>
      </c>
      <c r="G1" s="263">
        <v>44446</v>
      </c>
      <c r="H1" s="262"/>
      <c r="I1" s="262"/>
      <c r="J1" s="262"/>
      <c r="K1" s="262"/>
    </row>
    <row r="2" spans="1:13" ht="6.6" customHeight="1" x14ac:dyDescent="0.25">
      <c r="A2" s="6"/>
      <c r="B2" s="7"/>
      <c r="C2" s="8"/>
      <c r="F2" s="4"/>
      <c r="G2" s="4"/>
    </row>
    <row r="3" spans="1:13" x14ac:dyDescent="0.2">
      <c r="B3" s="5" t="s">
        <v>438</v>
      </c>
      <c r="F3" s="4" t="s">
        <v>13</v>
      </c>
      <c r="G3" s="4" t="s">
        <v>51</v>
      </c>
    </row>
    <row r="4" spans="1:13" ht="33" customHeight="1" x14ac:dyDescent="0.2">
      <c r="B4" s="279" t="s">
        <v>437</v>
      </c>
      <c r="C4" s="281"/>
      <c r="D4" s="281"/>
      <c r="E4" s="281"/>
      <c r="F4" s="281"/>
      <c r="G4" s="281"/>
      <c r="H4" s="281"/>
      <c r="I4" s="261"/>
      <c r="J4" s="261"/>
      <c r="K4" s="261"/>
      <c r="L4" s="250"/>
    </row>
    <row r="5" spans="1:13" ht="15" customHeight="1" x14ac:dyDescent="0.2">
      <c r="B5" s="5"/>
      <c r="D5" s="249"/>
      <c r="E5" s="249"/>
      <c r="F5" s="249"/>
      <c r="G5" s="249"/>
      <c r="H5" s="249"/>
      <c r="I5" s="249"/>
      <c r="J5" s="249"/>
      <c r="K5" s="249"/>
      <c r="L5" s="3"/>
    </row>
    <row r="6" spans="1:13" ht="21.6" customHeight="1" thickBot="1" x14ac:dyDescent="0.25">
      <c r="B6" s="268" t="s">
        <v>7</v>
      </c>
      <c r="C6" s="268"/>
      <c r="D6" s="259" t="s">
        <v>30</v>
      </c>
      <c r="E6" s="259" t="s">
        <v>30</v>
      </c>
      <c r="F6" s="259" t="s">
        <v>30</v>
      </c>
      <c r="G6" s="259" t="s">
        <v>30</v>
      </c>
      <c r="H6" s="259" t="s">
        <v>30</v>
      </c>
      <c r="I6" s="259" t="s">
        <v>30</v>
      </c>
      <c r="J6" s="259" t="s">
        <v>30</v>
      </c>
      <c r="K6" s="259" t="s">
        <v>30</v>
      </c>
      <c r="L6" s="259" t="s">
        <v>30</v>
      </c>
      <c r="M6" s="258" t="s">
        <v>436</v>
      </c>
    </row>
    <row r="7" spans="1:13" ht="21.6" customHeight="1" thickTop="1" thickBot="1" x14ac:dyDescent="0.25">
      <c r="B7" s="11" t="s">
        <v>0</v>
      </c>
      <c r="C7" s="15">
        <v>1</v>
      </c>
      <c r="D7" s="108">
        <v>3</v>
      </c>
      <c r="E7" s="108">
        <v>3</v>
      </c>
      <c r="F7" s="108">
        <v>3</v>
      </c>
      <c r="G7" s="108">
        <v>2</v>
      </c>
      <c r="H7" s="108">
        <v>3</v>
      </c>
      <c r="I7" s="108">
        <v>2</v>
      </c>
      <c r="J7" s="108">
        <v>3</v>
      </c>
      <c r="K7" s="108">
        <v>3</v>
      </c>
      <c r="L7" s="108">
        <v>3</v>
      </c>
      <c r="M7" s="254">
        <f t="shared" ref="M7:M54" si="0">AVERAGE(D7:L7)</f>
        <v>2.7777777777777777</v>
      </c>
    </row>
    <row r="8" spans="1:13" ht="21.6" customHeight="1" thickTop="1" thickBot="1" x14ac:dyDescent="0.25">
      <c r="B8" s="239" t="s">
        <v>0</v>
      </c>
      <c r="C8" s="257">
        <v>2</v>
      </c>
      <c r="D8" s="255">
        <v>4</v>
      </c>
      <c r="E8" s="255">
        <v>4</v>
      </c>
      <c r="F8" s="255">
        <v>3</v>
      </c>
      <c r="G8" s="255">
        <v>3</v>
      </c>
      <c r="H8" s="255">
        <v>2</v>
      </c>
      <c r="I8" s="255">
        <v>3</v>
      </c>
      <c r="J8" s="255">
        <v>3</v>
      </c>
      <c r="K8" s="255">
        <v>3</v>
      </c>
      <c r="L8" s="255">
        <v>3</v>
      </c>
      <c r="M8" s="254">
        <f t="shared" si="0"/>
        <v>3.1111111111111112</v>
      </c>
    </row>
    <row r="9" spans="1:13" ht="21.6" customHeight="1" thickTop="1" thickBot="1" x14ac:dyDescent="0.25">
      <c r="B9" s="239" t="s">
        <v>0</v>
      </c>
      <c r="C9" s="257">
        <v>3</v>
      </c>
      <c r="D9" s="255">
        <v>3</v>
      </c>
      <c r="E9" s="255">
        <v>4</v>
      </c>
      <c r="F9" s="255">
        <v>3</v>
      </c>
      <c r="G9" s="255">
        <v>3</v>
      </c>
      <c r="H9" s="255">
        <v>3</v>
      </c>
      <c r="I9" s="255">
        <v>3</v>
      </c>
      <c r="J9" s="255">
        <v>3</v>
      </c>
      <c r="K9" s="255">
        <v>2</v>
      </c>
      <c r="L9" s="255">
        <v>3</v>
      </c>
      <c r="M9" s="254">
        <f t="shared" si="0"/>
        <v>3</v>
      </c>
    </row>
    <row r="10" spans="1:13" ht="21.6" customHeight="1" thickTop="1" thickBot="1" x14ac:dyDescent="0.25">
      <c r="B10" s="235" t="s">
        <v>0</v>
      </c>
      <c r="C10" s="256">
        <v>4</v>
      </c>
      <c r="D10" s="113">
        <v>4</v>
      </c>
      <c r="E10" s="113">
        <v>4</v>
      </c>
      <c r="F10" s="113">
        <v>4</v>
      </c>
      <c r="G10" s="113">
        <v>3</v>
      </c>
      <c r="H10" s="113">
        <v>3</v>
      </c>
      <c r="I10" s="113">
        <v>4</v>
      </c>
      <c r="J10" s="113">
        <v>3</v>
      </c>
      <c r="K10" s="113">
        <v>4</v>
      </c>
      <c r="L10" s="113">
        <v>4</v>
      </c>
      <c r="M10" s="254">
        <f t="shared" si="0"/>
        <v>3.6666666666666665</v>
      </c>
    </row>
    <row r="11" spans="1:13" ht="21.6" customHeight="1" thickTop="1" thickBot="1" x14ac:dyDescent="0.25">
      <c r="B11" s="11" t="s">
        <v>1</v>
      </c>
      <c r="C11" s="15">
        <v>4</v>
      </c>
      <c r="D11" s="108">
        <v>3</v>
      </c>
      <c r="E11" s="108">
        <v>3</v>
      </c>
      <c r="F11" s="108">
        <v>2</v>
      </c>
      <c r="G11" s="108">
        <v>4</v>
      </c>
      <c r="H11" s="108">
        <v>3</v>
      </c>
      <c r="I11" s="108">
        <v>3</v>
      </c>
      <c r="J11" s="108">
        <v>2</v>
      </c>
      <c r="K11" s="108">
        <v>3</v>
      </c>
      <c r="L11" s="108">
        <v>4</v>
      </c>
      <c r="M11" s="254">
        <f t="shared" si="0"/>
        <v>3</v>
      </c>
    </row>
    <row r="12" spans="1:13" ht="21.6" customHeight="1" thickTop="1" thickBot="1" x14ac:dyDescent="0.25">
      <c r="B12" s="239" t="s">
        <v>1</v>
      </c>
      <c r="C12" s="257">
        <v>3</v>
      </c>
      <c r="D12" s="255">
        <v>3</v>
      </c>
      <c r="E12" s="255">
        <v>4</v>
      </c>
      <c r="F12" s="255">
        <v>3</v>
      </c>
      <c r="G12" s="255">
        <v>3</v>
      </c>
      <c r="H12" s="255">
        <v>4</v>
      </c>
      <c r="I12" s="255">
        <v>4</v>
      </c>
      <c r="J12" s="255">
        <v>4</v>
      </c>
      <c r="K12" s="255">
        <v>3</v>
      </c>
      <c r="L12" s="255">
        <v>3</v>
      </c>
      <c r="M12" s="254">
        <f t="shared" si="0"/>
        <v>3.4444444444444446</v>
      </c>
    </row>
    <row r="13" spans="1:13" ht="21.6" customHeight="1" thickTop="1" thickBot="1" x14ac:dyDescent="0.25">
      <c r="B13" s="239" t="s">
        <v>1</v>
      </c>
      <c r="C13" s="257">
        <v>2</v>
      </c>
      <c r="D13" s="255">
        <v>3</v>
      </c>
      <c r="E13" s="255">
        <v>3</v>
      </c>
      <c r="F13" s="255">
        <v>4</v>
      </c>
      <c r="G13" s="255">
        <v>3</v>
      </c>
      <c r="H13" s="255">
        <v>2</v>
      </c>
      <c r="I13" s="255">
        <v>3</v>
      </c>
      <c r="J13" s="255">
        <v>4</v>
      </c>
      <c r="K13" s="255">
        <v>4</v>
      </c>
      <c r="L13" s="255">
        <v>3</v>
      </c>
      <c r="M13" s="254">
        <f t="shared" si="0"/>
        <v>3.2222222222222223</v>
      </c>
    </row>
    <row r="14" spans="1:13" ht="21.6" customHeight="1" thickTop="1" thickBot="1" x14ac:dyDescent="0.25">
      <c r="B14" s="235" t="s">
        <v>1</v>
      </c>
      <c r="C14" s="256">
        <v>1</v>
      </c>
      <c r="D14" s="113">
        <v>4</v>
      </c>
      <c r="E14" s="113">
        <v>4</v>
      </c>
      <c r="F14" s="113">
        <v>3</v>
      </c>
      <c r="G14" s="113">
        <v>3</v>
      </c>
      <c r="H14" s="113">
        <v>4</v>
      </c>
      <c r="I14" s="113">
        <v>5</v>
      </c>
      <c r="J14" s="113">
        <v>3</v>
      </c>
      <c r="K14" s="113">
        <v>3</v>
      </c>
      <c r="L14" s="113">
        <v>4</v>
      </c>
      <c r="M14" s="254">
        <f t="shared" si="0"/>
        <v>3.6666666666666665</v>
      </c>
    </row>
    <row r="15" spans="1:13" ht="21.6" customHeight="1" thickTop="1" thickBot="1" x14ac:dyDescent="0.25">
      <c r="B15" s="11" t="s">
        <v>2</v>
      </c>
      <c r="C15" s="15">
        <v>1</v>
      </c>
      <c r="D15" s="108">
        <v>5</v>
      </c>
      <c r="E15" s="108">
        <v>4</v>
      </c>
      <c r="F15" s="108">
        <v>3</v>
      </c>
      <c r="G15" s="108">
        <v>4</v>
      </c>
      <c r="H15" s="108">
        <v>4</v>
      </c>
      <c r="I15" s="108">
        <v>3</v>
      </c>
      <c r="J15" s="108">
        <v>3</v>
      </c>
      <c r="K15" s="108">
        <v>4</v>
      </c>
      <c r="L15" s="108">
        <v>4</v>
      </c>
      <c r="M15" s="254">
        <f t="shared" si="0"/>
        <v>3.7777777777777777</v>
      </c>
    </row>
    <row r="16" spans="1:13" ht="21.6" customHeight="1" thickTop="1" thickBot="1" x14ac:dyDescent="0.25">
      <c r="B16" s="239" t="s">
        <v>2</v>
      </c>
      <c r="C16" s="257">
        <v>2</v>
      </c>
      <c r="D16" s="255">
        <v>4</v>
      </c>
      <c r="E16" s="255">
        <v>3</v>
      </c>
      <c r="F16" s="255">
        <v>3</v>
      </c>
      <c r="G16" s="255">
        <v>3</v>
      </c>
      <c r="H16" s="255">
        <v>3</v>
      </c>
      <c r="I16" s="255">
        <v>4</v>
      </c>
      <c r="J16" s="255">
        <v>4</v>
      </c>
      <c r="K16" s="255">
        <v>4</v>
      </c>
      <c r="L16" s="255">
        <v>4</v>
      </c>
      <c r="M16" s="254">
        <f t="shared" si="0"/>
        <v>3.5555555555555554</v>
      </c>
    </row>
    <row r="17" spans="1:13" ht="21.6" customHeight="1" thickTop="1" thickBot="1" x14ac:dyDescent="0.25">
      <c r="B17" s="239" t="s">
        <v>2</v>
      </c>
      <c r="C17" s="257">
        <v>3</v>
      </c>
      <c r="D17" s="255">
        <v>3</v>
      </c>
      <c r="E17" s="255">
        <v>3</v>
      </c>
      <c r="F17" s="255">
        <v>2</v>
      </c>
      <c r="G17" s="255">
        <v>3</v>
      </c>
      <c r="H17" s="255">
        <v>3</v>
      </c>
      <c r="I17" s="255">
        <v>4</v>
      </c>
      <c r="J17" s="255">
        <v>3</v>
      </c>
      <c r="K17" s="255">
        <v>4</v>
      </c>
      <c r="L17" s="255">
        <v>3</v>
      </c>
      <c r="M17" s="254">
        <f t="shared" si="0"/>
        <v>3.1111111111111112</v>
      </c>
    </row>
    <row r="18" spans="1:13" ht="21.6" customHeight="1" thickTop="1" thickBot="1" x14ac:dyDescent="0.25">
      <c r="B18" s="235" t="s">
        <v>2</v>
      </c>
      <c r="C18" s="256">
        <v>4</v>
      </c>
      <c r="D18" s="113">
        <v>4</v>
      </c>
      <c r="E18" s="113">
        <v>4</v>
      </c>
      <c r="F18" s="113">
        <v>4</v>
      </c>
      <c r="G18" s="113">
        <v>4</v>
      </c>
      <c r="H18" s="113">
        <v>3</v>
      </c>
      <c r="I18" s="113">
        <v>3</v>
      </c>
      <c r="J18" s="113">
        <v>2</v>
      </c>
      <c r="K18" s="113">
        <v>2</v>
      </c>
      <c r="L18" s="113">
        <v>2</v>
      </c>
      <c r="M18" s="254">
        <f t="shared" si="0"/>
        <v>3.1111111111111112</v>
      </c>
    </row>
    <row r="19" spans="1:13" ht="21.6" customHeight="1" thickTop="1" thickBot="1" x14ac:dyDescent="0.25">
      <c r="B19" s="11" t="s">
        <v>3</v>
      </c>
      <c r="C19" s="15">
        <v>4</v>
      </c>
      <c r="D19" s="108">
        <v>2</v>
      </c>
      <c r="E19" s="108">
        <v>3</v>
      </c>
      <c r="F19" s="108">
        <v>2</v>
      </c>
      <c r="G19" s="108">
        <v>3</v>
      </c>
      <c r="H19" s="108">
        <v>3</v>
      </c>
      <c r="I19" s="108">
        <v>3</v>
      </c>
      <c r="J19" s="108">
        <v>4</v>
      </c>
      <c r="K19" s="108">
        <v>3</v>
      </c>
      <c r="L19" s="108">
        <v>4</v>
      </c>
      <c r="M19" s="254">
        <f t="shared" si="0"/>
        <v>3</v>
      </c>
    </row>
    <row r="20" spans="1:13" ht="21.6" customHeight="1" thickTop="1" thickBot="1" x14ac:dyDescent="0.25">
      <c r="B20" s="239" t="s">
        <v>3</v>
      </c>
      <c r="C20" s="257">
        <v>3</v>
      </c>
      <c r="D20" s="255">
        <v>3</v>
      </c>
      <c r="E20" s="255">
        <v>3</v>
      </c>
      <c r="F20" s="255">
        <v>2</v>
      </c>
      <c r="G20" s="255">
        <v>2</v>
      </c>
      <c r="H20" s="255">
        <v>2</v>
      </c>
      <c r="I20" s="255">
        <v>3</v>
      </c>
      <c r="J20" s="255">
        <v>3</v>
      </c>
      <c r="K20" s="255">
        <v>3</v>
      </c>
      <c r="L20" s="255">
        <v>3</v>
      </c>
      <c r="M20" s="254">
        <f t="shared" si="0"/>
        <v>2.6666666666666665</v>
      </c>
    </row>
    <row r="21" spans="1:13" ht="21.6" customHeight="1" thickTop="1" thickBot="1" x14ac:dyDescent="0.25">
      <c r="B21" s="239" t="s">
        <v>3</v>
      </c>
      <c r="C21" s="257">
        <v>2</v>
      </c>
      <c r="D21" s="255">
        <v>3</v>
      </c>
      <c r="E21" s="255">
        <v>4</v>
      </c>
      <c r="F21" s="255">
        <v>4</v>
      </c>
      <c r="G21" s="255">
        <v>5</v>
      </c>
      <c r="H21" s="255">
        <v>4</v>
      </c>
      <c r="I21" s="255">
        <v>3</v>
      </c>
      <c r="J21" s="255">
        <v>3</v>
      </c>
      <c r="K21" s="255">
        <v>4</v>
      </c>
      <c r="L21" s="255">
        <v>3</v>
      </c>
      <c r="M21" s="254">
        <f t="shared" si="0"/>
        <v>3.6666666666666665</v>
      </c>
    </row>
    <row r="22" spans="1:13" ht="21.6" customHeight="1" thickTop="1" thickBot="1" x14ac:dyDescent="0.25">
      <c r="A22" s="1"/>
      <c r="B22" s="235" t="s">
        <v>3</v>
      </c>
      <c r="C22" s="256">
        <v>1</v>
      </c>
      <c r="D22" s="113">
        <v>4</v>
      </c>
      <c r="E22" s="113">
        <v>4</v>
      </c>
      <c r="F22" s="113">
        <v>4</v>
      </c>
      <c r="G22" s="113">
        <v>4</v>
      </c>
      <c r="H22" s="113">
        <v>3</v>
      </c>
      <c r="I22" s="113">
        <v>4</v>
      </c>
      <c r="J22" s="113">
        <v>4</v>
      </c>
      <c r="K22" s="113">
        <v>3</v>
      </c>
      <c r="L22" s="113">
        <v>3</v>
      </c>
      <c r="M22" s="254">
        <f t="shared" si="0"/>
        <v>3.6666666666666665</v>
      </c>
    </row>
    <row r="23" spans="1:13" ht="21.6" customHeight="1" thickTop="1" thickBot="1" x14ac:dyDescent="0.25">
      <c r="A23" s="12"/>
      <c r="B23" s="11" t="s">
        <v>4</v>
      </c>
      <c r="C23" s="15">
        <v>1</v>
      </c>
      <c r="D23" s="108">
        <v>2</v>
      </c>
      <c r="E23" s="108">
        <v>3</v>
      </c>
      <c r="F23" s="108">
        <v>2</v>
      </c>
      <c r="G23" s="108">
        <v>3</v>
      </c>
      <c r="H23" s="108">
        <v>3</v>
      </c>
      <c r="I23" s="108">
        <v>3</v>
      </c>
      <c r="J23" s="108">
        <v>3</v>
      </c>
      <c r="K23" s="108">
        <v>4</v>
      </c>
      <c r="L23" s="108">
        <v>3</v>
      </c>
      <c r="M23" s="254">
        <f t="shared" si="0"/>
        <v>2.8888888888888888</v>
      </c>
    </row>
    <row r="24" spans="1:13" ht="21.6" customHeight="1" thickTop="1" thickBot="1" x14ac:dyDescent="0.25">
      <c r="B24" s="239" t="s">
        <v>4</v>
      </c>
      <c r="C24" s="257">
        <v>2</v>
      </c>
      <c r="D24" s="255">
        <v>3</v>
      </c>
      <c r="E24" s="255">
        <v>3</v>
      </c>
      <c r="F24" s="255">
        <v>3</v>
      </c>
      <c r="G24" s="255">
        <v>4</v>
      </c>
      <c r="H24" s="255">
        <v>3</v>
      </c>
      <c r="I24" s="255">
        <v>3</v>
      </c>
      <c r="J24" s="255">
        <v>3</v>
      </c>
      <c r="K24" s="255">
        <v>2</v>
      </c>
      <c r="L24" s="255">
        <v>3</v>
      </c>
      <c r="M24" s="254">
        <f t="shared" si="0"/>
        <v>3</v>
      </c>
    </row>
    <row r="25" spans="1:13" ht="21.6" customHeight="1" thickTop="1" thickBot="1" x14ac:dyDescent="0.25">
      <c r="B25" s="239" t="s">
        <v>4</v>
      </c>
      <c r="C25" s="257">
        <v>3</v>
      </c>
      <c r="D25" s="255">
        <v>4</v>
      </c>
      <c r="E25" s="255">
        <v>3</v>
      </c>
      <c r="F25" s="255">
        <v>3</v>
      </c>
      <c r="G25" s="255">
        <v>3</v>
      </c>
      <c r="H25" s="255">
        <v>3</v>
      </c>
      <c r="I25" s="255">
        <v>3</v>
      </c>
      <c r="J25" s="255">
        <v>3</v>
      </c>
      <c r="K25" s="255">
        <v>3</v>
      </c>
      <c r="L25" s="255">
        <v>3</v>
      </c>
      <c r="M25" s="254">
        <f t="shared" si="0"/>
        <v>3.1111111111111112</v>
      </c>
    </row>
    <row r="26" spans="1:13" ht="21.6" customHeight="1" thickTop="1" thickBot="1" x14ac:dyDescent="0.25">
      <c r="B26" s="235" t="s">
        <v>4</v>
      </c>
      <c r="C26" s="256">
        <v>4</v>
      </c>
      <c r="D26" s="113">
        <v>4</v>
      </c>
      <c r="E26" s="113">
        <v>3</v>
      </c>
      <c r="F26" s="113">
        <v>3</v>
      </c>
      <c r="G26" s="113">
        <v>4</v>
      </c>
      <c r="H26" s="113">
        <v>3</v>
      </c>
      <c r="I26" s="113">
        <v>4</v>
      </c>
      <c r="J26" s="113">
        <v>3</v>
      </c>
      <c r="K26" s="113">
        <v>4</v>
      </c>
      <c r="L26" s="113">
        <v>3</v>
      </c>
      <c r="M26" s="254">
        <f t="shared" si="0"/>
        <v>3.4444444444444446</v>
      </c>
    </row>
    <row r="27" spans="1:13" ht="21.6" customHeight="1" thickTop="1" thickBot="1" x14ac:dyDescent="0.25">
      <c r="B27" s="11" t="s">
        <v>5</v>
      </c>
      <c r="C27" s="15">
        <v>4</v>
      </c>
      <c r="D27" s="108">
        <v>4</v>
      </c>
      <c r="E27" s="108">
        <v>3</v>
      </c>
      <c r="F27" s="108">
        <v>3</v>
      </c>
      <c r="G27" s="108">
        <v>5</v>
      </c>
      <c r="H27" s="108">
        <v>4</v>
      </c>
      <c r="I27" s="108">
        <v>4</v>
      </c>
      <c r="J27" s="108">
        <v>4</v>
      </c>
      <c r="K27" s="108">
        <v>3</v>
      </c>
      <c r="L27" s="108">
        <v>4</v>
      </c>
      <c r="M27" s="254">
        <f t="shared" si="0"/>
        <v>3.7777777777777777</v>
      </c>
    </row>
    <row r="28" spans="1:13" ht="21.6" customHeight="1" thickTop="1" thickBot="1" x14ac:dyDescent="0.25">
      <c r="B28" s="239" t="s">
        <v>5</v>
      </c>
      <c r="C28" s="257">
        <v>3</v>
      </c>
      <c r="D28" s="255">
        <v>3</v>
      </c>
      <c r="E28" s="255">
        <v>3</v>
      </c>
      <c r="F28" s="255">
        <v>3</v>
      </c>
      <c r="G28" s="255">
        <v>3</v>
      </c>
      <c r="H28" s="255">
        <v>4</v>
      </c>
      <c r="I28" s="255">
        <v>4</v>
      </c>
      <c r="J28" s="255">
        <v>4</v>
      </c>
      <c r="K28" s="255">
        <v>3</v>
      </c>
      <c r="L28" s="255">
        <v>3</v>
      </c>
      <c r="M28" s="254">
        <f t="shared" si="0"/>
        <v>3.3333333333333335</v>
      </c>
    </row>
    <row r="29" spans="1:13" ht="21.6" customHeight="1" thickTop="1" thickBot="1" x14ac:dyDescent="0.25">
      <c r="B29" s="239" t="s">
        <v>5</v>
      </c>
      <c r="C29" s="257">
        <v>2</v>
      </c>
      <c r="D29" s="255">
        <v>3</v>
      </c>
      <c r="E29" s="255">
        <v>2</v>
      </c>
      <c r="F29" s="255">
        <v>3</v>
      </c>
      <c r="G29" s="255">
        <v>2</v>
      </c>
      <c r="H29" s="255">
        <v>2</v>
      </c>
      <c r="I29" s="255">
        <v>3</v>
      </c>
      <c r="J29" s="255">
        <v>3</v>
      </c>
      <c r="K29" s="255">
        <v>2</v>
      </c>
      <c r="L29" s="255">
        <v>3</v>
      </c>
      <c r="M29" s="254">
        <f t="shared" si="0"/>
        <v>2.5555555555555554</v>
      </c>
    </row>
    <row r="30" spans="1:13" ht="21.6" customHeight="1" thickTop="1" thickBot="1" x14ac:dyDescent="0.25">
      <c r="B30" s="235" t="s">
        <v>5</v>
      </c>
      <c r="C30" s="256">
        <v>1</v>
      </c>
      <c r="D30" s="113">
        <v>4</v>
      </c>
      <c r="E30" s="113">
        <v>3</v>
      </c>
      <c r="F30" s="113">
        <v>3</v>
      </c>
      <c r="G30" s="113">
        <v>3</v>
      </c>
      <c r="H30" s="113">
        <v>3</v>
      </c>
      <c r="I30" s="113">
        <v>2</v>
      </c>
      <c r="J30" s="113">
        <v>3</v>
      </c>
      <c r="K30" s="113">
        <v>3</v>
      </c>
      <c r="L30" s="113">
        <v>4</v>
      </c>
      <c r="M30" s="254">
        <f t="shared" si="0"/>
        <v>3.1111111111111112</v>
      </c>
    </row>
    <row r="31" spans="1:13" ht="21.6" customHeight="1" thickTop="1" thickBot="1" x14ac:dyDescent="0.25">
      <c r="B31" s="11" t="s">
        <v>35</v>
      </c>
      <c r="C31" s="242">
        <v>1</v>
      </c>
      <c r="D31" s="108">
        <v>4</v>
      </c>
      <c r="E31" s="108">
        <v>5</v>
      </c>
      <c r="F31" s="108">
        <v>4</v>
      </c>
      <c r="G31" s="108">
        <v>3</v>
      </c>
      <c r="H31" s="108">
        <v>3</v>
      </c>
      <c r="I31" s="108">
        <v>4</v>
      </c>
      <c r="J31" s="108">
        <v>3</v>
      </c>
      <c r="K31" s="108">
        <v>3</v>
      </c>
      <c r="L31" s="108">
        <v>4</v>
      </c>
      <c r="M31" s="254">
        <f t="shared" si="0"/>
        <v>3.6666666666666665</v>
      </c>
    </row>
    <row r="32" spans="1:13" ht="21.6" customHeight="1" thickTop="1" thickBot="1" x14ac:dyDescent="0.25">
      <c r="B32" s="239" t="s">
        <v>35</v>
      </c>
      <c r="C32" s="238">
        <v>2</v>
      </c>
      <c r="D32" s="255">
        <v>4</v>
      </c>
      <c r="E32" s="255">
        <v>3</v>
      </c>
      <c r="F32" s="255">
        <v>4</v>
      </c>
      <c r="G32" s="255">
        <v>3</v>
      </c>
      <c r="H32" s="255">
        <v>3</v>
      </c>
      <c r="I32" s="255">
        <v>4</v>
      </c>
      <c r="J32" s="255">
        <v>3</v>
      </c>
      <c r="K32" s="255">
        <v>3</v>
      </c>
      <c r="L32" s="255">
        <v>3</v>
      </c>
      <c r="M32" s="254">
        <f t="shared" si="0"/>
        <v>3.3333333333333335</v>
      </c>
    </row>
    <row r="33" spans="2:13" ht="21.6" customHeight="1" thickTop="1" thickBot="1" x14ac:dyDescent="0.25">
      <c r="B33" s="239" t="s">
        <v>35</v>
      </c>
      <c r="C33" s="238">
        <v>3</v>
      </c>
      <c r="D33" s="255">
        <v>3</v>
      </c>
      <c r="E33" s="255">
        <v>3</v>
      </c>
      <c r="F33" s="255">
        <v>3</v>
      </c>
      <c r="G33" s="255">
        <v>3</v>
      </c>
      <c r="H33" s="255">
        <v>3</v>
      </c>
      <c r="I33" s="255">
        <v>3</v>
      </c>
      <c r="J33" s="255">
        <v>4</v>
      </c>
      <c r="K33" s="255">
        <v>4</v>
      </c>
      <c r="L33" s="255">
        <v>3</v>
      </c>
      <c r="M33" s="254">
        <f t="shared" si="0"/>
        <v>3.2222222222222223</v>
      </c>
    </row>
    <row r="34" spans="2:13" ht="21.6" customHeight="1" thickTop="1" thickBot="1" x14ac:dyDescent="0.25">
      <c r="B34" s="235" t="s">
        <v>35</v>
      </c>
      <c r="C34" s="234">
        <v>4</v>
      </c>
      <c r="D34" s="113">
        <v>3</v>
      </c>
      <c r="E34" s="113">
        <v>3</v>
      </c>
      <c r="F34" s="113">
        <v>3</v>
      </c>
      <c r="G34" s="113">
        <v>3</v>
      </c>
      <c r="H34" s="113">
        <v>2</v>
      </c>
      <c r="I34" s="113">
        <v>3</v>
      </c>
      <c r="J34" s="113">
        <v>3</v>
      </c>
      <c r="K34" s="113">
        <v>2</v>
      </c>
      <c r="L34" s="113">
        <v>2</v>
      </c>
      <c r="M34" s="254">
        <f t="shared" si="0"/>
        <v>2.6666666666666665</v>
      </c>
    </row>
    <row r="35" spans="2:13" ht="21.6" customHeight="1" thickTop="1" thickBot="1" x14ac:dyDescent="0.25">
      <c r="B35" s="11" t="s">
        <v>36</v>
      </c>
      <c r="C35" s="242">
        <v>4</v>
      </c>
      <c r="D35" s="108">
        <v>2</v>
      </c>
      <c r="E35" s="108">
        <v>3</v>
      </c>
      <c r="F35" s="108">
        <v>2</v>
      </c>
      <c r="G35" s="108">
        <v>3</v>
      </c>
      <c r="H35" s="108">
        <v>4</v>
      </c>
      <c r="I35" s="108">
        <v>4</v>
      </c>
      <c r="J35" s="108">
        <v>4</v>
      </c>
      <c r="K35" s="108">
        <v>3</v>
      </c>
      <c r="L35" s="108">
        <v>3</v>
      </c>
      <c r="M35" s="254">
        <f t="shared" si="0"/>
        <v>3.1111111111111112</v>
      </c>
    </row>
    <row r="36" spans="2:13" ht="21.6" customHeight="1" thickTop="1" thickBot="1" x14ac:dyDescent="0.25">
      <c r="B36" s="239" t="s">
        <v>36</v>
      </c>
      <c r="C36" s="238">
        <v>3</v>
      </c>
      <c r="D36" s="255">
        <v>3</v>
      </c>
      <c r="E36" s="255">
        <v>3</v>
      </c>
      <c r="F36" s="255">
        <v>2</v>
      </c>
      <c r="G36" s="255">
        <v>2</v>
      </c>
      <c r="H36" s="255">
        <v>2</v>
      </c>
      <c r="I36" s="255">
        <v>3</v>
      </c>
      <c r="J36" s="255">
        <v>3</v>
      </c>
      <c r="K36" s="255">
        <v>3</v>
      </c>
      <c r="L36" s="255">
        <v>4</v>
      </c>
      <c r="M36" s="254">
        <f t="shared" si="0"/>
        <v>2.7777777777777777</v>
      </c>
    </row>
    <row r="37" spans="2:13" ht="21.6" customHeight="1" thickTop="1" thickBot="1" x14ac:dyDescent="0.25">
      <c r="B37" s="239" t="s">
        <v>36</v>
      </c>
      <c r="C37" s="238">
        <v>2</v>
      </c>
      <c r="D37" s="255">
        <v>4</v>
      </c>
      <c r="E37" s="255">
        <v>3</v>
      </c>
      <c r="F37" s="255">
        <v>2</v>
      </c>
      <c r="G37" s="255">
        <v>3</v>
      </c>
      <c r="H37" s="255">
        <v>3</v>
      </c>
      <c r="I37" s="255">
        <v>3</v>
      </c>
      <c r="J37" s="255">
        <v>4</v>
      </c>
      <c r="K37" s="255">
        <v>3</v>
      </c>
      <c r="L37" s="255">
        <v>3</v>
      </c>
      <c r="M37" s="254">
        <f t="shared" si="0"/>
        <v>3.1111111111111112</v>
      </c>
    </row>
    <row r="38" spans="2:13" ht="21.6" customHeight="1" thickTop="1" thickBot="1" x14ac:dyDescent="0.25">
      <c r="B38" s="235" t="s">
        <v>36</v>
      </c>
      <c r="C38" s="234">
        <v>1</v>
      </c>
      <c r="D38" s="113">
        <v>3</v>
      </c>
      <c r="E38" s="113">
        <v>3</v>
      </c>
      <c r="F38" s="113">
        <v>3</v>
      </c>
      <c r="G38" s="113">
        <v>3</v>
      </c>
      <c r="H38" s="113">
        <v>4</v>
      </c>
      <c r="I38" s="113">
        <v>3</v>
      </c>
      <c r="J38" s="113">
        <v>3</v>
      </c>
      <c r="K38" s="113">
        <v>3</v>
      </c>
      <c r="L38" s="113">
        <v>3</v>
      </c>
      <c r="M38" s="254">
        <f t="shared" si="0"/>
        <v>3.1111111111111112</v>
      </c>
    </row>
    <row r="39" spans="2:13" ht="21.6" customHeight="1" thickTop="1" thickBot="1" x14ac:dyDescent="0.25">
      <c r="B39" s="11" t="s">
        <v>37</v>
      </c>
      <c r="C39" s="242">
        <v>1</v>
      </c>
      <c r="D39" s="108">
        <v>4</v>
      </c>
      <c r="E39" s="108">
        <v>3</v>
      </c>
      <c r="F39" s="108">
        <v>3</v>
      </c>
      <c r="G39" s="108">
        <v>2</v>
      </c>
      <c r="H39" s="108">
        <v>2</v>
      </c>
      <c r="I39" s="108">
        <v>3</v>
      </c>
      <c r="J39" s="108">
        <v>2</v>
      </c>
      <c r="K39" s="108">
        <v>3</v>
      </c>
      <c r="L39" s="108">
        <v>2</v>
      </c>
      <c r="M39" s="254">
        <f t="shared" si="0"/>
        <v>2.6666666666666665</v>
      </c>
    </row>
    <row r="40" spans="2:13" ht="21.6" customHeight="1" thickTop="1" thickBot="1" x14ac:dyDescent="0.25">
      <c r="B40" s="239" t="s">
        <v>37</v>
      </c>
      <c r="C40" s="238">
        <v>2</v>
      </c>
      <c r="D40" s="255">
        <v>3</v>
      </c>
      <c r="E40" s="255">
        <v>3</v>
      </c>
      <c r="F40" s="255">
        <v>3</v>
      </c>
      <c r="G40" s="255">
        <v>3</v>
      </c>
      <c r="H40" s="255">
        <v>3</v>
      </c>
      <c r="I40" s="255">
        <v>2</v>
      </c>
      <c r="J40" s="255">
        <v>2</v>
      </c>
      <c r="K40" s="255">
        <v>2</v>
      </c>
      <c r="L40" s="255">
        <v>3</v>
      </c>
      <c r="M40" s="254">
        <f t="shared" si="0"/>
        <v>2.6666666666666665</v>
      </c>
    </row>
    <row r="41" spans="2:13" ht="21.6" customHeight="1" thickTop="1" thickBot="1" x14ac:dyDescent="0.25">
      <c r="B41" s="239" t="s">
        <v>37</v>
      </c>
      <c r="C41" s="238">
        <v>3</v>
      </c>
      <c r="D41" s="255">
        <v>2</v>
      </c>
      <c r="E41" s="255">
        <v>2</v>
      </c>
      <c r="F41" s="255">
        <v>3</v>
      </c>
      <c r="G41" s="255">
        <v>3</v>
      </c>
      <c r="H41" s="255">
        <v>3</v>
      </c>
      <c r="I41" s="255">
        <v>3</v>
      </c>
      <c r="J41" s="255">
        <v>3</v>
      </c>
      <c r="K41" s="255">
        <v>3</v>
      </c>
      <c r="L41" s="255">
        <v>2</v>
      </c>
      <c r="M41" s="254">
        <f t="shared" si="0"/>
        <v>2.6666666666666665</v>
      </c>
    </row>
    <row r="42" spans="2:13" ht="21.6" customHeight="1" thickTop="1" thickBot="1" x14ac:dyDescent="0.25">
      <c r="B42" s="235" t="s">
        <v>37</v>
      </c>
      <c r="C42" s="234">
        <v>4</v>
      </c>
      <c r="D42" s="113">
        <v>3</v>
      </c>
      <c r="E42" s="113">
        <v>4</v>
      </c>
      <c r="F42" s="113">
        <v>3</v>
      </c>
      <c r="G42" s="113">
        <v>3</v>
      </c>
      <c r="H42" s="113">
        <v>3</v>
      </c>
      <c r="I42" s="113">
        <v>3</v>
      </c>
      <c r="J42" s="113">
        <v>4</v>
      </c>
      <c r="K42" s="113">
        <v>3</v>
      </c>
      <c r="L42" s="113">
        <v>4</v>
      </c>
      <c r="M42" s="254">
        <f t="shared" si="0"/>
        <v>3.3333333333333335</v>
      </c>
    </row>
    <row r="43" spans="2:13" ht="21.6" customHeight="1" thickTop="1" thickBot="1" x14ac:dyDescent="0.25">
      <c r="B43" s="11" t="s">
        <v>38</v>
      </c>
      <c r="C43" s="242">
        <v>4</v>
      </c>
      <c r="D43" s="108">
        <v>3</v>
      </c>
      <c r="E43" s="108">
        <v>2</v>
      </c>
      <c r="F43" s="108">
        <v>2</v>
      </c>
      <c r="G43" s="108">
        <v>3</v>
      </c>
      <c r="H43" s="108">
        <v>3</v>
      </c>
      <c r="I43" s="108">
        <v>3</v>
      </c>
      <c r="J43" s="108">
        <v>4</v>
      </c>
      <c r="K43" s="108">
        <v>4</v>
      </c>
      <c r="L43" s="108">
        <v>3</v>
      </c>
      <c r="M43" s="254">
        <f t="shared" si="0"/>
        <v>3</v>
      </c>
    </row>
    <row r="44" spans="2:13" ht="21.6" customHeight="1" thickTop="1" thickBot="1" x14ac:dyDescent="0.25">
      <c r="B44" s="239" t="s">
        <v>38</v>
      </c>
      <c r="C44" s="238">
        <v>3</v>
      </c>
      <c r="D44" s="255">
        <v>3</v>
      </c>
      <c r="E44" s="255">
        <v>3</v>
      </c>
      <c r="F44" s="255">
        <v>2</v>
      </c>
      <c r="G44" s="255">
        <v>3</v>
      </c>
      <c r="H44" s="255">
        <v>3</v>
      </c>
      <c r="I44" s="255">
        <v>3</v>
      </c>
      <c r="J44" s="255">
        <v>2</v>
      </c>
      <c r="K44" s="255">
        <v>3</v>
      </c>
      <c r="L44" s="255">
        <v>3</v>
      </c>
      <c r="M44" s="254">
        <f t="shared" si="0"/>
        <v>2.7777777777777777</v>
      </c>
    </row>
    <row r="45" spans="2:13" ht="21.6" customHeight="1" thickTop="1" thickBot="1" x14ac:dyDescent="0.25">
      <c r="B45" s="239" t="s">
        <v>38</v>
      </c>
      <c r="C45" s="238">
        <v>2</v>
      </c>
      <c r="D45" s="255">
        <v>3</v>
      </c>
      <c r="E45" s="255">
        <v>3</v>
      </c>
      <c r="F45" s="255">
        <v>3</v>
      </c>
      <c r="G45" s="255">
        <v>3</v>
      </c>
      <c r="H45" s="255">
        <v>3</v>
      </c>
      <c r="I45" s="255">
        <v>3</v>
      </c>
      <c r="J45" s="255">
        <v>3</v>
      </c>
      <c r="K45" s="255">
        <v>3</v>
      </c>
      <c r="L45" s="255">
        <v>3</v>
      </c>
      <c r="M45" s="254">
        <f t="shared" si="0"/>
        <v>3</v>
      </c>
    </row>
    <row r="46" spans="2:13" ht="21.6" customHeight="1" thickTop="1" thickBot="1" x14ac:dyDescent="0.25">
      <c r="B46" s="235" t="s">
        <v>38</v>
      </c>
      <c r="C46" s="234">
        <v>1</v>
      </c>
      <c r="D46" s="113">
        <v>3</v>
      </c>
      <c r="E46" s="113">
        <v>3</v>
      </c>
      <c r="F46" s="113">
        <v>3</v>
      </c>
      <c r="G46" s="113">
        <v>4</v>
      </c>
      <c r="H46" s="113">
        <v>3</v>
      </c>
      <c r="I46" s="113">
        <v>3</v>
      </c>
      <c r="J46" s="113">
        <v>3</v>
      </c>
      <c r="K46" s="113">
        <v>3</v>
      </c>
      <c r="L46" s="113">
        <v>3</v>
      </c>
      <c r="M46" s="254">
        <f t="shared" si="0"/>
        <v>3.1111111111111112</v>
      </c>
    </row>
    <row r="47" spans="2:13" ht="21.6" customHeight="1" thickTop="1" thickBot="1" x14ac:dyDescent="0.25">
      <c r="B47" s="11" t="s">
        <v>39</v>
      </c>
      <c r="C47" s="242">
        <v>1</v>
      </c>
      <c r="D47" s="108">
        <v>2</v>
      </c>
      <c r="E47" s="108">
        <v>3</v>
      </c>
      <c r="F47" s="108">
        <v>2</v>
      </c>
      <c r="G47" s="108">
        <v>3</v>
      </c>
      <c r="H47" s="108">
        <v>2</v>
      </c>
      <c r="I47" s="108">
        <v>3</v>
      </c>
      <c r="J47" s="108">
        <v>3</v>
      </c>
      <c r="K47" s="108">
        <v>2</v>
      </c>
      <c r="L47" s="108">
        <v>2</v>
      </c>
      <c r="M47" s="254">
        <f t="shared" si="0"/>
        <v>2.4444444444444446</v>
      </c>
    </row>
    <row r="48" spans="2:13" ht="21.6" customHeight="1" thickTop="1" thickBot="1" x14ac:dyDescent="0.25">
      <c r="B48" s="239" t="s">
        <v>39</v>
      </c>
      <c r="C48" s="238">
        <v>2</v>
      </c>
      <c r="D48" s="255">
        <v>3</v>
      </c>
      <c r="E48" s="255">
        <v>2</v>
      </c>
      <c r="F48" s="255">
        <v>2</v>
      </c>
      <c r="G48" s="255">
        <v>2</v>
      </c>
      <c r="H48" s="255">
        <v>2</v>
      </c>
      <c r="I48" s="255">
        <v>3</v>
      </c>
      <c r="J48" s="255">
        <v>3</v>
      </c>
      <c r="K48" s="255">
        <v>3</v>
      </c>
      <c r="L48" s="255">
        <v>3</v>
      </c>
      <c r="M48" s="254">
        <f t="shared" si="0"/>
        <v>2.5555555555555554</v>
      </c>
    </row>
    <row r="49" spans="2:13" ht="21.6" customHeight="1" thickTop="1" thickBot="1" x14ac:dyDescent="0.25">
      <c r="B49" s="239" t="s">
        <v>39</v>
      </c>
      <c r="C49" s="238">
        <v>3</v>
      </c>
      <c r="D49" s="255">
        <v>3</v>
      </c>
      <c r="E49" s="255">
        <v>3</v>
      </c>
      <c r="F49" s="255">
        <v>2</v>
      </c>
      <c r="G49" s="255">
        <v>2</v>
      </c>
      <c r="H49" s="255">
        <v>3</v>
      </c>
      <c r="I49" s="255">
        <v>3</v>
      </c>
      <c r="J49" s="255">
        <v>2</v>
      </c>
      <c r="K49" s="255">
        <v>3</v>
      </c>
      <c r="L49" s="255">
        <v>4</v>
      </c>
      <c r="M49" s="254">
        <f t="shared" si="0"/>
        <v>2.7777777777777777</v>
      </c>
    </row>
    <row r="50" spans="2:13" ht="21.6" customHeight="1" thickTop="1" thickBot="1" x14ac:dyDescent="0.25">
      <c r="B50" s="235" t="s">
        <v>39</v>
      </c>
      <c r="C50" s="234">
        <v>4</v>
      </c>
      <c r="D50" s="113">
        <v>3</v>
      </c>
      <c r="E50" s="113">
        <v>3</v>
      </c>
      <c r="F50" s="113">
        <v>3</v>
      </c>
      <c r="G50" s="113">
        <v>3</v>
      </c>
      <c r="H50" s="113">
        <v>3</v>
      </c>
      <c r="I50" s="113">
        <v>3</v>
      </c>
      <c r="J50" s="113">
        <v>2</v>
      </c>
      <c r="K50" s="113">
        <v>3</v>
      </c>
      <c r="L50" s="113">
        <v>3</v>
      </c>
      <c r="M50" s="254">
        <f t="shared" si="0"/>
        <v>2.8888888888888888</v>
      </c>
    </row>
    <row r="51" spans="2:13" ht="21.6" customHeight="1" thickTop="1" thickBot="1" x14ac:dyDescent="0.25">
      <c r="B51" s="11" t="s">
        <v>40</v>
      </c>
      <c r="C51" s="242">
        <v>4</v>
      </c>
      <c r="D51" s="108">
        <v>2</v>
      </c>
      <c r="E51" s="108">
        <v>2</v>
      </c>
      <c r="F51" s="108">
        <v>3</v>
      </c>
      <c r="G51" s="108">
        <v>4</v>
      </c>
      <c r="H51" s="108">
        <v>3</v>
      </c>
      <c r="I51" s="108">
        <v>3</v>
      </c>
      <c r="J51" s="108">
        <v>3</v>
      </c>
      <c r="K51" s="108">
        <v>3</v>
      </c>
      <c r="L51" s="108">
        <v>3</v>
      </c>
      <c r="M51" s="254">
        <f t="shared" si="0"/>
        <v>2.8888888888888888</v>
      </c>
    </row>
    <row r="52" spans="2:13" ht="21.6" customHeight="1" thickTop="1" thickBot="1" x14ac:dyDescent="0.25">
      <c r="B52" s="239" t="s">
        <v>40</v>
      </c>
      <c r="C52" s="238">
        <v>3</v>
      </c>
      <c r="D52" s="255">
        <v>2</v>
      </c>
      <c r="E52" s="255">
        <v>2</v>
      </c>
      <c r="F52" s="255">
        <v>3</v>
      </c>
      <c r="G52" s="255">
        <v>3</v>
      </c>
      <c r="H52" s="255">
        <v>3</v>
      </c>
      <c r="I52" s="255">
        <v>3</v>
      </c>
      <c r="J52" s="255">
        <v>2</v>
      </c>
      <c r="K52" s="255">
        <v>2</v>
      </c>
      <c r="L52" s="255">
        <v>2</v>
      </c>
      <c r="M52" s="254">
        <f t="shared" si="0"/>
        <v>2.4444444444444446</v>
      </c>
    </row>
    <row r="53" spans="2:13" ht="21.6" customHeight="1" thickTop="1" thickBot="1" x14ac:dyDescent="0.25">
      <c r="B53" s="239" t="s">
        <v>40</v>
      </c>
      <c r="C53" s="238">
        <v>2</v>
      </c>
      <c r="D53" s="255">
        <v>3</v>
      </c>
      <c r="E53" s="255">
        <v>3</v>
      </c>
      <c r="F53" s="255">
        <v>4</v>
      </c>
      <c r="G53" s="255">
        <v>5</v>
      </c>
      <c r="H53" s="255">
        <v>3</v>
      </c>
      <c r="I53" s="255">
        <v>3</v>
      </c>
      <c r="J53" s="255">
        <v>3</v>
      </c>
      <c r="K53" s="255">
        <v>3</v>
      </c>
      <c r="L53" s="255">
        <v>4</v>
      </c>
      <c r="M53" s="254">
        <f t="shared" si="0"/>
        <v>3.4444444444444446</v>
      </c>
    </row>
    <row r="54" spans="2:13" ht="21.6" customHeight="1" thickTop="1" thickBot="1" x14ac:dyDescent="0.25">
      <c r="B54" s="235" t="s">
        <v>40</v>
      </c>
      <c r="C54" s="234">
        <v>1</v>
      </c>
      <c r="D54" s="113">
        <v>3</v>
      </c>
      <c r="E54" s="113">
        <v>3</v>
      </c>
      <c r="F54" s="113">
        <v>2</v>
      </c>
      <c r="G54" s="113">
        <v>3</v>
      </c>
      <c r="H54" s="113">
        <v>3</v>
      </c>
      <c r="I54" s="113">
        <v>3</v>
      </c>
      <c r="J54" s="113">
        <v>2</v>
      </c>
      <c r="K54" s="113">
        <v>2</v>
      </c>
      <c r="L54" s="113">
        <v>3</v>
      </c>
      <c r="M54" s="254">
        <f t="shared" si="0"/>
        <v>2.6666666666666665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26</vt:i4>
      </vt:variant>
    </vt:vector>
  </HeadingPairs>
  <TitlesOfParts>
    <vt:vector size="47" baseType="lpstr">
      <vt:lpstr>Height</vt:lpstr>
      <vt:lpstr>Width</vt:lpstr>
      <vt:lpstr>Density</vt:lpstr>
      <vt:lpstr>Develop</vt:lpstr>
      <vt:lpstr>Ordering</vt:lpstr>
      <vt:lpstr>Blank Data Sheet</vt:lpstr>
      <vt:lpstr>Height Summary</vt:lpstr>
      <vt:lpstr>Cover Summary</vt:lpstr>
      <vt:lpstr>Averages</vt:lpstr>
      <vt:lpstr>Emergence</vt:lpstr>
      <vt:lpstr>1stLeaf</vt:lpstr>
      <vt:lpstr>Counts1</vt:lpstr>
      <vt:lpstr>Counts2</vt:lpstr>
      <vt:lpstr>Flowering</vt:lpstr>
      <vt:lpstr>NAWFd182</vt:lpstr>
      <vt:lpstr>NAWFd194</vt:lpstr>
      <vt:lpstr>NAWFd200</vt:lpstr>
      <vt:lpstr>NAWFd217</vt:lpstr>
      <vt:lpstr>NAWFd224</vt:lpstr>
      <vt:lpstr>NAWFd238</vt:lpstr>
      <vt:lpstr>NAWFd250</vt:lpstr>
      <vt:lpstr>'Blank Data Sheet'!Print_Area</vt:lpstr>
      <vt:lpstr>Counts1!Print_Area</vt:lpstr>
      <vt:lpstr>'Cover Summary'!Print_Area</vt:lpstr>
      <vt:lpstr>Flowering!Print_Area</vt:lpstr>
      <vt:lpstr>'Height Summary'!Print_Area</vt:lpstr>
      <vt:lpstr>NAWFd182!Print_Area</vt:lpstr>
      <vt:lpstr>NAWFd194!Print_Area</vt:lpstr>
      <vt:lpstr>NAWFd200!Print_Area</vt:lpstr>
      <vt:lpstr>NAWFd217!Print_Area</vt:lpstr>
      <vt:lpstr>NAWFd224!Print_Area</vt:lpstr>
      <vt:lpstr>NAWFd238!Print_Area</vt:lpstr>
      <vt:lpstr>NAWFd250!Print_Area</vt:lpstr>
      <vt:lpstr>'1stLeaf'!Print_Titles</vt:lpstr>
      <vt:lpstr>'Blank Data Sheet'!Print_Titles</vt:lpstr>
      <vt:lpstr>Counts1!Print_Titles</vt:lpstr>
      <vt:lpstr>'Cover Summary'!Print_Titles</vt:lpstr>
      <vt:lpstr>Emergence!Print_Titles</vt:lpstr>
      <vt:lpstr>Flowering!Print_Titles</vt:lpstr>
      <vt:lpstr>'Height Summary'!Print_Titles</vt:lpstr>
      <vt:lpstr>NAWFd182!Print_Titles</vt:lpstr>
      <vt:lpstr>NAWFd194!Print_Titles</vt:lpstr>
      <vt:lpstr>NAWFd200!Print_Titles</vt:lpstr>
      <vt:lpstr>NAWFd217!Print_Titles</vt:lpstr>
      <vt:lpstr>NAWFd224!Print_Titles</vt:lpstr>
      <vt:lpstr>NAWFd238!Print_Titles</vt:lpstr>
      <vt:lpstr>NAWFd250!Print_Titles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2021-05-24T22:05:56Z</cp:lastPrinted>
  <dcterms:created xsi:type="dcterms:W3CDTF">2016-05-31T16:53:28Z</dcterms:created>
  <dcterms:modified xsi:type="dcterms:W3CDTF">2025-04-07T15:54:25Z</dcterms:modified>
</cp:coreProperties>
</file>