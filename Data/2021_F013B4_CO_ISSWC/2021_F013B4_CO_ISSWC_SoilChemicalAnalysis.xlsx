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1_F013B4_CO_ISSWC\"/>
    </mc:Choice>
  </mc:AlternateContent>
  <xr:revisionPtr revIDLastSave="0" documentId="13_ncr:1_{936F2EF9-1B3B-4A69-AA1C-D40D02651CAF}" xr6:coauthVersionLast="47" xr6:coauthVersionMax="47" xr10:uidLastSave="{00000000-0000-0000-0000-000000000000}"/>
  <bookViews>
    <workbookView xWindow="-1575" yWindow="-25080" windowWidth="17910" windowHeight="25080" xr2:uid="{E9AA6B4D-1B0A-4EA4-81CA-C3DDA639B351}"/>
  </bookViews>
  <sheets>
    <sheet name="SoilChemDF" sheetId="2" r:id="rId1"/>
    <sheet name="Wards_Soil-2021052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3" i="3" l="1"/>
  <c r="Y33" i="3"/>
  <c r="Y41" i="3" s="1"/>
  <c r="Z33" i="3"/>
  <c r="AB33" i="3"/>
  <c r="AC33" i="3"/>
  <c r="AY33" i="3"/>
  <c r="X34" i="3"/>
  <c r="Y34" i="3"/>
  <c r="Y44" i="3" s="1"/>
  <c r="Z34" i="3"/>
  <c r="AB34" i="3"/>
  <c r="AC34" i="3"/>
  <c r="AY34" i="3"/>
  <c r="X35" i="3"/>
  <c r="Y35" i="3"/>
  <c r="Y47" i="3" s="1"/>
  <c r="Z35" i="3"/>
  <c r="AB35" i="3"/>
  <c r="AC35" i="3"/>
  <c r="AY35" i="3"/>
  <c r="X36" i="3"/>
  <c r="Y36" i="3"/>
  <c r="Z36" i="3"/>
  <c r="AB36" i="3"/>
  <c r="AC36" i="3"/>
  <c r="AY36" i="3"/>
  <c r="X37" i="3"/>
  <c r="Y37" i="3"/>
  <c r="Z37" i="3"/>
  <c r="AB37" i="3"/>
  <c r="AC37" i="3"/>
  <c r="AY37" i="3"/>
  <c r="Y48" i="3"/>
  <c r="Y49" i="3"/>
  <c r="Y50" i="3"/>
  <c r="Y46" i="3" l="1"/>
  <c r="Y45" i="3"/>
  <c r="Y43" i="3"/>
  <c r="Y42" i="3"/>
</calcChain>
</file>

<file path=xl/sharedStrings.xml><?xml version="1.0" encoding="utf-8"?>
<sst xmlns="http://schemas.openxmlformats.org/spreadsheetml/2006/main" count="598" uniqueCount="246">
  <si>
    <t>p11-4</t>
  </si>
  <si>
    <t>p10-2</t>
  </si>
  <si>
    <t>p08-3</t>
  </si>
  <si>
    <t>p06-1</t>
  </si>
  <si>
    <t>p03-3</t>
  </si>
  <si>
    <t>p01-2</t>
  </si>
  <si>
    <t>SLCEC</t>
  </si>
  <si>
    <t>SLNA</t>
  </si>
  <si>
    <t>SLMG</t>
  </si>
  <si>
    <t>SLCA</t>
  </si>
  <si>
    <t>SLCU</t>
  </si>
  <si>
    <t>SLMN</t>
  </si>
  <si>
    <t>SLFE</t>
  </si>
  <si>
    <t>SLZN</t>
  </si>
  <si>
    <t>SLSU</t>
  </si>
  <si>
    <t>SLKE</t>
  </si>
  <si>
    <t>SLPX</t>
  </si>
  <si>
    <t>SNO3</t>
  </si>
  <si>
    <t>SLOM</t>
  </si>
  <si>
    <t>SLEC</t>
  </si>
  <si>
    <t>SLPHB</t>
  </si>
  <si>
    <t>SLPHW</t>
  </si>
  <si>
    <t>Depth</t>
  </si>
  <si>
    <t>Plot</t>
  </si>
  <si>
    <t>SOIL_DATE</t>
  </si>
  <si>
    <t>DOY</t>
  </si>
  <si>
    <t>Year</t>
  </si>
  <si>
    <t>CEC/Sum of Cations me/100g</t>
  </si>
  <si>
    <t>Sodium ppm Na</t>
  </si>
  <si>
    <t>Magnesium ppm Mg</t>
  </si>
  <si>
    <t>Calcium ppm Ca</t>
  </si>
  <si>
    <t>Copper ppm Cu</t>
  </si>
  <si>
    <t>Manganese ppm Mn</t>
  </si>
  <si>
    <t>Iron ppm Fe</t>
  </si>
  <si>
    <t>Zinc ppm Zn</t>
  </si>
  <si>
    <t>Sulfate-S ppm S</t>
  </si>
  <si>
    <t>Potassium ppm K</t>
  </si>
  <si>
    <t>Olsen P ppm P</t>
  </si>
  <si>
    <t>Nitrate-N ppm N</t>
  </si>
  <si>
    <t>Organic Matter LOI %</t>
  </si>
  <si>
    <t>1:1 S Salts mmho/cm</t>
  </si>
  <si>
    <t>WDRF Buffer pH</t>
  </si>
  <si>
    <t>1:1 Soil pH</t>
  </si>
  <si>
    <t>HIGH</t>
  </si>
  <si>
    <t>All Other Crops</t>
  </si>
  <si>
    <t>p11-04 160-200</t>
  </si>
  <si>
    <t>F13B4</t>
  </si>
  <si>
    <t xml:space="preserve">THORP KELLY </t>
  </si>
  <si>
    <t>AZ</t>
  </si>
  <si>
    <t>MARICOPA</t>
  </si>
  <si>
    <t>21881 N CARDON LANE</t>
  </si>
  <si>
    <t>USDA-ARS</t>
  </si>
  <si>
    <t>HAGLER MATTHEW</t>
  </si>
  <si>
    <t>S</t>
  </si>
  <si>
    <t>p11-04 120-160</t>
  </si>
  <si>
    <t>p11-04 80-120</t>
  </si>
  <si>
    <t>p11-04 40-80</t>
  </si>
  <si>
    <t>p11-04 0-40</t>
  </si>
  <si>
    <t>p10-02 160-200</t>
  </si>
  <si>
    <t>p10-02 120-160</t>
  </si>
  <si>
    <t>p10-02 80-120</t>
  </si>
  <si>
    <t>NONE</t>
  </si>
  <si>
    <t>p10-02 40-80</t>
  </si>
  <si>
    <t>p10-02 0-40</t>
  </si>
  <si>
    <t>p08-03 160-200</t>
  </si>
  <si>
    <t>p08-03 120-160</t>
  </si>
  <si>
    <t>p08-03 80-120</t>
  </si>
  <si>
    <t>p08-03 40-80</t>
  </si>
  <si>
    <t>p08-03 0-40</t>
  </si>
  <si>
    <t>p06-01 160-200</t>
  </si>
  <si>
    <t>p06-01 120-160</t>
  </si>
  <si>
    <t>p06-01 80-120</t>
  </si>
  <si>
    <t>p06-01 40-80</t>
  </si>
  <si>
    <t>p06-01 0-40</t>
  </si>
  <si>
    <t>p03-03 160-200</t>
  </si>
  <si>
    <t>p03-03 120-160</t>
  </si>
  <si>
    <t>p03-03 80-120</t>
  </si>
  <si>
    <t>p03-03 40-80</t>
  </si>
  <si>
    <t>p03-03 0-40</t>
  </si>
  <si>
    <t>p01-02 160-200</t>
  </si>
  <si>
    <t>p01-02 120-160</t>
  </si>
  <si>
    <t>p01-02 80-120</t>
  </si>
  <si>
    <t>p01-02 40-80</t>
  </si>
  <si>
    <t>p01-02 0-40</t>
  </si>
  <si>
    <t>Molybdenum Hot Water ppm Mo</t>
  </si>
  <si>
    <t>Sample Density g/cc</t>
  </si>
  <si>
    <t>H2O NH4-N</t>
  </si>
  <si>
    <t>Total Mo ppm Mo</t>
  </si>
  <si>
    <t>Total Se ppm Se</t>
  </si>
  <si>
    <t>Total Co ppm Co</t>
  </si>
  <si>
    <t>Total Cr ppm Cr</t>
  </si>
  <si>
    <t>Roots grams</t>
  </si>
  <si>
    <t>Rocks grams</t>
  </si>
  <si>
    <t>Total Pb ppm Pb</t>
  </si>
  <si>
    <t>Total Cd ppm Cd</t>
  </si>
  <si>
    <t>Total As ppm As</t>
  </si>
  <si>
    <t>Total Ni ppm Ni</t>
  </si>
  <si>
    <t>Total Mo lbs/Acre</t>
  </si>
  <si>
    <t>Total Mo Concentration ppm</t>
  </si>
  <si>
    <t>Total B lbs/Acre</t>
  </si>
  <si>
    <t>Total B Concentration ppm</t>
  </si>
  <si>
    <t>Total Cu lbs/Acre</t>
  </si>
  <si>
    <t>Total Cu Concentration ppm</t>
  </si>
  <si>
    <t>Total Mn lbs/Acre</t>
  </si>
  <si>
    <t>Total Mn Concentration ppm</t>
  </si>
  <si>
    <t>Total Fe lbs/Acre</t>
  </si>
  <si>
    <t>Total Fe Concentration ppm</t>
  </si>
  <si>
    <t>Total Zn lbs/Acre</t>
  </si>
  <si>
    <t>Total Zn Concentration ppm</t>
  </si>
  <si>
    <t>Total S lbs/Acre</t>
  </si>
  <si>
    <t>Total S Concentration %</t>
  </si>
  <si>
    <t>Total Mg lbs/Acre</t>
  </si>
  <si>
    <t>Total Mg Concentration %</t>
  </si>
  <si>
    <t>Total Ca lbs/Acre</t>
  </si>
  <si>
    <t>Total Ca Concentration %</t>
  </si>
  <si>
    <t>Total K2O lbs/Acre</t>
  </si>
  <si>
    <t>Total K2O Concentration %</t>
  </si>
  <si>
    <t>Total K lbs/Acre</t>
  </si>
  <si>
    <t>Total K Concentration %</t>
  </si>
  <si>
    <t>Total P2O5 lbs/Acre</t>
  </si>
  <si>
    <t>Total P2O5 Concentration %</t>
  </si>
  <si>
    <t>Total P lbs/Acre</t>
  </si>
  <si>
    <t>Total P Concentration %</t>
  </si>
  <si>
    <t>Total C:N lbs/Acre Ratio</t>
  </si>
  <si>
    <t>Total N lbs/Acre</t>
  </si>
  <si>
    <t>Total N Concentration %</t>
  </si>
  <si>
    <t>Total C lbs/Acre</t>
  </si>
  <si>
    <t>Total C Concentration %</t>
  </si>
  <si>
    <t>%K Sat</t>
  </si>
  <si>
    <t>Total K ppm K</t>
  </si>
  <si>
    <t>Permanent Wilting Point % (wt.</t>
  </si>
  <si>
    <t>Field Capacity % (wt.)</t>
  </si>
  <si>
    <t>Total Available Water inches H2O sample-1</t>
  </si>
  <si>
    <t>Available Water inch H2O inch-1 of soil</t>
  </si>
  <si>
    <t>Available Water g H2O g-1 soil</t>
  </si>
  <si>
    <t>Aggregate Stability 1-2mm in bulk soil %</t>
  </si>
  <si>
    <t>Aggregate Stability 1-2mm %</t>
  </si>
  <si>
    <t>POX-C ppm C</t>
  </si>
  <si>
    <t>2:1 Soluble Salts</t>
  </si>
  <si>
    <t>2:1 Soil pH</t>
  </si>
  <si>
    <t>Bulk Density</t>
  </si>
  <si>
    <t>Sikora Buffer</t>
  </si>
  <si>
    <t>Sikora pH</t>
  </si>
  <si>
    <t>PSNT ppm N</t>
  </si>
  <si>
    <t>Organic C:N H2O</t>
  </si>
  <si>
    <t>Organic N H2O ppm</t>
  </si>
  <si>
    <t>Organic C H2O ppm</t>
  </si>
  <si>
    <t>Aluminium M3 ICAP ppm Al</t>
  </si>
  <si>
    <t>Ammonium Lbs-Acre</t>
  </si>
  <si>
    <t>2N KCL NO3 Lbs-Acre</t>
  </si>
  <si>
    <t>2N KCl NO3-N ppm N (Old)</t>
  </si>
  <si>
    <t>KCl NH4-N ppm (Old)</t>
  </si>
  <si>
    <t>1N KCl NO3-N ppm N</t>
  </si>
  <si>
    <t>Boron M3 ICAP ppm B</t>
  </si>
  <si>
    <t>Sodium M3 ICAP ppm Na</t>
  </si>
  <si>
    <t>Magnesium M3 ICAP ppm Mg</t>
  </si>
  <si>
    <t>Calcium M3 ICAP ppm Ca</t>
  </si>
  <si>
    <t>Copper M3 ICAP ppm Cu</t>
  </si>
  <si>
    <t>Manganese M3 ICAP ppm Mn</t>
  </si>
  <si>
    <t>Iron M3 ICAP ppm Fe</t>
  </si>
  <si>
    <t>Zinc M3 ICAP ppm Zn</t>
  </si>
  <si>
    <t>Sulfur M3 ICAP ppm S</t>
  </si>
  <si>
    <t>Potassium M3 ICAP ppm K</t>
  </si>
  <si>
    <t>Phosphorus M3 ICAP ppm P</t>
  </si>
  <si>
    <t>Paste CO3 ppm</t>
  </si>
  <si>
    <t>H2O Ca</t>
  </si>
  <si>
    <t>PSNT N/A</t>
  </si>
  <si>
    <t>Total S</t>
  </si>
  <si>
    <t>Total Dry Weight</t>
  </si>
  <si>
    <t>H2O NO3-N</t>
  </si>
  <si>
    <t>Total Carbon %</t>
  </si>
  <si>
    <t>Water Soluble K</t>
  </si>
  <si>
    <t>Organic Carbon %</t>
  </si>
  <si>
    <t>Lime Rec</t>
  </si>
  <si>
    <t>Boron Rec</t>
  </si>
  <si>
    <t>Copper Rec</t>
  </si>
  <si>
    <t>Manganese Rec</t>
  </si>
  <si>
    <t>Iron Rec</t>
  </si>
  <si>
    <t>Magnesium Rec</t>
  </si>
  <si>
    <t>Zinc Rec</t>
  </si>
  <si>
    <t>Sulfur Rec</t>
  </si>
  <si>
    <t>K2O Rec</t>
  </si>
  <si>
    <t>P2O5 Rec</t>
  </si>
  <si>
    <t>Nitrogen Rec</t>
  </si>
  <si>
    <t>YG 3</t>
  </si>
  <si>
    <t>Crop 3</t>
  </si>
  <si>
    <t>YG 2</t>
  </si>
  <si>
    <t>Crop 2</t>
  </si>
  <si>
    <t>YG 1</t>
  </si>
  <si>
    <t>Crop 1</t>
  </si>
  <si>
    <t>Paste SAR</t>
  </si>
  <si>
    <t>Paste S ppm</t>
  </si>
  <si>
    <t>Paste Na ppm</t>
  </si>
  <si>
    <t>Paste Mg ppm</t>
  </si>
  <si>
    <t>Paste Ca ppm</t>
  </si>
  <si>
    <t>Paste Cl ppm</t>
  </si>
  <si>
    <t>Paste HCO3 ppm</t>
  </si>
  <si>
    <t>Paste EC mmho/cm</t>
  </si>
  <si>
    <t>Paste pH</t>
  </si>
  <si>
    <t>Paste % Sat</t>
  </si>
  <si>
    <t>Texture</t>
  </si>
  <si>
    <t>% Clay</t>
  </si>
  <si>
    <t>% Silt</t>
  </si>
  <si>
    <t>% Sand</t>
  </si>
  <si>
    <t>Nitrite-N ppm</t>
  </si>
  <si>
    <t>Total Zn ppm</t>
  </si>
  <si>
    <t>Total P ppm</t>
  </si>
  <si>
    <t>Soil Moisture %</t>
  </si>
  <si>
    <t>Total N ppm</t>
  </si>
  <si>
    <t>WB OM %</t>
  </si>
  <si>
    <t>Salt Buffer pH</t>
  </si>
  <si>
    <t>Salt pH</t>
  </si>
  <si>
    <t>Mehlich P-III ppm P</t>
  </si>
  <si>
    <t>Mehlich P-II ppm P</t>
  </si>
  <si>
    <t>Bray P-2 ppm P</t>
  </si>
  <si>
    <t>Chloride ppm Cl</t>
  </si>
  <si>
    <t>Aluminum ppm Al</t>
  </si>
  <si>
    <t>KCl NH4-N ppm</t>
  </si>
  <si>
    <t>2N KCl NO3-N ppm N</t>
  </si>
  <si>
    <t>%Na Sat</t>
  </si>
  <si>
    <t>%Mg Sat</t>
  </si>
  <si>
    <t>%Ca Sat</t>
  </si>
  <si>
    <t>%H Sat</t>
  </si>
  <si>
    <t>Boron ppm B</t>
  </si>
  <si>
    <t>Bray P-1 ppm P</t>
  </si>
  <si>
    <t>lbs N/A</t>
  </si>
  <si>
    <t>Texture No</t>
  </si>
  <si>
    <t>Excess Lime</t>
  </si>
  <si>
    <t>Past Crop</t>
  </si>
  <si>
    <t>E Depth</t>
  </si>
  <si>
    <t>B Depth</t>
  </si>
  <si>
    <t>Date Rept</t>
  </si>
  <si>
    <t>Date Recd</t>
  </si>
  <si>
    <t>Sample ID</t>
  </si>
  <si>
    <t>Field ID</t>
  </si>
  <si>
    <t>Grower</t>
  </si>
  <si>
    <t>Zip</t>
  </si>
  <si>
    <t>State</t>
  </si>
  <si>
    <t>City</t>
  </si>
  <si>
    <t>Address 2</t>
  </si>
  <si>
    <t>Address 1</t>
  </si>
  <si>
    <t>Company</t>
  </si>
  <si>
    <t>Name</t>
  </si>
  <si>
    <t>Cust No</t>
  </si>
  <si>
    <t>Lab No</t>
  </si>
  <si>
    <t>Kind Of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</si>
</sst>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m/dd/yyyy"/>
    <numFmt numFmtId="166" formatCode="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2" borderId="0" xfId="0" applyNumberFormat="1" applyFill="1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B7B86-70E5-46D1-BA8B-22257D6EE989}">
  <dimension ref="A1:U32"/>
  <sheetViews>
    <sheetView tabSelected="1" workbookViewId="0"/>
  </sheetViews>
  <sheetFormatPr defaultRowHeight="15" x14ac:dyDescent="0.25"/>
  <cols>
    <col min="3" max="3" width="10.7109375" bestFit="1" customWidth="1"/>
  </cols>
  <sheetData>
    <row r="1" spans="1:21" x14ac:dyDescent="0.25">
      <c r="F1" t="s">
        <v>42</v>
      </c>
      <c r="G1" t="s">
        <v>41</v>
      </c>
      <c r="H1" t="s">
        <v>40</v>
      </c>
      <c r="I1" t="s">
        <v>39</v>
      </c>
      <c r="J1" t="s">
        <v>38</v>
      </c>
      <c r="K1" t="s">
        <v>37</v>
      </c>
      <c r="L1" t="s">
        <v>36</v>
      </c>
      <c r="M1" t="s">
        <v>35</v>
      </c>
      <c r="N1" t="s">
        <v>34</v>
      </c>
      <c r="O1" t="s">
        <v>33</v>
      </c>
      <c r="P1" t="s">
        <v>32</v>
      </c>
      <c r="Q1" t="s">
        <v>31</v>
      </c>
      <c r="R1" t="s">
        <v>30</v>
      </c>
      <c r="S1" t="s">
        <v>29</v>
      </c>
      <c r="T1" t="s">
        <v>28</v>
      </c>
      <c r="U1" t="s">
        <v>27</v>
      </c>
    </row>
    <row r="2" spans="1:21" x14ac:dyDescent="0.25">
      <c r="A2" t="s">
        <v>26</v>
      </c>
      <c r="B2" t="s">
        <v>25</v>
      </c>
      <c r="C2" t="s">
        <v>24</v>
      </c>
      <c r="D2" t="s">
        <v>23</v>
      </c>
      <c r="E2" t="s">
        <v>22</v>
      </c>
      <c r="F2" t="s">
        <v>21</v>
      </c>
      <c r="G2" t="s">
        <v>20</v>
      </c>
      <c r="H2" t="s">
        <v>19</v>
      </c>
      <c r="I2" t="s">
        <v>18</v>
      </c>
      <c r="J2" t="s">
        <v>17</v>
      </c>
      <c r="K2" t="s">
        <v>16</v>
      </c>
      <c r="L2" t="s">
        <v>15</v>
      </c>
      <c r="M2" t="s">
        <v>14</v>
      </c>
      <c r="N2" t="s">
        <v>13</v>
      </c>
      <c r="O2" t="s">
        <v>12</v>
      </c>
      <c r="P2" t="s">
        <v>11</v>
      </c>
      <c r="Q2" t="s">
        <v>10</v>
      </c>
      <c r="R2" t="s">
        <v>9</v>
      </c>
      <c r="S2" t="s">
        <v>8</v>
      </c>
      <c r="T2" t="s">
        <v>7</v>
      </c>
      <c r="U2" t="s">
        <v>6</v>
      </c>
    </row>
    <row r="3" spans="1:21" x14ac:dyDescent="0.25">
      <c r="A3">
        <v>2021</v>
      </c>
      <c r="B3">
        <v>111</v>
      </c>
      <c r="C3" s="4">
        <v>44307</v>
      </c>
      <c r="D3" t="s">
        <v>5</v>
      </c>
      <c r="E3">
        <v>20</v>
      </c>
      <c r="F3" s="1">
        <v>8.3000000000000007</v>
      </c>
      <c r="G3" s="1">
        <v>7.2</v>
      </c>
      <c r="H3" s="3">
        <v>0.82</v>
      </c>
      <c r="I3" s="1">
        <v>1.2</v>
      </c>
      <c r="J3" s="1">
        <v>1.7</v>
      </c>
      <c r="K3" s="1">
        <v>3.7</v>
      </c>
      <c r="L3" s="2">
        <v>338</v>
      </c>
      <c r="M3" s="1">
        <v>79</v>
      </c>
      <c r="N3" s="3">
        <v>2.16</v>
      </c>
      <c r="O3" s="1">
        <v>7.1</v>
      </c>
      <c r="P3" s="1">
        <v>10.7</v>
      </c>
      <c r="Q3" s="3">
        <v>2.92</v>
      </c>
      <c r="R3" s="2">
        <v>3188</v>
      </c>
      <c r="S3" s="2">
        <v>269</v>
      </c>
      <c r="T3" s="2">
        <v>646</v>
      </c>
      <c r="U3" s="1">
        <v>21.9</v>
      </c>
    </row>
    <row r="4" spans="1:21" x14ac:dyDescent="0.25">
      <c r="A4">
        <v>2021</v>
      </c>
      <c r="B4">
        <v>111</v>
      </c>
      <c r="C4" s="4">
        <v>44307</v>
      </c>
      <c r="D4" t="s">
        <v>5</v>
      </c>
      <c r="E4">
        <v>60</v>
      </c>
      <c r="F4" s="1">
        <v>8.5</v>
      </c>
      <c r="G4" s="1">
        <v>7.2</v>
      </c>
      <c r="H4" s="3">
        <v>0.65</v>
      </c>
      <c r="I4" s="1">
        <v>1.1000000000000001</v>
      </c>
      <c r="J4" s="1">
        <v>5.2</v>
      </c>
      <c r="K4" s="1">
        <v>6</v>
      </c>
      <c r="L4" s="2">
        <v>262</v>
      </c>
      <c r="M4" s="1">
        <v>85.3</v>
      </c>
      <c r="N4" s="3">
        <v>2.64</v>
      </c>
      <c r="O4" s="1">
        <v>6.8</v>
      </c>
      <c r="P4" s="1">
        <v>9.1</v>
      </c>
      <c r="Q4" s="3">
        <v>2.3199999999999998</v>
      </c>
      <c r="R4" s="2">
        <v>4164</v>
      </c>
      <c r="S4" s="2">
        <v>271</v>
      </c>
      <c r="T4" s="2">
        <v>625</v>
      </c>
      <c r="U4" s="1">
        <v>26.5</v>
      </c>
    </row>
    <row r="5" spans="1:21" x14ac:dyDescent="0.25">
      <c r="A5">
        <v>2021</v>
      </c>
      <c r="B5">
        <v>111</v>
      </c>
      <c r="C5" s="4">
        <v>44307</v>
      </c>
      <c r="D5" t="s">
        <v>5</v>
      </c>
      <c r="E5">
        <v>100</v>
      </c>
      <c r="F5" s="1">
        <v>8.3000000000000007</v>
      </c>
      <c r="G5" s="1">
        <v>7.2</v>
      </c>
      <c r="H5" s="3">
        <v>0.99</v>
      </c>
      <c r="I5" s="1">
        <v>1</v>
      </c>
      <c r="J5" s="1">
        <v>11</v>
      </c>
      <c r="K5" s="1">
        <v>10.7</v>
      </c>
      <c r="L5" s="2">
        <v>269</v>
      </c>
      <c r="M5" s="1">
        <v>130.80000000000001</v>
      </c>
      <c r="N5" s="3">
        <v>3.08</v>
      </c>
      <c r="O5" s="1">
        <v>6.8</v>
      </c>
      <c r="P5" s="1">
        <v>9.1</v>
      </c>
      <c r="Q5" s="3">
        <v>2.09</v>
      </c>
      <c r="R5" s="2">
        <v>4435</v>
      </c>
      <c r="S5" s="2">
        <v>287</v>
      </c>
      <c r="T5" s="2">
        <v>734</v>
      </c>
      <c r="U5" s="1">
        <v>28.4</v>
      </c>
    </row>
    <row r="6" spans="1:21" x14ac:dyDescent="0.25">
      <c r="A6">
        <v>2021</v>
      </c>
      <c r="B6">
        <v>111</v>
      </c>
      <c r="C6" s="4">
        <v>44307</v>
      </c>
      <c r="D6" t="s">
        <v>5</v>
      </c>
      <c r="E6">
        <v>140</v>
      </c>
      <c r="F6" s="1">
        <v>8.3000000000000007</v>
      </c>
      <c r="G6" s="1">
        <v>7.2</v>
      </c>
      <c r="H6" s="3">
        <v>0.9</v>
      </c>
      <c r="I6" s="1">
        <v>1</v>
      </c>
      <c r="J6" s="1">
        <v>4.8</v>
      </c>
      <c r="K6" s="1">
        <v>6.2</v>
      </c>
      <c r="L6" s="2">
        <v>249</v>
      </c>
      <c r="M6" s="1">
        <v>91</v>
      </c>
      <c r="N6" s="3">
        <v>2.54</v>
      </c>
      <c r="O6" s="1">
        <v>6</v>
      </c>
      <c r="P6" s="1">
        <v>7.8</v>
      </c>
      <c r="Q6" s="3">
        <v>1.81</v>
      </c>
      <c r="R6" s="2">
        <v>4205</v>
      </c>
      <c r="S6" s="2">
        <v>296</v>
      </c>
      <c r="T6" s="2">
        <v>580</v>
      </c>
      <c r="U6" s="1">
        <v>26.7</v>
      </c>
    </row>
    <row r="7" spans="1:21" x14ac:dyDescent="0.25">
      <c r="A7">
        <v>2021</v>
      </c>
      <c r="B7">
        <v>111</v>
      </c>
      <c r="C7" s="4">
        <v>44307</v>
      </c>
      <c r="D7" t="s">
        <v>5</v>
      </c>
      <c r="E7">
        <v>180</v>
      </c>
      <c r="F7" s="1">
        <v>8.3000000000000007</v>
      </c>
      <c r="G7" s="1">
        <v>7.2</v>
      </c>
      <c r="H7" s="3">
        <v>0.76</v>
      </c>
      <c r="I7" s="1">
        <v>0.7</v>
      </c>
      <c r="J7" s="1">
        <v>5.2</v>
      </c>
      <c r="K7" s="1">
        <v>6</v>
      </c>
      <c r="L7" s="2">
        <v>138</v>
      </c>
      <c r="M7" s="1">
        <v>82.9</v>
      </c>
      <c r="N7" s="3">
        <v>2.37</v>
      </c>
      <c r="O7" s="1">
        <v>4.7</v>
      </c>
      <c r="P7" s="1">
        <v>2.9</v>
      </c>
      <c r="Q7" s="3">
        <v>0.71</v>
      </c>
      <c r="R7" s="2">
        <v>4000</v>
      </c>
      <c r="S7" s="2">
        <v>269</v>
      </c>
      <c r="T7" s="2">
        <v>418</v>
      </c>
      <c r="U7" s="1">
        <v>24.4</v>
      </c>
    </row>
    <row r="8" spans="1:21" x14ac:dyDescent="0.25">
      <c r="A8">
        <v>2021</v>
      </c>
      <c r="B8">
        <v>111</v>
      </c>
      <c r="C8" s="4">
        <v>44307</v>
      </c>
      <c r="D8" t="s">
        <v>4</v>
      </c>
      <c r="E8">
        <v>20</v>
      </c>
      <c r="F8" s="1">
        <v>8.3000000000000007</v>
      </c>
      <c r="G8" s="1">
        <v>7.2</v>
      </c>
      <c r="H8" s="3">
        <v>0.65</v>
      </c>
      <c r="I8" s="1">
        <v>1.2</v>
      </c>
      <c r="J8" s="1">
        <v>1.1000000000000001</v>
      </c>
      <c r="K8" s="1">
        <v>4</v>
      </c>
      <c r="L8" s="2">
        <v>348</v>
      </c>
      <c r="M8" s="1">
        <v>117.2</v>
      </c>
      <c r="N8" s="3">
        <v>1.58</v>
      </c>
      <c r="O8" s="1">
        <v>7.5</v>
      </c>
      <c r="P8" s="1">
        <v>9</v>
      </c>
      <c r="Q8" s="3">
        <v>3.15</v>
      </c>
      <c r="R8" s="2">
        <v>3427</v>
      </c>
      <c r="S8" s="2">
        <v>309</v>
      </c>
      <c r="T8" s="2">
        <v>648</v>
      </c>
      <c r="U8" s="1">
        <v>23.4</v>
      </c>
    </row>
    <row r="9" spans="1:21" x14ac:dyDescent="0.25">
      <c r="A9">
        <v>2021</v>
      </c>
      <c r="B9">
        <v>111</v>
      </c>
      <c r="C9" s="4">
        <v>44307</v>
      </c>
      <c r="D9" t="s">
        <v>4</v>
      </c>
      <c r="E9">
        <v>60</v>
      </c>
      <c r="F9" s="1">
        <v>8.6</v>
      </c>
      <c r="G9" s="1">
        <v>7.2</v>
      </c>
      <c r="H9" s="3">
        <v>0.76</v>
      </c>
      <c r="I9" s="1">
        <v>0.7</v>
      </c>
      <c r="J9" s="1">
        <v>2.2000000000000002</v>
      </c>
      <c r="K9" s="1">
        <v>4.0999999999999996</v>
      </c>
      <c r="L9" s="2">
        <v>193</v>
      </c>
      <c r="M9" s="1">
        <v>81.3</v>
      </c>
      <c r="N9" s="3">
        <v>0.9</v>
      </c>
      <c r="O9" s="1">
        <v>6.7</v>
      </c>
      <c r="P9" s="1">
        <v>5.5</v>
      </c>
      <c r="Q9" s="3">
        <v>1.99</v>
      </c>
      <c r="R9" s="2">
        <v>3852</v>
      </c>
      <c r="S9" s="2">
        <v>310</v>
      </c>
      <c r="T9" s="2">
        <v>779</v>
      </c>
      <c r="U9" s="1">
        <v>25.7</v>
      </c>
    </row>
    <row r="10" spans="1:21" x14ac:dyDescent="0.25">
      <c r="A10">
        <v>2021</v>
      </c>
      <c r="B10">
        <v>111</v>
      </c>
      <c r="C10" s="4">
        <v>44307</v>
      </c>
      <c r="D10" t="s">
        <v>4</v>
      </c>
      <c r="E10">
        <v>100</v>
      </c>
      <c r="F10" s="1">
        <v>8.4</v>
      </c>
      <c r="G10" s="1">
        <v>7.2</v>
      </c>
      <c r="H10" s="3">
        <v>1.3</v>
      </c>
      <c r="I10" s="1">
        <v>0.7</v>
      </c>
      <c r="J10" s="1">
        <v>3.5</v>
      </c>
      <c r="K10" s="1">
        <v>3.8</v>
      </c>
      <c r="L10" s="2">
        <v>150</v>
      </c>
      <c r="M10" s="1">
        <v>207.2</v>
      </c>
      <c r="N10" s="3">
        <v>0.57999999999999996</v>
      </c>
      <c r="O10" s="1">
        <v>4.5</v>
      </c>
      <c r="P10" s="1">
        <v>2.7</v>
      </c>
      <c r="Q10" s="3">
        <v>0.89</v>
      </c>
      <c r="R10" s="2">
        <v>4532</v>
      </c>
      <c r="S10" s="2">
        <v>351</v>
      </c>
      <c r="T10" s="2">
        <v>947</v>
      </c>
      <c r="U10" s="1">
        <v>30.1</v>
      </c>
    </row>
    <row r="11" spans="1:21" x14ac:dyDescent="0.25">
      <c r="A11">
        <v>2021</v>
      </c>
      <c r="B11">
        <v>111</v>
      </c>
      <c r="C11" s="4">
        <v>44307</v>
      </c>
      <c r="D11" t="s">
        <v>4</v>
      </c>
      <c r="E11">
        <v>140</v>
      </c>
      <c r="F11" s="1">
        <v>8.4</v>
      </c>
      <c r="G11" s="1">
        <v>7.2</v>
      </c>
      <c r="H11" s="3">
        <v>1.01</v>
      </c>
      <c r="I11" s="1">
        <v>0.6</v>
      </c>
      <c r="J11" s="1">
        <v>1.7</v>
      </c>
      <c r="K11" s="1">
        <v>4.9000000000000004</v>
      </c>
      <c r="L11" s="2">
        <v>106</v>
      </c>
      <c r="M11" s="1">
        <v>92.9</v>
      </c>
      <c r="N11" s="3">
        <v>0.43</v>
      </c>
      <c r="O11" s="1">
        <v>3.5</v>
      </c>
      <c r="P11" s="1">
        <v>2.2000000000000002</v>
      </c>
      <c r="Q11" s="3">
        <v>0.52</v>
      </c>
      <c r="R11" s="2">
        <v>4221</v>
      </c>
      <c r="S11" s="2">
        <v>263</v>
      </c>
      <c r="T11" s="2">
        <v>540</v>
      </c>
      <c r="U11" s="1">
        <v>25.9</v>
      </c>
    </row>
    <row r="12" spans="1:21" x14ac:dyDescent="0.25">
      <c r="A12">
        <v>2021</v>
      </c>
      <c r="B12">
        <v>111</v>
      </c>
      <c r="C12" s="4">
        <v>44307</v>
      </c>
      <c r="D12" t="s">
        <v>4</v>
      </c>
      <c r="E12">
        <v>180</v>
      </c>
      <c r="F12" s="1">
        <v>8.5</v>
      </c>
      <c r="G12" s="1">
        <v>7.2</v>
      </c>
      <c r="H12" s="3">
        <v>0.56999999999999995</v>
      </c>
      <c r="I12" s="1">
        <v>0.5</v>
      </c>
      <c r="J12" s="1">
        <v>0.9</v>
      </c>
      <c r="K12" s="1">
        <v>4.0999999999999996</v>
      </c>
      <c r="L12" s="2">
        <v>96</v>
      </c>
      <c r="M12" s="1">
        <v>48.9</v>
      </c>
      <c r="N12" s="3">
        <v>0.83</v>
      </c>
      <c r="O12" s="1">
        <v>4.0999999999999996</v>
      </c>
      <c r="P12" s="1">
        <v>2.1</v>
      </c>
      <c r="Q12" s="3">
        <v>0.5</v>
      </c>
      <c r="R12" s="2">
        <v>3705</v>
      </c>
      <c r="S12" s="2">
        <v>225</v>
      </c>
      <c r="T12" s="2">
        <v>326</v>
      </c>
      <c r="U12" s="1">
        <v>22.1</v>
      </c>
    </row>
    <row r="13" spans="1:21" x14ac:dyDescent="0.25">
      <c r="A13">
        <v>2021</v>
      </c>
      <c r="B13">
        <v>111</v>
      </c>
      <c r="C13" s="4">
        <v>44307</v>
      </c>
      <c r="D13" t="s">
        <v>3</v>
      </c>
      <c r="E13">
        <v>20</v>
      </c>
      <c r="F13" s="1">
        <v>8.4</v>
      </c>
      <c r="G13" s="1">
        <v>7.2</v>
      </c>
      <c r="H13" s="3">
        <v>0.49</v>
      </c>
      <c r="I13" s="1">
        <v>1.3</v>
      </c>
      <c r="J13" s="1">
        <v>0.7</v>
      </c>
      <c r="K13" s="1">
        <v>4.2</v>
      </c>
      <c r="L13" s="2">
        <v>349</v>
      </c>
      <c r="M13" s="1">
        <v>55.7</v>
      </c>
      <c r="N13" s="3">
        <v>1.81</v>
      </c>
      <c r="O13" s="1">
        <v>7.3</v>
      </c>
      <c r="P13" s="1">
        <v>9.6</v>
      </c>
      <c r="Q13" s="3">
        <v>2.78</v>
      </c>
      <c r="R13" s="2">
        <v>2804</v>
      </c>
      <c r="S13" s="2">
        <v>272</v>
      </c>
      <c r="T13" s="2">
        <v>470</v>
      </c>
      <c r="U13" s="1">
        <v>19.2</v>
      </c>
    </row>
    <row r="14" spans="1:21" x14ac:dyDescent="0.25">
      <c r="A14">
        <v>2021</v>
      </c>
      <c r="B14">
        <v>111</v>
      </c>
      <c r="C14" s="4">
        <v>44307</v>
      </c>
      <c r="D14" t="s">
        <v>3</v>
      </c>
      <c r="E14">
        <v>60</v>
      </c>
      <c r="F14" s="1">
        <v>8.9</v>
      </c>
      <c r="G14" s="1">
        <v>7.2</v>
      </c>
      <c r="H14" s="3">
        <v>0.54</v>
      </c>
      <c r="I14" s="1">
        <v>0.8</v>
      </c>
      <c r="J14" s="1">
        <v>1</v>
      </c>
      <c r="K14" s="1">
        <v>4.9000000000000004</v>
      </c>
      <c r="L14" s="2">
        <v>219</v>
      </c>
      <c r="M14" s="1">
        <v>55.4</v>
      </c>
      <c r="N14" s="3">
        <v>0.71</v>
      </c>
      <c r="O14" s="1">
        <v>6.2</v>
      </c>
      <c r="P14" s="1">
        <v>7.3</v>
      </c>
      <c r="Q14" s="3">
        <v>1.87</v>
      </c>
      <c r="R14" s="2">
        <v>3701</v>
      </c>
      <c r="S14" s="2">
        <v>251</v>
      </c>
      <c r="T14" s="2">
        <v>701</v>
      </c>
      <c r="U14" s="1">
        <v>24.2</v>
      </c>
    </row>
    <row r="15" spans="1:21" x14ac:dyDescent="0.25">
      <c r="A15">
        <v>2021</v>
      </c>
      <c r="B15">
        <v>111</v>
      </c>
      <c r="C15" s="4">
        <v>44307</v>
      </c>
      <c r="D15" t="s">
        <v>3</v>
      </c>
      <c r="E15">
        <v>100</v>
      </c>
      <c r="F15" s="1">
        <v>8.6999999999999993</v>
      </c>
      <c r="G15" s="1">
        <v>7.2</v>
      </c>
      <c r="H15" s="3">
        <v>0.63</v>
      </c>
      <c r="I15" s="1">
        <v>0.6</v>
      </c>
      <c r="J15" s="1">
        <v>1.8</v>
      </c>
      <c r="K15" s="1">
        <v>4.5</v>
      </c>
      <c r="L15" s="2">
        <v>169</v>
      </c>
      <c r="M15" s="1">
        <v>84.8</v>
      </c>
      <c r="N15" s="3">
        <v>0.34</v>
      </c>
      <c r="O15" s="1">
        <v>4.5</v>
      </c>
      <c r="P15" s="1">
        <v>3.5</v>
      </c>
      <c r="Q15" s="3">
        <v>1.1399999999999999</v>
      </c>
      <c r="R15" s="2">
        <v>3928</v>
      </c>
      <c r="S15" s="2">
        <v>243</v>
      </c>
      <c r="T15" s="2">
        <v>596</v>
      </c>
      <c r="U15" s="1">
        <v>24.7</v>
      </c>
    </row>
    <row r="16" spans="1:21" x14ac:dyDescent="0.25">
      <c r="A16">
        <v>2021</v>
      </c>
      <c r="B16">
        <v>111</v>
      </c>
      <c r="C16" s="4">
        <v>44307</v>
      </c>
      <c r="D16" t="s">
        <v>3</v>
      </c>
      <c r="E16">
        <v>140</v>
      </c>
      <c r="F16" s="1">
        <v>8.4</v>
      </c>
      <c r="G16" s="1">
        <v>7.2</v>
      </c>
      <c r="H16" s="3">
        <v>0.81</v>
      </c>
      <c r="I16" s="1">
        <v>0.7</v>
      </c>
      <c r="J16" s="1">
        <v>5.2</v>
      </c>
      <c r="K16" s="1">
        <v>4.0999999999999996</v>
      </c>
      <c r="L16" s="2">
        <v>143</v>
      </c>
      <c r="M16" s="1">
        <v>154.9</v>
      </c>
      <c r="N16" s="3">
        <v>0.25</v>
      </c>
      <c r="O16" s="1">
        <v>4</v>
      </c>
      <c r="P16" s="1">
        <v>1.9</v>
      </c>
      <c r="Q16" s="3">
        <v>0.55000000000000004</v>
      </c>
      <c r="R16" s="2">
        <v>4302</v>
      </c>
      <c r="S16" s="2">
        <v>288</v>
      </c>
      <c r="T16" s="2">
        <v>514</v>
      </c>
      <c r="U16" s="1">
        <v>26.5</v>
      </c>
    </row>
    <row r="17" spans="1:21" x14ac:dyDescent="0.25">
      <c r="A17">
        <v>2021</v>
      </c>
      <c r="B17">
        <v>111</v>
      </c>
      <c r="C17" s="4">
        <v>44307</v>
      </c>
      <c r="D17" t="s">
        <v>3</v>
      </c>
      <c r="E17">
        <v>180</v>
      </c>
      <c r="F17" s="1">
        <v>8.4</v>
      </c>
      <c r="G17" s="1">
        <v>7.2</v>
      </c>
      <c r="H17" s="3">
        <v>0.9</v>
      </c>
      <c r="I17" s="1">
        <v>0.7</v>
      </c>
      <c r="J17" s="1">
        <v>2.1</v>
      </c>
      <c r="K17" s="1">
        <v>3.4</v>
      </c>
      <c r="L17" s="2">
        <v>133</v>
      </c>
      <c r="M17" s="1">
        <v>107.7</v>
      </c>
      <c r="N17" s="3">
        <v>0.37</v>
      </c>
      <c r="O17" s="1">
        <v>4.8</v>
      </c>
      <c r="P17" s="1">
        <v>3.3</v>
      </c>
      <c r="Q17" s="3">
        <v>0.59</v>
      </c>
      <c r="R17" s="2">
        <v>4127</v>
      </c>
      <c r="S17" s="2">
        <v>259</v>
      </c>
      <c r="T17" s="2">
        <v>338</v>
      </c>
      <c r="U17" s="1">
        <v>24.6</v>
      </c>
    </row>
    <row r="18" spans="1:21" x14ac:dyDescent="0.25">
      <c r="A18">
        <v>2021</v>
      </c>
      <c r="B18">
        <v>111</v>
      </c>
      <c r="C18" s="4">
        <v>44307</v>
      </c>
      <c r="D18" t="s">
        <v>2</v>
      </c>
      <c r="E18">
        <v>20</v>
      </c>
      <c r="F18" s="1">
        <v>8.5</v>
      </c>
      <c r="G18" s="1">
        <v>7.2</v>
      </c>
      <c r="H18" s="3">
        <v>0.53</v>
      </c>
      <c r="I18" s="1">
        <v>1.1000000000000001</v>
      </c>
      <c r="J18" s="1">
        <v>0.9</v>
      </c>
      <c r="K18" s="1">
        <v>3.8</v>
      </c>
      <c r="L18" s="2">
        <v>295</v>
      </c>
      <c r="M18" s="1">
        <v>33.700000000000003</v>
      </c>
      <c r="N18" s="3">
        <v>1.42</v>
      </c>
      <c r="O18" s="1">
        <v>7.5</v>
      </c>
      <c r="P18" s="1">
        <v>11.1</v>
      </c>
      <c r="Q18" s="3">
        <v>3.16</v>
      </c>
      <c r="R18" s="2">
        <v>2958</v>
      </c>
      <c r="S18" s="2">
        <v>262</v>
      </c>
      <c r="T18" s="2">
        <v>408</v>
      </c>
      <c r="U18" s="1">
        <v>19.5</v>
      </c>
    </row>
    <row r="19" spans="1:21" x14ac:dyDescent="0.25">
      <c r="A19">
        <v>2021</v>
      </c>
      <c r="B19">
        <v>111</v>
      </c>
      <c r="C19" s="4">
        <v>44307</v>
      </c>
      <c r="D19" t="s">
        <v>2</v>
      </c>
      <c r="E19">
        <v>60</v>
      </c>
      <c r="F19" s="1">
        <v>8.6</v>
      </c>
      <c r="G19" s="1">
        <v>7.2</v>
      </c>
      <c r="H19" s="3">
        <v>0.9</v>
      </c>
      <c r="I19" s="1">
        <v>0.7</v>
      </c>
      <c r="J19" s="1">
        <v>0.6</v>
      </c>
      <c r="K19" s="1">
        <v>5.3</v>
      </c>
      <c r="L19" s="2">
        <v>238</v>
      </c>
      <c r="M19" s="1">
        <v>112.9</v>
      </c>
      <c r="N19" s="3">
        <v>1.17</v>
      </c>
      <c r="O19" s="1">
        <v>9.1999999999999993</v>
      </c>
      <c r="P19" s="1">
        <v>9.3000000000000007</v>
      </c>
      <c r="Q19" s="3">
        <v>2.06</v>
      </c>
      <c r="R19" s="2">
        <v>4317</v>
      </c>
      <c r="S19" s="2">
        <v>325</v>
      </c>
      <c r="T19" s="2">
        <v>835</v>
      </c>
      <c r="U19" s="1">
        <v>28.5</v>
      </c>
    </row>
    <row r="20" spans="1:21" x14ac:dyDescent="0.25">
      <c r="A20">
        <v>2021</v>
      </c>
      <c r="B20">
        <v>111</v>
      </c>
      <c r="C20" s="4">
        <v>44307</v>
      </c>
      <c r="D20" t="s">
        <v>2</v>
      </c>
      <c r="E20">
        <v>100</v>
      </c>
      <c r="F20" s="1">
        <v>8.4</v>
      </c>
      <c r="G20" s="1">
        <v>7.2</v>
      </c>
      <c r="H20" s="3">
        <v>1.1599999999999999</v>
      </c>
      <c r="I20" s="1">
        <v>0.7</v>
      </c>
      <c r="J20" s="1">
        <v>4.4000000000000004</v>
      </c>
      <c r="K20" s="1">
        <v>4.2</v>
      </c>
      <c r="L20" s="2">
        <v>161</v>
      </c>
      <c r="M20" s="1">
        <v>177.1</v>
      </c>
      <c r="N20" s="3">
        <v>0.52</v>
      </c>
      <c r="O20" s="1">
        <v>6.6</v>
      </c>
      <c r="P20" s="1">
        <v>6</v>
      </c>
      <c r="Q20" s="3">
        <v>1.1599999999999999</v>
      </c>
      <c r="R20" s="2">
        <v>4303</v>
      </c>
      <c r="S20" s="2">
        <v>310</v>
      </c>
      <c r="T20" s="2">
        <v>631</v>
      </c>
      <c r="U20" s="1">
        <v>27.3</v>
      </c>
    </row>
    <row r="21" spans="1:21" x14ac:dyDescent="0.25">
      <c r="A21">
        <v>2021</v>
      </c>
      <c r="B21">
        <v>111</v>
      </c>
      <c r="C21" s="4">
        <v>44307</v>
      </c>
      <c r="D21" t="s">
        <v>2</v>
      </c>
      <c r="E21">
        <v>140</v>
      </c>
      <c r="F21" s="1">
        <v>8.3000000000000007</v>
      </c>
      <c r="G21" s="1">
        <v>7.2</v>
      </c>
      <c r="H21" s="3">
        <v>1.25</v>
      </c>
      <c r="I21" s="1">
        <v>0.7</v>
      </c>
      <c r="J21" s="1">
        <v>9.6</v>
      </c>
      <c r="K21" s="1">
        <v>4</v>
      </c>
      <c r="L21" s="2">
        <v>127</v>
      </c>
      <c r="M21" s="1">
        <v>108.1</v>
      </c>
      <c r="N21" s="3">
        <v>0.4</v>
      </c>
      <c r="O21" s="1">
        <v>6.5</v>
      </c>
      <c r="P21" s="1">
        <v>4.2</v>
      </c>
      <c r="Q21" s="3">
        <v>0.77</v>
      </c>
      <c r="R21" s="2">
        <v>4267</v>
      </c>
      <c r="S21" s="2">
        <v>287</v>
      </c>
      <c r="T21" s="2">
        <v>446</v>
      </c>
      <c r="U21" s="1">
        <v>26</v>
      </c>
    </row>
    <row r="22" spans="1:21" x14ac:dyDescent="0.25">
      <c r="A22">
        <v>2021</v>
      </c>
      <c r="B22">
        <v>111</v>
      </c>
      <c r="C22" s="4">
        <v>44307</v>
      </c>
      <c r="D22" t="s">
        <v>2</v>
      </c>
      <c r="E22">
        <v>180</v>
      </c>
      <c r="F22" s="1">
        <v>8.3000000000000007</v>
      </c>
      <c r="G22" s="1">
        <v>7.2</v>
      </c>
      <c r="H22" s="3">
        <v>0.82</v>
      </c>
      <c r="I22" s="1">
        <v>0.6</v>
      </c>
      <c r="J22" s="1">
        <v>4</v>
      </c>
      <c r="K22" s="1">
        <v>3.4</v>
      </c>
      <c r="L22" s="2">
        <v>111</v>
      </c>
      <c r="M22" s="1">
        <v>70.3</v>
      </c>
      <c r="N22" s="3">
        <v>0.49</v>
      </c>
      <c r="O22" s="1">
        <v>7.6</v>
      </c>
      <c r="P22" s="1">
        <v>5.5</v>
      </c>
      <c r="Q22" s="3">
        <v>0.81</v>
      </c>
      <c r="R22" s="2">
        <v>3832</v>
      </c>
      <c r="S22" s="2">
        <v>226</v>
      </c>
      <c r="T22" s="2">
        <v>274</v>
      </c>
      <c r="U22" s="1">
        <v>22.5</v>
      </c>
    </row>
    <row r="23" spans="1:21" x14ac:dyDescent="0.25">
      <c r="A23">
        <v>2021</v>
      </c>
      <c r="B23">
        <v>111</v>
      </c>
      <c r="C23" s="4">
        <v>44307</v>
      </c>
      <c r="D23" t="s">
        <v>1</v>
      </c>
      <c r="E23">
        <v>20</v>
      </c>
      <c r="F23" s="1">
        <v>8.3000000000000007</v>
      </c>
      <c r="G23" s="1">
        <v>7.2</v>
      </c>
      <c r="H23" s="3">
        <v>1</v>
      </c>
      <c r="I23" s="1">
        <v>1.4</v>
      </c>
      <c r="J23" s="1">
        <v>0.7</v>
      </c>
      <c r="K23" s="1">
        <v>3.9</v>
      </c>
      <c r="L23" s="2">
        <v>322</v>
      </c>
      <c r="M23" s="1">
        <v>76.400000000000006</v>
      </c>
      <c r="N23" s="3">
        <v>1.8</v>
      </c>
      <c r="O23" s="1">
        <v>7.2</v>
      </c>
      <c r="P23" s="1">
        <v>11</v>
      </c>
      <c r="Q23" s="3">
        <v>2.71</v>
      </c>
      <c r="R23" s="2">
        <v>2860</v>
      </c>
      <c r="S23" s="2">
        <v>275</v>
      </c>
      <c r="T23" s="2">
        <v>513</v>
      </c>
      <c r="U23" s="1">
        <v>19.600000000000001</v>
      </c>
    </row>
    <row r="24" spans="1:21" x14ac:dyDescent="0.25">
      <c r="A24">
        <v>2021</v>
      </c>
      <c r="B24">
        <v>111</v>
      </c>
      <c r="C24" s="4">
        <v>44307</v>
      </c>
      <c r="D24" t="s">
        <v>1</v>
      </c>
      <c r="E24">
        <v>60</v>
      </c>
      <c r="F24" s="1">
        <v>8.5</v>
      </c>
      <c r="G24" s="1">
        <v>7.2</v>
      </c>
      <c r="H24" s="3">
        <v>1.33</v>
      </c>
      <c r="I24" s="1">
        <v>0.8</v>
      </c>
      <c r="J24" s="1">
        <v>0.6</v>
      </c>
      <c r="K24" s="1">
        <v>4.8</v>
      </c>
      <c r="L24" s="2">
        <v>206</v>
      </c>
      <c r="M24" s="1">
        <v>162.30000000000001</v>
      </c>
      <c r="N24" s="3">
        <v>0.7</v>
      </c>
      <c r="O24" s="1">
        <v>11.9</v>
      </c>
      <c r="P24" s="1">
        <v>8.9</v>
      </c>
      <c r="Q24" s="3">
        <v>1.6</v>
      </c>
      <c r="R24" s="2">
        <v>3559</v>
      </c>
      <c r="S24" s="2">
        <v>299</v>
      </c>
      <c r="T24" s="2">
        <v>946</v>
      </c>
      <c r="U24" s="1">
        <v>24.9</v>
      </c>
    </row>
    <row r="25" spans="1:21" x14ac:dyDescent="0.25">
      <c r="A25">
        <v>2021</v>
      </c>
      <c r="B25">
        <v>111</v>
      </c>
      <c r="C25" s="4">
        <v>44307</v>
      </c>
      <c r="D25" t="s">
        <v>1</v>
      </c>
      <c r="E25">
        <v>100</v>
      </c>
      <c r="F25" s="1">
        <v>8.4</v>
      </c>
      <c r="G25" s="1">
        <v>7.2</v>
      </c>
      <c r="H25" s="3">
        <v>1.25</v>
      </c>
      <c r="I25" s="1">
        <v>0.9</v>
      </c>
      <c r="J25" s="1">
        <v>3.1</v>
      </c>
      <c r="K25" s="1">
        <v>3.5</v>
      </c>
      <c r="L25" s="2">
        <v>164</v>
      </c>
      <c r="M25" s="1">
        <v>173.5</v>
      </c>
      <c r="N25" s="3">
        <v>0.56999999999999995</v>
      </c>
      <c r="O25" s="1">
        <v>9.3000000000000007</v>
      </c>
      <c r="P25" s="1">
        <v>6.3</v>
      </c>
      <c r="Q25" s="3">
        <v>1.04</v>
      </c>
      <c r="R25" s="2">
        <v>4356</v>
      </c>
      <c r="S25" s="2">
        <v>305</v>
      </c>
      <c r="T25" s="2">
        <v>695</v>
      </c>
      <c r="U25" s="1">
        <v>27.8</v>
      </c>
    </row>
    <row r="26" spans="1:21" x14ac:dyDescent="0.25">
      <c r="A26">
        <v>2021</v>
      </c>
      <c r="B26">
        <v>111</v>
      </c>
      <c r="C26" s="4">
        <v>44307</v>
      </c>
      <c r="D26" t="s">
        <v>1</v>
      </c>
      <c r="E26">
        <v>140</v>
      </c>
      <c r="F26" s="1">
        <v>8.3000000000000007</v>
      </c>
      <c r="G26" s="1">
        <v>7.2</v>
      </c>
      <c r="H26" s="3">
        <v>1.08</v>
      </c>
      <c r="I26" s="1">
        <v>0.8</v>
      </c>
      <c r="J26" s="1">
        <v>2.7</v>
      </c>
      <c r="K26" s="1">
        <v>3.7</v>
      </c>
      <c r="L26" s="2">
        <v>178</v>
      </c>
      <c r="M26" s="1">
        <v>141.30000000000001</v>
      </c>
      <c r="N26" s="3">
        <v>0.63</v>
      </c>
      <c r="O26" s="1">
        <v>7.9</v>
      </c>
      <c r="P26" s="1">
        <v>5.0999999999999996</v>
      </c>
      <c r="Q26" s="3">
        <v>0.8</v>
      </c>
      <c r="R26" s="2">
        <v>4406</v>
      </c>
      <c r="S26" s="2">
        <v>379</v>
      </c>
      <c r="T26" s="2">
        <v>574</v>
      </c>
      <c r="U26" s="1">
        <v>28.1</v>
      </c>
    </row>
    <row r="27" spans="1:21" x14ac:dyDescent="0.25">
      <c r="A27">
        <v>2021</v>
      </c>
      <c r="B27">
        <v>111</v>
      </c>
      <c r="C27" s="4">
        <v>44307</v>
      </c>
      <c r="D27" t="s">
        <v>1</v>
      </c>
      <c r="E27">
        <v>180</v>
      </c>
      <c r="F27" s="1">
        <v>8.4</v>
      </c>
      <c r="G27" s="1">
        <v>7.2</v>
      </c>
      <c r="H27" s="3">
        <v>0.94</v>
      </c>
      <c r="I27" s="1">
        <v>0.7</v>
      </c>
      <c r="J27" s="1">
        <v>1.4</v>
      </c>
      <c r="K27" s="1">
        <v>4.0999999999999996</v>
      </c>
      <c r="L27" s="2">
        <v>129</v>
      </c>
      <c r="M27" s="1">
        <v>99.4</v>
      </c>
      <c r="N27" s="3">
        <v>0.8</v>
      </c>
      <c r="O27" s="1">
        <v>6.4</v>
      </c>
      <c r="P27" s="1">
        <v>4.5</v>
      </c>
      <c r="Q27" s="3">
        <v>0.62</v>
      </c>
      <c r="R27" s="2">
        <v>3911</v>
      </c>
      <c r="S27" s="2">
        <v>321</v>
      </c>
      <c r="T27" s="2">
        <v>341</v>
      </c>
      <c r="U27" s="1">
        <v>24</v>
      </c>
    </row>
    <row r="28" spans="1:21" x14ac:dyDescent="0.25">
      <c r="A28">
        <v>2021</v>
      </c>
      <c r="B28">
        <v>111</v>
      </c>
      <c r="C28" s="4">
        <v>44307</v>
      </c>
      <c r="D28" t="s">
        <v>0</v>
      </c>
      <c r="E28">
        <v>20</v>
      </c>
      <c r="F28" s="1">
        <v>8.4</v>
      </c>
      <c r="G28" s="1">
        <v>7.2</v>
      </c>
      <c r="H28" s="3">
        <v>1.1399999999999999</v>
      </c>
      <c r="I28" s="1">
        <v>1</v>
      </c>
      <c r="J28" s="1">
        <v>0.9</v>
      </c>
      <c r="K28" s="1">
        <v>4</v>
      </c>
      <c r="L28" s="2">
        <v>244</v>
      </c>
      <c r="M28" s="1">
        <v>122.3</v>
      </c>
      <c r="N28" s="3">
        <v>1.1499999999999999</v>
      </c>
      <c r="O28" s="1">
        <v>5.8</v>
      </c>
      <c r="P28" s="1">
        <v>8.5</v>
      </c>
      <c r="Q28" s="3">
        <v>2.5499999999999998</v>
      </c>
      <c r="R28" s="2">
        <v>3122</v>
      </c>
      <c r="S28" s="2">
        <v>264</v>
      </c>
      <c r="T28" s="2">
        <v>658</v>
      </c>
      <c r="U28" s="1">
        <v>21.3</v>
      </c>
    </row>
    <row r="29" spans="1:21" x14ac:dyDescent="0.25">
      <c r="A29">
        <v>2021</v>
      </c>
      <c r="B29">
        <v>111</v>
      </c>
      <c r="C29" s="4">
        <v>44307</v>
      </c>
      <c r="D29" t="s">
        <v>0</v>
      </c>
      <c r="E29">
        <v>60</v>
      </c>
      <c r="F29" s="1">
        <v>8.4</v>
      </c>
      <c r="G29" s="1">
        <v>7.2</v>
      </c>
      <c r="H29" s="3">
        <v>1.39</v>
      </c>
      <c r="I29" s="1">
        <v>0.7</v>
      </c>
      <c r="J29" s="1">
        <v>4.3</v>
      </c>
      <c r="K29" s="1">
        <v>5.4</v>
      </c>
      <c r="L29" s="2">
        <v>154</v>
      </c>
      <c r="M29" s="1">
        <v>142.30000000000001</v>
      </c>
      <c r="N29" s="3">
        <v>0.45</v>
      </c>
      <c r="O29" s="1">
        <v>4.8</v>
      </c>
      <c r="P29" s="1">
        <v>3.9</v>
      </c>
      <c r="Q29" s="3">
        <v>1.1100000000000001</v>
      </c>
      <c r="R29" s="2">
        <v>4467</v>
      </c>
      <c r="S29" s="2">
        <v>329</v>
      </c>
      <c r="T29" s="2">
        <v>1053</v>
      </c>
      <c r="U29" s="1">
        <v>30.1</v>
      </c>
    </row>
    <row r="30" spans="1:21" x14ac:dyDescent="0.25">
      <c r="A30">
        <v>2021</v>
      </c>
      <c r="B30">
        <v>111</v>
      </c>
      <c r="C30" s="4">
        <v>44307</v>
      </c>
      <c r="D30" t="s">
        <v>0</v>
      </c>
      <c r="E30">
        <v>100</v>
      </c>
      <c r="F30" s="1">
        <v>8.4</v>
      </c>
      <c r="G30" s="1">
        <v>7.2</v>
      </c>
      <c r="H30" s="3">
        <v>1.17</v>
      </c>
      <c r="I30" s="1">
        <v>0.7</v>
      </c>
      <c r="J30" s="1">
        <v>2.9</v>
      </c>
      <c r="K30" s="1">
        <v>3.4</v>
      </c>
      <c r="L30" s="2">
        <v>83</v>
      </c>
      <c r="M30" s="1">
        <v>115.9</v>
      </c>
      <c r="N30" s="3">
        <v>0.39</v>
      </c>
      <c r="O30" s="1">
        <v>6.1</v>
      </c>
      <c r="P30" s="1">
        <v>3.4</v>
      </c>
      <c r="Q30" s="3">
        <v>0.56000000000000005</v>
      </c>
      <c r="R30" s="2">
        <v>3857</v>
      </c>
      <c r="S30" s="2">
        <v>231</v>
      </c>
      <c r="T30" s="2">
        <v>584</v>
      </c>
      <c r="U30" s="1">
        <v>24</v>
      </c>
    </row>
    <row r="31" spans="1:21" x14ac:dyDescent="0.25">
      <c r="A31">
        <v>2021</v>
      </c>
      <c r="B31">
        <v>111</v>
      </c>
      <c r="C31" s="4">
        <v>44307</v>
      </c>
      <c r="D31" t="s">
        <v>0</v>
      </c>
      <c r="E31">
        <v>140</v>
      </c>
      <c r="F31" s="1">
        <v>8.3000000000000007</v>
      </c>
      <c r="G31" s="1">
        <v>7.2</v>
      </c>
      <c r="H31" s="3">
        <v>1.04</v>
      </c>
      <c r="I31" s="1">
        <v>0.6</v>
      </c>
      <c r="J31" s="1">
        <v>1.9</v>
      </c>
      <c r="K31" s="1">
        <v>3.2</v>
      </c>
      <c r="L31" s="2">
        <v>92</v>
      </c>
      <c r="M31" s="1">
        <v>101.3</v>
      </c>
      <c r="N31" s="3">
        <v>0.33</v>
      </c>
      <c r="O31" s="1">
        <v>4.5999999999999996</v>
      </c>
      <c r="P31" s="1">
        <v>2.5</v>
      </c>
      <c r="Q31" s="3">
        <v>0.45</v>
      </c>
      <c r="R31" s="2">
        <v>3896</v>
      </c>
      <c r="S31" s="2">
        <v>252</v>
      </c>
      <c r="T31" s="2">
        <v>390</v>
      </c>
      <c r="U31" s="1">
        <v>23.5</v>
      </c>
    </row>
    <row r="32" spans="1:21" x14ac:dyDescent="0.25">
      <c r="A32">
        <v>2021</v>
      </c>
      <c r="B32">
        <v>111</v>
      </c>
      <c r="C32" s="4">
        <v>44307</v>
      </c>
      <c r="D32" t="s">
        <v>0</v>
      </c>
      <c r="E32">
        <v>180</v>
      </c>
      <c r="F32" s="1">
        <v>8.3000000000000007</v>
      </c>
      <c r="G32" s="1">
        <v>7.2</v>
      </c>
      <c r="H32" s="3">
        <v>1.06</v>
      </c>
      <c r="I32" s="1">
        <v>0.8</v>
      </c>
      <c r="J32" s="1">
        <v>2.2999999999999998</v>
      </c>
      <c r="K32" s="1">
        <v>3.4</v>
      </c>
      <c r="L32" s="2">
        <v>92</v>
      </c>
      <c r="M32" s="1">
        <v>104.6</v>
      </c>
      <c r="N32" s="3">
        <v>0.36</v>
      </c>
      <c r="O32" s="1">
        <v>4.8</v>
      </c>
      <c r="P32" s="1">
        <v>2.1</v>
      </c>
      <c r="Q32" s="3">
        <v>0.33</v>
      </c>
      <c r="R32" s="2">
        <v>5319</v>
      </c>
      <c r="S32" s="2">
        <v>269</v>
      </c>
      <c r="T32" s="2">
        <v>276</v>
      </c>
      <c r="U32" s="1">
        <v>30.3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2234-DA60-455F-B98C-3B792A16AFDE}">
  <dimension ref="A1:GS50"/>
  <sheetViews>
    <sheetView topLeftCell="E1" workbookViewId="0">
      <selection activeCell="M1" sqref="M1:AY31"/>
    </sheetView>
  </sheetViews>
  <sheetFormatPr defaultRowHeight="15" x14ac:dyDescent="0.25"/>
  <cols>
    <col min="13" max="13" width="13.85546875" bestFit="1" customWidth="1"/>
    <col min="14" max="15" width="9.5703125" bestFit="1" customWidth="1"/>
  </cols>
  <sheetData>
    <row r="1" spans="1:201" x14ac:dyDescent="0.25">
      <c r="A1" t="s">
        <v>245</v>
      </c>
      <c r="B1" t="s">
        <v>244</v>
      </c>
      <c r="C1" t="s">
        <v>243</v>
      </c>
      <c r="D1" t="s">
        <v>242</v>
      </c>
      <c r="E1" t="s">
        <v>241</v>
      </c>
      <c r="F1" t="s">
        <v>240</v>
      </c>
      <c r="G1" t="s">
        <v>239</v>
      </c>
      <c r="H1" t="s">
        <v>238</v>
      </c>
      <c r="I1" t="s">
        <v>237</v>
      </c>
      <c r="J1" t="s">
        <v>236</v>
      </c>
      <c r="K1" t="s">
        <v>235</v>
      </c>
      <c r="L1" t="s">
        <v>234</v>
      </c>
      <c r="M1" t="s">
        <v>233</v>
      </c>
      <c r="N1" t="s">
        <v>232</v>
      </c>
      <c r="O1" t="s">
        <v>231</v>
      </c>
      <c r="P1" t="s">
        <v>230</v>
      </c>
      <c r="Q1" t="s">
        <v>229</v>
      </c>
      <c r="R1" t="s">
        <v>228</v>
      </c>
      <c r="S1" t="s">
        <v>42</v>
      </c>
      <c r="T1" t="s">
        <v>41</v>
      </c>
      <c r="U1" t="s">
        <v>40</v>
      </c>
      <c r="V1" t="s">
        <v>227</v>
      </c>
      <c r="W1" t="s">
        <v>226</v>
      </c>
      <c r="X1" t="s">
        <v>39</v>
      </c>
      <c r="Y1" t="s">
        <v>38</v>
      </c>
      <c r="Z1" t="s">
        <v>225</v>
      </c>
      <c r="AA1" t="s">
        <v>224</v>
      </c>
      <c r="AB1" t="s">
        <v>37</v>
      </c>
      <c r="AC1" t="s">
        <v>36</v>
      </c>
      <c r="AD1" t="s">
        <v>35</v>
      </c>
      <c r="AE1" t="s">
        <v>34</v>
      </c>
      <c r="AF1" t="s">
        <v>33</v>
      </c>
      <c r="AG1" t="s">
        <v>32</v>
      </c>
      <c r="AH1" t="s">
        <v>31</v>
      </c>
      <c r="AI1" t="s">
        <v>30</v>
      </c>
      <c r="AJ1" t="s">
        <v>29</v>
      </c>
      <c r="AK1" t="s">
        <v>28</v>
      </c>
      <c r="AL1" t="s">
        <v>223</v>
      </c>
      <c r="AM1" t="s">
        <v>27</v>
      </c>
      <c r="AN1" t="s">
        <v>222</v>
      </c>
      <c r="AO1" t="s">
        <v>128</v>
      </c>
      <c r="AP1" t="s">
        <v>221</v>
      </c>
      <c r="AQ1" t="s">
        <v>220</v>
      </c>
      <c r="AR1" t="s">
        <v>219</v>
      </c>
      <c r="AS1" t="s">
        <v>218</v>
      </c>
      <c r="AT1" t="s">
        <v>217</v>
      </c>
      <c r="AU1" t="s">
        <v>216</v>
      </c>
      <c r="AV1" t="s">
        <v>215</v>
      </c>
      <c r="AW1" t="s">
        <v>214</v>
      </c>
      <c r="AX1" t="s">
        <v>213</v>
      </c>
      <c r="AY1" t="s">
        <v>212</v>
      </c>
      <c r="AZ1" t="s">
        <v>211</v>
      </c>
      <c r="BA1" t="s">
        <v>210</v>
      </c>
      <c r="BB1" t="s">
        <v>209</v>
      </c>
      <c r="BC1" t="s">
        <v>208</v>
      </c>
      <c r="BD1" t="s">
        <v>207</v>
      </c>
      <c r="BE1" t="s">
        <v>206</v>
      </c>
      <c r="BF1" t="s">
        <v>205</v>
      </c>
      <c r="BG1" t="s">
        <v>204</v>
      </c>
      <c r="BH1" t="s">
        <v>203</v>
      </c>
      <c r="BI1" t="s">
        <v>202</v>
      </c>
      <c r="BJ1" t="s">
        <v>201</v>
      </c>
      <c r="BK1" t="s">
        <v>200</v>
      </c>
      <c r="BL1" t="s">
        <v>199</v>
      </c>
      <c r="BM1" t="s">
        <v>198</v>
      </c>
      <c r="BN1" t="s">
        <v>197</v>
      </c>
      <c r="BO1" t="s">
        <v>196</v>
      </c>
      <c r="BP1" t="s">
        <v>195</v>
      </c>
      <c r="BQ1" t="s">
        <v>194</v>
      </c>
      <c r="BR1" t="s">
        <v>193</v>
      </c>
      <c r="BS1" t="s">
        <v>192</v>
      </c>
      <c r="BT1" t="s">
        <v>191</v>
      </c>
      <c r="BU1" t="s">
        <v>190</v>
      </c>
      <c r="BV1" t="s">
        <v>189</v>
      </c>
      <c r="BW1" t="s">
        <v>188</v>
      </c>
      <c r="BX1" t="s">
        <v>183</v>
      </c>
      <c r="BY1" t="s">
        <v>182</v>
      </c>
      <c r="BZ1" t="s">
        <v>181</v>
      </c>
      <c r="CA1" t="s">
        <v>180</v>
      </c>
      <c r="CB1" t="s">
        <v>179</v>
      </c>
      <c r="CC1" t="s">
        <v>178</v>
      </c>
      <c r="CD1" t="s">
        <v>177</v>
      </c>
      <c r="CE1" t="s">
        <v>176</v>
      </c>
      <c r="CF1" t="s">
        <v>175</v>
      </c>
      <c r="CG1" t="s">
        <v>174</v>
      </c>
      <c r="CH1" t="s">
        <v>173</v>
      </c>
      <c r="CI1" t="s">
        <v>187</v>
      </c>
      <c r="CJ1" t="s">
        <v>186</v>
      </c>
      <c r="CK1" t="s">
        <v>183</v>
      </c>
      <c r="CL1" t="s">
        <v>182</v>
      </c>
      <c r="CM1" t="s">
        <v>181</v>
      </c>
      <c r="CN1" t="s">
        <v>180</v>
      </c>
      <c r="CO1" t="s">
        <v>179</v>
      </c>
      <c r="CP1" t="s">
        <v>178</v>
      </c>
      <c r="CQ1" t="s">
        <v>177</v>
      </c>
      <c r="CR1" t="s">
        <v>176</v>
      </c>
      <c r="CS1" t="s">
        <v>175</v>
      </c>
      <c r="CT1" t="s">
        <v>174</v>
      </c>
      <c r="CU1" t="s">
        <v>173</v>
      </c>
      <c r="CV1" t="s">
        <v>185</v>
      </c>
      <c r="CW1" t="s">
        <v>184</v>
      </c>
      <c r="CX1" t="s">
        <v>183</v>
      </c>
      <c r="CY1" t="s">
        <v>182</v>
      </c>
      <c r="CZ1" t="s">
        <v>181</v>
      </c>
      <c r="DA1" t="s">
        <v>180</v>
      </c>
      <c r="DB1" t="s">
        <v>179</v>
      </c>
      <c r="DC1" t="s">
        <v>178</v>
      </c>
      <c r="DD1" t="s">
        <v>177</v>
      </c>
      <c r="DE1" t="s">
        <v>176</v>
      </c>
      <c r="DF1" t="s">
        <v>175</v>
      </c>
      <c r="DG1" t="s">
        <v>174</v>
      </c>
      <c r="DH1" t="s">
        <v>173</v>
      </c>
      <c r="DI1" t="s">
        <v>172</v>
      </c>
      <c r="DJ1" t="s">
        <v>171</v>
      </c>
      <c r="DK1" t="s">
        <v>170</v>
      </c>
      <c r="DL1" t="s">
        <v>169</v>
      </c>
      <c r="DM1" t="s">
        <v>168</v>
      </c>
      <c r="DN1" t="s">
        <v>167</v>
      </c>
      <c r="DO1" t="s">
        <v>166</v>
      </c>
      <c r="DP1" t="s">
        <v>165</v>
      </c>
      <c r="DQ1" t="s">
        <v>164</v>
      </c>
      <c r="DR1" t="s">
        <v>163</v>
      </c>
      <c r="DS1" t="s">
        <v>162</v>
      </c>
      <c r="DT1" t="s">
        <v>161</v>
      </c>
      <c r="DU1" t="s">
        <v>160</v>
      </c>
      <c r="DV1" t="s">
        <v>159</v>
      </c>
      <c r="DW1" t="s">
        <v>158</v>
      </c>
      <c r="DX1" t="s">
        <v>157</v>
      </c>
      <c r="DY1" t="s">
        <v>156</v>
      </c>
      <c r="DZ1" t="s">
        <v>155</v>
      </c>
      <c r="EA1" t="s">
        <v>154</v>
      </c>
      <c r="EB1" t="s">
        <v>153</v>
      </c>
      <c r="EC1" t="s">
        <v>152</v>
      </c>
      <c r="ED1" t="s">
        <v>151</v>
      </c>
      <c r="EE1" t="s">
        <v>150</v>
      </c>
      <c r="EF1" t="s">
        <v>149</v>
      </c>
      <c r="EG1" t="s">
        <v>148</v>
      </c>
      <c r="EH1" t="s">
        <v>147</v>
      </c>
      <c r="EI1" t="s">
        <v>146</v>
      </c>
      <c r="EJ1" t="s">
        <v>145</v>
      </c>
      <c r="EK1" t="s">
        <v>144</v>
      </c>
      <c r="EL1" t="s">
        <v>143</v>
      </c>
      <c r="EM1" t="s">
        <v>142</v>
      </c>
      <c r="EN1" t="s">
        <v>141</v>
      </c>
      <c r="EO1" t="s">
        <v>140</v>
      </c>
      <c r="EP1" t="s">
        <v>139</v>
      </c>
      <c r="EQ1" t="s">
        <v>138</v>
      </c>
      <c r="ER1" t="s">
        <v>137</v>
      </c>
      <c r="ES1" t="s">
        <v>136</v>
      </c>
      <c r="ET1" t="s">
        <v>135</v>
      </c>
      <c r="EU1" t="s">
        <v>134</v>
      </c>
      <c r="EV1" t="s">
        <v>133</v>
      </c>
      <c r="EW1" t="s">
        <v>132</v>
      </c>
      <c r="EX1" t="s">
        <v>131</v>
      </c>
      <c r="EY1" t="s">
        <v>130</v>
      </c>
      <c r="EZ1" t="s">
        <v>129</v>
      </c>
      <c r="FA1" t="s">
        <v>128</v>
      </c>
      <c r="FB1" t="s">
        <v>127</v>
      </c>
      <c r="FC1" t="s">
        <v>126</v>
      </c>
      <c r="FD1" t="s">
        <v>125</v>
      </c>
      <c r="FE1" t="s">
        <v>124</v>
      </c>
      <c r="FF1" t="s">
        <v>123</v>
      </c>
      <c r="FG1" t="s">
        <v>122</v>
      </c>
      <c r="FH1" t="s">
        <v>121</v>
      </c>
      <c r="FI1" t="s">
        <v>120</v>
      </c>
      <c r="FJ1" t="s">
        <v>119</v>
      </c>
      <c r="FK1" t="s">
        <v>118</v>
      </c>
      <c r="FL1" t="s">
        <v>117</v>
      </c>
      <c r="FM1" t="s">
        <v>116</v>
      </c>
      <c r="FN1" t="s">
        <v>115</v>
      </c>
      <c r="FO1" t="s">
        <v>114</v>
      </c>
      <c r="FP1" t="s">
        <v>113</v>
      </c>
      <c r="FQ1" t="s">
        <v>112</v>
      </c>
      <c r="FR1" t="s">
        <v>111</v>
      </c>
      <c r="FS1" t="s">
        <v>110</v>
      </c>
      <c r="FT1" t="s">
        <v>109</v>
      </c>
      <c r="FU1" t="s">
        <v>108</v>
      </c>
      <c r="FV1" t="s">
        <v>107</v>
      </c>
      <c r="FW1" t="s">
        <v>106</v>
      </c>
      <c r="FX1" t="s">
        <v>105</v>
      </c>
      <c r="FY1" t="s">
        <v>104</v>
      </c>
      <c r="FZ1" t="s">
        <v>103</v>
      </c>
      <c r="GA1" t="s">
        <v>102</v>
      </c>
      <c r="GB1" t="s">
        <v>101</v>
      </c>
      <c r="GC1" t="s">
        <v>100</v>
      </c>
      <c r="GD1" t="s">
        <v>99</v>
      </c>
      <c r="GE1" t="s">
        <v>98</v>
      </c>
      <c r="GF1" t="s">
        <v>97</v>
      </c>
      <c r="GG1" t="s">
        <v>96</v>
      </c>
      <c r="GH1" t="s">
        <v>95</v>
      </c>
      <c r="GI1" t="s">
        <v>94</v>
      </c>
      <c r="GJ1" t="s">
        <v>93</v>
      </c>
      <c r="GK1" t="s">
        <v>92</v>
      </c>
      <c r="GL1" t="s">
        <v>91</v>
      </c>
      <c r="GM1" t="s">
        <v>90</v>
      </c>
      <c r="GN1" t="s">
        <v>89</v>
      </c>
      <c r="GO1" t="s">
        <v>88</v>
      </c>
      <c r="GP1" t="s">
        <v>87</v>
      </c>
      <c r="GQ1" t="s">
        <v>86</v>
      </c>
      <c r="GR1" t="s">
        <v>85</v>
      </c>
      <c r="GS1" t="s">
        <v>84</v>
      </c>
    </row>
    <row r="2" spans="1:201" x14ac:dyDescent="0.25">
      <c r="A2" t="s">
        <v>53</v>
      </c>
      <c r="B2">
        <v>65317</v>
      </c>
      <c r="C2">
        <v>80217</v>
      </c>
      <c r="D2" t="s">
        <v>52</v>
      </c>
      <c r="E2" t="s">
        <v>51</v>
      </c>
      <c r="F2" t="s">
        <v>50</v>
      </c>
      <c r="H2" t="s">
        <v>49</v>
      </c>
      <c r="I2" t="s">
        <v>48</v>
      </c>
      <c r="J2">
        <v>85138</v>
      </c>
      <c r="K2" t="s">
        <v>47</v>
      </c>
      <c r="L2" t="s">
        <v>46</v>
      </c>
      <c r="M2" s="8" t="s">
        <v>83</v>
      </c>
      <c r="N2" s="7">
        <v>44337</v>
      </c>
      <c r="O2" s="7">
        <v>44341</v>
      </c>
      <c r="P2">
        <v>0</v>
      </c>
      <c r="Q2">
        <v>16</v>
      </c>
      <c r="R2" t="s">
        <v>44</v>
      </c>
      <c r="S2">
        <v>8.3000000000000007</v>
      </c>
      <c r="T2">
        <v>7.2</v>
      </c>
      <c r="U2">
        <v>0.82</v>
      </c>
      <c r="V2" t="s">
        <v>43</v>
      </c>
      <c r="W2">
        <v>2</v>
      </c>
      <c r="X2">
        <v>1.2</v>
      </c>
      <c r="Y2">
        <v>1.7</v>
      </c>
      <c r="Z2">
        <v>8</v>
      </c>
      <c r="AB2">
        <v>3.7</v>
      </c>
      <c r="AC2">
        <v>338</v>
      </c>
      <c r="AD2">
        <v>79</v>
      </c>
      <c r="AE2">
        <v>2.16</v>
      </c>
      <c r="AF2">
        <v>7.1</v>
      </c>
      <c r="AG2">
        <v>10.7</v>
      </c>
      <c r="AH2">
        <v>2.92</v>
      </c>
      <c r="AI2">
        <v>3188</v>
      </c>
      <c r="AJ2">
        <v>269</v>
      </c>
      <c r="AK2">
        <v>646</v>
      </c>
      <c r="AM2">
        <v>21.9</v>
      </c>
      <c r="AN2">
        <v>0</v>
      </c>
      <c r="AO2">
        <v>4</v>
      </c>
      <c r="AP2">
        <v>73</v>
      </c>
      <c r="AQ2">
        <v>10</v>
      </c>
      <c r="AR2">
        <v>13</v>
      </c>
      <c r="AY2">
        <v>42</v>
      </c>
    </row>
    <row r="3" spans="1:201" x14ac:dyDescent="0.25">
      <c r="A3" t="s">
        <v>53</v>
      </c>
      <c r="B3">
        <v>65318</v>
      </c>
      <c r="C3">
        <v>80217</v>
      </c>
      <c r="D3" t="s">
        <v>52</v>
      </c>
      <c r="E3" t="s">
        <v>51</v>
      </c>
      <c r="F3" t="s">
        <v>50</v>
      </c>
      <c r="H3" t="s">
        <v>49</v>
      </c>
      <c r="I3" t="s">
        <v>48</v>
      </c>
      <c r="J3">
        <v>85138</v>
      </c>
      <c r="K3" t="s">
        <v>47</v>
      </c>
      <c r="L3" t="s">
        <v>46</v>
      </c>
      <c r="M3" s="8" t="s">
        <v>82</v>
      </c>
      <c r="N3" s="7">
        <v>44337</v>
      </c>
      <c r="O3" s="7">
        <v>44341</v>
      </c>
      <c r="P3">
        <v>16</v>
      </c>
      <c r="Q3">
        <v>32</v>
      </c>
      <c r="R3" t="s">
        <v>44</v>
      </c>
      <c r="S3">
        <v>8.5</v>
      </c>
      <c r="T3">
        <v>7.2</v>
      </c>
      <c r="U3">
        <v>0.65</v>
      </c>
      <c r="V3" t="s">
        <v>43</v>
      </c>
      <c r="W3">
        <v>2</v>
      </c>
      <c r="X3">
        <v>1.1000000000000001</v>
      </c>
      <c r="Y3">
        <v>5.2</v>
      </c>
      <c r="Z3">
        <v>25</v>
      </c>
      <c r="AB3">
        <v>6</v>
      </c>
      <c r="AC3">
        <v>262</v>
      </c>
      <c r="AD3">
        <v>85.3</v>
      </c>
      <c r="AE3">
        <v>2.64</v>
      </c>
      <c r="AF3">
        <v>6.8</v>
      </c>
      <c r="AG3">
        <v>9.1</v>
      </c>
      <c r="AH3">
        <v>2.3199999999999998</v>
      </c>
      <c r="AI3">
        <v>4164</v>
      </c>
      <c r="AJ3">
        <v>271</v>
      </c>
      <c r="AK3">
        <v>625</v>
      </c>
      <c r="AM3">
        <v>26.5</v>
      </c>
      <c r="AN3">
        <v>0</v>
      </c>
      <c r="AO3">
        <v>3</v>
      </c>
      <c r="AP3">
        <v>78</v>
      </c>
      <c r="AQ3">
        <v>9</v>
      </c>
      <c r="AR3">
        <v>10</v>
      </c>
      <c r="AY3">
        <v>25</v>
      </c>
    </row>
    <row r="4" spans="1:201" x14ac:dyDescent="0.25">
      <c r="A4" t="s">
        <v>53</v>
      </c>
      <c r="B4">
        <v>65319</v>
      </c>
      <c r="C4">
        <v>80217</v>
      </c>
      <c r="D4" t="s">
        <v>52</v>
      </c>
      <c r="E4" t="s">
        <v>51</v>
      </c>
      <c r="F4" t="s">
        <v>50</v>
      </c>
      <c r="H4" t="s">
        <v>49</v>
      </c>
      <c r="I4" t="s">
        <v>48</v>
      </c>
      <c r="J4">
        <v>85138</v>
      </c>
      <c r="K4" t="s">
        <v>47</v>
      </c>
      <c r="L4" t="s">
        <v>46</v>
      </c>
      <c r="M4" s="8" t="s">
        <v>81</v>
      </c>
      <c r="N4" s="7">
        <v>44337</v>
      </c>
      <c r="O4" s="7">
        <v>44341</v>
      </c>
      <c r="P4">
        <v>32</v>
      </c>
      <c r="Q4">
        <v>46</v>
      </c>
      <c r="R4" t="s">
        <v>44</v>
      </c>
      <c r="S4">
        <v>8.3000000000000007</v>
      </c>
      <c r="T4">
        <v>7.2</v>
      </c>
      <c r="U4">
        <v>0.99</v>
      </c>
      <c r="V4" t="s">
        <v>43</v>
      </c>
      <c r="W4">
        <v>2</v>
      </c>
      <c r="X4">
        <v>1</v>
      </c>
      <c r="Y4">
        <v>11</v>
      </c>
      <c r="Z4">
        <v>46</v>
      </c>
      <c r="AB4">
        <v>10.7</v>
      </c>
      <c r="AC4">
        <v>269</v>
      </c>
      <c r="AD4">
        <v>130.80000000000001</v>
      </c>
      <c r="AE4">
        <v>3.08</v>
      </c>
      <c r="AF4">
        <v>6.8</v>
      </c>
      <c r="AG4">
        <v>9.1</v>
      </c>
      <c r="AH4">
        <v>2.09</v>
      </c>
      <c r="AI4">
        <v>4435</v>
      </c>
      <c r="AJ4">
        <v>287</v>
      </c>
      <c r="AK4">
        <v>734</v>
      </c>
      <c r="AM4">
        <v>28.4</v>
      </c>
      <c r="AN4">
        <v>0</v>
      </c>
      <c r="AO4">
        <v>2</v>
      </c>
      <c r="AP4">
        <v>78</v>
      </c>
      <c r="AQ4">
        <v>8</v>
      </c>
      <c r="AR4">
        <v>11</v>
      </c>
      <c r="AY4">
        <v>23</v>
      </c>
    </row>
    <row r="5" spans="1:201" x14ac:dyDescent="0.25">
      <c r="A5" t="s">
        <v>53</v>
      </c>
      <c r="B5">
        <v>65320</v>
      </c>
      <c r="C5">
        <v>80217</v>
      </c>
      <c r="D5" t="s">
        <v>52</v>
      </c>
      <c r="E5" t="s">
        <v>51</v>
      </c>
      <c r="F5" t="s">
        <v>50</v>
      </c>
      <c r="H5" t="s">
        <v>49</v>
      </c>
      <c r="I5" t="s">
        <v>48</v>
      </c>
      <c r="J5">
        <v>85138</v>
      </c>
      <c r="K5" t="s">
        <v>47</v>
      </c>
      <c r="L5" t="s">
        <v>46</v>
      </c>
      <c r="M5" s="8" t="s">
        <v>80</v>
      </c>
      <c r="N5" s="7">
        <v>44337</v>
      </c>
      <c r="O5" s="7">
        <v>44341</v>
      </c>
      <c r="P5">
        <v>46</v>
      </c>
      <c r="Q5">
        <v>63</v>
      </c>
      <c r="R5" t="s">
        <v>44</v>
      </c>
      <c r="S5">
        <v>8.3000000000000007</v>
      </c>
      <c r="T5">
        <v>7.2</v>
      </c>
      <c r="U5">
        <v>0.9</v>
      </c>
      <c r="V5" t="s">
        <v>43</v>
      </c>
      <c r="W5">
        <v>2</v>
      </c>
      <c r="X5">
        <v>1</v>
      </c>
      <c r="Y5">
        <v>4.8</v>
      </c>
      <c r="Z5">
        <v>24</v>
      </c>
      <c r="AB5">
        <v>6.2</v>
      </c>
      <c r="AC5">
        <v>249</v>
      </c>
      <c r="AD5">
        <v>91</v>
      </c>
      <c r="AE5">
        <v>2.54</v>
      </c>
      <c r="AF5">
        <v>6</v>
      </c>
      <c r="AG5">
        <v>7.8</v>
      </c>
      <c r="AH5">
        <v>1.81</v>
      </c>
      <c r="AI5">
        <v>4205</v>
      </c>
      <c r="AJ5">
        <v>296</v>
      </c>
      <c r="AK5">
        <v>580</v>
      </c>
      <c r="AM5">
        <v>26.7</v>
      </c>
      <c r="AN5">
        <v>0</v>
      </c>
      <c r="AO5">
        <v>2</v>
      </c>
      <c r="AP5">
        <v>79</v>
      </c>
      <c r="AQ5">
        <v>9</v>
      </c>
      <c r="AR5">
        <v>9</v>
      </c>
      <c r="AY5">
        <v>20</v>
      </c>
    </row>
    <row r="6" spans="1:201" x14ac:dyDescent="0.25">
      <c r="A6" t="s">
        <v>53</v>
      </c>
      <c r="B6">
        <v>65321</v>
      </c>
      <c r="C6">
        <v>80217</v>
      </c>
      <c r="D6" t="s">
        <v>52</v>
      </c>
      <c r="E6" t="s">
        <v>51</v>
      </c>
      <c r="F6" t="s">
        <v>50</v>
      </c>
      <c r="H6" t="s">
        <v>49</v>
      </c>
      <c r="I6" t="s">
        <v>48</v>
      </c>
      <c r="J6">
        <v>85138</v>
      </c>
      <c r="K6" t="s">
        <v>47</v>
      </c>
      <c r="L6" t="s">
        <v>46</v>
      </c>
      <c r="M6" s="8" t="s">
        <v>79</v>
      </c>
      <c r="N6" s="7">
        <v>44337</v>
      </c>
      <c r="O6" s="7">
        <v>44341</v>
      </c>
      <c r="P6">
        <v>63</v>
      </c>
      <c r="Q6">
        <v>79</v>
      </c>
      <c r="R6" t="s">
        <v>44</v>
      </c>
      <c r="S6">
        <v>8.3000000000000007</v>
      </c>
      <c r="T6">
        <v>7.2</v>
      </c>
      <c r="U6">
        <v>0.76</v>
      </c>
      <c r="V6" t="s">
        <v>43</v>
      </c>
      <c r="W6">
        <v>2</v>
      </c>
      <c r="X6">
        <v>0.7</v>
      </c>
      <c r="Y6">
        <v>5.2</v>
      </c>
      <c r="Z6">
        <v>25</v>
      </c>
      <c r="AB6">
        <v>6</v>
      </c>
      <c r="AC6">
        <v>138</v>
      </c>
      <c r="AD6">
        <v>82.9</v>
      </c>
      <c r="AE6">
        <v>2.37</v>
      </c>
      <c r="AF6">
        <v>4.7</v>
      </c>
      <c r="AG6">
        <v>2.9</v>
      </c>
      <c r="AH6">
        <v>0.71</v>
      </c>
      <c r="AI6">
        <v>4000</v>
      </c>
      <c r="AJ6">
        <v>269</v>
      </c>
      <c r="AK6">
        <v>418</v>
      </c>
      <c r="AM6">
        <v>24.4</v>
      </c>
      <c r="AN6">
        <v>0</v>
      </c>
      <c r="AO6">
        <v>1</v>
      </c>
      <c r="AP6">
        <v>82</v>
      </c>
      <c r="AQ6">
        <v>9</v>
      </c>
      <c r="AR6">
        <v>7</v>
      </c>
      <c r="AY6">
        <v>8</v>
      </c>
    </row>
    <row r="7" spans="1:201" x14ac:dyDescent="0.25">
      <c r="A7" t="s">
        <v>53</v>
      </c>
      <c r="B7">
        <v>65322</v>
      </c>
      <c r="C7">
        <v>80217</v>
      </c>
      <c r="D7" t="s">
        <v>52</v>
      </c>
      <c r="E7" t="s">
        <v>51</v>
      </c>
      <c r="F7" t="s">
        <v>50</v>
      </c>
      <c r="H7" t="s">
        <v>49</v>
      </c>
      <c r="I7" t="s">
        <v>48</v>
      </c>
      <c r="J7">
        <v>85138</v>
      </c>
      <c r="K7" t="s">
        <v>47</v>
      </c>
      <c r="L7" t="s">
        <v>46</v>
      </c>
      <c r="M7" s="8" t="s">
        <v>78</v>
      </c>
      <c r="N7" s="7">
        <v>44337</v>
      </c>
      <c r="O7" s="7">
        <v>44341</v>
      </c>
      <c r="P7">
        <v>0</v>
      </c>
      <c r="Q7">
        <v>16</v>
      </c>
      <c r="R7" t="s">
        <v>44</v>
      </c>
      <c r="S7">
        <v>8.3000000000000007</v>
      </c>
      <c r="T7">
        <v>7.2</v>
      </c>
      <c r="U7">
        <v>0.65</v>
      </c>
      <c r="V7" t="s">
        <v>43</v>
      </c>
      <c r="W7">
        <v>2</v>
      </c>
      <c r="X7">
        <v>1.2</v>
      </c>
      <c r="Y7">
        <v>1.1000000000000001</v>
      </c>
      <c r="Z7">
        <v>5</v>
      </c>
      <c r="AB7">
        <v>4</v>
      </c>
      <c r="AC7">
        <v>348</v>
      </c>
      <c r="AD7">
        <v>117.2</v>
      </c>
      <c r="AE7">
        <v>1.58</v>
      </c>
      <c r="AF7">
        <v>7.5</v>
      </c>
      <c r="AG7">
        <v>9</v>
      </c>
      <c r="AH7">
        <v>3.15</v>
      </c>
      <c r="AI7">
        <v>3427</v>
      </c>
      <c r="AJ7">
        <v>309</v>
      </c>
      <c r="AK7">
        <v>648</v>
      </c>
      <c r="AM7">
        <v>23.4</v>
      </c>
      <c r="AN7">
        <v>0</v>
      </c>
      <c r="AO7">
        <v>4</v>
      </c>
      <c r="AP7">
        <v>73</v>
      </c>
      <c r="AQ7">
        <v>11</v>
      </c>
      <c r="AR7">
        <v>12</v>
      </c>
      <c r="AY7">
        <v>42</v>
      </c>
    </row>
    <row r="8" spans="1:201" x14ac:dyDescent="0.25">
      <c r="A8" t="s">
        <v>53</v>
      </c>
      <c r="B8">
        <v>65323</v>
      </c>
      <c r="C8">
        <v>80217</v>
      </c>
      <c r="D8" t="s">
        <v>52</v>
      </c>
      <c r="E8" t="s">
        <v>51</v>
      </c>
      <c r="F8" t="s">
        <v>50</v>
      </c>
      <c r="H8" t="s">
        <v>49</v>
      </c>
      <c r="I8" t="s">
        <v>48</v>
      </c>
      <c r="J8">
        <v>85138</v>
      </c>
      <c r="K8" t="s">
        <v>47</v>
      </c>
      <c r="L8" t="s">
        <v>46</v>
      </c>
      <c r="M8" s="8" t="s">
        <v>77</v>
      </c>
      <c r="N8" s="7">
        <v>44337</v>
      </c>
      <c r="O8" s="7">
        <v>44341</v>
      </c>
      <c r="P8">
        <v>16</v>
      </c>
      <c r="Q8">
        <v>32</v>
      </c>
      <c r="R8" t="s">
        <v>44</v>
      </c>
      <c r="S8">
        <v>8.6</v>
      </c>
      <c r="T8">
        <v>7.2</v>
      </c>
      <c r="U8">
        <v>0.76</v>
      </c>
      <c r="V8" t="s">
        <v>43</v>
      </c>
      <c r="W8">
        <v>2</v>
      </c>
      <c r="X8">
        <v>0.7</v>
      </c>
      <c r="Y8">
        <v>2.2000000000000002</v>
      </c>
      <c r="Z8">
        <v>11</v>
      </c>
      <c r="AB8">
        <v>4.0999999999999996</v>
      </c>
      <c r="AC8">
        <v>193</v>
      </c>
      <c r="AD8">
        <v>81.3</v>
      </c>
      <c r="AE8">
        <v>0.9</v>
      </c>
      <c r="AF8">
        <v>6.7</v>
      </c>
      <c r="AG8">
        <v>5.5</v>
      </c>
      <c r="AH8">
        <v>1.99</v>
      </c>
      <c r="AI8">
        <v>3852</v>
      </c>
      <c r="AJ8">
        <v>310</v>
      </c>
      <c r="AK8">
        <v>779</v>
      </c>
      <c r="AM8">
        <v>25.7</v>
      </c>
      <c r="AN8">
        <v>0</v>
      </c>
      <c r="AO8">
        <v>2</v>
      </c>
      <c r="AP8">
        <v>75</v>
      </c>
      <c r="AQ8">
        <v>10</v>
      </c>
      <c r="AR8">
        <v>13</v>
      </c>
      <c r="AY8">
        <v>9</v>
      </c>
    </row>
    <row r="9" spans="1:201" x14ac:dyDescent="0.25">
      <c r="A9" t="s">
        <v>53</v>
      </c>
      <c r="B9">
        <v>65324</v>
      </c>
      <c r="C9">
        <v>80217</v>
      </c>
      <c r="D9" t="s">
        <v>52</v>
      </c>
      <c r="E9" t="s">
        <v>51</v>
      </c>
      <c r="F9" t="s">
        <v>50</v>
      </c>
      <c r="H9" t="s">
        <v>49</v>
      </c>
      <c r="I9" t="s">
        <v>48</v>
      </c>
      <c r="J9">
        <v>85138</v>
      </c>
      <c r="K9" t="s">
        <v>47</v>
      </c>
      <c r="L9" t="s">
        <v>46</v>
      </c>
      <c r="M9" s="8" t="s">
        <v>76</v>
      </c>
      <c r="N9" s="7">
        <v>44337</v>
      </c>
      <c r="O9" s="7">
        <v>44341</v>
      </c>
      <c r="P9">
        <v>32</v>
      </c>
      <c r="Q9">
        <v>46</v>
      </c>
      <c r="R9" t="s">
        <v>44</v>
      </c>
      <c r="S9">
        <v>8.4</v>
      </c>
      <c r="T9">
        <v>7.2</v>
      </c>
      <c r="U9">
        <v>1.3</v>
      </c>
      <c r="V9" t="s">
        <v>43</v>
      </c>
      <c r="W9">
        <v>2</v>
      </c>
      <c r="X9">
        <v>0.7</v>
      </c>
      <c r="Y9">
        <v>3.5</v>
      </c>
      <c r="Z9">
        <v>15</v>
      </c>
      <c r="AB9">
        <v>3.8</v>
      </c>
      <c r="AC9">
        <v>150</v>
      </c>
      <c r="AD9">
        <v>207.2</v>
      </c>
      <c r="AE9">
        <v>0.57999999999999996</v>
      </c>
      <c r="AF9">
        <v>4.5</v>
      </c>
      <c r="AG9">
        <v>2.7</v>
      </c>
      <c r="AH9">
        <v>0.89</v>
      </c>
      <c r="AI9">
        <v>4532</v>
      </c>
      <c r="AJ9">
        <v>351</v>
      </c>
      <c r="AK9">
        <v>947</v>
      </c>
      <c r="AM9">
        <v>30.1</v>
      </c>
      <c r="AN9">
        <v>0</v>
      </c>
      <c r="AO9">
        <v>1</v>
      </c>
      <c r="AP9">
        <v>75</v>
      </c>
      <c r="AQ9">
        <v>10</v>
      </c>
      <c r="AR9">
        <v>14</v>
      </c>
      <c r="AY9">
        <v>10</v>
      </c>
    </row>
    <row r="10" spans="1:201" x14ac:dyDescent="0.25">
      <c r="A10" t="s">
        <v>53</v>
      </c>
      <c r="B10">
        <v>65325</v>
      </c>
      <c r="C10">
        <v>80217</v>
      </c>
      <c r="D10" t="s">
        <v>52</v>
      </c>
      <c r="E10" t="s">
        <v>51</v>
      </c>
      <c r="F10" t="s">
        <v>50</v>
      </c>
      <c r="H10" t="s">
        <v>49</v>
      </c>
      <c r="I10" t="s">
        <v>48</v>
      </c>
      <c r="J10">
        <v>85138</v>
      </c>
      <c r="K10" t="s">
        <v>47</v>
      </c>
      <c r="L10" t="s">
        <v>46</v>
      </c>
      <c r="M10" s="8" t="s">
        <v>75</v>
      </c>
      <c r="N10" s="7">
        <v>44337</v>
      </c>
      <c r="O10" s="7">
        <v>44341</v>
      </c>
      <c r="P10">
        <v>46</v>
      </c>
      <c r="Q10">
        <v>63</v>
      </c>
      <c r="R10" t="s">
        <v>44</v>
      </c>
      <c r="S10">
        <v>8.4</v>
      </c>
      <c r="T10">
        <v>7.2</v>
      </c>
      <c r="U10">
        <v>1.01</v>
      </c>
      <c r="V10" t="s">
        <v>43</v>
      </c>
      <c r="W10">
        <v>2</v>
      </c>
      <c r="X10">
        <v>0.6</v>
      </c>
      <c r="Y10">
        <v>1.7</v>
      </c>
      <c r="Z10">
        <v>9</v>
      </c>
      <c r="AB10">
        <v>4.9000000000000004</v>
      </c>
      <c r="AC10">
        <v>106</v>
      </c>
      <c r="AD10">
        <v>92.9</v>
      </c>
      <c r="AE10">
        <v>0.43</v>
      </c>
      <c r="AF10">
        <v>3.5</v>
      </c>
      <c r="AG10">
        <v>2.2000000000000002</v>
      </c>
      <c r="AH10">
        <v>0.52</v>
      </c>
      <c r="AI10">
        <v>4221</v>
      </c>
      <c r="AJ10">
        <v>263</v>
      </c>
      <c r="AK10">
        <v>540</v>
      </c>
      <c r="AM10">
        <v>25.9</v>
      </c>
      <c r="AN10">
        <v>0</v>
      </c>
      <c r="AO10">
        <v>1</v>
      </c>
      <c r="AP10">
        <v>81</v>
      </c>
      <c r="AQ10">
        <v>8</v>
      </c>
      <c r="AR10">
        <v>9</v>
      </c>
      <c r="AY10">
        <v>2</v>
      </c>
    </row>
    <row r="11" spans="1:201" x14ac:dyDescent="0.25">
      <c r="A11" t="s">
        <v>53</v>
      </c>
      <c r="B11">
        <v>65326</v>
      </c>
      <c r="C11">
        <v>80217</v>
      </c>
      <c r="D11" t="s">
        <v>52</v>
      </c>
      <c r="E11" t="s">
        <v>51</v>
      </c>
      <c r="F11" t="s">
        <v>50</v>
      </c>
      <c r="H11" t="s">
        <v>49</v>
      </c>
      <c r="I11" t="s">
        <v>48</v>
      </c>
      <c r="J11">
        <v>85138</v>
      </c>
      <c r="K11" t="s">
        <v>47</v>
      </c>
      <c r="L11" t="s">
        <v>46</v>
      </c>
      <c r="M11" s="8" t="s">
        <v>74</v>
      </c>
      <c r="N11" s="7">
        <v>44337</v>
      </c>
      <c r="O11" s="7">
        <v>44341</v>
      </c>
      <c r="P11">
        <v>63</v>
      </c>
      <c r="Q11">
        <v>79</v>
      </c>
      <c r="R11" t="s">
        <v>44</v>
      </c>
      <c r="S11">
        <v>8.5</v>
      </c>
      <c r="T11">
        <v>7.2</v>
      </c>
      <c r="U11">
        <v>0.56999999999999995</v>
      </c>
      <c r="V11" t="s">
        <v>43</v>
      </c>
      <c r="W11">
        <v>2</v>
      </c>
      <c r="X11">
        <v>0.5</v>
      </c>
      <c r="Y11">
        <v>0.9</v>
      </c>
      <c r="Z11">
        <v>4</v>
      </c>
      <c r="AB11">
        <v>4.0999999999999996</v>
      </c>
      <c r="AC11">
        <v>96</v>
      </c>
      <c r="AD11">
        <v>48.9</v>
      </c>
      <c r="AE11">
        <v>0.83</v>
      </c>
      <c r="AF11">
        <v>4.0999999999999996</v>
      </c>
      <c r="AG11">
        <v>2.1</v>
      </c>
      <c r="AH11">
        <v>0.5</v>
      </c>
      <c r="AI11">
        <v>3705</v>
      </c>
      <c r="AJ11">
        <v>225</v>
      </c>
      <c r="AK11">
        <v>326</v>
      </c>
      <c r="AM11">
        <v>22.1</v>
      </c>
      <c r="AN11">
        <v>0</v>
      </c>
      <c r="AO11">
        <v>1</v>
      </c>
      <c r="AP11">
        <v>84</v>
      </c>
      <c r="AQ11">
        <v>8</v>
      </c>
      <c r="AR11">
        <v>6</v>
      </c>
      <c r="AY11">
        <v>2</v>
      </c>
    </row>
    <row r="12" spans="1:201" x14ac:dyDescent="0.25">
      <c r="A12" t="s">
        <v>53</v>
      </c>
      <c r="B12">
        <v>65327</v>
      </c>
      <c r="C12">
        <v>80217</v>
      </c>
      <c r="D12" t="s">
        <v>52</v>
      </c>
      <c r="E12" t="s">
        <v>51</v>
      </c>
      <c r="F12" t="s">
        <v>50</v>
      </c>
      <c r="H12" t="s">
        <v>49</v>
      </c>
      <c r="I12" t="s">
        <v>48</v>
      </c>
      <c r="J12">
        <v>85138</v>
      </c>
      <c r="K12" t="s">
        <v>47</v>
      </c>
      <c r="L12" t="s">
        <v>46</v>
      </c>
      <c r="M12" s="8" t="s">
        <v>73</v>
      </c>
      <c r="N12" s="7">
        <v>44337</v>
      </c>
      <c r="O12" s="7">
        <v>44341</v>
      </c>
      <c r="P12">
        <v>0</v>
      </c>
      <c r="Q12">
        <v>16</v>
      </c>
      <c r="R12" t="s">
        <v>44</v>
      </c>
      <c r="S12">
        <v>8.4</v>
      </c>
      <c r="T12">
        <v>7.2</v>
      </c>
      <c r="U12">
        <v>0.49</v>
      </c>
      <c r="V12" t="s">
        <v>61</v>
      </c>
      <c r="W12">
        <v>2</v>
      </c>
      <c r="X12">
        <v>1.3</v>
      </c>
      <c r="Y12">
        <v>0.7</v>
      </c>
      <c r="Z12">
        <v>3</v>
      </c>
      <c r="AB12">
        <v>4.2</v>
      </c>
      <c r="AC12">
        <v>349</v>
      </c>
      <c r="AD12">
        <v>55.7</v>
      </c>
      <c r="AE12">
        <v>1.81</v>
      </c>
      <c r="AF12">
        <v>7.3</v>
      </c>
      <c r="AG12">
        <v>9.6</v>
      </c>
      <c r="AH12">
        <v>2.78</v>
      </c>
      <c r="AI12">
        <v>2804</v>
      </c>
      <c r="AJ12">
        <v>272</v>
      </c>
      <c r="AK12">
        <v>470</v>
      </c>
      <c r="AM12">
        <v>19.2</v>
      </c>
      <c r="AN12">
        <v>0</v>
      </c>
      <c r="AO12">
        <v>5</v>
      </c>
      <c r="AP12">
        <v>72</v>
      </c>
      <c r="AQ12">
        <v>12</v>
      </c>
      <c r="AR12">
        <v>11</v>
      </c>
      <c r="AY12">
        <v>91</v>
      </c>
    </row>
    <row r="13" spans="1:201" x14ac:dyDescent="0.25">
      <c r="A13" t="s">
        <v>53</v>
      </c>
      <c r="B13">
        <v>65328</v>
      </c>
      <c r="C13">
        <v>80217</v>
      </c>
      <c r="D13" t="s">
        <v>52</v>
      </c>
      <c r="E13" t="s">
        <v>51</v>
      </c>
      <c r="F13" t="s">
        <v>50</v>
      </c>
      <c r="H13" t="s">
        <v>49</v>
      </c>
      <c r="I13" t="s">
        <v>48</v>
      </c>
      <c r="J13">
        <v>85138</v>
      </c>
      <c r="K13" t="s">
        <v>47</v>
      </c>
      <c r="L13" t="s">
        <v>46</v>
      </c>
      <c r="M13" s="8" t="s">
        <v>72</v>
      </c>
      <c r="N13" s="7">
        <v>44337</v>
      </c>
      <c r="O13" s="7">
        <v>44341</v>
      </c>
      <c r="P13">
        <v>16</v>
      </c>
      <c r="Q13">
        <v>32</v>
      </c>
      <c r="R13" t="s">
        <v>44</v>
      </c>
      <c r="S13">
        <v>8.9</v>
      </c>
      <c r="T13">
        <v>7.2</v>
      </c>
      <c r="U13">
        <v>0.54</v>
      </c>
      <c r="V13" t="s">
        <v>43</v>
      </c>
      <c r="W13">
        <v>2</v>
      </c>
      <c r="X13">
        <v>0.8</v>
      </c>
      <c r="Y13">
        <v>1</v>
      </c>
      <c r="Z13">
        <v>5</v>
      </c>
      <c r="AB13">
        <v>4.9000000000000004</v>
      </c>
      <c r="AC13">
        <v>219</v>
      </c>
      <c r="AD13">
        <v>55.4</v>
      </c>
      <c r="AE13">
        <v>0.71</v>
      </c>
      <c r="AF13">
        <v>6.2</v>
      </c>
      <c r="AG13">
        <v>7.3</v>
      </c>
      <c r="AH13">
        <v>1.87</v>
      </c>
      <c r="AI13">
        <v>3701</v>
      </c>
      <c r="AJ13">
        <v>251</v>
      </c>
      <c r="AK13">
        <v>701</v>
      </c>
      <c r="AM13">
        <v>24.2</v>
      </c>
      <c r="AN13">
        <v>0</v>
      </c>
      <c r="AO13">
        <v>2</v>
      </c>
      <c r="AP13">
        <v>76</v>
      </c>
      <c r="AQ13">
        <v>9</v>
      </c>
      <c r="AR13">
        <v>13</v>
      </c>
      <c r="AY13">
        <v>14</v>
      </c>
    </row>
    <row r="14" spans="1:201" x14ac:dyDescent="0.25">
      <c r="A14" t="s">
        <v>53</v>
      </c>
      <c r="B14">
        <v>65329</v>
      </c>
      <c r="C14">
        <v>80217</v>
      </c>
      <c r="D14" t="s">
        <v>52</v>
      </c>
      <c r="E14" t="s">
        <v>51</v>
      </c>
      <c r="F14" t="s">
        <v>50</v>
      </c>
      <c r="H14" t="s">
        <v>49</v>
      </c>
      <c r="I14" t="s">
        <v>48</v>
      </c>
      <c r="J14">
        <v>85138</v>
      </c>
      <c r="K14" t="s">
        <v>47</v>
      </c>
      <c r="L14" t="s">
        <v>46</v>
      </c>
      <c r="M14" s="8" t="s">
        <v>71</v>
      </c>
      <c r="N14" s="7">
        <v>44337</v>
      </c>
      <c r="O14" s="7">
        <v>44341</v>
      </c>
      <c r="P14">
        <v>32</v>
      </c>
      <c r="Q14">
        <v>46</v>
      </c>
      <c r="R14" t="s">
        <v>44</v>
      </c>
      <c r="S14">
        <v>8.6999999999999993</v>
      </c>
      <c r="T14">
        <v>7.2</v>
      </c>
      <c r="U14">
        <v>0.63</v>
      </c>
      <c r="V14" t="s">
        <v>43</v>
      </c>
      <c r="W14">
        <v>2</v>
      </c>
      <c r="X14">
        <v>0.6</v>
      </c>
      <c r="Y14">
        <v>1.8</v>
      </c>
      <c r="Z14">
        <v>8</v>
      </c>
      <c r="AB14">
        <v>4.5</v>
      </c>
      <c r="AC14">
        <v>169</v>
      </c>
      <c r="AD14">
        <v>84.8</v>
      </c>
      <c r="AE14">
        <v>0.34</v>
      </c>
      <c r="AF14">
        <v>4.5</v>
      </c>
      <c r="AG14">
        <v>3.5</v>
      </c>
      <c r="AH14">
        <v>1.1399999999999999</v>
      </c>
      <c r="AI14">
        <v>3928</v>
      </c>
      <c r="AJ14">
        <v>243</v>
      </c>
      <c r="AK14">
        <v>596</v>
      </c>
      <c r="AM14">
        <v>24.7</v>
      </c>
      <c r="AN14">
        <v>0</v>
      </c>
      <c r="AO14">
        <v>2</v>
      </c>
      <c r="AP14">
        <v>80</v>
      </c>
      <c r="AQ14">
        <v>8</v>
      </c>
      <c r="AR14">
        <v>10</v>
      </c>
      <c r="AY14">
        <v>12</v>
      </c>
    </row>
    <row r="15" spans="1:201" x14ac:dyDescent="0.25">
      <c r="A15" t="s">
        <v>53</v>
      </c>
      <c r="B15">
        <v>65330</v>
      </c>
      <c r="C15">
        <v>80217</v>
      </c>
      <c r="D15" t="s">
        <v>52</v>
      </c>
      <c r="E15" t="s">
        <v>51</v>
      </c>
      <c r="F15" t="s">
        <v>50</v>
      </c>
      <c r="H15" t="s">
        <v>49</v>
      </c>
      <c r="I15" t="s">
        <v>48</v>
      </c>
      <c r="J15">
        <v>85138</v>
      </c>
      <c r="K15" t="s">
        <v>47</v>
      </c>
      <c r="L15" t="s">
        <v>46</v>
      </c>
      <c r="M15" s="8" t="s">
        <v>70</v>
      </c>
      <c r="N15" s="7">
        <v>44337</v>
      </c>
      <c r="O15" s="7">
        <v>44341</v>
      </c>
      <c r="P15">
        <v>46</v>
      </c>
      <c r="Q15">
        <v>63</v>
      </c>
      <c r="R15" t="s">
        <v>44</v>
      </c>
      <c r="S15">
        <v>8.4</v>
      </c>
      <c r="T15">
        <v>7.2</v>
      </c>
      <c r="U15">
        <v>0.81</v>
      </c>
      <c r="V15" t="s">
        <v>43</v>
      </c>
      <c r="W15">
        <v>2</v>
      </c>
      <c r="X15">
        <v>0.7</v>
      </c>
      <c r="Y15">
        <v>5.2</v>
      </c>
      <c r="Z15">
        <v>26</v>
      </c>
      <c r="AB15">
        <v>4.0999999999999996</v>
      </c>
      <c r="AC15">
        <v>143</v>
      </c>
      <c r="AD15">
        <v>154.9</v>
      </c>
      <c r="AE15">
        <v>0.25</v>
      </c>
      <c r="AF15">
        <v>4</v>
      </c>
      <c r="AG15">
        <v>1.9</v>
      </c>
      <c r="AH15">
        <v>0.55000000000000004</v>
      </c>
      <c r="AI15">
        <v>4302</v>
      </c>
      <c r="AJ15">
        <v>288</v>
      </c>
      <c r="AK15">
        <v>514</v>
      </c>
      <c r="AM15">
        <v>26.5</v>
      </c>
      <c r="AN15">
        <v>0</v>
      </c>
      <c r="AO15">
        <v>1</v>
      </c>
      <c r="AP15">
        <v>81</v>
      </c>
      <c r="AQ15">
        <v>9</v>
      </c>
      <c r="AR15">
        <v>8</v>
      </c>
      <c r="AY15">
        <v>2</v>
      </c>
    </row>
    <row r="16" spans="1:201" x14ac:dyDescent="0.25">
      <c r="A16" t="s">
        <v>53</v>
      </c>
      <c r="B16">
        <v>65331</v>
      </c>
      <c r="C16">
        <v>80217</v>
      </c>
      <c r="D16" t="s">
        <v>52</v>
      </c>
      <c r="E16" t="s">
        <v>51</v>
      </c>
      <c r="F16" t="s">
        <v>50</v>
      </c>
      <c r="H16" t="s">
        <v>49</v>
      </c>
      <c r="I16" t="s">
        <v>48</v>
      </c>
      <c r="J16">
        <v>85138</v>
      </c>
      <c r="K16" t="s">
        <v>47</v>
      </c>
      <c r="L16" t="s">
        <v>46</v>
      </c>
      <c r="M16" s="8" t="s">
        <v>69</v>
      </c>
      <c r="N16" s="7">
        <v>44337</v>
      </c>
      <c r="O16" s="7">
        <v>44341</v>
      </c>
      <c r="P16">
        <v>63</v>
      </c>
      <c r="Q16">
        <v>79</v>
      </c>
      <c r="R16" t="s">
        <v>44</v>
      </c>
      <c r="S16">
        <v>8.4</v>
      </c>
      <c r="T16">
        <v>7.2</v>
      </c>
      <c r="U16">
        <v>0.9</v>
      </c>
      <c r="V16" t="s">
        <v>43</v>
      </c>
      <c r="W16">
        <v>2</v>
      </c>
      <c r="X16">
        <v>0.7</v>
      </c>
      <c r="Y16">
        <v>2.1</v>
      </c>
      <c r="Z16">
        <v>10</v>
      </c>
      <c r="AB16">
        <v>3.4</v>
      </c>
      <c r="AC16">
        <v>133</v>
      </c>
      <c r="AD16">
        <v>107.7</v>
      </c>
      <c r="AE16">
        <v>0.37</v>
      </c>
      <c r="AF16">
        <v>4.8</v>
      </c>
      <c r="AG16">
        <v>3.3</v>
      </c>
      <c r="AH16">
        <v>0.59</v>
      </c>
      <c r="AI16">
        <v>4127</v>
      </c>
      <c r="AJ16">
        <v>259</v>
      </c>
      <c r="AK16">
        <v>338</v>
      </c>
      <c r="AM16">
        <v>24.6</v>
      </c>
      <c r="AN16">
        <v>0</v>
      </c>
      <c r="AO16">
        <v>1</v>
      </c>
      <c r="AP16">
        <v>84</v>
      </c>
      <c r="AQ16">
        <v>9</v>
      </c>
      <c r="AR16">
        <v>6</v>
      </c>
      <c r="AY16">
        <v>2</v>
      </c>
    </row>
    <row r="17" spans="1:51" x14ac:dyDescent="0.25">
      <c r="A17" t="s">
        <v>53</v>
      </c>
      <c r="B17">
        <v>65332</v>
      </c>
      <c r="C17">
        <v>80217</v>
      </c>
      <c r="D17" t="s">
        <v>52</v>
      </c>
      <c r="E17" t="s">
        <v>51</v>
      </c>
      <c r="F17" t="s">
        <v>50</v>
      </c>
      <c r="H17" t="s">
        <v>49</v>
      </c>
      <c r="I17" t="s">
        <v>48</v>
      </c>
      <c r="J17">
        <v>85138</v>
      </c>
      <c r="K17" t="s">
        <v>47</v>
      </c>
      <c r="L17" t="s">
        <v>46</v>
      </c>
      <c r="M17" s="8" t="s">
        <v>68</v>
      </c>
      <c r="N17" s="7">
        <v>44337</v>
      </c>
      <c r="O17" s="7">
        <v>44341</v>
      </c>
      <c r="P17">
        <v>0</v>
      </c>
      <c r="Q17">
        <v>16</v>
      </c>
      <c r="R17" t="s">
        <v>44</v>
      </c>
      <c r="S17">
        <v>8.5</v>
      </c>
      <c r="T17">
        <v>7.2</v>
      </c>
      <c r="U17">
        <v>0.53</v>
      </c>
      <c r="V17" t="s">
        <v>61</v>
      </c>
      <c r="W17">
        <v>2</v>
      </c>
      <c r="X17">
        <v>1.1000000000000001</v>
      </c>
      <c r="Y17">
        <v>0.9</v>
      </c>
      <c r="Z17">
        <v>4</v>
      </c>
      <c r="AB17">
        <v>3.8</v>
      </c>
      <c r="AC17">
        <v>295</v>
      </c>
      <c r="AD17">
        <v>33.700000000000003</v>
      </c>
      <c r="AE17">
        <v>1.42</v>
      </c>
      <c r="AF17">
        <v>7.5</v>
      </c>
      <c r="AG17">
        <v>11.1</v>
      </c>
      <c r="AH17">
        <v>3.16</v>
      </c>
      <c r="AI17">
        <v>2958</v>
      </c>
      <c r="AJ17">
        <v>262</v>
      </c>
      <c r="AK17">
        <v>408</v>
      </c>
      <c r="AM17">
        <v>19.5</v>
      </c>
      <c r="AN17">
        <v>0</v>
      </c>
      <c r="AO17">
        <v>4</v>
      </c>
      <c r="AP17">
        <v>76</v>
      </c>
      <c r="AQ17">
        <v>11</v>
      </c>
      <c r="AR17">
        <v>9</v>
      </c>
      <c r="AY17">
        <v>41</v>
      </c>
    </row>
    <row r="18" spans="1:51" x14ac:dyDescent="0.25">
      <c r="A18" t="s">
        <v>53</v>
      </c>
      <c r="B18">
        <v>65333</v>
      </c>
      <c r="C18">
        <v>80217</v>
      </c>
      <c r="D18" t="s">
        <v>52</v>
      </c>
      <c r="E18" t="s">
        <v>51</v>
      </c>
      <c r="F18" t="s">
        <v>50</v>
      </c>
      <c r="H18" t="s">
        <v>49</v>
      </c>
      <c r="I18" t="s">
        <v>48</v>
      </c>
      <c r="J18">
        <v>85138</v>
      </c>
      <c r="K18" t="s">
        <v>47</v>
      </c>
      <c r="L18" t="s">
        <v>46</v>
      </c>
      <c r="M18" s="8" t="s">
        <v>67</v>
      </c>
      <c r="N18" s="7">
        <v>44337</v>
      </c>
      <c r="O18" s="7">
        <v>44341</v>
      </c>
      <c r="P18">
        <v>16</v>
      </c>
      <c r="Q18">
        <v>32</v>
      </c>
      <c r="R18" t="s">
        <v>44</v>
      </c>
      <c r="S18">
        <v>8.6</v>
      </c>
      <c r="T18">
        <v>7.2</v>
      </c>
      <c r="U18">
        <v>0.9</v>
      </c>
      <c r="V18" t="s">
        <v>43</v>
      </c>
      <c r="W18">
        <v>2</v>
      </c>
      <c r="X18">
        <v>0.7</v>
      </c>
      <c r="Y18">
        <v>0.6</v>
      </c>
      <c r="Z18">
        <v>3</v>
      </c>
      <c r="AB18">
        <v>5.3</v>
      </c>
      <c r="AC18">
        <v>238</v>
      </c>
      <c r="AD18">
        <v>112.9</v>
      </c>
      <c r="AE18">
        <v>1.17</v>
      </c>
      <c r="AF18">
        <v>9.1999999999999993</v>
      </c>
      <c r="AG18">
        <v>9.3000000000000007</v>
      </c>
      <c r="AH18">
        <v>2.06</v>
      </c>
      <c r="AI18">
        <v>4317</v>
      </c>
      <c r="AJ18">
        <v>325</v>
      </c>
      <c r="AK18">
        <v>835</v>
      </c>
      <c r="AM18">
        <v>28.5</v>
      </c>
      <c r="AN18">
        <v>0</v>
      </c>
      <c r="AO18">
        <v>2</v>
      </c>
      <c r="AP18">
        <v>76</v>
      </c>
      <c r="AQ18">
        <v>9</v>
      </c>
      <c r="AR18">
        <v>13</v>
      </c>
      <c r="AY18">
        <v>16</v>
      </c>
    </row>
    <row r="19" spans="1:51" x14ac:dyDescent="0.25">
      <c r="A19" t="s">
        <v>53</v>
      </c>
      <c r="B19">
        <v>65334</v>
      </c>
      <c r="C19">
        <v>80217</v>
      </c>
      <c r="D19" t="s">
        <v>52</v>
      </c>
      <c r="E19" t="s">
        <v>51</v>
      </c>
      <c r="F19" t="s">
        <v>50</v>
      </c>
      <c r="H19" t="s">
        <v>49</v>
      </c>
      <c r="I19" t="s">
        <v>48</v>
      </c>
      <c r="J19">
        <v>85138</v>
      </c>
      <c r="K19" t="s">
        <v>47</v>
      </c>
      <c r="L19" t="s">
        <v>46</v>
      </c>
      <c r="M19" s="8" t="s">
        <v>66</v>
      </c>
      <c r="N19" s="7">
        <v>44337</v>
      </c>
      <c r="O19" s="7">
        <v>44341</v>
      </c>
      <c r="P19">
        <v>32</v>
      </c>
      <c r="Q19">
        <v>46</v>
      </c>
      <c r="R19" t="s">
        <v>44</v>
      </c>
      <c r="S19">
        <v>8.4</v>
      </c>
      <c r="T19">
        <v>7.2</v>
      </c>
      <c r="U19">
        <v>1.1599999999999999</v>
      </c>
      <c r="V19" t="s">
        <v>43</v>
      </c>
      <c r="W19">
        <v>2</v>
      </c>
      <c r="X19">
        <v>0.7</v>
      </c>
      <c r="Y19">
        <v>4.4000000000000004</v>
      </c>
      <c r="Z19">
        <v>18</v>
      </c>
      <c r="AB19">
        <v>4.2</v>
      </c>
      <c r="AC19">
        <v>161</v>
      </c>
      <c r="AD19">
        <v>177.1</v>
      </c>
      <c r="AE19">
        <v>0.52</v>
      </c>
      <c r="AF19">
        <v>6.6</v>
      </c>
      <c r="AG19">
        <v>6</v>
      </c>
      <c r="AH19">
        <v>1.1599999999999999</v>
      </c>
      <c r="AI19">
        <v>4303</v>
      </c>
      <c r="AJ19">
        <v>310</v>
      </c>
      <c r="AK19">
        <v>631</v>
      </c>
      <c r="AM19">
        <v>27.3</v>
      </c>
      <c r="AN19">
        <v>0</v>
      </c>
      <c r="AO19">
        <v>2</v>
      </c>
      <c r="AP19">
        <v>79</v>
      </c>
      <c r="AQ19">
        <v>9</v>
      </c>
      <c r="AR19">
        <v>10</v>
      </c>
      <c r="AY19">
        <v>13</v>
      </c>
    </row>
    <row r="20" spans="1:51" x14ac:dyDescent="0.25">
      <c r="A20" t="s">
        <v>53</v>
      </c>
      <c r="B20">
        <v>65335</v>
      </c>
      <c r="C20">
        <v>80217</v>
      </c>
      <c r="D20" t="s">
        <v>52</v>
      </c>
      <c r="E20" t="s">
        <v>51</v>
      </c>
      <c r="F20" t="s">
        <v>50</v>
      </c>
      <c r="H20" t="s">
        <v>49</v>
      </c>
      <c r="I20" t="s">
        <v>48</v>
      </c>
      <c r="J20">
        <v>85138</v>
      </c>
      <c r="K20" t="s">
        <v>47</v>
      </c>
      <c r="L20" t="s">
        <v>46</v>
      </c>
      <c r="M20" s="8" t="s">
        <v>65</v>
      </c>
      <c r="N20" s="7">
        <v>44337</v>
      </c>
      <c r="O20" s="7">
        <v>44341</v>
      </c>
      <c r="P20">
        <v>46</v>
      </c>
      <c r="Q20">
        <v>63</v>
      </c>
      <c r="R20" t="s">
        <v>44</v>
      </c>
      <c r="S20">
        <v>8.3000000000000007</v>
      </c>
      <c r="T20">
        <v>7.2</v>
      </c>
      <c r="U20">
        <v>1.25</v>
      </c>
      <c r="V20" t="s">
        <v>43</v>
      </c>
      <c r="W20">
        <v>2</v>
      </c>
      <c r="X20">
        <v>0.7</v>
      </c>
      <c r="Y20">
        <v>9.6</v>
      </c>
      <c r="Z20">
        <v>49</v>
      </c>
      <c r="AB20">
        <v>4</v>
      </c>
      <c r="AC20">
        <v>127</v>
      </c>
      <c r="AD20">
        <v>108.1</v>
      </c>
      <c r="AE20">
        <v>0.4</v>
      </c>
      <c r="AF20">
        <v>6.5</v>
      </c>
      <c r="AG20">
        <v>4.2</v>
      </c>
      <c r="AH20">
        <v>0.77</v>
      </c>
      <c r="AI20">
        <v>4267</v>
      </c>
      <c r="AJ20">
        <v>287</v>
      </c>
      <c r="AK20">
        <v>446</v>
      </c>
      <c r="AM20">
        <v>26</v>
      </c>
      <c r="AN20">
        <v>0</v>
      </c>
      <c r="AO20">
        <v>1</v>
      </c>
      <c r="AP20">
        <v>82</v>
      </c>
      <c r="AQ20">
        <v>9</v>
      </c>
      <c r="AR20">
        <v>7</v>
      </c>
      <c r="AY20">
        <v>1</v>
      </c>
    </row>
    <row r="21" spans="1:51" x14ac:dyDescent="0.25">
      <c r="A21" t="s">
        <v>53</v>
      </c>
      <c r="B21">
        <v>65336</v>
      </c>
      <c r="C21">
        <v>80217</v>
      </c>
      <c r="D21" t="s">
        <v>52</v>
      </c>
      <c r="E21" t="s">
        <v>51</v>
      </c>
      <c r="F21" t="s">
        <v>50</v>
      </c>
      <c r="H21" t="s">
        <v>49</v>
      </c>
      <c r="I21" t="s">
        <v>48</v>
      </c>
      <c r="J21">
        <v>85138</v>
      </c>
      <c r="K21" t="s">
        <v>47</v>
      </c>
      <c r="L21" t="s">
        <v>46</v>
      </c>
      <c r="M21" s="8" t="s">
        <v>64</v>
      </c>
      <c r="N21" s="7">
        <v>44337</v>
      </c>
      <c r="O21" s="7">
        <v>44341</v>
      </c>
      <c r="P21">
        <v>63</v>
      </c>
      <c r="Q21">
        <v>79</v>
      </c>
      <c r="R21" t="s">
        <v>44</v>
      </c>
      <c r="S21">
        <v>8.3000000000000007</v>
      </c>
      <c r="T21">
        <v>7.2</v>
      </c>
      <c r="U21">
        <v>0.82</v>
      </c>
      <c r="V21" t="s">
        <v>43</v>
      </c>
      <c r="W21">
        <v>2</v>
      </c>
      <c r="X21">
        <v>0.6</v>
      </c>
      <c r="Y21">
        <v>4</v>
      </c>
      <c r="Z21">
        <v>19</v>
      </c>
      <c r="AB21">
        <v>3.4</v>
      </c>
      <c r="AC21">
        <v>111</v>
      </c>
      <c r="AD21">
        <v>70.3</v>
      </c>
      <c r="AE21">
        <v>0.49</v>
      </c>
      <c r="AF21">
        <v>7.6</v>
      </c>
      <c r="AG21">
        <v>5.5</v>
      </c>
      <c r="AH21">
        <v>0.81</v>
      </c>
      <c r="AI21">
        <v>3832</v>
      </c>
      <c r="AJ21">
        <v>226</v>
      </c>
      <c r="AK21">
        <v>274</v>
      </c>
      <c r="AM21">
        <v>22.5</v>
      </c>
      <c r="AN21">
        <v>0</v>
      </c>
      <c r="AO21">
        <v>1</v>
      </c>
      <c r="AP21">
        <v>85</v>
      </c>
      <c r="AQ21">
        <v>8</v>
      </c>
      <c r="AR21">
        <v>5</v>
      </c>
      <c r="AY21">
        <v>1</v>
      </c>
    </row>
    <row r="22" spans="1:51" x14ac:dyDescent="0.25">
      <c r="A22" t="s">
        <v>53</v>
      </c>
      <c r="B22">
        <v>65337</v>
      </c>
      <c r="C22">
        <v>80217</v>
      </c>
      <c r="D22" t="s">
        <v>52</v>
      </c>
      <c r="E22" t="s">
        <v>51</v>
      </c>
      <c r="F22" t="s">
        <v>50</v>
      </c>
      <c r="H22" t="s">
        <v>49</v>
      </c>
      <c r="I22" t="s">
        <v>48</v>
      </c>
      <c r="J22">
        <v>85138</v>
      </c>
      <c r="K22" t="s">
        <v>47</v>
      </c>
      <c r="L22" t="s">
        <v>46</v>
      </c>
      <c r="M22" s="8" t="s">
        <v>63</v>
      </c>
      <c r="N22" s="7">
        <v>44337</v>
      </c>
      <c r="O22" s="7">
        <v>44341</v>
      </c>
      <c r="P22">
        <v>0</v>
      </c>
      <c r="Q22">
        <v>16</v>
      </c>
      <c r="R22" t="s">
        <v>44</v>
      </c>
      <c r="S22">
        <v>8.3000000000000007</v>
      </c>
      <c r="T22">
        <v>7.2</v>
      </c>
      <c r="U22">
        <v>1</v>
      </c>
      <c r="V22" t="s">
        <v>61</v>
      </c>
      <c r="W22">
        <v>2</v>
      </c>
      <c r="X22">
        <v>1.4</v>
      </c>
      <c r="Y22">
        <v>0.7</v>
      </c>
      <c r="Z22">
        <v>3</v>
      </c>
      <c r="AB22">
        <v>3.9</v>
      </c>
      <c r="AC22">
        <v>322</v>
      </c>
      <c r="AD22">
        <v>76.400000000000006</v>
      </c>
      <c r="AE22">
        <v>1.8</v>
      </c>
      <c r="AF22">
        <v>7.2</v>
      </c>
      <c r="AG22">
        <v>11</v>
      </c>
      <c r="AH22">
        <v>2.71</v>
      </c>
      <c r="AI22">
        <v>2860</v>
      </c>
      <c r="AJ22">
        <v>275</v>
      </c>
      <c r="AK22">
        <v>513</v>
      </c>
      <c r="AM22">
        <v>19.600000000000001</v>
      </c>
      <c r="AN22">
        <v>0</v>
      </c>
      <c r="AO22">
        <v>4</v>
      </c>
      <c r="AP22">
        <v>73</v>
      </c>
      <c r="AQ22">
        <v>12</v>
      </c>
      <c r="AR22">
        <v>11</v>
      </c>
      <c r="AY22">
        <v>59</v>
      </c>
    </row>
    <row r="23" spans="1:51" x14ac:dyDescent="0.25">
      <c r="A23" t="s">
        <v>53</v>
      </c>
      <c r="B23">
        <v>65338</v>
      </c>
      <c r="C23">
        <v>80217</v>
      </c>
      <c r="D23" t="s">
        <v>52</v>
      </c>
      <c r="E23" t="s">
        <v>51</v>
      </c>
      <c r="F23" t="s">
        <v>50</v>
      </c>
      <c r="H23" t="s">
        <v>49</v>
      </c>
      <c r="I23" t="s">
        <v>48</v>
      </c>
      <c r="J23">
        <v>85138</v>
      </c>
      <c r="K23" t="s">
        <v>47</v>
      </c>
      <c r="L23" t="s">
        <v>46</v>
      </c>
      <c r="M23" s="8" t="s">
        <v>62</v>
      </c>
      <c r="N23" s="7">
        <v>44337</v>
      </c>
      <c r="O23" s="7">
        <v>44341</v>
      </c>
      <c r="P23">
        <v>16</v>
      </c>
      <c r="Q23">
        <v>32</v>
      </c>
      <c r="R23" t="s">
        <v>44</v>
      </c>
      <c r="S23">
        <v>8.5</v>
      </c>
      <c r="T23">
        <v>7.2</v>
      </c>
      <c r="U23">
        <v>1.33</v>
      </c>
      <c r="V23" t="s">
        <v>61</v>
      </c>
      <c r="W23">
        <v>2</v>
      </c>
      <c r="X23">
        <v>0.8</v>
      </c>
      <c r="Y23">
        <v>0.6</v>
      </c>
      <c r="Z23">
        <v>3</v>
      </c>
      <c r="AB23">
        <v>4.8</v>
      </c>
      <c r="AC23">
        <v>206</v>
      </c>
      <c r="AD23">
        <v>162.30000000000001</v>
      </c>
      <c r="AE23">
        <v>0.7</v>
      </c>
      <c r="AF23">
        <v>11.9</v>
      </c>
      <c r="AG23">
        <v>8.9</v>
      </c>
      <c r="AH23">
        <v>1.6</v>
      </c>
      <c r="AI23">
        <v>3559</v>
      </c>
      <c r="AJ23">
        <v>299</v>
      </c>
      <c r="AK23">
        <v>946</v>
      </c>
      <c r="AM23">
        <v>24.9</v>
      </c>
      <c r="AN23">
        <v>0</v>
      </c>
      <c r="AO23">
        <v>2</v>
      </c>
      <c r="AP23">
        <v>71</v>
      </c>
      <c r="AQ23">
        <v>10</v>
      </c>
      <c r="AR23">
        <v>16</v>
      </c>
      <c r="AY23">
        <v>11</v>
      </c>
    </row>
    <row r="24" spans="1:51" x14ac:dyDescent="0.25">
      <c r="A24" t="s">
        <v>53</v>
      </c>
      <c r="B24">
        <v>65339</v>
      </c>
      <c r="C24">
        <v>80217</v>
      </c>
      <c r="D24" t="s">
        <v>52</v>
      </c>
      <c r="E24" t="s">
        <v>51</v>
      </c>
      <c r="F24" t="s">
        <v>50</v>
      </c>
      <c r="H24" t="s">
        <v>49</v>
      </c>
      <c r="I24" t="s">
        <v>48</v>
      </c>
      <c r="J24">
        <v>85138</v>
      </c>
      <c r="K24" t="s">
        <v>47</v>
      </c>
      <c r="L24" t="s">
        <v>46</v>
      </c>
      <c r="M24" s="8" t="s">
        <v>60</v>
      </c>
      <c r="N24" s="7">
        <v>44337</v>
      </c>
      <c r="O24" s="7">
        <v>44341</v>
      </c>
      <c r="P24">
        <v>32</v>
      </c>
      <c r="Q24">
        <v>46</v>
      </c>
      <c r="R24" t="s">
        <v>44</v>
      </c>
      <c r="S24">
        <v>8.4</v>
      </c>
      <c r="T24">
        <v>7.2</v>
      </c>
      <c r="U24">
        <v>1.25</v>
      </c>
      <c r="V24" t="s">
        <v>43</v>
      </c>
      <c r="W24">
        <v>2</v>
      </c>
      <c r="X24">
        <v>0.9</v>
      </c>
      <c r="Y24">
        <v>3.1</v>
      </c>
      <c r="Z24">
        <v>13</v>
      </c>
      <c r="AB24">
        <v>3.5</v>
      </c>
      <c r="AC24">
        <v>164</v>
      </c>
      <c r="AD24">
        <v>173.5</v>
      </c>
      <c r="AE24">
        <v>0.56999999999999995</v>
      </c>
      <c r="AF24">
        <v>9.3000000000000007</v>
      </c>
      <c r="AG24">
        <v>6.3</v>
      </c>
      <c r="AH24">
        <v>1.04</v>
      </c>
      <c r="AI24">
        <v>4356</v>
      </c>
      <c r="AJ24">
        <v>305</v>
      </c>
      <c r="AK24">
        <v>695</v>
      </c>
      <c r="AM24">
        <v>27.8</v>
      </c>
      <c r="AN24">
        <v>0</v>
      </c>
      <c r="AO24">
        <v>2</v>
      </c>
      <c r="AP24">
        <v>78</v>
      </c>
      <c r="AQ24">
        <v>9</v>
      </c>
      <c r="AR24">
        <v>11</v>
      </c>
      <c r="AY24">
        <v>15</v>
      </c>
    </row>
    <row r="25" spans="1:51" x14ac:dyDescent="0.25">
      <c r="A25" t="s">
        <v>53</v>
      </c>
      <c r="B25">
        <v>65340</v>
      </c>
      <c r="C25">
        <v>80217</v>
      </c>
      <c r="D25" t="s">
        <v>52</v>
      </c>
      <c r="E25" t="s">
        <v>51</v>
      </c>
      <c r="F25" t="s">
        <v>50</v>
      </c>
      <c r="H25" t="s">
        <v>49</v>
      </c>
      <c r="I25" t="s">
        <v>48</v>
      </c>
      <c r="J25">
        <v>85138</v>
      </c>
      <c r="K25" t="s">
        <v>47</v>
      </c>
      <c r="L25" t="s">
        <v>46</v>
      </c>
      <c r="M25" s="8" t="s">
        <v>59</v>
      </c>
      <c r="N25" s="7">
        <v>44337</v>
      </c>
      <c r="O25" s="7">
        <v>44341</v>
      </c>
      <c r="P25">
        <v>46</v>
      </c>
      <c r="Q25">
        <v>63</v>
      </c>
      <c r="R25" t="s">
        <v>44</v>
      </c>
      <c r="S25">
        <v>8.3000000000000007</v>
      </c>
      <c r="T25">
        <v>7.2</v>
      </c>
      <c r="U25">
        <v>1.08</v>
      </c>
      <c r="V25" t="s">
        <v>43</v>
      </c>
      <c r="W25">
        <v>2</v>
      </c>
      <c r="X25">
        <v>0.8</v>
      </c>
      <c r="Y25">
        <v>2.7</v>
      </c>
      <c r="Z25">
        <v>14</v>
      </c>
      <c r="AB25">
        <v>3.7</v>
      </c>
      <c r="AC25">
        <v>178</v>
      </c>
      <c r="AD25">
        <v>141.30000000000001</v>
      </c>
      <c r="AE25">
        <v>0.63</v>
      </c>
      <c r="AF25">
        <v>7.9</v>
      </c>
      <c r="AG25">
        <v>5.0999999999999996</v>
      </c>
      <c r="AH25">
        <v>0.8</v>
      </c>
      <c r="AI25">
        <v>4406</v>
      </c>
      <c r="AJ25">
        <v>379</v>
      </c>
      <c r="AK25">
        <v>574</v>
      </c>
      <c r="AM25">
        <v>28.1</v>
      </c>
      <c r="AN25">
        <v>0</v>
      </c>
      <c r="AO25">
        <v>2</v>
      </c>
      <c r="AP25">
        <v>78</v>
      </c>
      <c r="AQ25">
        <v>11</v>
      </c>
      <c r="AR25">
        <v>9</v>
      </c>
      <c r="AY25">
        <v>6</v>
      </c>
    </row>
    <row r="26" spans="1:51" x14ac:dyDescent="0.25">
      <c r="A26" t="s">
        <v>53</v>
      </c>
      <c r="B26">
        <v>65341</v>
      </c>
      <c r="C26">
        <v>80217</v>
      </c>
      <c r="D26" t="s">
        <v>52</v>
      </c>
      <c r="E26" t="s">
        <v>51</v>
      </c>
      <c r="F26" t="s">
        <v>50</v>
      </c>
      <c r="H26" t="s">
        <v>49</v>
      </c>
      <c r="I26" t="s">
        <v>48</v>
      </c>
      <c r="J26">
        <v>85138</v>
      </c>
      <c r="K26" t="s">
        <v>47</v>
      </c>
      <c r="L26" t="s">
        <v>46</v>
      </c>
      <c r="M26" s="8" t="s">
        <v>58</v>
      </c>
      <c r="N26" s="7">
        <v>44337</v>
      </c>
      <c r="O26" s="7">
        <v>44341</v>
      </c>
      <c r="P26">
        <v>63</v>
      </c>
      <c r="Q26">
        <v>79</v>
      </c>
      <c r="R26" t="s">
        <v>44</v>
      </c>
      <c r="S26">
        <v>8.4</v>
      </c>
      <c r="T26">
        <v>7.2</v>
      </c>
      <c r="U26">
        <v>0.94</v>
      </c>
      <c r="V26" t="s">
        <v>43</v>
      </c>
      <c r="W26">
        <v>2</v>
      </c>
      <c r="X26">
        <v>0.7</v>
      </c>
      <c r="Y26">
        <v>1.4</v>
      </c>
      <c r="Z26">
        <v>7</v>
      </c>
      <c r="AB26">
        <v>4.0999999999999996</v>
      </c>
      <c r="AC26">
        <v>129</v>
      </c>
      <c r="AD26">
        <v>99.4</v>
      </c>
      <c r="AE26">
        <v>0.8</v>
      </c>
      <c r="AF26">
        <v>6.4</v>
      </c>
      <c r="AG26">
        <v>4.5</v>
      </c>
      <c r="AH26">
        <v>0.62</v>
      </c>
      <c r="AI26">
        <v>3911</v>
      </c>
      <c r="AJ26">
        <v>321</v>
      </c>
      <c r="AK26">
        <v>341</v>
      </c>
      <c r="AM26">
        <v>24</v>
      </c>
      <c r="AN26">
        <v>0</v>
      </c>
      <c r="AO26">
        <v>1</v>
      </c>
      <c r="AP26">
        <v>81</v>
      </c>
      <c r="AQ26">
        <v>11</v>
      </c>
      <c r="AR26">
        <v>6</v>
      </c>
      <c r="AY26">
        <v>4</v>
      </c>
    </row>
    <row r="27" spans="1:51" x14ac:dyDescent="0.25">
      <c r="A27" t="s">
        <v>53</v>
      </c>
      <c r="B27">
        <v>65342</v>
      </c>
      <c r="C27">
        <v>80217</v>
      </c>
      <c r="D27" t="s">
        <v>52</v>
      </c>
      <c r="E27" t="s">
        <v>51</v>
      </c>
      <c r="F27" t="s">
        <v>50</v>
      </c>
      <c r="H27" t="s">
        <v>49</v>
      </c>
      <c r="I27" t="s">
        <v>48</v>
      </c>
      <c r="J27">
        <v>85138</v>
      </c>
      <c r="K27" t="s">
        <v>47</v>
      </c>
      <c r="L27" t="s">
        <v>46</v>
      </c>
      <c r="M27" s="8" t="s">
        <v>57</v>
      </c>
      <c r="N27" s="7">
        <v>44337</v>
      </c>
      <c r="O27" s="7">
        <v>44341</v>
      </c>
      <c r="P27">
        <v>0</v>
      </c>
      <c r="Q27">
        <v>16</v>
      </c>
      <c r="R27" t="s">
        <v>44</v>
      </c>
      <c r="S27">
        <v>8.4</v>
      </c>
      <c r="T27">
        <v>7.2</v>
      </c>
      <c r="U27">
        <v>1.1399999999999999</v>
      </c>
      <c r="V27" t="s">
        <v>43</v>
      </c>
      <c r="W27">
        <v>2</v>
      </c>
      <c r="X27">
        <v>1</v>
      </c>
      <c r="Y27">
        <v>0.9</v>
      </c>
      <c r="Z27">
        <v>5</v>
      </c>
      <c r="AB27">
        <v>4</v>
      </c>
      <c r="AC27">
        <v>244</v>
      </c>
      <c r="AD27">
        <v>122.3</v>
      </c>
      <c r="AE27">
        <v>1.1499999999999999</v>
      </c>
      <c r="AF27">
        <v>5.8</v>
      </c>
      <c r="AG27">
        <v>8.5</v>
      </c>
      <c r="AH27">
        <v>2.5499999999999998</v>
      </c>
      <c r="AI27">
        <v>3122</v>
      </c>
      <c r="AJ27">
        <v>264</v>
      </c>
      <c r="AK27">
        <v>658</v>
      </c>
      <c r="AM27">
        <v>21.3</v>
      </c>
      <c r="AN27">
        <v>0</v>
      </c>
      <c r="AO27">
        <v>3</v>
      </c>
      <c r="AP27">
        <v>73</v>
      </c>
      <c r="AQ27">
        <v>10</v>
      </c>
      <c r="AR27">
        <v>13</v>
      </c>
      <c r="AY27">
        <v>29</v>
      </c>
    </row>
    <row r="28" spans="1:51" x14ac:dyDescent="0.25">
      <c r="A28" t="s">
        <v>53</v>
      </c>
      <c r="B28">
        <v>65343</v>
      </c>
      <c r="C28">
        <v>80217</v>
      </c>
      <c r="D28" t="s">
        <v>52</v>
      </c>
      <c r="E28" t="s">
        <v>51</v>
      </c>
      <c r="F28" t="s">
        <v>50</v>
      </c>
      <c r="H28" t="s">
        <v>49</v>
      </c>
      <c r="I28" t="s">
        <v>48</v>
      </c>
      <c r="J28">
        <v>85138</v>
      </c>
      <c r="K28" t="s">
        <v>47</v>
      </c>
      <c r="L28" t="s">
        <v>46</v>
      </c>
      <c r="M28" s="8" t="s">
        <v>56</v>
      </c>
      <c r="N28" s="7">
        <v>44337</v>
      </c>
      <c r="O28" s="7">
        <v>44341</v>
      </c>
      <c r="P28">
        <v>16</v>
      </c>
      <c r="Q28">
        <v>32</v>
      </c>
      <c r="R28" t="s">
        <v>44</v>
      </c>
      <c r="S28">
        <v>8.4</v>
      </c>
      <c r="T28">
        <v>7.2</v>
      </c>
      <c r="U28">
        <v>1.39</v>
      </c>
      <c r="V28" t="s">
        <v>43</v>
      </c>
      <c r="W28">
        <v>2</v>
      </c>
      <c r="X28">
        <v>0.7</v>
      </c>
      <c r="Y28">
        <v>4.3</v>
      </c>
      <c r="Z28">
        <v>21</v>
      </c>
      <c r="AB28">
        <v>5.4</v>
      </c>
      <c r="AC28">
        <v>154</v>
      </c>
      <c r="AD28">
        <v>142.30000000000001</v>
      </c>
      <c r="AE28">
        <v>0.45</v>
      </c>
      <c r="AF28">
        <v>4.8</v>
      </c>
      <c r="AG28">
        <v>3.9</v>
      </c>
      <c r="AH28">
        <v>1.1100000000000001</v>
      </c>
      <c r="AI28">
        <v>4467</v>
      </c>
      <c r="AJ28">
        <v>329</v>
      </c>
      <c r="AK28">
        <v>1053</v>
      </c>
      <c r="AM28">
        <v>30.1</v>
      </c>
      <c r="AN28">
        <v>0</v>
      </c>
      <c r="AO28">
        <v>1</v>
      </c>
      <c r="AP28">
        <v>74</v>
      </c>
      <c r="AQ28">
        <v>9</v>
      </c>
      <c r="AR28">
        <v>15</v>
      </c>
      <c r="AY28">
        <v>13</v>
      </c>
    </row>
    <row r="29" spans="1:51" x14ac:dyDescent="0.25">
      <c r="A29" t="s">
        <v>53</v>
      </c>
      <c r="B29">
        <v>65344</v>
      </c>
      <c r="C29">
        <v>80217</v>
      </c>
      <c r="D29" t="s">
        <v>52</v>
      </c>
      <c r="E29" t="s">
        <v>51</v>
      </c>
      <c r="F29" t="s">
        <v>50</v>
      </c>
      <c r="H29" t="s">
        <v>49</v>
      </c>
      <c r="I29" t="s">
        <v>48</v>
      </c>
      <c r="J29">
        <v>85138</v>
      </c>
      <c r="K29" t="s">
        <v>47</v>
      </c>
      <c r="L29" t="s">
        <v>46</v>
      </c>
      <c r="M29" s="8" t="s">
        <v>55</v>
      </c>
      <c r="N29" s="7">
        <v>44337</v>
      </c>
      <c r="O29" s="7">
        <v>44341</v>
      </c>
      <c r="P29">
        <v>32</v>
      </c>
      <c r="Q29">
        <v>46</v>
      </c>
      <c r="R29" t="s">
        <v>44</v>
      </c>
      <c r="S29">
        <v>8.4</v>
      </c>
      <c r="T29">
        <v>7.2</v>
      </c>
      <c r="U29">
        <v>1.17</v>
      </c>
      <c r="V29" t="s">
        <v>43</v>
      </c>
      <c r="W29">
        <v>2</v>
      </c>
      <c r="X29">
        <v>0.7</v>
      </c>
      <c r="Y29">
        <v>2.9</v>
      </c>
      <c r="Z29">
        <v>12</v>
      </c>
      <c r="AB29">
        <v>3.4</v>
      </c>
      <c r="AC29">
        <v>83</v>
      </c>
      <c r="AD29">
        <v>115.9</v>
      </c>
      <c r="AE29">
        <v>0.39</v>
      </c>
      <c r="AF29">
        <v>6.1</v>
      </c>
      <c r="AG29">
        <v>3.4</v>
      </c>
      <c r="AH29">
        <v>0.56000000000000005</v>
      </c>
      <c r="AI29">
        <v>3857</v>
      </c>
      <c r="AJ29">
        <v>231</v>
      </c>
      <c r="AK29">
        <v>584</v>
      </c>
      <c r="AM29">
        <v>24</v>
      </c>
      <c r="AN29">
        <v>0</v>
      </c>
      <c r="AO29">
        <v>1</v>
      </c>
      <c r="AP29">
        <v>80</v>
      </c>
      <c r="AQ29">
        <v>8</v>
      </c>
      <c r="AR29">
        <v>11</v>
      </c>
      <c r="AY29">
        <v>7</v>
      </c>
    </row>
    <row r="30" spans="1:51" x14ac:dyDescent="0.25">
      <c r="A30" t="s">
        <v>53</v>
      </c>
      <c r="B30">
        <v>65345</v>
      </c>
      <c r="C30">
        <v>80217</v>
      </c>
      <c r="D30" t="s">
        <v>52</v>
      </c>
      <c r="E30" t="s">
        <v>51</v>
      </c>
      <c r="F30" t="s">
        <v>50</v>
      </c>
      <c r="H30" t="s">
        <v>49</v>
      </c>
      <c r="I30" t="s">
        <v>48</v>
      </c>
      <c r="J30">
        <v>85138</v>
      </c>
      <c r="K30" t="s">
        <v>47</v>
      </c>
      <c r="L30" t="s">
        <v>46</v>
      </c>
      <c r="M30" s="8" t="s">
        <v>54</v>
      </c>
      <c r="N30" s="7">
        <v>44337</v>
      </c>
      <c r="O30" s="7">
        <v>44341</v>
      </c>
      <c r="P30">
        <v>46</v>
      </c>
      <c r="Q30">
        <v>63</v>
      </c>
      <c r="R30" t="s">
        <v>44</v>
      </c>
      <c r="S30">
        <v>8.3000000000000007</v>
      </c>
      <c r="T30">
        <v>7.2</v>
      </c>
      <c r="U30">
        <v>1.04</v>
      </c>
      <c r="V30" t="s">
        <v>43</v>
      </c>
      <c r="W30">
        <v>2</v>
      </c>
      <c r="X30">
        <v>0.6</v>
      </c>
      <c r="Y30">
        <v>1.9</v>
      </c>
      <c r="Z30">
        <v>10</v>
      </c>
      <c r="AB30">
        <v>3.2</v>
      </c>
      <c r="AC30">
        <v>92</v>
      </c>
      <c r="AD30">
        <v>101.3</v>
      </c>
      <c r="AE30">
        <v>0.33</v>
      </c>
      <c r="AF30">
        <v>4.5999999999999996</v>
      </c>
      <c r="AG30">
        <v>2.5</v>
      </c>
      <c r="AH30">
        <v>0.45</v>
      </c>
      <c r="AI30">
        <v>3896</v>
      </c>
      <c r="AJ30">
        <v>252</v>
      </c>
      <c r="AK30">
        <v>390</v>
      </c>
      <c r="AM30">
        <v>23.5</v>
      </c>
      <c r="AN30">
        <v>0</v>
      </c>
      <c r="AO30">
        <v>1</v>
      </c>
      <c r="AP30">
        <v>83</v>
      </c>
      <c r="AQ30">
        <v>9</v>
      </c>
      <c r="AR30">
        <v>7</v>
      </c>
      <c r="AY30">
        <v>2</v>
      </c>
    </row>
    <row r="31" spans="1:51" x14ac:dyDescent="0.25">
      <c r="A31" t="s">
        <v>53</v>
      </c>
      <c r="B31">
        <v>65346</v>
      </c>
      <c r="C31">
        <v>80217</v>
      </c>
      <c r="D31" t="s">
        <v>52</v>
      </c>
      <c r="E31" t="s">
        <v>51</v>
      </c>
      <c r="F31" t="s">
        <v>50</v>
      </c>
      <c r="H31" t="s">
        <v>49</v>
      </c>
      <c r="I31" t="s">
        <v>48</v>
      </c>
      <c r="J31">
        <v>85138</v>
      </c>
      <c r="K31" t="s">
        <v>47</v>
      </c>
      <c r="L31" t="s">
        <v>46</v>
      </c>
      <c r="M31" s="8" t="s">
        <v>45</v>
      </c>
      <c r="N31" s="7">
        <v>44337</v>
      </c>
      <c r="O31" s="7">
        <v>44341</v>
      </c>
      <c r="P31">
        <v>63</v>
      </c>
      <c r="Q31">
        <v>79</v>
      </c>
      <c r="R31" t="s">
        <v>44</v>
      </c>
      <c r="S31">
        <v>8.3000000000000007</v>
      </c>
      <c r="T31">
        <v>7.2</v>
      </c>
      <c r="U31">
        <v>1.06</v>
      </c>
      <c r="V31" t="s">
        <v>43</v>
      </c>
      <c r="W31">
        <v>2</v>
      </c>
      <c r="X31">
        <v>0.8</v>
      </c>
      <c r="Y31">
        <v>2.2999999999999998</v>
      </c>
      <c r="Z31">
        <v>11</v>
      </c>
      <c r="AB31">
        <v>3.4</v>
      </c>
      <c r="AC31">
        <v>92</v>
      </c>
      <c r="AD31">
        <v>104.6</v>
      </c>
      <c r="AE31">
        <v>0.36</v>
      </c>
      <c r="AF31">
        <v>4.8</v>
      </c>
      <c r="AG31">
        <v>2.1</v>
      </c>
      <c r="AH31">
        <v>0.33</v>
      </c>
      <c r="AI31">
        <v>5319</v>
      </c>
      <c r="AJ31">
        <v>269</v>
      </c>
      <c r="AK31">
        <v>276</v>
      </c>
      <c r="AM31">
        <v>30.3</v>
      </c>
      <c r="AN31">
        <v>0</v>
      </c>
      <c r="AO31">
        <v>1</v>
      </c>
      <c r="AP31">
        <v>88</v>
      </c>
      <c r="AQ31">
        <v>7</v>
      </c>
      <c r="AR31">
        <v>4</v>
      </c>
      <c r="AY31">
        <v>1</v>
      </c>
    </row>
    <row r="33" spans="23:51" x14ac:dyDescent="0.25">
      <c r="W33">
        <v>40</v>
      </c>
      <c r="X33" s="3">
        <f>AVERAGE(X2,X7,X12,X17,X22,X27)</f>
        <v>1.2000000000000002</v>
      </c>
      <c r="Y33" s="6">
        <f>AVERAGE(Y2,Y7,Y12,Y17,Y22,Y27)</f>
        <v>1.0000000000000002</v>
      </c>
      <c r="Z33" s="3">
        <f>AVERAGE(Z2,Z7,Z12,Z17,Z22,Z27)</f>
        <v>4.666666666666667</v>
      </c>
      <c r="AA33" s="3"/>
      <c r="AB33" s="3">
        <f>AVERAGE(AB2,AB7,AB12,AB17,AB22,AB27)</f>
        <v>3.9333333333333331</v>
      </c>
      <c r="AC33" s="3">
        <f>AVERAGE(AC2,AC7,AC12,AC17,AC22,AC27)</f>
        <v>316</v>
      </c>
      <c r="AY33" s="3">
        <f>AVERAGE(AY2,AY7,AY12,AY17,AY22,AY27)</f>
        <v>50.666666666666664</v>
      </c>
    </row>
    <row r="34" spans="23:51" x14ac:dyDescent="0.25">
      <c r="W34">
        <v>80</v>
      </c>
      <c r="X34" s="3">
        <f>AVERAGE(X3,X8,X13,X18,X23,X28)</f>
        <v>0.79999999999999993</v>
      </c>
      <c r="Y34" s="6">
        <f>AVERAGE(Y3,Y8,Y13,Y18,Y23,Y28)</f>
        <v>2.3166666666666664</v>
      </c>
      <c r="Z34" s="3">
        <f>AVERAGE(Z3,Z8,Z13,Z18,Z23,Z28)</f>
        <v>11.333333333333334</v>
      </c>
      <c r="AA34" s="3"/>
      <c r="AB34" s="3">
        <f>AVERAGE(AB3,AB8,AB13,AB18,AB23,AB28)</f>
        <v>5.083333333333333</v>
      </c>
      <c r="AC34" s="3">
        <f>AVERAGE(AC3,AC8,AC13,AC18,AC23,AC28)</f>
        <v>212</v>
      </c>
      <c r="AY34" s="3">
        <f>AVERAGE(AY3,AY8,AY13,AY18,AY23,AY28)</f>
        <v>14.666666666666666</v>
      </c>
    </row>
    <row r="35" spans="23:51" x14ac:dyDescent="0.25">
      <c r="W35">
        <v>120</v>
      </c>
      <c r="X35" s="3">
        <f>AVERAGE(X4,X9,X14,X19,X24,X29)</f>
        <v>0.76666666666666661</v>
      </c>
      <c r="Y35" s="6">
        <f>AVERAGE(Y4,Y9,Y14,Y19,Y24,Y29)</f>
        <v>4.45</v>
      </c>
      <c r="Z35" s="3">
        <f>AVERAGE(Z4,Z9,Z14,Z19,Z24,Z29)</f>
        <v>18.666666666666668</v>
      </c>
      <c r="AA35" s="3"/>
      <c r="AB35" s="3">
        <f>AVERAGE(AB4,AB9,AB14,AB19,AB24,AB29)</f>
        <v>5.0166666666666666</v>
      </c>
      <c r="AC35" s="3">
        <f>AVERAGE(AC4,AC9,AC14,AC19,AC24,AC29)</f>
        <v>166</v>
      </c>
      <c r="AY35" s="3">
        <f>AVERAGE(AY4,AY9,AY14,AY19,AY24,AY29)</f>
        <v>13.333333333333334</v>
      </c>
    </row>
    <row r="36" spans="23:51" x14ac:dyDescent="0.25">
      <c r="W36">
        <v>160</v>
      </c>
      <c r="X36" s="3">
        <f>AVERAGE(X5,X10,X15,X20,X25,X30)</f>
        <v>0.73333333333333328</v>
      </c>
      <c r="Y36" s="6">
        <f>AVERAGE(Y5,Y10,Y15,Y20,Y25,Y30)</f>
        <v>4.3166666666666655</v>
      </c>
      <c r="Z36" s="3">
        <f>AVERAGE(Z5,Z10,Z15,Z20,Z25,Z30)</f>
        <v>22</v>
      </c>
      <c r="AA36" s="3"/>
      <c r="AB36" s="3">
        <f>AVERAGE(AB5,AB10,AB15,AB20,AB25,AB30)</f>
        <v>4.3500000000000005</v>
      </c>
      <c r="AC36" s="3">
        <f>AVERAGE(AC5,AC10,AC15,AC20,AC25,AC30)</f>
        <v>149.16666666666666</v>
      </c>
      <c r="AY36" s="3">
        <f>AVERAGE(AY5,AY10,AY15,AY20,AY25,AY30)</f>
        <v>5.5</v>
      </c>
    </row>
    <row r="37" spans="23:51" x14ac:dyDescent="0.25">
      <c r="W37">
        <v>200</v>
      </c>
      <c r="X37" s="3">
        <f>AVERAGE(X6,X11,X16,X21,X26,X31)</f>
        <v>0.66666666666666663</v>
      </c>
      <c r="Y37" s="6">
        <f>AVERAGE(Y6,Y11,Y16,Y21,Y26,Y31)</f>
        <v>2.6500000000000004</v>
      </c>
      <c r="Z37" s="3">
        <f>AVERAGE(Z6,Z11,Z16,Z21,Z26,Z31)</f>
        <v>12.666666666666666</v>
      </c>
      <c r="AA37" s="3"/>
      <c r="AB37" s="3">
        <f>AVERAGE(AB6,AB11,AB16,AB21,AB26,AB31)</f>
        <v>4.0666666666666664</v>
      </c>
      <c r="AC37" s="3">
        <f>AVERAGE(AC6,AC11,AC16,AC21,AC26,AC31)</f>
        <v>116.5</v>
      </c>
      <c r="AY37" s="3">
        <f>AVERAGE(AY6,AY11,AY16,AY21,AY26,AY31)</f>
        <v>3</v>
      </c>
    </row>
    <row r="41" spans="23:51" x14ac:dyDescent="0.25">
      <c r="W41">
        <v>5</v>
      </c>
      <c r="Y41" s="5">
        <f>Y33</f>
        <v>1.0000000000000002</v>
      </c>
    </row>
    <row r="42" spans="23:51" x14ac:dyDescent="0.25">
      <c r="W42">
        <v>15</v>
      </c>
      <c r="Y42" s="5">
        <f>Y33</f>
        <v>1.0000000000000002</v>
      </c>
    </row>
    <row r="43" spans="23:51" x14ac:dyDescent="0.25">
      <c r="W43">
        <v>30</v>
      </c>
      <c r="Y43" s="5">
        <f>Y33</f>
        <v>1.0000000000000002</v>
      </c>
    </row>
    <row r="44" spans="23:51" x14ac:dyDescent="0.25">
      <c r="W44">
        <v>45</v>
      </c>
      <c r="Y44" s="5">
        <f>Y33*1/3+Y34*2/3</f>
        <v>1.8777777777777778</v>
      </c>
    </row>
    <row r="45" spans="23:51" x14ac:dyDescent="0.25">
      <c r="W45">
        <v>60</v>
      </c>
      <c r="Y45" s="5">
        <f>Y34</f>
        <v>2.3166666666666664</v>
      </c>
    </row>
    <row r="46" spans="23:51" x14ac:dyDescent="0.25">
      <c r="W46">
        <v>90</v>
      </c>
      <c r="Y46" s="5">
        <f>Y34*2/3+Y35*1/3</f>
        <v>3.0277777777777777</v>
      </c>
    </row>
    <row r="47" spans="23:51" x14ac:dyDescent="0.25">
      <c r="W47">
        <v>120</v>
      </c>
      <c r="Y47" s="5">
        <f>Y35</f>
        <v>4.45</v>
      </c>
    </row>
    <row r="48" spans="23:51" x14ac:dyDescent="0.25">
      <c r="W48">
        <v>150</v>
      </c>
      <c r="Y48" s="5">
        <f>Y36</f>
        <v>4.3166666666666655</v>
      </c>
    </row>
    <row r="49" spans="23:25" x14ac:dyDescent="0.25">
      <c r="W49">
        <v>180</v>
      </c>
      <c r="Y49" s="5">
        <f>Y36*1/3+Y37*2/3</f>
        <v>3.2055555555555553</v>
      </c>
    </row>
    <row r="50" spans="23:25" x14ac:dyDescent="0.25">
      <c r="W50">
        <v>210</v>
      </c>
      <c r="Y50" s="5">
        <f>Y37</f>
        <v>2.6500000000000004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SoilChemDF</vt:lpstr>
      <vt:lpstr>Wards_Soil-20210525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2025-07-03T16:32:41Z</dcterms:created>
  <dcterms:modified xsi:type="dcterms:W3CDTF">2025-07-03T16:33:59Z</dcterms:modified>
</cp:coreProperties>
</file>