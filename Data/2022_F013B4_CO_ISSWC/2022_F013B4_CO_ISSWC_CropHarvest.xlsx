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66925"/>
  <mc:AlternateContent xmlns:mc="http://schemas.openxmlformats.org/markup-compatibility/2006">
    <mc:Choice Requires="x15">
      <x15ac:absPath xmlns:x15ac="http://schemas.microsoft.com/office/spreadsheetml/2010/11/ac" url="E:\mnt\Data1\USDA-ALARC\GIS\PDI project\cottondata\Data\2022_F013B4_CO_ISSWC\"/>
    </mc:Choice>
  </mc:AlternateContent>
  <xr:revisionPtr revIDLastSave="0" documentId="13_ncr:1_{B3543437-1046-40FC-BA96-0BB18E44CBD6}" xr6:coauthVersionLast="47" xr6:coauthVersionMax="47" xr10:uidLastSave="{00000000-0000-0000-0000-000000000000}"/>
  <bookViews>
    <workbookView xWindow="16800" yWindow="-23625" windowWidth="17715" windowHeight="17625" xr2:uid="{A0C8E5E1-3BB8-481A-9E5C-615F618DEDC4}"/>
  </bookViews>
  <sheets>
    <sheet name="Raw Scale" sheetId="1" r:id="rId1"/>
    <sheet name="Plot Scale" sheetId="2" r:id="rId2"/>
    <sheet name="Compare" sheetId="3" r:id="rId3"/>
    <sheet name="Harvest" sheetId="4" r:id="rId4"/>
    <sheet name="Ginning - bulk" sheetId="5" r:id="rId5"/>
    <sheet name="Ginning data sheet" sheetId="6" r:id="rId6"/>
    <sheet name="Moisture content" sheetId="7" r:id="rId7"/>
    <sheet name="HVI" sheetId="8" r:id="rId8"/>
  </sheets>
  <definedNames>
    <definedName name="_xlnm.Print_Area" localSheetId="4">'Ginning - bulk'!$AC$1:$AJ$23</definedName>
    <definedName name="_xlnm.Print_Area" localSheetId="5">'Ginning data sheet'!$Q$1:$AD$35</definedName>
    <definedName name="_xlnm.Print_Area" localSheetId="3">Harvest!$X$1:$AA$44</definedName>
    <definedName name="_xlnm.Print_Area" localSheetId="6">'Moisture content'!$Z$1:$AG$49</definedName>
    <definedName name="_xlnm.Print_Titles" localSheetId="4">'Ginning - bulk'!$5:$5</definedName>
    <definedName name="_xlnm.Print_Titles" localSheetId="5">'Ginning data sheet'!$11:$11</definedName>
    <definedName name="_xlnm.Print_Titles" localSheetId="3">Harvest!$1:$12</definedName>
    <definedName name="_xlnm.Print_Titles" localSheetId="6">'Moisture content'!$17:$17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7" i="7" l="1"/>
  <c r="W17" i="7"/>
  <c r="H18" i="7"/>
  <c r="J18" i="7"/>
  <c r="U18" i="7"/>
  <c r="W18" i="7" s="1"/>
  <c r="AF18" i="7"/>
  <c r="AH18" i="7"/>
  <c r="H19" i="7"/>
  <c r="J19" i="7"/>
  <c r="U19" i="7"/>
  <c r="W19" i="7"/>
  <c r="AF19" i="7"/>
  <c r="AH19" i="7"/>
  <c r="H20" i="7"/>
  <c r="J20" i="7"/>
  <c r="U20" i="7"/>
  <c r="W20" i="7"/>
  <c r="AF20" i="7"/>
  <c r="AH20" i="7"/>
  <c r="H21" i="7"/>
  <c r="J21" i="7"/>
  <c r="U21" i="7"/>
  <c r="W21" i="7"/>
  <c r="AF21" i="7"/>
  <c r="AH21" i="7"/>
  <c r="H22" i="7"/>
  <c r="J22" i="7"/>
  <c r="U22" i="7"/>
  <c r="W22" i="7"/>
  <c r="AF22" i="7"/>
  <c r="AH22" i="7"/>
  <c r="H23" i="7"/>
  <c r="J23" i="7"/>
  <c r="U23" i="7"/>
  <c r="W23" i="7"/>
  <c r="AF23" i="7"/>
  <c r="AH23" i="7" s="1"/>
  <c r="H24" i="7"/>
  <c r="J24" i="7"/>
  <c r="U24" i="7"/>
  <c r="W24" i="7"/>
  <c r="AF24" i="7"/>
  <c r="AH24" i="7"/>
  <c r="H25" i="7"/>
  <c r="J25" i="7"/>
  <c r="U25" i="7"/>
  <c r="W25" i="7"/>
  <c r="AF25" i="7"/>
  <c r="AH25" i="7"/>
  <c r="H26" i="7"/>
  <c r="J26" i="7"/>
  <c r="U26" i="7"/>
  <c r="W26" i="7"/>
  <c r="AF26" i="7"/>
  <c r="AH26" i="7"/>
  <c r="H27" i="7"/>
  <c r="J27" i="7"/>
  <c r="U27" i="7"/>
  <c r="W27" i="7"/>
  <c r="AF27" i="7"/>
  <c r="AH27" i="7"/>
  <c r="H28" i="7"/>
  <c r="J28" i="7"/>
  <c r="U28" i="7"/>
  <c r="W28" i="7"/>
  <c r="AF28" i="7"/>
  <c r="AH28" i="7"/>
  <c r="H29" i="7"/>
  <c r="J29" i="7" s="1"/>
  <c r="U29" i="7"/>
  <c r="W29" i="7"/>
  <c r="AF29" i="7"/>
  <c r="AH29" i="7"/>
  <c r="H30" i="7"/>
  <c r="J30" i="7"/>
  <c r="U30" i="7"/>
  <c r="W30" i="7"/>
  <c r="AF30" i="7"/>
  <c r="AH30" i="7"/>
  <c r="H31" i="7"/>
  <c r="J31" i="7"/>
  <c r="U31" i="7"/>
  <c r="W31" i="7"/>
  <c r="AF31" i="7"/>
  <c r="AH31" i="7"/>
  <c r="H32" i="7"/>
  <c r="J32" i="7"/>
  <c r="U32" i="7"/>
  <c r="W32" i="7"/>
  <c r="AF32" i="7"/>
  <c r="AH32" i="7"/>
  <c r="H33" i="7"/>
  <c r="J33" i="7"/>
  <c r="U33" i="7"/>
  <c r="W33" i="7"/>
  <c r="AF33" i="7"/>
  <c r="AH33" i="7"/>
  <c r="H34" i="7"/>
  <c r="J34" i="7"/>
  <c r="U34" i="7"/>
  <c r="W34" i="7" s="1"/>
  <c r="AF34" i="7"/>
  <c r="AH34" i="7"/>
  <c r="H35" i="7"/>
  <c r="J35" i="7"/>
  <c r="U35" i="7"/>
  <c r="W35" i="7"/>
  <c r="AF35" i="7"/>
  <c r="AH35" i="7"/>
  <c r="H36" i="7"/>
  <c r="J36" i="7"/>
  <c r="U36" i="7"/>
  <c r="W36" i="7"/>
  <c r="AF36" i="7"/>
  <c r="AH36" i="7"/>
  <c r="H37" i="7"/>
  <c r="J37" i="7"/>
  <c r="U37" i="7"/>
  <c r="W37" i="7"/>
  <c r="AF37" i="7"/>
  <c r="AH37" i="7"/>
  <c r="H38" i="7"/>
  <c r="J38" i="7"/>
  <c r="U38" i="7"/>
  <c r="W38" i="7"/>
  <c r="AF38" i="7"/>
  <c r="AH38" i="7"/>
  <c r="H39" i="7"/>
  <c r="J39" i="7"/>
  <c r="U39" i="7"/>
  <c r="W39" i="7"/>
  <c r="AF39" i="7"/>
  <c r="AH39" i="7" s="1"/>
  <c r="H40" i="7"/>
  <c r="J40" i="7"/>
  <c r="U40" i="7"/>
  <c r="W40" i="7"/>
  <c r="AF40" i="7"/>
  <c r="AH40" i="7"/>
  <c r="H41" i="7"/>
  <c r="J41" i="7"/>
  <c r="U41" i="7"/>
  <c r="W41" i="7"/>
  <c r="AF41" i="7"/>
  <c r="AH41" i="7"/>
  <c r="H42" i="7"/>
  <c r="J42" i="7"/>
  <c r="U42" i="7"/>
  <c r="W42" i="7"/>
  <c r="AF42" i="7"/>
  <c r="AH42" i="7"/>
  <c r="H43" i="7"/>
  <c r="J43" i="7"/>
  <c r="U43" i="7"/>
  <c r="W43" i="7"/>
  <c r="AF43" i="7"/>
  <c r="AH43" i="7"/>
  <c r="H44" i="7"/>
  <c r="J44" i="7"/>
  <c r="U44" i="7"/>
  <c r="W44" i="7"/>
  <c r="AF44" i="7"/>
  <c r="AH44" i="7"/>
  <c r="H45" i="7"/>
  <c r="J45" i="7" s="1"/>
  <c r="U45" i="7"/>
  <c r="W45" i="7"/>
  <c r="AF45" i="7"/>
  <c r="AH45" i="7"/>
  <c r="H46" i="7"/>
  <c r="J46" i="7"/>
  <c r="U46" i="7"/>
  <c r="W46" i="7"/>
  <c r="AF46" i="7"/>
  <c r="AH46" i="7"/>
  <c r="H47" i="7"/>
  <c r="J47" i="7"/>
  <c r="U47" i="7"/>
  <c r="W47" i="7"/>
  <c r="AF47" i="7"/>
  <c r="AH47" i="7"/>
  <c r="H48" i="7"/>
  <c r="J48" i="7"/>
  <c r="U48" i="7"/>
  <c r="W48" i="7"/>
  <c r="AF48" i="7"/>
  <c r="AH48" i="7"/>
  <c r="H49" i="7"/>
  <c r="J49" i="7"/>
  <c r="U49" i="7"/>
  <c r="W49" i="7"/>
  <c r="AF49" i="7"/>
  <c r="AH49" i="7"/>
  <c r="H50" i="7"/>
  <c r="J50" i="7"/>
  <c r="U50" i="7"/>
  <c r="W50" i="7" s="1"/>
  <c r="H51" i="7"/>
  <c r="J51" i="7"/>
  <c r="U51" i="7"/>
  <c r="W51" i="7"/>
  <c r="H52" i="7"/>
  <c r="J52" i="7"/>
  <c r="U52" i="7"/>
  <c r="W52" i="7"/>
  <c r="H53" i="7"/>
  <c r="J53" i="7"/>
  <c r="U53" i="7"/>
  <c r="W53" i="7"/>
  <c r="H54" i="7"/>
  <c r="J54" i="7"/>
  <c r="U54" i="7"/>
  <c r="W54" i="7"/>
  <c r="H55" i="7"/>
  <c r="J55" i="7"/>
  <c r="U55" i="7"/>
  <c r="W55" i="7"/>
  <c r="H56" i="7"/>
  <c r="J56" i="7"/>
  <c r="U56" i="7"/>
  <c r="W56" i="7"/>
  <c r="H57" i="7"/>
  <c r="J57" i="7"/>
  <c r="U57" i="7"/>
  <c r="W57" i="7"/>
  <c r="H58" i="7"/>
  <c r="J58" i="7"/>
  <c r="U58" i="7"/>
  <c r="W58" i="7" s="1"/>
  <c r="H59" i="7"/>
  <c r="J59" i="7"/>
  <c r="U59" i="7"/>
  <c r="W59" i="7"/>
  <c r="H60" i="7"/>
  <c r="J60" i="7"/>
  <c r="U60" i="7"/>
  <c r="W60" i="7"/>
  <c r="H61" i="7"/>
  <c r="J61" i="7"/>
  <c r="U61" i="7"/>
  <c r="W61" i="7"/>
  <c r="H62" i="7"/>
  <c r="J62" i="7"/>
  <c r="U62" i="7"/>
  <c r="W62" i="7"/>
  <c r="H63" i="7"/>
  <c r="J63" i="7"/>
  <c r="U63" i="7"/>
  <c r="W63" i="7"/>
  <c r="H64" i="7"/>
  <c r="J64" i="7"/>
  <c r="U64" i="7"/>
  <c r="W64" i="7"/>
  <c r="H65" i="7"/>
  <c r="J65" i="7"/>
  <c r="U65" i="7"/>
  <c r="W65" i="7"/>
  <c r="M13" i="4"/>
  <c r="M14" i="4"/>
  <c r="M15" i="4"/>
  <c r="M16" i="4"/>
  <c r="M18" i="4"/>
  <c r="M19" i="4"/>
  <c r="M20" i="4"/>
  <c r="M21" i="4"/>
  <c r="M23" i="4"/>
  <c r="M24" i="4"/>
  <c r="M25" i="4"/>
  <c r="M26" i="4"/>
  <c r="M28" i="4"/>
  <c r="M29" i="4"/>
  <c r="M30" i="4"/>
  <c r="M31" i="4"/>
  <c r="AU368" i="1"/>
  <c r="AT368" i="1"/>
  <c r="AU362" i="1"/>
  <c r="AT362" i="1"/>
  <c r="AU356" i="1"/>
  <c r="AT356" i="1"/>
  <c r="AU350" i="1"/>
  <c r="AT350" i="1"/>
  <c r="AU344" i="1"/>
  <c r="AT344" i="1"/>
  <c r="AU338" i="1"/>
  <c r="AT338" i="1"/>
  <c r="AU332" i="1"/>
  <c r="AT332" i="1"/>
  <c r="AU326" i="1"/>
  <c r="AT326" i="1"/>
  <c r="AU320" i="1"/>
  <c r="AT320" i="1"/>
  <c r="AU314" i="1"/>
  <c r="AT314" i="1"/>
  <c r="AU308" i="1"/>
  <c r="AT308" i="1"/>
  <c r="AU302" i="1"/>
  <c r="AT302" i="1"/>
  <c r="AU296" i="1"/>
  <c r="AT296" i="1"/>
  <c r="AU290" i="1"/>
  <c r="AT290" i="1"/>
  <c r="AU284" i="1"/>
  <c r="AT284" i="1"/>
  <c r="AU278" i="1"/>
  <c r="AT278" i="1"/>
  <c r="AU272" i="1"/>
  <c r="AT272" i="1"/>
  <c r="AU266" i="1"/>
  <c r="AT266" i="1"/>
  <c r="AU260" i="1"/>
  <c r="AT260" i="1"/>
  <c r="AU254" i="1"/>
  <c r="AT254" i="1"/>
  <c r="AU248" i="1"/>
  <c r="AT248" i="1"/>
  <c r="AU242" i="1"/>
  <c r="AT242" i="1"/>
  <c r="AU236" i="1"/>
  <c r="AT236" i="1"/>
  <c r="AU230" i="1"/>
  <c r="AT230" i="1"/>
  <c r="AU224" i="1"/>
  <c r="AT224" i="1"/>
  <c r="AU218" i="1"/>
  <c r="AT218" i="1"/>
  <c r="AU212" i="1"/>
  <c r="AT212" i="1"/>
  <c r="AU206" i="1"/>
  <c r="AT206" i="1"/>
  <c r="AU200" i="1"/>
  <c r="AT200" i="1"/>
  <c r="AU194" i="1"/>
  <c r="AT194" i="1"/>
  <c r="AU188" i="1"/>
  <c r="AT188" i="1"/>
  <c r="AU182" i="1"/>
  <c r="AT182" i="1"/>
  <c r="AU176" i="1"/>
  <c r="AT176" i="1"/>
  <c r="AU170" i="1"/>
  <c r="AT170" i="1"/>
  <c r="AU164" i="1"/>
  <c r="AT164" i="1"/>
  <c r="AU158" i="1"/>
  <c r="AT158" i="1"/>
  <c r="AU152" i="1"/>
  <c r="AT152" i="1"/>
  <c r="AU146" i="1"/>
  <c r="AT146" i="1"/>
  <c r="AU140" i="1"/>
  <c r="AT140" i="1"/>
  <c r="AU134" i="1"/>
  <c r="AT134" i="1"/>
  <c r="AU128" i="1"/>
  <c r="AT128" i="1"/>
  <c r="AU122" i="1"/>
  <c r="AT122" i="1"/>
  <c r="AU116" i="1"/>
  <c r="AT116" i="1"/>
  <c r="AU110" i="1"/>
  <c r="AT110" i="1"/>
  <c r="AU104" i="1"/>
  <c r="AT104" i="1"/>
  <c r="AU98" i="1"/>
  <c r="AT98" i="1"/>
  <c r="AU92" i="1"/>
  <c r="AT92" i="1"/>
  <c r="AU86" i="1"/>
  <c r="AT86" i="1"/>
  <c r="BH146" i="1" l="1"/>
  <c r="BG146" i="1"/>
  <c r="BC146" i="1"/>
  <c r="AV146" i="1"/>
  <c r="AW146" i="1" s="1"/>
  <c r="BJ146" i="1" l="1"/>
  <c r="CE368" i="1"/>
  <c r="CD368" i="1"/>
  <c r="CC368" i="1"/>
  <c r="CA368" i="1"/>
  <c r="BZ368" i="1"/>
  <c r="BY368" i="1"/>
  <c r="BX368" i="1"/>
  <c r="BW368" i="1"/>
  <c r="BV368" i="1"/>
  <c r="BU368" i="1"/>
  <c r="BT368" i="1"/>
  <c r="CE362" i="1"/>
  <c r="CD362" i="1"/>
  <c r="CC362" i="1"/>
  <c r="CA362" i="1"/>
  <c r="BZ362" i="1"/>
  <c r="BY362" i="1"/>
  <c r="BX362" i="1"/>
  <c r="BW362" i="1"/>
  <c r="BV362" i="1"/>
  <c r="BU362" i="1"/>
  <c r="BT362" i="1"/>
  <c r="CE356" i="1"/>
  <c r="CD356" i="1"/>
  <c r="CC356" i="1"/>
  <c r="CA356" i="1"/>
  <c r="BZ356" i="1"/>
  <c r="BY356" i="1"/>
  <c r="BX356" i="1"/>
  <c r="BW356" i="1"/>
  <c r="BV356" i="1"/>
  <c r="BU356" i="1"/>
  <c r="BT356" i="1"/>
  <c r="CE350" i="1"/>
  <c r="CD350" i="1"/>
  <c r="CC350" i="1"/>
  <c r="CA350" i="1"/>
  <c r="BZ350" i="1"/>
  <c r="BY350" i="1"/>
  <c r="BX350" i="1"/>
  <c r="BW350" i="1"/>
  <c r="BV350" i="1"/>
  <c r="BU350" i="1"/>
  <c r="BT350" i="1"/>
  <c r="CE344" i="1"/>
  <c r="CD344" i="1"/>
  <c r="CC344" i="1"/>
  <c r="CA344" i="1"/>
  <c r="BZ344" i="1"/>
  <c r="BY344" i="1"/>
  <c r="BX344" i="1"/>
  <c r="BW344" i="1"/>
  <c r="BV344" i="1"/>
  <c r="BU344" i="1"/>
  <c r="BT344" i="1"/>
  <c r="CE338" i="1"/>
  <c r="CD338" i="1"/>
  <c r="CC338" i="1"/>
  <c r="CA338" i="1"/>
  <c r="BZ338" i="1"/>
  <c r="BY338" i="1"/>
  <c r="BX338" i="1"/>
  <c r="BW338" i="1"/>
  <c r="BV338" i="1"/>
  <c r="BU338" i="1"/>
  <c r="BT338" i="1"/>
  <c r="CE332" i="1"/>
  <c r="CD332" i="1"/>
  <c r="CC332" i="1"/>
  <c r="CA332" i="1"/>
  <c r="BZ332" i="1"/>
  <c r="BY332" i="1"/>
  <c r="BX332" i="1"/>
  <c r="BW332" i="1"/>
  <c r="BV332" i="1"/>
  <c r="BU332" i="1"/>
  <c r="BT332" i="1"/>
  <c r="CE326" i="1"/>
  <c r="CD326" i="1"/>
  <c r="CC326" i="1"/>
  <c r="CA326" i="1"/>
  <c r="BZ326" i="1"/>
  <c r="BY326" i="1"/>
  <c r="BX326" i="1"/>
  <c r="BW326" i="1"/>
  <c r="BV326" i="1"/>
  <c r="BU326" i="1"/>
  <c r="BT326" i="1"/>
  <c r="CE320" i="1"/>
  <c r="CD320" i="1"/>
  <c r="CC320" i="1"/>
  <c r="CA320" i="1"/>
  <c r="BZ320" i="1"/>
  <c r="BY320" i="1"/>
  <c r="BX320" i="1"/>
  <c r="BW320" i="1"/>
  <c r="BV320" i="1"/>
  <c r="BU320" i="1"/>
  <c r="BT320" i="1"/>
  <c r="CE314" i="1"/>
  <c r="CD314" i="1"/>
  <c r="CC314" i="1"/>
  <c r="CA314" i="1"/>
  <c r="BZ314" i="1"/>
  <c r="BY314" i="1"/>
  <c r="BX314" i="1"/>
  <c r="BW314" i="1"/>
  <c r="BV314" i="1"/>
  <c r="BU314" i="1"/>
  <c r="BT314" i="1"/>
  <c r="CE308" i="1"/>
  <c r="CD308" i="1"/>
  <c r="CC308" i="1"/>
  <c r="CA308" i="1"/>
  <c r="BZ308" i="1"/>
  <c r="BY308" i="1"/>
  <c r="BX308" i="1"/>
  <c r="BW308" i="1"/>
  <c r="BV308" i="1"/>
  <c r="BU308" i="1"/>
  <c r="BT308" i="1"/>
  <c r="CE302" i="1"/>
  <c r="CD302" i="1"/>
  <c r="CC302" i="1"/>
  <c r="CA302" i="1"/>
  <c r="BZ302" i="1"/>
  <c r="BY302" i="1"/>
  <c r="BX302" i="1"/>
  <c r="BW302" i="1"/>
  <c r="BV302" i="1"/>
  <c r="BU302" i="1"/>
  <c r="BT302" i="1"/>
  <c r="CE296" i="1"/>
  <c r="CD296" i="1"/>
  <c r="CC296" i="1"/>
  <c r="CA296" i="1"/>
  <c r="BZ296" i="1"/>
  <c r="BY296" i="1"/>
  <c r="BX296" i="1"/>
  <c r="BW296" i="1"/>
  <c r="BV296" i="1"/>
  <c r="BU296" i="1"/>
  <c r="BT296" i="1"/>
  <c r="CE290" i="1"/>
  <c r="CD290" i="1"/>
  <c r="CC290" i="1"/>
  <c r="CA290" i="1"/>
  <c r="BZ290" i="1"/>
  <c r="BY290" i="1"/>
  <c r="BX290" i="1"/>
  <c r="BW290" i="1"/>
  <c r="BV290" i="1"/>
  <c r="BU290" i="1"/>
  <c r="BT290" i="1"/>
  <c r="CE284" i="1"/>
  <c r="CD284" i="1"/>
  <c r="CC284" i="1"/>
  <c r="CA284" i="1"/>
  <c r="BZ284" i="1"/>
  <c r="BY284" i="1"/>
  <c r="BX284" i="1"/>
  <c r="BW284" i="1"/>
  <c r="BV284" i="1"/>
  <c r="BU284" i="1"/>
  <c r="BT284" i="1"/>
  <c r="CE278" i="1"/>
  <c r="CD278" i="1"/>
  <c r="CC278" i="1"/>
  <c r="CA278" i="1"/>
  <c r="BZ278" i="1"/>
  <c r="BY278" i="1"/>
  <c r="BX278" i="1"/>
  <c r="BW278" i="1"/>
  <c r="BV278" i="1"/>
  <c r="BU278" i="1"/>
  <c r="BT278" i="1"/>
  <c r="CE272" i="1"/>
  <c r="CD272" i="1"/>
  <c r="CC272" i="1"/>
  <c r="CA272" i="1"/>
  <c r="BZ272" i="1"/>
  <c r="BY272" i="1"/>
  <c r="BX272" i="1"/>
  <c r="BW272" i="1"/>
  <c r="BV272" i="1"/>
  <c r="BU272" i="1"/>
  <c r="BT272" i="1"/>
  <c r="CE266" i="1"/>
  <c r="CD266" i="1"/>
  <c r="CC266" i="1"/>
  <c r="CA266" i="1"/>
  <c r="BZ266" i="1"/>
  <c r="BY266" i="1"/>
  <c r="BX266" i="1"/>
  <c r="BW266" i="1"/>
  <c r="BV266" i="1"/>
  <c r="BU266" i="1"/>
  <c r="BT266" i="1"/>
  <c r="CE260" i="1"/>
  <c r="CD260" i="1"/>
  <c r="CC260" i="1"/>
  <c r="CA260" i="1"/>
  <c r="BZ260" i="1"/>
  <c r="BY260" i="1"/>
  <c r="BX260" i="1"/>
  <c r="BW260" i="1"/>
  <c r="BV260" i="1"/>
  <c r="BU260" i="1"/>
  <c r="BT260" i="1"/>
  <c r="CE254" i="1"/>
  <c r="CD254" i="1"/>
  <c r="CC254" i="1"/>
  <c r="CA254" i="1"/>
  <c r="BZ254" i="1"/>
  <c r="BY254" i="1"/>
  <c r="BX254" i="1"/>
  <c r="BW254" i="1"/>
  <c r="BV254" i="1"/>
  <c r="BU254" i="1"/>
  <c r="BT254" i="1"/>
  <c r="CE248" i="1"/>
  <c r="CD248" i="1"/>
  <c r="CC248" i="1"/>
  <c r="CA248" i="1"/>
  <c r="BZ248" i="1"/>
  <c r="BY248" i="1"/>
  <c r="BX248" i="1"/>
  <c r="BW248" i="1"/>
  <c r="BV248" i="1"/>
  <c r="BU248" i="1"/>
  <c r="BT248" i="1"/>
  <c r="CE242" i="1"/>
  <c r="CD242" i="1"/>
  <c r="CC242" i="1"/>
  <c r="CA242" i="1"/>
  <c r="BZ242" i="1"/>
  <c r="BY242" i="1"/>
  <c r="BX242" i="1"/>
  <c r="BW242" i="1"/>
  <c r="BV242" i="1"/>
  <c r="BU242" i="1"/>
  <c r="BT242" i="1"/>
  <c r="CE236" i="1"/>
  <c r="CD236" i="1"/>
  <c r="CC236" i="1"/>
  <c r="CA236" i="1"/>
  <c r="BZ236" i="1"/>
  <c r="BY236" i="1"/>
  <c r="BX236" i="1"/>
  <c r="BW236" i="1"/>
  <c r="BV236" i="1"/>
  <c r="BU236" i="1"/>
  <c r="BT236" i="1"/>
  <c r="CE230" i="1"/>
  <c r="CD230" i="1"/>
  <c r="CC230" i="1"/>
  <c r="CA230" i="1"/>
  <c r="BZ230" i="1"/>
  <c r="BY230" i="1"/>
  <c r="BX230" i="1"/>
  <c r="BW230" i="1"/>
  <c r="BV230" i="1"/>
  <c r="BU230" i="1"/>
  <c r="BT230" i="1"/>
  <c r="CE224" i="1"/>
  <c r="CD224" i="1"/>
  <c r="CC224" i="1"/>
  <c r="CA224" i="1"/>
  <c r="BZ224" i="1"/>
  <c r="BY224" i="1"/>
  <c r="BX224" i="1"/>
  <c r="BW224" i="1"/>
  <c r="BV224" i="1"/>
  <c r="BU224" i="1"/>
  <c r="BT224" i="1"/>
  <c r="CE218" i="1"/>
  <c r="CD218" i="1"/>
  <c r="CC218" i="1"/>
  <c r="CA218" i="1"/>
  <c r="BZ218" i="1"/>
  <c r="BY218" i="1"/>
  <c r="BX218" i="1"/>
  <c r="BW218" i="1"/>
  <c r="BV218" i="1"/>
  <c r="BU218" i="1"/>
  <c r="BT218" i="1"/>
  <c r="CE212" i="1"/>
  <c r="CD212" i="1"/>
  <c r="CC212" i="1"/>
  <c r="CA212" i="1"/>
  <c r="BZ212" i="1"/>
  <c r="BY212" i="1"/>
  <c r="BX212" i="1"/>
  <c r="BW212" i="1"/>
  <c r="BV212" i="1"/>
  <c r="BU212" i="1"/>
  <c r="BT212" i="1"/>
  <c r="CE206" i="1"/>
  <c r="CD206" i="1"/>
  <c r="CC206" i="1"/>
  <c r="CA206" i="1"/>
  <c r="BZ206" i="1"/>
  <c r="BY206" i="1"/>
  <c r="BX206" i="1"/>
  <c r="BW206" i="1"/>
  <c r="BV206" i="1"/>
  <c r="BU206" i="1"/>
  <c r="BT206" i="1"/>
  <c r="CE200" i="1"/>
  <c r="CD200" i="1"/>
  <c r="CC200" i="1"/>
  <c r="CA200" i="1"/>
  <c r="BZ200" i="1"/>
  <c r="BY200" i="1"/>
  <c r="BX200" i="1"/>
  <c r="BW200" i="1"/>
  <c r="BV200" i="1"/>
  <c r="BU200" i="1"/>
  <c r="BT200" i="1"/>
  <c r="CE194" i="1"/>
  <c r="CD194" i="1"/>
  <c r="CC194" i="1"/>
  <c r="CA194" i="1"/>
  <c r="BZ194" i="1"/>
  <c r="BY194" i="1"/>
  <c r="BX194" i="1"/>
  <c r="BW194" i="1"/>
  <c r="BV194" i="1"/>
  <c r="BU194" i="1"/>
  <c r="BT194" i="1"/>
  <c r="CE188" i="1"/>
  <c r="CD188" i="1"/>
  <c r="CC188" i="1"/>
  <c r="CA188" i="1"/>
  <c r="BZ188" i="1"/>
  <c r="BY188" i="1"/>
  <c r="BX188" i="1"/>
  <c r="BW188" i="1"/>
  <c r="BV188" i="1"/>
  <c r="BU188" i="1"/>
  <c r="BT188" i="1"/>
  <c r="CE182" i="1"/>
  <c r="CD182" i="1"/>
  <c r="CC182" i="1"/>
  <c r="CA182" i="1"/>
  <c r="BZ182" i="1"/>
  <c r="BY182" i="1"/>
  <c r="BX182" i="1"/>
  <c r="BW182" i="1"/>
  <c r="BV182" i="1"/>
  <c r="BU182" i="1"/>
  <c r="BT182" i="1"/>
  <c r="CE176" i="1"/>
  <c r="CD176" i="1"/>
  <c r="CC176" i="1"/>
  <c r="CA176" i="1"/>
  <c r="BZ176" i="1"/>
  <c r="BY176" i="1"/>
  <c r="BX176" i="1"/>
  <c r="BW176" i="1"/>
  <c r="BV176" i="1"/>
  <c r="BU176" i="1"/>
  <c r="BT176" i="1"/>
  <c r="CE170" i="1"/>
  <c r="CD170" i="1"/>
  <c r="CC170" i="1"/>
  <c r="CA170" i="1"/>
  <c r="BZ170" i="1"/>
  <c r="BY170" i="1"/>
  <c r="BX170" i="1"/>
  <c r="BW170" i="1"/>
  <c r="BV170" i="1"/>
  <c r="BU170" i="1"/>
  <c r="BT170" i="1"/>
  <c r="CE164" i="1"/>
  <c r="CD164" i="1"/>
  <c r="CC164" i="1"/>
  <c r="CA164" i="1"/>
  <c r="BZ164" i="1"/>
  <c r="BY164" i="1"/>
  <c r="BX164" i="1"/>
  <c r="BW164" i="1"/>
  <c r="BV164" i="1"/>
  <c r="BU164" i="1"/>
  <c r="BT164" i="1"/>
  <c r="CE158" i="1"/>
  <c r="CD158" i="1"/>
  <c r="CC158" i="1"/>
  <c r="CA158" i="1"/>
  <c r="BZ158" i="1"/>
  <c r="BY158" i="1"/>
  <c r="BX158" i="1"/>
  <c r="BW158" i="1"/>
  <c r="BV158" i="1"/>
  <c r="BU158" i="1"/>
  <c r="BT158" i="1"/>
  <c r="CE152" i="1"/>
  <c r="CD152" i="1"/>
  <c r="CC152" i="1"/>
  <c r="CA152" i="1"/>
  <c r="BZ152" i="1"/>
  <c r="BY152" i="1"/>
  <c r="BX152" i="1"/>
  <c r="BW152" i="1"/>
  <c r="BV152" i="1"/>
  <c r="BU152" i="1"/>
  <c r="BT152" i="1"/>
  <c r="CE146" i="1"/>
  <c r="CD146" i="1"/>
  <c r="CC146" i="1"/>
  <c r="CA146" i="1"/>
  <c r="BZ146" i="1"/>
  <c r="BY146" i="1"/>
  <c r="BX146" i="1"/>
  <c r="BW146" i="1"/>
  <c r="BV146" i="1"/>
  <c r="BU146" i="1"/>
  <c r="BT146" i="1"/>
  <c r="CE140" i="1"/>
  <c r="CD140" i="1"/>
  <c r="CC140" i="1"/>
  <c r="CA140" i="1"/>
  <c r="BZ140" i="1"/>
  <c r="BY140" i="1"/>
  <c r="BX140" i="1"/>
  <c r="BW140" i="1"/>
  <c r="BV140" i="1"/>
  <c r="BU140" i="1"/>
  <c r="BT140" i="1"/>
  <c r="CE134" i="1"/>
  <c r="CD134" i="1"/>
  <c r="CC134" i="1"/>
  <c r="CA134" i="1"/>
  <c r="BZ134" i="1"/>
  <c r="BY134" i="1"/>
  <c r="BX134" i="1"/>
  <c r="BW134" i="1"/>
  <c r="BV134" i="1"/>
  <c r="BU134" i="1"/>
  <c r="BT134" i="1"/>
  <c r="CE128" i="1"/>
  <c r="CD128" i="1"/>
  <c r="CC128" i="1"/>
  <c r="CA128" i="1"/>
  <c r="BZ128" i="1"/>
  <c r="BY128" i="1"/>
  <c r="BX128" i="1"/>
  <c r="BW128" i="1"/>
  <c r="BV128" i="1"/>
  <c r="BU128" i="1"/>
  <c r="BT128" i="1"/>
  <c r="CE122" i="1"/>
  <c r="CD122" i="1"/>
  <c r="CC122" i="1"/>
  <c r="CA122" i="1"/>
  <c r="BZ122" i="1"/>
  <c r="BY122" i="1"/>
  <c r="BX122" i="1"/>
  <c r="BW122" i="1"/>
  <c r="BV122" i="1"/>
  <c r="BU122" i="1"/>
  <c r="BT122" i="1"/>
  <c r="CE116" i="1"/>
  <c r="CD116" i="1"/>
  <c r="CC116" i="1"/>
  <c r="CA116" i="1"/>
  <c r="BZ116" i="1"/>
  <c r="BY116" i="1"/>
  <c r="BX116" i="1"/>
  <c r="BW116" i="1"/>
  <c r="BV116" i="1"/>
  <c r="BU116" i="1"/>
  <c r="BT116" i="1"/>
  <c r="CE110" i="1"/>
  <c r="CD110" i="1"/>
  <c r="CC110" i="1"/>
  <c r="CA110" i="1"/>
  <c r="BZ110" i="1"/>
  <c r="BY110" i="1"/>
  <c r="BX110" i="1"/>
  <c r="BW110" i="1"/>
  <c r="BV110" i="1"/>
  <c r="BU110" i="1"/>
  <c r="BT110" i="1"/>
  <c r="CE104" i="1"/>
  <c r="CD104" i="1"/>
  <c r="CC104" i="1"/>
  <c r="CA104" i="1"/>
  <c r="BZ104" i="1"/>
  <c r="BY104" i="1"/>
  <c r="BX104" i="1"/>
  <c r="BW104" i="1"/>
  <c r="BV104" i="1"/>
  <c r="BU104" i="1"/>
  <c r="BT104" i="1"/>
  <c r="CE98" i="1"/>
  <c r="CD98" i="1"/>
  <c r="CC98" i="1"/>
  <c r="CA98" i="1"/>
  <c r="BZ98" i="1"/>
  <c r="BY98" i="1"/>
  <c r="BX98" i="1"/>
  <c r="BW98" i="1"/>
  <c r="BV98" i="1"/>
  <c r="BU98" i="1"/>
  <c r="CE92" i="1"/>
  <c r="CD92" i="1"/>
  <c r="CC92" i="1"/>
  <c r="CA92" i="1"/>
  <c r="BZ92" i="1"/>
  <c r="BY92" i="1"/>
  <c r="BX92" i="1"/>
  <c r="BW92" i="1"/>
  <c r="BV92" i="1"/>
  <c r="BU92" i="1"/>
  <c r="CE86" i="1"/>
  <c r="CD86" i="1"/>
  <c r="CC86" i="1"/>
  <c r="CA86" i="1"/>
  <c r="BZ86" i="1"/>
  <c r="BY86" i="1"/>
  <c r="BX86" i="1"/>
  <c r="BW86" i="1"/>
  <c r="BV86" i="1"/>
  <c r="BU86" i="1"/>
  <c r="BI296" i="1"/>
  <c r="BI290" i="1"/>
  <c r="BI260" i="1"/>
  <c r="BI236" i="1"/>
  <c r="BI242" i="1"/>
  <c r="BI104" i="1"/>
  <c r="BH98" i="1"/>
  <c r="BH86" i="1"/>
  <c r="BI368" i="1"/>
  <c r="BH368" i="1"/>
  <c r="BG368" i="1"/>
  <c r="BI362" i="1"/>
  <c r="BH362" i="1"/>
  <c r="BG362" i="1"/>
  <c r="BI356" i="1"/>
  <c r="BH356" i="1"/>
  <c r="BG356" i="1"/>
  <c r="BI350" i="1"/>
  <c r="BH350" i="1"/>
  <c r="BG350" i="1"/>
  <c r="BI344" i="1"/>
  <c r="BH344" i="1"/>
  <c r="BG344" i="1"/>
  <c r="BI338" i="1"/>
  <c r="BH338" i="1"/>
  <c r="BG338" i="1"/>
  <c r="BI332" i="1"/>
  <c r="BH332" i="1"/>
  <c r="BG332" i="1"/>
  <c r="BI326" i="1"/>
  <c r="BH326" i="1"/>
  <c r="BG326" i="1"/>
  <c r="BI320" i="1"/>
  <c r="BH320" i="1"/>
  <c r="BG320" i="1"/>
  <c r="BI314" i="1"/>
  <c r="BH314" i="1"/>
  <c r="BG314" i="1"/>
  <c r="BI308" i="1"/>
  <c r="BH308" i="1"/>
  <c r="BG308" i="1"/>
  <c r="BI302" i="1"/>
  <c r="BH302" i="1"/>
  <c r="BG302" i="1"/>
  <c r="BH296" i="1"/>
  <c r="BG296" i="1"/>
  <c r="BH290" i="1"/>
  <c r="BG290" i="1"/>
  <c r="BI284" i="1"/>
  <c r="BH284" i="1"/>
  <c r="BG284" i="1"/>
  <c r="BI278" i="1"/>
  <c r="BH278" i="1"/>
  <c r="BG278" i="1"/>
  <c r="BI272" i="1"/>
  <c r="BH272" i="1"/>
  <c r="BG272" i="1"/>
  <c r="BI266" i="1"/>
  <c r="BH266" i="1"/>
  <c r="BG266" i="1"/>
  <c r="BH260" i="1"/>
  <c r="BG260" i="1"/>
  <c r="BI254" i="1"/>
  <c r="BH254" i="1"/>
  <c r="BG254" i="1"/>
  <c r="BI248" i="1"/>
  <c r="BH248" i="1"/>
  <c r="BJ248" i="1" s="1"/>
  <c r="BG248" i="1"/>
  <c r="BH242" i="1"/>
  <c r="BG242" i="1"/>
  <c r="BH236" i="1"/>
  <c r="BG236" i="1"/>
  <c r="BI230" i="1"/>
  <c r="BH230" i="1"/>
  <c r="BG230" i="1"/>
  <c r="BI224" i="1"/>
  <c r="BH224" i="1"/>
  <c r="BG224" i="1"/>
  <c r="BI218" i="1"/>
  <c r="BH218" i="1"/>
  <c r="BG218" i="1"/>
  <c r="BI212" i="1"/>
  <c r="BH212" i="1"/>
  <c r="BG212" i="1"/>
  <c r="BI206" i="1"/>
  <c r="BH206" i="1"/>
  <c r="BG206" i="1"/>
  <c r="BI200" i="1"/>
  <c r="BH200" i="1"/>
  <c r="BG200" i="1"/>
  <c r="BI194" i="1"/>
  <c r="BH194" i="1"/>
  <c r="BG194" i="1"/>
  <c r="BI188" i="1"/>
  <c r="BH188" i="1"/>
  <c r="BG188" i="1"/>
  <c r="BI182" i="1"/>
  <c r="BH182" i="1"/>
  <c r="BG182" i="1"/>
  <c r="BI176" i="1"/>
  <c r="BH176" i="1"/>
  <c r="BG176" i="1"/>
  <c r="BI170" i="1"/>
  <c r="BH170" i="1"/>
  <c r="BG170" i="1"/>
  <c r="BJ170" i="1" s="1"/>
  <c r="BI164" i="1"/>
  <c r="BK164" i="1" s="1"/>
  <c r="BH164" i="1"/>
  <c r="BG164" i="1"/>
  <c r="BI158" i="1"/>
  <c r="BH158" i="1"/>
  <c r="BG158" i="1"/>
  <c r="BI152" i="1"/>
  <c r="BH152" i="1"/>
  <c r="BG152" i="1"/>
  <c r="BI146" i="1"/>
  <c r="BK146" i="1" s="1"/>
  <c r="BI140" i="1"/>
  <c r="BH140" i="1"/>
  <c r="BG140" i="1"/>
  <c r="BI134" i="1"/>
  <c r="BH134" i="1"/>
  <c r="BG134" i="1"/>
  <c r="BK134" i="1" s="1"/>
  <c r="BI128" i="1"/>
  <c r="BK128" i="1" s="1"/>
  <c r="BH128" i="1"/>
  <c r="BG128" i="1"/>
  <c r="BI122" i="1"/>
  <c r="BH122" i="1"/>
  <c r="BG122" i="1"/>
  <c r="BI116" i="1"/>
  <c r="BH116" i="1"/>
  <c r="BG116" i="1"/>
  <c r="BI110" i="1"/>
  <c r="BK110" i="1" s="1"/>
  <c r="BH110" i="1"/>
  <c r="BG110" i="1"/>
  <c r="BH104" i="1"/>
  <c r="BG104" i="1"/>
  <c r="BJ104" i="1" s="1"/>
  <c r="BI98" i="1"/>
  <c r="BG98" i="1"/>
  <c r="BI92" i="1"/>
  <c r="BH92" i="1"/>
  <c r="BG92" i="1"/>
  <c r="BI86" i="1"/>
  <c r="BG86" i="1"/>
  <c r="BC104" i="1"/>
  <c r="BA104" i="1"/>
  <c r="AZ104" i="1"/>
  <c r="BC368" i="1"/>
  <c r="BA368" i="1"/>
  <c r="AZ368" i="1"/>
  <c r="BC362" i="1"/>
  <c r="BA362" i="1"/>
  <c r="AZ362" i="1"/>
  <c r="BC356" i="1"/>
  <c r="BA356" i="1"/>
  <c r="AZ356" i="1"/>
  <c r="BC350" i="1"/>
  <c r="BA350" i="1"/>
  <c r="AZ350" i="1"/>
  <c r="BC344" i="1"/>
  <c r="BA344" i="1"/>
  <c r="AZ344" i="1"/>
  <c r="BC338" i="1"/>
  <c r="BA338" i="1"/>
  <c r="AZ338" i="1"/>
  <c r="BC332" i="1"/>
  <c r="BA332" i="1"/>
  <c r="AZ332" i="1"/>
  <c r="BC326" i="1"/>
  <c r="BA326" i="1"/>
  <c r="AZ326" i="1"/>
  <c r="BC320" i="1"/>
  <c r="BA320" i="1"/>
  <c r="AZ320" i="1"/>
  <c r="BC314" i="1"/>
  <c r="BA314" i="1"/>
  <c r="AZ314" i="1"/>
  <c r="BC308" i="1"/>
  <c r="BA308" i="1"/>
  <c r="AZ308" i="1"/>
  <c r="BC302" i="1"/>
  <c r="BA302" i="1"/>
  <c r="AZ302" i="1"/>
  <c r="BC296" i="1"/>
  <c r="BA296" i="1"/>
  <c r="AZ296" i="1"/>
  <c r="BC290" i="1"/>
  <c r="BA290" i="1"/>
  <c r="AZ290" i="1"/>
  <c r="BC284" i="1"/>
  <c r="BA284" i="1"/>
  <c r="AZ284" i="1"/>
  <c r="BC278" i="1"/>
  <c r="BA278" i="1"/>
  <c r="AZ278" i="1"/>
  <c r="BB278" i="1" s="1"/>
  <c r="BD278" i="1" s="1"/>
  <c r="BC272" i="1"/>
  <c r="BA272" i="1"/>
  <c r="AZ272" i="1"/>
  <c r="BC266" i="1"/>
  <c r="BA266" i="1"/>
  <c r="AZ266" i="1"/>
  <c r="BC260" i="1"/>
  <c r="BA260" i="1"/>
  <c r="AZ260" i="1"/>
  <c r="BC254" i="1"/>
  <c r="BA254" i="1"/>
  <c r="AZ254" i="1"/>
  <c r="BC248" i="1"/>
  <c r="BA248" i="1"/>
  <c r="AZ248" i="1"/>
  <c r="BC242" i="1"/>
  <c r="BA242" i="1"/>
  <c r="AZ242" i="1"/>
  <c r="BC236" i="1"/>
  <c r="BA236" i="1"/>
  <c r="AZ236" i="1"/>
  <c r="BC230" i="1"/>
  <c r="BA230" i="1"/>
  <c r="AZ230" i="1"/>
  <c r="BC224" i="1"/>
  <c r="BA224" i="1"/>
  <c r="AZ224" i="1"/>
  <c r="BC218" i="1"/>
  <c r="BA218" i="1"/>
  <c r="AZ218" i="1"/>
  <c r="BC212" i="1"/>
  <c r="BA212" i="1"/>
  <c r="AZ212" i="1"/>
  <c r="BC206" i="1"/>
  <c r="BA206" i="1"/>
  <c r="AZ206" i="1"/>
  <c r="BC200" i="1"/>
  <c r="BA200" i="1"/>
  <c r="AZ200" i="1"/>
  <c r="BC194" i="1"/>
  <c r="BA194" i="1"/>
  <c r="AZ194" i="1"/>
  <c r="BC188" i="1"/>
  <c r="BA188" i="1"/>
  <c r="AZ188" i="1"/>
  <c r="BC182" i="1"/>
  <c r="BA182" i="1"/>
  <c r="AZ182" i="1"/>
  <c r="BC176" i="1"/>
  <c r="BA176" i="1"/>
  <c r="BB176" i="1" s="1"/>
  <c r="AZ176" i="1"/>
  <c r="BC170" i="1"/>
  <c r="BA170" i="1"/>
  <c r="AZ170" i="1"/>
  <c r="BC164" i="1"/>
  <c r="BA164" i="1"/>
  <c r="AZ164" i="1"/>
  <c r="BC158" i="1"/>
  <c r="BA158" i="1"/>
  <c r="AZ158" i="1"/>
  <c r="BC152" i="1"/>
  <c r="BA152" i="1"/>
  <c r="AZ152" i="1"/>
  <c r="BA146" i="1"/>
  <c r="AZ146" i="1"/>
  <c r="BC140" i="1"/>
  <c r="BA140" i="1"/>
  <c r="AZ140" i="1"/>
  <c r="BC134" i="1"/>
  <c r="BA134" i="1"/>
  <c r="AZ134" i="1"/>
  <c r="BC128" i="1"/>
  <c r="BA128" i="1"/>
  <c r="AZ128" i="1"/>
  <c r="BC122" i="1"/>
  <c r="BA122" i="1"/>
  <c r="AZ122" i="1"/>
  <c r="BC116" i="1"/>
  <c r="BA116" i="1"/>
  <c r="AZ116" i="1"/>
  <c r="BC110" i="1"/>
  <c r="BA110" i="1"/>
  <c r="BB110" i="1" s="1"/>
  <c r="AZ110" i="1"/>
  <c r="BC98" i="1"/>
  <c r="BA98" i="1"/>
  <c r="AZ98" i="1"/>
  <c r="BC92" i="1"/>
  <c r="BA92" i="1"/>
  <c r="AZ92" i="1"/>
  <c r="BC86" i="1"/>
  <c r="BA86" i="1"/>
  <c r="AZ86" i="1"/>
  <c r="BB122" i="1" l="1"/>
  <c r="BB188" i="1"/>
  <c r="BB236" i="1"/>
  <c r="BB332" i="1"/>
  <c r="BK86" i="1"/>
  <c r="BJ362" i="1"/>
  <c r="BK140" i="1"/>
  <c r="BK362" i="1"/>
  <c r="BL362" i="1" s="1"/>
  <c r="BD110" i="1"/>
  <c r="BJ302" i="1"/>
  <c r="BK332" i="1"/>
  <c r="BK212" i="1"/>
  <c r="BB140" i="1"/>
  <c r="BD140" i="1" s="1"/>
  <c r="BB206" i="1"/>
  <c r="BD206" i="1" s="1"/>
  <c r="BK152" i="1"/>
  <c r="BK248" i="1"/>
  <c r="BL248" i="1" s="1"/>
  <c r="BK302" i="1"/>
  <c r="BB326" i="1"/>
  <c r="BD326" i="1" s="1"/>
  <c r="BB104" i="1"/>
  <c r="BD104" i="1" s="1"/>
  <c r="BK98" i="1"/>
  <c r="BJ218" i="1"/>
  <c r="BJ254" i="1"/>
  <c r="BJ272" i="1"/>
  <c r="BJ236" i="1"/>
  <c r="BK254" i="1"/>
  <c r="BK272" i="1"/>
  <c r="BJ290" i="1"/>
  <c r="BJ326" i="1"/>
  <c r="BK344" i="1"/>
  <c r="BK122" i="1"/>
  <c r="BJ110" i="1"/>
  <c r="BB128" i="1"/>
  <c r="BD128" i="1" s="1"/>
  <c r="BJ230" i="1"/>
  <c r="BJ368" i="1"/>
  <c r="BB92" i="1"/>
  <c r="BB146" i="1"/>
  <c r="BD146" i="1" s="1"/>
  <c r="BB164" i="1"/>
  <c r="BD164" i="1" s="1"/>
  <c r="BB308" i="1"/>
  <c r="BD308" i="1" s="1"/>
  <c r="BB356" i="1"/>
  <c r="BD356" i="1" s="1"/>
  <c r="BJ116" i="1"/>
  <c r="BK182" i="1"/>
  <c r="BK368" i="1"/>
  <c r="BB290" i="1"/>
  <c r="BD290" i="1" s="1"/>
  <c r="BJ182" i="1"/>
  <c r="BJ284" i="1"/>
  <c r="BK116" i="1"/>
  <c r="BJ356" i="1"/>
  <c r="BB296" i="1"/>
  <c r="BD296" i="1" s="1"/>
  <c r="BJ188" i="1"/>
  <c r="BK356" i="1"/>
  <c r="BB242" i="1"/>
  <c r="BD242" i="1" s="1"/>
  <c r="BJ320" i="1"/>
  <c r="BB362" i="1"/>
  <c r="BD362" i="1" s="1"/>
  <c r="BK188" i="1"/>
  <c r="BJ206" i="1"/>
  <c r="BK260" i="1"/>
  <c r="BK326" i="1"/>
  <c r="BB158" i="1"/>
  <c r="BD158" i="1" s="1"/>
  <c r="BD236" i="1"/>
  <c r="BB254" i="1"/>
  <c r="BD254" i="1" s="1"/>
  <c r="BB284" i="1"/>
  <c r="BD284" i="1" s="1"/>
  <c r="BD332" i="1"/>
  <c r="BK158" i="1"/>
  <c r="BB86" i="1"/>
  <c r="BD86" i="1" s="1"/>
  <c r="BJ92" i="1"/>
  <c r="BB230" i="1"/>
  <c r="BD230" i="1" s="1"/>
  <c r="BB368" i="1"/>
  <c r="BD368" i="1" s="1"/>
  <c r="BJ86" i="1"/>
  <c r="BK290" i="1"/>
  <c r="BB116" i="1"/>
  <c r="BD116" i="1" s="1"/>
  <c r="BB212" i="1"/>
  <c r="BD212" i="1" s="1"/>
  <c r="BJ158" i="1"/>
  <c r="BB134" i="1"/>
  <c r="BD134" i="1" s="1"/>
  <c r="BB200" i="1"/>
  <c r="BD200" i="1" s="1"/>
  <c r="BB248" i="1"/>
  <c r="BD248" i="1" s="1"/>
  <c r="BK92" i="1"/>
  <c r="BK176" i="1"/>
  <c r="BJ332" i="1"/>
  <c r="BJ278" i="1"/>
  <c r="BB170" i="1"/>
  <c r="BD170" i="1" s="1"/>
  <c r="BJ98" i="1"/>
  <c r="BK242" i="1"/>
  <c r="BJ176" i="1"/>
  <c r="BJ296" i="1"/>
  <c r="BB266" i="1"/>
  <c r="BD266" i="1" s="1"/>
  <c r="BK236" i="1"/>
  <c r="BK296" i="1"/>
  <c r="BB182" i="1"/>
  <c r="BD182" i="1" s="1"/>
  <c r="BJ242" i="1"/>
  <c r="BL242" i="1" s="1"/>
  <c r="BB302" i="1"/>
  <c r="BD302" i="1" s="1"/>
  <c r="BK284" i="1"/>
  <c r="BK320" i="1"/>
  <c r="BB98" i="1"/>
  <c r="BD98" i="1" s="1"/>
  <c r="BB152" i="1"/>
  <c r="BD152" i="1" s="1"/>
  <c r="BB272" i="1"/>
  <c r="BD272" i="1" s="1"/>
  <c r="BB314" i="1"/>
  <c r="BD314" i="1" s="1"/>
  <c r="BB344" i="1"/>
  <c r="BD344" i="1" s="1"/>
  <c r="BK104" i="1"/>
  <c r="BL104" i="1" s="1"/>
  <c r="BJ134" i="1"/>
  <c r="BL134" i="1" s="1"/>
  <c r="BJ152" i="1"/>
  <c r="BJ194" i="1"/>
  <c r="BK224" i="1"/>
  <c r="BJ260" i="1"/>
  <c r="BJ308" i="1"/>
  <c r="BJ338" i="1"/>
  <c r="BK350" i="1"/>
  <c r="BJ224" i="1"/>
  <c r="BD122" i="1"/>
  <c r="BB260" i="1"/>
  <c r="BD260" i="1" s="1"/>
  <c r="BJ122" i="1"/>
  <c r="BK194" i="1"/>
  <c r="BJ212" i="1"/>
  <c r="BL212" i="1" s="1"/>
  <c r="BK308" i="1"/>
  <c r="BK338" i="1"/>
  <c r="BB224" i="1"/>
  <c r="BD224" i="1" s="1"/>
  <c r="BJ164" i="1"/>
  <c r="BL164" i="1" s="1"/>
  <c r="BJ350" i="1"/>
  <c r="BB320" i="1"/>
  <c r="BD320" i="1" s="1"/>
  <c r="BB350" i="1"/>
  <c r="BD350" i="1" s="1"/>
  <c r="BJ140" i="1"/>
  <c r="BJ200" i="1"/>
  <c r="BK218" i="1"/>
  <c r="BK230" i="1"/>
  <c r="BJ266" i="1"/>
  <c r="BK278" i="1"/>
  <c r="BJ314" i="1"/>
  <c r="BJ344" i="1"/>
  <c r="BB194" i="1"/>
  <c r="BD194" i="1" s="1"/>
  <c r="BD92" i="1"/>
  <c r="BD188" i="1"/>
  <c r="BB218" i="1"/>
  <c r="BD218" i="1" s="1"/>
  <c r="BB338" i="1"/>
  <c r="BD338" i="1" s="1"/>
  <c r="BJ128" i="1"/>
  <c r="BL128" i="1" s="1"/>
  <c r="BK170" i="1"/>
  <c r="BL170" i="1" s="1"/>
  <c r="BK200" i="1"/>
  <c r="BK266" i="1"/>
  <c r="BK314" i="1"/>
  <c r="BD176" i="1"/>
  <c r="BK206" i="1"/>
  <c r="BL146" i="1"/>
  <c r="BL368" i="1"/>
  <c r="BL182" i="1"/>
  <c r="BL110" i="1"/>
  <c r="BL98" i="1"/>
  <c r="AV368" i="1"/>
  <c r="AW368" i="1" s="1"/>
  <c r="AV362" i="1"/>
  <c r="AW362" i="1" s="1"/>
  <c r="AV356" i="1"/>
  <c r="AW356" i="1" s="1"/>
  <c r="AV350" i="1"/>
  <c r="AW350" i="1" s="1"/>
  <c r="AV344" i="1"/>
  <c r="AW344" i="1" s="1"/>
  <c r="AV338" i="1"/>
  <c r="AW338" i="1" s="1"/>
  <c r="AV332" i="1"/>
  <c r="AW332" i="1" s="1"/>
  <c r="AV326" i="1"/>
  <c r="AW326" i="1" s="1"/>
  <c r="AV320" i="1"/>
  <c r="AW320" i="1" s="1"/>
  <c r="AV314" i="1"/>
  <c r="AW314" i="1" s="1"/>
  <c r="AV308" i="1"/>
  <c r="AW308" i="1" s="1"/>
  <c r="AV302" i="1"/>
  <c r="AW302" i="1" s="1"/>
  <c r="AV296" i="1"/>
  <c r="AW296" i="1" s="1"/>
  <c r="AV290" i="1"/>
  <c r="AW290" i="1" s="1"/>
  <c r="AV284" i="1"/>
  <c r="AW284" i="1" s="1"/>
  <c r="AV278" i="1"/>
  <c r="AW278" i="1" s="1"/>
  <c r="AV272" i="1"/>
  <c r="AW272" i="1" s="1"/>
  <c r="AV266" i="1"/>
  <c r="AW266" i="1" s="1"/>
  <c r="AV260" i="1"/>
  <c r="AW260" i="1" s="1"/>
  <c r="AV254" i="1"/>
  <c r="AW254" i="1" s="1"/>
  <c r="AV248" i="1"/>
  <c r="AW248" i="1" s="1"/>
  <c r="AV242" i="1"/>
  <c r="AW242" i="1" s="1"/>
  <c r="AV236" i="1"/>
  <c r="AW236" i="1" s="1"/>
  <c r="AV230" i="1"/>
  <c r="AW230" i="1" s="1"/>
  <c r="AV224" i="1"/>
  <c r="AW224" i="1" s="1"/>
  <c r="AV218" i="1"/>
  <c r="AW218" i="1" s="1"/>
  <c r="AV212" i="1"/>
  <c r="AW212" i="1" s="1"/>
  <c r="AV206" i="1"/>
  <c r="AW206" i="1" s="1"/>
  <c r="AV200" i="1"/>
  <c r="AW200" i="1" s="1"/>
  <c r="AV194" i="1"/>
  <c r="AW194" i="1" s="1"/>
  <c r="AV188" i="1"/>
  <c r="AW188" i="1" s="1"/>
  <c r="AV182" i="1"/>
  <c r="AW182" i="1" s="1"/>
  <c r="AV176" i="1"/>
  <c r="AW176" i="1" s="1"/>
  <c r="AV170" i="1"/>
  <c r="AW170" i="1" s="1"/>
  <c r="AV164" i="1"/>
  <c r="AW164" i="1" s="1"/>
  <c r="AV158" i="1"/>
  <c r="AW158" i="1" s="1"/>
  <c r="AV152" i="1"/>
  <c r="AW152" i="1" s="1"/>
  <c r="AV140" i="1"/>
  <c r="AW140" i="1" s="1"/>
  <c r="AV134" i="1"/>
  <c r="AW134" i="1" s="1"/>
  <c r="AV128" i="1"/>
  <c r="AW128" i="1" s="1"/>
  <c r="AV122" i="1"/>
  <c r="AW122" i="1" s="1"/>
  <c r="AV116" i="1"/>
  <c r="AW116" i="1" s="1"/>
  <c r="AV110" i="1"/>
  <c r="AW110" i="1" s="1"/>
  <c r="AV104" i="1"/>
  <c r="AW104" i="1" s="1"/>
  <c r="AV98" i="1"/>
  <c r="AW98" i="1" s="1"/>
  <c r="AV92" i="1"/>
  <c r="AW92" i="1" s="1"/>
  <c r="AV86" i="1"/>
  <c r="AW86" i="1" s="1"/>
  <c r="BL260" i="1" l="1"/>
  <c r="BL356" i="1"/>
  <c r="BL272" i="1"/>
  <c r="BL332" i="1"/>
  <c r="BL284" i="1"/>
  <c r="BL86" i="1"/>
  <c r="BL152" i="1"/>
  <c r="BL140" i="1"/>
  <c r="BL158" i="1"/>
  <c r="BL326" i="1"/>
  <c r="BL302" i="1"/>
  <c r="BL278" i="1"/>
  <c r="BL236" i="1"/>
  <c r="BL290" i="1"/>
  <c r="BL188" i="1"/>
  <c r="BL116" i="1"/>
  <c r="BL122" i="1"/>
  <c r="BL254" i="1"/>
  <c r="BL230" i="1"/>
  <c r="BL296" i="1"/>
  <c r="BL92" i="1"/>
  <c r="BL224" i="1"/>
  <c r="BL176" i="1"/>
  <c r="BL320" i="1"/>
  <c r="BL218" i="1"/>
  <c r="BL200" i="1"/>
  <c r="BL344" i="1"/>
  <c r="BL338" i="1"/>
  <c r="BL206" i="1"/>
  <c r="BL308" i="1"/>
  <c r="BL350" i="1"/>
  <c r="BL314" i="1"/>
  <c r="BL266" i="1"/>
  <c r="BL194" i="1"/>
  <c r="W372" i="1"/>
  <c r="V372" i="1"/>
  <c r="W369" i="1"/>
  <c r="V369" i="1"/>
  <c r="W366" i="1"/>
  <c r="V366" i="1"/>
  <c r="W363" i="1"/>
  <c r="V363" i="1"/>
  <c r="W360" i="1"/>
  <c r="V360" i="1"/>
  <c r="W357" i="1"/>
  <c r="V357" i="1"/>
  <c r="W354" i="1"/>
  <c r="V354" i="1"/>
  <c r="W351" i="1"/>
  <c r="V351" i="1"/>
  <c r="W348" i="1"/>
  <c r="V348" i="1"/>
  <c r="W345" i="1"/>
  <c r="V345" i="1"/>
  <c r="W342" i="1"/>
  <c r="V342" i="1"/>
  <c r="W339" i="1"/>
  <c r="V339" i="1"/>
  <c r="W336" i="1"/>
  <c r="V336" i="1"/>
  <c r="W333" i="1"/>
  <c r="V333" i="1"/>
  <c r="W330" i="1"/>
  <c r="V330" i="1"/>
  <c r="W327" i="1"/>
  <c r="V327" i="1"/>
  <c r="W324" i="1"/>
  <c r="V324" i="1"/>
  <c r="W321" i="1"/>
  <c r="V321" i="1"/>
  <c r="W318" i="1"/>
  <c r="V318" i="1"/>
  <c r="W315" i="1"/>
  <c r="V315" i="1"/>
  <c r="W312" i="1"/>
  <c r="V312" i="1"/>
  <c r="W309" i="1"/>
  <c r="V309" i="1"/>
  <c r="W306" i="1"/>
  <c r="V306" i="1"/>
  <c r="W303" i="1"/>
  <c r="V303" i="1"/>
  <c r="W297" i="1"/>
  <c r="V297" i="1"/>
  <c r="W291" i="1"/>
  <c r="V291" i="1"/>
  <c r="W288" i="1"/>
  <c r="V288" i="1"/>
  <c r="W285" i="1"/>
  <c r="V285" i="1"/>
  <c r="W282" i="1"/>
  <c r="V282" i="1"/>
  <c r="W279" i="1"/>
  <c r="V279" i="1"/>
  <c r="W276" i="1"/>
  <c r="V276" i="1"/>
  <c r="W273" i="1"/>
  <c r="V273" i="1"/>
  <c r="W270" i="1"/>
  <c r="V270" i="1"/>
  <c r="W267" i="1"/>
  <c r="V267" i="1"/>
  <c r="W264" i="1"/>
  <c r="V264" i="1"/>
  <c r="W261" i="1"/>
  <c r="V261" i="1"/>
  <c r="W255" i="1"/>
  <c r="V255" i="1"/>
  <c r="W249" i="1"/>
  <c r="V249" i="1"/>
  <c r="W243" i="1"/>
  <c r="V243" i="1"/>
  <c r="W237" i="1"/>
  <c r="V237" i="1"/>
  <c r="W234" i="1"/>
  <c r="V234" i="1"/>
  <c r="W231" i="1"/>
  <c r="V231" i="1"/>
  <c r="W228" i="1"/>
  <c r="V228" i="1"/>
  <c r="W225" i="1"/>
  <c r="V225" i="1"/>
  <c r="W222" i="1"/>
  <c r="V222" i="1"/>
  <c r="W219" i="1"/>
  <c r="V219" i="1"/>
  <c r="W216" i="1"/>
  <c r="V216" i="1"/>
  <c r="W213" i="1"/>
  <c r="V213" i="1"/>
  <c r="W210" i="1"/>
  <c r="V210" i="1"/>
  <c r="W207" i="1"/>
  <c r="V207" i="1"/>
  <c r="W204" i="1"/>
  <c r="V204" i="1"/>
  <c r="W201" i="1"/>
  <c r="V201" i="1"/>
  <c r="W198" i="1"/>
  <c r="V198" i="1"/>
  <c r="W195" i="1"/>
  <c r="V195" i="1"/>
  <c r="W192" i="1"/>
  <c r="V192" i="1"/>
  <c r="W189" i="1"/>
  <c r="V189" i="1"/>
  <c r="W186" i="1"/>
  <c r="V186" i="1"/>
  <c r="W183" i="1"/>
  <c r="V183" i="1"/>
  <c r="W180" i="1"/>
  <c r="V180" i="1"/>
  <c r="W177" i="1"/>
  <c r="V177" i="1"/>
  <c r="W174" i="1"/>
  <c r="V174" i="1"/>
  <c r="W171" i="1"/>
  <c r="V171" i="1"/>
  <c r="W168" i="1"/>
  <c r="V168" i="1"/>
  <c r="W165" i="1"/>
  <c r="V165" i="1"/>
  <c r="W162" i="1"/>
  <c r="V162" i="1"/>
  <c r="W159" i="1"/>
  <c r="V159" i="1"/>
  <c r="W156" i="1"/>
  <c r="V156" i="1"/>
  <c r="W153" i="1"/>
  <c r="V153" i="1"/>
  <c r="W147" i="1"/>
  <c r="V147" i="1"/>
  <c r="W144" i="1"/>
  <c r="V144" i="1"/>
  <c r="W141" i="1"/>
  <c r="V141" i="1"/>
  <c r="W138" i="1"/>
  <c r="V138" i="1"/>
  <c r="W135" i="1"/>
  <c r="V135" i="1"/>
  <c r="W132" i="1"/>
  <c r="V132" i="1"/>
  <c r="W129" i="1"/>
  <c r="V129" i="1"/>
  <c r="W126" i="1"/>
  <c r="V126" i="1"/>
  <c r="W123" i="1"/>
  <c r="V123" i="1"/>
  <c r="W120" i="1"/>
  <c r="V120" i="1"/>
  <c r="W117" i="1"/>
  <c r="V117" i="1"/>
  <c r="W114" i="1"/>
  <c r="V114" i="1"/>
  <c r="W111" i="1"/>
  <c r="V111" i="1"/>
  <c r="W108" i="1"/>
  <c r="V108" i="1"/>
  <c r="W105" i="1"/>
  <c r="V105" i="1"/>
  <c r="W102" i="1"/>
  <c r="V102" i="1"/>
  <c r="W96" i="1"/>
  <c r="V96" i="1"/>
  <c r="W90" i="1"/>
  <c r="V90" i="1"/>
  <c r="X114" i="1" l="1"/>
  <c r="X162" i="1"/>
  <c r="X174" i="1"/>
  <c r="X330" i="1"/>
  <c r="X354" i="1"/>
  <c r="X243" i="1"/>
  <c r="X120" i="1"/>
  <c r="X186" i="1"/>
  <c r="X210" i="1"/>
  <c r="X222" i="1"/>
  <c r="X321" i="1"/>
  <c r="X333" i="1"/>
  <c r="X357" i="1"/>
  <c r="X369" i="1"/>
  <c r="X135" i="1"/>
  <c r="X111" i="1"/>
  <c r="X273" i="1"/>
  <c r="X183" i="1"/>
  <c r="X207" i="1"/>
  <c r="X231" i="1"/>
  <c r="X249" i="1"/>
  <c r="X153" i="1"/>
  <c r="X165" i="1"/>
  <c r="X177" i="1"/>
  <c r="X201" i="1"/>
  <c r="X225" i="1"/>
  <c r="X237" i="1"/>
  <c r="X117" i="1"/>
  <c r="X345" i="1"/>
  <c r="X306" i="1"/>
  <c r="X318" i="1"/>
  <c r="X159" i="1"/>
  <c r="X195" i="1"/>
  <c r="X366" i="1"/>
  <c r="X315" i="1"/>
  <c r="X351" i="1"/>
  <c r="X147" i="1"/>
  <c r="X363" i="1"/>
  <c r="X189" i="1"/>
  <c r="X282" i="1"/>
  <c r="X339" i="1"/>
  <c r="X279" i="1"/>
  <c r="X309" i="1"/>
  <c r="X234" i="1"/>
  <c r="X285" i="1"/>
  <c r="X270" i="1"/>
  <c r="X198" i="1"/>
  <c r="X213" i="1"/>
  <c r="X303" i="1"/>
  <c r="X138" i="1"/>
  <c r="X261" i="1"/>
  <c r="X267" i="1"/>
  <c r="X342" i="1"/>
  <c r="X108" i="1"/>
  <c r="X297" i="1"/>
  <c r="X372" i="1"/>
  <c r="X360" i="1"/>
  <c r="X348" i="1"/>
  <c r="X336" i="1"/>
  <c r="X327" i="1"/>
  <c r="X324" i="1"/>
  <c r="X312" i="1"/>
  <c r="X291" i="1"/>
  <c r="X288" i="1"/>
  <c r="X276" i="1"/>
  <c r="X264" i="1"/>
  <c r="X255" i="1"/>
  <c r="X228" i="1"/>
  <c r="X219" i="1"/>
  <c r="X216" i="1"/>
  <c r="X204" i="1"/>
  <c r="X192" i="1"/>
  <c r="X180" i="1"/>
  <c r="X171" i="1"/>
  <c r="X168" i="1"/>
  <c r="X156" i="1"/>
  <c r="X144" i="1"/>
  <c r="X141" i="1"/>
  <c r="X132" i="1"/>
  <c r="X123" i="1"/>
  <c r="X126" i="1"/>
  <c r="X129" i="1"/>
  <c r="X105" i="1"/>
  <c r="X102" i="1"/>
  <c r="X96" i="1"/>
  <c r="X90" i="1"/>
  <c r="N372" i="1"/>
  <c r="P372" i="1" s="1"/>
  <c r="N369" i="1"/>
  <c r="P369" i="1" s="1"/>
  <c r="N366" i="1"/>
  <c r="P366" i="1" s="1"/>
  <c r="N363" i="1"/>
  <c r="P363" i="1" s="1"/>
  <c r="N360" i="1"/>
  <c r="P360" i="1" s="1"/>
  <c r="N357" i="1"/>
  <c r="P357" i="1" s="1"/>
  <c r="N354" i="1"/>
  <c r="P354" i="1" s="1"/>
  <c r="N351" i="1"/>
  <c r="P351" i="1" s="1"/>
  <c r="N348" i="1"/>
  <c r="P348" i="1" s="1"/>
  <c r="N345" i="1"/>
  <c r="P345" i="1" s="1"/>
  <c r="N342" i="1"/>
  <c r="P342" i="1" s="1"/>
  <c r="N339" i="1"/>
  <c r="P339" i="1" s="1"/>
  <c r="N336" i="1"/>
  <c r="P336" i="1" s="1"/>
  <c r="N333" i="1"/>
  <c r="P333" i="1" s="1"/>
  <c r="N330" i="1"/>
  <c r="P330" i="1" s="1"/>
  <c r="N327" i="1"/>
  <c r="P327" i="1" s="1"/>
  <c r="N324" i="1"/>
  <c r="P324" i="1" s="1"/>
  <c r="N321" i="1"/>
  <c r="P321" i="1" s="1"/>
  <c r="N318" i="1"/>
  <c r="P318" i="1" s="1"/>
  <c r="N315" i="1"/>
  <c r="P315" i="1" s="1"/>
  <c r="N312" i="1"/>
  <c r="P312" i="1" s="1"/>
  <c r="N309" i="1"/>
  <c r="P309" i="1" s="1"/>
  <c r="N306" i="1"/>
  <c r="P306" i="1" s="1"/>
  <c r="N303" i="1"/>
  <c r="P303" i="1" s="1"/>
  <c r="N300" i="1"/>
  <c r="P300" i="1" s="1"/>
  <c r="N297" i="1"/>
  <c r="P297" i="1" s="1"/>
  <c r="N294" i="1"/>
  <c r="P294" i="1" s="1"/>
  <c r="N291" i="1"/>
  <c r="P291" i="1" s="1"/>
  <c r="N288" i="1"/>
  <c r="P288" i="1" s="1"/>
  <c r="N285" i="1"/>
  <c r="P285" i="1" s="1"/>
  <c r="N282" i="1"/>
  <c r="P282" i="1" s="1"/>
  <c r="N279" i="1"/>
  <c r="P279" i="1" s="1"/>
  <c r="N276" i="1"/>
  <c r="P276" i="1" s="1"/>
  <c r="N273" i="1"/>
  <c r="P273" i="1" s="1"/>
  <c r="N270" i="1"/>
  <c r="P270" i="1" s="1"/>
  <c r="N267" i="1"/>
  <c r="P267" i="1" s="1"/>
  <c r="N264" i="1"/>
  <c r="P264" i="1" s="1"/>
  <c r="N261" i="1"/>
  <c r="P261" i="1" s="1"/>
  <c r="N258" i="1"/>
  <c r="P258" i="1" s="1"/>
  <c r="N255" i="1"/>
  <c r="P255" i="1" s="1"/>
  <c r="N252" i="1"/>
  <c r="P252" i="1" s="1"/>
  <c r="N249" i="1"/>
  <c r="P249" i="1" s="1"/>
  <c r="N246" i="1"/>
  <c r="P246" i="1" s="1"/>
  <c r="N243" i="1"/>
  <c r="P243" i="1" s="1"/>
  <c r="N240" i="1"/>
  <c r="P240" i="1" s="1"/>
  <c r="N237" i="1"/>
  <c r="P237" i="1" s="1"/>
  <c r="N234" i="1"/>
  <c r="P234" i="1" s="1"/>
  <c r="N231" i="1"/>
  <c r="P231" i="1" s="1"/>
  <c r="N228" i="1"/>
  <c r="P228" i="1" s="1"/>
  <c r="N225" i="1"/>
  <c r="P225" i="1" s="1"/>
  <c r="N222" i="1"/>
  <c r="P222" i="1" s="1"/>
  <c r="N219" i="1"/>
  <c r="P219" i="1" s="1"/>
  <c r="N216" i="1"/>
  <c r="P216" i="1" s="1"/>
  <c r="N213" i="1"/>
  <c r="P213" i="1" s="1"/>
  <c r="N210" i="1"/>
  <c r="P210" i="1" s="1"/>
  <c r="N207" i="1"/>
  <c r="P207" i="1" s="1"/>
  <c r="N204" i="1"/>
  <c r="P204" i="1" s="1"/>
  <c r="N201" i="1"/>
  <c r="P201" i="1" s="1"/>
  <c r="N198" i="1"/>
  <c r="P198" i="1" s="1"/>
  <c r="N195" i="1"/>
  <c r="P195" i="1" s="1"/>
  <c r="N192" i="1"/>
  <c r="P192" i="1" s="1"/>
  <c r="N189" i="1"/>
  <c r="P189" i="1" s="1"/>
  <c r="N186" i="1"/>
  <c r="P186" i="1" s="1"/>
  <c r="N183" i="1"/>
  <c r="P183" i="1" s="1"/>
  <c r="N180" i="1"/>
  <c r="P180" i="1" s="1"/>
  <c r="N177" i="1"/>
  <c r="P177" i="1" s="1"/>
  <c r="N174" i="1"/>
  <c r="P174" i="1" s="1"/>
  <c r="N171" i="1"/>
  <c r="P171" i="1" s="1"/>
  <c r="N168" i="1"/>
  <c r="P168" i="1" s="1"/>
  <c r="N165" i="1"/>
  <c r="P165" i="1" s="1"/>
  <c r="N162" i="1"/>
  <c r="P162" i="1" s="1"/>
  <c r="N159" i="1"/>
  <c r="P159" i="1" s="1"/>
  <c r="N156" i="1"/>
  <c r="P156" i="1" s="1"/>
  <c r="N153" i="1"/>
  <c r="P153" i="1" s="1"/>
  <c r="N150" i="1"/>
  <c r="P150" i="1" s="1"/>
  <c r="N147" i="1"/>
  <c r="P147" i="1" s="1"/>
  <c r="N144" i="1"/>
  <c r="P144" i="1" s="1"/>
  <c r="N141" i="1"/>
  <c r="P141" i="1" s="1"/>
  <c r="N138" i="1"/>
  <c r="P138" i="1" s="1"/>
  <c r="N135" i="1"/>
  <c r="P135" i="1" s="1"/>
  <c r="N132" i="1"/>
  <c r="P132" i="1" s="1"/>
  <c r="N129" i="1"/>
  <c r="P129" i="1" s="1"/>
  <c r="N126" i="1"/>
  <c r="P126" i="1" s="1"/>
  <c r="N123" i="1"/>
  <c r="P123" i="1" s="1"/>
  <c r="N120" i="1"/>
  <c r="P120" i="1" s="1"/>
  <c r="N117" i="1"/>
  <c r="P117" i="1" s="1"/>
  <c r="N114" i="1"/>
  <c r="P114" i="1" s="1"/>
  <c r="N111" i="1"/>
  <c r="P111" i="1" s="1"/>
  <c r="N108" i="1"/>
  <c r="P108" i="1" s="1"/>
  <c r="N105" i="1"/>
  <c r="P105" i="1" s="1"/>
  <c r="N102" i="1"/>
  <c r="P102" i="1" s="1"/>
  <c r="N99" i="1"/>
  <c r="P99" i="1" s="1"/>
  <c r="N97" i="1"/>
  <c r="P97" i="1" s="1"/>
  <c r="N96" i="1"/>
  <c r="P96" i="1" s="1"/>
  <c r="N90" i="1"/>
  <c r="P90" i="1" s="1"/>
  <c r="N87" i="1"/>
  <c r="P87" i="1" s="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86" i="1"/>
  <c r="BT86" i="1"/>
  <c r="BF368" i="1"/>
  <c r="BF362" i="1"/>
  <c r="BF356" i="1"/>
  <c r="BF350" i="1"/>
  <c r="BF344" i="1"/>
  <c r="BF338" i="1"/>
  <c r="BF332" i="1"/>
  <c r="BF326" i="1"/>
  <c r="BF320" i="1"/>
  <c r="BF314" i="1"/>
  <c r="BF308" i="1"/>
  <c r="BF302" i="1"/>
  <c r="BF296" i="1"/>
  <c r="BF290" i="1"/>
  <c r="BF284" i="1"/>
  <c r="BF278" i="1"/>
  <c r="BF272" i="1"/>
  <c r="BF266" i="1"/>
  <c r="BF260" i="1"/>
  <c r="BF254" i="1"/>
  <c r="BF248" i="1"/>
  <c r="BF242" i="1"/>
  <c r="BF236" i="1"/>
  <c r="BF230" i="1"/>
  <c r="BF224" i="1"/>
  <c r="BF218" i="1"/>
  <c r="BF212" i="1"/>
  <c r="BF206" i="1"/>
  <c r="BF200" i="1"/>
  <c r="BF194" i="1"/>
  <c r="BF188" i="1"/>
  <c r="BF182" i="1"/>
  <c r="BF176" i="1"/>
  <c r="BF170" i="1"/>
  <c r="BF164" i="1"/>
  <c r="BF158" i="1"/>
  <c r="BF152" i="1"/>
  <c r="BF146" i="1"/>
  <c r="BF140" i="1"/>
  <c r="BF134" i="1"/>
  <c r="BF128" i="1"/>
  <c r="BF122" i="1"/>
  <c r="BF116" i="1"/>
  <c r="BF110" i="1"/>
  <c r="BF104" i="1"/>
  <c r="A49" i="1" l="1"/>
  <c r="A75" i="1" l="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86" i="1"/>
  <c r="A303" i="1"/>
  <c r="A327" i="1" s="1"/>
  <c r="A351" i="1" s="1"/>
  <c r="D351" i="1" s="1"/>
  <c r="A304" i="1"/>
  <c r="A328" i="1" s="1"/>
  <c r="A352" i="1" s="1"/>
  <c r="D352" i="1" s="1"/>
  <c r="A305" i="1"/>
  <c r="A329" i="1" s="1"/>
  <c r="A353" i="1" s="1"/>
  <c r="D353" i="1" s="1"/>
  <c r="A310" i="1"/>
  <c r="A334" i="1" s="1"/>
  <c r="A358" i="1" s="1"/>
  <c r="D358" i="1" s="1"/>
  <c r="A312" i="1"/>
  <c r="A336" i="1" s="1"/>
  <c r="A360" i="1" s="1"/>
  <c r="D360" i="1" s="1"/>
  <c r="A313" i="1"/>
  <c r="A337" i="1" s="1"/>
  <c r="A361" i="1" s="1"/>
  <c r="D361" i="1" s="1"/>
  <c r="A318" i="1"/>
  <c r="A342" i="1" s="1"/>
  <c r="A366" i="1" s="1"/>
  <c r="D366" i="1" s="1"/>
  <c r="A319" i="1"/>
  <c r="A343" i="1" s="1"/>
  <c r="A367" i="1" s="1"/>
  <c r="D367" i="1" s="1"/>
  <c r="A320" i="1"/>
  <c r="A344" i="1" s="1"/>
  <c r="A368" i="1" s="1"/>
  <c r="D368" i="1" s="1"/>
  <c r="A321" i="1"/>
  <c r="A345" i="1" s="1"/>
  <c r="A369" i="1" s="1"/>
  <c r="D369" i="1" s="1"/>
  <c r="A306" i="1"/>
  <c r="A330" i="1" s="1"/>
  <c r="A354" i="1" s="1"/>
  <c r="D354" i="1" s="1"/>
  <c r="A307" i="1"/>
  <c r="A331" i="1" s="1"/>
  <c r="A355" i="1" s="1"/>
  <c r="D355" i="1" s="1"/>
  <c r="A308" i="1"/>
  <c r="A332" i="1" s="1"/>
  <c r="A356" i="1" s="1"/>
  <c r="D356" i="1" s="1"/>
  <c r="A309" i="1"/>
  <c r="A333" i="1" s="1"/>
  <c r="A357" i="1" s="1"/>
  <c r="D357" i="1" s="1"/>
  <c r="A311" i="1"/>
  <c r="A335" i="1" s="1"/>
  <c r="A359" i="1" s="1"/>
  <c r="D359" i="1" s="1"/>
  <c r="A315" i="1"/>
  <c r="A339" i="1" s="1"/>
  <c r="A363" i="1" s="1"/>
  <c r="D363" i="1" s="1"/>
  <c r="A316" i="1"/>
  <c r="A340" i="1" s="1"/>
  <c r="A364" i="1" s="1"/>
  <c r="D364" i="1" s="1"/>
  <c r="A317" i="1"/>
  <c r="A341" i="1" s="1"/>
  <c r="A365" i="1" s="1"/>
  <c r="D365" i="1" s="1"/>
  <c r="A322" i="1"/>
  <c r="A346" i="1" s="1"/>
  <c r="A370" i="1" s="1"/>
  <c r="D370" i="1" s="1"/>
  <c r="A323" i="1"/>
  <c r="A347" i="1" s="1"/>
  <c r="A371" i="1" s="1"/>
  <c r="D371" i="1" s="1"/>
  <c r="A324" i="1"/>
  <c r="A348" i="1" s="1"/>
  <c r="A372" i="1" s="1"/>
  <c r="D372" i="1" s="1"/>
  <c r="A325" i="1"/>
  <c r="A349" i="1" s="1"/>
  <c r="A373" i="1" s="1"/>
  <c r="D373" i="1" s="1"/>
  <c r="A314" i="1"/>
  <c r="A338" i="1" s="1"/>
  <c r="A362" i="1" s="1"/>
  <c r="D362" i="1" s="1"/>
  <c r="A302" i="1"/>
  <c r="A326" i="1" s="1"/>
  <c r="A350" i="1" s="1"/>
  <c r="D350" i="1" s="1"/>
  <c r="J92" i="1" l="1"/>
  <c r="J86" i="1"/>
  <c r="J91" i="1"/>
  <c r="K91" i="1" s="1"/>
  <c r="J90" i="1"/>
  <c r="K90" i="1" s="1"/>
  <c r="J89" i="1"/>
  <c r="K89" i="1" s="1"/>
  <c r="J88" i="1"/>
  <c r="K88" i="1" s="1"/>
  <c r="J87" i="1"/>
  <c r="K87" i="1" s="1"/>
  <c r="Q87" i="1" s="1"/>
  <c r="J95" i="1"/>
  <c r="K95" i="1" s="1"/>
  <c r="J109" i="1"/>
  <c r="K109" i="1" s="1"/>
  <c r="J114" i="1"/>
  <c r="K114" i="1" s="1"/>
  <c r="J118" i="1"/>
  <c r="K118" i="1" s="1"/>
  <c r="J122" i="1"/>
  <c r="J126" i="1"/>
  <c r="K126" i="1" s="1"/>
  <c r="J130" i="1"/>
  <c r="K130" i="1" s="1"/>
  <c r="J134" i="1"/>
  <c r="J138" i="1"/>
  <c r="K138" i="1" s="1"/>
  <c r="J142" i="1"/>
  <c r="K142" i="1" s="1"/>
  <c r="J146" i="1"/>
  <c r="J150" i="1"/>
  <c r="K150" i="1" s="1"/>
  <c r="J154" i="1"/>
  <c r="K154" i="1" s="1"/>
  <c r="J158" i="1"/>
  <c r="J162" i="1"/>
  <c r="K162" i="1" s="1"/>
  <c r="J166" i="1"/>
  <c r="K166" i="1" s="1"/>
  <c r="J170" i="1"/>
  <c r="J174" i="1"/>
  <c r="K174" i="1" s="1"/>
  <c r="J178" i="1"/>
  <c r="K178" i="1" s="1"/>
  <c r="J182" i="1"/>
  <c r="J186" i="1"/>
  <c r="K186" i="1" s="1"/>
  <c r="J190" i="1"/>
  <c r="K190" i="1" s="1"/>
  <c r="J194" i="1"/>
  <c r="J198" i="1"/>
  <c r="K198" i="1" s="1"/>
  <c r="J202" i="1"/>
  <c r="K202" i="1" s="1"/>
  <c r="J206" i="1"/>
  <c r="J210" i="1"/>
  <c r="K210" i="1" s="1"/>
  <c r="J214" i="1"/>
  <c r="K214" i="1" s="1"/>
  <c r="J218" i="1"/>
  <c r="J222" i="1"/>
  <c r="K222" i="1" s="1"/>
  <c r="J226" i="1"/>
  <c r="K226" i="1" s="1"/>
  <c r="J230" i="1"/>
  <c r="J234" i="1"/>
  <c r="K234" i="1" s="1"/>
  <c r="J238" i="1"/>
  <c r="K238" i="1" s="1"/>
  <c r="J242" i="1"/>
  <c r="J246" i="1"/>
  <c r="K246" i="1" s="1"/>
  <c r="Q246" i="1" s="1"/>
  <c r="J250" i="1"/>
  <c r="K250" i="1" s="1"/>
  <c r="J254" i="1"/>
  <c r="J258" i="1"/>
  <c r="K258" i="1" s="1"/>
  <c r="Q258" i="1" s="1"/>
  <c r="J262" i="1"/>
  <c r="K262" i="1" s="1"/>
  <c r="J266" i="1"/>
  <c r="J270" i="1"/>
  <c r="K270" i="1" s="1"/>
  <c r="J274" i="1"/>
  <c r="K274" i="1" s="1"/>
  <c r="J278" i="1"/>
  <c r="J282" i="1"/>
  <c r="K282" i="1" s="1"/>
  <c r="J100" i="1"/>
  <c r="K100" i="1" s="1"/>
  <c r="J105" i="1"/>
  <c r="K105" i="1" s="1"/>
  <c r="J113" i="1"/>
  <c r="K113" i="1" s="1"/>
  <c r="J96" i="1"/>
  <c r="K96" i="1" s="1"/>
  <c r="J115" i="1"/>
  <c r="K115" i="1" s="1"/>
  <c r="J119" i="1"/>
  <c r="K119" i="1" s="1"/>
  <c r="J123" i="1"/>
  <c r="K123" i="1" s="1"/>
  <c r="J127" i="1"/>
  <c r="K127" i="1" s="1"/>
  <c r="J131" i="1"/>
  <c r="K131" i="1" s="1"/>
  <c r="J135" i="1"/>
  <c r="K135" i="1" s="1"/>
  <c r="J139" i="1"/>
  <c r="K139" i="1" s="1"/>
  <c r="J143" i="1"/>
  <c r="K143" i="1" s="1"/>
  <c r="J147" i="1"/>
  <c r="K147" i="1" s="1"/>
  <c r="J151" i="1"/>
  <c r="K151" i="1" s="1"/>
  <c r="J155" i="1"/>
  <c r="K155" i="1" s="1"/>
  <c r="J159" i="1"/>
  <c r="K159" i="1" s="1"/>
  <c r="J163" i="1"/>
  <c r="K163" i="1" s="1"/>
  <c r="J167" i="1"/>
  <c r="K167" i="1" s="1"/>
  <c r="J171" i="1"/>
  <c r="K171" i="1" s="1"/>
  <c r="J175" i="1"/>
  <c r="K175" i="1" s="1"/>
  <c r="J179" i="1"/>
  <c r="K179" i="1" s="1"/>
  <c r="J183" i="1"/>
  <c r="K183" i="1" s="1"/>
  <c r="J187" i="1"/>
  <c r="K187" i="1" s="1"/>
  <c r="J191" i="1"/>
  <c r="K191" i="1" s="1"/>
  <c r="J195" i="1"/>
  <c r="K195" i="1" s="1"/>
  <c r="J199" i="1"/>
  <c r="K199" i="1" s="1"/>
  <c r="J203" i="1"/>
  <c r="K203" i="1" s="1"/>
  <c r="J207" i="1"/>
  <c r="K207" i="1" s="1"/>
  <c r="J211" i="1"/>
  <c r="K211" i="1" s="1"/>
  <c r="J215" i="1"/>
  <c r="K215" i="1" s="1"/>
  <c r="J219" i="1"/>
  <c r="K219" i="1" s="1"/>
  <c r="J223" i="1"/>
  <c r="K223" i="1" s="1"/>
  <c r="J227" i="1"/>
  <c r="K227" i="1" s="1"/>
  <c r="J231" i="1"/>
  <c r="K231" i="1" s="1"/>
  <c r="J235" i="1"/>
  <c r="K235" i="1" s="1"/>
  <c r="J239" i="1"/>
  <c r="K239" i="1" s="1"/>
  <c r="J243" i="1"/>
  <c r="K243" i="1" s="1"/>
  <c r="J247" i="1"/>
  <c r="K247" i="1" s="1"/>
  <c r="J251" i="1"/>
  <c r="K251" i="1" s="1"/>
  <c r="J255" i="1"/>
  <c r="K255" i="1" s="1"/>
  <c r="J259" i="1"/>
  <c r="K259" i="1" s="1"/>
  <c r="J263" i="1"/>
  <c r="K263" i="1" s="1"/>
  <c r="J267" i="1"/>
  <c r="K267" i="1" s="1"/>
  <c r="J271" i="1"/>
  <c r="K271" i="1" s="1"/>
  <c r="J275" i="1"/>
  <c r="K275" i="1" s="1"/>
  <c r="J279" i="1"/>
  <c r="K279" i="1" s="1"/>
  <c r="J283" i="1"/>
  <c r="K283" i="1" s="1"/>
  <c r="J287" i="1"/>
  <c r="K287" i="1" s="1"/>
  <c r="J107" i="1"/>
  <c r="K107" i="1" s="1"/>
  <c r="J97" i="1"/>
  <c r="K97" i="1" s="1"/>
  <c r="Q97" i="1" s="1"/>
  <c r="J102" i="1"/>
  <c r="K102" i="1" s="1"/>
  <c r="J116" i="1"/>
  <c r="J120" i="1"/>
  <c r="K120" i="1" s="1"/>
  <c r="J124" i="1"/>
  <c r="K124" i="1" s="1"/>
  <c r="J128" i="1"/>
  <c r="J132" i="1"/>
  <c r="K132" i="1" s="1"/>
  <c r="J136" i="1"/>
  <c r="K136" i="1" s="1"/>
  <c r="J140" i="1"/>
  <c r="J144" i="1"/>
  <c r="K144" i="1" s="1"/>
  <c r="J148" i="1"/>
  <c r="K148" i="1" s="1"/>
  <c r="J152" i="1"/>
  <c r="J156" i="1"/>
  <c r="K156" i="1" s="1"/>
  <c r="J160" i="1"/>
  <c r="K160" i="1" s="1"/>
  <c r="J164" i="1"/>
  <c r="J168" i="1"/>
  <c r="K168" i="1" s="1"/>
  <c r="J172" i="1"/>
  <c r="K172" i="1" s="1"/>
  <c r="J176" i="1"/>
  <c r="J180" i="1"/>
  <c r="K180" i="1" s="1"/>
  <c r="J184" i="1"/>
  <c r="K184" i="1" s="1"/>
  <c r="J188" i="1"/>
  <c r="J192" i="1"/>
  <c r="K192" i="1" s="1"/>
  <c r="J196" i="1"/>
  <c r="K196" i="1" s="1"/>
  <c r="J200" i="1"/>
  <c r="J204" i="1"/>
  <c r="K204" i="1" s="1"/>
  <c r="J208" i="1"/>
  <c r="K208" i="1" s="1"/>
  <c r="J212" i="1"/>
  <c r="J216" i="1"/>
  <c r="K216" i="1" s="1"/>
  <c r="J220" i="1"/>
  <c r="K220" i="1" s="1"/>
  <c r="J224" i="1"/>
  <c r="J228" i="1"/>
  <c r="K228" i="1" s="1"/>
  <c r="J232" i="1"/>
  <c r="K232" i="1" s="1"/>
  <c r="J236" i="1"/>
  <c r="J240" i="1"/>
  <c r="K240" i="1" s="1"/>
  <c r="Q240" i="1" s="1"/>
  <c r="J244" i="1"/>
  <c r="K244" i="1" s="1"/>
  <c r="J248" i="1"/>
  <c r="J252" i="1"/>
  <c r="K252" i="1" s="1"/>
  <c r="Q252" i="1" s="1"/>
  <c r="J256" i="1"/>
  <c r="K256" i="1" s="1"/>
  <c r="J260" i="1"/>
  <c r="J264" i="1"/>
  <c r="K264" i="1" s="1"/>
  <c r="J268" i="1"/>
  <c r="K268" i="1" s="1"/>
  <c r="J272" i="1"/>
  <c r="J276" i="1"/>
  <c r="K276" i="1" s="1"/>
  <c r="J280" i="1"/>
  <c r="K280" i="1" s="1"/>
  <c r="J284" i="1"/>
  <c r="J104" i="1"/>
  <c r="J93" i="1"/>
  <c r="K93" i="1" s="1"/>
  <c r="J112" i="1"/>
  <c r="K112" i="1" s="1"/>
  <c r="J110" i="1"/>
  <c r="J94" i="1"/>
  <c r="K94" i="1" s="1"/>
  <c r="J145" i="1"/>
  <c r="K145" i="1" s="1"/>
  <c r="J177" i="1"/>
  <c r="K177" i="1" s="1"/>
  <c r="J209" i="1"/>
  <c r="K209" i="1" s="1"/>
  <c r="J241" i="1"/>
  <c r="K241" i="1" s="1"/>
  <c r="J273" i="1"/>
  <c r="K273" i="1" s="1"/>
  <c r="J290" i="1"/>
  <c r="J294" i="1"/>
  <c r="K294" i="1" s="1"/>
  <c r="Q294" i="1" s="1"/>
  <c r="J298" i="1"/>
  <c r="K298" i="1" s="1"/>
  <c r="J302" i="1"/>
  <c r="J306" i="1"/>
  <c r="K306" i="1" s="1"/>
  <c r="J310" i="1"/>
  <c r="K310" i="1" s="1"/>
  <c r="J314" i="1"/>
  <c r="J318" i="1"/>
  <c r="K318" i="1" s="1"/>
  <c r="J322" i="1"/>
  <c r="K322" i="1" s="1"/>
  <c r="J326" i="1"/>
  <c r="J330" i="1"/>
  <c r="K330" i="1" s="1"/>
  <c r="J334" i="1"/>
  <c r="K334" i="1" s="1"/>
  <c r="J338" i="1"/>
  <c r="J342" i="1"/>
  <c r="K342" i="1" s="1"/>
  <c r="J346" i="1"/>
  <c r="K346" i="1" s="1"/>
  <c r="J350" i="1"/>
  <c r="J354" i="1"/>
  <c r="K354" i="1" s="1"/>
  <c r="J358" i="1"/>
  <c r="K358" i="1" s="1"/>
  <c r="J362" i="1"/>
  <c r="J366" i="1"/>
  <c r="K366" i="1" s="1"/>
  <c r="J370" i="1"/>
  <c r="K370" i="1" s="1"/>
  <c r="J99" i="1"/>
  <c r="J301" i="1"/>
  <c r="K301" i="1" s="1"/>
  <c r="J329" i="1"/>
  <c r="K329" i="1" s="1"/>
  <c r="J101" i="1"/>
  <c r="K101" i="1" s="1"/>
  <c r="J133" i="1"/>
  <c r="K133" i="1" s="1"/>
  <c r="J165" i="1"/>
  <c r="K165" i="1" s="1"/>
  <c r="J197" i="1"/>
  <c r="K197" i="1" s="1"/>
  <c r="J229" i="1"/>
  <c r="K229" i="1" s="1"/>
  <c r="J261" i="1"/>
  <c r="K261" i="1" s="1"/>
  <c r="J286" i="1"/>
  <c r="K286" i="1" s="1"/>
  <c r="J117" i="1"/>
  <c r="K117" i="1" s="1"/>
  <c r="J149" i="1"/>
  <c r="K149" i="1" s="1"/>
  <c r="J181" i="1"/>
  <c r="K181" i="1" s="1"/>
  <c r="J213" i="1"/>
  <c r="K213" i="1" s="1"/>
  <c r="J245" i="1"/>
  <c r="K245" i="1" s="1"/>
  <c r="J277" i="1"/>
  <c r="K277" i="1" s="1"/>
  <c r="J111" i="1"/>
  <c r="K111" i="1" s="1"/>
  <c r="J169" i="1"/>
  <c r="K169" i="1" s="1"/>
  <c r="J201" i="1"/>
  <c r="K201" i="1" s="1"/>
  <c r="J233" i="1"/>
  <c r="K233" i="1" s="1"/>
  <c r="J293" i="1"/>
  <c r="K293" i="1" s="1"/>
  <c r="J309" i="1"/>
  <c r="K309" i="1" s="1"/>
  <c r="J325" i="1"/>
  <c r="K325" i="1" s="1"/>
  <c r="J98" i="1"/>
  <c r="J108" i="1"/>
  <c r="K108" i="1" s="1"/>
  <c r="J121" i="1"/>
  <c r="K121" i="1" s="1"/>
  <c r="J153" i="1"/>
  <c r="K153" i="1" s="1"/>
  <c r="J185" i="1"/>
  <c r="K185" i="1" s="1"/>
  <c r="J217" i="1"/>
  <c r="K217" i="1" s="1"/>
  <c r="J249" i="1"/>
  <c r="K249" i="1" s="1"/>
  <c r="J281" i="1"/>
  <c r="K281" i="1" s="1"/>
  <c r="J291" i="1"/>
  <c r="K291" i="1" s="1"/>
  <c r="J295" i="1"/>
  <c r="K295" i="1" s="1"/>
  <c r="J299" i="1"/>
  <c r="K299" i="1" s="1"/>
  <c r="J303" i="1"/>
  <c r="K303" i="1" s="1"/>
  <c r="J307" i="1"/>
  <c r="K307" i="1" s="1"/>
  <c r="J311" i="1"/>
  <c r="K311" i="1" s="1"/>
  <c r="J315" i="1"/>
  <c r="K315" i="1" s="1"/>
  <c r="J319" i="1"/>
  <c r="K319" i="1" s="1"/>
  <c r="J323" i="1"/>
  <c r="K323" i="1" s="1"/>
  <c r="J327" i="1"/>
  <c r="K327" i="1" s="1"/>
  <c r="J331" i="1"/>
  <c r="K331" i="1" s="1"/>
  <c r="J335" i="1"/>
  <c r="K335" i="1" s="1"/>
  <c r="J339" i="1"/>
  <c r="K339" i="1" s="1"/>
  <c r="J343" i="1"/>
  <c r="K343" i="1" s="1"/>
  <c r="J347" i="1"/>
  <c r="K347" i="1" s="1"/>
  <c r="J351" i="1"/>
  <c r="K351" i="1" s="1"/>
  <c r="J355" i="1"/>
  <c r="K355" i="1" s="1"/>
  <c r="J359" i="1"/>
  <c r="K359" i="1" s="1"/>
  <c r="J363" i="1"/>
  <c r="K363" i="1" s="1"/>
  <c r="J367" i="1"/>
  <c r="K367" i="1" s="1"/>
  <c r="J371" i="1"/>
  <c r="K371" i="1" s="1"/>
  <c r="J265" i="1"/>
  <c r="K265" i="1" s="1"/>
  <c r="J297" i="1"/>
  <c r="K297" i="1" s="1"/>
  <c r="J317" i="1"/>
  <c r="K317" i="1" s="1"/>
  <c r="J103" i="1"/>
  <c r="K103" i="1" s="1"/>
  <c r="J141" i="1"/>
  <c r="K141" i="1" s="1"/>
  <c r="J173" i="1"/>
  <c r="K173" i="1" s="1"/>
  <c r="J205" i="1"/>
  <c r="K205" i="1" s="1"/>
  <c r="J237" i="1"/>
  <c r="K237" i="1" s="1"/>
  <c r="J269" i="1"/>
  <c r="K269" i="1" s="1"/>
  <c r="J137" i="1"/>
  <c r="K137" i="1" s="1"/>
  <c r="J289" i="1"/>
  <c r="K289" i="1" s="1"/>
  <c r="J313" i="1"/>
  <c r="K313" i="1" s="1"/>
  <c r="J129" i="1"/>
  <c r="K129" i="1" s="1"/>
  <c r="J161" i="1"/>
  <c r="K161" i="1" s="1"/>
  <c r="J193" i="1"/>
  <c r="K193" i="1" s="1"/>
  <c r="J225" i="1"/>
  <c r="K225" i="1" s="1"/>
  <c r="J257" i="1"/>
  <c r="K257" i="1" s="1"/>
  <c r="J288" i="1"/>
  <c r="K288" i="1" s="1"/>
  <c r="J292" i="1"/>
  <c r="K292" i="1" s="1"/>
  <c r="J296" i="1"/>
  <c r="J300" i="1"/>
  <c r="K300" i="1" s="1"/>
  <c r="Q300" i="1" s="1"/>
  <c r="J304" i="1"/>
  <c r="K304" i="1" s="1"/>
  <c r="J308" i="1"/>
  <c r="J312" i="1"/>
  <c r="K312" i="1" s="1"/>
  <c r="J316" i="1"/>
  <c r="K316" i="1" s="1"/>
  <c r="J320" i="1"/>
  <c r="J324" i="1"/>
  <c r="K324" i="1" s="1"/>
  <c r="J328" i="1"/>
  <c r="K328" i="1" s="1"/>
  <c r="J332" i="1"/>
  <c r="J336" i="1"/>
  <c r="K336" i="1" s="1"/>
  <c r="J340" i="1"/>
  <c r="K340" i="1" s="1"/>
  <c r="J344" i="1"/>
  <c r="J348" i="1"/>
  <c r="K348" i="1" s="1"/>
  <c r="J352" i="1"/>
  <c r="K352" i="1" s="1"/>
  <c r="J356" i="1"/>
  <c r="J360" i="1"/>
  <c r="K360" i="1" s="1"/>
  <c r="J364" i="1"/>
  <c r="K364" i="1" s="1"/>
  <c r="J368" i="1"/>
  <c r="J372" i="1"/>
  <c r="K372" i="1" s="1"/>
  <c r="J305" i="1"/>
  <c r="K305" i="1" s="1"/>
  <c r="J333" i="1"/>
  <c r="K333" i="1" s="1"/>
  <c r="J365" i="1"/>
  <c r="K365" i="1" s="1"/>
  <c r="J125" i="1"/>
  <c r="K125" i="1" s="1"/>
  <c r="J353" i="1"/>
  <c r="K353" i="1" s="1"/>
  <c r="J157" i="1"/>
  <c r="K157" i="1" s="1"/>
  <c r="J341" i="1"/>
  <c r="K341" i="1" s="1"/>
  <c r="J373" i="1"/>
  <c r="K373" i="1" s="1"/>
  <c r="J189" i="1"/>
  <c r="K189" i="1" s="1"/>
  <c r="J321" i="1"/>
  <c r="K321" i="1" s="1"/>
  <c r="J361" i="1"/>
  <c r="K361" i="1" s="1"/>
  <c r="J221" i="1"/>
  <c r="K221" i="1" s="1"/>
  <c r="J349" i="1"/>
  <c r="K349" i="1" s="1"/>
  <c r="J285" i="1"/>
  <c r="K285" i="1" s="1"/>
  <c r="J357" i="1"/>
  <c r="K357" i="1" s="1"/>
  <c r="J106" i="1"/>
  <c r="K106" i="1" s="1"/>
  <c r="J253" i="1"/>
  <c r="K253" i="1" s="1"/>
  <c r="J337" i="1"/>
  <c r="K337" i="1" s="1"/>
  <c r="J369" i="1"/>
  <c r="K369" i="1" s="1"/>
  <c r="J345" i="1"/>
  <c r="K345" i="1" s="1"/>
  <c r="D335" i="1"/>
  <c r="D342" i="1"/>
  <c r="D310" i="1"/>
  <c r="D334" i="1"/>
  <c r="D321" i="1"/>
  <c r="D319" i="1"/>
  <c r="D337" i="1"/>
  <c r="D345" i="1"/>
  <c r="D318" i="1"/>
  <c r="D343" i="1"/>
  <c r="D311" i="1"/>
  <c r="D326" i="1"/>
  <c r="D349" i="1"/>
  <c r="D341" i="1"/>
  <c r="D333" i="1"/>
  <c r="D325" i="1"/>
  <c r="D317" i="1"/>
  <c r="D309" i="1"/>
  <c r="D348" i="1"/>
  <c r="D340" i="1"/>
  <c r="D332" i="1"/>
  <c r="D324" i="1"/>
  <c r="D316" i="1"/>
  <c r="D308" i="1"/>
  <c r="D347" i="1"/>
  <c r="D339" i="1"/>
  <c r="D331" i="1"/>
  <c r="D323" i="1"/>
  <c r="D315" i="1"/>
  <c r="D307" i="1"/>
  <c r="D327" i="1"/>
  <c r="D303" i="1"/>
  <c r="D302" i="1"/>
  <c r="D346" i="1"/>
  <c r="D338" i="1"/>
  <c r="D330" i="1"/>
  <c r="D322" i="1"/>
  <c r="D314" i="1"/>
  <c r="D306" i="1"/>
  <c r="D313" i="1"/>
  <c r="D305" i="1"/>
  <c r="D329" i="1"/>
  <c r="D344" i="1"/>
  <c r="D336" i="1"/>
  <c r="D328" i="1"/>
  <c r="D320" i="1"/>
  <c r="D312" i="1"/>
  <c r="D304" i="1"/>
  <c r="K170" i="1" l="1"/>
  <c r="AX170" i="1"/>
  <c r="AY170" i="1" s="1"/>
  <c r="K272" i="1"/>
  <c r="AX272" i="1"/>
  <c r="AY272" i="1" s="1"/>
  <c r="K176" i="1"/>
  <c r="AX176" i="1"/>
  <c r="AY176" i="1" s="1"/>
  <c r="K326" i="1"/>
  <c r="AX326" i="1"/>
  <c r="AY326" i="1" s="1"/>
  <c r="K110" i="1"/>
  <c r="AX110" i="1"/>
  <c r="AY110" i="1" s="1"/>
  <c r="K236" i="1"/>
  <c r="AX236" i="1"/>
  <c r="AY236" i="1" s="1"/>
  <c r="K140" i="1"/>
  <c r="AX140" i="1"/>
  <c r="AY140" i="1" s="1"/>
  <c r="K194" i="1"/>
  <c r="AX194" i="1"/>
  <c r="AY194" i="1" s="1"/>
  <c r="K302" i="1"/>
  <c r="AX302" i="1"/>
  <c r="AY302" i="1" s="1"/>
  <c r="K320" i="1"/>
  <c r="AX320" i="1"/>
  <c r="AY320" i="1" s="1"/>
  <c r="K344" i="1"/>
  <c r="AX344" i="1"/>
  <c r="AY344" i="1" s="1"/>
  <c r="K290" i="1"/>
  <c r="AX290" i="1"/>
  <c r="AY290" i="1" s="1"/>
  <c r="K200" i="1"/>
  <c r="AX200" i="1"/>
  <c r="AY200" i="1" s="1"/>
  <c r="K254" i="1"/>
  <c r="AX254" i="1"/>
  <c r="AY254" i="1" s="1"/>
  <c r="K158" i="1"/>
  <c r="AX158" i="1"/>
  <c r="AY158" i="1" s="1"/>
  <c r="K212" i="1"/>
  <c r="AX212" i="1"/>
  <c r="AY212" i="1" s="1"/>
  <c r="K116" i="1"/>
  <c r="AX116" i="1"/>
  <c r="AY116" i="1" s="1"/>
  <c r="K266" i="1"/>
  <c r="AX266" i="1"/>
  <c r="AY266" i="1" s="1"/>
  <c r="K362" i="1"/>
  <c r="AX362" i="1"/>
  <c r="AY362" i="1" s="1"/>
  <c r="K230" i="1"/>
  <c r="AX230" i="1"/>
  <c r="AY230" i="1" s="1"/>
  <c r="K134" i="1"/>
  <c r="AX134" i="1"/>
  <c r="AY134" i="1" s="1"/>
  <c r="K308" i="1"/>
  <c r="AX308" i="1"/>
  <c r="AY308" i="1" s="1"/>
  <c r="K350" i="1"/>
  <c r="AX350" i="1"/>
  <c r="AY350" i="1" s="1"/>
  <c r="K260" i="1"/>
  <c r="AX260" i="1"/>
  <c r="AY260" i="1" s="1"/>
  <c r="K164" i="1"/>
  <c r="AX164" i="1"/>
  <c r="AY164" i="1" s="1"/>
  <c r="K218" i="1"/>
  <c r="AX218" i="1"/>
  <c r="AY218" i="1" s="1"/>
  <c r="K122" i="1"/>
  <c r="AX122" i="1"/>
  <c r="AY122" i="1" s="1"/>
  <c r="K368" i="1"/>
  <c r="AX368" i="1"/>
  <c r="AY368" i="1" s="1"/>
  <c r="K314" i="1"/>
  <c r="AX314" i="1"/>
  <c r="AY314" i="1" s="1"/>
  <c r="K104" i="1"/>
  <c r="AX104" i="1"/>
  <c r="AY104" i="1" s="1"/>
  <c r="K224" i="1"/>
  <c r="AX224" i="1"/>
  <c r="AY224" i="1" s="1"/>
  <c r="K128" i="1"/>
  <c r="AX128" i="1"/>
  <c r="AY128" i="1" s="1"/>
  <c r="K278" i="1"/>
  <c r="AX278" i="1"/>
  <c r="AY278" i="1" s="1"/>
  <c r="K182" i="1"/>
  <c r="AX182" i="1"/>
  <c r="AY182" i="1" s="1"/>
  <c r="K356" i="1"/>
  <c r="AX356" i="1"/>
  <c r="AY356" i="1" s="1"/>
  <c r="K332" i="1"/>
  <c r="AX332" i="1"/>
  <c r="AY332" i="1" s="1"/>
  <c r="K284" i="1"/>
  <c r="AX284" i="1"/>
  <c r="AY284" i="1" s="1"/>
  <c r="K188" i="1"/>
  <c r="AX188" i="1"/>
  <c r="AY188" i="1" s="1"/>
  <c r="K242" i="1"/>
  <c r="AX242" i="1"/>
  <c r="AY242" i="1" s="1"/>
  <c r="K146" i="1"/>
  <c r="AX146" i="1"/>
  <c r="AY146" i="1" s="1"/>
  <c r="K86" i="1"/>
  <c r="AX86" i="1"/>
  <c r="AY86" i="1" s="1"/>
  <c r="K296" i="1"/>
  <c r="AX296" i="1"/>
  <c r="AY296" i="1" s="1"/>
  <c r="K98" i="1"/>
  <c r="AX98" i="1"/>
  <c r="AY98" i="1" s="1"/>
  <c r="K338" i="1"/>
  <c r="AX338" i="1"/>
  <c r="AY338" i="1" s="1"/>
  <c r="K248" i="1"/>
  <c r="AX248" i="1"/>
  <c r="AY248" i="1" s="1"/>
  <c r="K152" i="1"/>
  <c r="AX152" i="1"/>
  <c r="AY152" i="1" s="1"/>
  <c r="K206" i="1"/>
  <c r="AX206" i="1"/>
  <c r="AY206" i="1" s="1"/>
  <c r="K92" i="1"/>
  <c r="AX92" i="1"/>
  <c r="AY92" i="1" s="1"/>
  <c r="Q345" i="1"/>
  <c r="Y345" i="1"/>
  <c r="Z345" i="1"/>
  <c r="Q324" i="1"/>
  <c r="Z324" i="1"/>
  <c r="Y324" i="1"/>
  <c r="Q351" i="1"/>
  <c r="Z351" i="1"/>
  <c r="Y351" i="1"/>
  <c r="Q366" i="1"/>
  <c r="Z366" i="1"/>
  <c r="Y366" i="1"/>
  <c r="Q276" i="1"/>
  <c r="Y276" i="1"/>
  <c r="Z276" i="1"/>
  <c r="Q180" i="1"/>
  <c r="Y180" i="1"/>
  <c r="Z180" i="1"/>
  <c r="Q207" i="1"/>
  <c r="Z207" i="1"/>
  <c r="Y207" i="1"/>
  <c r="Q96" i="1"/>
  <c r="Y96" i="1"/>
  <c r="Z96" i="1"/>
  <c r="Q234" i="1"/>
  <c r="Z234" i="1"/>
  <c r="Y234" i="1"/>
  <c r="Q138" i="1"/>
  <c r="Y138" i="1"/>
  <c r="Z138" i="1"/>
  <c r="Q369" i="1"/>
  <c r="Y369" i="1"/>
  <c r="Z369" i="1"/>
  <c r="Q288" i="1"/>
  <c r="Y288" i="1"/>
  <c r="Z288" i="1"/>
  <c r="Q297" i="1"/>
  <c r="Z297" i="1"/>
  <c r="Y297" i="1"/>
  <c r="Q315" i="1"/>
  <c r="Z315" i="1"/>
  <c r="Y315" i="1"/>
  <c r="Q249" i="1"/>
  <c r="Z249" i="1"/>
  <c r="Y249" i="1"/>
  <c r="Q309" i="1"/>
  <c r="Z309" i="1"/>
  <c r="Y309" i="1"/>
  <c r="Q213" i="1"/>
  <c r="Z213" i="1"/>
  <c r="Y213" i="1"/>
  <c r="Q165" i="1"/>
  <c r="Y165" i="1"/>
  <c r="Z165" i="1"/>
  <c r="Q330" i="1"/>
  <c r="Z330" i="1"/>
  <c r="Y330" i="1"/>
  <c r="Q144" i="1"/>
  <c r="Z144" i="1"/>
  <c r="Y144" i="1"/>
  <c r="Q102" i="1"/>
  <c r="Y102" i="1"/>
  <c r="Z102" i="1"/>
  <c r="Q267" i="1"/>
  <c r="Y267" i="1"/>
  <c r="Z267" i="1"/>
  <c r="Q171" i="1"/>
  <c r="Z171" i="1"/>
  <c r="Y171" i="1"/>
  <c r="Q198" i="1"/>
  <c r="Y198" i="1"/>
  <c r="Z198" i="1"/>
  <c r="Q333" i="1"/>
  <c r="Z333" i="1"/>
  <c r="Y333" i="1"/>
  <c r="Q312" i="1"/>
  <c r="Y312" i="1"/>
  <c r="Z312" i="1"/>
  <c r="Q195" i="1"/>
  <c r="Y195" i="1"/>
  <c r="Z195" i="1"/>
  <c r="Q204" i="1"/>
  <c r="Y204" i="1"/>
  <c r="Z204" i="1"/>
  <c r="Q189" i="1"/>
  <c r="Z189" i="1"/>
  <c r="Y189" i="1"/>
  <c r="Q225" i="1"/>
  <c r="Z225" i="1"/>
  <c r="Y225" i="1"/>
  <c r="Q339" i="1"/>
  <c r="Y339" i="1"/>
  <c r="Z339" i="1"/>
  <c r="Q264" i="1"/>
  <c r="Y264" i="1"/>
  <c r="Z264" i="1"/>
  <c r="Q168" i="1"/>
  <c r="Y168" i="1"/>
  <c r="Z168" i="1"/>
  <c r="Q126" i="1"/>
  <c r="Z126" i="1"/>
  <c r="Y126" i="1"/>
  <c r="Q372" i="1"/>
  <c r="Y372" i="1"/>
  <c r="Z372" i="1"/>
  <c r="Q303" i="1"/>
  <c r="Y303" i="1"/>
  <c r="Z303" i="1"/>
  <c r="Q153" i="1"/>
  <c r="Z153" i="1"/>
  <c r="Y153" i="1"/>
  <c r="Q201" i="1"/>
  <c r="Z201" i="1"/>
  <c r="Y201" i="1"/>
  <c r="Q117" i="1"/>
  <c r="Y117" i="1"/>
  <c r="Z117" i="1"/>
  <c r="Q318" i="1"/>
  <c r="Y318" i="1"/>
  <c r="Z318" i="1"/>
  <c r="Q273" i="1"/>
  <c r="Y273" i="1"/>
  <c r="Z273" i="1"/>
  <c r="Q228" i="1"/>
  <c r="Y228" i="1"/>
  <c r="Z228" i="1"/>
  <c r="Q132" i="1"/>
  <c r="Y132" i="1"/>
  <c r="Z132" i="1"/>
  <c r="Q255" i="1"/>
  <c r="Z255" i="1"/>
  <c r="Y255" i="1"/>
  <c r="Q159" i="1"/>
  <c r="Y159" i="1"/>
  <c r="Z159" i="1"/>
  <c r="Q282" i="1"/>
  <c r="Y282" i="1"/>
  <c r="Z282" i="1"/>
  <c r="Q186" i="1"/>
  <c r="Y186" i="1"/>
  <c r="Z186" i="1"/>
  <c r="Q90" i="1"/>
  <c r="Z90" i="1"/>
  <c r="Y90" i="1"/>
  <c r="Q321" i="1"/>
  <c r="Z321" i="1"/>
  <c r="Y321" i="1"/>
  <c r="Q135" i="1"/>
  <c r="Y135" i="1"/>
  <c r="Z135" i="1"/>
  <c r="Q162" i="1"/>
  <c r="Z162" i="1"/>
  <c r="Y162" i="1"/>
  <c r="Q354" i="1"/>
  <c r="Z354" i="1"/>
  <c r="Y354" i="1"/>
  <c r="Q222" i="1"/>
  <c r="Z222" i="1"/>
  <c r="Y222" i="1"/>
  <c r="Q357" i="1"/>
  <c r="Y357" i="1"/>
  <c r="Z357" i="1"/>
  <c r="Q336" i="1"/>
  <c r="Y336" i="1"/>
  <c r="Z336" i="1"/>
  <c r="Q363" i="1"/>
  <c r="Z363" i="1"/>
  <c r="Y363" i="1"/>
  <c r="Q192" i="1"/>
  <c r="Y192" i="1"/>
  <c r="Z192" i="1"/>
  <c r="Q219" i="1"/>
  <c r="Z219" i="1"/>
  <c r="Y219" i="1"/>
  <c r="Q123" i="1"/>
  <c r="Y123" i="1"/>
  <c r="Z123" i="1"/>
  <c r="Q150" i="1"/>
  <c r="Q348" i="1"/>
  <c r="Y348" i="1"/>
  <c r="Z348" i="1"/>
  <c r="Q105" i="1"/>
  <c r="Z105" i="1"/>
  <c r="Y105" i="1"/>
  <c r="Q237" i="1"/>
  <c r="Y237" i="1"/>
  <c r="Z237" i="1"/>
  <c r="Q285" i="1"/>
  <c r="Y285" i="1"/>
  <c r="Z285" i="1"/>
  <c r="Q129" i="1"/>
  <c r="Z129" i="1"/>
  <c r="Y129" i="1"/>
  <c r="Q141" i="1"/>
  <c r="Y141" i="1"/>
  <c r="Z141" i="1"/>
  <c r="Q327" i="1"/>
  <c r="Z327" i="1"/>
  <c r="Y327" i="1"/>
  <c r="Q108" i="1"/>
  <c r="Y108" i="1"/>
  <c r="Z108" i="1"/>
  <c r="Q111" i="1"/>
  <c r="Y111" i="1"/>
  <c r="Z111" i="1"/>
  <c r="Q261" i="1"/>
  <c r="Y261" i="1"/>
  <c r="Z261" i="1"/>
  <c r="Q342" i="1"/>
  <c r="Y342" i="1"/>
  <c r="Z342" i="1"/>
  <c r="Q156" i="1"/>
  <c r="Y156" i="1"/>
  <c r="Z156" i="1"/>
  <c r="Q279" i="1"/>
  <c r="Z279" i="1"/>
  <c r="Y279" i="1"/>
  <c r="Q183" i="1"/>
  <c r="Y183" i="1"/>
  <c r="Z183" i="1"/>
  <c r="Q210" i="1"/>
  <c r="Y210" i="1"/>
  <c r="Z210" i="1"/>
  <c r="Q114" i="1"/>
  <c r="Y114" i="1"/>
  <c r="Z114" i="1"/>
  <c r="Q231" i="1"/>
  <c r="Z231" i="1"/>
  <c r="Y231" i="1"/>
  <c r="Q360" i="1"/>
  <c r="Z360" i="1"/>
  <c r="Y360" i="1"/>
  <c r="Q291" i="1"/>
  <c r="Z291" i="1"/>
  <c r="Y291" i="1"/>
  <c r="Q306" i="1"/>
  <c r="Y306" i="1"/>
  <c r="Z306" i="1"/>
  <c r="Q177" i="1"/>
  <c r="Z177" i="1"/>
  <c r="Y177" i="1"/>
  <c r="Q216" i="1"/>
  <c r="Y216" i="1"/>
  <c r="Z216" i="1"/>
  <c r="Q120" i="1"/>
  <c r="Z120" i="1"/>
  <c r="Y120" i="1"/>
  <c r="Q243" i="1"/>
  <c r="Y243" i="1"/>
  <c r="Z243" i="1"/>
  <c r="Q147" i="1"/>
  <c r="Y147" i="1"/>
  <c r="Z147" i="1"/>
  <c r="Q270" i="1"/>
  <c r="Y270" i="1"/>
  <c r="Z270" i="1"/>
  <c r="Q174" i="1"/>
  <c r="Z174" i="1"/>
  <c r="Y174" i="1"/>
  <c r="K99" i="1"/>
  <c r="Q99" i="1" s="1"/>
  <c r="BM128" i="1" l="1"/>
  <c r="BN128" i="1"/>
  <c r="BE128" i="1"/>
  <c r="BN368" i="1"/>
  <c r="BM368" i="1"/>
  <c r="BE368" i="1"/>
  <c r="BM260" i="1"/>
  <c r="BN260" i="1"/>
  <c r="BE260" i="1"/>
  <c r="BM230" i="1"/>
  <c r="BE230" i="1"/>
  <c r="BN230" i="1"/>
  <c r="BE212" i="1"/>
  <c r="BM212" i="1"/>
  <c r="BN212" i="1"/>
  <c r="BM290" i="1"/>
  <c r="BO290" i="1" s="1"/>
  <c r="BN290" i="1"/>
  <c r="BE290" i="1"/>
  <c r="BN194" i="1"/>
  <c r="BM194" i="1"/>
  <c r="BE194" i="1"/>
  <c r="BE326" i="1"/>
  <c r="BN326" i="1"/>
  <c r="BM326" i="1"/>
  <c r="BE146" i="1"/>
  <c r="BN146" i="1"/>
  <c r="BM146" i="1"/>
  <c r="BE356" i="1"/>
  <c r="BM356" i="1"/>
  <c r="BN356" i="1"/>
  <c r="BM362" i="1"/>
  <c r="BN362" i="1"/>
  <c r="BE362" i="1"/>
  <c r="BN176" i="1"/>
  <c r="BM176" i="1"/>
  <c r="BE176" i="1"/>
  <c r="BN92" i="1"/>
  <c r="BM92" i="1"/>
  <c r="BO92" i="1" s="1"/>
  <c r="BE92" i="1"/>
  <c r="BN242" i="1"/>
  <c r="BM242" i="1"/>
  <c r="BE242" i="1"/>
  <c r="BN224" i="1"/>
  <c r="BM224" i="1"/>
  <c r="BE224" i="1"/>
  <c r="BN158" i="1"/>
  <c r="BE158" i="1"/>
  <c r="BM158" i="1"/>
  <c r="BM140" i="1"/>
  <c r="BN140" i="1"/>
  <c r="BE140" i="1"/>
  <c r="BN152" i="1"/>
  <c r="BM152" i="1"/>
  <c r="BE152" i="1"/>
  <c r="BN296" i="1"/>
  <c r="BE296" i="1"/>
  <c r="BM296" i="1"/>
  <c r="BN188" i="1"/>
  <c r="BM188" i="1"/>
  <c r="BE188" i="1"/>
  <c r="BM182" i="1"/>
  <c r="BN182" i="1"/>
  <c r="BE182" i="1"/>
  <c r="BE104" i="1"/>
  <c r="BN104" i="1"/>
  <c r="BM104" i="1"/>
  <c r="BO104" i="1" s="1"/>
  <c r="BN218" i="1"/>
  <c r="BM218" i="1"/>
  <c r="BE218" i="1"/>
  <c r="BM308" i="1"/>
  <c r="BN308" i="1"/>
  <c r="BE308" i="1"/>
  <c r="BM266" i="1"/>
  <c r="BN266" i="1"/>
  <c r="BE266" i="1"/>
  <c r="BE254" i="1"/>
  <c r="BM254" i="1"/>
  <c r="BN254" i="1"/>
  <c r="BN320" i="1"/>
  <c r="BM320" i="1"/>
  <c r="BO320" i="1" s="1"/>
  <c r="BE320" i="1"/>
  <c r="BE236" i="1"/>
  <c r="BN236" i="1"/>
  <c r="BM236" i="1"/>
  <c r="BN272" i="1"/>
  <c r="BM272" i="1"/>
  <c r="BO272" i="1" s="1"/>
  <c r="BE272" i="1"/>
  <c r="BN338" i="1"/>
  <c r="BM338" i="1"/>
  <c r="BE338" i="1"/>
  <c r="BM98" i="1"/>
  <c r="BN98" i="1"/>
  <c r="BE98" i="1"/>
  <c r="BN344" i="1"/>
  <c r="BM344" i="1"/>
  <c r="BE344" i="1"/>
  <c r="BM122" i="1"/>
  <c r="BN122" i="1"/>
  <c r="BE122" i="1"/>
  <c r="BM248" i="1"/>
  <c r="BN248" i="1"/>
  <c r="BE248" i="1"/>
  <c r="BE86" i="1"/>
  <c r="BM86" i="1"/>
  <c r="BO86" i="1" s="1"/>
  <c r="BN86" i="1"/>
  <c r="BE284" i="1"/>
  <c r="BM284" i="1"/>
  <c r="BN284" i="1"/>
  <c r="BE278" i="1"/>
  <c r="BM278" i="1"/>
  <c r="BN278" i="1"/>
  <c r="BM314" i="1"/>
  <c r="BO314" i="1" s="1"/>
  <c r="BN314" i="1"/>
  <c r="BE314" i="1"/>
  <c r="BN164" i="1"/>
  <c r="BE164" i="1"/>
  <c r="BM164" i="1"/>
  <c r="BM134" i="1"/>
  <c r="BE134" i="1"/>
  <c r="BN134" i="1"/>
  <c r="BM116" i="1"/>
  <c r="BE116" i="1"/>
  <c r="BN116" i="1"/>
  <c r="BE200" i="1"/>
  <c r="BM200" i="1"/>
  <c r="BN200" i="1"/>
  <c r="BN302" i="1"/>
  <c r="BM302" i="1"/>
  <c r="BO302" i="1" s="1"/>
  <c r="BE302" i="1"/>
  <c r="BE110" i="1"/>
  <c r="BN110" i="1"/>
  <c r="BM110" i="1"/>
  <c r="BE170" i="1"/>
  <c r="BM170" i="1"/>
  <c r="BN170" i="1"/>
  <c r="BM332" i="1"/>
  <c r="BO332" i="1" s="1"/>
  <c r="BN332" i="1"/>
  <c r="BE332" i="1"/>
  <c r="BM206" i="1"/>
  <c r="BN206" i="1"/>
  <c r="BE206" i="1"/>
  <c r="BM350" i="1"/>
  <c r="BN350" i="1"/>
  <c r="BE350" i="1"/>
  <c r="AA216" i="1"/>
  <c r="AA219" i="1"/>
  <c r="AA135" i="1"/>
  <c r="AA228" i="1"/>
  <c r="AA198" i="1"/>
  <c r="AA309" i="1"/>
  <c r="AA126" i="1"/>
  <c r="AA90" i="1"/>
  <c r="AA318" i="1"/>
  <c r="AA264" i="1"/>
  <c r="AA96" i="1"/>
  <c r="AA132" i="1"/>
  <c r="AA195" i="1"/>
  <c r="AA369" i="1"/>
  <c r="AA351" i="1"/>
  <c r="AA210" i="1"/>
  <c r="AA108" i="1"/>
  <c r="AA354" i="1"/>
  <c r="AA255" i="1"/>
  <c r="AA204" i="1"/>
  <c r="AA366" i="1"/>
  <c r="AA201" i="1"/>
  <c r="AA225" i="1"/>
  <c r="AA315" i="1"/>
  <c r="AA321" i="1"/>
  <c r="AA168" i="1"/>
  <c r="AA180" i="1"/>
  <c r="AA105" i="1"/>
  <c r="AA333" i="1"/>
  <c r="AA213" i="1"/>
  <c r="AA276" i="1"/>
  <c r="AA174" i="1"/>
  <c r="AA291" i="1"/>
  <c r="AA342" i="1"/>
  <c r="AA336" i="1"/>
  <c r="AA186" i="1"/>
  <c r="AA117" i="1"/>
  <c r="AA171" i="1"/>
  <c r="AA249" i="1"/>
  <c r="AA348" i="1"/>
  <c r="AA231" i="1"/>
  <c r="AA147" i="1"/>
  <c r="AA270" i="1"/>
  <c r="AA261" i="1"/>
  <c r="AA144" i="1"/>
  <c r="AA360" i="1"/>
  <c r="AA192" i="1"/>
  <c r="AA357" i="1"/>
  <c r="AC270" i="1"/>
  <c r="AB270" i="1"/>
  <c r="AC360" i="1"/>
  <c r="AB360" i="1"/>
  <c r="AC261" i="1"/>
  <c r="AB261" i="1"/>
  <c r="AB105" i="1"/>
  <c r="AC105" i="1"/>
  <c r="AB357" i="1"/>
  <c r="AC357" i="1"/>
  <c r="AC282" i="1"/>
  <c r="AB282" i="1"/>
  <c r="AC201" i="1"/>
  <c r="AB201" i="1"/>
  <c r="AC225" i="1"/>
  <c r="AB225" i="1"/>
  <c r="AB267" i="1"/>
  <c r="AC267" i="1"/>
  <c r="AB315" i="1"/>
  <c r="AC315" i="1"/>
  <c r="AB180" i="1"/>
  <c r="AC180" i="1"/>
  <c r="AC120" i="1"/>
  <c r="AB120" i="1"/>
  <c r="AA306" i="1"/>
  <c r="AB210" i="1"/>
  <c r="AC210" i="1"/>
  <c r="AA156" i="1"/>
  <c r="AA111" i="1"/>
  <c r="AB327" i="1"/>
  <c r="AC327" i="1"/>
  <c r="AA285" i="1"/>
  <c r="AB123" i="1"/>
  <c r="AC123" i="1"/>
  <c r="AA363" i="1"/>
  <c r="AA222" i="1"/>
  <c r="AB162" i="1"/>
  <c r="AC162" i="1"/>
  <c r="AA159" i="1"/>
  <c r="AB132" i="1"/>
  <c r="AC132" i="1"/>
  <c r="AA153" i="1"/>
  <c r="AC372" i="1"/>
  <c r="AB372" i="1"/>
  <c r="AA189" i="1"/>
  <c r="AB195" i="1"/>
  <c r="AC195" i="1"/>
  <c r="AA102" i="1"/>
  <c r="AC330" i="1"/>
  <c r="AB330" i="1"/>
  <c r="AA297" i="1"/>
  <c r="AB369" i="1"/>
  <c r="AC369" i="1"/>
  <c r="AB351" i="1"/>
  <c r="AC351" i="1"/>
  <c r="AC90" i="1"/>
  <c r="AB90" i="1"/>
  <c r="AC309" i="1"/>
  <c r="AB309" i="1"/>
  <c r="AC231" i="1"/>
  <c r="AB231" i="1"/>
  <c r="AA141" i="1"/>
  <c r="AB348" i="1"/>
  <c r="AC348" i="1"/>
  <c r="AC222" i="1"/>
  <c r="AB222" i="1"/>
  <c r="AC159" i="1"/>
  <c r="AB159" i="1"/>
  <c r="AB153" i="1"/>
  <c r="AC153" i="1"/>
  <c r="AB189" i="1"/>
  <c r="AC189" i="1"/>
  <c r="AC102" i="1"/>
  <c r="AB102" i="1"/>
  <c r="AA165" i="1"/>
  <c r="AB297" i="1"/>
  <c r="AC297" i="1"/>
  <c r="AA138" i="1"/>
  <c r="AA324" i="1"/>
  <c r="AC216" i="1"/>
  <c r="AB216" i="1"/>
  <c r="AC183" i="1"/>
  <c r="AB183" i="1"/>
  <c r="AB141" i="1"/>
  <c r="AC141" i="1"/>
  <c r="AA237" i="1"/>
  <c r="AB219" i="1"/>
  <c r="AC219" i="1"/>
  <c r="AB135" i="1"/>
  <c r="AC135" i="1"/>
  <c r="AB228" i="1"/>
  <c r="AC228" i="1"/>
  <c r="AB126" i="1"/>
  <c r="AC126" i="1"/>
  <c r="AA339" i="1"/>
  <c r="AB312" i="1"/>
  <c r="AC312" i="1"/>
  <c r="AC165" i="1"/>
  <c r="AB165" i="1"/>
  <c r="AC138" i="1"/>
  <c r="AB138" i="1"/>
  <c r="AA207" i="1"/>
  <c r="AB324" i="1"/>
  <c r="AC324" i="1"/>
  <c r="AC174" i="1"/>
  <c r="AB174" i="1"/>
  <c r="AA243" i="1"/>
  <c r="AA177" i="1"/>
  <c r="AB291" i="1"/>
  <c r="AC291" i="1"/>
  <c r="AA114" i="1"/>
  <c r="AA279" i="1"/>
  <c r="AC342" i="1"/>
  <c r="AB342" i="1"/>
  <c r="AA129" i="1"/>
  <c r="AB237" i="1"/>
  <c r="AC237" i="1"/>
  <c r="AB336" i="1"/>
  <c r="AC336" i="1"/>
  <c r="AB186" i="1"/>
  <c r="AC186" i="1"/>
  <c r="AC117" i="1"/>
  <c r="AB117" i="1"/>
  <c r="AA303" i="1"/>
  <c r="AB339" i="1"/>
  <c r="AC339" i="1"/>
  <c r="AB171" i="1"/>
  <c r="AC171" i="1"/>
  <c r="AB249" i="1"/>
  <c r="AC249" i="1"/>
  <c r="AA288" i="1"/>
  <c r="AA234" i="1"/>
  <c r="AC207" i="1"/>
  <c r="AB207" i="1"/>
  <c r="AB264" i="1"/>
  <c r="AC264" i="1"/>
  <c r="AC96" i="1"/>
  <c r="AB96" i="1"/>
  <c r="AA312" i="1"/>
  <c r="AB276" i="1"/>
  <c r="AC276" i="1"/>
  <c r="AB243" i="1"/>
  <c r="AC243" i="1"/>
  <c r="AC114" i="1"/>
  <c r="AB114" i="1"/>
  <c r="AB108" i="1"/>
  <c r="AC108" i="1"/>
  <c r="AB354" i="1"/>
  <c r="AC354" i="1"/>
  <c r="AB255" i="1"/>
  <c r="AC255" i="1"/>
  <c r="AA273" i="1"/>
  <c r="AC303" i="1"/>
  <c r="AB303" i="1"/>
  <c r="AB204" i="1"/>
  <c r="AC204" i="1"/>
  <c r="AB144" i="1"/>
  <c r="AC144" i="1"/>
  <c r="AB288" i="1"/>
  <c r="AC288" i="1"/>
  <c r="AC366" i="1"/>
  <c r="AB366" i="1"/>
  <c r="AA345" i="1"/>
  <c r="AB306" i="1"/>
  <c r="AC306" i="1"/>
  <c r="AB156" i="1"/>
  <c r="AC156" i="1"/>
  <c r="AC285" i="1"/>
  <c r="AB285" i="1"/>
  <c r="AB363" i="1"/>
  <c r="AC363" i="1"/>
  <c r="AB318" i="1"/>
  <c r="AC318" i="1"/>
  <c r="AB198" i="1"/>
  <c r="AC198" i="1"/>
  <c r="AC147" i="1"/>
  <c r="AB147" i="1"/>
  <c r="AA183" i="1"/>
  <c r="AC111" i="1"/>
  <c r="AB111" i="1"/>
  <c r="AA120" i="1"/>
  <c r="AB177" i="1"/>
  <c r="AC177" i="1"/>
  <c r="AB279" i="1"/>
  <c r="AC279" i="1"/>
  <c r="AA327" i="1"/>
  <c r="AC129" i="1"/>
  <c r="AB129" i="1"/>
  <c r="AA123" i="1"/>
  <c r="AB192" i="1"/>
  <c r="AC192" i="1"/>
  <c r="AA162" i="1"/>
  <c r="AC321" i="1"/>
  <c r="AB321" i="1"/>
  <c r="AA282" i="1"/>
  <c r="AB273" i="1"/>
  <c r="AC273" i="1"/>
  <c r="AA372" i="1"/>
  <c r="AB168" i="1"/>
  <c r="AC168" i="1"/>
  <c r="AB333" i="1"/>
  <c r="AC333" i="1"/>
  <c r="AA267" i="1"/>
  <c r="AA330" i="1"/>
  <c r="AB213" i="1"/>
  <c r="AC213" i="1"/>
  <c r="AC234" i="1"/>
  <c r="AB234" i="1"/>
  <c r="AB345" i="1"/>
  <c r="AC345" i="1"/>
  <c r="BO188" i="1" l="1"/>
  <c r="BO176" i="1"/>
  <c r="BO146" i="1"/>
  <c r="BO158" i="1"/>
  <c r="BO326" i="1"/>
  <c r="BO110" i="1"/>
  <c r="BO344" i="1"/>
  <c r="BO200" i="1"/>
  <c r="BO254" i="1"/>
  <c r="BO182" i="1"/>
  <c r="BO248" i="1"/>
  <c r="BO236" i="1"/>
  <c r="BO218" i="1"/>
  <c r="BO206" i="1"/>
  <c r="BO128" i="1"/>
  <c r="BQ272" i="1"/>
  <c r="BP272" i="1"/>
  <c r="BO350" i="1"/>
  <c r="BO170" i="1"/>
  <c r="BO134" i="1"/>
  <c r="BO278" i="1"/>
  <c r="BQ248" i="1"/>
  <c r="BP248" i="1"/>
  <c r="BO308" i="1"/>
  <c r="BP152" i="1"/>
  <c r="BQ152" i="1"/>
  <c r="BQ326" i="1"/>
  <c r="BP326" i="1"/>
  <c r="BO212" i="1"/>
  <c r="BP368" i="1"/>
  <c r="BQ368" i="1"/>
  <c r="BP308" i="1"/>
  <c r="BQ308" i="1"/>
  <c r="BQ158" i="1"/>
  <c r="BP158" i="1"/>
  <c r="BQ206" i="1"/>
  <c r="BP206" i="1"/>
  <c r="BQ170" i="1"/>
  <c r="BP170" i="1"/>
  <c r="BO164" i="1"/>
  <c r="BP278" i="1"/>
  <c r="BQ278" i="1"/>
  <c r="BQ98" i="1"/>
  <c r="BP98" i="1"/>
  <c r="BQ218" i="1"/>
  <c r="BP218" i="1"/>
  <c r="BO152" i="1"/>
  <c r="BQ224" i="1"/>
  <c r="BP224" i="1"/>
  <c r="BO356" i="1"/>
  <c r="BQ194" i="1"/>
  <c r="BP194" i="1"/>
  <c r="BQ212" i="1"/>
  <c r="BP212" i="1"/>
  <c r="BO368" i="1"/>
  <c r="BO260" i="1"/>
  <c r="BP200" i="1"/>
  <c r="BQ200" i="1"/>
  <c r="BP164" i="1"/>
  <c r="BQ164" i="1"/>
  <c r="BP254" i="1"/>
  <c r="BQ254" i="1"/>
  <c r="BQ188" i="1"/>
  <c r="BP188" i="1"/>
  <c r="BO224" i="1"/>
  <c r="BP176" i="1"/>
  <c r="BQ176" i="1"/>
  <c r="BQ356" i="1"/>
  <c r="BP356" i="1"/>
  <c r="BO194" i="1"/>
  <c r="BP182" i="1"/>
  <c r="BQ182" i="1"/>
  <c r="BO284" i="1"/>
  <c r="BQ122" i="1"/>
  <c r="BP122" i="1"/>
  <c r="BO98" i="1"/>
  <c r="BQ266" i="1"/>
  <c r="BP266" i="1"/>
  <c r="BQ140" i="1"/>
  <c r="BP140" i="1"/>
  <c r="BQ230" i="1"/>
  <c r="BP230" i="1"/>
  <c r="BQ128" i="1"/>
  <c r="BP128" i="1"/>
  <c r="BQ350" i="1"/>
  <c r="BP350" i="1"/>
  <c r="BQ344" i="1"/>
  <c r="BP344" i="1"/>
  <c r="BP296" i="1"/>
  <c r="BQ296" i="1"/>
  <c r="BQ86" i="1"/>
  <c r="BP86" i="1"/>
  <c r="BQ92" i="1"/>
  <c r="BP92" i="1"/>
  <c r="BQ332" i="1"/>
  <c r="BP332" i="1"/>
  <c r="BP110" i="1"/>
  <c r="BQ110" i="1"/>
  <c r="BP116" i="1"/>
  <c r="BQ116" i="1"/>
  <c r="BP314" i="1"/>
  <c r="BQ314" i="1"/>
  <c r="BQ284" i="1"/>
  <c r="BP284" i="1"/>
  <c r="BQ338" i="1"/>
  <c r="BP338" i="1"/>
  <c r="BP236" i="1"/>
  <c r="BQ236" i="1"/>
  <c r="BQ242" i="1"/>
  <c r="BP242" i="1"/>
  <c r="BQ290" i="1"/>
  <c r="BP290" i="1"/>
  <c r="BO230" i="1"/>
  <c r="BP104" i="1"/>
  <c r="BQ104" i="1"/>
  <c r="BQ134" i="1"/>
  <c r="BP134" i="1"/>
  <c r="BO362" i="1"/>
  <c r="BQ302" i="1"/>
  <c r="BP302" i="1"/>
  <c r="BO116" i="1"/>
  <c r="BO122" i="1"/>
  <c r="BO338" i="1"/>
  <c r="BP320" i="1"/>
  <c r="BQ320" i="1"/>
  <c r="BO266" i="1"/>
  <c r="BO296" i="1"/>
  <c r="BO140" i="1"/>
  <c r="BO242" i="1"/>
  <c r="BP362" i="1"/>
  <c r="BQ362" i="1"/>
  <c r="BP146" i="1"/>
  <c r="BQ146" i="1"/>
  <c r="BQ260" i="1"/>
  <c r="BP260" i="1"/>
  <c r="AD321" i="1"/>
  <c r="AD147" i="1"/>
  <c r="AD366" i="1"/>
  <c r="AD90" i="1"/>
  <c r="AD285" i="1"/>
  <c r="AD216" i="1"/>
  <c r="AD120" i="1"/>
  <c r="AD315" i="1"/>
  <c r="AD282" i="1"/>
  <c r="AD360" i="1"/>
  <c r="AD192" i="1"/>
  <c r="AD177" i="1"/>
  <c r="AD198" i="1"/>
  <c r="AD156" i="1"/>
  <c r="AD255" i="1"/>
  <c r="AD276" i="1"/>
  <c r="AD291" i="1"/>
  <c r="AD153" i="1"/>
  <c r="AD162" i="1"/>
  <c r="AD267" i="1"/>
  <c r="AD213" i="1"/>
  <c r="AD144" i="1"/>
  <c r="AD237" i="1"/>
  <c r="AD138" i="1"/>
  <c r="AD126" i="1"/>
  <c r="AD297" i="1"/>
  <c r="AD369" i="1"/>
  <c r="AD372" i="1"/>
  <c r="AD225" i="1"/>
  <c r="AD204" i="1"/>
  <c r="AD249" i="1"/>
  <c r="AD342" i="1"/>
  <c r="AD174" i="1"/>
  <c r="AD165" i="1"/>
  <c r="AD228" i="1"/>
  <c r="AD183" i="1"/>
  <c r="AD102" i="1"/>
  <c r="AD222" i="1"/>
  <c r="AD330" i="1"/>
  <c r="AD210" i="1"/>
  <c r="AD201" i="1"/>
  <c r="AD261" i="1"/>
  <c r="AD189" i="1"/>
  <c r="AD168" i="1"/>
  <c r="AD288" i="1"/>
  <c r="AD339" i="1"/>
  <c r="AD324" i="1"/>
  <c r="AD219" i="1"/>
  <c r="AD351" i="1"/>
  <c r="AD195" i="1"/>
  <c r="AD270" i="1"/>
  <c r="AD273" i="1"/>
  <c r="AD129" i="1"/>
  <c r="AD111" i="1"/>
  <c r="AD318" i="1"/>
  <c r="AD306" i="1"/>
  <c r="AD354" i="1"/>
  <c r="AD243" i="1"/>
  <c r="AD96" i="1"/>
  <c r="AD117" i="1"/>
  <c r="AD141" i="1"/>
  <c r="AD159" i="1"/>
  <c r="AD309" i="1"/>
  <c r="AD105" i="1"/>
  <c r="AD186" i="1"/>
  <c r="AD123" i="1"/>
  <c r="AD180" i="1"/>
  <c r="AD345" i="1"/>
  <c r="AD333" i="1"/>
  <c r="AD303" i="1"/>
  <c r="AD264" i="1"/>
  <c r="AD171" i="1"/>
  <c r="AD135" i="1"/>
  <c r="AD132" i="1"/>
  <c r="AD234" i="1"/>
  <c r="AD279" i="1"/>
  <c r="AD108" i="1"/>
  <c r="AD207" i="1"/>
  <c r="AD336" i="1"/>
  <c r="AD312" i="1"/>
  <c r="AD348" i="1"/>
  <c r="AD363" i="1"/>
  <c r="AD114" i="1"/>
  <c r="AD327" i="1"/>
  <c r="AD231" i="1"/>
  <c r="AD357" i="1"/>
  <c r="BR338" i="1" l="1"/>
  <c r="BR230" i="1"/>
  <c r="BR176" i="1"/>
  <c r="BR362" i="1"/>
  <c r="BR104" i="1"/>
  <c r="BR86" i="1"/>
  <c r="BR194" i="1"/>
  <c r="BR98" i="1"/>
  <c r="BR326" i="1"/>
  <c r="BR146" i="1"/>
  <c r="BR134" i="1"/>
  <c r="BR314" i="1"/>
  <c r="BR356" i="1"/>
  <c r="BR254" i="1"/>
  <c r="BR206" i="1"/>
  <c r="BR236" i="1"/>
  <c r="BR164" i="1"/>
  <c r="BR308" i="1"/>
  <c r="BR260" i="1"/>
  <c r="BR182" i="1"/>
  <c r="BR170" i="1"/>
  <c r="BR248" i="1"/>
  <c r="BR242" i="1"/>
  <c r="BR92" i="1"/>
  <c r="BR350" i="1"/>
  <c r="BR266" i="1"/>
  <c r="BR212" i="1"/>
  <c r="BR218" i="1"/>
  <c r="BR368" i="1"/>
  <c r="BR320" i="1"/>
  <c r="BR128" i="1"/>
  <c r="BR116" i="1"/>
  <c r="BR122" i="1"/>
  <c r="BR158" i="1"/>
  <c r="BR110" i="1"/>
  <c r="BR296" i="1"/>
  <c r="BR200" i="1"/>
  <c r="BR224" i="1"/>
  <c r="BR278" i="1"/>
  <c r="BR152" i="1"/>
  <c r="BR272" i="1"/>
  <c r="BR302" i="1"/>
  <c r="BR290" i="1"/>
  <c r="BR284" i="1"/>
  <c r="BR332" i="1"/>
  <c r="BR344" i="1"/>
  <c r="BR140" i="1"/>
  <c r="BR188" i="1"/>
</calcChain>
</file>

<file path=xl/sharedStrings.xml><?xml version="1.0" encoding="utf-8"?>
<sst xmlns="http://schemas.openxmlformats.org/spreadsheetml/2006/main" count="4320" uniqueCount="825">
  <si>
    <t>Range</t>
  </si>
  <si>
    <t>Column</t>
  </si>
  <si>
    <t>Harvest</t>
  </si>
  <si>
    <t>Area</t>
  </si>
  <si>
    <t>NW</t>
  </si>
  <si>
    <t>MW</t>
  </si>
  <si>
    <t>SW</t>
  </si>
  <si>
    <t>NE</t>
  </si>
  <si>
    <t>SE</t>
  </si>
  <si>
    <t>01</t>
  </si>
  <si>
    <t>02</t>
  </si>
  <si>
    <t>03</t>
  </si>
  <si>
    <t>04</t>
  </si>
  <si>
    <t>05</t>
  </si>
  <si>
    <t>06</t>
  </si>
  <si>
    <t>07</t>
  </si>
  <si>
    <t>08</t>
  </si>
  <si>
    <t>09</t>
  </si>
  <si>
    <t>ME</t>
  </si>
  <si>
    <t>Field wt</t>
  </si>
  <si>
    <t>in bag</t>
  </si>
  <si>
    <t>(lbs)</t>
  </si>
  <si>
    <t>Picker pass</t>
  </si>
  <si>
    <t>number</t>
  </si>
  <si>
    <t>Gleaning weight over the full pass #01 length from a second pass of the picker (lbs)</t>
  </si>
  <si>
    <t>Gleaning weight over the full pass #02 length from a second pass of the picker (lbs)</t>
  </si>
  <si>
    <t>Gleaning weight over the full pass #03 length from a second pass of the picker (lbs)</t>
  </si>
  <si>
    <t>Gleaning weight over the full pass #04 length from a second pass of the picker (lbs)</t>
  </si>
  <si>
    <t>Gleaning weight over the full pass #05 length from a second pass of the picker (lbs)</t>
  </si>
  <si>
    <t>Gleaning weight over the full pass #06 length from a second pass of the picker (lbs)</t>
  </si>
  <si>
    <t>Gleaning weight over the full pass #07 length from a second pass of the picker (lbs)</t>
  </si>
  <si>
    <t>Gleaning weight over the full pass #08 length from a second pass of the picker (lbs)</t>
  </si>
  <si>
    <t>Gleaning weight over the full pass #09 length from a second pass of the picker (lbs)</t>
  </si>
  <si>
    <t>Gleaning weight over the full pass #10 length from a second pass of the picker (lbs)</t>
  </si>
  <si>
    <t>Gleaning weight over the full pass #11 length from a second pass of the picker (lbs)</t>
  </si>
  <si>
    <t>Gleaning weight over the full pass #12 length from a second pass of the picker (lbs)</t>
  </si>
  <si>
    <t>Gleaning weight over the full pass #13 length from a second pass of the picker (lbs)</t>
  </si>
  <si>
    <t>Gleaning weight over the full pass #14 length from a second pass of the picker (lbs)</t>
  </si>
  <si>
    <t>Gleaning weight over the full pass #15 length from a second pass of the picker (lbs)</t>
  </si>
  <si>
    <t>Gleaning weight over the full pass #16 length from a second pass of the picker (lbs)</t>
  </si>
  <si>
    <t>Gleaning weight over the full pass #17 length from a second pass of the picker (lbs)</t>
  </si>
  <si>
    <t>Gleaning weight over the full pass #18 length from a second pass of the picker (lbs)</t>
  </si>
  <si>
    <t>Gleaning weight over the full pass #19 length from a second pass of the picker (lbs)</t>
  </si>
  <si>
    <t>Gleaning weight over the full pass #20 length from a second pass of the picker (lbs)</t>
  </si>
  <si>
    <t>Gleaning weight over the full pass #21 length from a second pass of the picker (lbs)</t>
  </si>
  <si>
    <t>Gleaning weight over the full pass #22 length from a second pass of the picker (lbs)</t>
  </si>
  <si>
    <t>Gleaning weight over the full pass #23 length from a second pass of the picker (lbs)</t>
  </si>
  <si>
    <t>Gleaning weight over the full pass #24 length from a second pass of the picker (lbs)</t>
  </si>
  <si>
    <t>Column C - Harvest area label (6 harvest areas per plot)</t>
  </si>
  <si>
    <t>Parameters</t>
  </si>
  <si>
    <t>less bag</t>
  </si>
  <si>
    <t>kg per lb</t>
  </si>
  <si>
    <t>m2 per ha</t>
  </si>
  <si>
    <t>Fraction of gleaning weight per harvest area</t>
  </si>
  <si>
    <t>WBWAH</t>
  </si>
  <si>
    <t>(kg/ha)</t>
  </si>
  <si>
    <t>BWCAH</t>
  </si>
  <si>
    <t>DBWAH</t>
  </si>
  <si>
    <t>(%)</t>
  </si>
  <si>
    <t>FFRAC</t>
  </si>
  <si>
    <t>SFRAC</t>
  </si>
  <si>
    <t>TFRAC</t>
  </si>
  <si>
    <t>Moisture</t>
  </si>
  <si>
    <t>Ginning</t>
  </si>
  <si>
    <t>Bulk wt</t>
  </si>
  <si>
    <t>(kg)</t>
  </si>
  <si>
    <t>Seed wt</t>
  </si>
  <si>
    <t>Fiber wt</t>
  </si>
  <si>
    <t>(g/g)</t>
  </si>
  <si>
    <t>Weight of a single mesh harvest bag with tags (based on the average weight of 10 bags) (lbs)</t>
  </si>
  <si>
    <t>(g)</t>
  </si>
  <si>
    <t>Sample wt</t>
  </si>
  <si>
    <t>Sample</t>
  </si>
  <si>
    <t>weight</t>
  </si>
  <si>
    <t>Wet</t>
  </si>
  <si>
    <t>Dry</t>
  </si>
  <si>
    <t>Weight</t>
  </si>
  <si>
    <t>Bag</t>
  </si>
  <si>
    <t>WFWAH</t>
  </si>
  <si>
    <t>WSWAH</t>
  </si>
  <si>
    <t>WSCWAH</t>
  </si>
  <si>
    <t>Compute</t>
  </si>
  <si>
    <t>DFWAH</t>
  </si>
  <si>
    <t>DSWAH</t>
  </si>
  <si>
    <t>DSCWAH</t>
  </si>
  <si>
    <t>PID</t>
  </si>
  <si>
    <t>p01-1</t>
  </si>
  <si>
    <t>p01-2</t>
  </si>
  <si>
    <t>p01-3</t>
  </si>
  <si>
    <t>p01-4</t>
  </si>
  <si>
    <t>p02-1</t>
  </si>
  <si>
    <t>p02-2</t>
  </si>
  <si>
    <t>p02-3</t>
  </si>
  <si>
    <t>p02-4</t>
  </si>
  <si>
    <t>p03-1</t>
  </si>
  <si>
    <t>p03-2</t>
  </si>
  <si>
    <t>p03-3</t>
  </si>
  <si>
    <t>p03-4</t>
  </si>
  <si>
    <t>p04-1</t>
  </si>
  <si>
    <t>p04-2</t>
  </si>
  <si>
    <t>p04-3</t>
  </si>
  <si>
    <t>p04-4</t>
  </si>
  <si>
    <t>p05-1</t>
  </si>
  <si>
    <t>p05-2</t>
  </si>
  <si>
    <t>p05-3</t>
  </si>
  <si>
    <t>p05-4</t>
  </si>
  <si>
    <t>p06-1</t>
  </si>
  <si>
    <t>p06-2</t>
  </si>
  <si>
    <t>p06-3</t>
  </si>
  <si>
    <t>p06-4</t>
  </si>
  <si>
    <t>p07-1</t>
  </si>
  <si>
    <t>p07-2</t>
  </si>
  <si>
    <t>p07-3</t>
  </si>
  <si>
    <t>p07-4</t>
  </si>
  <si>
    <t>p08-1</t>
  </si>
  <si>
    <t>p08-2</t>
  </si>
  <si>
    <t>p08-3</t>
  </si>
  <si>
    <t>p08-4</t>
  </si>
  <si>
    <t>p09-1</t>
  </si>
  <si>
    <t>p09-2</t>
  </si>
  <si>
    <t>p09-3</t>
  </si>
  <si>
    <t>p09-4</t>
  </si>
  <si>
    <t>p10-1</t>
  </si>
  <si>
    <t>p10-2</t>
  </si>
  <si>
    <t>p10-3</t>
  </si>
  <si>
    <t>p10-4</t>
  </si>
  <si>
    <t>p11-1</t>
  </si>
  <si>
    <t>p11-2</t>
  </si>
  <si>
    <t>p11-3</t>
  </si>
  <si>
    <t>p11-4</t>
  </si>
  <si>
    <t>p12-1</t>
  </si>
  <si>
    <t>p12-2</t>
  </si>
  <si>
    <t>p12-3</t>
  </si>
  <si>
    <t>p12-4</t>
  </si>
  <si>
    <t>Column A - Column number from plot layout</t>
  </si>
  <si>
    <t>Column B - Range number from plot layout</t>
  </si>
  <si>
    <t>Size of harvest area (2 40-inch rows by 10 m) (m2)</t>
  </si>
  <si>
    <t>Plot-scale calculations</t>
  </si>
  <si>
    <t>FBMIC</t>
  </si>
  <si>
    <t>FBLTH</t>
  </si>
  <si>
    <t>FBUNI</t>
  </si>
  <si>
    <t>FBSTR</t>
  </si>
  <si>
    <t>FBELO</t>
  </si>
  <si>
    <t>FBCRD</t>
  </si>
  <si>
    <t>FBCLB</t>
  </si>
  <si>
    <t>FBTCT</t>
  </si>
  <si>
    <t>FBTAR</t>
  </si>
  <si>
    <t>FBSFI</t>
  </si>
  <si>
    <t>21-1</t>
  </si>
  <si>
    <t>31-1</t>
  </si>
  <si>
    <t>21-2</t>
  </si>
  <si>
    <t>FBCGR</t>
  </si>
  <si>
    <t>(g/tex)</t>
  </si>
  <si>
    <t>(% ref)</t>
  </si>
  <si>
    <t>Quality</t>
  </si>
  <si>
    <t>HVI Sample ID</t>
  </si>
  <si>
    <t>(inches)</t>
  </si>
  <si>
    <t>Glean wt</t>
  </si>
  <si>
    <t>HAID</t>
  </si>
  <si>
    <t>GNDAT</t>
  </si>
  <si>
    <t>Date</t>
  </si>
  <si>
    <t>QLDAT</t>
  </si>
  <si>
    <t>Weight of white mesh bag for fiber (kg)</t>
  </si>
  <si>
    <t>in bin</t>
  </si>
  <si>
    <t>Weight of seed bin at MAC gin (kg)</t>
  </si>
  <si>
    <t>21-3</t>
  </si>
  <si>
    <t>21-4</t>
  </si>
  <si>
    <t>22-1</t>
  </si>
  <si>
    <t>31-4</t>
  </si>
  <si>
    <t>31-3</t>
  </si>
  <si>
    <t>11-4</t>
  </si>
  <si>
    <t>11-2</t>
  </si>
  <si>
    <t>12-2</t>
  </si>
  <si>
    <t>Original</t>
  </si>
  <si>
    <t>Spreadsheet</t>
  </si>
  <si>
    <t>Plot</t>
  </si>
  <si>
    <t>p01-1-NW</t>
  </si>
  <si>
    <t>p01-1-MW</t>
  </si>
  <si>
    <t>p01-1-SW</t>
  </si>
  <si>
    <t>p01-1-NE</t>
  </si>
  <si>
    <t>p01-1-ME</t>
  </si>
  <si>
    <t>p01-1-SE</t>
  </si>
  <si>
    <t>p01-2-NW</t>
  </si>
  <si>
    <t>p01-2-MW</t>
  </si>
  <si>
    <t>p01-2-SW</t>
  </si>
  <si>
    <t>p01-2-NE</t>
  </si>
  <si>
    <t>p01-2-ME</t>
  </si>
  <si>
    <t>p01-2-SE</t>
  </si>
  <si>
    <t>p01-3-NW</t>
  </si>
  <si>
    <t>p01-3-MW</t>
  </si>
  <si>
    <t>p01-3-SW</t>
  </si>
  <si>
    <t>p01-3-NE</t>
  </si>
  <si>
    <t>p01-3-ME</t>
  </si>
  <si>
    <t>p01-3-SE</t>
  </si>
  <si>
    <t>p01-4-NW</t>
  </si>
  <si>
    <t>p01-4-MW</t>
  </si>
  <si>
    <t>p01-4-SW</t>
  </si>
  <si>
    <t>p01-4-NE</t>
  </si>
  <si>
    <t>p01-4-ME</t>
  </si>
  <si>
    <t>p01-4-SE</t>
  </si>
  <si>
    <t>p02-1-NW</t>
  </si>
  <si>
    <t>p02-1-MW</t>
  </si>
  <si>
    <t>p02-1-SW</t>
  </si>
  <si>
    <t>p02-1-NE</t>
  </si>
  <si>
    <t>p02-1-ME</t>
  </si>
  <si>
    <t>p02-1-SE</t>
  </si>
  <si>
    <t>p02-2-NW</t>
  </si>
  <si>
    <t>p02-2-MW</t>
  </si>
  <si>
    <t>p02-2-SW</t>
  </si>
  <si>
    <t>p02-2-NE</t>
  </si>
  <si>
    <t>p02-2-ME</t>
  </si>
  <si>
    <t>p02-2-SE</t>
  </si>
  <si>
    <t>p02-3-NW</t>
  </si>
  <si>
    <t>p02-3-MW</t>
  </si>
  <si>
    <t>p02-3-SW</t>
  </si>
  <si>
    <t>p02-3-NE</t>
  </si>
  <si>
    <t>p02-3-ME</t>
  </si>
  <si>
    <t>p02-3-SE</t>
  </si>
  <si>
    <t>p02-4-NW</t>
  </si>
  <si>
    <t>p02-4-MW</t>
  </si>
  <si>
    <t>p02-4-SW</t>
  </si>
  <si>
    <t>p02-4-NE</t>
  </si>
  <si>
    <t>p02-4-ME</t>
  </si>
  <si>
    <t>p02-4-SE</t>
  </si>
  <si>
    <t>p03-1-NW</t>
  </si>
  <si>
    <t>p03-1-MW</t>
  </si>
  <si>
    <t>p03-1-SW</t>
  </si>
  <si>
    <t>p03-1-NE</t>
  </si>
  <si>
    <t>p03-1-ME</t>
  </si>
  <si>
    <t>p03-1-SE</t>
  </si>
  <si>
    <t>p03-2-NW</t>
  </si>
  <si>
    <t>p03-2-MW</t>
  </si>
  <si>
    <t>p03-2-SW</t>
  </si>
  <si>
    <t>p03-2-NE</t>
  </si>
  <si>
    <t>p03-2-ME</t>
  </si>
  <si>
    <t>p03-2-SE</t>
  </si>
  <si>
    <t>p03-3-NW</t>
  </si>
  <si>
    <t>p03-3-MW</t>
  </si>
  <si>
    <t>p03-3-SW</t>
  </si>
  <si>
    <t>p03-3-NE</t>
  </si>
  <si>
    <t>p03-3-ME</t>
  </si>
  <si>
    <t>p03-3-SE</t>
  </si>
  <si>
    <t>p03-4-NW</t>
  </si>
  <si>
    <t>p03-4-MW</t>
  </si>
  <si>
    <t>p03-4-SW</t>
  </si>
  <si>
    <t>p03-4-NE</t>
  </si>
  <si>
    <t>p03-4-ME</t>
  </si>
  <si>
    <t>p03-4-SE</t>
  </si>
  <si>
    <t>p04-1-NW</t>
  </si>
  <si>
    <t>p04-1-MW</t>
  </si>
  <si>
    <t>p04-1-SW</t>
  </si>
  <si>
    <t>p04-1-NE</t>
  </si>
  <si>
    <t>p04-1-ME</t>
  </si>
  <si>
    <t>p04-1-SE</t>
  </si>
  <si>
    <t>p04-2-NW</t>
  </si>
  <si>
    <t>p04-2-MW</t>
  </si>
  <si>
    <t>p04-2-SW</t>
  </si>
  <si>
    <t>p04-2-NE</t>
  </si>
  <si>
    <t>p04-2-ME</t>
  </si>
  <si>
    <t>p04-2-SE</t>
  </si>
  <si>
    <t>p04-3-NW</t>
  </si>
  <si>
    <t>p04-3-MW</t>
  </si>
  <si>
    <t>p04-3-SW</t>
  </si>
  <si>
    <t>p04-3-NE</t>
  </si>
  <si>
    <t>p04-3-ME</t>
  </si>
  <si>
    <t>p04-3-SE</t>
  </si>
  <si>
    <t>p04-4-NW</t>
  </si>
  <si>
    <t>p04-4-MW</t>
  </si>
  <si>
    <t>p04-4-SW</t>
  </si>
  <si>
    <t>p04-4-NE</t>
  </si>
  <si>
    <t>p04-4-ME</t>
  </si>
  <si>
    <t>p04-4-SE</t>
  </si>
  <si>
    <t>p05-1-NW</t>
  </si>
  <si>
    <t>p05-1-MW</t>
  </si>
  <si>
    <t>p05-1-SW</t>
  </si>
  <si>
    <t>p05-1-NE</t>
  </si>
  <si>
    <t>p05-1-ME</t>
  </si>
  <si>
    <t>p05-1-SE</t>
  </si>
  <si>
    <t>p05-2-NW</t>
  </si>
  <si>
    <t>p05-2-MW</t>
  </si>
  <si>
    <t>p05-2-SW</t>
  </si>
  <si>
    <t>p05-2-NE</t>
  </si>
  <si>
    <t>p05-2-ME</t>
  </si>
  <si>
    <t>p05-2-SE</t>
  </si>
  <si>
    <t>p05-3-NW</t>
  </si>
  <si>
    <t>p05-3-MW</t>
  </si>
  <si>
    <t>p05-3-SW</t>
  </si>
  <si>
    <t>p05-3-NE</t>
  </si>
  <si>
    <t>p05-3-ME</t>
  </si>
  <si>
    <t>p05-3-SE</t>
  </si>
  <si>
    <t>p05-4-NW</t>
  </si>
  <si>
    <t>p05-4-MW</t>
  </si>
  <si>
    <t>p05-4-SW</t>
  </si>
  <si>
    <t>p05-4-NE</t>
  </si>
  <si>
    <t>p05-4-ME</t>
  </si>
  <si>
    <t>p05-4-SE</t>
  </si>
  <si>
    <t>p06-1-NW</t>
  </si>
  <si>
    <t>p06-1-MW</t>
  </si>
  <si>
    <t>p06-1-SW</t>
  </si>
  <si>
    <t>p06-1-NE</t>
  </si>
  <si>
    <t>p06-1-ME</t>
  </si>
  <si>
    <t>p06-1-SE</t>
  </si>
  <si>
    <t>p06-2-NW</t>
  </si>
  <si>
    <t>p06-2-MW</t>
  </si>
  <si>
    <t>p06-2-SW</t>
  </si>
  <si>
    <t>p06-2-NE</t>
  </si>
  <si>
    <t>p06-2-ME</t>
  </si>
  <si>
    <t>p06-2-SE</t>
  </si>
  <si>
    <t>p06-3-NW</t>
  </si>
  <si>
    <t>p06-3-MW</t>
  </si>
  <si>
    <t>p06-3-SW</t>
  </si>
  <si>
    <t>p06-3-NE</t>
  </si>
  <si>
    <t>p06-3-ME</t>
  </si>
  <si>
    <t>p06-3-SE</t>
  </si>
  <si>
    <t>p06-4-NW</t>
  </si>
  <si>
    <t>p06-4-MW</t>
  </si>
  <si>
    <t>p06-4-SW</t>
  </si>
  <si>
    <t>p06-4-NE</t>
  </si>
  <si>
    <t>p06-4-ME</t>
  </si>
  <si>
    <t>p06-4-SE</t>
  </si>
  <si>
    <t>p07-1-NW</t>
  </si>
  <si>
    <t>p07-1-MW</t>
  </si>
  <si>
    <t>p07-1-SW</t>
  </si>
  <si>
    <t>p07-1-NE</t>
  </si>
  <si>
    <t>p07-1-ME</t>
  </si>
  <si>
    <t>p07-1-SE</t>
  </si>
  <si>
    <t>p07-2-NW</t>
  </si>
  <si>
    <t>p07-2-MW</t>
  </si>
  <si>
    <t>p07-2-SW</t>
  </si>
  <si>
    <t>p07-2-NE</t>
  </si>
  <si>
    <t>p07-2-ME</t>
  </si>
  <si>
    <t>p07-2-SE</t>
  </si>
  <si>
    <t>p07-3-NW</t>
  </si>
  <si>
    <t>p07-3-MW</t>
  </si>
  <si>
    <t>p07-3-SW</t>
  </si>
  <si>
    <t>p07-3-NE</t>
  </si>
  <si>
    <t>p07-3-ME</t>
  </si>
  <si>
    <t>p07-3-SE</t>
  </si>
  <si>
    <t>p07-4-NW</t>
  </si>
  <si>
    <t>p07-4-MW</t>
  </si>
  <si>
    <t>p07-4-SW</t>
  </si>
  <si>
    <t>p07-4-NE</t>
  </si>
  <si>
    <t>p07-4-ME</t>
  </si>
  <si>
    <t>p07-4-SE</t>
  </si>
  <si>
    <t>p08-1-NW</t>
  </si>
  <si>
    <t>p08-1-MW</t>
  </si>
  <si>
    <t>p08-1-SW</t>
  </si>
  <si>
    <t>p08-1-NE</t>
  </si>
  <si>
    <t>p08-1-ME</t>
  </si>
  <si>
    <t>p08-1-SE</t>
  </si>
  <si>
    <t>p08-2-NW</t>
  </si>
  <si>
    <t>p08-2-MW</t>
  </si>
  <si>
    <t>p08-2-SW</t>
  </si>
  <si>
    <t>p08-2-NE</t>
  </si>
  <si>
    <t>p08-2-ME</t>
  </si>
  <si>
    <t>p08-2-SE</t>
  </si>
  <si>
    <t>p08-3-NW</t>
  </si>
  <si>
    <t>p08-3-MW</t>
  </si>
  <si>
    <t>p08-3-SW</t>
  </si>
  <si>
    <t>p08-3-NE</t>
  </si>
  <si>
    <t>p08-3-ME</t>
  </si>
  <si>
    <t>p08-3-SE</t>
  </si>
  <si>
    <t>p08-4-NW</t>
  </si>
  <si>
    <t>p08-4-MW</t>
  </si>
  <si>
    <t>p08-4-SW</t>
  </si>
  <si>
    <t>p08-4-NE</t>
  </si>
  <si>
    <t>p08-4-ME</t>
  </si>
  <si>
    <t>p08-4-SE</t>
  </si>
  <si>
    <t>p09-1-NW</t>
  </si>
  <si>
    <t>p09-1-MW</t>
  </si>
  <si>
    <t>p09-1-SW</t>
  </si>
  <si>
    <t>p09-1-NE</t>
  </si>
  <si>
    <t>p09-1-ME</t>
  </si>
  <si>
    <t>p09-1-SE</t>
  </si>
  <si>
    <t>p09-2-NW</t>
  </si>
  <si>
    <t>p09-2-MW</t>
  </si>
  <si>
    <t>p09-2-SW</t>
  </si>
  <si>
    <t>p09-2-NE</t>
  </si>
  <si>
    <t>p09-2-ME</t>
  </si>
  <si>
    <t>p09-2-SE</t>
  </si>
  <si>
    <t>p09-3-NW</t>
  </si>
  <si>
    <t>p09-3-MW</t>
  </si>
  <si>
    <t>p09-3-SW</t>
  </si>
  <si>
    <t>p09-3-NE</t>
  </si>
  <si>
    <t>p09-3-ME</t>
  </si>
  <si>
    <t>p09-3-SE</t>
  </si>
  <si>
    <t>p09-4-NW</t>
  </si>
  <si>
    <t>p09-4-MW</t>
  </si>
  <si>
    <t>p09-4-SW</t>
  </si>
  <si>
    <t>p09-4-NE</t>
  </si>
  <si>
    <t>p09-4-ME</t>
  </si>
  <si>
    <t>p09-4-SE</t>
  </si>
  <si>
    <t>p10-1-NW</t>
  </si>
  <si>
    <t>p10-1-MW</t>
  </si>
  <si>
    <t>p10-1-SW</t>
  </si>
  <si>
    <t>p10-1-NE</t>
  </si>
  <si>
    <t>p10-1-ME</t>
  </si>
  <si>
    <t>p10-1-SE</t>
  </si>
  <si>
    <t>p10-2-NW</t>
  </si>
  <si>
    <t>p10-2-MW</t>
  </si>
  <si>
    <t>p10-2-SW</t>
  </si>
  <si>
    <t>p10-2-NE</t>
  </si>
  <si>
    <t>p10-2-ME</t>
  </si>
  <si>
    <t>p10-2-SE</t>
  </si>
  <si>
    <t>p10-3-NW</t>
  </si>
  <si>
    <t>p10-3-MW</t>
  </si>
  <si>
    <t>p10-3-SW</t>
  </si>
  <si>
    <t>p10-3-NE</t>
  </si>
  <si>
    <t>p10-3-ME</t>
  </si>
  <si>
    <t>p10-3-SE</t>
  </si>
  <si>
    <t>p10-4-NW</t>
  </si>
  <si>
    <t>p10-4-MW</t>
  </si>
  <si>
    <t>p10-4-SW</t>
  </si>
  <si>
    <t>p10-4-NE</t>
  </si>
  <si>
    <t>p10-4-ME</t>
  </si>
  <si>
    <t>p10-4-SE</t>
  </si>
  <si>
    <t>p11-1-NW</t>
  </si>
  <si>
    <t>p11-1-MW</t>
  </si>
  <si>
    <t>p11-1-SW</t>
  </si>
  <si>
    <t>p11-1-NE</t>
  </si>
  <si>
    <t>p11-1-ME</t>
  </si>
  <si>
    <t>p11-1-SE</t>
  </si>
  <si>
    <t>p11-2-NW</t>
  </si>
  <si>
    <t>p11-2-MW</t>
  </si>
  <si>
    <t>p11-2-SW</t>
  </si>
  <si>
    <t>p11-2-NE</t>
  </si>
  <si>
    <t>p11-2-ME</t>
  </si>
  <si>
    <t>p11-2-SE</t>
  </si>
  <si>
    <t>p11-3-NW</t>
  </si>
  <si>
    <t>p11-3-MW</t>
  </si>
  <si>
    <t>p11-3-SW</t>
  </si>
  <si>
    <t>p11-3-NE</t>
  </si>
  <si>
    <t>p11-3-ME</t>
  </si>
  <si>
    <t>p11-3-SE</t>
  </si>
  <si>
    <t>p11-4-NW</t>
  </si>
  <si>
    <t>p11-4-MW</t>
  </si>
  <si>
    <t>p11-4-SW</t>
  </si>
  <si>
    <t>p11-4-NE</t>
  </si>
  <si>
    <t>p11-4-ME</t>
  </si>
  <si>
    <t>p11-4-SE</t>
  </si>
  <si>
    <t>p12-1-NW</t>
  </si>
  <si>
    <t>p12-1-MW</t>
  </si>
  <si>
    <t>p12-1-SW</t>
  </si>
  <si>
    <t>p12-1-NE</t>
  </si>
  <si>
    <t>p12-1-ME</t>
  </si>
  <si>
    <t>p12-1-SE</t>
  </si>
  <si>
    <t>p12-2-NW</t>
  </si>
  <si>
    <t>p12-2-MW</t>
  </si>
  <si>
    <t>p12-2-SW</t>
  </si>
  <si>
    <t>p12-2-NE</t>
  </si>
  <si>
    <t>p12-2-ME</t>
  </si>
  <si>
    <t>p12-2-SE</t>
  </si>
  <si>
    <t>p12-3-NW</t>
  </si>
  <si>
    <t>p12-3-MW</t>
  </si>
  <si>
    <t>p12-3-SW</t>
  </si>
  <si>
    <t>p12-3-NE</t>
  </si>
  <si>
    <t>p12-3-ME</t>
  </si>
  <si>
    <t>p12-3-SE</t>
  </si>
  <si>
    <t>p12-4-NW</t>
  </si>
  <si>
    <t>p12-4-MW</t>
  </si>
  <si>
    <t>p12-4-SW</t>
  </si>
  <si>
    <t>p12-4-NE</t>
  </si>
  <si>
    <t>p12-4-ME</t>
  </si>
  <si>
    <t>p12-4-SE</t>
  </si>
  <si>
    <t>HID</t>
  </si>
  <si>
    <t>Column D - Harvest Area ID (HID)</t>
  </si>
  <si>
    <t>HARM</t>
  </si>
  <si>
    <t>HADAT</t>
  </si>
  <si>
    <t>Machine</t>
  </si>
  <si>
    <t>Column E - Harvest method (HARM)</t>
  </si>
  <si>
    <t>Column F - Harvest date (HADAT, mm/dd/yyyy)</t>
  </si>
  <si>
    <t>Column G - Count of picker passes across the field</t>
  </si>
  <si>
    <t>Column H - Field weight of bulk cotton in bag (lbs). Machine harvest 2 rows by 10 m into mesh bags. Weigh in field using IQ plus 300-DC scale.</t>
  </si>
  <si>
    <t>Column I - Field weight of bulk cotton minus bag weight (lbs)</t>
  </si>
  <si>
    <t>Column J - Gleaning weight (lbs) obtained from a second picker pass.</t>
  </si>
  <si>
    <t>Column K - Wet bulk weight at harvest (fiber + seed + trash) (WBWAH, kg/ha)</t>
  </si>
  <si>
    <t>Column L - Weight of Zip-lock plastic bag(s) for subsampling harvest bags for moisture content, only middle (M) harvest area bags were subsampled (g)</t>
  </si>
  <si>
    <t>Column M - Weight of bulk subsample for moisture content in plastic bag (g)</t>
  </si>
  <si>
    <t>Column N - Wet weight of bulk subsample prior to oven drying (g)</t>
  </si>
  <si>
    <t>Column O - Dry weight of bulk subsample after oven drying (g)</t>
  </si>
  <si>
    <t>Column P - Bulk water content at harvest (BWCAH, %)</t>
  </si>
  <si>
    <t>Column Q - Dry bulk weight at harvest (fiber + seed + trash) (0% water content) (DBWAH, kg/ha)</t>
  </si>
  <si>
    <t>Column R - Ginning Date (GNDAT, mm/dd/yyyy). Ginned using the MAC large gin with cleaners.</t>
  </si>
  <si>
    <t>Column S - Weight of bulk cotton in harvest bags prior to ginning, only middle (M) harvest areas were ginned (kg). Weigh using ALARC scale.</t>
  </si>
  <si>
    <t>Column T - Weight of fiber in bag after ginning (kg). Weigh using scale at MAC gin.</t>
  </si>
  <si>
    <t>Column U - Weight of fuzzy seed in tub after ginning (kg). Weigh using scale at MAC gin.</t>
  </si>
  <si>
    <t>Column V - Fiber fraction of bulk harvest after ginning (FFRAC, g/g)</t>
  </si>
  <si>
    <t>Column W - Seed fraction of bulk harvest after ginning (SFRAC, g/g)</t>
  </si>
  <si>
    <t>Column X - Trash fraction of bulk harvest after ginning (TFRAC, g/g)</t>
  </si>
  <si>
    <t>Column Y - Wet fiber weight at harvest (WFWAH, kg/ha)</t>
  </si>
  <si>
    <t>Column AA - Wet seed cotton weight at harvest (fiber + seed) (WSCWAH, kg/ha)</t>
  </si>
  <si>
    <t>Column AB - Dry fiber weight at harvest (DFWAH, kg/ha)</t>
  </si>
  <si>
    <t>Column AC - Dry seed weight at harvest (DSWAH, kg/ha)</t>
  </si>
  <si>
    <t>Column AD - Dry seed cotton weight at harvest (fiber + seed) (DSCWAH, kg/ha)</t>
  </si>
  <si>
    <t>Column AE - Sample ID for fiber samples sent to Cotton Incorporated HVI, only middle (M) harvest areas were tested.</t>
  </si>
  <si>
    <t>Column AF - Quality measurement date (QLDAT, mm/dd/yyyy)</t>
  </si>
  <si>
    <t>Column AG - Micronaire (FBMIC)</t>
  </si>
  <si>
    <t>Column AH - Upper half mean fiber length (FBLTH, inches)</t>
  </si>
  <si>
    <t>Column AI - Fiber uniformity (FBUNI, %)</t>
  </si>
  <si>
    <t>Column AJ - Fiber strength (FBSTR, g/tex)</t>
  </si>
  <si>
    <t>Column AK - Fiber elongation (FBELO, %)</t>
  </si>
  <si>
    <t>Column AL - Fiber Color Reflectance (FBCRD, % reflectance)</t>
  </si>
  <si>
    <t>Column AM - Fiber Color +b (FBCLB)</t>
  </si>
  <si>
    <t>Column AN - Fiber Color Grade (FBCGR)</t>
  </si>
  <si>
    <t>Column AO - Trash Area (FBTCT, number of particles)</t>
  </si>
  <si>
    <t>Column AP - Trash Area (FBTAR, % of surface covered by trash)</t>
  </si>
  <si>
    <t>Column AQ - Short Fiber Index (FBSFI, %)</t>
  </si>
  <si>
    <t>Column Z - Wet seed weight at harvest (WSWAH, kg/ha)</t>
  </si>
  <si>
    <t>FAO-N</t>
  </si>
  <si>
    <t>NG4936</t>
  </si>
  <si>
    <t>South</t>
  </si>
  <si>
    <t>Mid</t>
  </si>
  <si>
    <t>North</t>
  </si>
  <si>
    <t>12-</t>
  </si>
  <si>
    <t>AQC</t>
  </si>
  <si>
    <t>CSM</t>
  </si>
  <si>
    <t>AQC-N</t>
  </si>
  <si>
    <t>NG3195</t>
  </si>
  <si>
    <t>11-</t>
  </si>
  <si>
    <t>10-</t>
  </si>
  <si>
    <t>FAO</t>
  </si>
  <si>
    <t>CSM-N</t>
  </si>
  <si>
    <t>09-</t>
  </si>
  <si>
    <t>08-</t>
  </si>
  <si>
    <t>07-</t>
  </si>
  <si>
    <t>06-</t>
  </si>
  <si>
    <t>05-</t>
  </si>
  <si>
    <t>04-</t>
  </si>
  <si>
    <t>03-</t>
  </si>
  <si>
    <t>8 East</t>
  </si>
  <si>
    <t>2-</t>
  </si>
  <si>
    <t>7 East</t>
  </si>
  <si>
    <t>6 East</t>
  </si>
  <si>
    <t>5 East</t>
  </si>
  <si>
    <t>4 East</t>
  </si>
  <si>
    <t>3 East</t>
  </si>
  <si>
    <t>2 East</t>
  </si>
  <si>
    <t>1 East</t>
  </si>
  <si>
    <t>1-</t>
  </si>
  <si>
    <t>02-</t>
  </si>
  <si>
    <t>120-</t>
  </si>
  <si>
    <t>8 West</t>
  </si>
  <si>
    <t>7 West</t>
  </si>
  <si>
    <t>6 West</t>
  </si>
  <si>
    <t>100-</t>
  </si>
  <si>
    <t>5 West</t>
  </si>
  <si>
    <t>4 West</t>
  </si>
  <si>
    <t>3 West</t>
  </si>
  <si>
    <t>2 West</t>
  </si>
  <si>
    <t>01-</t>
  </si>
  <si>
    <t>1 West</t>
  </si>
  <si>
    <t>80-</t>
  </si>
  <si>
    <t>← saved &amp; sampled to replace West 01-2 mid</t>
  </si>
  <si>
    <t xml:space="preserve">← Bag dumped accidentally. No subsample. </t>
  </si>
  <si>
    <t>60-</t>
  </si>
  <si>
    <r>
      <t>Gleaning weight lb</t>
    </r>
    <r>
      <rPr>
        <sz val="9"/>
        <color theme="8" tint="-0.249977111117893"/>
        <rFont val="Calibri"/>
        <family val="2"/>
      </rPr>
      <t xml:space="preserve"> (harvester over strip from S to  N)</t>
    </r>
  </si>
  <si>
    <t>Moisture meter reading</t>
  </si>
  <si>
    <r>
      <t xml:space="preserve">Harvest weight </t>
    </r>
    <r>
      <rPr>
        <sz val="9"/>
        <color theme="1"/>
        <rFont val="Calibri"/>
        <family val="2"/>
      </rPr>
      <t>(from the field, in the bag)</t>
    </r>
    <r>
      <rPr>
        <b/>
        <sz val="9"/>
        <color theme="1"/>
        <rFont val="Calibri"/>
        <family val="2"/>
      </rPr>
      <t xml:space="preserve"> lb</t>
    </r>
  </si>
  <si>
    <t>TRT</t>
  </si>
  <si>
    <t>Variety</t>
  </si>
  <si>
    <t>sample</t>
  </si>
  <si>
    <t>Averages</t>
  </si>
  <si>
    <r>
      <t xml:space="preserve">Weight of harvest bags: </t>
    </r>
    <r>
      <rPr>
        <b/>
        <sz val="10"/>
        <color theme="1"/>
        <rFont val="Calibri"/>
        <family val="2"/>
      </rPr>
      <t xml:space="preserve">   10 </t>
    </r>
    <r>
      <rPr>
        <sz val="10"/>
        <color rgb="FFFF0000"/>
        <rFont val="Calibri"/>
        <family val="2"/>
      </rPr>
      <t xml:space="preserve">  bags &amp; tags - </t>
    </r>
    <r>
      <rPr>
        <b/>
        <sz val="10"/>
        <color theme="1"/>
        <rFont val="Calibri"/>
        <family val="2"/>
      </rPr>
      <t xml:space="preserve">    4.6   </t>
    </r>
    <r>
      <rPr>
        <sz val="10"/>
        <color rgb="FFFF0000"/>
        <rFont val="Calibri"/>
        <family val="2"/>
      </rPr>
      <t xml:space="preserve"> lb</t>
    </r>
  </si>
  <si>
    <r>
      <t xml:space="preserve">Weight of harvest bags: </t>
    </r>
    <r>
      <rPr>
        <b/>
        <sz val="10"/>
        <color theme="1"/>
        <rFont val="Calibri"/>
        <family val="2"/>
      </rPr>
      <t xml:space="preserve">       </t>
    </r>
    <r>
      <rPr>
        <sz val="10"/>
        <color rgb="FFFF0000"/>
        <rFont val="Calibri"/>
        <family val="2"/>
      </rPr>
      <t xml:space="preserve">  bags &amp; tags - </t>
    </r>
    <r>
      <rPr>
        <b/>
        <sz val="10"/>
        <color theme="1"/>
        <rFont val="Calibri"/>
        <family val="2"/>
      </rPr>
      <t xml:space="preserve">            </t>
    </r>
    <r>
      <rPr>
        <sz val="10"/>
        <color rgb="FFFF0000"/>
        <rFont val="Calibri"/>
        <family val="2"/>
      </rPr>
      <t xml:space="preserve"> lb</t>
    </r>
  </si>
  <si>
    <r>
      <t xml:space="preserve">Weight of harvest bags: </t>
    </r>
    <r>
      <rPr>
        <b/>
        <sz val="10"/>
        <color theme="1"/>
        <rFont val="Calibri"/>
        <family val="2"/>
      </rPr>
      <t xml:space="preserve">    10 </t>
    </r>
    <r>
      <rPr>
        <sz val="10"/>
        <color rgb="FFFF0000"/>
        <rFont val="Calibri"/>
        <family val="2"/>
      </rPr>
      <t xml:space="preserve">  bags &amp; tags - </t>
    </r>
    <r>
      <rPr>
        <b/>
        <sz val="10"/>
        <color theme="1"/>
        <rFont val="Calibri"/>
        <family val="2"/>
      </rPr>
      <t xml:space="preserve">   4.6   </t>
    </r>
    <r>
      <rPr>
        <sz val="10"/>
        <color rgb="FFFF0000"/>
        <rFont val="Calibri"/>
        <family val="2"/>
      </rPr>
      <t xml:space="preserve"> lb</t>
    </r>
  </si>
  <si>
    <t>Using MAC farm's (J Subramani) IQ plus 300-DC platform scale</t>
  </si>
  <si>
    <t>15 Nov (d319) after Alison's (1230-?)</t>
  </si>
  <si>
    <t xml:space="preserve">Harvested: </t>
  </si>
  <si>
    <t>16 Nov (d320) after Western swaths (1030-1405h)</t>
  </si>
  <si>
    <t>16 Nov (d320) morning (0757-1024h)</t>
  </si>
  <si>
    <t>Into harvest bags with White tags w/ BLUE tape</t>
  </si>
  <si>
    <t>Into harvest bags with RED tags</t>
  </si>
  <si>
    <t>Into harvest bags with YELLOW tags</t>
  </si>
  <si>
    <t>Marked in field with        paint</t>
  </si>
  <si>
    <t>Marked in field with       paint</t>
  </si>
  <si>
    <t>Span 7 (overhang)</t>
  </si>
  <si>
    <t>Eastern swaths</t>
  </si>
  <si>
    <t>Western swaths</t>
  </si>
  <si>
    <t>Cotton</t>
  </si>
  <si>
    <t>F13 b4</t>
  </si>
  <si>
    <t>Final harvest</t>
  </si>
  <si>
    <t>2022</t>
  </si>
  <si>
    <t>East, South</t>
  </si>
  <si>
    <t>Seed cotton in bag (kg)</t>
  </si>
  <si>
    <t>Seed cotton (in white mesh bag (kg)</t>
  </si>
  <si>
    <t>Section</t>
  </si>
  <si>
    <t>In harvest bags with White tags w/ BLUE tape</t>
  </si>
  <si>
    <t>In harvest bags with RED tags</t>
  </si>
  <si>
    <t>In harvest bags with YELLOW tags</t>
  </si>
  <si>
    <t>Span 7</t>
  </si>
  <si>
    <t>weighed on our O'haus balance</t>
  </si>
  <si>
    <t>weight of         bags           kg</t>
  </si>
  <si>
    <t>weight of     10  bags    2.08   kg</t>
  </si>
  <si>
    <t>Kelly weighing</t>
  </si>
  <si>
    <t>in white mesh harvest bags.</t>
  </si>
  <si>
    <t>Seed cotton just before ginning</t>
  </si>
  <si>
    <t>F13b4 - Cotton</t>
  </si>
  <si>
    <t>"Mid" samples - take a sample for fiber quality</t>
  </si>
  <si>
    <t>Eash, South</t>
  </si>
  <si>
    <t>Seed in bin (kg)</t>
  </si>
  <si>
    <t>Lint in bag (kg)</t>
  </si>
  <si>
    <t>= clog noticed, somewhere in gin</t>
  </si>
  <si>
    <t>Suzette weighed most, Kelly weighed of span 7 to finish</t>
  </si>
  <si>
    <t>weighed on MAC's balance in the gin room</t>
  </si>
  <si>
    <t>weight of tub for seed                 kg</t>
  </si>
  <si>
    <t>weight of tub for seed     1.70   kg</t>
  </si>
  <si>
    <t>weight of yellow bag for lint              kg</t>
  </si>
  <si>
    <t>not the yellow bags, our mesh bags</t>
  </si>
  <si>
    <t>weight of bag for lint    0.18   kg</t>
  </si>
  <si>
    <t>Ginned 18 Nov d 322</t>
  </si>
  <si>
    <t>Ginned samples</t>
  </si>
  <si>
    <t>Ginned 17 &amp; 18 Nov, d321 &amp; 322</t>
  </si>
  <si>
    <t>Ginned 17 Nov. d321</t>
  </si>
  <si>
    <t>80-80</t>
  </si>
  <si>
    <t>80-60</t>
  </si>
  <si>
    <t>100-120</t>
  </si>
  <si>
    <t>100-80</t>
  </si>
  <si>
    <t>120-60</t>
  </si>
  <si>
    <t>60-100</t>
  </si>
  <si>
    <t>East</t>
  </si>
  <si>
    <t>60-80</t>
  </si>
  <si>
    <t>120-100</t>
  </si>
  <si>
    <t>120-80</t>
  </si>
  <si>
    <t>60-120</t>
  </si>
  <si>
    <t>?? Double-checked numbers. -SMM</t>
  </si>
  <si>
    <t>100-60</t>
  </si>
  <si>
    <t>West</t>
  </si>
  <si>
    <t>120-120</t>
  </si>
  <si>
    <t>60-60</t>
  </si>
  <si>
    <t>80-100</t>
  </si>
  <si>
    <t>100-100</t>
  </si>
  <si>
    <t>80-120</t>
  </si>
  <si>
    <t>Sample accidently dumped in the field. Using 01-2 East, Southern sample instead.</t>
  </si>
  <si>
    <t>wet basis       % moisture</t>
  </si>
  <si>
    <r>
      <t xml:space="preserve">Dry weight             </t>
    </r>
    <r>
      <rPr>
        <b/>
        <sz val="7"/>
        <color theme="1"/>
        <rFont val="Calibri"/>
        <family val="2"/>
        <scheme val="minor"/>
      </rPr>
      <t xml:space="preserve"> (no bag) </t>
    </r>
    <r>
      <rPr>
        <b/>
        <sz val="10"/>
        <color theme="1"/>
        <rFont val="Calibri"/>
        <family val="2"/>
        <scheme val="minor"/>
      </rPr>
      <t>(g)</t>
    </r>
  </si>
  <si>
    <t>Seed cotton (g)</t>
  </si>
  <si>
    <t>Seed cotton + bag (g)</t>
  </si>
  <si>
    <t>Plastic bag (g)</t>
  </si>
  <si>
    <t>Seed Cotton</t>
  </si>
  <si>
    <t>Seed cotton</t>
  </si>
  <si>
    <t>Calculated:</t>
  </si>
  <si>
    <t>From field:</t>
  </si>
  <si>
    <r>
      <t>Moisture meter reading</t>
    </r>
    <r>
      <rPr>
        <sz val="7"/>
        <color theme="1"/>
        <rFont val="Calibri"/>
        <family val="2"/>
        <scheme val="minor"/>
      </rPr>
      <t xml:space="preserve"> (Not all samples measured due to time constraint)</t>
    </r>
  </si>
  <si>
    <t>date weighed:</t>
  </si>
  <si>
    <t>EASTERN  swaths</t>
  </si>
  <si>
    <t>WESTERN  swaths</t>
  </si>
  <si>
    <t xml:space="preserve">All weights taken on </t>
  </si>
  <si>
    <t>Dried cotton removed from bag &amp; weighed in a tared container.</t>
  </si>
  <si>
    <t xml:space="preserve"> cotton transferred to paper bags and placed in oven. Ziplock bags weighed.</t>
  </si>
  <si>
    <t xml:space="preserve"> cotton transferred to paper bags and placed in oven.</t>
  </si>
  <si>
    <t>After initial weighing of harvested cotton in the bags,</t>
  </si>
  <si>
    <t>Samples taken in the field at harvest time, placed into sealed ziplock bags.</t>
  </si>
  <si>
    <t>Harvest-Seed Cotton Moisture Content</t>
  </si>
  <si>
    <t xml:space="preserve">Cotton </t>
  </si>
  <si>
    <t>F13b4 - lateral move irrigation</t>
  </si>
  <si>
    <t>The statements, recommendations and suggestions herein are based on experiments and information believed to be reliable only with regard to the products and/or processes involved at the time.  No guarantee is made of their accuracy, however, and the information is given without warranty as to its accuracy or reproducibility either expressed or implied, and does not authorize use of the information for purposes of advertisement or product endorsement or certification.  Likewise, no statement contained herein shall be construed as a permission or recommendation for the use of any information, product or process that may infringe any existing patents.  The use of trade names does not constitute endorsement of any product mentioned, nor is permission granted to use the name Cotton Incorporated or any of its trademarks in conjunction with the products involved.</t>
  </si>
  <si>
    <t>None</t>
  </si>
  <si>
    <t>CV%:</t>
  </si>
  <si>
    <t>Std:</t>
  </si>
  <si>
    <t>Avg:</t>
  </si>
  <si>
    <t>990131122090</t>
  </si>
  <si>
    <t>990130732075</t>
  </si>
  <si>
    <t>990130712073</t>
  </si>
  <si>
    <t>990130722074</t>
  </si>
  <si>
    <t>990130622070</t>
  </si>
  <si>
    <t>990130822078</t>
  </si>
  <si>
    <t>990130232055</t>
  </si>
  <si>
    <t>990131142092</t>
  </si>
  <si>
    <t>990130812077</t>
  </si>
  <si>
    <t>990130222054</t>
  </si>
  <si>
    <t>990130342060</t>
  </si>
  <si>
    <t>990131042088</t>
  </si>
  <si>
    <t>990130912081</t>
  </si>
  <si>
    <t>990130512065</t>
  </si>
  <si>
    <t>990130942084</t>
  </si>
  <si>
    <t>990130412061</t>
  </si>
  <si>
    <t>990130532067</t>
  </si>
  <si>
    <t>990130142052</t>
  </si>
  <si>
    <t>990130332059</t>
  </si>
  <si>
    <t>990130642072</t>
  </si>
  <si>
    <t>990130832079</t>
  </si>
  <si>
    <t>990131012085</t>
  </si>
  <si>
    <t>990130522066</t>
  </si>
  <si>
    <t>990130932083</t>
  </si>
  <si>
    <t>990130922082</t>
  </si>
  <si>
    <t>990130542068</t>
  </si>
  <si>
    <t>990130422062</t>
  </si>
  <si>
    <t>990131032087</t>
  </si>
  <si>
    <t>990130612069</t>
  </si>
  <si>
    <t>990130742076</t>
  </si>
  <si>
    <t>991370241108</t>
  </si>
  <si>
    <t>990131021038</t>
  </si>
  <si>
    <t>990131221046</t>
  </si>
  <si>
    <t>990131241048</t>
  </si>
  <si>
    <t>990130921034</t>
  </si>
  <si>
    <t>990130441016</t>
  </si>
  <si>
    <t>990131141044</t>
  </si>
  <si>
    <t>990131011037</t>
  </si>
  <si>
    <t>990130322058</t>
  </si>
  <si>
    <t>991370181104</t>
  </si>
  <si>
    <t>990130321010</t>
  </si>
  <si>
    <t>990130911033</t>
  </si>
  <si>
    <t>990131231047</t>
  </si>
  <si>
    <t>990131041040</t>
  </si>
  <si>
    <t>990131211045</t>
  </si>
  <si>
    <t>990130621022</t>
  </si>
  <si>
    <t>990130132051</t>
  </si>
  <si>
    <t>991370161102</t>
  </si>
  <si>
    <t>990130112049</t>
  </si>
  <si>
    <t>22-2</t>
  </si>
  <si>
    <t>991370231107</t>
  </si>
  <si>
    <t>991370261110</t>
  </si>
  <si>
    <t>32-1</t>
  </si>
  <si>
    <t>991370111097</t>
  </si>
  <si>
    <t>991370171103</t>
  </si>
  <si>
    <t>990130312057</t>
  </si>
  <si>
    <t>990130242056</t>
  </si>
  <si>
    <t>990130122050</t>
  </si>
  <si>
    <t>990130632071</t>
  </si>
  <si>
    <t>990130432063</t>
  </si>
  <si>
    <t>990130442064</t>
  </si>
  <si>
    <t>990130212053</t>
  </si>
  <si>
    <t>991370281112</t>
  </si>
  <si>
    <t>991370271111</t>
  </si>
  <si>
    <t>991370121098</t>
  </si>
  <si>
    <t>991370152117</t>
  </si>
  <si>
    <t>991370182120</t>
  </si>
  <si>
    <t>991370232123</t>
  </si>
  <si>
    <t>990130241008</t>
  </si>
  <si>
    <t>991370122114</t>
  </si>
  <si>
    <t>991370251109</t>
  </si>
  <si>
    <t>991370242124</t>
  </si>
  <si>
    <t>991370212121</t>
  </si>
  <si>
    <t>991370252125</t>
  </si>
  <si>
    <t>991370132115</t>
  </si>
  <si>
    <t>990130121002</t>
  </si>
  <si>
    <t>990130211005</t>
  </si>
  <si>
    <t>991370151101</t>
  </si>
  <si>
    <t>991370162118</t>
  </si>
  <si>
    <t>991370222122</t>
  </si>
  <si>
    <t>991370172119</t>
  </si>
  <si>
    <t>990130231007</t>
  </si>
  <si>
    <t>990131232095</t>
  </si>
  <si>
    <t>990131212093</t>
  </si>
  <si>
    <t>990131022086</t>
  </si>
  <si>
    <t>990131112089</t>
  </si>
  <si>
    <t>990131222094</t>
  </si>
  <si>
    <t>990130842080</t>
  </si>
  <si>
    <t>990131132091</t>
  </si>
  <si>
    <t>990131242096</t>
  </si>
  <si>
    <t>990130431015</t>
  </si>
  <si>
    <t>991370262126</t>
  </si>
  <si>
    <t>991370282128</t>
  </si>
  <si>
    <t>991370211105</t>
  </si>
  <si>
    <t>991370141100</t>
  </si>
  <si>
    <t>991370112113</t>
  </si>
  <si>
    <t>991370142116</t>
  </si>
  <si>
    <t>991370131099</t>
  </si>
  <si>
    <t>990130521018</t>
  </si>
  <si>
    <t>991370221106</t>
  </si>
  <si>
    <t>990130111001</t>
  </si>
  <si>
    <t>990131031039</t>
  </si>
  <si>
    <t>990130831031</t>
  </si>
  <si>
    <t>990131111041</t>
  </si>
  <si>
    <t>990130721026</t>
  </si>
  <si>
    <t>990130931035</t>
  </si>
  <si>
    <t>990130841032</t>
  </si>
  <si>
    <t>990130941036</t>
  </si>
  <si>
    <t>990130531019</t>
  </si>
  <si>
    <t>990130331011</t>
  </si>
  <si>
    <t>990130511017</t>
  </si>
  <si>
    <t>990130811029</t>
  </si>
  <si>
    <t>990130731027</t>
  </si>
  <si>
    <t>990131131043</t>
  </si>
  <si>
    <t>990131121042</t>
  </si>
  <si>
    <t>990130741028</t>
  </si>
  <si>
    <t>990130421014</t>
  </si>
  <si>
    <t>990130711025</t>
  </si>
  <si>
    <t>990130341012</t>
  </si>
  <si>
    <t>990130411013</t>
  </si>
  <si>
    <t>990130221006</t>
  </si>
  <si>
    <t>990130631023</t>
  </si>
  <si>
    <t>990130141004</t>
  </si>
  <si>
    <t>990130821030</t>
  </si>
  <si>
    <t>990130641024</t>
  </si>
  <si>
    <t>990130311009</t>
  </si>
  <si>
    <t>990130611021</t>
  </si>
  <si>
    <t>991370272127</t>
  </si>
  <si>
    <t>990130541020</t>
  </si>
  <si>
    <t>Short
Fiber
Index</t>
  </si>
  <si>
    <t>Area
%</t>
  </si>
  <si>
    <t>Trash
Cnt</t>
  </si>
  <si>
    <t>Color
Grade</t>
  </si>
  <si>
    <t>+b</t>
  </si>
  <si>
    <t>Rd</t>
  </si>
  <si>
    <t>Elo</t>
  </si>
  <si>
    <t>Str</t>
  </si>
  <si>
    <t>UI</t>
  </si>
  <si>
    <t>UHML</t>
  </si>
  <si>
    <t>Mic</t>
  </si>
  <si>
    <t xml:space="preserve">Sample </t>
  </si>
  <si>
    <t>Sample
No</t>
  </si>
  <si>
    <t>High Volume Instrument</t>
  </si>
  <si>
    <t>HVI - Summary</t>
  </si>
  <si>
    <t>Completed:</t>
  </si>
  <si>
    <t>Start Date:</t>
  </si>
  <si>
    <t>USDA-ARS</t>
  </si>
  <si>
    <t>Customer:</t>
  </si>
  <si>
    <t>AG RESEARCH</t>
  </si>
  <si>
    <t>Reference:</t>
  </si>
  <si>
    <t>-None-</t>
  </si>
  <si>
    <t>Assist:</t>
  </si>
  <si>
    <t>Agriculture Research</t>
  </si>
  <si>
    <t>Department:</t>
  </si>
  <si>
    <t>Kelly Thorp</t>
  </si>
  <si>
    <t>Track No:</t>
  </si>
  <si>
    <t>SMITHUHLR</t>
  </si>
  <si>
    <t>WorkBy:</t>
  </si>
  <si>
    <t>BARNESE</t>
  </si>
  <si>
    <t>Submitted:</t>
  </si>
  <si>
    <t>Project:</t>
  </si>
  <si>
    <t>HVI Report</t>
  </si>
  <si>
    <t>Page 1 of 1</t>
  </si>
  <si>
    <t>Cotton Incorporated</t>
  </si>
  <si>
    <t>Wednesday, April 26,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</si>
</sst>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00"/>
    <numFmt numFmtId="167" formatCode="mm/dd/yyyy"/>
    <numFmt numFmtId="168" formatCode="00"/>
    <numFmt numFmtId="169" formatCode="[$-409]d\-mmm;@"/>
    <numFmt numFmtId="170" formatCode="[$-409]d\-mmm\-yy;@"/>
    <numFmt numFmtId="171" formatCode="#.00"/>
    <numFmt numFmtId="172" formatCode="#.0"/>
    <numFmt numFmtId="173" formatCode="#.000"/>
    <numFmt numFmtId="174" formatCode="&quot;Total: &quot;@"/>
  </numFmts>
  <fonts count="84" x14ac:knownFonts="1">
    <font>
      <sz val="11"/>
      <color theme="1"/>
      <name val="Calibri"/>
      <family val="2"/>
      <scheme val="minor"/>
    </font>
    <font>
      <sz val="8"/>
      <name val="Calibri"/>
      <family val="2"/>
      <scheme val="minor"/>
    </font>
    <font>
      <sz val="11"/>
      <color theme="1"/>
      <name val="Calibri"/>
      <family val="2"/>
      <scheme val="minor"/>
    </font>
    <font>
      <sz val="11"/>
      <color theme="1"/>
      <name val="Arial"/>
      <family val="2"/>
    </font>
    <font>
      <b/>
      <sz val="11"/>
      <color theme="1"/>
      <name val="Calibri"/>
      <family val="2"/>
      <scheme val="minor"/>
    </font>
    <font>
      <sz val="11"/>
      <color theme="1"/>
      <name val="Calibri"/>
      <family val="2"/>
    </font>
    <font>
      <sz val="11"/>
      <color theme="8" tint="-0.249977111117893"/>
      <name val="Arial"/>
      <family val="2"/>
    </font>
    <font>
      <sz val="9"/>
      <color theme="1"/>
      <name val="Calibri"/>
      <family val="2"/>
      <scheme val="minor"/>
    </font>
    <font>
      <sz val="10"/>
      <color theme="1"/>
      <name val="Calibri Light"/>
      <family val="2"/>
    </font>
    <font>
      <sz val="8"/>
      <color theme="1"/>
      <name val="Calibri Light"/>
      <family val="2"/>
    </font>
    <font>
      <sz val="9"/>
      <color theme="1"/>
      <name val="Calibri"/>
      <family val="2"/>
    </font>
    <font>
      <b/>
      <sz val="12"/>
      <color theme="1"/>
      <name val="Calibri"/>
      <family val="2"/>
    </font>
    <font>
      <sz val="12"/>
      <color theme="1"/>
      <name val="Calibri Light"/>
      <family val="2"/>
    </font>
    <font>
      <sz val="12"/>
      <color theme="1"/>
      <name val="Arial"/>
      <family val="2"/>
    </font>
    <font>
      <b/>
      <sz val="12"/>
      <color theme="1"/>
      <name val="Calibri Light"/>
      <family val="2"/>
    </font>
    <font>
      <b/>
      <sz val="12"/>
      <color theme="1"/>
      <name val="Arial"/>
      <family val="2"/>
    </font>
    <font>
      <sz val="11"/>
      <name val="Arial"/>
      <family val="2"/>
    </font>
    <font>
      <sz val="8"/>
      <color theme="1"/>
      <name val="Arial"/>
      <family val="2"/>
    </font>
    <font>
      <b/>
      <sz val="11"/>
      <color theme="8" tint="-0.249977111117893"/>
      <name val="Arial"/>
      <family val="2"/>
    </font>
    <font>
      <sz val="8"/>
      <color rgb="FFFF0000"/>
      <name val="Arial"/>
      <family val="2"/>
    </font>
    <font>
      <b/>
      <sz val="9"/>
      <color theme="8" tint="-0.249977111117893"/>
      <name val="Calibri"/>
      <family val="2"/>
    </font>
    <font>
      <sz val="9"/>
      <color theme="8" tint="-0.249977111117893"/>
      <name val="Calibri"/>
      <family val="2"/>
    </font>
    <font>
      <b/>
      <sz val="9"/>
      <color theme="1"/>
      <name val="Calibri"/>
      <family val="2"/>
    </font>
    <font>
      <b/>
      <sz val="10"/>
      <color theme="1"/>
      <name val="Calibri"/>
      <family val="2"/>
      <scheme val="minor"/>
    </font>
    <font>
      <b/>
      <sz val="10"/>
      <color theme="1"/>
      <name val="Calibri"/>
      <family val="2"/>
    </font>
    <font>
      <b/>
      <sz val="8"/>
      <color theme="1"/>
      <name val="Calibri"/>
      <family val="2"/>
    </font>
    <font>
      <b/>
      <sz val="16"/>
      <color theme="1"/>
      <name val="Calibri"/>
      <family val="2"/>
    </font>
    <font>
      <sz val="10"/>
      <color rgb="FFFF0000"/>
      <name val="Calibri"/>
      <family val="2"/>
    </font>
    <font>
      <b/>
      <sz val="10"/>
      <color theme="8" tint="-0.249977111117893"/>
      <name val="Calibri"/>
      <family val="2"/>
    </font>
    <font>
      <sz val="10"/>
      <color rgb="FFFF5757"/>
      <name val="Calibri"/>
      <family val="2"/>
    </font>
    <font>
      <sz val="9"/>
      <color theme="1"/>
      <name val="Arial"/>
      <family val="2"/>
    </font>
    <font>
      <b/>
      <sz val="9"/>
      <color theme="1"/>
      <name val="Calibri"/>
      <family val="2"/>
      <scheme val="minor"/>
    </font>
    <font>
      <sz val="11"/>
      <color theme="0" tint="-4.9989318521683403E-2"/>
      <name val="Arial"/>
      <family val="2"/>
    </font>
    <font>
      <b/>
      <sz val="12"/>
      <color theme="0"/>
      <name val="Calibri"/>
      <family val="2"/>
    </font>
    <font>
      <b/>
      <sz val="11"/>
      <color theme="0"/>
      <name val="Calibri"/>
      <family val="2"/>
    </font>
    <font>
      <b/>
      <sz val="12"/>
      <color theme="0" tint="-4.9989318521683403E-2"/>
      <name val="Calibri"/>
      <family val="2"/>
    </font>
    <font>
      <b/>
      <sz val="12"/>
      <color theme="8" tint="-0.249977111117893"/>
      <name val="Calibri"/>
      <family val="2"/>
    </font>
    <font>
      <sz val="11"/>
      <color theme="8" tint="-0.249977111117893"/>
      <name val="Calibri"/>
      <family val="2"/>
    </font>
    <font>
      <sz val="8"/>
      <color theme="1"/>
      <name val="Calibri"/>
      <family val="2"/>
    </font>
    <font>
      <sz val="16"/>
      <color indexed="8"/>
      <name val="Calibri"/>
      <family val="2"/>
    </font>
    <font>
      <b/>
      <sz val="11"/>
      <color indexed="8"/>
      <name val="Calibri"/>
      <family val="2"/>
    </font>
    <font>
      <b/>
      <sz val="14"/>
      <color theme="1"/>
      <name val="Calibri"/>
      <family val="2"/>
    </font>
    <font>
      <sz val="16"/>
      <color theme="1"/>
      <name val="Calibri"/>
      <family val="2"/>
    </font>
    <font>
      <b/>
      <sz val="9"/>
      <color indexed="8"/>
      <name val="Calibri"/>
      <family val="2"/>
    </font>
    <font>
      <b/>
      <sz val="8"/>
      <color indexed="8"/>
      <name val="Calibri"/>
      <family val="2"/>
    </font>
    <font>
      <sz val="11"/>
      <color theme="0" tint="-4.9989318521683403E-2"/>
      <name val="Calibri"/>
      <family val="2"/>
    </font>
    <font>
      <sz val="8"/>
      <color theme="0" tint="-4.9989318521683403E-2"/>
      <name val="Calibri"/>
      <family val="2"/>
    </font>
    <font>
      <b/>
      <sz val="22"/>
      <color theme="1"/>
      <name val="Calibri"/>
      <family val="2"/>
    </font>
    <font>
      <sz val="14"/>
      <color theme="1"/>
      <name val="Calibri"/>
      <family val="2"/>
    </font>
    <font>
      <sz val="16"/>
      <color theme="1"/>
      <name val="Arial"/>
      <family val="2"/>
    </font>
    <font>
      <sz val="16"/>
      <color indexed="8"/>
      <name val="Arial Narrow"/>
      <family val="2"/>
    </font>
    <font>
      <b/>
      <sz val="11"/>
      <color indexed="8"/>
      <name val="Arial"/>
      <family val="2"/>
    </font>
    <font>
      <b/>
      <sz val="8"/>
      <color rgb="FFC00000"/>
      <name val="Calibri"/>
      <family val="2"/>
    </font>
    <font>
      <b/>
      <sz val="11"/>
      <color indexed="8"/>
      <name val="Arial Narrow"/>
      <family val="2"/>
    </font>
    <font>
      <b/>
      <sz val="8"/>
      <color indexed="8"/>
      <name val="Arial Narrow"/>
      <family val="2"/>
    </font>
    <font>
      <sz val="16"/>
      <color theme="1"/>
      <name val="Calibri"/>
      <family val="2"/>
      <scheme val="minor"/>
    </font>
    <font>
      <sz val="8"/>
      <color theme="0" tint="-4.9989318521683403E-2"/>
      <name val="Arial"/>
      <family val="2"/>
    </font>
    <font>
      <sz val="12"/>
      <color rgb="FFFF0000"/>
      <name val="Calibri"/>
      <family val="2"/>
    </font>
    <font>
      <sz val="14"/>
      <color theme="1"/>
      <name val="Calibri"/>
      <family val="2"/>
      <scheme val="minor"/>
    </font>
    <font>
      <b/>
      <sz val="11"/>
      <color theme="1"/>
      <name val="Arial"/>
      <family val="2"/>
    </font>
    <font>
      <sz val="14"/>
      <color theme="1"/>
      <name val="Arial"/>
      <family val="2"/>
    </font>
    <font>
      <b/>
      <sz val="14"/>
      <color theme="1"/>
      <name val="Calibri"/>
      <family val="2"/>
      <scheme val="minor"/>
    </font>
    <font>
      <b/>
      <sz val="11"/>
      <color rgb="FFFF0000"/>
      <name val="Arial"/>
      <family val="2"/>
    </font>
    <font>
      <b/>
      <sz val="11"/>
      <name val="Arial Narrow"/>
      <family val="2"/>
    </font>
    <font>
      <sz val="7"/>
      <color theme="1"/>
      <name val="Calibri Light"/>
      <family val="2"/>
    </font>
    <font>
      <sz val="11"/>
      <name val="Arial Narrow"/>
      <family val="2"/>
    </font>
    <font>
      <sz val="10"/>
      <name val="Calibri Light"/>
      <family val="2"/>
    </font>
    <font>
      <sz val="7"/>
      <color rgb="FFFF0000"/>
      <name val="Calibri Light"/>
      <family val="2"/>
    </font>
    <font>
      <sz val="8"/>
      <name val="Calibri"/>
      <family val="2"/>
    </font>
    <font>
      <b/>
      <sz val="14"/>
      <name val="Calibri"/>
      <family val="2"/>
    </font>
    <font>
      <sz val="11"/>
      <color theme="0"/>
      <name val="Arial"/>
      <family val="2"/>
    </font>
    <font>
      <b/>
      <sz val="11"/>
      <color theme="0"/>
      <name val="Arial Narrow"/>
      <family val="2"/>
    </font>
    <font>
      <b/>
      <sz val="7"/>
      <color theme="1"/>
      <name val="Calibri"/>
      <family val="2"/>
      <scheme val="minor"/>
    </font>
    <font>
      <b/>
      <sz val="7"/>
      <color theme="1"/>
      <name val="Calibri"/>
      <family val="2"/>
    </font>
    <font>
      <sz val="7"/>
      <color theme="1"/>
      <name val="Calibri"/>
      <family val="2"/>
      <scheme val="minor"/>
    </font>
    <font>
      <i/>
      <sz val="11"/>
      <color theme="1"/>
      <name val="Calibri"/>
      <family val="2"/>
      <scheme val="minor"/>
    </font>
    <font>
      <sz val="9"/>
      <color theme="0"/>
      <name val="Calibri"/>
      <family val="2"/>
      <scheme val="minor"/>
    </font>
    <font>
      <sz val="9"/>
      <name val="Calibri"/>
      <family val="2"/>
      <scheme val="minor"/>
    </font>
    <font>
      <sz val="8"/>
      <color theme="1"/>
      <name val="Calibri"/>
      <family val="2"/>
      <scheme val="minor"/>
    </font>
    <font>
      <b/>
      <sz val="18"/>
      <color theme="1"/>
      <name val="Calibri"/>
      <family val="2"/>
      <scheme val="minor"/>
    </font>
    <font>
      <sz val="8"/>
      <color theme="0"/>
      <name val="Calibri"/>
      <family val="2"/>
      <scheme val="minor"/>
    </font>
    <font>
      <b/>
      <sz val="18"/>
      <color theme="0"/>
      <name val="Calibri"/>
      <family val="2"/>
      <scheme val="minor"/>
    </font>
    <font>
      <sz val="8"/>
      <color rgb="FF000000"/>
      <name val="Trebuchet MS"/>
    </font>
    <font>
      <sz val="14"/>
      <color rgb="FF000000"/>
      <name val="Trebuchet MS"/>
    </font>
  </fonts>
  <fills count="14">
    <fill>
      <patternFill patternType="none"/>
    </fill>
    <fill>
      <patternFill patternType="gray125"/>
    </fill>
    <fill>
      <patternFill patternType="solid">
        <fgColor rgb="FFFFFF00"/>
        <bgColor indexed="64"/>
      </patternFill>
    </fill>
    <fill>
      <patternFill patternType="solid">
        <fgColor theme="9" tint="0.59996337778862885"/>
        <bgColor indexed="64"/>
      </patternFill>
    </fill>
    <fill>
      <patternFill patternType="solid">
        <fgColor theme="4" tint="0.59996337778862885"/>
        <bgColor indexed="64"/>
      </patternFill>
    </fill>
    <fill>
      <patternFill patternType="solid">
        <fgColor rgb="FFFEB8D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theme="4" tint="-0.249977111117893"/>
        <bgColor indexed="64"/>
      </patternFill>
    </fill>
    <fill>
      <patternFill patternType="solid">
        <fgColor theme="0"/>
        <bgColor indexed="64"/>
      </patternFill>
    </fill>
    <fill>
      <patternFill patternType="solid">
        <fgColor rgb="FFFF6161"/>
        <bgColor indexed="64"/>
      </patternFill>
    </fill>
    <fill>
      <patternFill patternType="solid">
        <fgColor theme="4" tint="0.39997558519241921"/>
        <bgColor indexed="64"/>
      </patternFill>
    </fill>
    <fill>
      <patternFill patternType="solid">
        <fgColor rgb="FFD3D3D3"/>
      </patternFill>
    </fill>
  </fills>
  <borders count="63">
    <border>
      <left/>
      <right/>
      <top/>
      <bottom/>
      <diagonal/>
    </border>
    <border>
      <left/>
      <right/>
      <top/>
      <bottom style="thick">
        <color theme="8" tint="-0.24994659260841701"/>
      </bottom>
      <diagonal/>
    </border>
    <border>
      <left style="thin">
        <color theme="2" tint="-0.499984740745262"/>
      </left>
      <right style="thin">
        <color theme="2" tint="-0.499984740745262"/>
      </right>
      <top style="thin">
        <color theme="2" tint="-0.499984740745262"/>
      </top>
      <bottom style="thick">
        <color theme="8" tint="-0.24994659260841701"/>
      </bottom>
      <diagonal/>
    </border>
    <border>
      <left style="medium">
        <color theme="2" tint="-0.499984740745262"/>
      </left>
      <right style="medium">
        <color theme="2" tint="-0.499984740745262"/>
      </right>
      <top style="thin">
        <color theme="2" tint="-0.499984740745262"/>
      </top>
      <bottom style="medium">
        <color theme="2" tint="-0.499984740745262"/>
      </bottom>
      <diagonal/>
    </border>
    <border>
      <left/>
      <right style="thin">
        <color theme="2" tint="-0.499984740745262"/>
      </right>
      <top style="thin">
        <color theme="2" tint="-0.499984740745262"/>
      </top>
      <bottom style="thick">
        <color theme="8" tint="-0.24994659260841701"/>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right style="thin">
        <color theme="2" tint="-0.499984740745262"/>
      </right>
      <top style="medium">
        <color theme="2" tint="-0.499984740745262"/>
      </top>
      <bottom style="thin">
        <color theme="2" tint="-0.499984740745262"/>
      </bottom>
      <diagonal/>
    </border>
    <border>
      <left/>
      <right/>
      <top style="medium">
        <color theme="2" tint="-0.499984740745262"/>
      </top>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right/>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right style="thin">
        <color theme="2" tint="-0.499984740745262"/>
      </right>
      <top/>
      <bottom style="thin">
        <color theme="2" tint="-0.499984740745262"/>
      </bottom>
      <diagonal/>
    </border>
    <border>
      <left style="thin">
        <color theme="1" tint="0.499984740745262"/>
      </left>
      <right/>
      <top/>
      <bottom/>
      <diagonal/>
    </border>
    <border>
      <left style="thin">
        <color theme="1" tint="0.499984740745262"/>
      </left>
      <right style="thin">
        <color theme="1" tint="0.499984740745262"/>
      </right>
      <top style="thin">
        <color theme="1" tint="0.499984740745262"/>
      </top>
      <bottom style="thick">
        <color theme="4" tint="-0.499984740745262"/>
      </bottom>
      <diagonal/>
    </border>
    <border>
      <left/>
      <right style="thin">
        <color theme="1" tint="0.499984740745262"/>
      </right>
      <top style="thin">
        <color theme="1" tint="0.499984740745262"/>
      </top>
      <bottom style="thick">
        <color theme="4" tint="-0.499984740745262"/>
      </bottom>
      <diagonal/>
    </border>
    <border>
      <left/>
      <right/>
      <top style="thin">
        <color theme="1" tint="0.499984740745262"/>
      </top>
      <bottom style="thick">
        <color theme="4"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bottom style="thin">
        <color theme="1" tint="0.499984740745262"/>
      </bottom>
      <diagonal/>
    </border>
    <border>
      <left/>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1" tint="0.499984740745262"/>
      </left>
      <right/>
      <top style="medium">
        <color theme="1" tint="0.499984740745262"/>
      </top>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right style="thin">
        <color theme="1" tint="0.499984740745262"/>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style="thin">
        <color theme="1" tint="0.499984740745262"/>
      </left>
      <right/>
      <top/>
      <bottom style="thick">
        <color theme="4" tint="-0.499984740745262"/>
      </bottom>
      <diagonal/>
    </border>
    <border>
      <left style="thin">
        <color theme="2" tint="-0.499984740745262"/>
      </left>
      <right/>
      <top/>
      <bottom style="thick">
        <color theme="4" tint="-0.499984740745262"/>
      </bottom>
      <diagonal/>
    </border>
    <border>
      <left style="thin">
        <color theme="2" tint="-0.499984740745262"/>
      </left>
      <right style="thin">
        <color theme="2" tint="-0.499984740745262"/>
      </right>
      <top style="thin">
        <color theme="2" tint="-0.499984740745262"/>
      </top>
      <bottom style="thick">
        <color theme="4" tint="-0.499984740745262"/>
      </bottom>
      <diagonal/>
    </border>
    <border>
      <left/>
      <right style="thin">
        <color theme="2" tint="-0.499984740745262"/>
      </right>
      <top style="thin">
        <color theme="2" tint="-0.499984740745262"/>
      </top>
      <bottom style="thick">
        <color theme="4" tint="-0.499984740745262"/>
      </bottom>
      <diagonal/>
    </border>
    <border>
      <left/>
      <right/>
      <top/>
      <bottom style="thick">
        <color theme="4" tint="-0.499984740745262"/>
      </bottom>
      <diagonal/>
    </border>
    <border>
      <left style="thin">
        <color theme="2" tint="-0.499984740745262"/>
      </left>
      <right style="thin">
        <color theme="2" tint="-0.499984740745262"/>
      </right>
      <top/>
      <bottom style="medium">
        <color theme="2" tint="-0.499984740745262"/>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style="medium">
        <color theme="2" tint="-0.499984740745262"/>
      </top>
      <bottom/>
      <diagonal/>
    </border>
    <border>
      <left/>
      <right/>
      <top style="thin">
        <color theme="2" tint="-0.499984740745262"/>
      </top>
      <bottom style="medium">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top style="medium">
        <color theme="2" tint="-0.499984740745262"/>
      </top>
      <bottom style="thin">
        <color theme="2" tint="-0.499984740745262"/>
      </bottom>
      <diagonal/>
    </border>
    <border>
      <left style="medium">
        <color theme="2" tint="-0.499984740745262"/>
      </left>
      <right style="medium">
        <color theme="2" tint="-0.499984740745262"/>
      </right>
      <top/>
      <bottom style="thin">
        <color theme="2" tint="-0.499984740745262"/>
      </bottom>
      <diagonal/>
    </border>
    <border>
      <left style="medium">
        <color theme="2" tint="-0.499984740745262"/>
      </left>
      <right style="medium">
        <color theme="2" tint="-0.499984740745262"/>
      </right>
      <top style="medium">
        <color theme="2" tint="-0.499984740745262"/>
      </top>
      <bottom style="thick">
        <color rgb="FFFF0000"/>
      </bottom>
      <diagonal/>
    </border>
    <border>
      <left style="medium">
        <color theme="2" tint="-0.499984740745262"/>
      </left>
      <right style="medium">
        <color theme="2" tint="-0.499984740745262"/>
      </right>
      <top style="medium">
        <color theme="2" tint="-0.499984740745262"/>
      </top>
      <bottom/>
      <diagonal/>
    </border>
    <border>
      <left style="medium">
        <color theme="2" tint="-0.499984740745262"/>
      </left>
      <right style="medium">
        <color theme="2" tint="-0.499984740745262"/>
      </right>
      <top style="thin">
        <color theme="2" tint="-0.499984740745262"/>
      </top>
      <bottom style="thick">
        <color rgb="FFFF0000"/>
      </bottom>
      <diagonal/>
    </border>
    <border>
      <left style="thin">
        <color theme="1" tint="0.499984740745262"/>
      </left>
      <right style="thin">
        <color theme="1" tint="0.499984740745262"/>
      </right>
      <top style="thick">
        <color rgb="FFFF0000"/>
      </top>
      <bottom style="thin">
        <color theme="1" tint="0.499984740745262"/>
      </bottom>
      <diagonal/>
    </border>
    <border>
      <left style="medium">
        <color theme="2" tint="-0.499984740745262"/>
      </left>
      <right style="medium">
        <color theme="2" tint="-0.499984740745262"/>
      </right>
      <top style="thin">
        <color theme="2" tint="-0.499984740745262"/>
      </top>
      <bottom/>
      <diagonal/>
    </border>
    <border>
      <left style="thin">
        <color theme="1" tint="0.499984740745262"/>
      </left>
      <right style="thin">
        <color theme="1" tint="0.499984740745262"/>
      </right>
      <top style="thin">
        <color theme="1" tint="0.499984740745262"/>
      </top>
      <bottom style="thick">
        <color rgb="FFFF0000"/>
      </bottom>
      <diagonal/>
    </border>
    <border>
      <left/>
      <right/>
      <top/>
      <bottom style="thick">
        <color rgb="FFFF0000"/>
      </bottom>
      <diagonal/>
    </border>
    <border>
      <left style="medium">
        <color theme="2" tint="-0.499984740745262"/>
      </left>
      <right/>
      <top/>
      <bottom/>
      <diagonal/>
    </border>
    <border>
      <left/>
      <right/>
      <top/>
      <bottom style="thin">
        <color theme="2" tint="-0.499984740745262"/>
      </bottom>
      <diagonal/>
    </border>
    <border>
      <left/>
      <right style="thin">
        <color auto="1"/>
      </right>
      <top/>
      <bottom style="thin">
        <color auto="1"/>
      </bottom>
      <diagonal/>
    </border>
    <border>
      <left/>
      <right/>
      <top/>
      <bottom style="thin">
        <color auto="1"/>
      </bottom>
      <diagonal/>
    </border>
    <border>
      <left/>
      <right style="thin">
        <color auto="1"/>
      </right>
      <top/>
      <bottom/>
      <diagonal/>
    </border>
    <border>
      <left/>
      <right style="medium">
        <color theme="2" tint="-0.499984740745262"/>
      </right>
      <top style="thin">
        <color theme="2" tint="-0.499984740745262"/>
      </top>
      <bottom style="thin">
        <color theme="2" tint="-0.499984740745262"/>
      </bottom>
      <diagonal/>
    </border>
    <border>
      <left style="medium">
        <color theme="2" tint="-0.499984740745262"/>
      </left>
      <right/>
      <top style="thin">
        <color theme="2" tint="-0.499984740745262"/>
      </top>
      <bottom style="thin">
        <color theme="2" tint="-0.499984740745262"/>
      </bottom>
      <diagonal/>
    </border>
    <border>
      <left/>
      <right style="thin">
        <color auto="1"/>
      </right>
      <top style="thin">
        <color auto="1"/>
      </top>
      <bottom/>
      <diagonal/>
    </border>
    <border>
      <left/>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3" fillId="0" borderId="0"/>
    <xf numFmtId="0" fontId="2" fillId="0" borderId="0"/>
  </cellStyleXfs>
  <cellXfs count="423">
    <xf numFmtId="0" fontId="0" fillId="0" borderId="0" xfId="0"/>
    <xf numFmtId="49" fontId="0" fillId="0" borderId="0" xfId="0" quotePrefix="1" applyNumberFormat="1"/>
    <xf numFmtId="49" fontId="0" fillId="0" borderId="0" xfId="0" applyNumberFormat="1"/>
    <xf numFmtId="164" fontId="0" fillId="0" borderId="0" xfId="0" applyNumberFormat="1"/>
    <xf numFmtId="2" fontId="0" fillId="0" borderId="0" xfId="0" applyNumberFormat="1"/>
    <xf numFmtId="0" fontId="0" fillId="2" borderId="0" xfId="0" applyFill="1"/>
    <xf numFmtId="164" fontId="0" fillId="2" borderId="0" xfId="0" applyNumberFormat="1" applyFill="1"/>
    <xf numFmtId="2" fontId="0" fillId="2" borderId="0" xfId="0" applyNumberFormat="1" applyFill="1"/>
    <xf numFmtId="165" fontId="0" fillId="2" borderId="0" xfId="0" applyNumberFormat="1" applyFill="1"/>
    <xf numFmtId="165" fontId="0" fillId="0" borderId="0" xfId="0" applyNumberFormat="1"/>
    <xf numFmtId="1" fontId="0" fillId="0" borderId="0" xfId="0" applyNumberFormat="1"/>
    <xf numFmtId="166" fontId="0" fillId="2" borderId="0" xfId="0" applyNumberFormat="1" applyFill="1"/>
    <xf numFmtId="1" fontId="0" fillId="2" borderId="0" xfId="0" applyNumberFormat="1" applyFill="1"/>
    <xf numFmtId="166" fontId="0" fillId="0" borderId="0" xfId="0" applyNumberFormat="1"/>
    <xf numFmtId="167" fontId="0" fillId="2" borderId="0" xfId="0" applyNumberFormat="1" applyFill="1"/>
    <xf numFmtId="167" fontId="0" fillId="0" borderId="0" xfId="0" applyNumberFormat="1"/>
    <xf numFmtId="49" fontId="0" fillId="2" borderId="0" xfId="0" applyNumberFormat="1" applyFill="1"/>
    <xf numFmtId="14" fontId="0" fillId="2" borderId="0" xfId="0" applyNumberFormat="1" applyFill="1"/>
    <xf numFmtId="0" fontId="3" fillId="0" borderId="0" xfId="1"/>
    <xf numFmtId="0" fontId="6" fillId="0" borderId="0" xfId="1" applyFont="1" applyAlignment="1">
      <alignment horizontal="center" vertical="center"/>
    </xf>
    <xf numFmtId="0" fontId="6" fillId="0" borderId="0" xfId="1" applyFont="1"/>
    <xf numFmtId="0" fontId="7" fillId="0" borderId="0" xfId="1" applyFont="1" applyAlignment="1">
      <alignment horizontal="center"/>
    </xf>
    <xf numFmtId="0" fontId="3" fillId="0" borderId="0" xfId="1" applyAlignment="1">
      <alignment horizontal="center" vertical="center"/>
    </xf>
    <xf numFmtId="164" fontId="3" fillId="0" borderId="0" xfId="1" applyNumberFormat="1"/>
    <xf numFmtId="2" fontId="3" fillId="0" borderId="0" xfId="1" applyNumberFormat="1"/>
    <xf numFmtId="0" fontId="3" fillId="0" borderId="0" xfId="1" applyAlignment="1">
      <alignment horizontal="right"/>
    </xf>
    <xf numFmtId="168" fontId="8" fillId="0" borderId="0" xfId="1" applyNumberFormat="1" applyFont="1" applyAlignment="1">
      <alignment horizontal="right" vertical="center"/>
    </xf>
    <xf numFmtId="164" fontId="3" fillId="0" borderId="0" xfId="1" applyNumberFormat="1" applyAlignment="1">
      <alignment horizontal="center" vertical="center"/>
    </xf>
    <xf numFmtId="2" fontId="9" fillId="0" borderId="0" xfId="1" applyNumberFormat="1" applyFont="1" applyAlignment="1">
      <alignment horizontal="right" vertical="center"/>
    </xf>
    <xf numFmtId="0" fontId="10" fillId="0" borderId="0" xfId="1" applyFont="1" applyAlignment="1">
      <alignment horizontal="right" vertical="center"/>
    </xf>
    <xf numFmtId="0" fontId="11" fillId="0" borderId="0" xfId="1" applyFont="1" applyAlignment="1">
      <alignment horizontal="right" vertical="center"/>
    </xf>
    <xf numFmtId="0" fontId="11" fillId="0" borderId="0" xfId="1" applyFont="1" applyAlignment="1">
      <alignment horizontal="left" vertical="center"/>
    </xf>
    <xf numFmtId="168" fontId="11" fillId="0" borderId="0" xfId="1" applyNumberFormat="1" applyFont="1" applyAlignment="1">
      <alignment horizontal="right" vertical="center"/>
    </xf>
    <xf numFmtId="164" fontId="6" fillId="0" borderId="1" xfId="1" applyNumberFormat="1" applyFont="1" applyBorder="1" applyAlignment="1">
      <alignment horizontal="center" vertical="center"/>
    </xf>
    <xf numFmtId="164" fontId="3" fillId="0" borderId="2" xfId="1" applyNumberFormat="1" applyBorder="1" applyAlignment="1">
      <alignment horizontal="center" vertical="center"/>
    </xf>
    <xf numFmtId="168" fontId="10" fillId="0" borderId="3" xfId="1" applyNumberFormat="1" applyFont="1" applyBorder="1" applyAlignment="1">
      <alignment horizontal="center" vertical="center"/>
    </xf>
    <xf numFmtId="168" fontId="10" fillId="3" borderId="3" xfId="1" applyNumberFormat="1" applyFont="1" applyFill="1" applyBorder="1" applyAlignment="1">
      <alignment horizontal="center" vertical="center"/>
    </xf>
    <xf numFmtId="0" fontId="10" fillId="0" borderId="4" xfId="1" applyFont="1" applyBorder="1" applyAlignment="1">
      <alignment horizontal="center" vertical="center"/>
    </xf>
    <xf numFmtId="0" fontId="11" fillId="0" borderId="1" xfId="1" applyFont="1" applyBorder="1" applyAlignment="1">
      <alignment horizontal="left" vertical="center"/>
    </xf>
    <xf numFmtId="168" fontId="11" fillId="0" borderId="1" xfId="1" applyNumberFormat="1" applyFont="1" applyBorder="1" applyAlignment="1">
      <alignment horizontal="right" vertical="center"/>
    </xf>
    <xf numFmtId="168" fontId="12" fillId="0" borderId="0" xfId="1" applyNumberFormat="1" applyFont="1" applyAlignment="1">
      <alignment horizontal="right" vertical="center"/>
    </xf>
    <xf numFmtId="164" fontId="3" fillId="0" borderId="5" xfId="1" applyNumberFormat="1" applyBorder="1" applyAlignment="1">
      <alignment horizontal="center" vertical="center"/>
    </xf>
    <xf numFmtId="168" fontId="10" fillId="0" borderId="6" xfId="1" applyNumberFormat="1" applyFont="1" applyBorder="1" applyAlignment="1">
      <alignment horizontal="center" vertical="center"/>
    </xf>
    <xf numFmtId="168" fontId="10" fillId="3" borderId="6" xfId="1" applyNumberFormat="1" applyFont="1" applyFill="1" applyBorder="1" applyAlignment="1">
      <alignment horizontal="center" vertical="center"/>
    </xf>
    <xf numFmtId="0" fontId="10" fillId="0" borderId="7" xfId="1" applyFont="1" applyBorder="1" applyAlignment="1">
      <alignment horizontal="center" vertical="center"/>
    </xf>
    <xf numFmtId="164" fontId="6" fillId="0" borderId="0" xfId="1" applyNumberFormat="1" applyFont="1" applyAlignment="1">
      <alignment horizontal="center" vertical="center"/>
    </xf>
    <xf numFmtId="164" fontId="3" fillId="0" borderId="8" xfId="1" applyNumberFormat="1" applyBorder="1" applyAlignment="1">
      <alignment horizontal="center" vertical="center"/>
    </xf>
    <xf numFmtId="168" fontId="10" fillId="0" borderId="9" xfId="1" applyNumberFormat="1" applyFont="1" applyBorder="1" applyAlignment="1">
      <alignment horizontal="center" vertical="center"/>
    </xf>
    <xf numFmtId="168" fontId="10" fillId="3" borderId="9" xfId="1" applyNumberFormat="1" applyFont="1" applyFill="1" applyBorder="1" applyAlignment="1">
      <alignment horizontal="center" vertical="center"/>
    </xf>
    <xf numFmtId="0" fontId="10" fillId="0" borderId="10" xfId="1" applyFont="1" applyBorder="1" applyAlignment="1">
      <alignment horizontal="center" vertical="center"/>
    </xf>
    <xf numFmtId="0" fontId="11" fillId="0" borderId="11" xfId="1" applyFont="1" applyBorder="1" applyAlignment="1">
      <alignment horizontal="left" vertical="center"/>
    </xf>
    <xf numFmtId="168" fontId="11" fillId="0" borderId="11" xfId="1" applyNumberFormat="1" applyFont="1" applyBorder="1" applyAlignment="1">
      <alignment horizontal="right" vertical="center"/>
    </xf>
    <xf numFmtId="164" fontId="3" fillId="0" borderId="12" xfId="1" applyNumberFormat="1" applyBorder="1" applyAlignment="1">
      <alignment horizontal="center" vertical="center"/>
    </xf>
    <xf numFmtId="0" fontId="10" fillId="0" borderId="13" xfId="1" applyFont="1" applyBorder="1" applyAlignment="1">
      <alignment horizontal="center" vertical="center"/>
    </xf>
    <xf numFmtId="0" fontId="11" fillId="0" borderId="14" xfId="1" applyFont="1" applyBorder="1" applyAlignment="1">
      <alignment horizontal="left" vertical="center"/>
    </xf>
    <xf numFmtId="168" fontId="11" fillId="0" borderId="14" xfId="1" applyNumberFormat="1" applyFont="1" applyBorder="1" applyAlignment="1">
      <alignment horizontal="right" vertical="center"/>
    </xf>
    <xf numFmtId="0" fontId="13" fillId="0" borderId="0" xfId="1" applyFont="1" applyAlignment="1">
      <alignment horizontal="right"/>
    </xf>
    <xf numFmtId="164" fontId="3" fillId="0" borderId="15" xfId="1" applyNumberFormat="1" applyBorder="1" applyAlignment="1">
      <alignment horizontal="center" vertical="center"/>
    </xf>
    <xf numFmtId="0" fontId="10" fillId="0" borderId="16" xfId="1" applyFont="1" applyBorder="1" applyAlignment="1">
      <alignment horizontal="center" vertical="center"/>
    </xf>
    <xf numFmtId="0" fontId="6" fillId="0" borderId="1" xfId="1" applyFont="1" applyBorder="1" applyAlignment="1">
      <alignment horizontal="center" vertical="center"/>
    </xf>
    <xf numFmtId="168" fontId="10" fillId="4" borderId="3" xfId="1" applyNumberFormat="1" applyFont="1" applyFill="1" applyBorder="1" applyAlignment="1">
      <alignment horizontal="center" vertical="center"/>
    </xf>
    <xf numFmtId="168" fontId="10" fillId="4" borderId="6" xfId="1" applyNumberFormat="1" applyFont="1" applyFill="1" applyBorder="1" applyAlignment="1">
      <alignment horizontal="center" vertical="center"/>
    </xf>
    <xf numFmtId="168" fontId="10" fillId="4" borderId="9" xfId="1" applyNumberFormat="1" applyFont="1" applyFill="1" applyBorder="1" applyAlignment="1">
      <alignment horizontal="center" vertical="center"/>
    </xf>
    <xf numFmtId="168" fontId="14" fillId="0" borderId="0" xfId="1" applyNumberFormat="1" applyFont="1" applyAlignment="1">
      <alignment horizontal="right" vertical="center"/>
    </xf>
    <xf numFmtId="0" fontId="15" fillId="0" borderId="0" xfId="1" applyFont="1" applyAlignment="1">
      <alignment horizontal="right"/>
    </xf>
    <xf numFmtId="0" fontId="3" fillId="0" borderId="0" xfId="1" applyAlignment="1">
      <alignment wrapText="1"/>
    </xf>
    <xf numFmtId="164" fontId="16" fillId="0" borderId="0" xfId="1" applyNumberFormat="1" applyFont="1" applyAlignment="1">
      <alignment horizontal="center" vertical="center"/>
    </xf>
    <xf numFmtId="164" fontId="16" fillId="0" borderId="2" xfId="1" applyNumberFormat="1" applyFont="1" applyBorder="1" applyAlignment="1">
      <alignment horizontal="center" vertical="center"/>
    </xf>
    <xf numFmtId="0" fontId="6" fillId="0" borderId="17" xfId="1" applyFont="1" applyBorder="1" applyAlignment="1">
      <alignment horizontal="center" vertical="center"/>
    </xf>
    <xf numFmtId="164" fontId="3" fillId="0" borderId="18" xfId="1" quotePrefix="1" applyNumberFormat="1" applyBorder="1" applyAlignment="1">
      <alignment horizontal="center" vertical="center"/>
    </xf>
    <xf numFmtId="164" fontId="3" fillId="0" borderId="18" xfId="1" applyNumberFormat="1" applyBorder="1" applyAlignment="1">
      <alignment horizontal="center" vertical="center"/>
    </xf>
    <xf numFmtId="1" fontId="11" fillId="5" borderId="19" xfId="1" applyNumberFormat="1" applyFont="1" applyFill="1" applyBorder="1" applyAlignment="1">
      <alignment horizontal="left" vertical="center"/>
    </xf>
    <xf numFmtId="168" fontId="11" fillId="5" borderId="20" xfId="1" applyNumberFormat="1" applyFont="1" applyFill="1" applyBorder="1" applyAlignment="1">
      <alignment horizontal="right" vertical="center"/>
    </xf>
    <xf numFmtId="164" fontId="3" fillId="0" borderId="21" xfId="1" applyNumberFormat="1" applyBorder="1" applyAlignment="1">
      <alignment horizontal="center" vertical="center"/>
    </xf>
    <xf numFmtId="1" fontId="11" fillId="5" borderId="22" xfId="1" applyNumberFormat="1" applyFont="1" applyFill="1" applyBorder="1" applyAlignment="1">
      <alignment horizontal="left" vertical="center"/>
    </xf>
    <xf numFmtId="168" fontId="11" fillId="5" borderId="23" xfId="1" applyNumberFormat="1" applyFont="1" applyFill="1" applyBorder="1" applyAlignment="1">
      <alignment horizontal="right" vertical="center"/>
    </xf>
    <xf numFmtId="0" fontId="15" fillId="5" borderId="23" xfId="1" applyFont="1" applyFill="1" applyBorder="1" applyAlignment="1">
      <alignment horizontal="right"/>
    </xf>
    <xf numFmtId="164" fontId="3" fillId="0" borderId="24" xfId="1" applyNumberFormat="1" applyBorder="1" applyAlignment="1">
      <alignment horizontal="center" vertical="center"/>
    </xf>
    <xf numFmtId="1" fontId="11" fillId="5" borderId="25" xfId="1" applyNumberFormat="1" applyFont="1" applyFill="1" applyBorder="1" applyAlignment="1">
      <alignment horizontal="left" vertical="center"/>
    </xf>
    <xf numFmtId="168" fontId="11" fillId="5" borderId="26" xfId="1" applyNumberFormat="1" applyFont="1" applyFill="1" applyBorder="1" applyAlignment="1">
      <alignment horizontal="right" vertical="center"/>
    </xf>
    <xf numFmtId="164" fontId="3" fillId="0" borderId="27" xfId="1" applyNumberFormat="1" applyBorder="1" applyAlignment="1">
      <alignment horizontal="center" vertical="center"/>
    </xf>
    <xf numFmtId="0" fontId="17" fillId="6" borderId="21" xfId="1" applyFont="1" applyFill="1" applyBorder="1" applyAlignment="1">
      <alignment horizontal="center" vertical="center" wrapText="1"/>
    </xf>
    <xf numFmtId="164" fontId="3" fillId="0" borderId="12" xfId="1" quotePrefix="1" applyNumberFormat="1" applyBorder="1" applyAlignment="1">
      <alignment horizontal="center" vertical="center"/>
    </xf>
    <xf numFmtId="0" fontId="6" fillId="0" borderId="28" xfId="1" applyFont="1" applyBorder="1" applyAlignment="1">
      <alignment horizontal="center" vertical="center"/>
    </xf>
    <xf numFmtId="164" fontId="17" fillId="6" borderId="29" xfId="1" applyNumberFormat="1" applyFont="1" applyFill="1" applyBorder="1" applyAlignment="1">
      <alignment horizontal="center" vertical="center" wrapText="1"/>
    </xf>
    <xf numFmtId="164" fontId="3" fillId="0" borderId="29" xfId="1" applyNumberFormat="1" applyBorder="1" applyAlignment="1">
      <alignment horizontal="center" vertical="center"/>
    </xf>
    <xf numFmtId="1" fontId="11" fillId="5" borderId="30" xfId="1" applyNumberFormat="1" applyFont="1" applyFill="1" applyBorder="1" applyAlignment="1">
      <alignment horizontal="left" vertical="center"/>
    </xf>
    <xf numFmtId="168" fontId="11" fillId="5" borderId="31" xfId="1" applyNumberFormat="1" applyFont="1" applyFill="1" applyBorder="1" applyAlignment="1">
      <alignment horizontal="right" vertical="center"/>
    </xf>
    <xf numFmtId="2" fontId="3" fillId="0" borderId="0" xfId="1" quotePrefix="1" applyNumberFormat="1"/>
    <xf numFmtId="0" fontId="3" fillId="0" borderId="0" xfId="1" applyAlignment="1">
      <alignment horizontal="left"/>
    </xf>
    <xf numFmtId="0" fontId="6" fillId="0" borderId="32" xfId="1" applyFont="1" applyBorder="1" applyAlignment="1">
      <alignment horizontal="center" vertical="center"/>
    </xf>
    <xf numFmtId="1" fontId="11" fillId="7" borderId="19" xfId="1" applyNumberFormat="1" applyFont="1" applyFill="1" applyBorder="1" applyAlignment="1">
      <alignment horizontal="left" vertical="center"/>
    </xf>
    <xf numFmtId="168" fontId="11" fillId="7" borderId="20" xfId="1" applyNumberFormat="1" applyFont="1" applyFill="1" applyBorder="1" applyAlignment="1">
      <alignment horizontal="right" vertical="center"/>
    </xf>
    <xf numFmtId="2" fontId="16" fillId="0" borderId="0" xfId="1" quotePrefix="1" applyNumberFormat="1" applyFont="1"/>
    <xf numFmtId="1" fontId="11" fillId="7" borderId="22" xfId="1" applyNumberFormat="1" applyFont="1" applyFill="1" applyBorder="1" applyAlignment="1">
      <alignment horizontal="left" vertical="center"/>
    </xf>
    <xf numFmtId="168" fontId="11" fillId="7" borderId="23" xfId="1" applyNumberFormat="1" applyFont="1" applyFill="1" applyBorder="1" applyAlignment="1">
      <alignment horizontal="right" vertical="center"/>
    </xf>
    <xf numFmtId="0" fontId="15" fillId="7" borderId="23" xfId="1" applyFont="1" applyFill="1" applyBorder="1" applyAlignment="1">
      <alignment horizontal="right"/>
    </xf>
    <xf numFmtId="1" fontId="11" fillId="7" borderId="25" xfId="1" applyNumberFormat="1" applyFont="1" applyFill="1" applyBorder="1" applyAlignment="1">
      <alignment horizontal="left" vertical="center"/>
    </xf>
    <xf numFmtId="168" fontId="11" fillId="7" borderId="26" xfId="1" applyNumberFormat="1" applyFont="1" applyFill="1" applyBorder="1" applyAlignment="1">
      <alignment horizontal="right" vertical="center"/>
    </xf>
    <xf numFmtId="164" fontId="18" fillId="0" borderId="33" xfId="1" applyNumberFormat="1" applyFont="1" applyBorder="1" applyAlignment="1">
      <alignment horizontal="center" vertical="center"/>
    </xf>
    <xf numFmtId="164" fontId="3" fillId="0" borderId="34" xfId="1" applyNumberFormat="1" applyBorder="1" applyAlignment="1">
      <alignment horizontal="center" vertical="center"/>
    </xf>
    <xf numFmtId="0" fontId="10" fillId="0" borderId="35" xfId="1" applyFont="1" applyBorder="1" applyAlignment="1">
      <alignment horizontal="center" vertical="center"/>
    </xf>
    <xf numFmtId="0" fontId="11" fillId="0" borderId="36" xfId="1" applyFont="1" applyBorder="1" applyAlignment="1">
      <alignment horizontal="left" vertical="center"/>
    </xf>
    <xf numFmtId="168" fontId="11" fillId="0" borderId="36" xfId="1" applyNumberFormat="1" applyFont="1" applyBorder="1" applyAlignment="1">
      <alignment horizontal="right" vertical="center"/>
    </xf>
    <xf numFmtId="164" fontId="3" fillId="0" borderId="5" xfId="1" quotePrefix="1" applyNumberFormat="1" applyBorder="1" applyAlignment="1">
      <alignment horizontal="center" vertical="center"/>
    </xf>
    <xf numFmtId="1" fontId="11" fillId="7" borderId="30" xfId="1" applyNumberFormat="1" applyFont="1" applyFill="1" applyBorder="1" applyAlignment="1">
      <alignment horizontal="left" vertical="center"/>
    </xf>
    <xf numFmtId="168" fontId="11" fillId="7" borderId="31" xfId="1" applyNumberFormat="1" applyFont="1" applyFill="1" applyBorder="1" applyAlignment="1">
      <alignment horizontal="right" vertical="center"/>
    </xf>
    <xf numFmtId="0" fontId="19" fillId="0" borderId="0" xfId="1" applyFont="1" applyAlignment="1">
      <alignment horizontal="left" vertical="center"/>
    </xf>
    <xf numFmtId="164" fontId="19" fillId="0" borderId="0" xfId="1" applyNumberFormat="1" applyFont="1" applyAlignment="1">
      <alignment horizontal="left" vertical="center"/>
    </xf>
    <xf numFmtId="0" fontId="20" fillId="0" borderId="0" xfId="1" applyFont="1" applyAlignment="1">
      <alignment horizontal="center" vertical="center" wrapText="1"/>
    </xf>
    <xf numFmtId="0" fontId="22" fillId="0" borderId="0" xfId="1" applyFont="1" applyAlignment="1">
      <alignment horizontal="center" vertical="center" wrapText="1"/>
    </xf>
    <xf numFmtId="164" fontId="22" fillId="0" borderId="0" xfId="1" applyNumberFormat="1" applyFont="1" applyAlignment="1">
      <alignment horizontal="center" vertical="center" wrapText="1"/>
    </xf>
    <xf numFmtId="0" fontId="11" fillId="0" borderId="0" xfId="1" applyFont="1" applyAlignment="1">
      <alignment horizontal="center"/>
    </xf>
    <xf numFmtId="0" fontId="23" fillId="0" borderId="0" xfId="1" applyFont="1" applyAlignment="1">
      <alignment horizontal="center"/>
    </xf>
    <xf numFmtId="0" fontId="24" fillId="0" borderId="0" xfId="1" applyFont="1" applyAlignment="1">
      <alignment horizontal="center"/>
    </xf>
    <xf numFmtId="0" fontId="25" fillId="0" borderId="0" xfId="1" applyFont="1" applyAlignment="1">
      <alignment horizontal="center"/>
    </xf>
    <xf numFmtId="164" fontId="26" fillId="0" borderId="0" xfId="1" applyNumberFormat="1" applyFont="1" applyAlignment="1">
      <alignment horizontal="center" vertical="center" wrapText="1"/>
    </xf>
    <xf numFmtId="2" fontId="26" fillId="0" borderId="0" xfId="1" applyNumberFormat="1" applyFont="1" applyAlignment="1">
      <alignment horizontal="center"/>
    </xf>
    <xf numFmtId="0" fontId="26" fillId="0" borderId="0" xfId="1" applyFont="1" applyAlignment="1">
      <alignment horizontal="left"/>
    </xf>
    <xf numFmtId="0" fontId="24" fillId="0" borderId="0" xfId="1" applyFont="1" applyAlignment="1">
      <alignment horizontal="right"/>
    </xf>
    <xf numFmtId="0" fontId="10" fillId="0" borderId="0" xfId="1" applyFont="1" applyAlignment="1">
      <alignment horizontal="center"/>
    </xf>
    <xf numFmtId="164" fontId="11" fillId="0" borderId="0" xfId="1" applyNumberFormat="1" applyFont="1" applyAlignment="1">
      <alignment horizontal="center"/>
    </xf>
    <xf numFmtId="0" fontId="24" fillId="0" borderId="0" xfId="1" applyFont="1" applyAlignment="1">
      <alignment horizontal="left"/>
    </xf>
    <xf numFmtId="164" fontId="24" fillId="0" borderId="0" xfId="1" applyNumberFormat="1" applyFont="1" applyAlignment="1">
      <alignment horizontal="center"/>
    </xf>
    <xf numFmtId="0" fontId="21" fillId="0" borderId="0" xfId="1" applyFont="1" applyAlignment="1">
      <alignment horizontal="center"/>
    </xf>
    <xf numFmtId="15" fontId="24" fillId="0" borderId="0" xfId="1" applyNumberFormat="1" applyFont="1" applyAlignment="1">
      <alignment horizontal="center" wrapText="1"/>
    </xf>
    <xf numFmtId="164" fontId="24" fillId="0" borderId="0" xfId="1" applyNumberFormat="1" applyFont="1" applyAlignment="1">
      <alignment horizontal="center" wrapText="1"/>
    </xf>
    <xf numFmtId="0" fontId="27" fillId="0" borderId="0" xfId="1" applyFont="1" applyAlignment="1">
      <alignment horizontal="left"/>
    </xf>
    <xf numFmtId="15" fontId="28" fillId="0" borderId="0" xfId="1" applyNumberFormat="1" applyFont="1" applyAlignment="1">
      <alignment horizontal="center" wrapText="1"/>
    </xf>
    <xf numFmtId="164" fontId="3" fillId="0" borderId="0" xfId="1" applyNumberFormat="1" applyAlignment="1">
      <alignment horizontal="center"/>
    </xf>
    <xf numFmtId="0" fontId="29" fillId="0" borderId="0" xfId="1" applyFont="1" applyAlignment="1">
      <alignment horizontal="left"/>
    </xf>
    <xf numFmtId="0" fontId="3" fillId="0" borderId="0" xfId="1" applyAlignment="1">
      <alignment horizontal="center" wrapText="1"/>
    </xf>
    <xf numFmtId="0" fontId="30" fillId="0" borderId="0" xfId="1" applyFont="1" applyAlignment="1">
      <alignment horizontal="center" wrapText="1"/>
    </xf>
    <xf numFmtId="0" fontId="3" fillId="0" borderId="0" xfId="1" applyAlignment="1">
      <alignment horizontal="center" vertical="center" wrapText="1"/>
    </xf>
    <xf numFmtId="0" fontId="7" fillId="0" borderId="0" xfId="1" applyFont="1" applyAlignment="1">
      <alignment horizontal="center" vertical="center" wrapText="1"/>
    </xf>
    <xf numFmtId="0" fontId="11" fillId="0" borderId="0" xfId="1" applyFont="1" applyAlignment="1">
      <alignment horizontal="left"/>
    </xf>
    <xf numFmtId="0" fontId="11" fillId="0" borderId="0" xfId="1" applyFont="1" applyAlignment="1">
      <alignment horizontal="center" vertical="center"/>
    </xf>
    <xf numFmtId="15" fontId="11" fillId="0" borderId="0" xfId="1" applyNumberFormat="1" applyFont="1" applyAlignment="1">
      <alignment horizontal="left"/>
    </xf>
    <xf numFmtId="164" fontId="6" fillId="0" borderId="0" xfId="1" applyNumberFormat="1" applyFont="1"/>
    <xf numFmtId="0" fontId="31" fillId="0" borderId="0" xfId="1" applyFont="1" applyAlignment="1">
      <alignment horizontal="center" vertical="center"/>
    </xf>
    <xf numFmtId="0" fontId="32" fillId="8" borderId="0" xfId="1" applyFont="1" applyFill="1"/>
    <xf numFmtId="164" fontId="33" fillId="9" borderId="0" xfId="1" applyNumberFormat="1" applyFont="1" applyFill="1" applyAlignment="1">
      <alignment horizontal="left"/>
    </xf>
    <xf numFmtId="0" fontId="33" fillId="9" borderId="0" xfId="1" applyFont="1" applyFill="1" applyAlignment="1">
      <alignment horizontal="center"/>
    </xf>
    <xf numFmtId="0" fontId="3" fillId="9" borderId="0" xfId="1" applyFill="1"/>
    <xf numFmtId="0" fontId="34" fillId="9" borderId="0" xfId="1" applyFont="1" applyFill="1" applyAlignment="1">
      <alignment horizontal="left" vertical="center"/>
    </xf>
    <xf numFmtId="164" fontId="35" fillId="8" borderId="0" xfId="1" applyNumberFormat="1" applyFont="1" applyFill="1" applyAlignment="1">
      <alignment horizontal="left"/>
    </xf>
    <xf numFmtId="0" fontId="35" fillId="8" borderId="0" xfId="1" applyFont="1" applyFill="1" applyAlignment="1">
      <alignment horizontal="right"/>
    </xf>
    <xf numFmtId="0" fontId="35" fillId="8" borderId="0" xfId="1" applyFont="1" applyFill="1" applyAlignment="1">
      <alignment horizontal="center" vertical="center"/>
    </xf>
    <xf numFmtId="0" fontId="35" fillId="8" borderId="0" xfId="1" applyFont="1" applyFill="1" applyAlignment="1">
      <alignment horizontal="center"/>
    </xf>
    <xf numFmtId="0" fontId="35" fillId="8" borderId="0" xfId="1" applyFont="1" applyFill="1" applyAlignment="1">
      <alignment horizontal="left" vertical="center"/>
    </xf>
    <xf numFmtId="0" fontId="35" fillId="8" borderId="0" xfId="1" applyFont="1" applyFill="1"/>
    <xf numFmtId="0" fontId="6" fillId="2" borderId="0" xfId="1" applyFont="1" applyFill="1"/>
    <xf numFmtId="0" fontId="3" fillId="2" borderId="0" xfId="1" applyFill="1"/>
    <xf numFmtId="164" fontId="11" fillId="2" borderId="0" xfId="1" applyNumberFormat="1" applyFont="1" applyFill="1" applyAlignment="1">
      <alignment horizontal="left"/>
    </xf>
    <xf numFmtId="0" fontId="31" fillId="2" borderId="0" xfId="1" applyFont="1" applyFill="1" applyAlignment="1">
      <alignment horizontal="center"/>
    </xf>
    <xf numFmtId="0" fontId="11" fillId="2" borderId="0" xfId="1" applyFont="1" applyFill="1" applyAlignment="1">
      <alignment horizontal="center" vertical="center"/>
    </xf>
    <xf numFmtId="0" fontId="11" fillId="2" borderId="0" xfId="1" applyFont="1" applyFill="1" applyAlignment="1">
      <alignment horizontal="center"/>
    </xf>
    <xf numFmtId="0" fontId="11" fillId="2" borderId="0" xfId="1" applyFont="1" applyFill="1" applyAlignment="1">
      <alignment horizontal="left" vertical="center"/>
    </xf>
    <xf numFmtId="0" fontId="11" fillId="2" borderId="0" xfId="1" applyFont="1" applyFill="1"/>
    <xf numFmtId="164" fontId="11" fillId="0" borderId="0" xfId="1" applyNumberFormat="1" applyFont="1" applyAlignment="1">
      <alignment horizontal="left"/>
    </xf>
    <xf numFmtId="0" fontId="11" fillId="0" borderId="0" xfId="1" applyFont="1"/>
    <xf numFmtId="0" fontId="11" fillId="0" borderId="0" xfId="1" applyFont="1" applyAlignment="1">
      <alignment horizontal="right"/>
    </xf>
    <xf numFmtId="0" fontId="31" fillId="0" borderId="0" xfId="1" applyFont="1" applyAlignment="1">
      <alignment horizontal="center"/>
    </xf>
    <xf numFmtId="49" fontId="11" fillId="0" borderId="0" xfId="1" applyNumberFormat="1" applyFont="1" applyAlignment="1">
      <alignment horizontal="left" vertical="center"/>
    </xf>
    <xf numFmtId="0" fontId="36" fillId="0" borderId="0" xfId="1" applyFont="1" applyAlignment="1">
      <alignment horizontal="left"/>
    </xf>
    <xf numFmtId="0" fontId="5" fillId="0" borderId="0" xfId="1" applyFont="1"/>
    <xf numFmtId="0" fontId="5" fillId="0" borderId="0" xfId="1" applyFont="1" applyAlignment="1">
      <alignment vertical="center"/>
    </xf>
    <xf numFmtId="0" fontId="5" fillId="0" borderId="0" xfId="1" applyFont="1" applyAlignment="1">
      <alignment horizontal="center" vertical="center"/>
    </xf>
    <xf numFmtId="0" fontId="37" fillId="0" borderId="17" xfId="1" applyFont="1" applyBorder="1" applyAlignment="1">
      <alignment horizontal="center" vertical="center"/>
    </xf>
    <xf numFmtId="164" fontId="5" fillId="0" borderId="18" xfId="1" quotePrefix="1" applyNumberFormat="1" applyFont="1" applyBorder="1" applyAlignment="1">
      <alignment horizontal="center" vertical="center"/>
    </xf>
    <xf numFmtId="164" fontId="5" fillId="0" borderId="21" xfId="1" applyNumberFormat="1" applyFont="1" applyBorder="1" applyAlignment="1">
      <alignment horizontal="center" vertical="center"/>
    </xf>
    <xf numFmtId="164" fontId="5" fillId="0" borderId="24" xfId="1" applyNumberFormat="1" applyFont="1" applyBorder="1" applyAlignment="1">
      <alignment horizontal="center" vertical="center"/>
    </xf>
    <xf numFmtId="164" fontId="5" fillId="0" borderId="27" xfId="1" applyNumberFormat="1" applyFont="1" applyBorder="1" applyAlignment="1">
      <alignment horizontal="center" vertical="center"/>
    </xf>
    <xf numFmtId="2" fontId="39" fillId="0" borderId="3" xfId="1" applyNumberFormat="1" applyFont="1" applyBorder="1" applyAlignment="1">
      <alignment horizontal="center" vertical="center" wrapText="1"/>
    </xf>
    <xf numFmtId="0" fontId="40" fillId="0" borderId="3" xfId="1" applyFont="1" applyBorder="1" applyAlignment="1">
      <alignment horizontal="center" wrapText="1"/>
    </xf>
    <xf numFmtId="0" fontId="38" fillId="0" borderId="40" xfId="1" applyFont="1" applyBorder="1" applyAlignment="1">
      <alignment horizontal="center" vertical="center"/>
    </xf>
    <xf numFmtId="0" fontId="41" fillId="0" borderId="40" xfId="1" applyFont="1" applyBorder="1" applyAlignment="1">
      <alignment horizontal="left" vertical="center"/>
    </xf>
    <xf numFmtId="168" fontId="41" fillId="0" borderId="40" xfId="1" applyNumberFormat="1" applyFont="1" applyBorder="1" applyAlignment="1">
      <alignment horizontal="right" vertical="center"/>
    </xf>
    <xf numFmtId="2" fontId="39" fillId="0" borderId="41" xfId="1" applyNumberFormat="1" applyFont="1" applyBorder="1" applyAlignment="1">
      <alignment horizontal="center" vertical="center" wrapText="1"/>
    </xf>
    <xf numFmtId="0" fontId="40" fillId="0" borderId="41" xfId="1" applyFont="1" applyBorder="1" applyAlignment="1">
      <alignment horizontal="center" wrapText="1"/>
    </xf>
    <xf numFmtId="0" fontId="38" fillId="0" borderId="42" xfId="1" applyFont="1" applyBorder="1" applyAlignment="1">
      <alignment horizontal="center" vertical="center"/>
    </xf>
    <xf numFmtId="0" fontId="41" fillId="0" borderId="42" xfId="1" applyFont="1" applyBorder="1" applyAlignment="1">
      <alignment horizontal="left" vertical="center"/>
    </xf>
    <xf numFmtId="168" fontId="41" fillId="0" borderId="42" xfId="1" applyNumberFormat="1" applyFont="1" applyBorder="1" applyAlignment="1">
      <alignment horizontal="right" vertical="center"/>
    </xf>
    <xf numFmtId="2" fontId="39" fillId="0" borderId="9" xfId="1" applyNumberFormat="1" applyFont="1" applyBorder="1" applyAlignment="1">
      <alignment horizontal="center" vertical="center" wrapText="1"/>
    </xf>
    <xf numFmtId="0" fontId="40" fillId="0" borderId="9" xfId="1" applyFont="1" applyBorder="1" applyAlignment="1">
      <alignment horizontal="center" wrapText="1"/>
    </xf>
    <xf numFmtId="0" fontId="38" fillId="0" borderId="43" xfId="1" applyFont="1" applyBorder="1" applyAlignment="1">
      <alignment horizontal="center" vertical="center"/>
    </xf>
    <xf numFmtId="0" fontId="41" fillId="0" borderId="43" xfId="1" applyFont="1" applyBorder="1" applyAlignment="1">
      <alignment horizontal="left" vertical="center"/>
    </xf>
    <xf numFmtId="168" fontId="41" fillId="0" borderId="43" xfId="1" applyNumberFormat="1" applyFont="1" applyBorder="1" applyAlignment="1">
      <alignment horizontal="right" vertical="center"/>
    </xf>
    <xf numFmtId="2" fontId="42" fillId="0" borderId="18" xfId="1" applyNumberFormat="1" applyFont="1" applyBorder="1" applyAlignment="1">
      <alignment horizontal="center" vertical="center"/>
    </xf>
    <xf numFmtId="2" fontId="42" fillId="0" borderId="21" xfId="1" applyNumberFormat="1" applyFont="1" applyBorder="1" applyAlignment="1">
      <alignment horizontal="center" vertical="center"/>
    </xf>
    <xf numFmtId="0" fontId="11" fillId="5" borderId="23" xfId="1" applyFont="1" applyFill="1" applyBorder="1" applyAlignment="1">
      <alignment horizontal="right" vertical="center"/>
    </xf>
    <xf numFmtId="0" fontId="11" fillId="7" borderId="23" xfId="1" applyFont="1" applyFill="1" applyBorder="1" applyAlignment="1">
      <alignment horizontal="right" vertical="center"/>
    </xf>
    <xf numFmtId="2" fontId="42" fillId="0" borderId="24" xfId="1" applyNumberFormat="1" applyFont="1" applyBorder="1" applyAlignment="1">
      <alignment horizontal="center" vertical="center"/>
    </xf>
    <xf numFmtId="2" fontId="42" fillId="0" borderId="29" xfId="1" applyNumberFormat="1" applyFont="1" applyBorder="1" applyAlignment="1">
      <alignment horizontal="center" vertical="center"/>
    </xf>
    <xf numFmtId="2" fontId="39" fillId="6" borderId="41" xfId="1" applyNumberFormat="1" applyFont="1" applyFill="1" applyBorder="1" applyAlignment="1">
      <alignment horizontal="center" vertical="center" wrapText="1"/>
    </xf>
    <xf numFmtId="0" fontId="40" fillId="6" borderId="41" xfId="1" applyFont="1" applyFill="1" applyBorder="1" applyAlignment="1">
      <alignment horizontal="center" wrapText="1"/>
    </xf>
    <xf numFmtId="0" fontId="22" fillId="6" borderId="42" xfId="1" applyFont="1" applyFill="1" applyBorder="1" applyAlignment="1">
      <alignment horizontal="center" vertical="center" wrapText="1"/>
    </xf>
    <xf numFmtId="0" fontId="41" fillId="6" borderId="42" xfId="1" applyFont="1" applyFill="1" applyBorder="1" applyAlignment="1">
      <alignment horizontal="left" vertical="center"/>
    </xf>
    <xf numFmtId="168" fontId="41" fillId="6" borderId="42" xfId="1" applyNumberFormat="1" applyFont="1" applyFill="1" applyBorder="1" applyAlignment="1">
      <alignment horizontal="right" vertical="center"/>
    </xf>
    <xf numFmtId="0" fontId="43" fillId="0" borderId="0" xfId="1" applyFont="1" applyAlignment="1">
      <alignment horizontal="center" vertical="center" wrapText="1"/>
    </xf>
    <xf numFmtId="0" fontId="44" fillId="0" borderId="0" xfId="1" applyFont="1" applyAlignment="1">
      <alignment horizontal="center" vertical="center" wrapText="1"/>
    </xf>
    <xf numFmtId="0" fontId="24" fillId="0" borderId="0" xfId="1" applyFont="1" applyAlignment="1">
      <alignment horizontal="center" vertical="center"/>
    </xf>
    <xf numFmtId="0" fontId="10" fillId="0" borderId="0" xfId="1" applyFont="1"/>
    <xf numFmtId="0" fontId="10" fillId="0" borderId="0" xfId="1" applyFont="1" applyAlignment="1">
      <alignment horizontal="center" vertical="center"/>
    </xf>
    <xf numFmtId="0" fontId="10" fillId="0" borderId="0" xfId="1" applyFont="1" applyAlignment="1">
      <alignment vertical="center"/>
    </xf>
    <xf numFmtId="0" fontId="45" fillId="9" borderId="0" xfId="1" applyFont="1" applyFill="1"/>
    <xf numFmtId="0" fontId="35" fillId="9" borderId="0" xfId="1" applyFont="1" applyFill="1" applyAlignment="1">
      <alignment horizontal="right"/>
    </xf>
    <xf numFmtId="0" fontId="5" fillId="9" borderId="0" xfId="1" applyFont="1" applyFill="1"/>
    <xf numFmtId="0" fontId="45" fillId="8" borderId="0" xfId="1" applyFont="1" applyFill="1"/>
    <xf numFmtId="0" fontId="46" fillId="8" borderId="0" xfId="1" applyFont="1" applyFill="1"/>
    <xf numFmtId="0" fontId="5" fillId="2" borderId="0" xfId="1" applyFont="1" applyFill="1"/>
    <xf numFmtId="0" fontId="38" fillId="2" borderId="0" xfId="1" applyFont="1" applyFill="1"/>
    <xf numFmtId="0" fontId="11" fillId="2" borderId="0" xfId="1" applyFont="1" applyFill="1" applyAlignment="1">
      <alignment horizontal="right" vertical="center"/>
    </xf>
    <xf numFmtId="0" fontId="38" fillId="0" borderId="0" xfId="1" applyFont="1"/>
    <xf numFmtId="0" fontId="47" fillId="0" borderId="0" xfId="1" applyFont="1"/>
    <xf numFmtId="0" fontId="38" fillId="0" borderId="0" xfId="1" applyFont="1" applyAlignment="1">
      <alignment vertical="center"/>
    </xf>
    <xf numFmtId="0" fontId="41" fillId="0" borderId="0" xfId="1" applyFont="1"/>
    <xf numFmtId="0" fontId="48" fillId="0" borderId="0" xfId="1" applyFont="1" applyAlignment="1">
      <alignment horizontal="right"/>
    </xf>
    <xf numFmtId="0" fontId="48" fillId="0" borderId="0" xfId="1" applyFont="1"/>
    <xf numFmtId="0" fontId="41" fillId="0" borderId="0" xfId="1" applyFont="1" applyAlignment="1">
      <alignment horizontal="center"/>
    </xf>
    <xf numFmtId="0" fontId="49" fillId="0" borderId="0" xfId="1" applyFont="1" applyAlignment="1">
      <alignment vertical="center"/>
    </xf>
    <xf numFmtId="0" fontId="2" fillId="0" borderId="0" xfId="1" applyFont="1"/>
    <xf numFmtId="0" fontId="3" fillId="10" borderId="0" xfId="1" applyFill="1"/>
    <xf numFmtId="2" fontId="50" fillId="10" borderId="3" xfId="1" applyNumberFormat="1" applyFont="1" applyFill="1" applyBorder="1" applyAlignment="1">
      <alignment horizontal="center" vertical="center" wrapText="1"/>
    </xf>
    <xf numFmtId="0" fontId="51" fillId="10" borderId="3" xfId="1" applyFont="1" applyFill="1" applyBorder="1" applyAlignment="1">
      <alignment horizontal="center" wrapText="1"/>
    </xf>
    <xf numFmtId="0" fontId="38" fillId="10" borderId="40" xfId="1" applyFont="1" applyFill="1" applyBorder="1" applyAlignment="1">
      <alignment horizontal="center" vertical="center"/>
    </xf>
    <xf numFmtId="0" fontId="41" fillId="10" borderId="40" xfId="1" applyFont="1" applyFill="1" applyBorder="1" applyAlignment="1">
      <alignment horizontal="left" vertical="center"/>
    </xf>
    <xf numFmtId="168" fontId="41" fillId="10" borderId="40" xfId="1" applyNumberFormat="1" applyFont="1" applyFill="1" applyBorder="1" applyAlignment="1">
      <alignment horizontal="right" vertical="center"/>
    </xf>
    <xf numFmtId="0" fontId="2" fillId="10" borderId="0" xfId="1" applyFont="1" applyFill="1"/>
    <xf numFmtId="2" fontId="50" fillId="10" borderId="41" xfId="1" applyNumberFormat="1" applyFont="1" applyFill="1" applyBorder="1" applyAlignment="1">
      <alignment horizontal="center" vertical="center" wrapText="1"/>
    </xf>
    <xf numFmtId="0" fontId="51" fillId="10" borderId="41" xfId="1" applyFont="1" applyFill="1" applyBorder="1" applyAlignment="1">
      <alignment horizontal="center" wrapText="1"/>
    </xf>
    <xf numFmtId="0" fontId="38" fillId="10" borderId="42" xfId="1" applyFont="1" applyFill="1" applyBorder="1" applyAlignment="1">
      <alignment horizontal="center" vertical="center"/>
    </xf>
    <xf numFmtId="0" fontId="41" fillId="10" borderId="42" xfId="1" applyFont="1" applyFill="1" applyBorder="1" applyAlignment="1">
      <alignment horizontal="left" vertical="center"/>
    </xf>
    <xf numFmtId="168" fontId="41" fillId="10" borderId="42" xfId="1" applyNumberFormat="1" applyFont="1" applyFill="1" applyBorder="1" applyAlignment="1">
      <alignment horizontal="right" vertical="center"/>
    </xf>
    <xf numFmtId="2" fontId="50" fillId="10" borderId="9" xfId="1" applyNumberFormat="1" applyFont="1" applyFill="1" applyBorder="1" applyAlignment="1">
      <alignment horizontal="center" vertical="center" wrapText="1"/>
    </xf>
    <xf numFmtId="0" fontId="51" fillId="10" borderId="9" xfId="1" applyFont="1" applyFill="1" applyBorder="1" applyAlignment="1">
      <alignment horizontal="center" wrapText="1"/>
    </xf>
    <xf numFmtId="0" fontId="38" fillId="10" borderId="43" xfId="1" applyFont="1" applyFill="1" applyBorder="1" applyAlignment="1">
      <alignment horizontal="center" vertical="center"/>
    </xf>
    <xf numFmtId="0" fontId="41" fillId="10" borderId="43" xfId="1" applyFont="1" applyFill="1" applyBorder="1" applyAlignment="1">
      <alignment horizontal="left" vertical="center"/>
    </xf>
    <xf numFmtId="168" fontId="41" fillId="10" borderId="43" xfId="1" applyNumberFormat="1" applyFont="1" applyFill="1" applyBorder="1" applyAlignment="1">
      <alignment horizontal="right" vertical="center"/>
    </xf>
    <xf numFmtId="2" fontId="50" fillId="10" borderId="44" xfId="1" applyNumberFormat="1" applyFont="1" applyFill="1" applyBorder="1" applyAlignment="1">
      <alignment horizontal="center" vertical="center" wrapText="1"/>
    </xf>
    <xf numFmtId="2" fontId="50" fillId="10" borderId="45" xfId="1" applyNumberFormat="1" applyFont="1" applyFill="1" applyBorder="1" applyAlignment="1">
      <alignment horizontal="center" vertical="center" wrapText="1"/>
    </xf>
    <xf numFmtId="2" fontId="3" fillId="0" borderId="18" xfId="1" applyNumberFormat="1" applyBorder="1" applyAlignment="1">
      <alignment horizontal="center" vertical="center"/>
    </xf>
    <xf numFmtId="2" fontId="3" fillId="0" borderId="21" xfId="1" applyNumberFormat="1" applyBorder="1" applyAlignment="1">
      <alignment horizontal="center" vertical="center"/>
    </xf>
    <xf numFmtId="2" fontId="3" fillId="0" borderId="24" xfId="1" applyNumberFormat="1" applyBorder="1" applyAlignment="1">
      <alignment horizontal="center" vertical="center"/>
    </xf>
    <xf numFmtId="2" fontId="3" fillId="0" borderId="29" xfId="1" applyNumberFormat="1" applyBorder="1" applyAlignment="1">
      <alignment horizontal="center" vertical="center"/>
    </xf>
    <xf numFmtId="2" fontId="50" fillId="10" borderId="46" xfId="1" applyNumberFormat="1" applyFont="1" applyFill="1" applyBorder="1" applyAlignment="1">
      <alignment horizontal="center" vertical="center" wrapText="1"/>
    </xf>
    <xf numFmtId="2" fontId="50" fillId="10" borderId="47" xfId="1" applyNumberFormat="1" applyFont="1" applyFill="1" applyBorder="1" applyAlignment="1">
      <alignment horizontal="center" vertical="center" wrapText="1"/>
    </xf>
    <xf numFmtId="2" fontId="3" fillId="10" borderId="48" xfId="1" applyNumberFormat="1" applyFill="1" applyBorder="1" applyAlignment="1">
      <alignment horizontal="center" vertical="center"/>
    </xf>
    <xf numFmtId="2" fontId="50" fillId="10" borderId="49" xfId="1" applyNumberFormat="1" applyFont="1" applyFill="1" applyBorder="1" applyAlignment="1">
      <alignment horizontal="center" vertical="center" wrapText="1"/>
    </xf>
    <xf numFmtId="2" fontId="3" fillId="10" borderId="50" xfId="1" applyNumberFormat="1" applyFill="1" applyBorder="1" applyAlignment="1">
      <alignment horizontal="center" vertical="center"/>
    </xf>
    <xf numFmtId="2" fontId="50" fillId="6" borderId="47" xfId="1" applyNumberFormat="1" applyFont="1" applyFill="1" applyBorder="1" applyAlignment="1">
      <alignment horizontal="center" vertical="center" wrapText="1"/>
    </xf>
    <xf numFmtId="0" fontId="51" fillId="6" borderId="41" xfId="1" applyFont="1" applyFill="1" applyBorder="1" applyAlignment="1">
      <alignment horizontal="center" wrapText="1"/>
    </xf>
    <xf numFmtId="0" fontId="52" fillId="6" borderId="42" xfId="1" applyFont="1" applyFill="1" applyBorder="1" applyAlignment="1">
      <alignment horizontal="center" vertical="center" wrapText="1"/>
    </xf>
    <xf numFmtId="0" fontId="3" fillId="0" borderId="0" xfId="1" applyAlignment="1">
      <alignment vertical="center"/>
    </xf>
    <xf numFmtId="0" fontId="53" fillId="0" borderId="0" xfId="1" applyFont="1" applyAlignment="1">
      <alignment horizontal="center" vertical="center" wrapText="1"/>
    </xf>
    <xf numFmtId="0" fontId="54" fillId="0" borderId="0" xfId="1" applyFont="1" applyAlignment="1">
      <alignment horizontal="center" vertical="center" wrapText="1"/>
    </xf>
    <xf numFmtId="0" fontId="2" fillId="0" borderId="0" xfId="1" applyFont="1" applyAlignment="1">
      <alignment vertical="center"/>
    </xf>
    <xf numFmtId="0" fontId="7" fillId="0" borderId="0" xfId="1" applyFont="1"/>
    <xf numFmtId="0" fontId="7" fillId="0" borderId="0" xfId="1" applyFont="1" applyAlignment="1">
      <alignment horizontal="center" vertical="center"/>
    </xf>
    <xf numFmtId="0" fontId="30" fillId="0" borderId="0" xfId="1" applyFont="1"/>
    <xf numFmtId="0" fontId="55" fillId="0" borderId="0" xfId="1" applyFont="1" applyAlignment="1">
      <alignment vertical="center"/>
    </xf>
    <xf numFmtId="0" fontId="32" fillId="9" borderId="0" xfId="1" applyFont="1" applyFill="1"/>
    <xf numFmtId="0" fontId="3" fillId="8" borderId="0" xfId="1" applyFill="1"/>
    <xf numFmtId="0" fontId="56" fillId="8" borderId="0" xfId="1" applyFont="1" applyFill="1"/>
    <xf numFmtId="0" fontId="55" fillId="0" borderId="0" xfId="1" quotePrefix="1" applyFont="1" applyAlignment="1">
      <alignment horizontal="left" vertical="center"/>
    </xf>
    <xf numFmtId="0" fontId="11" fillId="10" borderId="51" xfId="1" applyFont="1" applyFill="1" applyBorder="1" applyAlignment="1">
      <alignment horizontal="left" vertical="center"/>
    </xf>
    <xf numFmtId="0" fontId="57" fillId="10" borderId="51" xfId="1" applyFont="1" applyFill="1" applyBorder="1"/>
    <xf numFmtId="0" fontId="58" fillId="0" borderId="0" xfId="1" applyFont="1" applyAlignment="1">
      <alignment horizontal="right"/>
    </xf>
    <xf numFmtId="0" fontId="3" fillId="10" borderId="0" xfId="1" applyFill="1" applyAlignment="1">
      <alignment vertical="center"/>
    </xf>
    <xf numFmtId="0" fontId="17" fillId="10" borderId="0" xfId="1" applyFont="1" applyFill="1"/>
    <xf numFmtId="164" fontId="11" fillId="10" borderId="0" xfId="1" applyNumberFormat="1" applyFont="1" applyFill="1" applyAlignment="1">
      <alignment horizontal="left"/>
    </xf>
    <xf numFmtId="0" fontId="26" fillId="10" borderId="0" xfId="1" applyFont="1" applyFill="1" applyAlignment="1">
      <alignment horizontal="right" vertical="center"/>
    </xf>
    <xf numFmtId="0" fontId="11" fillId="10" borderId="0" xfId="1" applyFont="1" applyFill="1" applyAlignment="1">
      <alignment horizontal="center" vertical="center"/>
    </xf>
    <xf numFmtId="0" fontId="11" fillId="10" borderId="0" xfId="1" applyFont="1" applyFill="1" applyAlignment="1">
      <alignment horizontal="center"/>
    </xf>
    <xf numFmtId="0" fontId="11" fillId="10" borderId="0" xfId="1" applyFont="1" applyFill="1" applyAlignment="1">
      <alignment horizontal="left" vertical="center"/>
    </xf>
    <xf numFmtId="0" fontId="11" fillId="10" borderId="0" xfId="1" applyFont="1" applyFill="1"/>
    <xf numFmtId="0" fontId="3" fillId="2" borderId="0" xfId="1" applyFill="1" applyAlignment="1">
      <alignment vertical="center"/>
    </xf>
    <xf numFmtId="0" fontId="17" fillId="2" borderId="0" xfId="1" applyFont="1" applyFill="1"/>
    <xf numFmtId="0" fontId="26" fillId="2" borderId="0" xfId="1" applyFont="1" applyFill="1" applyAlignment="1">
      <alignment horizontal="right" vertical="center"/>
    </xf>
    <xf numFmtId="0" fontId="59" fillId="0" borderId="0" xfId="1" applyFont="1"/>
    <xf numFmtId="0" fontId="17" fillId="0" borderId="0" xfId="1" applyFont="1"/>
    <xf numFmtId="0" fontId="41" fillId="0" borderId="0" xfId="1" applyFont="1" applyAlignment="1">
      <alignment horizontal="center" vertical="center"/>
    </xf>
    <xf numFmtId="0" fontId="58" fillId="0" borderId="0" xfId="1" applyFont="1"/>
    <xf numFmtId="0" fontId="60" fillId="0" borderId="0" xfId="1" applyFont="1"/>
    <xf numFmtId="0" fontId="2" fillId="0" borderId="0" xfId="1" applyFont="1" applyAlignment="1">
      <alignment horizontal="center" vertical="center"/>
    </xf>
    <xf numFmtId="0" fontId="26" fillId="0" borderId="0" xfId="1" applyFont="1" applyAlignment="1">
      <alignment horizontal="right" vertical="center"/>
    </xf>
    <xf numFmtId="0" fontId="61" fillId="0" borderId="0" xfId="1" applyFont="1"/>
    <xf numFmtId="0" fontId="61" fillId="0" borderId="0" xfId="1" applyFont="1" applyAlignment="1">
      <alignment horizontal="center"/>
    </xf>
    <xf numFmtId="164" fontId="4" fillId="0" borderId="0" xfId="1" applyNumberFormat="1" applyFont="1" applyAlignment="1">
      <alignment horizontal="center" vertical="center"/>
    </xf>
    <xf numFmtId="0" fontId="62" fillId="0" borderId="0" xfId="1" applyFont="1"/>
    <xf numFmtId="2" fontId="53" fillId="10" borderId="9" xfId="1" applyNumberFormat="1" applyFont="1" applyFill="1" applyBorder="1" applyAlignment="1">
      <alignment horizontal="center" vertical="center" wrapText="1"/>
    </xf>
    <xf numFmtId="2" fontId="53" fillId="0" borderId="3" xfId="1" applyNumberFormat="1" applyFont="1" applyBorder="1" applyAlignment="1">
      <alignment horizontal="center" wrapText="1"/>
    </xf>
    <xf numFmtId="2" fontId="8" fillId="10" borderId="9" xfId="1" applyNumberFormat="1" applyFont="1" applyFill="1" applyBorder="1" applyAlignment="1">
      <alignment horizontal="center" vertical="center"/>
    </xf>
    <xf numFmtId="2" fontId="63" fillId="0" borderId="3" xfId="1" applyNumberFormat="1" applyFont="1" applyBorder="1" applyAlignment="1">
      <alignment horizontal="center" wrapText="1"/>
    </xf>
    <xf numFmtId="168" fontId="64" fillId="0" borderId="3" xfId="1" applyNumberFormat="1" applyFont="1" applyBorder="1" applyAlignment="1">
      <alignment horizontal="center" vertical="center"/>
    </xf>
    <xf numFmtId="2" fontId="65" fillId="0" borderId="3" xfId="1" applyNumberFormat="1" applyFont="1" applyBorder="1" applyAlignment="1">
      <alignment horizontal="center" wrapText="1"/>
    </xf>
    <xf numFmtId="2" fontId="66" fillId="0" borderId="9" xfId="1" applyNumberFormat="1" applyFont="1" applyBorder="1" applyAlignment="1">
      <alignment horizontal="center" vertical="center"/>
    </xf>
    <xf numFmtId="168" fontId="67" fillId="0" borderId="3" xfId="1" applyNumberFormat="1" applyFont="1" applyBorder="1" applyAlignment="1">
      <alignment horizontal="center" vertical="center"/>
    </xf>
    <xf numFmtId="0" fontId="68" fillId="0" borderId="40" xfId="1" applyFont="1" applyBorder="1" applyAlignment="1">
      <alignment horizontal="center" vertical="center"/>
    </xf>
    <xf numFmtId="0" fontId="69" fillId="0" borderId="40" xfId="1" applyFont="1" applyBorder="1" applyAlignment="1">
      <alignment horizontal="left" vertical="center"/>
    </xf>
    <xf numFmtId="168" fontId="69" fillId="0" borderId="40" xfId="1" applyNumberFormat="1" applyFont="1" applyBorder="1" applyAlignment="1">
      <alignment horizontal="right" vertical="center"/>
    </xf>
    <xf numFmtId="2" fontId="53" fillId="0" borderId="41" xfId="1" applyNumberFormat="1" applyFont="1" applyBorder="1" applyAlignment="1">
      <alignment horizontal="center" wrapText="1"/>
    </xf>
    <xf numFmtId="2" fontId="63" fillId="0" borderId="41" xfId="1" applyNumberFormat="1" applyFont="1" applyBorder="1" applyAlignment="1">
      <alignment horizontal="center" wrapText="1"/>
    </xf>
    <xf numFmtId="168" fontId="64" fillId="0" borderId="41" xfId="1" applyNumberFormat="1" applyFont="1" applyBorder="1" applyAlignment="1">
      <alignment horizontal="center" vertical="center"/>
    </xf>
    <xf numFmtId="2" fontId="8" fillId="0" borderId="9" xfId="1" applyNumberFormat="1" applyFont="1" applyBorder="1" applyAlignment="1">
      <alignment horizontal="center" vertical="center"/>
    </xf>
    <xf numFmtId="168" fontId="64" fillId="0" borderId="9" xfId="1" applyNumberFormat="1" applyFont="1" applyBorder="1" applyAlignment="1">
      <alignment horizontal="center" vertical="center"/>
    </xf>
    <xf numFmtId="2" fontId="53" fillId="0" borderId="9" xfId="1" applyNumberFormat="1" applyFont="1" applyBorder="1" applyAlignment="1">
      <alignment horizontal="center" wrapText="1"/>
    </xf>
    <xf numFmtId="2" fontId="63" fillId="0" borderId="9" xfId="1" applyNumberFormat="1" applyFont="1" applyBorder="1" applyAlignment="1">
      <alignment horizontal="center" wrapText="1"/>
    </xf>
    <xf numFmtId="164" fontId="4" fillId="0" borderId="52" xfId="1" applyNumberFormat="1" applyFont="1" applyBorder="1" applyAlignment="1">
      <alignment horizontal="center" vertical="center"/>
    </xf>
    <xf numFmtId="2" fontId="63" fillId="0" borderId="6" xfId="1" applyNumberFormat="1" applyFont="1" applyBorder="1" applyAlignment="1">
      <alignment horizontal="center" wrapText="1"/>
    </xf>
    <xf numFmtId="168" fontId="14" fillId="5" borderId="3" xfId="1" applyNumberFormat="1" applyFont="1" applyFill="1" applyBorder="1" applyAlignment="1">
      <alignment horizontal="center" vertical="center"/>
    </xf>
    <xf numFmtId="168" fontId="14" fillId="5" borderId="41" xfId="1" applyNumberFormat="1" applyFont="1" applyFill="1" applyBorder="1" applyAlignment="1">
      <alignment horizontal="center" vertical="center"/>
    </xf>
    <xf numFmtId="168" fontId="67" fillId="0" borderId="9" xfId="1" applyNumberFormat="1" applyFont="1" applyBorder="1" applyAlignment="1">
      <alignment horizontal="center" vertical="center"/>
    </xf>
    <xf numFmtId="0" fontId="68" fillId="0" borderId="42" xfId="1" applyFont="1" applyBorder="1" applyAlignment="1">
      <alignment horizontal="center" vertical="center"/>
    </xf>
    <xf numFmtId="0" fontId="69" fillId="0" borderId="42" xfId="1" applyFont="1" applyBorder="1" applyAlignment="1">
      <alignment horizontal="left" vertical="center"/>
    </xf>
    <xf numFmtId="168" fontId="69" fillId="0" borderId="42" xfId="1" applyNumberFormat="1" applyFont="1" applyBorder="1" applyAlignment="1">
      <alignment horizontal="right" vertical="center"/>
    </xf>
    <xf numFmtId="2" fontId="53" fillId="0" borderId="44" xfId="1" applyNumberFormat="1" applyFont="1" applyBorder="1" applyAlignment="1">
      <alignment horizontal="center" wrapText="1"/>
    </xf>
    <xf numFmtId="2" fontId="8" fillId="0" borderId="44" xfId="1" applyNumberFormat="1" applyFont="1" applyBorder="1" applyAlignment="1">
      <alignment horizontal="center" vertical="center"/>
    </xf>
    <xf numFmtId="2" fontId="63" fillId="0" borderId="44" xfId="1" applyNumberFormat="1" applyFont="1" applyBorder="1" applyAlignment="1">
      <alignment horizontal="center" wrapText="1"/>
    </xf>
    <xf numFmtId="168" fontId="14" fillId="5" borderId="44" xfId="1" applyNumberFormat="1" applyFont="1" applyFill="1" applyBorder="1" applyAlignment="1">
      <alignment horizontal="center" vertical="center"/>
    </xf>
    <xf numFmtId="0" fontId="41" fillId="0" borderId="53" xfId="1" applyFont="1" applyBorder="1" applyAlignment="1">
      <alignment horizontal="left" vertical="center"/>
    </xf>
    <xf numFmtId="168" fontId="41" fillId="0" borderId="53" xfId="1" applyNumberFormat="1" applyFont="1" applyBorder="1" applyAlignment="1">
      <alignment horizontal="right" vertical="center"/>
    </xf>
    <xf numFmtId="168" fontId="14" fillId="5" borderId="9" xfId="1" applyNumberFormat="1" applyFont="1" applyFill="1" applyBorder="1" applyAlignment="1">
      <alignment horizontal="center" vertical="center"/>
    </xf>
    <xf numFmtId="0" fontId="70" fillId="11" borderId="0" xfId="1" applyFont="1" applyFill="1"/>
    <xf numFmtId="0" fontId="70" fillId="11" borderId="0" xfId="1" applyFont="1" applyFill="1" applyAlignment="1">
      <alignment vertical="center"/>
    </xf>
    <xf numFmtId="2" fontId="71" fillId="11" borderId="41" xfId="1" applyNumberFormat="1" applyFont="1" applyFill="1" applyBorder="1" applyAlignment="1">
      <alignment horizontal="center" vertical="center" wrapText="1"/>
    </xf>
    <xf numFmtId="168" fontId="14" fillId="7" borderId="3" xfId="1" applyNumberFormat="1" applyFont="1" applyFill="1" applyBorder="1" applyAlignment="1">
      <alignment horizontal="center" vertical="center"/>
    </xf>
    <xf numFmtId="168" fontId="14" fillId="7" borderId="41" xfId="1" applyNumberFormat="1" applyFont="1" applyFill="1" applyBorder="1" applyAlignment="1">
      <alignment horizontal="center" vertical="center"/>
    </xf>
    <xf numFmtId="168" fontId="14" fillId="7" borderId="44" xfId="1" applyNumberFormat="1" applyFont="1" applyFill="1" applyBorder="1" applyAlignment="1">
      <alignment horizontal="center" vertical="center"/>
    </xf>
    <xf numFmtId="168" fontId="14" fillId="7" borderId="9" xfId="1" applyNumberFormat="1" applyFont="1" applyFill="1" applyBorder="1" applyAlignment="1">
      <alignment horizontal="center" vertical="center"/>
    </xf>
    <xf numFmtId="164" fontId="4" fillId="7" borderId="0" xfId="1" applyNumberFormat="1" applyFont="1" applyFill="1" applyAlignment="1">
      <alignment horizontal="center" vertical="center"/>
    </xf>
    <xf numFmtId="2" fontId="53" fillId="7" borderId="57" xfId="1" applyNumberFormat="1" applyFont="1" applyFill="1" applyBorder="1" applyAlignment="1">
      <alignment horizontal="center" wrapText="1"/>
    </xf>
    <xf numFmtId="2" fontId="53" fillId="7" borderId="58" xfId="1" applyNumberFormat="1" applyFont="1" applyFill="1" applyBorder="1" applyAlignment="1">
      <alignment horizontal="center" wrapText="1"/>
    </xf>
    <xf numFmtId="2" fontId="8" fillId="7" borderId="9" xfId="1" applyNumberFormat="1" applyFont="1" applyFill="1" applyBorder="1" applyAlignment="1">
      <alignment horizontal="center" vertical="center"/>
    </xf>
    <xf numFmtId="2" fontId="63" fillId="7" borderId="41" xfId="1" applyNumberFormat="1" applyFont="1" applyFill="1" applyBorder="1" applyAlignment="1">
      <alignment horizontal="center" wrapText="1"/>
    </xf>
    <xf numFmtId="168" fontId="64" fillId="7" borderId="41" xfId="1" applyNumberFormat="1" applyFont="1" applyFill="1" applyBorder="1" applyAlignment="1">
      <alignment horizontal="center" vertical="center"/>
    </xf>
    <xf numFmtId="0" fontId="38" fillId="7" borderId="42" xfId="1" applyFont="1" applyFill="1" applyBorder="1" applyAlignment="1">
      <alignment horizontal="center" vertical="center"/>
    </xf>
    <xf numFmtId="0" fontId="41" fillId="7" borderId="42" xfId="1" applyFont="1" applyFill="1" applyBorder="1" applyAlignment="1">
      <alignment horizontal="left" vertical="center"/>
    </xf>
    <xf numFmtId="168" fontId="41" fillId="7" borderId="42" xfId="1" applyNumberFormat="1" applyFont="1" applyFill="1" applyBorder="1" applyAlignment="1">
      <alignment horizontal="right" vertical="center"/>
    </xf>
    <xf numFmtId="2" fontId="4" fillId="0" borderId="0" xfId="1" applyNumberFormat="1" applyFont="1" applyAlignment="1">
      <alignment horizontal="center" wrapText="1"/>
    </xf>
    <xf numFmtId="2" fontId="23" fillId="0" borderId="0" xfId="1" applyNumberFormat="1" applyFont="1" applyAlignment="1">
      <alignment horizontal="center" wrapText="1"/>
    </xf>
    <xf numFmtId="2" fontId="24" fillId="0" borderId="0" xfId="1" applyNumberFormat="1" applyFont="1" applyAlignment="1">
      <alignment horizontal="center" wrapText="1"/>
    </xf>
    <xf numFmtId="0" fontId="73" fillId="0" borderId="0" xfId="1" applyFont="1" applyAlignment="1">
      <alignment horizontal="center"/>
    </xf>
    <xf numFmtId="2" fontId="53" fillId="7" borderId="9" xfId="1" applyNumberFormat="1" applyFont="1" applyFill="1" applyBorder="1" applyAlignment="1">
      <alignment horizontal="center" vertical="center" wrapText="1"/>
    </xf>
    <xf numFmtId="2" fontId="63" fillId="7" borderId="9" xfId="1" applyNumberFormat="1" applyFont="1" applyFill="1" applyBorder="1" applyAlignment="1">
      <alignment horizontal="center" vertical="center" wrapText="1"/>
    </xf>
    <xf numFmtId="168" fontId="64" fillId="7" borderId="9" xfId="1" applyNumberFormat="1" applyFont="1" applyFill="1" applyBorder="1" applyAlignment="1">
      <alignment horizontal="center" vertical="center"/>
    </xf>
    <xf numFmtId="0" fontId="24" fillId="7" borderId="43" xfId="1" applyFont="1" applyFill="1" applyBorder="1" applyAlignment="1">
      <alignment horizontal="center" vertical="center"/>
    </xf>
    <xf numFmtId="0" fontId="41" fillId="7" borderId="43" xfId="1" applyFont="1" applyFill="1" applyBorder="1" applyAlignment="1">
      <alignment horizontal="left" vertical="center"/>
    </xf>
    <xf numFmtId="168" fontId="41" fillId="7" borderId="43" xfId="1" applyNumberFormat="1" applyFont="1" applyFill="1" applyBorder="1" applyAlignment="1">
      <alignment horizontal="right" vertical="center"/>
    </xf>
    <xf numFmtId="2" fontId="23" fillId="0" borderId="0" xfId="1" applyNumberFormat="1" applyFont="1" applyAlignment="1">
      <alignment horizontal="center"/>
    </xf>
    <xf numFmtId="2" fontId="3" fillId="0" borderId="0" xfId="1" applyNumberFormat="1" applyAlignment="1">
      <alignment horizontal="center" vertical="top" wrapText="1"/>
    </xf>
    <xf numFmtId="0" fontId="3" fillId="0" borderId="0" xfId="1" applyAlignment="1">
      <alignment horizontal="center" vertical="top" wrapText="1"/>
    </xf>
    <xf numFmtId="0" fontId="2" fillId="0" borderId="0" xfId="1" applyFont="1" applyAlignment="1">
      <alignment horizontal="right"/>
    </xf>
    <xf numFmtId="169" fontId="2" fillId="0" borderId="0" xfId="1" applyNumberFormat="1" applyFont="1" applyAlignment="1">
      <alignment horizontal="center" wrapText="1"/>
    </xf>
    <xf numFmtId="2" fontId="17" fillId="0" borderId="0" xfId="1" applyNumberFormat="1" applyFont="1" applyAlignment="1">
      <alignment horizontal="left" vertical="center"/>
    </xf>
    <xf numFmtId="169" fontId="4" fillId="0" borderId="0" xfId="1" applyNumberFormat="1" applyFont="1" applyAlignment="1">
      <alignment horizontal="center" wrapText="1"/>
    </xf>
    <xf numFmtId="169" fontId="75" fillId="0" borderId="0" xfId="1" quotePrefix="1" applyNumberFormat="1" applyFont="1" applyAlignment="1">
      <alignment horizontal="center" wrapText="1"/>
    </xf>
    <xf numFmtId="0" fontId="4" fillId="0" borderId="0" xfId="1" applyFont="1" applyAlignment="1">
      <alignment horizontal="right" vertical="center"/>
    </xf>
    <xf numFmtId="0" fontId="2" fillId="0" borderId="0" xfId="1" applyFont="1" applyAlignment="1">
      <alignment horizontal="center" wrapText="1"/>
    </xf>
    <xf numFmtId="0" fontId="76" fillId="0" borderId="0" xfId="1" applyFont="1" applyAlignment="1">
      <alignment horizontal="right"/>
    </xf>
    <xf numFmtId="0" fontId="70" fillId="0" borderId="0" xfId="1" applyFont="1"/>
    <xf numFmtId="169" fontId="75" fillId="0" borderId="0" xfId="1" applyNumberFormat="1" applyFont="1" applyAlignment="1">
      <alignment horizontal="center" wrapText="1"/>
    </xf>
    <xf numFmtId="170" fontId="75" fillId="0" borderId="0" xfId="1" quotePrefix="1" applyNumberFormat="1" applyFont="1" applyAlignment="1">
      <alignment horizontal="center" wrapText="1"/>
    </xf>
    <xf numFmtId="2" fontId="76" fillId="0" borderId="0" xfId="1" applyNumberFormat="1" applyFont="1"/>
    <xf numFmtId="0" fontId="77" fillId="10" borderId="0" xfId="1" applyFont="1" applyFill="1"/>
    <xf numFmtId="2" fontId="7" fillId="12" borderId="0" xfId="1" applyNumberFormat="1" applyFont="1" applyFill="1"/>
    <xf numFmtId="169" fontId="78" fillId="12" borderId="0" xfId="1" applyNumberFormat="1" applyFont="1" applyFill="1" applyAlignment="1">
      <alignment horizontal="left" vertical="center"/>
    </xf>
    <xf numFmtId="2" fontId="3" fillId="12" borderId="0" xfId="1" applyNumberFormat="1" applyFill="1"/>
    <xf numFmtId="2" fontId="79" fillId="12" borderId="0" xfId="1" applyNumberFormat="1" applyFont="1" applyFill="1"/>
    <xf numFmtId="0" fontId="7" fillId="12" borderId="0" xfId="1" applyFont="1" applyFill="1"/>
    <xf numFmtId="0" fontId="7" fillId="0" borderId="0" xfId="1" applyFont="1" applyAlignment="1">
      <alignment horizontal="right"/>
    </xf>
    <xf numFmtId="2" fontId="7" fillId="0" borderId="0" xfId="1" applyNumberFormat="1" applyFont="1"/>
    <xf numFmtId="169" fontId="80" fillId="8" borderId="0" xfId="1" applyNumberFormat="1" applyFont="1" applyFill="1" applyAlignment="1">
      <alignment horizontal="left" vertical="center"/>
    </xf>
    <xf numFmtId="2" fontId="76" fillId="8" borderId="0" xfId="1" applyNumberFormat="1" applyFont="1" applyFill="1"/>
    <xf numFmtId="2" fontId="70" fillId="8" borderId="0" xfId="1" applyNumberFormat="1" applyFont="1" applyFill="1"/>
    <xf numFmtId="2" fontId="81" fillId="8" borderId="0" xfId="1" applyNumberFormat="1" applyFont="1" applyFill="1"/>
    <xf numFmtId="0" fontId="76" fillId="8" borderId="0" xfId="1" applyFont="1" applyFill="1"/>
    <xf numFmtId="2" fontId="7" fillId="2" borderId="0" xfId="1" applyNumberFormat="1" applyFont="1" applyFill="1"/>
    <xf numFmtId="169" fontId="78" fillId="2" borderId="0" xfId="1" applyNumberFormat="1" applyFont="1" applyFill="1" applyAlignment="1">
      <alignment horizontal="left" vertical="center"/>
    </xf>
    <xf numFmtId="2" fontId="3" fillId="2" borderId="0" xfId="1" applyNumberFormat="1" applyFill="1"/>
    <xf numFmtId="2" fontId="79" fillId="2" borderId="0" xfId="1" applyNumberFormat="1" applyFont="1" applyFill="1"/>
    <xf numFmtId="0" fontId="7" fillId="2" borderId="0" xfId="1" applyFont="1" applyFill="1"/>
    <xf numFmtId="169" fontId="78" fillId="0" borderId="0" xfId="1" applyNumberFormat="1" applyFont="1" applyAlignment="1">
      <alignment horizontal="left" vertical="center"/>
    </xf>
    <xf numFmtId="2" fontId="2" fillId="0" borderId="0" xfId="1" applyNumberFormat="1" applyFont="1"/>
    <xf numFmtId="0" fontId="61" fillId="0" borderId="0" xfId="1" applyFont="1" applyAlignment="1">
      <alignment horizontal="right"/>
    </xf>
    <xf numFmtId="164" fontId="17" fillId="6" borderId="39" xfId="1" applyNumberFormat="1" applyFont="1" applyFill="1" applyBorder="1" applyAlignment="1">
      <alignment horizontal="center" vertical="center" wrapText="1"/>
    </xf>
    <xf numFmtId="0" fontId="17" fillId="6" borderId="38" xfId="1" applyFont="1" applyFill="1" applyBorder="1" applyAlignment="1">
      <alignment horizontal="center" vertical="center" wrapText="1"/>
    </xf>
    <xf numFmtId="0" fontId="17" fillId="6" borderId="37" xfId="1" applyFont="1" applyFill="1" applyBorder="1" applyAlignment="1">
      <alignment horizontal="center" vertical="center" wrapText="1"/>
    </xf>
    <xf numFmtId="164" fontId="17" fillId="6" borderId="29" xfId="1" applyNumberFormat="1" applyFont="1" applyFill="1" applyBorder="1" applyAlignment="1">
      <alignment horizontal="center" vertical="center" wrapText="1"/>
    </xf>
    <xf numFmtId="0" fontId="17" fillId="6" borderId="21" xfId="1" applyFont="1" applyFill="1" applyBorder="1" applyAlignment="1">
      <alignment horizontal="center" vertical="center" wrapText="1"/>
    </xf>
    <xf numFmtId="0" fontId="24" fillId="0" borderId="0" xfId="1" applyFont="1" applyAlignment="1">
      <alignment horizontal="center" vertical="center"/>
    </xf>
    <xf numFmtId="164" fontId="38" fillId="6" borderId="29" xfId="1" applyNumberFormat="1" applyFont="1" applyFill="1" applyBorder="1" applyAlignment="1">
      <alignment horizontal="center" vertical="center" wrapText="1"/>
    </xf>
    <xf numFmtId="0" fontId="38" fillId="6" borderId="21" xfId="1" applyFont="1" applyFill="1" applyBorder="1" applyAlignment="1">
      <alignment horizontal="center" vertical="center" wrapText="1"/>
    </xf>
    <xf numFmtId="0" fontId="2" fillId="7" borderId="60" xfId="1" applyFont="1" applyFill="1" applyBorder="1" applyAlignment="1">
      <alignment horizontal="left" vertical="center" wrapText="1"/>
    </xf>
    <xf numFmtId="0" fontId="3" fillId="7" borderId="59" xfId="1" applyFill="1" applyBorder="1" applyAlignment="1">
      <alignment horizontal="left" vertical="center" wrapText="1"/>
    </xf>
    <xf numFmtId="0" fontId="3" fillId="7" borderId="0" xfId="1" applyFill="1" applyAlignment="1">
      <alignment horizontal="left" vertical="center" wrapText="1"/>
    </xf>
    <xf numFmtId="0" fontId="3" fillId="7" borderId="56" xfId="1" applyFill="1" applyBorder="1" applyAlignment="1">
      <alignment horizontal="left" vertical="center" wrapText="1"/>
    </xf>
    <xf numFmtId="0" fontId="3" fillId="7" borderId="55" xfId="1" applyFill="1" applyBorder="1" applyAlignment="1">
      <alignment horizontal="left" vertical="center" wrapText="1"/>
    </xf>
    <xf numFmtId="0" fontId="3" fillId="7" borderId="54" xfId="1" applyFill="1" applyBorder="1" applyAlignment="1">
      <alignment horizontal="left" vertical="center" wrapText="1"/>
    </xf>
    <xf numFmtId="0" fontId="24" fillId="0" borderId="0" xfId="1" applyFont="1" applyAlignment="1">
      <alignment horizontal="center"/>
    </xf>
    <xf numFmtId="164" fontId="4" fillId="0" borderId="0" xfId="1" applyNumberFormat="1" applyFont="1" applyAlignment="1">
      <alignment horizontal="center" vertical="center" wrapText="1"/>
    </xf>
    <xf numFmtId="0" fontId="82" fillId="0" borderId="0" xfId="0" applyFont="1" applyAlignment="1">
      <alignment horizontal="left" vertical="top" wrapText="1" shrinkToFit="1" readingOrder="1"/>
    </xf>
    <xf numFmtId="171" fontId="82" fillId="0" borderId="0" xfId="0" applyNumberFormat="1" applyFont="1" applyAlignment="1">
      <alignment horizontal="right" vertical="center" wrapText="1" shrinkToFit="1" readingOrder="1"/>
    </xf>
    <xf numFmtId="172" fontId="82" fillId="0" borderId="0" xfId="0" applyNumberFormat="1" applyFont="1" applyAlignment="1">
      <alignment horizontal="right" vertical="center" wrapText="1" shrinkToFit="1" readingOrder="1"/>
    </xf>
    <xf numFmtId="49" fontId="82" fillId="0" borderId="0" xfId="0" applyNumberFormat="1" applyFont="1" applyAlignment="1">
      <alignment horizontal="right" vertical="center" wrapText="1" shrinkToFit="1" readingOrder="1"/>
    </xf>
    <xf numFmtId="173" fontId="82" fillId="0" borderId="0" xfId="0" applyNumberFormat="1" applyFont="1" applyAlignment="1">
      <alignment horizontal="right" vertical="center" wrapText="1" shrinkToFit="1" readingOrder="1"/>
    </xf>
    <xf numFmtId="0" fontId="82" fillId="0" borderId="0" xfId="0" applyFont="1" applyAlignment="1">
      <alignment horizontal="center" vertical="center" wrapText="1" shrinkToFit="1" readingOrder="1"/>
    </xf>
    <xf numFmtId="0" fontId="82" fillId="0" borderId="0" xfId="0" applyFont="1" applyAlignment="1">
      <alignment horizontal="right" vertical="center" wrapText="1" shrinkToFit="1" readingOrder="1"/>
    </xf>
    <xf numFmtId="174" fontId="82" fillId="0" borderId="0" xfId="0" applyNumberFormat="1" applyFont="1" applyAlignment="1">
      <alignment horizontal="left" vertical="center" wrapText="1" shrinkToFit="1" readingOrder="1"/>
    </xf>
    <xf numFmtId="0" fontId="82" fillId="0" borderId="0" xfId="0" applyFont="1" applyAlignment="1">
      <alignment horizontal="right" vertical="center" wrapText="1" shrinkToFit="1" readingOrder="1"/>
    </xf>
    <xf numFmtId="49" fontId="82" fillId="0" borderId="0" xfId="0" applyNumberFormat="1" applyFont="1" applyAlignment="1">
      <alignment horizontal="left" vertical="center" wrapText="1" shrinkToFit="1" readingOrder="1"/>
    </xf>
    <xf numFmtId="0" fontId="82" fillId="0" borderId="0" xfId="0" applyFont="1" applyAlignment="1">
      <alignment horizontal="center" vertical="center" wrapText="1" shrinkToFit="1" readingOrder="1"/>
    </xf>
    <xf numFmtId="0" fontId="82" fillId="0" borderId="61" xfId="0" applyFont="1" applyBorder="1" applyAlignment="1">
      <alignment horizontal="center" vertical="center" wrapText="1" shrinkToFit="1" readingOrder="1"/>
    </xf>
    <xf numFmtId="0" fontId="82" fillId="0" borderId="61" xfId="0" applyFont="1" applyBorder="1" applyAlignment="1">
      <alignment horizontal="center" vertical="center" wrapText="1" shrinkToFit="1" readingOrder="1"/>
    </xf>
    <xf numFmtId="0" fontId="82" fillId="0" borderId="62" xfId="0" applyFont="1" applyBorder="1" applyAlignment="1">
      <alignment horizontal="center" vertical="center" wrapText="1" shrinkToFit="1" readingOrder="1"/>
    </xf>
    <xf numFmtId="0" fontId="82" fillId="0" borderId="61" xfId="0" applyFont="1" applyBorder="1" applyAlignment="1">
      <alignment horizontal="left" vertical="center" wrapText="1" indent="1" shrinkToFit="1" readingOrder="1"/>
    </xf>
    <xf numFmtId="0" fontId="82" fillId="13" borderId="62" xfId="0" applyFont="1" applyFill="1" applyBorder="1" applyAlignment="1">
      <alignment horizontal="left" vertical="center" wrapText="1" indent="1" shrinkToFit="1" readingOrder="1"/>
    </xf>
    <xf numFmtId="14" fontId="82" fillId="0" borderId="0" xfId="0" applyNumberFormat="1" applyFont="1" applyAlignment="1">
      <alignment horizontal="left" vertical="center" wrapText="1" shrinkToFit="1" readingOrder="1"/>
    </xf>
    <xf numFmtId="0" fontId="82" fillId="0" borderId="0" xfId="0" applyFont="1" applyAlignment="1">
      <alignment horizontal="left" vertical="center" wrapText="1" shrinkToFit="1" readingOrder="1"/>
    </xf>
    <xf numFmtId="0" fontId="83" fillId="13" borderId="0" xfId="0" applyFont="1" applyFill="1" applyAlignment="1">
      <alignment horizontal="center" vertical="top" wrapText="1" shrinkToFit="1" readingOrder="1"/>
    </xf>
    <xf numFmtId="49" fontId="83" fillId="13" borderId="0" xfId="0" applyNumberFormat="1" applyFont="1" applyFill="1" applyAlignment="1">
      <alignment horizontal="center" vertical="center" wrapText="1" shrinkToFit="1" readingOrder="1"/>
    </xf>
    <xf numFmtId="49" fontId="82" fillId="0" borderId="0" xfId="0" applyNumberFormat="1" applyFont="1" applyAlignment="1">
      <alignment horizontal="right" vertical="top" wrapText="1" shrinkToFit="1" readingOrder="1"/>
    </xf>
    <xf numFmtId="49" fontId="82" fillId="0" borderId="0" xfId="0" applyNumberFormat="1" applyFont="1" applyAlignment="1">
      <alignment horizontal="left" vertical="top" wrapText="1" shrinkToFit="1" readingOrder="1"/>
    </xf>
  </cellXfs>
  <cellStyles count="3">
    <cellStyle name="Normal" xfId="0" builtinId="0"/>
    <cellStyle name="Normal 2" xfId="2" xr:uid="{9975BD0D-8745-4147-A5EC-15B99D8AB865}"/>
    <cellStyle name="Normal 3" xfId="1" xr:uid="{E9664043-597C-49BE-B574-A4C570FE3A77}"/>
  </cellStyles>
  <dxfs count="12">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DFWAH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accent1"/>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90C5-4F0F-A57D-EC477B0C2A42}"/>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Compare!$Q$5:$Q$52</c:f>
              <c:numCache>
                <c:formatCode>General</c:formatCode>
                <c:ptCount val="48"/>
                <c:pt idx="0">
                  <c:v>1336.6618109999999</c:v>
                </c:pt>
                <c:pt idx="1">
                  <c:v>1067.9859329999999</c:v>
                </c:pt>
                <c:pt idx="2">
                  <c:v>656.33634219999999</c:v>
                </c:pt>
                <c:pt idx="3">
                  <c:v>1330.9122460000001</c:v>
                </c:pt>
                <c:pt idx="4">
                  <c:v>1905.588904</c:v>
                </c:pt>
                <c:pt idx="5">
                  <c:v>1338.3853220000001</c:v>
                </c:pt>
                <c:pt idx="6">
                  <c:v>1070.1690639999999</c:v>
                </c:pt>
                <c:pt idx="7">
                  <c:v>1697.98208</c:v>
                </c:pt>
                <c:pt idx="8">
                  <c:v>1825.010321</c:v>
                </c:pt>
                <c:pt idx="9">
                  <c:v>1677.8747229999999</c:v>
                </c:pt>
                <c:pt idx="10">
                  <c:v>1304.995557</c:v>
                </c:pt>
                <c:pt idx="11">
                  <c:v>1734.566804</c:v>
                </c:pt>
                <c:pt idx="12">
                  <c:v>1975.757429</c:v>
                </c:pt>
                <c:pt idx="13">
                  <c:v>1524.521238</c:v>
                </c:pt>
                <c:pt idx="14">
                  <c:v>1584.5167160000001</c:v>
                </c:pt>
                <c:pt idx="15">
                  <c:v>1931.322148</c:v>
                </c:pt>
                <c:pt idx="16">
                  <c:v>1546.3501879999999</c:v>
                </c:pt>
                <c:pt idx="17">
                  <c:v>1466.275457</c:v>
                </c:pt>
                <c:pt idx="18">
                  <c:v>1172.2847400000001</c:v>
                </c:pt>
                <c:pt idx="19">
                  <c:v>1163.685667</c:v>
                </c:pt>
                <c:pt idx="20">
                  <c:v>1322.956813</c:v>
                </c:pt>
                <c:pt idx="21">
                  <c:v>1074.717439</c:v>
                </c:pt>
                <c:pt idx="22">
                  <c:v>1323.5706049999999</c:v>
                </c:pt>
                <c:pt idx="23">
                  <c:v>1165.1491570000001</c:v>
                </c:pt>
                <c:pt idx="24">
                  <c:v>1379.3105860000001</c:v>
                </c:pt>
                <c:pt idx="25">
                  <c:v>1618.7076420000001</c:v>
                </c:pt>
                <c:pt idx="26">
                  <c:v>1699.715985</c:v>
                </c:pt>
                <c:pt idx="27">
                  <c:v>1305.0317749999999</c:v>
                </c:pt>
                <c:pt idx="28">
                  <c:v>1281.4581129999999</c:v>
                </c:pt>
                <c:pt idx="29">
                  <c:v>1489.6261139999999</c:v>
                </c:pt>
                <c:pt idx="30">
                  <c:v>1449.4994750000001</c:v>
                </c:pt>
                <c:pt idx="31">
                  <c:v>1123.1752289999999</c:v>
                </c:pt>
                <c:pt idx="32">
                  <c:v>805.53841039999998</c:v>
                </c:pt>
                <c:pt idx="33">
                  <c:v>1559.2085219999999</c:v>
                </c:pt>
                <c:pt idx="34">
                  <c:v>1447.3649720000001</c:v>
                </c:pt>
                <c:pt idx="35">
                  <c:v>1044.386291</c:v>
                </c:pt>
                <c:pt idx="36">
                  <c:v>1373.324703</c:v>
                </c:pt>
                <c:pt idx="37">
                  <c:v>2008.0705109999999</c:v>
                </c:pt>
                <c:pt idx="38">
                  <c:v>1832.6536470000001</c:v>
                </c:pt>
                <c:pt idx="39">
                  <c:v>1792.0045789999999</c:v>
                </c:pt>
                <c:pt idx="40">
                  <c:v>1735.826838</c:v>
                </c:pt>
                <c:pt idx="41">
                  <c:v>1494.060962</c:v>
                </c:pt>
                <c:pt idx="42">
                  <c:v>1948.9811850000001</c:v>
                </c:pt>
                <c:pt idx="43">
                  <c:v>1317.262886</c:v>
                </c:pt>
                <c:pt idx="44">
                  <c:v>1389.9017200000001</c:v>
                </c:pt>
                <c:pt idx="45">
                  <c:v>1284.8965089999999</c:v>
                </c:pt>
                <c:pt idx="46">
                  <c:v>1570.9316060000001</c:v>
                </c:pt>
                <c:pt idx="47">
                  <c:v>1481.657222</c:v>
                </c:pt>
              </c:numCache>
            </c:numRef>
          </c:xVal>
          <c:yVal>
            <c:numRef>
              <c:f>'Plot Scale'!$X$7:$X$54</c:f>
              <c:numCache>
                <c:formatCode>0.0</c:formatCode>
                <c:ptCount val="48"/>
                <c:pt idx="0">
                  <c:v>1336.6618113496279</c:v>
                </c:pt>
                <c:pt idx="1">
                  <c:v>1067.9859334836597</c:v>
                </c:pt>
                <c:pt idx="2">
                  <c:v>656.33634223964896</c:v>
                </c:pt>
                <c:pt idx="3">
                  <c:v>1330.9122456866485</c:v>
                </c:pt>
                <c:pt idx="4">
                  <c:v>1905.5889039897302</c:v>
                </c:pt>
                <c:pt idx="5">
                  <c:v>1338.3853218057645</c:v>
                </c:pt>
                <c:pt idx="6">
                  <c:v>1070.1690642603523</c:v>
                </c:pt>
                <c:pt idx="7">
                  <c:v>1697.9820799414074</c:v>
                </c:pt>
                <c:pt idx="8">
                  <c:v>1825.0103213452205</c:v>
                </c:pt>
                <c:pt idx="9">
                  <c:v>1677.874723141709</c:v>
                </c:pt>
                <c:pt idx="10">
                  <c:v>1304.9955570454097</c:v>
                </c:pt>
                <c:pt idx="11">
                  <c:v>1734.5668042284694</c:v>
                </c:pt>
                <c:pt idx="12">
                  <c:v>1975.7574287159441</c:v>
                </c:pt>
                <c:pt idx="13">
                  <c:v>1524.5212380020419</c:v>
                </c:pt>
                <c:pt idx="14">
                  <c:v>1584.5167164796449</c:v>
                </c:pt>
                <c:pt idx="15">
                  <c:v>1931.3221479188053</c:v>
                </c:pt>
                <c:pt idx="16">
                  <c:v>1546.3501881100767</c:v>
                </c:pt>
                <c:pt idx="17">
                  <c:v>1466.2754567109905</c:v>
                </c:pt>
                <c:pt idx="18">
                  <c:v>1172.2847403931491</c:v>
                </c:pt>
                <c:pt idx="19">
                  <c:v>1163.6856668869284</c:v>
                </c:pt>
                <c:pt idx="20">
                  <c:v>1322.9568130904227</c:v>
                </c:pt>
                <c:pt idx="21">
                  <c:v>1074.7174386833306</c:v>
                </c:pt>
                <c:pt idx="22">
                  <c:v>1323.5706049500418</c:v>
                </c:pt>
                <c:pt idx="23">
                  <c:v>1165.1491568108861</c:v>
                </c:pt>
                <c:pt idx="24">
                  <c:v>1379.3105856513355</c:v>
                </c:pt>
                <c:pt idx="25">
                  <c:v>1618.7076424955615</c:v>
                </c:pt>
                <c:pt idx="26">
                  <c:v>1699.7159845950339</c:v>
                </c:pt>
                <c:pt idx="27">
                  <c:v>1305.0317751508032</c:v>
                </c:pt>
                <c:pt idx="28">
                  <c:v>1281.4581134546631</c:v>
                </c:pt>
                <c:pt idx="29">
                  <c:v>1489.6261137622332</c:v>
                </c:pt>
                <c:pt idx="30">
                  <c:v>1449.4994746356108</c:v>
                </c:pt>
                <c:pt idx="31">
                  <c:v>1123.1752289357121</c:v>
                </c:pt>
                <c:pt idx="32">
                  <c:v>805.53841036084418</c:v>
                </c:pt>
                <c:pt idx="33">
                  <c:v>1559.2085224503451</c:v>
                </c:pt>
                <c:pt idx="34">
                  <c:v>1447.3649720943915</c:v>
                </c:pt>
                <c:pt idx="35">
                  <c:v>1044.3862913991893</c:v>
                </c:pt>
                <c:pt idx="36">
                  <c:v>1373.324702718965</c:v>
                </c:pt>
                <c:pt idx="37">
                  <c:v>2008.0705109356572</c:v>
                </c:pt>
                <c:pt idx="38">
                  <c:v>1832.6536467399192</c:v>
                </c:pt>
                <c:pt idx="39">
                  <c:v>1792.0045787589418</c:v>
                </c:pt>
                <c:pt idx="40">
                  <c:v>1735.8268384850851</c:v>
                </c:pt>
                <c:pt idx="41">
                  <c:v>1494.0609624220356</c:v>
                </c:pt>
                <c:pt idx="42">
                  <c:v>1948.9811853648343</c:v>
                </c:pt>
                <c:pt idx="43">
                  <c:v>1317.2628859643551</c:v>
                </c:pt>
                <c:pt idx="44">
                  <c:v>1389.9017199173315</c:v>
                </c:pt>
                <c:pt idx="45">
                  <c:v>1284.8965092006592</c:v>
                </c:pt>
                <c:pt idx="46">
                  <c:v>1570.9316061040199</c:v>
                </c:pt>
                <c:pt idx="47">
                  <c:v>1481.6572223653941</c:v>
                </c:pt>
              </c:numCache>
            </c:numRef>
          </c:yVal>
          <c:smooth val="0"/>
          <c:extLst>
            <c:ext xmlns:c16="http://schemas.microsoft.com/office/drawing/2014/chart" uri="{C3380CC4-5D6E-409C-BE32-E72D297353CC}">
              <c16:uniqueId val="{00000001-90C5-4F0F-A57D-EC477B0C2A42}"/>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DSWAH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accent1"/>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35D4-486D-B94B-DCCF1F815CE5}"/>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Compare!$R$5:$R$52</c:f>
              <c:numCache>
                <c:formatCode>General</c:formatCode>
                <c:ptCount val="48"/>
                <c:pt idx="0">
                  <c:v>2249.328747</c:v>
                </c:pt>
                <c:pt idx="1">
                  <c:v>1833.533373</c:v>
                </c:pt>
                <c:pt idx="2">
                  <c:v>1135.9667460000001</c:v>
                </c:pt>
                <c:pt idx="3">
                  <c:v>2331.2430629999999</c:v>
                </c:pt>
                <c:pt idx="4">
                  <c:v>2537.7313770000001</c:v>
                </c:pt>
                <c:pt idx="5">
                  <c:v>1805.1531560000001</c:v>
                </c:pt>
                <c:pt idx="6">
                  <c:v>1440.612202</c:v>
                </c:pt>
                <c:pt idx="7">
                  <c:v>2333.5396179999998</c:v>
                </c:pt>
                <c:pt idx="8">
                  <c:v>3064.3439779999999</c:v>
                </c:pt>
                <c:pt idx="9">
                  <c:v>2759.783015</c:v>
                </c:pt>
                <c:pt idx="10">
                  <c:v>2186.9925539999999</c:v>
                </c:pt>
                <c:pt idx="11">
                  <c:v>2880.8892139999998</c:v>
                </c:pt>
                <c:pt idx="12">
                  <c:v>2827.7374840000002</c:v>
                </c:pt>
                <c:pt idx="13">
                  <c:v>2180.8405509999998</c:v>
                </c:pt>
                <c:pt idx="14">
                  <c:v>2307.763023</c:v>
                </c:pt>
                <c:pt idx="15">
                  <c:v>2721.1895599999998</c:v>
                </c:pt>
                <c:pt idx="16">
                  <c:v>2293.7527789999999</c:v>
                </c:pt>
                <c:pt idx="17">
                  <c:v>2057.9304659999998</c:v>
                </c:pt>
                <c:pt idx="18">
                  <c:v>1638.583875</c:v>
                </c:pt>
                <c:pt idx="19">
                  <c:v>1601.355055</c:v>
                </c:pt>
                <c:pt idx="20">
                  <c:v>2211.5098969999999</c:v>
                </c:pt>
                <c:pt idx="21">
                  <c:v>1704.724213</c:v>
                </c:pt>
                <c:pt idx="22">
                  <c:v>2130.825742</c:v>
                </c:pt>
                <c:pt idx="23">
                  <c:v>1872.15714</c:v>
                </c:pt>
                <c:pt idx="24">
                  <c:v>1867.4616570000001</c:v>
                </c:pt>
                <c:pt idx="25">
                  <c:v>2356.6478910000001</c:v>
                </c:pt>
                <c:pt idx="26">
                  <c:v>2416.9371799999999</c:v>
                </c:pt>
                <c:pt idx="27">
                  <c:v>1857.526979</c:v>
                </c:pt>
                <c:pt idx="28">
                  <c:v>2093.374323</c:v>
                </c:pt>
                <c:pt idx="29">
                  <c:v>2525.8877579999998</c:v>
                </c:pt>
                <c:pt idx="30">
                  <c:v>2423.2090450000001</c:v>
                </c:pt>
                <c:pt idx="31">
                  <c:v>1916.0048019999999</c:v>
                </c:pt>
                <c:pt idx="32">
                  <c:v>1361.407021</c:v>
                </c:pt>
                <c:pt idx="33">
                  <c:v>2675.2173619999999</c:v>
                </c:pt>
                <c:pt idx="34">
                  <c:v>2431.120852</c:v>
                </c:pt>
                <c:pt idx="35">
                  <c:v>1783.6709699999999</c:v>
                </c:pt>
                <c:pt idx="36">
                  <c:v>1838.8585</c:v>
                </c:pt>
                <c:pt idx="37">
                  <c:v>2770.2578579999999</c:v>
                </c:pt>
                <c:pt idx="38">
                  <c:v>2498.6179499999998</c:v>
                </c:pt>
                <c:pt idx="39">
                  <c:v>2371.614368</c:v>
                </c:pt>
                <c:pt idx="40">
                  <c:v>2424.1719640000001</c:v>
                </c:pt>
                <c:pt idx="41">
                  <c:v>2120.2845339999999</c:v>
                </c:pt>
                <c:pt idx="42">
                  <c:v>2753.4083230000001</c:v>
                </c:pt>
                <c:pt idx="43">
                  <c:v>1738.7870089999999</c:v>
                </c:pt>
                <c:pt idx="44">
                  <c:v>2245.2258550000001</c:v>
                </c:pt>
                <c:pt idx="45">
                  <c:v>2168.8018259999999</c:v>
                </c:pt>
                <c:pt idx="46">
                  <c:v>2644.1423070000001</c:v>
                </c:pt>
                <c:pt idx="47">
                  <c:v>2429.9178449999999</c:v>
                </c:pt>
              </c:numCache>
            </c:numRef>
          </c:xVal>
          <c:yVal>
            <c:numRef>
              <c:f>'Plot Scale'!$Y$7:$Y$54</c:f>
              <c:numCache>
                <c:formatCode>0.0</c:formatCode>
                <c:ptCount val="48"/>
                <c:pt idx="0">
                  <c:v>2249.3287470560945</c:v>
                </c:pt>
                <c:pt idx="1">
                  <c:v>1833.5333725294688</c:v>
                </c:pt>
                <c:pt idx="2">
                  <c:v>1135.9667461840079</c:v>
                </c:pt>
                <c:pt idx="3">
                  <c:v>2331.2430626059677</c:v>
                </c:pt>
                <c:pt idx="4">
                  <c:v>2537.7313769478615</c:v>
                </c:pt>
                <c:pt idx="5">
                  <c:v>1805.1531564568854</c:v>
                </c:pt>
                <c:pt idx="6">
                  <c:v>1440.6122018889359</c:v>
                </c:pt>
                <c:pt idx="7">
                  <c:v>2333.5396182434984</c:v>
                </c:pt>
                <c:pt idx="8">
                  <c:v>3064.3439779607434</c:v>
                </c:pt>
                <c:pt idx="9">
                  <c:v>2759.7830145664179</c:v>
                </c:pt>
                <c:pt idx="10">
                  <c:v>2186.9925542209276</c:v>
                </c:pt>
                <c:pt idx="11">
                  <c:v>2880.889213979458</c:v>
                </c:pt>
                <c:pt idx="12">
                  <c:v>2827.7374839558879</c:v>
                </c:pt>
                <c:pt idx="13">
                  <c:v>2180.8405506334293</c:v>
                </c:pt>
                <c:pt idx="14">
                  <c:v>2307.7630226079846</c:v>
                </c:pt>
                <c:pt idx="15">
                  <c:v>2721.1895600352241</c:v>
                </c:pt>
                <c:pt idx="16">
                  <c:v>2293.7527790299478</c:v>
                </c:pt>
                <c:pt idx="17">
                  <c:v>2057.930465559285</c:v>
                </c:pt>
                <c:pt idx="18">
                  <c:v>1638.583875047673</c:v>
                </c:pt>
                <c:pt idx="19">
                  <c:v>1601.3550548753749</c:v>
                </c:pt>
                <c:pt idx="20">
                  <c:v>2211.509896509363</c:v>
                </c:pt>
                <c:pt idx="21">
                  <c:v>1704.724213083904</c:v>
                </c:pt>
                <c:pt idx="22">
                  <c:v>2130.8257417152377</c:v>
                </c:pt>
                <c:pt idx="23">
                  <c:v>1872.1571403126372</c:v>
                </c:pt>
                <c:pt idx="24">
                  <c:v>1867.4616571164174</c:v>
                </c:pt>
                <c:pt idx="25">
                  <c:v>2356.6478912803027</c:v>
                </c:pt>
                <c:pt idx="26">
                  <c:v>2416.9371804068114</c:v>
                </c:pt>
                <c:pt idx="27">
                  <c:v>1857.5269792292454</c:v>
                </c:pt>
                <c:pt idx="28">
                  <c:v>2093.3743227427321</c:v>
                </c:pt>
                <c:pt idx="29">
                  <c:v>2525.8877581185693</c:v>
                </c:pt>
                <c:pt idx="30">
                  <c:v>2423.209045383197</c:v>
                </c:pt>
                <c:pt idx="31">
                  <c:v>1916.0048023020972</c:v>
                </c:pt>
                <c:pt idx="32">
                  <c:v>1361.407021019204</c:v>
                </c:pt>
                <c:pt idx="33">
                  <c:v>2675.2173621493939</c:v>
                </c:pt>
                <c:pt idx="34">
                  <c:v>2431.1208515647982</c:v>
                </c:pt>
                <c:pt idx="35">
                  <c:v>1783.670969580638</c:v>
                </c:pt>
                <c:pt idx="36">
                  <c:v>1838.858500250818</c:v>
                </c:pt>
                <c:pt idx="37">
                  <c:v>2770.2578581521107</c:v>
                </c:pt>
                <c:pt idx="38">
                  <c:v>2498.6179500634416</c:v>
                </c:pt>
                <c:pt idx="39">
                  <c:v>2371.6143683278578</c:v>
                </c:pt>
                <c:pt idx="40">
                  <c:v>2424.1719640912402</c:v>
                </c:pt>
                <c:pt idx="41">
                  <c:v>2120.2845341302814</c:v>
                </c:pt>
                <c:pt idx="42">
                  <c:v>2753.408322814586</c:v>
                </c:pt>
                <c:pt idx="43">
                  <c:v>1738.7870094729487</c:v>
                </c:pt>
                <c:pt idx="44">
                  <c:v>2245.2258552510743</c:v>
                </c:pt>
                <c:pt idx="45">
                  <c:v>2168.8018259326568</c:v>
                </c:pt>
                <c:pt idx="46">
                  <c:v>2644.1423073037954</c:v>
                </c:pt>
                <c:pt idx="47">
                  <c:v>2429.9178446792462</c:v>
                </c:pt>
              </c:numCache>
            </c:numRef>
          </c:yVal>
          <c:smooth val="0"/>
          <c:extLst>
            <c:ext xmlns:c16="http://schemas.microsoft.com/office/drawing/2014/chart" uri="{C3380CC4-5D6E-409C-BE32-E72D297353CC}">
              <c16:uniqueId val="{00000001-35D4-486D-B94B-DCCF1F815CE5}"/>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DFWAH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4472C4"/>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2A60-46C8-B8E2-188286949DF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Compare!$B$5:$B$292</c:f>
              <c:numCache>
                <c:formatCode>General</c:formatCode>
                <c:ptCount val="288"/>
                <c:pt idx="0">
                  <c:v>0</c:v>
                </c:pt>
                <c:pt idx="1">
                  <c:v>0</c:v>
                </c:pt>
                <c:pt idx="2">
                  <c:v>0</c:v>
                </c:pt>
                <c:pt idx="3">
                  <c:v>0</c:v>
                </c:pt>
                <c:pt idx="4">
                  <c:v>1823.8247181721358</c:v>
                </c:pt>
                <c:pt idx="5">
                  <c:v>0</c:v>
                </c:pt>
                <c:pt idx="6">
                  <c:v>0</c:v>
                </c:pt>
                <c:pt idx="7">
                  <c:v>0</c:v>
                </c:pt>
                <c:pt idx="8">
                  <c:v>0</c:v>
                </c:pt>
                <c:pt idx="9">
                  <c:v>0</c:v>
                </c:pt>
                <c:pt idx="10">
                  <c:v>1138.658089110161</c:v>
                </c:pt>
                <c:pt idx="11">
                  <c:v>0</c:v>
                </c:pt>
                <c:pt idx="12">
                  <c:v>0</c:v>
                </c:pt>
                <c:pt idx="13">
                  <c:v>0</c:v>
                </c:pt>
                <c:pt idx="14">
                  <c:v>0</c:v>
                </c:pt>
                <c:pt idx="15">
                  <c:v>0</c:v>
                </c:pt>
                <c:pt idx="16">
                  <c:v>560.50251007137774</c:v>
                </c:pt>
                <c:pt idx="17">
                  <c:v>0</c:v>
                </c:pt>
                <c:pt idx="18">
                  <c:v>0</c:v>
                </c:pt>
                <c:pt idx="19">
                  <c:v>1430.5553239726678</c:v>
                </c:pt>
                <c:pt idx="20">
                  <c:v>0</c:v>
                </c:pt>
                <c:pt idx="21">
                  <c:v>0</c:v>
                </c:pt>
                <c:pt idx="22">
                  <c:v>1604.6610947642816</c:v>
                </c:pt>
                <c:pt idx="23">
                  <c:v>0</c:v>
                </c:pt>
                <c:pt idx="24">
                  <c:v>0</c:v>
                </c:pt>
                <c:pt idx="25">
                  <c:v>2124.1582355218193</c:v>
                </c:pt>
                <c:pt idx="26">
                  <c:v>0</c:v>
                </c:pt>
                <c:pt idx="27">
                  <c:v>0</c:v>
                </c:pt>
                <c:pt idx="28">
                  <c:v>1961.3369144807284</c:v>
                </c:pt>
                <c:pt idx="29">
                  <c:v>0</c:v>
                </c:pt>
                <c:pt idx="30">
                  <c:v>0</c:v>
                </c:pt>
                <c:pt idx="31">
                  <c:v>1627.7027233849458</c:v>
                </c:pt>
                <c:pt idx="32">
                  <c:v>0</c:v>
                </c:pt>
                <c:pt idx="33">
                  <c:v>0</c:v>
                </c:pt>
                <c:pt idx="34">
                  <c:v>1214.7521115705274</c:v>
                </c:pt>
                <c:pt idx="35">
                  <c:v>0</c:v>
                </c:pt>
                <c:pt idx="36">
                  <c:v>0</c:v>
                </c:pt>
                <c:pt idx="37">
                  <c:v>1163.8448626052084</c:v>
                </c:pt>
                <c:pt idx="38">
                  <c:v>0</c:v>
                </c:pt>
                <c:pt idx="39">
                  <c:v>0</c:v>
                </c:pt>
                <c:pt idx="40">
                  <c:v>987.06107069883717</c:v>
                </c:pt>
                <c:pt idx="41">
                  <c:v>0</c:v>
                </c:pt>
                <c:pt idx="42">
                  <c:v>0</c:v>
                </c:pt>
                <c:pt idx="43">
                  <c:v>1911.6159343244904</c:v>
                </c:pt>
                <c:pt idx="44">
                  <c:v>0</c:v>
                </c:pt>
                <c:pt idx="45">
                  <c:v>0</c:v>
                </c:pt>
                <c:pt idx="46">
                  <c:v>1633.4324587976587</c:v>
                </c:pt>
                <c:pt idx="47">
                  <c:v>0</c:v>
                </c:pt>
                <c:pt idx="48">
                  <c:v>0</c:v>
                </c:pt>
                <c:pt idx="49">
                  <c:v>1559.2433626650488</c:v>
                </c:pt>
                <c:pt idx="50">
                  <c:v>0</c:v>
                </c:pt>
                <c:pt idx="51">
                  <c:v>0</c:v>
                </c:pt>
                <c:pt idx="52">
                  <c:v>1854.5052629987329</c:v>
                </c:pt>
                <c:pt idx="53">
                  <c:v>0</c:v>
                </c:pt>
                <c:pt idx="54">
                  <c:v>0</c:v>
                </c:pt>
                <c:pt idx="55">
                  <c:v>1853.8022350733791</c:v>
                </c:pt>
                <c:pt idx="56">
                  <c:v>0</c:v>
                </c:pt>
                <c:pt idx="57">
                  <c:v>0</c:v>
                </c:pt>
                <c:pt idx="58">
                  <c:v>1728.1274035881177</c:v>
                </c:pt>
                <c:pt idx="59">
                  <c:v>0</c:v>
                </c:pt>
                <c:pt idx="60">
                  <c:v>0</c:v>
                </c:pt>
                <c:pt idx="61">
                  <c:v>1415.2103755661224</c:v>
                </c:pt>
                <c:pt idx="62">
                  <c:v>0</c:v>
                </c:pt>
                <c:pt idx="63">
                  <c:v>0</c:v>
                </c:pt>
                <c:pt idx="64">
                  <c:v>0</c:v>
                </c:pt>
                <c:pt idx="65">
                  <c:v>0</c:v>
                </c:pt>
                <c:pt idx="66">
                  <c:v>0</c:v>
                </c:pt>
                <c:pt idx="67">
                  <c:v>1644.7575618821988</c:v>
                </c:pt>
                <c:pt idx="68">
                  <c:v>0</c:v>
                </c:pt>
                <c:pt idx="69">
                  <c:v>0</c:v>
                </c:pt>
                <c:pt idx="70">
                  <c:v>1727.2967569180323</c:v>
                </c:pt>
                <c:pt idx="71">
                  <c:v>0</c:v>
                </c:pt>
                <c:pt idx="72">
                  <c:v>0</c:v>
                </c:pt>
                <c:pt idx="73">
                  <c:v>2136.9210067895037</c:v>
                </c:pt>
                <c:pt idx="74">
                  <c:v>0</c:v>
                </c:pt>
                <c:pt idx="75">
                  <c:v>0</c:v>
                </c:pt>
                <c:pt idx="76">
                  <c:v>1618.6278310060677</c:v>
                </c:pt>
                <c:pt idx="77">
                  <c:v>0</c:v>
                </c:pt>
                <c:pt idx="78">
                  <c:v>0</c:v>
                </c:pt>
                <c:pt idx="79">
                  <c:v>1683.1519056448819</c:v>
                </c:pt>
                <c:pt idx="80">
                  <c:v>0</c:v>
                </c:pt>
                <c:pt idx="81">
                  <c:v>0</c:v>
                </c:pt>
                <c:pt idx="82">
                  <c:v>1284.7836616128109</c:v>
                </c:pt>
                <c:pt idx="83">
                  <c:v>0</c:v>
                </c:pt>
                <c:pt idx="84">
                  <c:v>0</c:v>
                </c:pt>
                <c:pt idx="85">
                  <c:v>1793.1428632720667</c:v>
                </c:pt>
                <c:pt idx="86">
                  <c:v>0</c:v>
                </c:pt>
                <c:pt idx="87">
                  <c:v>0</c:v>
                </c:pt>
                <c:pt idx="88">
                  <c:v>1087.6731703628943</c:v>
                </c:pt>
                <c:pt idx="89">
                  <c:v>0</c:v>
                </c:pt>
                <c:pt idx="90">
                  <c:v>0</c:v>
                </c:pt>
                <c:pt idx="91">
                  <c:v>2089.6118355202775</c:v>
                </c:pt>
                <c:pt idx="92">
                  <c:v>0</c:v>
                </c:pt>
                <c:pt idx="93">
                  <c:v>0</c:v>
                </c:pt>
                <c:pt idx="94">
                  <c:v>1900.0722517105696</c:v>
                </c:pt>
                <c:pt idx="95">
                  <c:v>0</c:v>
                </c:pt>
                <c:pt idx="96">
                  <c:v>0</c:v>
                </c:pt>
                <c:pt idx="97">
                  <c:v>1600.7667179060629</c:v>
                </c:pt>
                <c:pt idx="98">
                  <c:v>0</c:v>
                </c:pt>
                <c:pt idx="99">
                  <c:v>0</c:v>
                </c:pt>
                <c:pt idx="100">
                  <c:v>1362.8252425613148</c:v>
                </c:pt>
                <c:pt idx="101">
                  <c:v>0</c:v>
                </c:pt>
                <c:pt idx="102">
                  <c:v>0</c:v>
                </c:pt>
                <c:pt idx="103">
                  <c:v>1625.1028666993309</c:v>
                </c:pt>
                <c:pt idx="104">
                  <c:v>0</c:v>
                </c:pt>
                <c:pt idx="105">
                  <c:v>0</c:v>
                </c:pt>
                <c:pt idx="106">
                  <c:v>1745.9280089899632</c:v>
                </c:pt>
                <c:pt idx="107">
                  <c:v>0</c:v>
                </c:pt>
                <c:pt idx="108">
                  <c:v>0</c:v>
                </c:pt>
                <c:pt idx="109">
                  <c:v>1230.4631221670015</c:v>
                </c:pt>
                <c:pt idx="110">
                  <c:v>0</c:v>
                </c:pt>
                <c:pt idx="111">
                  <c:v>0</c:v>
                </c:pt>
                <c:pt idx="112">
                  <c:v>1448.6762069425938</c:v>
                </c:pt>
                <c:pt idx="113">
                  <c:v>0</c:v>
                </c:pt>
                <c:pt idx="114">
                  <c:v>0</c:v>
                </c:pt>
                <c:pt idx="115">
                  <c:v>1052.2246185828251</c:v>
                </c:pt>
                <c:pt idx="116">
                  <c:v>0</c:v>
                </c:pt>
                <c:pt idx="117">
                  <c:v>0</c:v>
                </c:pt>
                <c:pt idx="118">
                  <c:v>1226.7602941711505</c:v>
                </c:pt>
                <c:pt idx="119">
                  <c:v>0</c:v>
                </c:pt>
                <c:pt idx="120">
                  <c:v>0</c:v>
                </c:pt>
                <c:pt idx="121">
                  <c:v>1255.9942751292149</c:v>
                </c:pt>
                <c:pt idx="122">
                  <c:v>0</c:v>
                </c:pt>
                <c:pt idx="123">
                  <c:v>0</c:v>
                </c:pt>
                <c:pt idx="124">
                  <c:v>1405.0540669947397</c:v>
                </c:pt>
                <c:pt idx="125">
                  <c:v>0</c:v>
                </c:pt>
                <c:pt idx="126">
                  <c:v>0</c:v>
                </c:pt>
                <c:pt idx="127">
                  <c:v>1015.6244153959386</c:v>
                </c:pt>
                <c:pt idx="128">
                  <c:v>0</c:v>
                </c:pt>
                <c:pt idx="129">
                  <c:v>0</c:v>
                </c:pt>
                <c:pt idx="130">
                  <c:v>1002.354896498054</c:v>
                </c:pt>
                <c:pt idx="131">
                  <c:v>0</c:v>
                </c:pt>
                <c:pt idx="132">
                  <c:v>0</c:v>
                </c:pt>
                <c:pt idx="133">
                  <c:v>1570.2764284458767</c:v>
                </c:pt>
                <c:pt idx="134">
                  <c:v>0</c:v>
                </c:pt>
                <c:pt idx="135">
                  <c:v>0</c:v>
                </c:pt>
                <c:pt idx="136">
                  <c:v>1575.3341462568817</c:v>
                </c:pt>
                <c:pt idx="137">
                  <c:v>0</c:v>
                </c:pt>
                <c:pt idx="138">
                  <c:v>0</c:v>
                </c:pt>
                <c:pt idx="139">
                  <c:v>1173.0559281913954</c:v>
                </c:pt>
                <c:pt idx="140">
                  <c:v>0</c:v>
                </c:pt>
                <c:pt idx="141">
                  <c:v>0</c:v>
                </c:pt>
                <c:pt idx="142">
                  <c:v>888.75195772867903</c:v>
                </c:pt>
                <c:pt idx="143">
                  <c:v>0</c:v>
                </c:pt>
                <c:pt idx="144">
                  <c:v>0</c:v>
                </c:pt>
                <c:pt idx="145">
                  <c:v>1580.5168800130389</c:v>
                </c:pt>
                <c:pt idx="146">
                  <c:v>0</c:v>
                </c:pt>
                <c:pt idx="147">
                  <c:v>0</c:v>
                </c:pt>
                <c:pt idx="148">
                  <c:v>902.26073469479218</c:v>
                </c:pt>
                <c:pt idx="149">
                  <c:v>0</c:v>
                </c:pt>
                <c:pt idx="150">
                  <c:v>0</c:v>
                </c:pt>
                <c:pt idx="151">
                  <c:v>2011.6576378386269</c:v>
                </c:pt>
                <c:pt idx="152">
                  <c:v>0</c:v>
                </c:pt>
                <c:pt idx="153">
                  <c:v>0</c:v>
                </c:pt>
                <c:pt idx="154">
                  <c:v>0</c:v>
                </c:pt>
                <c:pt idx="155">
                  <c:v>0</c:v>
                </c:pt>
                <c:pt idx="156">
                  <c:v>0</c:v>
                </c:pt>
                <c:pt idx="157">
                  <c:v>1746.0933538486008</c:v>
                </c:pt>
                <c:pt idx="158">
                  <c:v>0</c:v>
                </c:pt>
                <c:pt idx="159">
                  <c:v>0</c:v>
                </c:pt>
                <c:pt idx="160">
                  <c:v>0</c:v>
                </c:pt>
                <c:pt idx="161">
                  <c:v>0</c:v>
                </c:pt>
                <c:pt idx="162">
                  <c:v>0</c:v>
                </c:pt>
                <c:pt idx="163">
                  <c:v>1406.8896528094938</c:v>
                </c:pt>
                <c:pt idx="164">
                  <c:v>0</c:v>
                </c:pt>
                <c:pt idx="165">
                  <c:v>0</c:v>
                </c:pt>
                <c:pt idx="166">
                  <c:v>0</c:v>
                </c:pt>
                <c:pt idx="167">
                  <c:v>0</c:v>
                </c:pt>
                <c:pt idx="168">
                  <c:v>0</c:v>
                </c:pt>
                <c:pt idx="169">
                  <c:v>1272.4723837330187</c:v>
                </c:pt>
                <c:pt idx="170">
                  <c:v>0</c:v>
                </c:pt>
                <c:pt idx="171">
                  <c:v>0</c:v>
                </c:pt>
                <c:pt idx="172">
                  <c:v>0</c:v>
                </c:pt>
                <c:pt idx="173">
                  <c:v>0</c:v>
                </c:pt>
                <c:pt idx="174">
                  <c:v>0</c:v>
                </c:pt>
                <c:pt idx="175">
                  <c:v>1335.2498841406145</c:v>
                </c:pt>
                <c:pt idx="176">
                  <c:v>0</c:v>
                </c:pt>
                <c:pt idx="177">
                  <c:v>0</c:v>
                </c:pt>
                <c:pt idx="178">
                  <c:v>1605.9294436162875</c:v>
                </c:pt>
                <c:pt idx="179">
                  <c:v>0</c:v>
                </c:pt>
                <c:pt idx="180">
                  <c:v>0</c:v>
                </c:pt>
                <c:pt idx="181">
                  <c:v>1085.4282477838465</c:v>
                </c:pt>
                <c:pt idx="182">
                  <c:v>0</c:v>
                </c:pt>
                <c:pt idx="183">
                  <c:v>0</c:v>
                </c:pt>
                <c:pt idx="184">
                  <c:v>1512.6014854567009</c:v>
                </c:pt>
                <c:pt idx="185">
                  <c:v>0</c:v>
                </c:pt>
                <c:pt idx="186">
                  <c:v>0</c:v>
                </c:pt>
                <c:pt idx="187">
                  <c:v>1048.8054597462994</c:v>
                </c:pt>
                <c:pt idx="188">
                  <c:v>0</c:v>
                </c:pt>
                <c:pt idx="189">
                  <c:v>0</c:v>
                </c:pt>
                <c:pt idx="190">
                  <c:v>1002.9434944746232</c:v>
                </c:pt>
                <c:pt idx="191">
                  <c:v>0</c:v>
                </c:pt>
                <c:pt idx="192">
                  <c:v>0</c:v>
                </c:pt>
                <c:pt idx="193">
                  <c:v>810.30308916252534</c:v>
                </c:pt>
                <c:pt idx="194">
                  <c:v>0</c:v>
                </c:pt>
                <c:pt idx="195">
                  <c:v>0</c:v>
                </c:pt>
                <c:pt idx="196">
                  <c:v>928.14128187198924</c:v>
                </c:pt>
                <c:pt idx="197">
                  <c:v>0</c:v>
                </c:pt>
                <c:pt idx="198">
                  <c:v>0</c:v>
                </c:pt>
                <c:pt idx="199">
                  <c:v>1351.553670125375</c:v>
                </c:pt>
                <c:pt idx="200">
                  <c:v>0</c:v>
                </c:pt>
                <c:pt idx="201">
                  <c:v>0</c:v>
                </c:pt>
                <c:pt idx="202">
                  <c:v>1515.291573779595</c:v>
                </c:pt>
                <c:pt idx="203">
                  <c:v>0</c:v>
                </c:pt>
                <c:pt idx="204">
                  <c:v>0</c:v>
                </c:pt>
                <c:pt idx="205">
                  <c:v>1289.6195010677166</c:v>
                </c:pt>
                <c:pt idx="206">
                  <c:v>0</c:v>
                </c:pt>
                <c:pt idx="207">
                  <c:v>0</c:v>
                </c:pt>
                <c:pt idx="208">
                  <c:v>0</c:v>
                </c:pt>
                <c:pt idx="209">
                  <c:v>0</c:v>
                </c:pt>
                <c:pt idx="210">
                  <c:v>0</c:v>
                </c:pt>
                <c:pt idx="211">
                  <c:v>902.28239411227707</c:v>
                </c:pt>
                <c:pt idx="212">
                  <c:v>0</c:v>
                </c:pt>
                <c:pt idx="213">
                  <c:v>0</c:v>
                </c:pt>
                <c:pt idx="214">
                  <c:v>0</c:v>
                </c:pt>
                <c:pt idx="215">
                  <c:v>0</c:v>
                </c:pt>
                <c:pt idx="216">
                  <c:v>0</c:v>
                </c:pt>
                <c:pt idx="217">
                  <c:v>1541.2458255493582</c:v>
                </c:pt>
                <c:pt idx="218">
                  <c:v>0</c:v>
                </c:pt>
                <c:pt idx="219">
                  <c:v>0</c:v>
                </c:pt>
                <c:pt idx="220">
                  <c:v>1480.9168051217362</c:v>
                </c:pt>
                <c:pt idx="221">
                  <c:v>0</c:v>
                </c:pt>
                <c:pt idx="222">
                  <c:v>0</c:v>
                </c:pt>
                <c:pt idx="223">
                  <c:v>1877.4911187149639</c:v>
                </c:pt>
                <c:pt idx="224">
                  <c:v>0</c:v>
                </c:pt>
                <c:pt idx="225">
                  <c:v>0</c:v>
                </c:pt>
                <c:pt idx="226">
                  <c:v>2161.7027756635193</c:v>
                </c:pt>
                <c:pt idx="227">
                  <c:v>0</c:v>
                </c:pt>
                <c:pt idx="228">
                  <c:v>0</c:v>
                </c:pt>
                <c:pt idx="229">
                  <c:v>1893.7368264653571</c:v>
                </c:pt>
                <c:pt idx="230">
                  <c:v>0</c:v>
                </c:pt>
                <c:pt idx="231">
                  <c:v>0</c:v>
                </c:pt>
                <c:pt idx="232">
                  <c:v>1774.8281416292054</c:v>
                </c:pt>
                <c:pt idx="233">
                  <c:v>0</c:v>
                </c:pt>
                <c:pt idx="234">
                  <c:v>0</c:v>
                </c:pt>
                <c:pt idx="235">
                  <c:v>1556.1712045335137</c:v>
                </c:pt>
                <c:pt idx="236">
                  <c:v>0</c:v>
                </c:pt>
                <c:pt idx="237">
                  <c:v>0</c:v>
                </c:pt>
                <c:pt idx="238">
                  <c:v>1826.4367636264781</c:v>
                </c:pt>
                <c:pt idx="239">
                  <c:v>0</c:v>
                </c:pt>
                <c:pt idx="240">
                  <c:v>0</c:v>
                </c:pt>
                <c:pt idx="241">
                  <c:v>2114.8247558636758</c:v>
                </c:pt>
                <c:pt idx="242">
                  <c:v>0</c:v>
                </c:pt>
                <c:pt idx="243">
                  <c:v>0</c:v>
                </c:pt>
                <c:pt idx="244">
                  <c:v>1365.0301330709069</c:v>
                </c:pt>
                <c:pt idx="245">
                  <c:v>0</c:v>
                </c:pt>
                <c:pt idx="246">
                  <c:v>0</c:v>
                </c:pt>
                <c:pt idx="247">
                  <c:v>1431.9632670001461</c:v>
                </c:pt>
                <c:pt idx="248">
                  <c:v>0</c:v>
                </c:pt>
                <c:pt idx="249">
                  <c:v>0</c:v>
                </c:pt>
                <c:pt idx="250">
                  <c:v>1630.8547368946779</c:v>
                </c:pt>
                <c:pt idx="251">
                  <c:v>0</c:v>
                </c:pt>
                <c:pt idx="252">
                  <c:v>0</c:v>
                </c:pt>
                <c:pt idx="253">
                  <c:v>1887.1062032946936</c:v>
                </c:pt>
                <c:pt idx="254">
                  <c:v>0</c:v>
                </c:pt>
                <c:pt idx="255">
                  <c:v>0</c:v>
                </c:pt>
                <c:pt idx="256">
                  <c:v>1708.8919392189262</c:v>
                </c:pt>
                <c:pt idx="257">
                  <c:v>0</c:v>
                </c:pt>
                <c:pt idx="258">
                  <c:v>0</c:v>
                </c:pt>
                <c:pt idx="259">
                  <c:v>1216.6086331393474</c:v>
                </c:pt>
                <c:pt idx="260">
                  <c:v>0</c:v>
                </c:pt>
                <c:pt idx="261">
                  <c:v>0</c:v>
                </c:pt>
                <c:pt idx="262">
                  <c:v>1094.3684892975714</c:v>
                </c:pt>
                <c:pt idx="263">
                  <c:v>0</c:v>
                </c:pt>
                <c:pt idx="264">
                  <c:v>0</c:v>
                </c:pt>
                <c:pt idx="265">
                  <c:v>1246.3637030629709</c:v>
                </c:pt>
                <c:pt idx="266">
                  <c:v>0</c:v>
                </c:pt>
                <c:pt idx="267">
                  <c:v>0</c:v>
                </c:pt>
                <c:pt idx="268">
                  <c:v>1460.854717043037</c:v>
                </c:pt>
                <c:pt idx="269">
                  <c:v>0</c:v>
                </c:pt>
                <c:pt idx="270">
                  <c:v>0</c:v>
                </c:pt>
                <c:pt idx="271">
                  <c:v>1460.622230354383</c:v>
                </c:pt>
                <c:pt idx="272">
                  <c:v>0</c:v>
                </c:pt>
                <c:pt idx="273">
                  <c:v>0</c:v>
                </c:pt>
                <c:pt idx="274">
                  <c:v>1477.4539674935659</c:v>
                </c:pt>
                <c:pt idx="275">
                  <c:v>0</c:v>
                </c:pt>
                <c:pt idx="276">
                  <c:v>0</c:v>
                </c:pt>
                <c:pt idx="277">
                  <c:v>1770.5447959843614</c:v>
                </c:pt>
                <c:pt idx="278">
                  <c:v>0</c:v>
                </c:pt>
                <c:pt idx="279">
                  <c:v>0</c:v>
                </c:pt>
                <c:pt idx="280">
                  <c:v>1242.3934672912681</c:v>
                </c:pt>
                <c:pt idx="281">
                  <c:v>0</c:v>
                </c:pt>
                <c:pt idx="282">
                  <c:v>0</c:v>
                </c:pt>
                <c:pt idx="283">
                  <c:v>1392.2594564307688</c:v>
                </c:pt>
                <c:pt idx="284">
                  <c:v>0</c:v>
                </c:pt>
                <c:pt idx="285">
                  <c:v>0</c:v>
                </c:pt>
                <c:pt idx="286">
                  <c:v>1349.1192339782679</c:v>
                </c:pt>
                <c:pt idx="287">
                  <c:v>0</c:v>
                </c:pt>
              </c:numCache>
            </c:numRef>
          </c:xVal>
          <c:yVal>
            <c:numRef>
              <c:f>'Raw Scale'!$AB$86:$AB$373</c:f>
              <c:numCache>
                <c:formatCode>0.0</c:formatCode>
                <c:ptCount val="288"/>
                <c:pt idx="4">
                  <c:v>1823.8247181721358</c:v>
                </c:pt>
                <c:pt idx="10">
                  <c:v>1138.658089110161</c:v>
                </c:pt>
                <c:pt idx="16">
                  <c:v>560.50251007137774</c:v>
                </c:pt>
                <c:pt idx="19">
                  <c:v>1430.5553239726678</c:v>
                </c:pt>
                <c:pt idx="22">
                  <c:v>1604.6610947642816</c:v>
                </c:pt>
                <c:pt idx="25">
                  <c:v>2124.1582355218193</c:v>
                </c:pt>
                <c:pt idx="28">
                  <c:v>1961.3369144807284</c:v>
                </c:pt>
                <c:pt idx="31">
                  <c:v>1627.7027233849458</c:v>
                </c:pt>
                <c:pt idx="34">
                  <c:v>1214.7521115705274</c:v>
                </c:pt>
                <c:pt idx="37">
                  <c:v>1163.8448626052084</c:v>
                </c:pt>
                <c:pt idx="40">
                  <c:v>987.06107069883717</c:v>
                </c:pt>
                <c:pt idx="43">
                  <c:v>1911.6159343244904</c:v>
                </c:pt>
                <c:pt idx="46">
                  <c:v>1633.4324587976587</c:v>
                </c:pt>
                <c:pt idx="49">
                  <c:v>1559.2433626650488</c:v>
                </c:pt>
                <c:pt idx="52">
                  <c:v>1854.5052629987329</c:v>
                </c:pt>
                <c:pt idx="55">
                  <c:v>1853.8022350733791</c:v>
                </c:pt>
                <c:pt idx="58">
                  <c:v>1728.1274035881177</c:v>
                </c:pt>
                <c:pt idx="61">
                  <c:v>1415.2103755661224</c:v>
                </c:pt>
                <c:pt idx="67">
                  <c:v>1644.7575618821988</c:v>
                </c:pt>
                <c:pt idx="70">
                  <c:v>1727.2967569180323</c:v>
                </c:pt>
                <c:pt idx="73">
                  <c:v>2136.9210067895037</c:v>
                </c:pt>
                <c:pt idx="76">
                  <c:v>1618.6278310060677</c:v>
                </c:pt>
                <c:pt idx="79">
                  <c:v>1683.1519056448819</c:v>
                </c:pt>
                <c:pt idx="82">
                  <c:v>1284.7836616128109</c:v>
                </c:pt>
                <c:pt idx="85">
                  <c:v>1793.1428632720667</c:v>
                </c:pt>
                <c:pt idx="88">
                  <c:v>1087.6731703628943</c:v>
                </c:pt>
                <c:pt idx="91">
                  <c:v>2089.6118355202775</c:v>
                </c:pt>
                <c:pt idx="94">
                  <c:v>1900.0722517105696</c:v>
                </c:pt>
                <c:pt idx="97">
                  <c:v>1600.7667179060629</c:v>
                </c:pt>
                <c:pt idx="100">
                  <c:v>1362.8252425613148</c:v>
                </c:pt>
                <c:pt idx="103">
                  <c:v>1625.1028666993309</c:v>
                </c:pt>
                <c:pt idx="106">
                  <c:v>1745.9280089899632</c:v>
                </c:pt>
                <c:pt idx="109">
                  <c:v>1230.4631221670015</c:v>
                </c:pt>
                <c:pt idx="112">
                  <c:v>1448.6762069425938</c:v>
                </c:pt>
                <c:pt idx="115">
                  <c:v>1052.2246185828251</c:v>
                </c:pt>
                <c:pt idx="118">
                  <c:v>1226.7602941711505</c:v>
                </c:pt>
                <c:pt idx="121">
                  <c:v>1255.9942751292149</c:v>
                </c:pt>
                <c:pt idx="124">
                  <c:v>1405.0540669947397</c:v>
                </c:pt>
                <c:pt idx="127">
                  <c:v>1015.6244153959386</c:v>
                </c:pt>
                <c:pt idx="130">
                  <c:v>1002.354896498054</c:v>
                </c:pt>
                <c:pt idx="133">
                  <c:v>1570.2764284458767</c:v>
                </c:pt>
                <c:pt idx="136">
                  <c:v>1575.3341462568817</c:v>
                </c:pt>
                <c:pt idx="139">
                  <c:v>1173.0559281913954</c:v>
                </c:pt>
                <c:pt idx="142">
                  <c:v>888.75195772867903</c:v>
                </c:pt>
                <c:pt idx="145">
                  <c:v>1580.5168800130389</c:v>
                </c:pt>
                <c:pt idx="148">
                  <c:v>902.26073469479218</c:v>
                </c:pt>
                <c:pt idx="151">
                  <c:v>2011.6576378386269</c:v>
                </c:pt>
                <c:pt idx="157">
                  <c:v>1746.0933538486008</c:v>
                </c:pt>
                <c:pt idx="163">
                  <c:v>1406.8896528094938</c:v>
                </c:pt>
                <c:pt idx="169">
                  <c:v>1272.4723837330187</c:v>
                </c:pt>
                <c:pt idx="175">
                  <c:v>1335.2498841406145</c:v>
                </c:pt>
                <c:pt idx="178">
                  <c:v>1605.9294436162875</c:v>
                </c:pt>
                <c:pt idx="181">
                  <c:v>1085.4282477838465</c:v>
                </c:pt>
                <c:pt idx="184">
                  <c:v>1512.6014854567009</c:v>
                </c:pt>
                <c:pt idx="187">
                  <c:v>1048.8054597462994</c:v>
                </c:pt>
                <c:pt idx="190">
                  <c:v>1002.9434944746232</c:v>
                </c:pt>
                <c:pt idx="193">
                  <c:v>810.30308916252534</c:v>
                </c:pt>
                <c:pt idx="196">
                  <c:v>928.14128187198924</c:v>
                </c:pt>
                <c:pt idx="199">
                  <c:v>1351.553670125375</c:v>
                </c:pt>
                <c:pt idx="202">
                  <c:v>1515.291573779595</c:v>
                </c:pt>
                <c:pt idx="205">
                  <c:v>1289.6195010677166</c:v>
                </c:pt>
                <c:pt idx="211">
                  <c:v>902.28239411227707</c:v>
                </c:pt>
                <c:pt idx="217">
                  <c:v>1541.2458255493582</c:v>
                </c:pt>
                <c:pt idx="220">
                  <c:v>1480.9168051217362</c:v>
                </c:pt>
                <c:pt idx="223">
                  <c:v>1877.4911187149639</c:v>
                </c:pt>
                <c:pt idx="226">
                  <c:v>2161.7027756635193</c:v>
                </c:pt>
                <c:pt idx="229">
                  <c:v>1893.7368264653571</c:v>
                </c:pt>
                <c:pt idx="232">
                  <c:v>1774.8281416292054</c:v>
                </c:pt>
                <c:pt idx="235">
                  <c:v>1556.1712045335137</c:v>
                </c:pt>
                <c:pt idx="238">
                  <c:v>1826.4367636264781</c:v>
                </c:pt>
                <c:pt idx="241">
                  <c:v>2114.8247558636758</c:v>
                </c:pt>
                <c:pt idx="244">
                  <c:v>1365.0301330709069</c:v>
                </c:pt>
                <c:pt idx="247">
                  <c:v>1431.9632670001461</c:v>
                </c:pt>
                <c:pt idx="250">
                  <c:v>1630.8547368946779</c:v>
                </c:pt>
                <c:pt idx="253">
                  <c:v>1887.1062032946936</c:v>
                </c:pt>
                <c:pt idx="256">
                  <c:v>1708.8919392189262</c:v>
                </c:pt>
                <c:pt idx="259">
                  <c:v>1216.6086331393474</c:v>
                </c:pt>
                <c:pt idx="262">
                  <c:v>1094.3684892975714</c:v>
                </c:pt>
                <c:pt idx="265">
                  <c:v>1246.3637030629709</c:v>
                </c:pt>
                <c:pt idx="268">
                  <c:v>1460.854717043037</c:v>
                </c:pt>
                <c:pt idx="271">
                  <c:v>1460.622230354383</c:v>
                </c:pt>
                <c:pt idx="274">
                  <c:v>1477.4539674935659</c:v>
                </c:pt>
                <c:pt idx="277">
                  <c:v>1770.5447959843614</c:v>
                </c:pt>
                <c:pt idx="280">
                  <c:v>1242.3934672912681</c:v>
                </c:pt>
                <c:pt idx="283">
                  <c:v>1392.2594564307688</c:v>
                </c:pt>
                <c:pt idx="286">
                  <c:v>1349.1192339782679</c:v>
                </c:pt>
              </c:numCache>
            </c:numRef>
          </c:yVal>
          <c:smooth val="0"/>
          <c:extLst>
            <c:ext xmlns:c16="http://schemas.microsoft.com/office/drawing/2014/chart" uri="{C3380CC4-5D6E-409C-BE32-E72D297353CC}">
              <c16:uniqueId val="{00000001-2A60-46C8-B8E2-188286949DF0}"/>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DSWAH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4472C4"/>
              </a:solidFill>
              <a:round/>
            </a:ln>
            <a:effectLst/>
          </c:spPr>
          <c:marker>
            <c:symbol val="none"/>
          </c:marker>
          <c:xVal>
            <c:numRef>
              <c:f>Compare!$AC$4:$AC$5</c:f>
              <c:numCache>
                <c:formatCode>General</c:formatCode>
                <c:ptCount val="2"/>
                <c:pt idx="0">
                  <c:v>0</c:v>
                </c:pt>
                <c:pt idx="1">
                  <c:v>4000</c:v>
                </c:pt>
              </c:numCache>
            </c:numRef>
          </c:xVal>
          <c:yVal>
            <c:numRef>
              <c:f>Compare!$AC$4:$AC$5</c:f>
              <c:numCache>
                <c:formatCode>General</c:formatCode>
                <c:ptCount val="2"/>
                <c:pt idx="0">
                  <c:v>0</c:v>
                </c:pt>
                <c:pt idx="1">
                  <c:v>4000</c:v>
                </c:pt>
              </c:numCache>
            </c:numRef>
          </c:yVal>
          <c:smooth val="0"/>
          <c:extLst>
            <c:ext xmlns:c16="http://schemas.microsoft.com/office/drawing/2014/chart" uri="{C3380CC4-5D6E-409C-BE32-E72D297353CC}">
              <c16:uniqueId val="{00000000-C6BE-4642-AA57-DA2C8DC727B4}"/>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Compare!$C$5:$C$292</c:f>
              <c:numCache>
                <c:formatCode>General</c:formatCode>
                <c:ptCount val="288"/>
                <c:pt idx="0">
                  <c:v>0</c:v>
                </c:pt>
                <c:pt idx="1">
                  <c:v>0</c:v>
                </c:pt>
                <c:pt idx="2">
                  <c:v>0</c:v>
                </c:pt>
                <c:pt idx="3">
                  <c:v>0</c:v>
                </c:pt>
                <c:pt idx="4">
                  <c:v>3069.1243913326807</c:v>
                </c:pt>
                <c:pt idx="5">
                  <c:v>0</c:v>
                </c:pt>
                <c:pt idx="6">
                  <c:v>0</c:v>
                </c:pt>
                <c:pt idx="7">
                  <c:v>0</c:v>
                </c:pt>
                <c:pt idx="8">
                  <c:v>0</c:v>
                </c:pt>
                <c:pt idx="9">
                  <c:v>0</c:v>
                </c:pt>
                <c:pt idx="10">
                  <c:v>1954.8643299767366</c:v>
                </c:pt>
                <c:pt idx="11">
                  <c:v>0</c:v>
                </c:pt>
                <c:pt idx="12">
                  <c:v>0</c:v>
                </c:pt>
                <c:pt idx="13">
                  <c:v>0</c:v>
                </c:pt>
                <c:pt idx="14">
                  <c:v>0</c:v>
                </c:pt>
                <c:pt idx="15">
                  <c:v>0</c:v>
                </c:pt>
                <c:pt idx="16">
                  <c:v>970.10049820046152</c:v>
                </c:pt>
                <c:pt idx="17">
                  <c:v>0</c:v>
                </c:pt>
                <c:pt idx="18">
                  <c:v>0</c:v>
                </c:pt>
                <c:pt idx="19">
                  <c:v>2432.9172176405914</c:v>
                </c:pt>
                <c:pt idx="20">
                  <c:v>0</c:v>
                </c:pt>
                <c:pt idx="21">
                  <c:v>0</c:v>
                </c:pt>
                <c:pt idx="22">
                  <c:v>2884.4521519382483</c:v>
                </c:pt>
                <c:pt idx="23">
                  <c:v>0</c:v>
                </c:pt>
                <c:pt idx="24">
                  <c:v>0</c:v>
                </c:pt>
                <c:pt idx="25">
                  <c:v>2740.8493361571859</c:v>
                </c:pt>
                <c:pt idx="26">
                  <c:v>0</c:v>
                </c:pt>
                <c:pt idx="27">
                  <c:v>0</c:v>
                </c:pt>
                <c:pt idx="28">
                  <c:v>2700.5342440588925</c:v>
                </c:pt>
                <c:pt idx="29">
                  <c:v>0</c:v>
                </c:pt>
                <c:pt idx="30">
                  <c:v>0</c:v>
                </c:pt>
                <c:pt idx="31">
                  <c:v>2166.8792505062088</c:v>
                </c:pt>
                <c:pt idx="32">
                  <c:v>0</c:v>
                </c:pt>
                <c:pt idx="33">
                  <c:v>0</c:v>
                </c:pt>
                <c:pt idx="34">
                  <c:v>1666.5194257909711</c:v>
                </c:pt>
                <c:pt idx="35">
                  <c:v>0</c:v>
                </c:pt>
                <c:pt idx="36">
                  <c:v>0</c:v>
                </c:pt>
                <c:pt idx="37">
                  <c:v>1537.9378541568826</c:v>
                </c:pt>
                <c:pt idx="38">
                  <c:v>0</c:v>
                </c:pt>
                <c:pt idx="39">
                  <c:v>0</c:v>
                </c:pt>
                <c:pt idx="40">
                  <c:v>1357.2089722109008</c:v>
                </c:pt>
                <c:pt idx="41">
                  <c:v>0</c:v>
                </c:pt>
                <c:pt idx="42">
                  <c:v>0</c:v>
                </c:pt>
                <c:pt idx="43">
                  <c:v>2654.471867352142</c:v>
                </c:pt>
                <c:pt idx="44">
                  <c:v>0</c:v>
                </c:pt>
                <c:pt idx="45">
                  <c:v>0</c:v>
                </c:pt>
                <c:pt idx="46">
                  <c:v>2217.508307701064</c:v>
                </c:pt>
                <c:pt idx="47">
                  <c:v>0</c:v>
                </c:pt>
                <c:pt idx="48">
                  <c:v>0</c:v>
                </c:pt>
                <c:pt idx="49">
                  <c:v>2650.7137165305826</c:v>
                </c:pt>
                <c:pt idx="50">
                  <c:v>0</c:v>
                </c:pt>
                <c:pt idx="51">
                  <c:v>0</c:v>
                </c:pt>
                <c:pt idx="52">
                  <c:v>3081.0299078391645</c:v>
                </c:pt>
                <c:pt idx="53">
                  <c:v>0</c:v>
                </c:pt>
                <c:pt idx="54">
                  <c:v>0</c:v>
                </c:pt>
                <c:pt idx="55">
                  <c:v>3017.3589570875215</c:v>
                </c:pt>
                <c:pt idx="56">
                  <c:v>0</c:v>
                </c:pt>
                <c:pt idx="57">
                  <c:v>0</c:v>
                </c:pt>
                <c:pt idx="58">
                  <c:v>2873.7399520341737</c:v>
                </c:pt>
                <c:pt idx="59">
                  <c:v>0</c:v>
                </c:pt>
                <c:pt idx="60">
                  <c:v>0</c:v>
                </c:pt>
                <c:pt idx="61">
                  <c:v>2371.6973880177084</c:v>
                </c:pt>
                <c:pt idx="62">
                  <c:v>0</c:v>
                </c:pt>
                <c:pt idx="63">
                  <c:v>0</c:v>
                </c:pt>
                <c:pt idx="64">
                  <c:v>0</c:v>
                </c:pt>
                <c:pt idx="65">
                  <c:v>0</c:v>
                </c:pt>
                <c:pt idx="66">
                  <c:v>0</c:v>
                </c:pt>
                <c:pt idx="67">
                  <c:v>2763.9712874233396</c:v>
                </c:pt>
                <c:pt idx="68">
                  <c:v>0</c:v>
                </c:pt>
                <c:pt idx="69">
                  <c:v>0</c:v>
                </c:pt>
                <c:pt idx="70">
                  <c:v>2836.2997883483599</c:v>
                </c:pt>
                <c:pt idx="71">
                  <c:v>0</c:v>
                </c:pt>
                <c:pt idx="72">
                  <c:v>0</c:v>
                </c:pt>
                <c:pt idx="73">
                  <c:v>3059.6823506304254</c:v>
                </c:pt>
                <c:pt idx="74">
                  <c:v>0</c:v>
                </c:pt>
                <c:pt idx="75">
                  <c:v>0</c:v>
                </c:pt>
                <c:pt idx="76">
                  <c:v>2315.2524671352612</c:v>
                </c:pt>
                <c:pt idx="77">
                  <c:v>0</c:v>
                </c:pt>
                <c:pt idx="78">
                  <c:v>0</c:v>
                </c:pt>
                <c:pt idx="79">
                  <c:v>2336.6108807776004</c:v>
                </c:pt>
                <c:pt idx="80">
                  <c:v>0</c:v>
                </c:pt>
                <c:pt idx="81">
                  <c:v>0</c:v>
                </c:pt>
                <c:pt idx="82">
                  <c:v>1911.7580884798622</c:v>
                </c:pt>
                <c:pt idx="83">
                  <c:v>0</c:v>
                </c:pt>
                <c:pt idx="84">
                  <c:v>0</c:v>
                </c:pt>
                <c:pt idx="85">
                  <c:v>2571.4850951319204</c:v>
                </c:pt>
                <c:pt idx="86">
                  <c:v>0</c:v>
                </c:pt>
                <c:pt idx="87">
                  <c:v>0</c:v>
                </c:pt>
                <c:pt idx="88">
                  <c:v>1626.3303594949941</c:v>
                </c:pt>
                <c:pt idx="89">
                  <c:v>0</c:v>
                </c:pt>
                <c:pt idx="90">
                  <c:v>0</c:v>
                </c:pt>
                <c:pt idx="91">
                  <c:v>2907.7145824456688</c:v>
                </c:pt>
                <c:pt idx="92">
                  <c:v>0</c:v>
                </c:pt>
                <c:pt idx="93">
                  <c:v>0</c:v>
                </c:pt>
                <c:pt idx="94">
                  <c:v>2714.3889310150994</c:v>
                </c:pt>
                <c:pt idx="95">
                  <c:v>0</c:v>
                </c:pt>
                <c:pt idx="96">
                  <c:v>0</c:v>
                </c:pt>
                <c:pt idx="97">
                  <c:v>2313.3031228276645</c:v>
                </c:pt>
                <c:pt idx="98">
                  <c:v>0</c:v>
                </c:pt>
                <c:pt idx="99">
                  <c:v>0</c:v>
                </c:pt>
                <c:pt idx="100">
                  <c:v>2084.3209592114226</c:v>
                </c:pt>
                <c:pt idx="101">
                  <c:v>0</c:v>
                </c:pt>
                <c:pt idx="102">
                  <c:v>0</c:v>
                </c:pt>
                <c:pt idx="103">
                  <c:v>2290.8076554677318</c:v>
                </c:pt>
                <c:pt idx="104">
                  <c:v>0</c:v>
                </c:pt>
                <c:pt idx="105">
                  <c:v>0</c:v>
                </c:pt>
                <c:pt idx="106">
                  <c:v>2440.3311943836984</c:v>
                </c:pt>
                <c:pt idx="107">
                  <c:v>0</c:v>
                </c:pt>
                <c:pt idx="108">
                  <c:v>0</c:v>
                </c:pt>
                <c:pt idx="109">
                  <c:v>1756.3868759964455</c:v>
                </c:pt>
                <c:pt idx="110">
                  <c:v>0</c:v>
                </c:pt>
                <c:pt idx="111">
                  <c:v>0</c:v>
                </c:pt>
                <c:pt idx="112">
                  <c:v>1988.1832081488005</c:v>
                </c:pt>
                <c:pt idx="113">
                  <c:v>0</c:v>
                </c:pt>
                <c:pt idx="114">
                  <c:v>0</c:v>
                </c:pt>
                <c:pt idx="115">
                  <c:v>1493.156839703247</c:v>
                </c:pt>
                <c:pt idx="116">
                  <c:v>0</c:v>
                </c:pt>
                <c:pt idx="117">
                  <c:v>0</c:v>
                </c:pt>
                <c:pt idx="118">
                  <c:v>1642.439402113441</c:v>
                </c:pt>
                <c:pt idx="119">
                  <c:v>0</c:v>
                </c:pt>
                <c:pt idx="120">
                  <c:v>0</c:v>
                </c:pt>
                <c:pt idx="121">
                  <c:v>2163.1012516114256</c:v>
                </c:pt>
                <c:pt idx="122">
                  <c:v>0</c:v>
                </c:pt>
                <c:pt idx="123">
                  <c:v>0</c:v>
                </c:pt>
                <c:pt idx="124">
                  <c:v>2285.6865456041191</c:v>
                </c:pt>
                <c:pt idx="125">
                  <c:v>0</c:v>
                </c:pt>
                <c:pt idx="126">
                  <c:v>0</c:v>
                </c:pt>
                <c:pt idx="127">
                  <c:v>1642.9218484346065</c:v>
                </c:pt>
                <c:pt idx="128">
                  <c:v>0</c:v>
                </c:pt>
                <c:pt idx="129">
                  <c:v>0</c:v>
                </c:pt>
                <c:pt idx="130">
                  <c:v>1558.1160272296481</c:v>
                </c:pt>
                <c:pt idx="131">
                  <c:v>0</c:v>
                </c:pt>
                <c:pt idx="132">
                  <c:v>0</c:v>
                </c:pt>
                <c:pt idx="133">
                  <c:v>2649.2393731448842</c:v>
                </c:pt>
                <c:pt idx="134">
                  <c:v>0</c:v>
                </c:pt>
                <c:pt idx="135">
                  <c:v>0</c:v>
                </c:pt>
                <c:pt idx="136">
                  <c:v>2412.2304114558497</c:v>
                </c:pt>
                <c:pt idx="137">
                  <c:v>0</c:v>
                </c:pt>
                <c:pt idx="138">
                  <c:v>0</c:v>
                </c:pt>
                <c:pt idx="139">
                  <c:v>1908.7011712944741</c:v>
                </c:pt>
                <c:pt idx="140">
                  <c:v>0</c:v>
                </c:pt>
                <c:pt idx="141">
                  <c:v>0</c:v>
                </c:pt>
                <c:pt idx="142">
                  <c:v>1403.824115048709</c:v>
                </c:pt>
                <c:pt idx="143">
                  <c:v>0</c:v>
                </c:pt>
                <c:pt idx="144">
                  <c:v>0</c:v>
                </c:pt>
                <c:pt idx="145">
                  <c:v>2164.4020968331424</c:v>
                </c:pt>
                <c:pt idx="146">
                  <c:v>0</c:v>
                </c:pt>
                <c:pt idx="147">
                  <c:v>0</c:v>
                </c:pt>
                <c:pt idx="148">
                  <c:v>1196.0200436651896</c:v>
                </c:pt>
                <c:pt idx="149">
                  <c:v>0</c:v>
                </c:pt>
                <c:pt idx="150">
                  <c:v>0</c:v>
                </c:pt>
                <c:pt idx="151">
                  <c:v>2928.736855088589</c:v>
                </c:pt>
                <c:pt idx="152">
                  <c:v>0</c:v>
                </c:pt>
                <c:pt idx="153">
                  <c:v>0</c:v>
                </c:pt>
                <c:pt idx="154">
                  <c:v>0</c:v>
                </c:pt>
                <c:pt idx="155">
                  <c:v>0</c:v>
                </c:pt>
                <c:pt idx="156">
                  <c:v>0</c:v>
                </c:pt>
                <c:pt idx="157">
                  <c:v>2482.8841910217102</c:v>
                </c:pt>
                <c:pt idx="158">
                  <c:v>0</c:v>
                </c:pt>
                <c:pt idx="159">
                  <c:v>0</c:v>
                </c:pt>
                <c:pt idx="160">
                  <c:v>0</c:v>
                </c:pt>
                <c:pt idx="161">
                  <c:v>0</c:v>
                </c:pt>
                <c:pt idx="162">
                  <c:v>0</c:v>
                </c:pt>
                <c:pt idx="163">
                  <c:v>2002.5071700573085</c:v>
                </c:pt>
                <c:pt idx="164">
                  <c:v>0</c:v>
                </c:pt>
                <c:pt idx="165">
                  <c:v>0</c:v>
                </c:pt>
                <c:pt idx="166">
                  <c:v>0</c:v>
                </c:pt>
                <c:pt idx="167">
                  <c:v>0</c:v>
                </c:pt>
                <c:pt idx="168">
                  <c:v>0</c:v>
                </c:pt>
                <c:pt idx="169">
                  <c:v>2078.6953444188243</c:v>
                </c:pt>
                <c:pt idx="170">
                  <c:v>0</c:v>
                </c:pt>
                <c:pt idx="171">
                  <c:v>0</c:v>
                </c:pt>
                <c:pt idx="172">
                  <c:v>0</c:v>
                </c:pt>
                <c:pt idx="173">
                  <c:v>0</c:v>
                </c:pt>
                <c:pt idx="174">
                  <c:v>0</c:v>
                </c:pt>
                <c:pt idx="175">
                  <c:v>2329.3775351066201</c:v>
                </c:pt>
                <c:pt idx="176">
                  <c:v>0</c:v>
                </c:pt>
                <c:pt idx="177">
                  <c:v>0</c:v>
                </c:pt>
                <c:pt idx="178">
                  <c:v>2656.7227832664507</c:v>
                </c:pt>
                <c:pt idx="179">
                  <c:v>0</c:v>
                </c:pt>
                <c:pt idx="180">
                  <c:v>0</c:v>
                </c:pt>
                <c:pt idx="181">
                  <c:v>1872.1147759941573</c:v>
                </c:pt>
                <c:pt idx="182">
                  <c:v>0</c:v>
                </c:pt>
                <c:pt idx="183">
                  <c:v>0</c:v>
                </c:pt>
                <c:pt idx="184">
                  <c:v>2471.5710546678119</c:v>
                </c:pt>
                <c:pt idx="185">
                  <c:v>0</c:v>
                </c:pt>
                <c:pt idx="186">
                  <c:v>0</c:v>
                </c:pt>
                <c:pt idx="187">
                  <c:v>1840.3567501208654</c:v>
                </c:pt>
                <c:pt idx="188">
                  <c:v>0</c:v>
                </c:pt>
                <c:pt idx="189">
                  <c:v>0</c:v>
                </c:pt>
                <c:pt idx="190">
                  <c:v>1657.9270010702955</c:v>
                </c:pt>
                <c:pt idx="191">
                  <c:v>0</c:v>
                </c:pt>
                <c:pt idx="192">
                  <c:v>0</c:v>
                </c:pt>
                <c:pt idx="193">
                  <c:v>1425.7231568808988</c:v>
                </c:pt>
                <c:pt idx="194">
                  <c:v>0</c:v>
                </c:pt>
                <c:pt idx="195">
                  <c:v>0</c:v>
                </c:pt>
                <c:pt idx="196">
                  <c:v>1513.2738291391129</c:v>
                </c:pt>
                <c:pt idx="197">
                  <c:v>0</c:v>
                </c:pt>
                <c:pt idx="198">
                  <c:v>0</c:v>
                </c:pt>
                <c:pt idx="199">
                  <c:v>2377.550616789893</c:v>
                </c:pt>
                <c:pt idx="200">
                  <c:v>0</c:v>
                </c:pt>
                <c:pt idx="201">
                  <c:v>0</c:v>
                </c:pt>
                <c:pt idx="202">
                  <c:v>2541.7794140819015</c:v>
                </c:pt>
                <c:pt idx="203">
                  <c:v>0</c:v>
                </c:pt>
                <c:pt idx="204">
                  <c:v>0</c:v>
                </c:pt>
                <c:pt idx="205">
                  <c:v>2166.1577556996799</c:v>
                </c:pt>
                <c:pt idx="206">
                  <c:v>0</c:v>
                </c:pt>
                <c:pt idx="207">
                  <c:v>0</c:v>
                </c:pt>
                <c:pt idx="208">
                  <c:v>0</c:v>
                </c:pt>
                <c:pt idx="209">
                  <c:v>0</c:v>
                </c:pt>
                <c:pt idx="210">
                  <c:v>0</c:v>
                </c:pt>
                <c:pt idx="211">
                  <c:v>1540.9766730906306</c:v>
                </c:pt>
                <c:pt idx="212">
                  <c:v>0</c:v>
                </c:pt>
                <c:pt idx="213">
                  <c:v>0</c:v>
                </c:pt>
                <c:pt idx="214">
                  <c:v>0</c:v>
                </c:pt>
                <c:pt idx="215">
                  <c:v>0</c:v>
                </c:pt>
                <c:pt idx="216">
                  <c:v>0</c:v>
                </c:pt>
                <c:pt idx="217">
                  <c:v>2145.655953215773</c:v>
                </c:pt>
                <c:pt idx="218">
                  <c:v>0</c:v>
                </c:pt>
                <c:pt idx="219">
                  <c:v>0</c:v>
                </c:pt>
                <c:pt idx="220">
                  <c:v>1898.0764685363097</c:v>
                </c:pt>
                <c:pt idx="221">
                  <c:v>0</c:v>
                </c:pt>
                <c:pt idx="222">
                  <c:v>0</c:v>
                </c:pt>
                <c:pt idx="223">
                  <c:v>2679.3362839994802</c:v>
                </c:pt>
                <c:pt idx="224">
                  <c:v>0</c:v>
                </c:pt>
                <c:pt idx="225">
                  <c:v>0</c:v>
                </c:pt>
                <c:pt idx="226">
                  <c:v>2892.1411564813293</c:v>
                </c:pt>
                <c:pt idx="227">
                  <c:v>0</c:v>
                </c:pt>
                <c:pt idx="228">
                  <c:v>0</c:v>
                </c:pt>
                <c:pt idx="229">
                  <c:v>2643.340986941228</c:v>
                </c:pt>
                <c:pt idx="230">
                  <c:v>0</c:v>
                </c:pt>
                <c:pt idx="231">
                  <c:v>0</c:v>
                </c:pt>
                <c:pt idx="232">
                  <c:v>2356.2373604387726</c:v>
                </c:pt>
                <c:pt idx="233">
                  <c:v>0</c:v>
                </c:pt>
                <c:pt idx="234">
                  <c:v>0</c:v>
                </c:pt>
                <c:pt idx="235">
                  <c:v>2124.7722215746053</c:v>
                </c:pt>
                <c:pt idx="236">
                  <c:v>0</c:v>
                </c:pt>
                <c:pt idx="237">
                  <c:v>0</c:v>
                </c:pt>
                <c:pt idx="238">
                  <c:v>2351.1589277622625</c:v>
                </c:pt>
                <c:pt idx="239">
                  <c:v>0</c:v>
                </c:pt>
                <c:pt idx="240">
                  <c:v>0</c:v>
                </c:pt>
                <c:pt idx="241">
                  <c:v>2846.1192976109278</c:v>
                </c:pt>
                <c:pt idx="242">
                  <c:v>0</c:v>
                </c:pt>
                <c:pt idx="243">
                  <c:v>0</c:v>
                </c:pt>
                <c:pt idx="244">
                  <c:v>2016.9848234928329</c:v>
                </c:pt>
                <c:pt idx="245">
                  <c:v>0</c:v>
                </c:pt>
                <c:pt idx="246">
                  <c:v>0</c:v>
                </c:pt>
                <c:pt idx="247">
                  <c:v>2092.0881773193623</c:v>
                </c:pt>
                <c:pt idx="248">
                  <c:v>0</c:v>
                </c:pt>
                <c:pt idx="249">
                  <c:v>0</c:v>
                </c:pt>
                <c:pt idx="250">
                  <c:v>2255.0090189160974</c:v>
                </c:pt>
                <c:pt idx="251">
                  <c:v>0</c:v>
                </c:pt>
                <c:pt idx="252">
                  <c:v>0</c:v>
                </c:pt>
                <c:pt idx="253">
                  <c:v>2687.3973156866837</c:v>
                </c:pt>
                <c:pt idx="254">
                  <c:v>0</c:v>
                </c:pt>
                <c:pt idx="255">
                  <c:v>0</c:v>
                </c:pt>
                <c:pt idx="256">
                  <c:v>2392.4487149064967</c:v>
                </c:pt>
                <c:pt idx="257">
                  <c:v>0</c:v>
                </c:pt>
                <c:pt idx="258">
                  <c:v>0</c:v>
                </c:pt>
                <c:pt idx="259">
                  <c:v>1594.8819056280522</c:v>
                </c:pt>
                <c:pt idx="260">
                  <c:v>0</c:v>
                </c:pt>
                <c:pt idx="261">
                  <c:v>0</c:v>
                </c:pt>
                <c:pt idx="262">
                  <c:v>1455.7165753863919</c:v>
                </c:pt>
                <c:pt idx="263">
                  <c:v>0</c:v>
                </c:pt>
                <c:pt idx="264">
                  <c:v>0</c:v>
                </c:pt>
                <c:pt idx="265">
                  <c:v>2014.1237441497613</c:v>
                </c:pt>
                <c:pt idx="266">
                  <c:v>0</c:v>
                </c:pt>
                <c:pt idx="267">
                  <c:v>0</c:v>
                </c:pt>
                <c:pt idx="268">
                  <c:v>2359.0829552249043</c:v>
                </c:pt>
                <c:pt idx="269">
                  <c:v>0</c:v>
                </c:pt>
                <c:pt idx="270">
                  <c:v>0</c:v>
                </c:pt>
                <c:pt idx="271">
                  <c:v>2437.660073631977</c:v>
                </c:pt>
                <c:pt idx="272">
                  <c:v>0</c:v>
                </c:pt>
                <c:pt idx="273">
                  <c:v>0</c:v>
                </c:pt>
                <c:pt idx="274">
                  <c:v>2521.5214378556852</c:v>
                </c:pt>
                <c:pt idx="275">
                  <c:v>0</c:v>
                </c:pt>
                <c:pt idx="276">
                  <c:v>0</c:v>
                </c:pt>
                <c:pt idx="277">
                  <c:v>3013.9049055239402</c:v>
                </c:pt>
                <c:pt idx="278">
                  <c:v>0</c:v>
                </c:pt>
                <c:pt idx="279">
                  <c:v>0</c:v>
                </c:pt>
                <c:pt idx="280">
                  <c:v>2057.4035818343395</c:v>
                </c:pt>
                <c:pt idx="281">
                  <c:v>0</c:v>
                </c:pt>
                <c:pt idx="282">
                  <c:v>0</c:v>
                </c:pt>
                <c:pt idx="283">
                  <c:v>2253.6573935030433</c:v>
                </c:pt>
                <c:pt idx="284">
                  <c:v>0</c:v>
                </c:pt>
                <c:pt idx="285">
                  <c:v>0</c:v>
                </c:pt>
                <c:pt idx="286">
                  <c:v>2241.9187270521215</c:v>
                </c:pt>
                <c:pt idx="287">
                  <c:v>0</c:v>
                </c:pt>
              </c:numCache>
            </c:numRef>
          </c:xVal>
          <c:yVal>
            <c:numRef>
              <c:f>'Raw Scale'!$AC$86:$AC$373</c:f>
              <c:numCache>
                <c:formatCode>0.0</c:formatCode>
                <c:ptCount val="288"/>
                <c:pt idx="4">
                  <c:v>3069.1243913326807</c:v>
                </c:pt>
                <c:pt idx="10">
                  <c:v>1954.8643299767366</c:v>
                </c:pt>
                <c:pt idx="16">
                  <c:v>970.10049820046152</c:v>
                </c:pt>
                <c:pt idx="19">
                  <c:v>2432.9172176405914</c:v>
                </c:pt>
                <c:pt idx="22">
                  <c:v>2884.4521519382483</c:v>
                </c:pt>
                <c:pt idx="25">
                  <c:v>2740.8493361571859</c:v>
                </c:pt>
                <c:pt idx="28">
                  <c:v>2700.5342440588925</c:v>
                </c:pt>
                <c:pt idx="31">
                  <c:v>2166.8792505062088</c:v>
                </c:pt>
                <c:pt idx="34">
                  <c:v>1666.5194257909711</c:v>
                </c:pt>
                <c:pt idx="37">
                  <c:v>1537.9378541568826</c:v>
                </c:pt>
                <c:pt idx="40">
                  <c:v>1357.2089722109008</c:v>
                </c:pt>
                <c:pt idx="43">
                  <c:v>2654.471867352142</c:v>
                </c:pt>
                <c:pt idx="46">
                  <c:v>2217.508307701064</c:v>
                </c:pt>
                <c:pt idx="49">
                  <c:v>2650.7137165305826</c:v>
                </c:pt>
                <c:pt idx="52">
                  <c:v>3081.0299078391645</c:v>
                </c:pt>
                <c:pt idx="55">
                  <c:v>3017.3589570875215</c:v>
                </c:pt>
                <c:pt idx="58">
                  <c:v>2873.7399520341737</c:v>
                </c:pt>
                <c:pt idx="61">
                  <c:v>2371.6973880177084</c:v>
                </c:pt>
                <c:pt idx="67">
                  <c:v>2763.9712874233396</c:v>
                </c:pt>
                <c:pt idx="70">
                  <c:v>2836.2997883483599</c:v>
                </c:pt>
                <c:pt idx="73">
                  <c:v>3059.6823506304254</c:v>
                </c:pt>
                <c:pt idx="76">
                  <c:v>2315.2524671352612</c:v>
                </c:pt>
                <c:pt idx="79">
                  <c:v>2336.6108807776004</c:v>
                </c:pt>
                <c:pt idx="82">
                  <c:v>1911.7580884798622</c:v>
                </c:pt>
                <c:pt idx="85">
                  <c:v>2571.4850951319204</c:v>
                </c:pt>
                <c:pt idx="88">
                  <c:v>1626.3303594949941</c:v>
                </c:pt>
                <c:pt idx="91">
                  <c:v>2907.7145824456688</c:v>
                </c:pt>
                <c:pt idx="94">
                  <c:v>2714.3889310150994</c:v>
                </c:pt>
                <c:pt idx="97">
                  <c:v>2313.3031228276645</c:v>
                </c:pt>
                <c:pt idx="100">
                  <c:v>2084.3209592114226</c:v>
                </c:pt>
                <c:pt idx="103">
                  <c:v>2290.8076554677318</c:v>
                </c:pt>
                <c:pt idx="106">
                  <c:v>2440.3311943836984</c:v>
                </c:pt>
                <c:pt idx="109">
                  <c:v>1756.3868759964455</c:v>
                </c:pt>
                <c:pt idx="112">
                  <c:v>1988.1832081488005</c:v>
                </c:pt>
                <c:pt idx="115">
                  <c:v>1493.156839703247</c:v>
                </c:pt>
                <c:pt idx="118">
                  <c:v>1642.439402113441</c:v>
                </c:pt>
                <c:pt idx="121">
                  <c:v>2163.1012516114256</c:v>
                </c:pt>
                <c:pt idx="124">
                  <c:v>2285.6865456041191</c:v>
                </c:pt>
                <c:pt idx="127">
                  <c:v>1642.9218484346065</c:v>
                </c:pt>
                <c:pt idx="130">
                  <c:v>1558.1160272296481</c:v>
                </c:pt>
                <c:pt idx="133">
                  <c:v>2649.2393731448842</c:v>
                </c:pt>
                <c:pt idx="136">
                  <c:v>2412.2304114558497</c:v>
                </c:pt>
                <c:pt idx="139">
                  <c:v>1908.7011712944741</c:v>
                </c:pt>
                <c:pt idx="142">
                  <c:v>1403.824115048709</c:v>
                </c:pt>
                <c:pt idx="145">
                  <c:v>2164.4020968331424</c:v>
                </c:pt>
                <c:pt idx="148">
                  <c:v>1196.0200436651896</c:v>
                </c:pt>
                <c:pt idx="151">
                  <c:v>2928.736855088589</c:v>
                </c:pt>
                <c:pt idx="157">
                  <c:v>2482.8841910217102</c:v>
                </c:pt>
                <c:pt idx="163">
                  <c:v>2002.5071700573085</c:v>
                </c:pt>
                <c:pt idx="169">
                  <c:v>2078.6953444188243</c:v>
                </c:pt>
                <c:pt idx="175">
                  <c:v>2329.3775351066201</c:v>
                </c:pt>
                <c:pt idx="178">
                  <c:v>2656.7227832664507</c:v>
                </c:pt>
                <c:pt idx="181">
                  <c:v>1872.1147759941573</c:v>
                </c:pt>
                <c:pt idx="184">
                  <c:v>2471.5710546678119</c:v>
                </c:pt>
                <c:pt idx="187">
                  <c:v>1840.3567501208654</c:v>
                </c:pt>
                <c:pt idx="190">
                  <c:v>1657.9270010702955</c:v>
                </c:pt>
                <c:pt idx="193">
                  <c:v>1425.7231568808988</c:v>
                </c:pt>
                <c:pt idx="196">
                  <c:v>1513.2738291391129</c:v>
                </c:pt>
                <c:pt idx="199">
                  <c:v>2377.550616789893</c:v>
                </c:pt>
                <c:pt idx="202">
                  <c:v>2541.7794140819015</c:v>
                </c:pt>
                <c:pt idx="205">
                  <c:v>2166.1577556996799</c:v>
                </c:pt>
                <c:pt idx="211">
                  <c:v>1540.9766730906306</c:v>
                </c:pt>
                <c:pt idx="217">
                  <c:v>2145.655953215773</c:v>
                </c:pt>
                <c:pt idx="220">
                  <c:v>1898.0764685363097</c:v>
                </c:pt>
                <c:pt idx="223">
                  <c:v>2679.3362839994802</c:v>
                </c:pt>
                <c:pt idx="226">
                  <c:v>2892.1411564813293</c:v>
                </c:pt>
                <c:pt idx="229">
                  <c:v>2643.340986941228</c:v>
                </c:pt>
                <c:pt idx="232">
                  <c:v>2356.2373604387726</c:v>
                </c:pt>
                <c:pt idx="235">
                  <c:v>2124.7722215746053</c:v>
                </c:pt>
                <c:pt idx="238">
                  <c:v>2351.1589277622625</c:v>
                </c:pt>
                <c:pt idx="241">
                  <c:v>2846.1192976109278</c:v>
                </c:pt>
                <c:pt idx="244">
                  <c:v>2016.9848234928329</c:v>
                </c:pt>
                <c:pt idx="247">
                  <c:v>2092.0881773193623</c:v>
                </c:pt>
                <c:pt idx="250">
                  <c:v>2255.0090189160974</c:v>
                </c:pt>
                <c:pt idx="253">
                  <c:v>2687.3973156866837</c:v>
                </c:pt>
                <c:pt idx="256">
                  <c:v>2392.4487149064967</c:v>
                </c:pt>
                <c:pt idx="259">
                  <c:v>1594.8819056280522</c:v>
                </c:pt>
                <c:pt idx="262">
                  <c:v>1455.7165753863919</c:v>
                </c:pt>
                <c:pt idx="265">
                  <c:v>2014.1237441497613</c:v>
                </c:pt>
                <c:pt idx="268">
                  <c:v>2359.0829552249043</c:v>
                </c:pt>
                <c:pt idx="271">
                  <c:v>2437.660073631977</c:v>
                </c:pt>
                <c:pt idx="274">
                  <c:v>2521.5214378556852</c:v>
                </c:pt>
                <c:pt idx="277">
                  <c:v>3013.9049055239402</c:v>
                </c:pt>
                <c:pt idx="280">
                  <c:v>2057.4035818343395</c:v>
                </c:pt>
                <c:pt idx="283">
                  <c:v>2253.6573935030433</c:v>
                </c:pt>
                <c:pt idx="286">
                  <c:v>2241.9187270521215</c:v>
                </c:pt>
              </c:numCache>
            </c:numRef>
          </c:yVal>
          <c:smooth val="0"/>
          <c:extLst>
            <c:ext xmlns:c16="http://schemas.microsoft.com/office/drawing/2014/chart" uri="{C3380CC4-5D6E-409C-BE32-E72D297353CC}">
              <c16:uniqueId val="{00000001-C6BE-4642-AA57-DA2C8DC727B4}"/>
            </c:ext>
          </c:extLst>
        </c:ser>
        <c:dLbls>
          <c:showLegendKey val="0"/>
          <c:showVal val="0"/>
          <c:showCatName val="0"/>
          <c:showSerName val="0"/>
          <c:showPercent val="0"/>
          <c:showBubbleSize val="0"/>
        </c:dLbls>
        <c:axId val="358847968"/>
        <c:axId val="358847608"/>
      </c:scatterChart>
      <c:valAx>
        <c:axId val="35884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608"/>
        <c:crosses val="autoZero"/>
        <c:crossBetween val="midCat"/>
      </c:valAx>
      <c:valAx>
        <c:axId val="35884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4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472440</xdr:colOff>
      <xdr:row>2</xdr:row>
      <xdr:rowOff>85725</xdr:rowOff>
    </xdr:from>
    <xdr:to>
      <xdr:col>27</xdr:col>
      <xdr:colOff>19050</xdr:colOff>
      <xdr:row>20</xdr:row>
      <xdr:rowOff>85725</xdr:rowOff>
    </xdr:to>
    <xdr:graphicFrame macro="">
      <xdr:nvGraphicFramePr>
        <xdr:cNvPr id="2" name="Chart 1">
          <a:extLst>
            <a:ext uri="{FF2B5EF4-FFF2-40B4-BE49-F238E27FC236}">
              <a16:creationId xmlns:a16="http://schemas.microsoft.com/office/drawing/2014/main" id="{849DFEE1-3226-18C6-CE37-65701BD75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476250</xdr:colOff>
      <xdr:row>21</xdr:row>
      <xdr:rowOff>104775</xdr:rowOff>
    </xdr:from>
    <xdr:to>
      <xdr:col>27</xdr:col>
      <xdr:colOff>15240</xdr:colOff>
      <xdr:row>39</xdr:row>
      <xdr:rowOff>104775</xdr:rowOff>
    </xdr:to>
    <xdr:graphicFrame macro="">
      <xdr:nvGraphicFramePr>
        <xdr:cNvPr id="3" name="Chart 2">
          <a:extLst>
            <a:ext uri="{FF2B5EF4-FFF2-40B4-BE49-F238E27FC236}">
              <a16:creationId xmlns:a16="http://schemas.microsoft.com/office/drawing/2014/main" id="{A52C97AF-C4F2-4CA2-9A44-D127A82BF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xdr:colOff>
      <xdr:row>3</xdr:row>
      <xdr:rowOff>0</xdr:rowOff>
    </xdr:from>
    <xdr:to>
      <xdr:col>12</xdr:col>
      <xdr:colOff>152400</xdr:colOff>
      <xdr:row>21</xdr:row>
      <xdr:rowOff>0</xdr:rowOff>
    </xdr:to>
    <xdr:graphicFrame macro="">
      <xdr:nvGraphicFramePr>
        <xdr:cNvPr id="8" name="Chart 7">
          <a:extLst>
            <a:ext uri="{FF2B5EF4-FFF2-40B4-BE49-F238E27FC236}">
              <a16:creationId xmlns:a16="http://schemas.microsoft.com/office/drawing/2014/main" id="{A4115021-4C05-4EE7-B541-DB5EE28F4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22</xdr:row>
      <xdr:rowOff>15240</xdr:rowOff>
    </xdr:from>
    <xdr:to>
      <xdr:col>12</xdr:col>
      <xdr:colOff>156210</xdr:colOff>
      <xdr:row>40</xdr:row>
      <xdr:rowOff>15240</xdr:rowOff>
    </xdr:to>
    <xdr:graphicFrame macro="">
      <xdr:nvGraphicFramePr>
        <xdr:cNvPr id="9" name="Chart 8">
          <a:extLst>
            <a:ext uri="{FF2B5EF4-FFF2-40B4-BE49-F238E27FC236}">
              <a16:creationId xmlns:a16="http://schemas.microsoft.com/office/drawing/2014/main" id="{CFE776FD-5CCE-4FF7-A962-FAA4BEF82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138</xdr:row>
      <xdr:rowOff>9525</xdr:rowOff>
    </xdr:from>
    <xdr:to>
      <xdr:col>14</xdr:col>
      <xdr:colOff>466725</xdr:colOff>
      <xdr:row>138</xdr:row>
      <xdr:rowOff>9525</xdr:rowOff>
    </xdr:to>
    <xdr:cxnSp macro="">
      <xdr:nvCxnSpPr>
        <xdr:cNvPr id="2" name="Straight Connector 1">
          <a:extLst>
            <a:ext uri="{FF2B5EF4-FFF2-40B4-BE49-F238E27FC236}">
              <a16:creationId xmlns:a16="http://schemas.microsoft.com/office/drawing/2014/main" id="{D71483A5-1538-4886-B7E4-F8BBDAF3CD05}"/>
            </a:ext>
          </a:extLst>
        </xdr:cNvPr>
        <xdr:cNvCxnSpPr/>
      </xdr:nvCxnSpPr>
      <xdr:spPr>
        <a:xfrm>
          <a:off x="0" y="26298525"/>
          <a:ext cx="9001125" cy="0"/>
        </a:xfrm>
        <a:prstGeom prst="line">
          <a:avLst/>
        </a:prstGeom>
        <a:ln w="19050" algn="in">
          <a:solidFill>
            <a:srgbClr val="000000"/>
          </a:solidFill>
        </a:ln>
      </xdr:spPr>
    </xdr:cxnSp>
    <xdr:clientData/>
  </xdr:twoCellAnchor>
  <xdr:twoCellAnchor>
    <xdr:from>
      <xdr:col>0</xdr:col>
      <xdr:colOff>0</xdr:colOff>
      <xdr:row>143</xdr:row>
      <xdr:rowOff>57150</xdr:rowOff>
    </xdr:from>
    <xdr:to>
      <xdr:col>14</xdr:col>
      <xdr:colOff>466725</xdr:colOff>
      <xdr:row>143</xdr:row>
      <xdr:rowOff>57150</xdr:rowOff>
    </xdr:to>
    <xdr:cxnSp macro="">
      <xdr:nvCxnSpPr>
        <xdr:cNvPr id="3" name="Straight Connector 2">
          <a:extLst>
            <a:ext uri="{FF2B5EF4-FFF2-40B4-BE49-F238E27FC236}">
              <a16:creationId xmlns:a16="http://schemas.microsoft.com/office/drawing/2014/main" id="{85DE9DE7-4721-4CFA-B90B-83973403D863}"/>
            </a:ext>
          </a:extLst>
        </xdr:cNvPr>
        <xdr:cNvCxnSpPr/>
      </xdr:nvCxnSpPr>
      <xdr:spPr>
        <a:xfrm>
          <a:off x="0" y="27298650"/>
          <a:ext cx="9001125" cy="0"/>
        </a:xfrm>
        <a:prstGeom prst="line">
          <a:avLst/>
        </a:prstGeom>
        <a:ln w="9525" algn="in">
          <a:solidFill>
            <a:srgbClr val="000000"/>
          </a:solidFill>
        </a:ln>
      </xdr:spPr>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181E-168C-4CB2-BE56-FDC05C3116BF}">
  <dimension ref="A1:CE572"/>
  <sheetViews>
    <sheetView tabSelected="1" workbookViewId="0"/>
  </sheetViews>
  <sheetFormatPr defaultRowHeight="15" x14ac:dyDescent="0.25"/>
  <cols>
    <col min="4" max="4" width="9.85546875" bestFit="1" customWidth="1"/>
    <col min="5" max="5" width="8.85546875" customWidth="1"/>
    <col min="6" max="6" width="10.5703125" bestFit="1" customWidth="1"/>
    <col min="16" max="16" width="8.85546875" customWidth="1"/>
    <col min="18" max="18" width="10.5703125" bestFit="1" customWidth="1"/>
    <col min="29" max="30" width="8.85546875" customWidth="1"/>
    <col min="31" max="31" width="13.28515625" bestFit="1" customWidth="1"/>
    <col min="32" max="32" width="10.5703125" bestFit="1" customWidth="1"/>
    <col min="47" max="47" width="10.5703125" bestFit="1" customWidth="1"/>
    <col min="54" max="54" width="8.85546875" customWidth="1"/>
    <col min="58" max="58" width="10.5703125" bestFit="1" customWidth="1"/>
    <col min="68" max="68" width="8.85546875" customWidth="1"/>
    <col min="72" max="72" width="10.5703125" bestFit="1" customWidth="1"/>
  </cols>
  <sheetData>
    <row r="1" spans="1:1" x14ac:dyDescent="0.25">
      <c r="A1" t="s">
        <v>134</v>
      </c>
    </row>
    <row r="2" spans="1:1" x14ac:dyDescent="0.25">
      <c r="A2" t="s">
        <v>135</v>
      </c>
    </row>
    <row r="3" spans="1:1" x14ac:dyDescent="0.25">
      <c r="A3" t="s">
        <v>48</v>
      </c>
    </row>
    <row r="4" spans="1:1" x14ac:dyDescent="0.25">
      <c r="A4" t="s">
        <v>465</v>
      </c>
    </row>
    <row r="5" spans="1:1" x14ac:dyDescent="0.25">
      <c r="A5" t="s">
        <v>469</v>
      </c>
    </row>
    <row r="6" spans="1:1" x14ac:dyDescent="0.25">
      <c r="A6" t="s">
        <v>470</v>
      </c>
    </row>
    <row r="7" spans="1:1" x14ac:dyDescent="0.25">
      <c r="A7" t="s">
        <v>471</v>
      </c>
    </row>
    <row r="8" spans="1:1" x14ac:dyDescent="0.25">
      <c r="A8" t="s">
        <v>472</v>
      </c>
    </row>
    <row r="9" spans="1:1" x14ac:dyDescent="0.25">
      <c r="A9" t="s">
        <v>473</v>
      </c>
    </row>
    <row r="10" spans="1:1" x14ac:dyDescent="0.25">
      <c r="A10" t="s">
        <v>474</v>
      </c>
    </row>
    <row r="11" spans="1:1" x14ac:dyDescent="0.25">
      <c r="A11" t="s">
        <v>475</v>
      </c>
    </row>
    <row r="12" spans="1:1" x14ac:dyDescent="0.25">
      <c r="A12" t="s">
        <v>476</v>
      </c>
    </row>
    <row r="13" spans="1:1" x14ac:dyDescent="0.25">
      <c r="A13" t="s">
        <v>477</v>
      </c>
    </row>
    <row r="14" spans="1:1" x14ac:dyDescent="0.25">
      <c r="A14" t="s">
        <v>478</v>
      </c>
    </row>
    <row r="15" spans="1:1" x14ac:dyDescent="0.25">
      <c r="A15" t="s">
        <v>479</v>
      </c>
    </row>
    <row r="16" spans="1:1" x14ac:dyDescent="0.25">
      <c r="A16" t="s">
        <v>480</v>
      </c>
    </row>
    <row r="17" spans="1:1" x14ac:dyDescent="0.25">
      <c r="A17" t="s">
        <v>481</v>
      </c>
    </row>
    <row r="18" spans="1:1" x14ac:dyDescent="0.25">
      <c r="A18" t="s">
        <v>482</v>
      </c>
    </row>
    <row r="19" spans="1:1" x14ac:dyDescent="0.25">
      <c r="A19" t="s">
        <v>483</v>
      </c>
    </row>
    <row r="20" spans="1:1" x14ac:dyDescent="0.25">
      <c r="A20" t="s">
        <v>484</v>
      </c>
    </row>
    <row r="21" spans="1:1" x14ac:dyDescent="0.25">
      <c r="A21" t="s">
        <v>485</v>
      </c>
    </row>
    <row r="22" spans="1:1" x14ac:dyDescent="0.25">
      <c r="A22" t="s">
        <v>486</v>
      </c>
    </row>
    <row r="23" spans="1:1" x14ac:dyDescent="0.25">
      <c r="A23" t="s">
        <v>487</v>
      </c>
    </row>
    <row r="24" spans="1:1" x14ac:dyDescent="0.25">
      <c r="A24" t="s">
        <v>488</v>
      </c>
    </row>
    <row r="25" spans="1:1" x14ac:dyDescent="0.25">
      <c r="A25" t="s">
        <v>489</v>
      </c>
    </row>
    <row r="26" spans="1:1" x14ac:dyDescent="0.25">
      <c r="A26" t="s">
        <v>507</v>
      </c>
    </row>
    <row r="27" spans="1:1" x14ac:dyDescent="0.25">
      <c r="A27" t="s">
        <v>490</v>
      </c>
    </row>
    <row r="28" spans="1:1" x14ac:dyDescent="0.25">
      <c r="A28" t="s">
        <v>491</v>
      </c>
    </row>
    <row r="29" spans="1:1" x14ac:dyDescent="0.25">
      <c r="A29" t="s">
        <v>492</v>
      </c>
    </row>
    <row r="30" spans="1:1" x14ac:dyDescent="0.25">
      <c r="A30" t="s">
        <v>493</v>
      </c>
    </row>
    <row r="31" spans="1:1" x14ac:dyDescent="0.25">
      <c r="A31" t="s">
        <v>494</v>
      </c>
    </row>
    <row r="32" spans="1:1" x14ac:dyDescent="0.25">
      <c r="A32" t="s">
        <v>495</v>
      </c>
    </row>
    <row r="33" spans="1:2" x14ac:dyDescent="0.25">
      <c r="A33" t="s">
        <v>496</v>
      </c>
    </row>
    <row r="34" spans="1:2" x14ac:dyDescent="0.25">
      <c r="A34" t="s">
        <v>497</v>
      </c>
    </row>
    <row r="35" spans="1:2" x14ac:dyDescent="0.25">
      <c r="A35" t="s">
        <v>498</v>
      </c>
    </row>
    <row r="36" spans="1:2" x14ac:dyDescent="0.25">
      <c r="A36" t="s">
        <v>499</v>
      </c>
    </row>
    <row r="37" spans="1:2" x14ac:dyDescent="0.25">
      <c r="A37" t="s">
        <v>500</v>
      </c>
    </row>
    <row r="38" spans="1:2" x14ac:dyDescent="0.25">
      <c r="A38" t="s">
        <v>501</v>
      </c>
    </row>
    <row r="39" spans="1:2" x14ac:dyDescent="0.25">
      <c r="A39" t="s">
        <v>502</v>
      </c>
    </row>
    <row r="40" spans="1:2" x14ac:dyDescent="0.25">
      <c r="A40" t="s">
        <v>503</v>
      </c>
    </row>
    <row r="41" spans="1:2" x14ac:dyDescent="0.25">
      <c r="A41" t="s">
        <v>504</v>
      </c>
    </row>
    <row r="42" spans="1:2" x14ac:dyDescent="0.25">
      <c r="A42" t="s">
        <v>505</v>
      </c>
    </row>
    <row r="43" spans="1:2" x14ac:dyDescent="0.25">
      <c r="A43" t="s">
        <v>506</v>
      </c>
    </row>
    <row r="46" spans="1:2" x14ac:dyDescent="0.25">
      <c r="A46" t="s">
        <v>49</v>
      </c>
    </row>
    <row r="47" spans="1:2" x14ac:dyDescent="0.25">
      <c r="A47">
        <v>0.46</v>
      </c>
      <c r="B47" t="s">
        <v>69</v>
      </c>
    </row>
    <row r="48" spans="1:2" x14ac:dyDescent="0.25">
      <c r="A48">
        <v>0.453592</v>
      </c>
      <c r="B48" t="s">
        <v>51</v>
      </c>
    </row>
    <row r="49" spans="1:2" x14ac:dyDescent="0.25">
      <c r="A49">
        <f>10*1.016*2</f>
        <v>20.32</v>
      </c>
      <c r="B49" t="s">
        <v>136</v>
      </c>
    </row>
    <row r="50" spans="1:2" x14ac:dyDescent="0.25">
      <c r="A50">
        <v>10000</v>
      </c>
      <c r="B50" t="s">
        <v>52</v>
      </c>
    </row>
    <row r="51" spans="1:2" x14ac:dyDescent="0.25">
      <c r="A51" s="3">
        <v>9</v>
      </c>
      <c r="B51" t="s">
        <v>24</v>
      </c>
    </row>
    <row r="52" spans="1:2" x14ac:dyDescent="0.25">
      <c r="A52" s="3">
        <v>19.7</v>
      </c>
      <c r="B52" t="s">
        <v>25</v>
      </c>
    </row>
    <row r="53" spans="1:2" x14ac:dyDescent="0.25">
      <c r="A53" s="3">
        <v>13.6</v>
      </c>
      <c r="B53" t="s">
        <v>26</v>
      </c>
    </row>
    <row r="54" spans="1:2" x14ac:dyDescent="0.25">
      <c r="A54" s="3">
        <v>15.9</v>
      </c>
      <c r="B54" t="s">
        <v>27</v>
      </c>
    </row>
    <row r="55" spans="1:2" x14ac:dyDescent="0.25">
      <c r="A55" s="3">
        <v>10.7</v>
      </c>
      <c r="B55" t="s">
        <v>28</v>
      </c>
    </row>
    <row r="56" spans="1:2" x14ac:dyDescent="0.25">
      <c r="A56" s="3">
        <v>9.6</v>
      </c>
      <c r="B56" t="s">
        <v>29</v>
      </c>
    </row>
    <row r="57" spans="1:2" x14ac:dyDescent="0.25">
      <c r="A57" s="3">
        <v>18.899999999999999</v>
      </c>
      <c r="B57" t="s">
        <v>30</v>
      </c>
    </row>
    <row r="58" spans="1:2" x14ac:dyDescent="0.25">
      <c r="A58" s="3">
        <v>8.6999999999999993</v>
      </c>
      <c r="B58" t="s">
        <v>31</v>
      </c>
    </row>
    <row r="59" spans="1:2" x14ac:dyDescent="0.25">
      <c r="A59" s="3">
        <v>7.7</v>
      </c>
      <c r="B59" t="s">
        <v>32</v>
      </c>
    </row>
    <row r="60" spans="1:2" x14ac:dyDescent="0.25">
      <c r="A60" s="3">
        <v>14</v>
      </c>
      <c r="B60" t="s">
        <v>33</v>
      </c>
    </row>
    <row r="61" spans="1:2" x14ac:dyDescent="0.25">
      <c r="A61" s="3">
        <v>16.100000000000001</v>
      </c>
      <c r="B61" t="s">
        <v>34</v>
      </c>
    </row>
    <row r="62" spans="1:2" x14ac:dyDescent="0.25">
      <c r="A62" s="3">
        <v>11.8</v>
      </c>
      <c r="B62" t="s">
        <v>35</v>
      </c>
    </row>
    <row r="63" spans="1:2" x14ac:dyDescent="0.25">
      <c r="A63" s="3">
        <v>9.5</v>
      </c>
      <c r="B63" t="s">
        <v>36</v>
      </c>
    </row>
    <row r="64" spans="1:2" x14ac:dyDescent="0.25">
      <c r="A64" s="3">
        <v>12.3</v>
      </c>
      <c r="B64" t="s">
        <v>37</v>
      </c>
    </row>
    <row r="65" spans="1:83" x14ac:dyDescent="0.25">
      <c r="A65" s="3">
        <v>11.1</v>
      </c>
      <c r="B65" t="s">
        <v>38</v>
      </c>
    </row>
    <row r="66" spans="1:83" x14ac:dyDescent="0.25">
      <c r="A66" s="3">
        <v>16.8</v>
      </c>
      <c r="B66" t="s">
        <v>39</v>
      </c>
    </row>
    <row r="67" spans="1:83" x14ac:dyDescent="0.25">
      <c r="A67" s="3">
        <v>12.6</v>
      </c>
      <c r="B67" t="s">
        <v>40</v>
      </c>
    </row>
    <row r="68" spans="1:83" x14ac:dyDescent="0.25">
      <c r="A68" s="3">
        <v>7.9</v>
      </c>
      <c r="B68" t="s">
        <v>41</v>
      </c>
    </row>
    <row r="69" spans="1:83" x14ac:dyDescent="0.25">
      <c r="A69" s="3">
        <v>12.8</v>
      </c>
      <c r="B69" t="s">
        <v>42</v>
      </c>
    </row>
    <row r="70" spans="1:83" x14ac:dyDescent="0.25">
      <c r="A70" s="3">
        <v>9.6999999999999993</v>
      </c>
      <c r="B70" t="s">
        <v>43</v>
      </c>
    </row>
    <row r="71" spans="1:83" x14ac:dyDescent="0.25">
      <c r="A71" s="3">
        <v>7.9</v>
      </c>
      <c r="B71" t="s">
        <v>44</v>
      </c>
    </row>
    <row r="72" spans="1:83" x14ac:dyDescent="0.25">
      <c r="A72" s="3">
        <v>20.3</v>
      </c>
      <c r="B72" t="s">
        <v>45</v>
      </c>
    </row>
    <row r="73" spans="1:83" x14ac:dyDescent="0.25">
      <c r="A73" s="3">
        <v>15.3</v>
      </c>
      <c r="B73" t="s">
        <v>46</v>
      </c>
    </row>
    <row r="74" spans="1:83" x14ac:dyDescent="0.25">
      <c r="A74" s="3">
        <v>9</v>
      </c>
      <c r="B74" t="s">
        <v>47</v>
      </c>
    </row>
    <row r="75" spans="1:83" x14ac:dyDescent="0.25">
      <c r="A75">
        <f>1/16</f>
        <v>6.25E-2</v>
      </c>
      <c r="B75" t="s">
        <v>53</v>
      </c>
    </row>
    <row r="76" spans="1:83" x14ac:dyDescent="0.25">
      <c r="A76">
        <v>0.18</v>
      </c>
      <c r="B76" t="s">
        <v>162</v>
      </c>
      <c r="M76" s="4"/>
    </row>
    <row r="77" spans="1:83" x14ac:dyDescent="0.25">
      <c r="A77">
        <v>1.7</v>
      </c>
      <c r="B77" t="s">
        <v>164</v>
      </c>
    </row>
    <row r="78" spans="1:83" x14ac:dyDescent="0.25">
      <c r="AS78" t="s">
        <v>137</v>
      </c>
    </row>
    <row r="80" spans="1:83" x14ac:dyDescent="0.25">
      <c r="D80" s="5"/>
      <c r="E80" s="5"/>
      <c r="F80" s="5"/>
      <c r="G80" t="s">
        <v>2</v>
      </c>
      <c r="H80" t="s">
        <v>2</v>
      </c>
      <c r="I80" t="s">
        <v>2</v>
      </c>
      <c r="J80" t="s">
        <v>2</v>
      </c>
      <c r="K80" s="5" t="s">
        <v>2</v>
      </c>
      <c r="L80" t="s">
        <v>62</v>
      </c>
      <c r="M80" t="s">
        <v>62</v>
      </c>
      <c r="N80" t="s">
        <v>62</v>
      </c>
      <c r="O80" t="s">
        <v>62</v>
      </c>
      <c r="P80" s="5" t="s">
        <v>62</v>
      </c>
      <c r="Q80" s="5" t="s">
        <v>62</v>
      </c>
      <c r="R80" s="5" t="s">
        <v>63</v>
      </c>
      <c r="S80" t="s">
        <v>63</v>
      </c>
      <c r="T80" t="s">
        <v>63</v>
      </c>
      <c r="U80" t="s">
        <v>63</v>
      </c>
      <c r="V80" s="5" t="s">
        <v>63</v>
      </c>
      <c r="W80" s="5" t="s">
        <v>63</v>
      </c>
      <c r="X80" s="5" t="s">
        <v>63</v>
      </c>
      <c r="Y80" s="5" t="s">
        <v>81</v>
      </c>
      <c r="Z80" s="5" t="s">
        <v>81</v>
      </c>
      <c r="AA80" s="5" t="s">
        <v>81</v>
      </c>
      <c r="AB80" s="5" t="s">
        <v>81</v>
      </c>
      <c r="AC80" s="5" t="s">
        <v>81</v>
      </c>
      <c r="AD80" s="5" t="s">
        <v>81</v>
      </c>
      <c r="AF80" s="5" t="s">
        <v>154</v>
      </c>
      <c r="AG80" s="5" t="s">
        <v>154</v>
      </c>
      <c r="AH80" s="5" t="s">
        <v>154</v>
      </c>
      <c r="AI80" s="5" t="s">
        <v>154</v>
      </c>
      <c r="AJ80" s="5" t="s">
        <v>154</v>
      </c>
      <c r="AK80" s="5" t="s">
        <v>154</v>
      </c>
      <c r="AL80" s="5" t="s">
        <v>154</v>
      </c>
      <c r="AM80" s="5" t="s">
        <v>154</v>
      </c>
      <c r="AN80" s="5" t="s">
        <v>154</v>
      </c>
      <c r="AO80" s="5" t="s">
        <v>154</v>
      </c>
      <c r="AP80" s="5" t="s">
        <v>154</v>
      </c>
      <c r="AQ80" s="5" t="s">
        <v>154</v>
      </c>
      <c r="AT80" t="s">
        <v>2</v>
      </c>
      <c r="AU80" t="s">
        <v>2</v>
      </c>
      <c r="AV80" t="s">
        <v>2</v>
      </c>
      <c r="AW80" t="s">
        <v>2</v>
      </c>
      <c r="AX80" t="s">
        <v>2</v>
      </c>
      <c r="AY80" t="s">
        <v>2</v>
      </c>
      <c r="AZ80" t="s">
        <v>62</v>
      </c>
      <c r="BA80" t="s">
        <v>62</v>
      </c>
      <c r="BB80" t="s">
        <v>62</v>
      </c>
      <c r="BC80" t="s">
        <v>62</v>
      </c>
      <c r="BD80" t="s">
        <v>62</v>
      </c>
      <c r="BE80" t="s">
        <v>62</v>
      </c>
      <c r="BF80" t="s">
        <v>63</v>
      </c>
      <c r="BG80" t="s">
        <v>63</v>
      </c>
      <c r="BH80" t="s">
        <v>63</v>
      </c>
      <c r="BI80" t="s">
        <v>63</v>
      </c>
      <c r="BJ80" t="s">
        <v>63</v>
      </c>
      <c r="BK80" t="s">
        <v>63</v>
      </c>
      <c r="BL80" t="s">
        <v>63</v>
      </c>
      <c r="BM80" t="s">
        <v>81</v>
      </c>
      <c r="BN80" t="s">
        <v>81</v>
      </c>
      <c r="BO80" t="s">
        <v>81</v>
      </c>
      <c r="BP80" t="s">
        <v>81</v>
      </c>
      <c r="BQ80" t="s">
        <v>81</v>
      </c>
      <c r="BR80" t="s">
        <v>81</v>
      </c>
      <c r="BT80" t="s">
        <v>154</v>
      </c>
      <c r="BU80" t="s">
        <v>154</v>
      </c>
      <c r="BV80" t="s">
        <v>154</v>
      </c>
      <c r="BW80" t="s">
        <v>154</v>
      </c>
      <c r="BX80" t="s">
        <v>154</v>
      </c>
      <c r="BY80" t="s">
        <v>154</v>
      </c>
      <c r="BZ80" t="s">
        <v>154</v>
      </c>
      <c r="CA80" t="s">
        <v>154</v>
      </c>
      <c r="CB80" t="s">
        <v>154</v>
      </c>
      <c r="CC80" t="s">
        <v>154</v>
      </c>
      <c r="CD80" t="s">
        <v>154</v>
      </c>
      <c r="CE80" t="s">
        <v>154</v>
      </c>
    </row>
    <row r="81" spans="1:83" x14ac:dyDescent="0.25">
      <c r="D81" s="5"/>
      <c r="E81" s="5"/>
      <c r="F81" s="5"/>
      <c r="K81" s="5"/>
      <c r="M81" t="s">
        <v>71</v>
      </c>
      <c r="N81" t="s">
        <v>74</v>
      </c>
      <c r="O81" t="s">
        <v>75</v>
      </c>
      <c r="P81" s="5"/>
      <c r="Q81" s="5"/>
      <c r="R81" s="5"/>
      <c r="V81" s="5"/>
      <c r="W81" s="5"/>
      <c r="X81" s="5"/>
      <c r="Y81" s="5"/>
      <c r="Z81" s="5"/>
      <c r="AA81" s="5"/>
      <c r="AB81" s="5"/>
      <c r="AC81" s="5"/>
      <c r="AD81" s="5"/>
      <c r="AF81" s="5"/>
      <c r="AG81" s="5"/>
      <c r="AH81" s="5"/>
      <c r="AI81" s="5"/>
      <c r="AJ81" s="5"/>
      <c r="AK81" s="5"/>
      <c r="AL81" s="5"/>
      <c r="AM81" s="5"/>
      <c r="AN81" s="5"/>
      <c r="AO81" s="5"/>
      <c r="AP81" s="5"/>
      <c r="AQ81" s="5"/>
      <c r="BA81" t="s">
        <v>71</v>
      </c>
      <c r="BB81" t="s">
        <v>74</v>
      </c>
      <c r="BC81" t="s">
        <v>75</v>
      </c>
    </row>
    <row r="82" spans="1:83" x14ac:dyDescent="0.25">
      <c r="C82" t="s">
        <v>2</v>
      </c>
      <c r="D82" s="5"/>
      <c r="E82" s="5"/>
      <c r="F82" s="5"/>
      <c r="G82" t="s">
        <v>22</v>
      </c>
      <c r="H82" t="s">
        <v>19</v>
      </c>
      <c r="I82" t="s">
        <v>19</v>
      </c>
      <c r="J82" t="s">
        <v>157</v>
      </c>
      <c r="K82" s="5"/>
      <c r="L82" t="s">
        <v>77</v>
      </c>
      <c r="M82" t="s">
        <v>73</v>
      </c>
      <c r="N82" t="s">
        <v>72</v>
      </c>
      <c r="O82" t="s">
        <v>72</v>
      </c>
      <c r="P82" s="5"/>
      <c r="Q82" s="5"/>
      <c r="R82" s="5" t="s">
        <v>160</v>
      </c>
      <c r="S82" t="s">
        <v>64</v>
      </c>
      <c r="T82" t="s">
        <v>67</v>
      </c>
      <c r="U82" t="s">
        <v>66</v>
      </c>
      <c r="V82" s="5"/>
      <c r="W82" s="5"/>
      <c r="X82" s="5"/>
      <c r="Y82" s="5"/>
      <c r="Z82" s="5"/>
      <c r="AA82" s="5"/>
      <c r="AB82" s="5"/>
      <c r="AC82" s="5"/>
      <c r="AD82" s="5"/>
      <c r="AF82" s="5"/>
      <c r="AG82" s="5"/>
      <c r="AH82" s="5"/>
      <c r="AI82" s="5"/>
      <c r="AJ82" s="5"/>
      <c r="AK82" s="5"/>
      <c r="AL82" s="5"/>
      <c r="AM82" s="5"/>
      <c r="AN82" s="5"/>
      <c r="AO82" s="5"/>
      <c r="AP82" s="5"/>
      <c r="AQ82" s="5"/>
      <c r="AV82" t="s">
        <v>19</v>
      </c>
      <c r="AW82" t="s">
        <v>19</v>
      </c>
      <c r="AX82" t="s">
        <v>157</v>
      </c>
      <c r="AZ82" t="s">
        <v>77</v>
      </c>
      <c r="BA82" t="s">
        <v>73</v>
      </c>
      <c r="BB82" t="s">
        <v>72</v>
      </c>
      <c r="BC82" t="s">
        <v>72</v>
      </c>
      <c r="BF82" t="s">
        <v>160</v>
      </c>
      <c r="BG82" t="s">
        <v>64</v>
      </c>
      <c r="BH82" t="s">
        <v>67</v>
      </c>
      <c r="BI82" t="s">
        <v>66</v>
      </c>
    </row>
    <row r="83" spans="1:83" x14ac:dyDescent="0.25">
      <c r="A83" t="s">
        <v>1</v>
      </c>
      <c r="B83" t="s">
        <v>0</v>
      </c>
      <c r="C83" t="s">
        <v>3</v>
      </c>
      <c r="D83" s="5" t="s">
        <v>464</v>
      </c>
      <c r="E83" s="5" t="s">
        <v>466</v>
      </c>
      <c r="F83" s="5" t="s">
        <v>467</v>
      </c>
      <c r="G83" t="s">
        <v>23</v>
      </c>
      <c r="H83" t="s">
        <v>20</v>
      </c>
      <c r="I83" t="s">
        <v>50</v>
      </c>
      <c r="J83" t="s">
        <v>50</v>
      </c>
      <c r="K83" s="5" t="s">
        <v>54</v>
      </c>
      <c r="L83" t="s">
        <v>73</v>
      </c>
      <c r="M83" t="s">
        <v>20</v>
      </c>
      <c r="N83" t="s">
        <v>76</v>
      </c>
      <c r="O83" t="s">
        <v>76</v>
      </c>
      <c r="P83" s="5" t="s">
        <v>56</v>
      </c>
      <c r="Q83" s="5" t="s">
        <v>57</v>
      </c>
      <c r="R83" s="5" t="s">
        <v>159</v>
      </c>
      <c r="S83" t="s">
        <v>20</v>
      </c>
      <c r="T83" t="s">
        <v>20</v>
      </c>
      <c r="U83" t="s">
        <v>163</v>
      </c>
      <c r="V83" s="5" t="s">
        <v>59</v>
      </c>
      <c r="W83" s="5" t="s">
        <v>60</v>
      </c>
      <c r="X83" s="5" t="s">
        <v>61</v>
      </c>
      <c r="Y83" s="5" t="s">
        <v>78</v>
      </c>
      <c r="Z83" s="5" t="s">
        <v>79</v>
      </c>
      <c r="AA83" s="5" t="s">
        <v>80</v>
      </c>
      <c r="AB83" s="5" t="s">
        <v>82</v>
      </c>
      <c r="AC83" s="5" t="s">
        <v>83</v>
      </c>
      <c r="AD83" s="5" t="s">
        <v>84</v>
      </c>
      <c r="AE83" t="s">
        <v>155</v>
      </c>
      <c r="AF83" s="5" t="s">
        <v>161</v>
      </c>
      <c r="AG83" s="5" t="s">
        <v>138</v>
      </c>
      <c r="AH83" s="5" t="s">
        <v>139</v>
      </c>
      <c r="AI83" s="5" t="s">
        <v>140</v>
      </c>
      <c r="AJ83" s="5" t="s">
        <v>141</v>
      </c>
      <c r="AK83" s="5" t="s">
        <v>142</v>
      </c>
      <c r="AL83" s="5" t="s">
        <v>143</v>
      </c>
      <c r="AM83" s="5" t="s">
        <v>144</v>
      </c>
      <c r="AN83" s="5" t="s">
        <v>151</v>
      </c>
      <c r="AO83" s="5" t="s">
        <v>145</v>
      </c>
      <c r="AP83" s="5" t="s">
        <v>146</v>
      </c>
      <c r="AQ83" s="5" t="s">
        <v>147</v>
      </c>
      <c r="AS83" t="s">
        <v>85</v>
      </c>
      <c r="AT83" t="s">
        <v>466</v>
      </c>
      <c r="AU83" t="s">
        <v>467</v>
      </c>
      <c r="AV83" t="s">
        <v>20</v>
      </c>
      <c r="AW83" t="s">
        <v>50</v>
      </c>
      <c r="AX83" t="s">
        <v>50</v>
      </c>
      <c r="AY83" t="s">
        <v>54</v>
      </c>
      <c r="AZ83" t="s">
        <v>73</v>
      </c>
      <c r="BA83" t="s">
        <v>20</v>
      </c>
      <c r="BB83" t="s">
        <v>76</v>
      </c>
      <c r="BC83" t="s">
        <v>76</v>
      </c>
      <c r="BD83" t="s">
        <v>56</v>
      </c>
      <c r="BE83" t="s">
        <v>57</v>
      </c>
      <c r="BF83" t="s">
        <v>159</v>
      </c>
      <c r="BG83" t="s">
        <v>20</v>
      </c>
      <c r="BH83" t="s">
        <v>20</v>
      </c>
      <c r="BI83" t="s">
        <v>163</v>
      </c>
      <c r="BJ83" t="s">
        <v>59</v>
      </c>
      <c r="BK83" t="s">
        <v>60</v>
      </c>
      <c r="BL83" t="s">
        <v>61</v>
      </c>
      <c r="BM83" t="s">
        <v>78</v>
      </c>
      <c r="BN83" t="s">
        <v>79</v>
      </c>
      <c r="BO83" t="s">
        <v>80</v>
      </c>
      <c r="BP83" t="s">
        <v>82</v>
      </c>
      <c r="BQ83" t="s">
        <v>83</v>
      </c>
      <c r="BR83" t="s">
        <v>84</v>
      </c>
      <c r="BS83" t="s">
        <v>155</v>
      </c>
      <c r="BT83" t="s">
        <v>161</v>
      </c>
      <c r="BU83" t="s">
        <v>138</v>
      </c>
      <c r="BV83" t="s">
        <v>139</v>
      </c>
      <c r="BW83" t="s">
        <v>140</v>
      </c>
      <c r="BX83" t="s">
        <v>141</v>
      </c>
      <c r="BY83" t="s">
        <v>142</v>
      </c>
      <c r="BZ83" t="s">
        <v>143</v>
      </c>
      <c r="CA83" t="s">
        <v>144</v>
      </c>
      <c r="CB83" t="s">
        <v>151</v>
      </c>
      <c r="CC83" t="s">
        <v>145</v>
      </c>
      <c r="CD83" t="s">
        <v>146</v>
      </c>
      <c r="CE83" t="s">
        <v>147</v>
      </c>
    </row>
    <row r="84" spans="1:83" x14ac:dyDescent="0.25">
      <c r="D84" s="5"/>
      <c r="E84" s="5"/>
      <c r="F84" s="5"/>
      <c r="H84" t="s">
        <v>21</v>
      </c>
      <c r="I84" t="s">
        <v>21</v>
      </c>
      <c r="J84" t="s">
        <v>21</v>
      </c>
      <c r="K84" s="5" t="s">
        <v>55</v>
      </c>
      <c r="L84" t="s">
        <v>70</v>
      </c>
      <c r="M84" t="s">
        <v>70</v>
      </c>
      <c r="N84" t="s">
        <v>70</v>
      </c>
      <c r="O84" t="s">
        <v>70</v>
      </c>
      <c r="P84" s="5" t="s">
        <v>58</v>
      </c>
      <c r="Q84" s="5" t="s">
        <v>55</v>
      </c>
      <c r="R84" s="5"/>
      <c r="S84" s="4" t="s">
        <v>65</v>
      </c>
      <c r="T84" s="4" t="s">
        <v>65</v>
      </c>
      <c r="U84" s="4" t="s">
        <v>65</v>
      </c>
      <c r="V84" s="7" t="s">
        <v>68</v>
      </c>
      <c r="W84" s="7" t="s">
        <v>68</v>
      </c>
      <c r="X84" s="7" t="s">
        <v>68</v>
      </c>
      <c r="Y84" s="7" t="s">
        <v>55</v>
      </c>
      <c r="Z84" s="7" t="s">
        <v>55</v>
      </c>
      <c r="AA84" s="7" t="s">
        <v>55</v>
      </c>
      <c r="AB84" s="7" t="s">
        <v>55</v>
      </c>
      <c r="AC84" s="7" t="s">
        <v>55</v>
      </c>
      <c r="AD84" s="7" t="s">
        <v>55</v>
      </c>
      <c r="AE84" s="4"/>
      <c r="AF84" s="7"/>
      <c r="AG84" s="7"/>
      <c r="AH84" s="7" t="s">
        <v>156</v>
      </c>
      <c r="AI84" s="7" t="s">
        <v>58</v>
      </c>
      <c r="AJ84" s="7" t="s">
        <v>152</v>
      </c>
      <c r="AK84" s="7" t="s">
        <v>58</v>
      </c>
      <c r="AL84" s="7" t="s">
        <v>153</v>
      </c>
      <c r="AM84" s="7"/>
      <c r="AN84" s="7"/>
      <c r="AO84" s="7"/>
      <c r="AP84" s="7" t="s">
        <v>58</v>
      </c>
      <c r="AQ84" s="7" t="s">
        <v>58</v>
      </c>
      <c r="AV84" t="s">
        <v>21</v>
      </c>
      <c r="AW84" t="s">
        <v>21</v>
      </c>
      <c r="AX84" t="s">
        <v>21</v>
      </c>
      <c r="AY84" t="s">
        <v>55</v>
      </c>
      <c r="AZ84" t="s">
        <v>70</v>
      </c>
      <c r="BA84" s="4" t="s">
        <v>70</v>
      </c>
      <c r="BB84" s="4" t="s">
        <v>70</v>
      </c>
      <c r="BC84" s="4" t="s">
        <v>70</v>
      </c>
      <c r="BD84" s="4" t="s">
        <v>58</v>
      </c>
      <c r="BE84" s="4" t="s">
        <v>55</v>
      </c>
      <c r="BF84" s="4"/>
      <c r="BG84" s="4" t="s">
        <v>65</v>
      </c>
      <c r="BH84" s="4" t="s">
        <v>65</v>
      </c>
      <c r="BI84" s="4" t="s">
        <v>65</v>
      </c>
      <c r="BJ84" s="4" t="s">
        <v>68</v>
      </c>
      <c r="BK84" s="4" t="s">
        <v>68</v>
      </c>
      <c r="BL84" s="4" t="s">
        <v>68</v>
      </c>
      <c r="BM84" s="4" t="s">
        <v>55</v>
      </c>
      <c r="BN84" s="4" t="s">
        <v>55</v>
      </c>
      <c r="BO84" s="4" t="s">
        <v>55</v>
      </c>
      <c r="BP84" s="4" t="s">
        <v>55</v>
      </c>
      <c r="BQ84" s="4" t="s">
        <v>55</v>
      </c>
      <c r="BR84" s="4" t="s">
        <v>55</v>
      </c>
      <c r="BS84" s="4"/>
      <c r="BT84" s="4"/>
      <c r="BU84" s="4"/>
      <c r="BV84" s="4" t="s">
        <v>156</v>
      </c>
      <c r="BW84" s="4" t="s">
        <v>58</v>
      </c>
      <c r="BX84" s="4" t="s">
        <v>152</v>
      </c>
      <c r="BY84" t="s">
        <v>58</v>
      </c>
      <c r="BZ84" t="s">
        <v>153</v>
      </c>
      <c r="CD84" t="s">
        <v>58</v>
      </c>
      <c r="CE84" t="s">
        <v>58</v>
      </c>
    </row>
    <row r="85" spans="1:83" x14ac:dyDescent="0.25">
      <c r="A85" t="s">
        <v>1</v>
      </c>
      <c r="B85" t="s">
        <v>0</v>
      </c>
      <c r="C85" t="s">
        <v>3</v>
      </c>
      <c r="D85" s="5" t="s">
        <v>464</v>
      </c>
      <c r="E85" s="5" t="s">
        <v>466</v>
      </c>
      <c r="F85" s="5" t="s">
        <v>467</v>
      </c>
      <c r="K85" s="5" t="s">
        <v>54</v>
      </c>
      <c r="P85" s="5" t="s">
        <v>56</v>
      </c>
      <c r="Q85" s="5" t="s">
        <v>57</v>
      </c>
      <c r="R85" s="5" t="s">
        <v>159</v>
      </c>
      <c r="V85" s="5" t="s">
        <v>59</v>
      </c>
      <c r="W85" s="5" t="s">
        <v>60</v>
      </c>
      <c r="X85" s="5" t="s">
        <v>61</v>
      </c>
      <c r="Y85" s="5" t="s">
        <v>78</v>
      </c>
      <c r="Z85" s="5" t="s">
        <v>79</v>
      </c>
      <c r="AA85" s="5" t="s">
        <v>80</v>
      </c>
      <c r="AB85" s="5" t="s">
        <v>82</v>
      </c>
      <c r="AC85" s="5" t="s">
        <v>83</v>
      </c>
      <c r="AD85" s="5" t="s">
        <v>84</v>
      </c>
      <c r="AF85" s="5" t="s">
        <v>161</v>
      </c>
      <c r="AG85" s="5" t="s">
        <v>138</v>
      </c>
      <c r="AH85" s="5" t="s">
        <v>139</v>
      </c>
      <c r="AI85" s="5" t="s">
        <v>140</v>
      </c>
      <c r="AJ85" s="5" t="s">
        <v>141</v>
      </c>
      <c r="AK85" s="5" t="s">
        <v>142</v>
      </c>
      <c r="AL85" s="5" t="s">
        <v>143</v>
      </c>
      <c r="AM85" s="5" t="s">
        <v>144</v>
      </c>
      <c r="AN85" s="5" t="s">
        <v>151</v>
      </c>
      <c r="AO85" s="5" t="s">
        <v>145</v>
      </c>
      <c r="AP85" s="5" t="s">
        <v>146</v>
      </c>
      <c r="AQ85" s="5" t="s">
        <v>147</v>
      </c>
      <c r="AS85" t="s">
        <v>85</v>
      </c>
      <c r="AT85" t="s">
        <v>466</v>
      </c>
      <c r="AU85" t="s">
        <v>467</v>
      </c>
      <c r="AY85" t="s">
        <v>54</v>
      </c>
      <c r="BD85" t="s">
        <v>56</v>
      </c>
      <c r="BE85" t="s">
        <v>57</v>
      </c>
      <c r="BF85" t="s">
        <v>159</v>
      </c>
      <c r="BJ85" t="s">
        <v>59</v>
      </c>
      <c r="BK85" t="s">
        <v>60</v>
      </c>
      <c r="BL85" t="s">
        <v>61</v>
      </c>
      <c r="BM85" t="s">
        <v>78</v>
      </c>
      <c r="BN85" t="s">
        <v>79</v>
      </c>
      <c r="BO85" t="s">
        <v>80</v>
      </c>
      <c r="BP85" t="s">
        <v>82</v>
      </c>
      <c r="BQ85" t="s">
        <v>83</v>
      </c>
      <c r="BR85" t="s">
        <v>84</v>
      </c>
      <c r="BT85" t="s">
        <v>161</v>
      </c>
      <c r="BU85" t="s">
        <v>138</v>
      </c>
      <c r="BV85" t="s">
        <v>139</v>
      </c>
      <c r="BW85" t="s">
        <v>140</v>
      </c>
      <c r="BX85" t="s">
        <v>141</v>
      </c>
      <c r="BY85" t="s">
        <v>142</v>
      </c>
      <c r="BZ85" t="s">
        <v>143</v>
      </c>
      <c r="CA85" t="s">
        <v>144</v>
      </c>
      <c r="CB85" t="s">
        <v>151</v>
      </c>
      <c r="CC85" t="s">
        <v>145</v>
      </c>
      <c r="CD85" t="s">
        <v>146</v>
      </c>
      <c r="CE85" t="s">
        <v>147</v>
      </c>
    </row>
    <row r="86" spans="1:83" x14ac:dyDescent="0.25">
      <c r="A86" s="1" t="s">
        <v>9</v>
      </c>
      <c r="B86" s="2">
        <v>1</v>
      </c>
      <c r="C86" t="s">
        <v>4</v>
      </c>
      <c r="D86" s="5" t="str">
        <f t="shared" ref="D86:D149" si="0">CONCATENATE("p",A86,"-",B86,"-",C86)</f>
        <v>p01-1-NW</v>
      </c>
      <c r="E86" s="5" t="s">
        <v>468</v>
      </c>
      <c r="F86" s="17">
        <v>44881</v>
      </c>
      <c r="G86">
        <v>1</v>
      </c>
      <c r="H86" s="3">
        <v>14.4</v>
      </c>
      <c r="I86" s="3">
        <f>H86-$A$47</f>
        <v>13.94</v>
      </c>
      <c r="J86" s="3">
        <f>($A$51-$A$47)*$A$75</f>
        <v>0.53374999999999995</v>
      </c>
      <c r="K86" s="6">
        <f>(I86+J86)*$A$48/$A$49*$A$50</f>
        <v>3230.8942962598426</v>
      </c>
      <c r="L86" s="4"/>
      <c r="M86" s="4"/>
      <c r="N86" s="4"/>
      <c r="O86" s="4"/>
      <c r="P86" s="7"/>
      <c r="Q86" s="6"/>
      <c r="R86" s="14"/>
      <c r="S86" s="4"/>
      <c r="T86" s="4"/>
      <c r="U86" s="4"/>
      <c r="V86" s="8"/>
      <c r="W86" s="8"/>
      <c r="X86" s="8"/>
      <c r="Y86" s="6"/>
      <c r="Z86" s="6"/>
      <c r="AA86" s="6"/>
      <c r="AB86" s="6"/>
      <c r="AC86" s="6"/>
      <c r="AD86" s="6"/>
      <c r="AF86" s="14"/>
      <c r="AG86" s="6"/>
      <c r="AH86" s="11"/>
      <c r="AI86" s="6"/>
      <c r="AJ86" s="6"/>
      <c r="AK86" s="6"/>
      <c r="AL86" s="6"/>
      <c r="AM86" s="6"/>
      <c r="AN86" s="16"/>
      <c r="AO86" s="12"/>
      <c r="AP86" s="7"/>
      <c r="AQ86" s="6"/>
      <c r="AS86" s="4" t="s">
        <v>86</v>
      </c>
      <c r="AT86" s="4" t="str">
        <f>E86</f>
        <v>Machine</v>
      </c>
      <c r="AU86" s="15">
        <f>F86</f>
        <v>44881</v>
      </c>
      <c r="AV86" s="3">
        <f>SUM(H86:H91)</f>
        <v>115.79999999999998</v>
      </c>
      <c r="AW86" s="3">
        <f>AV86-6*$A$47</f>
        <v>113.03999999999998</v>
      </c>
      <c r="AX86" s="3">
        <f>SUM(J86:J91)</f>
        <v>3.2962499999999997</v>
      </c>
      <c r="AY86" s="3">
        <f>(AW86+AX86)*$A$48/(6*$A$49)*$A$50</f>
        <v>4328.181783956692</v>
      </c>
      <c r="AZ86" s="4">
        <f>SUM(L86:L91)</f>
        <v>17.189999999999998</v>
      </c>
      <c r="BA86" s="4">
        <f>SUM(M86:M91)</f>
        <v>355.42</v>
      </c>
      <c r="BB86" s="4">
        <f>BA86-AZ86</f>
        <v>338.23</v>
      </c>
      <c r="BC86" s="4">
        <f>SUM(O86:O91)</f>
        <v>316.21000000000004</v>
      </c>
      <c r="BD86" s="4">
        <f>(BB86-BC86)/BB86*100</f>
        <v>6.5103627708955392</v>
      </c>
      <c r="BE86" s="3">
        <f>AY86*(1-BD86/100)</f>
        <v>4046.4014484372933</v>
      </c>
      <c r="BF86" s="15">
        <v>44882</v>
      </c>
      <c r="BG86" s="4">
        <f>SUM(S86:S91)</f>
        <v>11.47</v>
      </c>
      <c r="BH86" s="4">
        <f>SUM(T86:T91)</f>
        <v>3.9</v>
      </c>
      <c r="BI86" s="4">
        <f>SUM(U86:U91)</f>
        <v>7.96</v>
      </c>
      <c r="BJ86" s="9">
        <f>(BH86-1*$A$76)/(BG86-1*$A$47*$A$48)</f>
        <v>0.3303334650262747</v>
      </c>
      <c r="BK86" s="9">
        <f>(BI86-1*$A$77)/(BG86-1*$A$47*$A$48)</f>
        <v>0.55588373415711823</v>
      </c>
      <c r="BL86" s="9">
        <f>1-BJ86-BK86</f>
        <v>0.11378280081660708</v>
      </c>
      <c r="BM86" s="3">
        <f>AY86*BJ86</f>
        <v>1429.7432859580172</v>
      </c>
      <c r="BN86" s="3">
        <f>AY86*BK86</f>
        <v>2405.9658521766637</v>
      </c>
      <c r="BO86" s="3">
        <f>SUM(BM86:BN86)</f>
        <v>3835.7091381346809</v>
      </c>
      <c r="BP86" s="3">
        <f>BE86*BJ86</f>
        <v>1336.6618113496279</v>
      </c>
      <c r="BQ86" s="3">
        <f>BE86*BK86</f>
        <v>2249.3287470560945</v>
      </c>
      <c r="BR86" s="3">
        <f>SUM(BP86:BQ86)</f>
        <v>3585.9905584057224</v>
      </c>
      <c r="BS86" s="3"/>
      <c r="BT86" s="15">
        <f>AF87</f>
        <v>44980</v>
      </c>
      <c r="BU86" s="3">
        <f t="shared" ref="BU86:CA86" si="1">AVERAGE(AG86:AG91)</f>
        <v>45.25</v>
      </c>
      <c r="BV86" s="13">
        <f t="shared" si="1"/>
        <v>1.1840000000000002</v>
      </c>
      <c r="BW86" s="3">
        <f t="shared" si="1"/>
        <v>80.650000000000006</v>
      </c>
      <c r="BX86" s="3">
        <f t="shared" si="1"/>
        <v>29.05</v>
      </c>
      <c r="BY86" s="3">
        <f t="shared" si="1"/>
        <v>6.3</v>
      </c>
      <c r="BZ86" s="3">
        <f t="shared" si="1"/>
        <v>80.7</v>
      </c>
      <c r="CA86" s="3">
        <f t="shared" si="1"/>
        <v>8.1000000000000014</v>
      </c>
      <c r="CB86" s="13"/>
      <c r="CC86" s="10">
        <f>AVERAGE(AO86:AO91)</f>
        <v>8.5</v>
      </c>
      <c r="CD86" s="4">
        <f>AVERAGE(AP86:AP91)</f>
        <v>0.19500000000000001</v>
      </c>
      <c r="CE86" s="3">
        <f>AVERAGE(AQ86:AQ91)</f>
        <v>8.9499999999999993</v>
      </c>
    </row>
    <row r="87" spans="1:83" x14ac:dyDescent="0.25">
      <c r="A87" s="1" t="s">
        <v>9</v>
      </c>
      <c r="B87" s="2">
        <v>1</v>
      </c>
      <c r="C87" t="s">
        <v>5</v>
      </c>
      <c r="D87" s="5" t="str">
        <f t="shared" si="0"/>
        <v>p01-1-MW</v>
      </c>
      <c r="E87" s="5" t="s">
        <v>468</v>
      </c>
      <c r="F87" s="17">
        <v>44881</v>
      </c>
      <c r="G87">
        <v>1</v>
      </c>
      <c r="H87" s="3">
        <v>21.4</v>
      </c>
      <c r="I87" s="3">
        <f t="shared" ref="I87:I150" si="2">H87-$A$47</f>
        <v>20.939999999999998</v>
      </c>
      <c r="J87" s="3">
        <f>($A$51-$A$47)*$A$75</f>
        <v>0.53374999999999995</v>
      </c>
      <c r="K87" s="6">
        <f t="shared" ref="K87:K150" si="3">(I87+J87)*$A$48/$A$49*$A$50</f>
        <v>4793.4651624015742</v>
      </c>
      <c r="L87" s="4">
        <v>8.41</v>
      </c>
      <c r="M87" s="4">
        <v>207.34</v>
      </c>
      <c r="N87" s="4">
        <f>M87-L87</f>
        <v>198.93</v>
      </c>
      <c r="O87" s="4">
        <v>183.72</v>
      </c>
      <c r="P87" s="7">
        <f>(N87-O87)/N87*100</f>
        <v>7.6459055949328949</v>
      </c>
      <c r="Q87" s="6">
        <f>K87*(1-P87/100)</f>
        <v>4426.9613413583529</v>
      </c>
      <c r="R87" s="14"/>
      <c r="S87" s="4"/>
      <c r="T87" s="4"/>
      <c r="U87" s="4"/>
      <c r="V87" s="8"/>
      <c r="W87" s="8"/>
      <c r="X87" s="8"/>
      <c r="Y87" s="6"/>
      <c r="Z87" s="6"/>
      <c r="AA87" s="6"/>
      <c r="AB87" s="6"/>
      <c r="AC87" s="6"/>
      <c r="AD87" s="6"/>
      <c r="AE87" s="10">
        <v>990130111001</v>
      </c>
      <c r="AF87" s="14">
        <v>44980</v>
      </c>
      <c r="AG87" s="6">
        <v>45.4</v>
      </c>
      <c r="AH87" s="11">
        <v>1.1930000000000001</v>
      </c>
      <c r="AI87" s="6">
        <v>81.3</v>
      </c>
      <c r="AJ87" s="6">
        <v>28.8</v>
      </c>
      <c r="AK87" s="6">
        <v>6.3</v>
      </c>
      <c r="AL87" s="6">
        <v>80.400000000000006</v>
      </c>
      <c r="AM87" s="6">
        <v>8.3000000000000007</v>
      </c>
      <c r="AN87" s="16" t="s">
        <v>150</v>
      </c>
      <c r="AO87" s="12">
        <v>9</v>
      </c>
      <c r="AP87" s="7">
        <v>0.28999999999999998</v>
      </c>
      <c r="AQ87" s="6">
        <v>8.6999999999999993</v>
      </c>
      <c r="AV87" s="3"/>
      <c r="AW87" s="3"/>
      <c r="AX87" s="3"/>
      <c r="AY87" s="3"/>
      <c r="AZ87" s="4"/>
      <c r="BA87" s="4"/>
      <c r="BB87" s="4"/>
      <c r="BC87" s="4"/>
      <c r="BD87" s="4"/>
      <c r="BE87" s="3"/>
      <c r="BF87" s="3"/>
      <c r="BG87" s="4"/>
      <c r="BH87" s="4"/>
      <c r="BI87" s="4"/>
      <c r="BJ87" s="9"/>
      <c r="BK87" s="9"/>
      <c r="BL87" s="9"/>
      <c r="BM87" s="3"/>
      <c r="BN87" s="3"/>
      <c r="BO87" s="3"/>
      <c r="BP87" s="3"/>
      <c r="BQ87" s="3"/>
      <c r="BR87" s="3"/>
      <c r="BT87" s="15"/>
      <c r="BU87" s="3"/>
      <c r="BV87" s="13"/>
      <c r="BW87" s="3"/>
      <c r="BX87" s="3"/>
      <c r="BY87" s="3"/>
      <c r="BZ87" s="3"/>
      <c r="CA87" s="3"/>
      <c r="CB87" s="10"/>
      <c r="CC87" s="10"/>
      <c r="CD87" s="4"/>
      <c r="CE87" s="3"/>
    </row>
    <row r="88" spans="1:83" x14ac:dyDescent="0.25">
      <c r="A88" s="1" t="s">
        <v>9</v>
      </c>
      <c r="B88" s="2">
        <v>1</v>
      </c>
      <c r="C88" t="s">
        <v>6</v>
      </c>
      <c r="D88" s="5" t="str">
        <f t="shared" si="0"/>
        <v>p01-1-SW</v>
      </c>
      <c r="E88" s="5" t="s">
        <v>468</v>
      </c>
      <c r="F88" s="17">
        <v>44881</v>
      </c>
      <c r="G88">
        <v>1</v>
      </c>
      <c r="H88" s="3">
        <v>21.8</v>
      </c>
      <c r="I88" s="3">
        <f t="shared" si="2"/>
        <v>21.34</v>
      </c>
      <c r="J88" s="3">
        <f>($A$51-$A$47)*$A$75</f>
        <v>0.53374999999999995</v>
      </c>
      <c r="K88" s="6">
        <f t="shared" si="3"/>
        <v>4882.7549261811018</v>
      </c>
      <c r="L88" s="4"/>
      <c r="M88" s="4"/>
      <c r="N88" s="4"/>
      <c r="O88" s="4"/>
      <c r="P88" s="7"/>
      <c r="Q88" s="6"/>
      <c r="R88" s="14"/>
      <c r="S88" s="4"/>
      <c r="T88" s="4"/>
      <c r="U88" s="4"/>
      <c r="V88" s="8"/>
      <c r="W88" s="8"/>
      <c r="X88" s="8"/>
      <c r="Y88" s="6"/>
      <c r="Z88" s="6"/>
      <c r="AA88" s="6"/>
      <c r="AB88" s="6"/>
      <c r="AC88" s="6"/>
      <c r="AD88" s="6"/>
      <c r="AE88" s="10"/>
      <c r="AF88" s="14"/>
      <c r="AG88" s="6"/>
      <c r="AH88" s="11"/>
      <c r="AI88" s="6"/>
      <c r="AJ88" s="6"/>
      <c r="AK88" s="6"/>
      <c r="AL88" s="6"/>
      <c r="AM88" s="6"/>
      <c r="AN88" s="16"/>
      <c r="AO88" s="12"/>
      <c r="AP88" s="7"/>
      <c r="AQ88" s="6"/>
      <c r="AV88" s="3"/>
      <c r="AW88" s="3"/>
      <c r="AX88" s="3"/>
      <c r="AY88" s="3"/>
      <c r="AZ88" s="4"/>
      <c r="BA88" s="4"/>
      <c r="BB88" s="4"/>
      <c r="BC88" s="4"/>
      <c r="BD88" s="4"/>
      <c r="BE88" s="3"/>
      <c r="BF88" s="3"/>
      <c r="BG88" s="4"/>
      <c r="BH88" s="4"/>
      <c r="BI88" s="4"/>
      <c r="BJ88" s="9"/>
      <c r="BK88" s="9"/>
      <c r="BL88" s="9"/>
      <c r="BM88" s="3"/>
      <c r="BN88" s="3"/>
      <c r="BO88" s="3"/>
      <c r="BP88" s="3"/>
      <c r="BQ88" s="3"/>
      <c r="BR88" s="3"/>
      <c r="BS88" s="4"/>
      <c r="BT88" s="15"/>
      <c r="BU88" s="3"/>
      <c r="BV88" s="13"/>
      <c r="BW88" s="3"/>
      <c r="BX88" s="3"/>
      <c r="BY88" s="3"/>
      <c r="BZ88" s="3"/>
      <c r="CA88" s="3"/>
      <c r="CB88" s="10"/>
      <c r="CC88" s="10"/>
      <c r="CD88" s="4"/>
      <c r="CE88" s="3"/>
    </row>
    <row r="89" spans="1:83" x14ac:dyDescent="0.25">
      <c r="A89" s="1" t="s">
        <v>9</v>
      </c>
      <c r="B89" s="2">
        <v>1</v>
      </c>
      <c r="C89" t="s">
        <v>7</v>
      </c>
      <c r="D89" s="5" t="str">
        <f t="shared" si="0"/>
        <v>p01-1-NE</v>
      </c>
      <c r="E89" s="5" t="s">
        <v>468</v>
      </c>
      <c r="F89" s="17">
        <v>44881</v>
      </c>
      <c r="G89">
        <v>13</v>
      </c>
      <c r="H89" s="3">
        <v>11.8</v>
      </c>
      <c r="I89" s="3">
        <f t="shared" si="2"/>
        <v>11.34</v>
      </c>
      <c r="J89" s="3">
        <f>($A$63-$A$47)*$A$75</f>
        <v>0.56499999999999995</v>
      </c>
      <c r="K89" s="6">
        <f t="shared" si="3"/>
        <v>2657.4865944881894</v>
      </c>
      <c r="L89" s="4"/>
      <c r="M89" s="4"/>
      <c r="N89" s="4"/>
      <c r="O89" s="4"/>
      <c r="P89" s="7"/>
      <c r="Q89" s="6"/>
      <c r="R89" s="14"/>
      <c r="S89" s="4"/>
      <c r="T89" s="4"/>
      <c r="U89" s="4"/>
      <c r="V89" s="8"/>
      <c r="W89" s="8"/>
      <c r="X89" s="8"/>
      <c r="Y89" s="6"/>
      <c r="Z89" s="6"/>
      <c r="AA89" s="6"/>
      <c r="AB89" s="6"/>
      <c r="AC89" s="6"/>
      <c r="AD89" s="6"/>
      <c r="AE89" s="10"/>
      <c r="AF89" s="14"/>
      <c r="AG89" s="6"/>
      <c r="AH89" s="11"/>
      <c r="AI89" s="6"/>
      <c r="AJ89" s="6"/>
      <c r="AK89" s="6"/>
      <c r="AL89" s="6"/>
      <c r="AM89" s="6"/>
      <c r="AN89" s="16"/>
      <c r="AO89" s="12"/>
      <c r="AP89" s="7"/>
      <c r="AQ89" s="6"/>
      <c r="AV89" s="3"/>
      <c r="AW89" s="3"/>
      <c r="AX89" s="3"/>
      <c r="AY89" s="3"/>
      <c r="AZ89" s="4"/>
      <c r="BA89" s="4"/>
      <c r="BB89" s="4"/>
      <c r="BC89" s="4"/>
      <c r="BD89" s="4"/>
      <c r="BE89" s="3"/>
      <c r="BF89" s="3"/>
      <c r="BG89" s="4"/>
      <c r="BH89" s="4"/>
      <c r="BI89" s="4"/>
      <c r="BJ89" s="9"/>
      <c r="BK89" s="9"/>
      <c r="BL89" s="9"/>
      <c r="BM89" s="3"/>
      <c r="BN89" s="3"/>
      <c r="BO89" s="3"/>
      <c r="BP89" s="3"/>
      <c r="BQ89" s="3"/>
      <c r="BR89" s="3"/>
      <c r="BT89" s="15"/>
      <c r="BU89" s="3"/>
      <c r="BV89" s="13"/>
      <c r="BW89" s="3"/>
      <c r="BX89" s="3"/>
      <c r="BY89" s="3"/>
      <c r="BZ89" s="3"/>
      <c r="CA89" s="3"/>
      <c r="CB89" s="10"/>
      <c r="CC89" s="10"/>
      <c r="CD89" s="4"/>
      <c r="CE89" s="3"/>
    </row>
    <row r="90" spans="1:83" x14ac:dyDescent="0.25">
      <c r="A90" s="1" t="s">
        <v>9</v>
      </c>
      <c r="B90" s="2">
        <v>1</v>
      </c>
      <c r="C90" t="s">
        <v>18</v>
      </c>
      <c r="D90" s="5" t="str">
        <f t="shared" si="0"/>
        <v>p01-1-ME</v>
      </c>
      <c r="E90" s="5" t="s">
        <v>468</v>
      </c>
      <c r="F90" s="17">
        <v>44881</v>
      </c>
      <c r="G90">
        <v>13</v>
      </c>
      <c r="H90" s="3">
        <v>25.9</v>
      </c>
      <c r="I90" s="3">
        <f t="shared" si="2"/>
        <v>25.439999999999998</v>
      </c>
      <c r="J90" s="3">
        <f>($A$63-$A$47)*$A$75</f>
        <v>0.56499999999999995</v>
      </c>
      <c r="K90" s="6">
        <f t="shared" si="3"/>
        <v>5804.9507677165357</v>
      </c>
      <c r="L90" s="4">
        <v>8.7799999999999994</v>
      </c>
      <c r="M90" s="4">
        <v>148.08000000000001</v>
      </c>
      <c r="N90" s="4">
        <f>M90-L90</f>
        <v>139.30000000000001</v>
      </c>
      <c r="O90" s="4">
        <v>132.49</v>
      </c>
      <c r="P90" s="7">
        <f>(N90-O90)/N90*100</f>
        <v>4.8887293610911717</v>
      </c>
      <c r="Q90" s="6">
        <f>K90*(1-P90/100)</f>
        <v>5521.1624351382898</v>
      </c>
      <c r="R90" s="14">
        <v>44882</v>
      </c>
      <c r="S90" s="4">
        <v>11.47</v>
      </c>
      <c r="T90" s="4">
        <v>3.9</v>
      </c>
      <c r="U90" s="4">
        <v>7.96</v>
      </c>
      <c r="V90" s="8">
        <f>(T90-$A$76)/(S90-$A$47*$A$48)</f>
        <v>0.3303334650262747</v>
      </c>
      <c r="W90" s="8">
        <f>(U90-$A$77)/(S90-$A$47*$A$48)</f>
        <v>0.55588373415711823</v>
      </c>
      <c r="X90" s="8">
        <f>1-V90-W90</f>
        <v>0.11378280081660708</v>
      </c>
      <c r="Y90" s="6">
        <f>K90*V90</f>
        <v>1917.5695014067367</v>
      </c>
      <c r="Z90" s="6">
        <f>K90*W90</f>
        <v>3226.8777093564981</v>
      </c>
      <c r="AA90" s="6">
        <f>SUM(Y90:Z90)</f>
        <v>5144.4472107632346</v>
      </c>
      <c r="AB90" s="6">
        <f>Q90*V90</f>
        <v>1823.8247181721358</v>
      </c>
      <c r="AC90" s="6">
        <f>Q90*W90</f>
        <v>3069.1243913326807</v>
      </c>
      <c r="AD90" s="6">
        <f>SUM(AB90:AC90)</f>
        <v>4892.9491095048161</v>
      </c>
      <c r="AE90" s="10">
        <v>990130112049</v>
      </c>
      <c r="AF90" s="14">
        <v>44980</v>
      </c>
      <c r="AG90" s="6">
        <v>45.099999999999994</v>
      </c>
      <c r="AH90" s="11">
        <v>1.175</v>
      </c>
      <c r="AI90" s="6">
        <v>80</v>
      </c>
      <c r="AJ90" s="6">
        <v>29.3</v>
      </c>
      <c r="AK90" s="6">
        <v>6.3</v>
      </c>
      <c r="AL90" s="6">
        <v>81</v>
      </c>
      <c r="AM90" s="6">
        <v>7.9</v>
      </c>
      <c r="AN90" s="16" t="s">
        <v>150</v>
      </c>
      <c r="AO90" s="12">
        <v>8</v>
      </c>
      <c r="AP90" s="7">
        <v>0.1</v>
      </c>
      <c r="AQ90" s="6">
        <v>9.1999999999999993</v>
      </c>
      <c r="AV90" s="3"/>
      <c r="AW90" s="3"/>
      <c r="AX90" s="3"/>
      <c r="AY90" s="3"/>
      <c r="AZ90" s="4"/>
      <c r="BA90" s="4"/>
      <c r="BB90" s="4"/>
      <c r="BC90" s="4"/>
      <c r="BD90" s="4"/>
      <c r="BE90" s="3"/>
      <c r="BF90" s="3"/>
      <c r="BG90" s="4"/>
      <c r="BH90" s="4"/>
      <c r="BI90" s="4"/>
      <c r="BJ90" s="9"/>
      <c r="BK90" s="9"/>
      <c r="BL90" s="9"/>
      <c r="BM90" s="3"/>
      <c r="BN90" s="3"/>
      <c r="BO90" s="3"/>
      <c r="BP90" s="3"/>
      <c r="BQ90" s="3"/>
      <c r="BR90" s="3"/>
      <c r="BT90" s="15"/>
      <c r="BU90" s="3"/>
      <c r="BV90" s="13"/>
      <c r="BW90" s="3"/>
      <c r="BX90" s="3"/>
      <c r="BY90" s="3"/>
      <c r="BZ90" s="3"/>
      <c r="CA90" s="3"/>
      <c r="CB90" s="10"/>
      <c r="CC90" s="10"/>
      <c r="CD90" s="4"/>
      <c r="CE90" s="3"/>
    </row>
    <row r="91" spans="1:83" x14ac:dyDescent="0.25">
      <c r="A91" s="1" t="s">
        <v>9</v>
      </c>
      <c r="B91" s="2">
        <v>1</v>
      </c>
      <c r="C91" t="s">
        <v>8</v>
      </c>
      <c r="D91" s="5" t="str">
        <f t="shared" si="0"/>
        <v>p01-1-SE</v>
      </c>
      <c r="E91" s="5" t="s">
        <v>468</v>
      </c>
      <c r="F91" s="17">
        <v>44881</v>
      </c>
      <c r="G91">
        <v>13</v>
      </c>
      <c r="H91" s="3">
        <v>20.5</v>
      </c>
      <c r="I91" s="3">
        <f t="shared" si="2"/>
        <v>20.04</v>
      </c>
      <c r="J91" s="3">
        <f>($A$63-$A$47)*$A$75</f>
        <v>0.56499999999999995</v>
      </c>
      <c r="K91" s="6">
        <f t="shared" si="3"/>
        <v>4599.5389566929125</v>
      </c>
      <c r="L91" s="4"/>
      <c r="M91" s="4"/>
      <c r="N91" s="4"/>
      <c r="O91" s="4"/>
      <c r="P91" s="7"/>
      <c r="Q91" s="6"/>
      <c r="R91" s="14"/>
      <c r="S91" s="4"/>
      <c r="T91" s="4"/>
      <c r="U91" s="4"/>
      <c r="V91" s="8"/>
      <c r="W91" s="8"/>
      <c r="X91" s="8"/>
      <c r="Y91" s="6"/>
      <c r="Z91" s="6"/>
      <c r="AA91" s="6"/>
      <c r="AB91" s="6"/>
      <c r="AC91" s="6"/>
      <c r="AD91" s="6"/>
      <c r="AE91" s="10"/>
      <c r="AF91" s="14"/>
      <c r="AG91" s="6"/>
      <c r="AH91" s="11"/>
      <c r="AI91" s="6"/>
      <c r="AJ91" s="6"/>
      <c r="AK91" s="6"/>
      <c r="AL91" s="6"/>
      <c r="AM91" s="6"/>
      <c r="AN91" s="16"/>
      <c r="AO91" s="12"/>
      <c r="AP91" s="7"/>
      <c r="AQ91" s="6"/>
      <c r="AV91" s="3"/>
      <c r="AW91" s="3"/>
      <c r="AX91" s="3"/>
      <c r="AY91" s="3"/>
      <c r="AZ91" s="4"/>
      <c r="BA91" s="4"/>
      <c r="BB91" s="4"/>
      <c r="BC91" s="4"/>
      <c r="BD91" s="4"/>
      <c r="BE91" s="3"/>
      <c r="BF91" s="3"/>
      <c r="BG91" s="4"/>
      <c r="BH91" s="4"/>
      <c r="BI91" s="4"/>
      <c r="BJ91" s="9"/>
      <c r="BK91" s="9"/>
      <c r="BL91" s="9"/>
      <c r="BM91" s="3"/>
      <c r="BN91" s="3"/>
      <c r="BO91" s="3"/>
      <c r="BP91" s="3"/>
      <c r="BQ91" s="3"/>
      <c r="BR91" s="3"/>
      <c r="BT91" s="15"/>
      <c r="BU91" s="3"/>
      <c r="BV91" s="13"/>
      <c r="BW91" s="3"/>
      <c r="BX91" s="3"/>
      <c r="BY91" s="3"/>
      <c r="BZ91" s="3"/>
      <c r="CA91" s="3"/>
      <c r="CB91" s="10"/>
      <c r="CC91" s="10"/>
      <c r="CD91" s="4"/>
      <c r="CE91" s="3"/>
    </row>
    <row r="92" spans="1:83" x14ac:dyDescent="0.25">
      <c r="A92" s="1" t="s">
        <v>9</v>
      </c>
      <c r="B92" s="2">
        <v>2</v>
      </c>
      <c r="C92" t="s">
        <v>4</v>
      </c>
      <c r="D92" s="5" t="str">
        <f t="shared" si="0"/>
        <v>p01-2-NW</v>
      </c>
      <c r="E92" s="5" t="s">
        <v>468</v>
      </c>
      <c r="F92" s="17">
        <v>44881</v>
      </c>
      <c r="G92">
        <v>1</v>
      </c>
      <c r="H92" s="3">
        <v>14.6</v>
      </c>
      <c r="I92" s="3">
        <f t="shared" si="2"/>
        <v>14.139999999999999</v>
      </c>
      <c r="J92" s="3">
        <f>($A$51-$A$47)*$A$75</f>
        <v>0.53374999999999995</v>
      </c>
      <c r="K92" s="6">
        <f t="shared" si="3"/>
        <v>3275.5391781496055</v>
      </c>
      <c r="L92" s="4"/>
      <c r="M92" s="4"/>
      <c r="N92" s="4"/>
      <c r="O92" s="4"/>
      <c r="P92" s="7"/>
      <c r="Q92" s="6"/>
      <c r="R92" s="14"/>
      <c r="S92" s="4"/>
      <c r="T92" s="4"/>
      <c r="U92" s="4"/>
      <c r="V92" s="8"/>
      <c r="W92" s="8"/>
      <c r="X92" s="8"/>
      <c r="Y92" s="6"/>
      <c r="Z92" s="6"/>
      <c r="AA92" s="6"/>
      <c r="AB92" s="6"/>
      <c r="AC92" s="6"/>
      <c r="AD92" s="6"/>
      <c r="AE92" s="10"/>
      <c r="AF92" s="14"/>
      <c r="AG92" s="6"/>
      <c r="AH92" s="11"/>
      <c r="AI92" s="6"/>
      <c r="AJ92" s="6"/>
      <c r="AK92" s="6"/>
      <c r="AL92" s="6"/>
      <c r="AM92" s="6"/>
      <c r="AN92" s="16"/>
      <c r="AO92" s="12"/>
      <c r="AP92" s="7"/>
      <c r="AQ92" s="6"/>
      <c r="AS92" t="s">
        <v>87</v>
      </c>
      <c r="AT92" s="4" t="str">
        <f>E92</f>
        <v>Machine</v>
      </c>
      <c r="AU92" s="15">
        <f>F92</f>
        <v>44881</v>
      </c>
      <c r="AV92" s="3">
        <f>SUM(H92:H97)</f>
        <v>91.100000000000009</v>
      </c>
      <c r="AW92" s="3">
        <f>AV92-6*$A$47</f>
        <v>88.34</v>
      </c>
      <c r="AX92" s="3">
        <f>SUM(J92:J97)</f>
        <v>3.2962499999999997</v>
      </c>
      <c r="AY92" s="3">
        <f>(AW92+AX92)*$A$48/(6*$A$49)*$A$50</f>
        <v>3409.2412983923887</v>
      </c>
      <c r="AZ92" s="4">
        <f>SUM(L92:L97)</f>
        <v>17.38</v>
      </c>
      <c r="BA92" s="4">
        <f>SUM(M92:M97)</f>
        <v>378.24</v>
      </c>
      <c r="BB92" s="4">
        <f>BA92-AZ92</f>
        <v>360.86</v>
      </c>
      <c r="BC92" s="4">
        <f>SUM(O92:O97)</f>
        <v>342.7</v>
      </c>
      <c r="BD92" s="4">
        <f>(BB92-BC92)/BB92*100</f>
        <v>5.0324225461397836</v>
      </c>
      <c r="BE92" s="3">
        <f>AY92*(1-BD92/100)</f>
        <v>3237.6738706397814</v>
      </c>
      <c r="BF92" s="15">
        <v>44882</v>
      </c>
      <c r="BG92" s="4">
        <f>SUM(S92:S97)</f>
        <v>7.06</v>
      </c>
      <c r="BH92" s="4">
        <f>SUM(T92:T97)</f>
        <v>2.44</v>
      </c>
      <c r="BI92" s="4">
        <f>SUM(U92:U97)</f>
        <v>5.58</v>
      </c>
      <c r="BJ92" s="9">
        <f>(BH92-1*$A$76)/(BG92-1*$A$47*$A$48)</f>
        <v>0.32986210969810248</v>
      </c>
      <c r="BK92" s="9">
        <f>(BI92-1*$A$77)/(BG92-1*$A$47*$A$48)</f>
        <v>0.56631194054364498</v>
      </c>
      <c r="BL92" s="9">
        <f>1-BJ92-BK92</f>
        <v>0.10382594975825254</v>
      </c>
      <c r="BM92" s="3">
        <f>AY92*BJ92</f>
        <v>1124.5795271576114</v>
      </c>
      <c r="BN92" s="3">
        <f>AY92*BK92</f>
        <v>1930.6940554741295</v>
      </c>
      <c r="BO92" s="3">
        <f>SUM(BM92:BN92)</f>
        <v>3055.2735826317412</v>
      </c>
      <c r="BP92" s="3">
        <f>BE92*BJ92</f>
        <v>1067.9859334836597</v>
      </c>
      <c r="BQ92" s="3">
        <f>BE92*BK92</f>
        <v>1833.5333725294688</v>
      </c>
      <c r="BR92" s="3">
        <f>SUM(BP92:BQ92)</f>
        <v>2901.5193060131287</v>
      </c>
      <c r="BS92" s="3"/>
      <c r="BT92" s="15">
        <v>44980</v>
      </c>
      <c r="BU92" s="3">
        <f t="shared" ref="BU92:CA92" si="4">AVERAGE(AG92:AG97)</f>
        <v>48.599999999999994</v>
      </c>
      <c r="BV92" s="13">
        <f t="shared" si="4"/>
        <v>1.1299999999999999</v>
      </c>
      <c r="BW92" s="3">
        <f t="shared" si="4"/>
        <v>80.55</v>
      </c>
      <c r="BX92" s="3">
        <f t="shared" si="4"/>
        <v>29.45</v>
      </c>
      <c r="BY92" s="3">
        <f t="shared" si="4"/>
        <v>6.05</v>
      </c>
      <c r="BZ92" s="3">
        <f t="shared" si="4"/>
        <v>79.300000000000011</v>
      </c>
      <c r="CA92" s="3">
        <f t="shared" si="4"/>
        <v>8.8000000000000007</v>
      </c>
      <c r="CB92" s="13"/>
      <c r="CC92" s="10">
        <f>AVERAGE(AO92:AO97)</f>
        <v>7</v>
      </c>
      <c r="CD92" s="4">
        <f>AVERAGE(AP92:AP97)</f>
        <v>0.09</v>
      </c>
      <c r="CE92" s="3">
        <f>AVERAGE(AQ92:AQ97)</f>
        <v>9.4</v>
      </c>
    </row>
    <row r="93" spans="1:83" x14ac:dyDescent="0.25">
      <c r="A93" s="1" t="s">
        <v>9</v>
      </c>
      <c r="B93" s="2">
        <v>2</v>
      </c>
      <c r="C93" t="s">
        <v>5</v>
      </c>
      <c r="D93" s="5" t="str">
        <f t="shared" si="0"/>
        <v>p01-2-MW</v>
      </c>
      <c r="E93" s="5" t="s">
        <v>468</v>
      </c>
      <c r="F93" s="17">
        <v>44881</v>
      </c>
      <c r="G93">
        <v>1</v>
      </c>
      <c r="H93" s="3">
        <v>15.5</v>
      </c>
      <c r="I93" s="3">
        <f t="shared" si="2"/>
        <v>15.04</v>
      </c>
      <c r="J93" s="3">
        <f>($A$51-$A$47)*$A$75</f>
        <v>0.53374999999999995</v>
      </c>
      <c r="K93" s="6">
        <f t="shared" si="3"/>
        <v>3476.4411466535425</v>
      </c>
      <c r="L93" s="4"/>
      <c r="M93" s="4"/>
      <c r="N93" s="4"/>
      <c r="O93" s="4"/>
      <c r="P93" s="7"/>
      <c r="Q93" s="6"/>
      <c r="R93" s="14"/>
      <c r="S93" s="4"/>
      <c r="T93" s="4"/>
      <c r="U93" s="4"/>
      <c r="V93" s="8"/>
      <c r="W93" s="8"/>
      <c r="X93" s="8"/>
      <c r="Y93" s="6"/>
      <c r="Z93" s="6"/>
      <c r="AA93" s="6"/>
      <c r="AB93" s="6"/>
      <c r="AC93" s="6"/>
      <c r="AD93" s="6"/>
      <c r="AF93" s="14"/>
      <c r="AG93" s="6"/>
      <c r="AH93" s="11"/>
      <c r="AI93" s="6"/>
      <c r="AJ93" s="6"/>
      <c r="AK93" s="6"/>
      <c r="AL93" s="6"/>
      <c r="AM93" s="6"/>
      <c r="AN93" s="16"/>
      <c r="AO93" s="12"/>
      <c r="AP93" s="7"/>
      <c r="AQ93" s="6"/>
      <c r="AV93" s="3"/>
      <c r="AW93" s="3"/>
      <c r="AX93" s="3"/>
      <c r="AY93" s="3"/>
      <c r="AZ93" s="4"/>
      <c r="BA93" s="4"/>
      <c r="BB93" s="4"/>
      <c r="BC93" s="4"/>
      <c r="BD93" s="4"/>
      <c r="BE93" s="3"/>
      <c r="BF93" s="3"/>
      <c r="BG93" s="4"/>
      <c r="BH93" s="4"/>
      <c r="BI93" s="4"/>
      <c r="BJ93" s="9"/>
      <c r="BK93" s="9"/>
      <c r="BL93" s="9"/>
      <c r="BM93" s="3"/>
      <c r="BN93" s="3"/>
      <c r="BO93" s="3"/>
      <c r="BP93" s="3"/>
      <c r="BQ93" s="3"/>
      <c r="BR93" s="3"/>
      <c r="BT93" s="15"/>
      <c r="BU93" s="3"/>
      <c r="BV93" s="13"/>
      <c r="BW93" s="3"/>
      <c r="BX93" s="3"/>
      <c r="BY93" s="3"/>
      <c r="BZ93" s="3"/>
      <c r="CA93" s="3"/>
      <c r="CB93" s="10"/>
      <c r="CC93" s="10"/>
      <c r="CD93" s="4"/>
      <c r="CE93" s="3"/>
    </row>
    <row r="94" spans="1:83" x14ac:dyDescent="0.25">
      <c r="A94" s="1" t="s">
        <v>9</v>
      </c>
      <c r="B94" s="2">
        <v>2</v>
      </c>
      <c r="C94" t="s">
        <v>6</v>
      </c>
      <c r="D94" s="5" t="str">
        <f t="shared" si="0"/>
        <v>p01-2-SW</v>
      </c>
      <c r="E94" s="5" t="s">
        <v>468</v>
      </c>
      <c r="F94" s="17">
        <v>44881</v>
      </c>
      <c r="G94">
        <v>1</v>
      </c>
      <c r="H94" s="3">
        <v>14.6</v>
      </c>
      <c r="I94" s="3">
        <f t="shared" si="2"/>
        <v>14.139999999999999</v>
      </c>
      <c r="J94" s="3">
        <f>($A$51-$A$47)*$A$75</f>
        <v>0.53374999999999995</v>
      </c>
      <c r="K94" s="6">
        <f t="shared" si="3"/>
        <v>3275.5391781496055</v>
      </c>
      <c r="L94" s="4"/>
      <c r="M94" s="4"/>
      <c r="N94" s="4"/>
      <c r="O94" s="4"/>
      <c r="P94" s="7"/>
      <c r="Q94" s="6"/>
      <c r="R94" s="14"/>
      <c r="S94" s="4"/>
      <c r="T94" s="4"/>
      <c r="U94" s="4"/>
      <c r="V94" s="8"/>
      <c r="W94" s="8"/>
      <c r="X94" s="8"/>
      <c r="Y94" s="6"/>
      <c r="Z94" s="6"/>
      <c r="AA94" s="6"/>
      <c r="AB94" s="6"/>
      <c r="AC94" s="6"/>
      <c r="AD94" s="6"/>
      <c r="AE94" s="10"/>
      <c r="AF94" s="14"/>
      <c r="AG94" s="6"/>
      <c r="AH94" s="11"/>
      <c r="AI94" s="6"/>
      <c r="AJ94" s="6"/>
      <c r="AK94" s="6"/>
      <c r="AL94" s="6"/>
      <c r="AM94" s="6"/>
      <c r="AN94" s="16"/>
      <c r="AO94" s="12"/>
      <c r="AP94" s="7"/>
      <c r="AQ94" s="6"/>
      <c r="AV94" s="3"/>
      <c r="AW94" s="3"/>
      <c r="AX94" s="3"/>
      <c r="AY94" s="3"/>
      <c r="AZ94" s="4"/>
      <c r="BA94" s="4"/>
      <c r="BB94" s="4"/>
      <c r="BC94" s="4"/>
      <c r="BD94" s="4"/>
      <c r="BE94" s="3"/>
      <c r="BF94" s="3"/>
      <c r="BG94" s="4"/>
      <c r="BH94" s="4"/>
      <c r="BI94" s="4"/>
      <c r="BJ94" s="9"/>
      <c r="BK94" s="9"/>
      <c r="BL94" s="9"/>
      <c r="BM94" s="3"/>
      <c r="BN94" s="3"/>
      <c r="BO94" s="3"/>
      <c r="BP94" s="3"/>
      <c r="BQ94" s="3"/>
      <c r="BR94" s="3"/>
      <c r="BT94" s="15"/>
      <c r="BU94" s="3"/>
      <c r="BV94" s="13"/>
      <c r="BW94" s="3"/>
      <c r="BX94" s="3"/>
      <c r="BY94" s="3"/>
      <c r="BZ94" s="3"/>
      <c r="CA94" s="3"/>
      <c r="CB94" s="10"/>
      <c r="CC94" s="10"/>
      <c r="CD94" s="4"/>
      <c r="CE94" s="3"/>
    </row>
    <row r="95" spans="1:83" x14ac:dyDescent="0.25">
      <c r="A95" s="1" t="s">
        <v>9</v>
      </c>
      <c r="B95" s="2">
        <v>2</v>
      </c>
      <c r="C95" t="s">
        <v>7</v>
      </c>
      <c r="D95" s="5" t="str">
        <f t="shared" si="0"/>
        <v>p01-2-NE</v>
      </c>
      <c r="E95" s="5" t="s">
        <v>468</v>
      </c>
      <c r="F95" s="17">
        <v>44881</v>
      </c>
      <c r="G95">
        <v>13</v>
      </c>
      <c r="H95" s="3">
        <v>15.4</v>
      </c>
      <c r="I95" s="3">
        <f t="shared" si="2"/>
        <v>14.94</v>
      </c>
      <c r="J95" s="3">
        <f>($A$63-$A$47)*$A$75</f>
        <v>0.56499999999999995</v>
      </c>
      <c r="K95" s="6">
        <f t="shared" si="3"/>
        <v>3461.0944685039367</v>
      </c>
      <c r="L95" s="4"/>
      <c r="M95" s="4"/>
      <c r="N95" s="4"/>
      <c r="O95" s="4"/>
      <c r="P95" s="7"/>
      <c r="Q95" s="6"/>
      <c r="R95" s="14"/>
      <c r="S95" s="4"/>
      <c r="T95" s="4"/>
      <c r="U95" s="4"/>
      <c r="V95" s="8"/>
      <c r="W95" s="8"/>
      <c r="X95" s="8"/>
      <c r="Y95" s="6"/>
      <c r="Z95" s="6"/>
      <c r="AA95" s="6"/>
      <c r="AB95" s="6"/>
      <c r="AC95" s="6"/>
      <c r="AD95" s="6"/>
      <c r="AE95" s="10"/>
      <c r="AF95" s="14"/>
      <c r="AG95" s="6"/>
      <c r="AH95" s="11"/>
      <c r="AI95" s="6"/>
      <c r="AJ95" s="6"/>
      <c r="AK95" s="6"/>
      <c r="AL95" s="6"/>
      <c r="AM95" s="6"/>
      <c r="AN95" s="16"/>
      <c r="AO95" s="12"/>
      <c r="AP95" s="7"/>
      <c r="AQ95" s="6"/>
      <c r="AV95" s="3"/>
      <c r="AW95" s="3"/>
      <c r="AX95" s="3"/>
      <c r="AY95" s="3"/>
      <c r="AZ95" s="4"/>
      <c r="BA95" s="4"/>
      <c r="BB95" s="4"/>
      <c r="BC95" s="4"/>
      <c r="BD95" s="4"/>
      <c r="BE95" s="3"/>
      <c r="BF95" s="3"/>
      <c r="BG95" s="4"/>
      <c r="BH95" s="4"/>
      <c r="BI95" s="4"/>
      <c r="BJ95" s="9"/>
      <c r="BK95" s="9"/>
      <c r="BL95" s="9"/>
      <c r="BM95" s="3"/>
      <c r="BN95" s="3"/>
      <c r="BO95" s="3"/>
      <c r="BP95" s="3"/>
      <c r="BQ95" s="3"/>
      <c r="BR95" s="3"/>
      <c r="BT95" s="15"/>
      <c r="BU95" s="3"/>
      <c r="BV95" s="13"/>
      <c r="BW95" s="3"/>
      <c r="BX95" s="3"/>
      <c r="BY95" s="3"/>
      <c r="BZ95" s="3"/>
      <c r="CA95" s="3"/>
      <c r="CB95" s="10"/>
      <c r="CC95" s="10"/>
      <c r="CD95" s="4"/>
      <c r="CE95" s="3"/>
    </row>
    <row r="96" spans="1:83" x14ac:dyDescent="0.25">
      <c r="A96" s="1" t="s">
        <v>9</v>
      </c>
      <c r="B96" s="2">
        <v>2</v>
      </c>
      <c r="C96" t="s">
        <v>18</v>
      </c>
      <c r="D96" s="5" t="str">
        <f t="shared" si="0"/>
        <v>p01-2-ME</v>
      </c>
      <c r="E96" s="5" t="s">
        <v>468</v>
      </c>
      <c r="F96" s="17">
        <v>44881</v>
      </c>
      <c r="G96">
        <v>13</v>
      </c>
      <c r="H96" s="3">
        <v>16.100000000000001</v>
      </c>
      <c r="I96" s="3">
        <f t="shared" si="2"/>
        <v>15.64</v>
      </c>
      <c r="J96" s="3">
        <f>($A$63-$A$47)*$A$75</f>
        <v>0.56499999999999995</v>
      </c>
      <c r="K96" s="6">
        <f t="shared" si="3"/>
        <v>3617.3515551181108</v>
      </c>
      <c r="L96" s="4">
        <v>8.84</v>
      </c>
      <c r="M96" s="4">
        <v>188.8</v>
      </c>
      <c r="N96" s="4">
        <f>M96-L96</f>
        <v>179.96</v>
      </c>
      <c r="O96" s="4">
        <v>171.73</v>
      </c>
      <c r="P96" s="7">
        <f>(N96-O96)/N96*100</f>
        <v>4.573238497443886</v>
      </c>
      <c r="Q96" s="6">
        <f>K96*(1-P96/100)</f>
        <v>3451.9214412115643</v>
      </c>
      <c r="R96" s="14">
        <v>44882</v>
      </c>
      <c r="S96" s="4">
        <v>7.06</v>
      </c>
      <c r="T96" s="4">
        <v>2.44</v>
      </c>
      <c r="U96" s="4">
        <v>5.58</v>
      </c>
      <c r="V96" s="8">
        <f>(T96-$A$76)/(S96-$A$47*$A$48)</f>
        <v>0.32986210969810248</v>
      </c>
      <c r="W96" s="8">
        <f>(U96-$A$77)/(S96-$A$47*$A$48)</f>
        <v>0.56631194054364498</v>
      </c>
      <c r="X96" s="8">
        <f>1-V96-W96</f>
        <v>0.10382594975825254</v>
      </c>
      <c r="Y96" s="6">
        <f>K96*V96</f>
        <v>1193.227215490972</v>
      </c>
      <c r="Z96" s="6">
        <f>K96*W96</f>
        <v>2048.5493788075091</v>
      </c>
      <c r="AA96" s="6">
        <f>SUM(Y96:Z96)</f>
        <v>3241.7765942984811</v>
      </c>
      <c r="AB96" s="6">
        <f>Q96*V96</f>
        <v>1138.658089110161</v>
      </c>
      <c r="AC96" s="6">
        <f>Q96*W96</f>
        <v>1954.8643299767366</v>
      </c>
      <c r="AD96" s="6">
        <f>SUM(AB96:AC96)</f>
        <v>3093.5224190868976</v>
      </c>
      <c r="AE96" s="10">
        <v>990130122050</v>
      </c>
      <c r="AF96" s="14">
        <v>44980</v>
      </c>
      <c r="AG96" s="6">
        <v>48.099999999999994</v>
      </c>
      <c r="AH96" s="11">
        <v>1.135</v>
      </c>
      <c r="AI96" s="6">
        <v>80.3</v>
      </c>
      <c r="AJ96" s="6">
        <v>29.5</v>
      </c>
      <c r="AK96" s="6">
        <v>6.1</v>
      </c>
      <c r="AL96" s="6">
        <v>79.7</v>
      </c>
      <c r="AM96" s="6">
        <v>8.8000000000000007</v>
      </c>
      <c r="AN96" s="16" t="s">
        <v>148</v>
      </c>
      <c r="AO96" s="12">
        <v>9</v>
      </c>
      <c r="AP96" s="7">
        <v>7.0000000000000007E-2</v>
      </c>
      <c r="AQ96" s="6">
        <v>9.8000000000000007</v>
      </c>
      <c r="AV96" s="3"/>
      <c r="AW96" s="3"/>
      <c r="AX96" s="3"/>
      <c r="AY96" s="3"/>
      <c r="AZ96" s="4"/>
      <c r="BA96" s="4"/>
      <c r="BB96" s="4"/>
      <c r="BC96" s="4"/>
      <c r="BD96" s="4"/>
      <c r="BE96" s="3"/>
      <c r="BF96" s="3"/>
      <c r="BG96" s="4"/>
      <c r="BH96" s="4"/>
      <c r="BI96" s="4"/>
      <c r="BJ96" s="9"/>
      <c r="BK96" s="9"/>
      <c r="BL96" s="9"/>
      <c r="BM96" s="3"/>
      <c r="BN96" s="3"/>
      <c r="BO96" s="3"/>
      <c r="BP96" s="3"/>
      <c r="BQ96" s="3"/>
      <c r="BR96" s="3"/>
      <c r="BT96" s="15"/>
      <c r="BU96" s="3"/>
      <c r="BV96" s="13"/>
      <c r="BW96" s="3"/>
      <c r="BX96" s="3"/>
      <c r="BY96" s="3"/>
      <c r="BZ96" s="3"/>
      <c r="CA96" s="3"/>
      <c r="CB96" s="10"/>
      <c r="CC96" s="10"/>
      <c r="CD96" s="4"/>
      <c r="CE96" s="3"/>
    </row>
    <row r="97" spans="1:83" x14ac:dyDescent="0.25">
      <c r="A97" s="1" t="s">
        <v>9</v>
      </c>
      <c r="B97" s="2">
        <v>2</v>
      </c>
      <c r="C97" t="s">
        <v>8</v>
      </c>
      <c r="D97" s="5" t="str">
        <f t="shared" si="0"/>
        <v>p01-2-SE</v>
      </c>
      <c r="E97" s="5" t="s">
        <v>468</v>
      </c>
      <c r="F97" s="17">
        <v>44881</v>
      </c>
      <c r="G97">
        <v>13</v>
      </c>
      <c r="H97" s="3">
        <v>14.9</v>
      </c>
      <c r="I97" s="3">
        <f t="shared" si="2"/>
        <v>14.44</v>
      </c>
      <c r="J97" s="3">
        <f>($A$63-$A$47)*$A$75</f>
        <v>0.56499999999999995</v>
      </c>
      <c r="K97" s="6">
        <f t="shared" si="3"/>
        <v>3349.4822637795273</v>
      </c>
      <c r="L97" s="4">
        <v>8.5399999999999991</v>
      </c>
      <c r="M97" s="4">
        <v>189.44</v>
      </c>
      <c r="N97" s="4">
        <f>M97-L97</f>
        <v>180.9</v>
      </c>
      <c r="O97" s="4">
        <v>170.97</v>
      </c>
      <c r="P97" s="7">
        <f>(N97-O97)/N97*100</f>
        <v>5.4892205638474332</v>
      </c>
      <c r="Q97" s="6">
        <f>K97*(1-P97/100)</f>
        <v>3165.6217945737189</v>
      </c>
      <c r="R97" s="14"/>
      <c r="S97" s="4"/>
      <c r="T97" s="4"/>
      <c r="U97" s="4"/>
      <c r="V97" s="8"/>
      <c r="W97" s="8"/>
      <c r="X97" s="8"/>
      <c r="Y97" s="6"/>
      <c r="Z97" s="6"/>
      <c r="AA97" s="6"/>
      <c r="AB97" s="6"/>
      <c r="AC97" s="6"/>
      <c r="AD97" s="6"/>
      <c r="AE97" s="10">
        <v>990130121002</v>
      </c>
      <c r="AF97" s="14">
        <v>44980</v>
      </c>
      <c r="AG97" s="6">
        <v>49.1</v>
      </c>
      <c r="AH97" s="11">
        <v>1.125</v>
      </c>
      <c r="AI97" s="6">
        <v>80.8</v>
      </c>
      <c r="AJ97" s="6">
        <v>29.4</v>
      </c>
      <c r="AK97" s="6">
        <v>6</v>
      </c>
      <c r="AL97" s="6">
        <v>78.900000000000006</v>
      </c>
      <c r="AM97" s="6">
        <v>8.8000000000000007</v>
      </c>
      <c r="AN97" s="16" t="s">
        <v>150</v>
      </c>
      <c r="AO97" s="12">
        <v>5</v>
      </c>
      <c r="AP97" s="7">
        <v>0.11</v>
      </c>
      <c r="AQ97" s="6">
        <v>9</v>
      </c>
      <c r="AV97" s="3"/>
      <c r="AW97" s="3"/>
      <c r="AX97" s="3"/>
      <c r="AY97" s="3"/>
      <c r="AZ97" s="4"/>
      <c r="BA97" s="4"/>
      <c r="BB97" s="4"/>
      <c r="BC97" s="4"/>
      <c r="BD97" s="4"/>
      <c r="BE97" s="3"/>
      <c r="BF97" s="3"/>
      <c r="BG97" s="4"/>
      <c r="BH97" s="4"/>
      <c r="BI97" s="4"/>
      <c r="BJ97" s="9"/>
      <c r="BK97" s="9"/>
      <c r="BL97" s="9"/>
      <c r="BM97" s="3"/>
      <c r="BN97" s="3"/>
      <c r="BO97" s="3"/>
      <c r="BP97" s="3"/>
      <c r="BQ97" s="3"/>
      <c r="BR97" s="3"/>
      <c r="BT97" s="15"/>
      <c r="BU97" s="3"/>
      <c r="BV97" s="13"/>
      <c r="BW97" s="3"/>
      <c r="BX97" s="3"/>
      <c r="BY97" s="3"/>
      <c r="BZ97" s="3"/>
      <c r="CA97" s="3"/>
      <c r="CB97" s="10"/>
      <c r="CC97" s="10"/>
      <c r="CD97" s="4"/>
      <c r="CE97" s="3"/>
    </row>
    <row r="98" spans="1:83" x14ac:dyDescent="0.25">
      <c r="A98" s="1" t="s">
        <v>9</v>
      </c>
      <c r="B98" s="2">
        <v>3</v>
      </c>
      <c r="C98" t="s">
        <v>4</v>
      </c>
      <c r="D98" s="5" t="str">
        <f t="shared" si="0"/>
        <v>p01-3-NW</v>
      </c>
      <c r="E98" s="5" t="s">
        <v>468</v>
      </c>
      <c r="F98" s="17">
        <v>44881</v>
      </c>
      <c r="G98">
        <v>1</v>
      </c>
      <c r="H98" s="3">
        <v>9</v>
      </c>
      <c r="I98" s="3">
        <f t="shared" si="2"/>
        <v>8.5399999999999991</v>
      </c>
      <c r="J98" s="3">
        <f>($A$51-$A$47)*$A$75</f>
        <v>0.53374999999999995</v>
      </c>
      <c r="K98" s="6">
        <f t="shared" si="3"/>
        <v>2025.4824852362201</v>
      </c>
      <c r="L98" s="4"/>
      <c r="M98" s="4"/>
      <c r="N98" s="4"/>
      <c r="O98" s="4"/>
      <c r="P98" s="7"/>
      <c r="Q98" s="6"/>
      <c r="R98" s="14"/>
      <c r="S98" s="4"/>
      <c r="T98" s="4"/>
      <c r="U98" s="4"/>
      <c r="V98" s="8"/>
      <c r="W98" s="8"/>
      <c r="X98" s="8"/>
      <c r="Y98" s="6"/>
      <c r="Z98" s="6"/>
      <c r="AA98" s="6"/>
      <c r="AB98" s="6"/>
      <c r="AC98" s="6"/>
      <c r="AD98" s="6"/>
      <c r="AE98" s="10"/>
      <c r="AF98" s="14"/>
      <c r="AG98" s="6"/>
      <c r="AH98" s="11"/>
      <c r="AI98" s="6"/>
      <c r="AJ98" s="6"/>
      <c r="AK98" s="6"/>
      <c r="AL98" s="6"/>
      <c r="AM98" s="6"/>
      <c r="AN98" s="16"/>
      <c r="AO98" s="12"/>
      <c r="AP98" s="7"/>
      <c r="AQ98" s="6"/>
      <c r="AS98" t="s">
        <v>88</v>
      </c>
      <c r="AT98" s="4" t="str">
        <f>E98</f>
        <v>Machine</v>
      </c>
      <c r="AU98" s="15">
        <f>F98</f>
        <v>44881</v>
      </c>
      <c r="AV98" s="3">
        <f>SUM(H98:H103)</f>
        <v>59.399999999999991</v>
      </c>
      <c r="AW98" s="3">
        <f>AV98-6*$A$47</f>
        <v>56.639999999999993</v>
      </c>
      <c r="AX98" s="3">
        <f>SUM(J98:J103)</f>
        <v>3.2962499999999997</v>
      </c>
      <c r="AY98" s="3">
        <f>(AW98+AX98)*$A$48/(6*$A$49)*$A$50</f>
        <v>2229.8723351377948</v>
      </c>
      <c r="AZ98" s="4">
        <f>SUM(L98:L103)</f>
        <v>17.29</v>
      </c>
      <c r="BA98" s="4">
        <f>SUM(M98:M103)</f>
        <v>405.65999999999997</v>
      </c>
      <c r="BB98" s="4">
        <f>BA98-AZ98</f>
        <v>388.36999999999995</v>
      </c>
      <c r="BC98" s="4">
        <f>SUM(O98:O103)</f>
        <v>361.77</v>
      </c>
      <c r="BD98" s="4">
        <f>(BB98-BC98)/BB98*100</f>
        <v>6.8491387079331485</v>
      </c>
      <c r="BE98" s="3">
        <f>AY98*(1-BD98/100)</f>
        <v>2077.1452858943794</v>
      </c>
      <c r="BF98" s="15">
        <v>44882</v>
      </c>
      <c r="BG98" s="4">
        <f>SUM(S98:S103)</f>
        <v>3.5</v>
      </c>
      <c r="BH98" s="4">
        <f>SUM(T98:T103)</f>
        <v>1.22</v>
      </c>
      <c r="BI98" s="4">
        <f>SUM(U98:U103)</f>
        <v>3.5</v>
      </c>
      <c r="BJ98" s="9">
        <f>(BH98-1*$A$76)/(BG98-1*$A$47*$A$48)</f>
        <v>0.31597998786928522</v>
      </c>
      <c r="BK98" s="9">
        <f>(BI98-1*$A$77)/(BG98-1*$A$47*$A$48)</f>
        <v>0.54688844054299368</v>
      </c>
      <c r="BL98" s="9">
        <f>1-BJ98-BK98</f>
        <v>0.13713157158772105</v>
      </c>
      <c r="BM98" s="3">
        <f>AY98*BJ98</f>
        <v>704.59503340689514</v>
      </c>
      <c r="BN98" s="3">
        <f>AY98*BK98</f>
        <v>1219.4914039734724</v>
      </c>
      <c r="BO98" s="3">
        <f>SUM(BM98:BN98)</f>
        <v>1924.0864373803674</v>
      </c>
      <c r="BP98" s="3">
        <f>BE98*BJ98</f>
        <v>656.33634223964896</v>
      </c>
      <c r="BQ98" s="3">
        <f>BE98*BK98</f>
        <v>1135.9667461840079</v>
      </c>
      <c r="BR98" s="3">
        <f>SUM(BP98:BQ98)</f>
        <v>1792.3030884236568</v>
      </c>
      <c r="BS98" s="3"/>
      <c r="BT98" s="15">
        <v>44980</v>
      </c>
      <c r="BU98" s="3">
        <f t="shared" ref="BU98:CA98" si="5">AVERAGE(AG98:AG103)</f>
        <v>45.5</v>
      </c>
      <c r="BV98" s="13">
        <f t="shared" si="5"/>
        <v>1.0760000000000001</v>
      </c>
      <c r="BW98" s="3">
        <f t="shared" si="5"/>
        <v>79.5</v>
      </c>
      <c r="BX98" s="3">
        <f t="shared" si="5"/>
        <v>27.2</v>
      </c>
      <c r="BY98" s="3">
        <f t="shared" si="5"/>
        <v>5.9</v>
      </c>
      <c r="BZ98" s="3">
        <f t="shared" si="5"/>
        <v>78.099999999999994</v>
      </c>
      <c r="CA98" s="3">
        <f t="shared" si="5"/>
        <v>8.6999999999999993</v>
      </c>
      <c r="CB98" s="13"/>
      <c r="CC98" s="10">
        <f>AVERAGE(AO98:AO103)</f>
        <v>14</v>
      </c>
      <c r="CD98" s="4">
        <f>AVERAGE(AP98:AP103)</f>
        <v>0.16</v>
      </c>
      <c r="CE98" s="3">
        <f>AVERAGE(AQ98:AQ103)</f>
        <v>10.4</v>
      </c>
    </row>
    <row r="99" spans="1:83" x14ac:dyDescent="0.25">
      <c r="A99" s="1" t="s">
        <v>9</v>
      </c>
      <c r="B99" s="2">
        <v>3</v>
      </c>
      <c r="C99" t="s">
        <v>5</v>
      </c>
      <c r="D99" s="5" t="str">
        <f t="shared" si="0"/>
        <v>p01-3-MW</v>
      </c>
      <c r="E99" s="5" t="s">
        <v>468</v>
      </c>
      <c r="F99" s="17">
        <v>44881</v>
      </c>
      <c r="G99">
        <v>1</v>
      </c>
      <c r="H99" s="3">
        <v>9.9</v>
      </c>
      <c r="I99" s="3">
        <f t="shared" si="2"/>
        <v>9.44</v>
      </c>
      <c r="J99" s="3">
        <f>($A$51-$A$47)*$A$75</f>
        <v>0.53374999999999995</v>
      </c>
      <c r="K99" s="6">
        <f t="shared" si="3"/>
        <v>2226.3844537401574</v>
      </c>
      <c r="L99" s="4">
        <v>8.4700000000000006</v>
      </c>
      <c r="M99" s="4">
        <v>235.52</v>
      </c>
      <c r="N99" s="4">
        <f>M99-L99</f>
        <v>227.05</v>
      </c>
      <c r="O99" s="4">
        <v>209.25</v>
      </c>
      <c r="P99" s="7">
        <f>(N99-O99)/N99*100</f>
        <v>7.8396828892314518</v>
      </c>
      <c r="Q99" s="6">
        <f>K99*(1-P99/100)</f>
        <v>2051.8429726717814</v>
      </c>
      <c r="R99" s="14"/>
      <c r="S99" s="4"/>
      <c r="T99" s="4"/>
      <c r="U99" s="4"/>
      <c r="V99" s="8"/>
      <c r="W99" s="8"/>
      <c r="X99" s="8"/>
      <c r="Y99" s="6"/>
      <c r="Z99" s="6"/>
      <c r="AA99" s="6"/>
      <c r="AB99" s="6"/>
      <c r="AC99" s="6"/>
      <c r="AD99" s="6"/>
      <c r="AE99" s="10"/>
      <c r="AF99" s="14"/>
      <c r="AG99" s="6"/>
      <c r="AH99" s="11"/>
      <c r="AI99" s="6"/>
      <c r="AJ99" s="6"/>
      <c r="AK99" s="6"/>
      <c r="AL99" s="6"/>
      <c r="AM99" s="6"/>
      <c r="AN99" s="16"/>
      <c r="AO99" s="12"/>
      <c r="AP99" s="7"/>
      <c r="AQ99" s="6"/>
      <c r="AV99" s="3"/>
      <c r="AW99" s="3"/>
      <c r="AX99" s="3"/>
      <c r="AY99" s="3"/>
      <c r="AZ99" s="4"/>
      <c r="BA99" s="4"/>
      <c r="BB99" s="4"/>
      <c r="BC99" s="4"/>
      <c r="BD99" s="4"/>
      <c r="BE99" s="3"/>
      <c r="BF99" s="3"/>
      <c r="BG99" s="4"/>
      <c r="BH99" s="4"/>
      <c r="BI99" s="4"/>
      <c r="BJ99" s="9"/>
      <c r="BK99" s="9"/>
      <c r="BL99" s="9"/>
      <c r="BM99" s="3"/>
      <c r="BN99" s="3"/>
      <c r="BO99" s="3"/>
      <c r="BP99" s="3"/>
      <c r="BQ99" s="3"/>
      <c r="BR99" s="3"/>
      <c r="BT99" s="15"/>
      <c r="BU99" s="3"/>
      <c r="BV99" s="13"/>
      <c r="BW99" s="3"/>
      <c r="BX99" s="3"/>
      <c r="BY99" s="3"/>
      <c r="BZ99" s="3"/>
      <c r="CA99" s="3"/>
      <c r="CB99" s="10"/>
      <c r="CC99" s="10"/>
      <c r="CD99" s="4"/>
      <c r="CE99" s="3"/>
    </row>
    <row r="100" spans="1:83" x14ac:dyDescent="0.25">
      <c r="A100" s="1" t="s">
        <v>9</v>
      </c>
      <c r="B100" s="2">
        <v>3</v>
      </c>
      <c r="C100" t="s">
        <v>6</v>
      </c>
      <c r="D100" s="5" t="str">
        <f t="shared" si="0"/>
        <v>p01-3-SW</v>
      </c>
      <c r="E100" s="5" t="s">
        <v>468</v>
      </c>
      <c r="F100" s="17">
        <v>44881</v>
      </c>
      <c r="G100">
        <v>1</v>
      </c>
      <c r="H100" s="3">
        <v>9.1999999999999993</v>
      </c>
      <c r="I100" s="3">
        <f t="shared" si="2"/>
        <v>8.7399999999999984</v>
      </c>
      <c r="J100" s="3">
        <f>($A$51-$A$47)*$A$75</f>
        <v>0.53374999999999995</v>
      </c>
      <c r="K100" s="6">
        <f t="shared" si="3"/>
        <v>2070.1273671259842</v>
      </c>
      <c r="L100" s="4"/>
      <c r="M100" s="4"/>
      <c r="N100" s="4"/>
      <c r="O100" s="4"/>
      <c r="P100" s="7"/>
      <c r="Q100" s="6"/>
      <c r="R100" s="14"/>
      <c r="S100" s="4"/>
      <c r="T100" s="4"/>
      <c r="U100" s="4"/>
      <c r="V100" s="8"/>
      <c r="W100" s="8"/>
      <c r="X100" s="8"/>
      <c r="Y100" s="6"/>
      <c r="Z100" s="6"/>
      <c r="AA100" s="6"/>
      <c r="AB100" s="6"/>
      <c r="AC100" s="6"/>
      <c r="AD100" s="6"/>
      <c r="AE100" s="10"/>
      <c r="AF100" s="14"/>
      <c r="AG100" s="6"/>
      <c r="AH100" s="11"/>
      <c r="AI100" s="6"/>
      <c r="AJ100" s="6"/>
      <c r="AK100" s="6"/>
      <c r="AL100" s="6"/>
      <c r="AM100" s="6"/>
      <c r="AN100" s="16"/>
      <c r="AO100" s="12"/>
      <c r="AP100" s="7"/>
      <c r="AQ100" s="6"/>
      <c r="AV100" s="3"/>
      <c r="AW100" s="3"/>
      <c r="AX100" s="3"/>
      <c r="AY100" s="3"/>
      <c r="AZ100" s="4"/>
      <c r="BA100" s="4"/>
      <c r="BB100" s="4"/>
      <c r="BC100" s="4"/>
      <c r="BD100" s="4"/>
      <c r="BE100" s="3"/>
      <c r="BF100" s="3"/>
      <c r="BG100" s="4"/>
      <c r="BH100" s="4"/>
      <c r="BI100" s="4"/>
      <c r="BJ100" s="9"/>
      <c r="BK100" s="9"/>
      <c r="BL100" s="9"/>
      <c r="BM100" s="3"/>
      <c r="BN100" s="3"/>
      <c r="BO100" s="3"/>
      <c r="BP100" s="3"/>
      <c r="BQ100" s="3"/>
      <c r="BR100" s="3"/>
      <c r="BT100" s="15"/>
      <c r="BU100" s="3"/>
      <c r="BV100" s="13"/>
      <c r="BW100" s="3"/>
      <c r="BX100" s="3"/>
      <c r="BY100" s="3"/>
      <c r="BZ100" s="3"/>
      <c r="CA100" s="3"/>
      <c r="CB100" s="10"/>
      <c r="CC100" s="10"/>
      <c r="CD100" s="4"/>
      <c r="CE100" s="3"/>
    </row>
    <row r="101" spans="1:83" x14ac:dyDescent="0.25">
      <c r="A101" s="1" t="s">
        <v>9</v>
      </c>
      <c r="B101" s="2">
        <v>3</v>
      </c>
      <c r="C101" t="s">
        <v>7</v>
      </c>
      <c r="D101" s="5" t="str">
        <f t="shared" si="0"/>
        <v>p01-3-NE</v>
      </c>
      <c r="E101" s="5" t="s">
        <v>468</v>
      </c>
      <c r="F101" s="17">
        <v>44881</v>
      </c>
      <c r="G101">
        <v>13</v>
      </c>
      <c r="H101" s="3">
        <v>10.7</v>
      </c>
      <c r="I101" s="3">
        <f t="shared" si="2"/>
        <v>10.239999999999998</v>
      </c>
      <c r="J101" s="3">
        <f>($A$63-$A$47)*$A$75</f>
        <v>0.56499999999999995</v>
      </c>
      <c r="K101" s="6">
        <f t="shared" si="3"/>
        <v>2411.9397440944877</v>
      </c>
      <c r="L101" s="4"/>
      <c r="M101" s="4"/>
      <c r="N101" s="4"/>
      <c r="O101" s="4"/>
      <c r="P101" s="7"/>
      <c r="Q101" s="6"/>
      <c r="R101" s="14"/>
      <c r="S101" s="4"/>
      <c r="T101" s="4"/>
      <c r="U101" s="4"/>
      <c r="V101" s="8"/>
      <c r="W101" s="8"/>
      <c r="X101" s="8"/>
      <c r="Y101" s="6"/>
      <c r="Z101" s="6"/>
      <c r="AA101" s="6"/>
      <c r="AB101" s="6"/>
      <c r="AC101" s="6"/>
      <c r="AD101" s="6"/>
      <c r="AE101" s="10"/>
      <c r="AF101" s="14"/>
      <c r="AG101" s="6"/>
      <c r="AH101" s="11"/>
      <c r="AI101" s="6"/>
      <c r="AJ101" s="6"/>
      <c r="AK101" s="6"/>
      <c r="AL101" s="6"/>
      <c r="AM101" s="6"/>
      <c r="AN101" s="16"/>
      <c r="AO101" s="12"/>
      <c r="AP101" s="7"/>
      <c r="AQ101" s="6"/>
      <c r="AV101" s="3"/>
      <c r="AW101" s="3"/>
      <c r="AX101" s="3"/>
      <c r="AY101" s="3"/>
      <c r="AZ101" s="4"/>
      <c r="BA101" s="4"/>
      <c r="BB101" s="4"/>
      <c r="BC101" s="4"/>
      <c r="BD101" s="4"/>
      <c r="BE101" s="3"/>
      <c r="BF101" s="3"/>
      <c r="BG101" s="4"/>
      <c r="BH101" s="4"/>
      <c r="BI101" s="4"/>
      <c r="BJ101" s="9"/>
      <c r="BK101" s="9"/>
      <c r="BL101" s="9"/>
      <c r="BM101" s="3"/>
      <c r="BN101" s="3"/>
      <c r="BO101" s="3"/>
      <c r="BP101" s="3"/>
      <c r="BQ101" s="3"/>
      <c r="BR101" s="3"/>
      <c r="BT101" s="15"/>
      <c r="BU101" s="3"/>
      <c r="BV101" s="13"/>
      <c r="BW101" s="3"/>
      <c r="BX101" s="3"/>
      <c r="BY101" s="3"/>
      <c r="BZ101" s="3"/>
      <c r="CA101" s="3"/>
      <c r="CB101" s="10"/>
      <c r="CC101" s="10"/>
      <c r="CD101" s="4"/>
      <c r="CE101" s="3"/>
    </row>
    <row r="102" spans="1:83" x14ac:dyDescent="0.25">
      <c r="A102" s="1" t="s">
        <v>9</v>
      </c>
      <c r="B102" s="2">
        <v>3</v>
      </c>
      <c r="C102" t="s">
        <v>18</v>
      </c>
      <c r="D102" s="5" t="str">
        <f t="shared" si="0"/>
        <v>p01-3-ME</v>
      </c>
      <c r="E102" s="5" t="s">
        <v>468</v>
      </c>
      <c r="F102" s="17">
        <v>44881</v>
      </c>
      <c r="G102">
        <v>13</v>
      </c>
      <c r="H102" s="3">
        <v>8.3000000000000007</v>
      </c>
      <c r="I102" s="3">
        <f t="shared" si="2"/>
        <v>7.8400000000000007</v>
      </c>
      <c r="J102" s="3">
        <f>($A$63-$A$47)*$A$75</f>
        <v>0.56499999999999995</v>
      </c>
      <c r="K102" s="6">
        <f t="shared" si="3"/>
        <v>1876.201161417323</v>
      </c>
      <c r="L102" s="4">
        <v>8.82</v>
      </c>
      <c r="M102" s="4">
        <v>170.14</v>
      </c>
      <c r="N102" s="4">
        <f>M102-L102</f>
        <v>161.32</v>
      </c>
      <c r="O102" s="4">
        <v>152.52000000000001</v>
      </c>
      <c r="P102" s="7">
        <f>(N102-O102)/N102*100</f>
        <v>5.4549962806843437</v>
      </c>
      <c r="Q102" s="6">
        <f>K102*(1-P102/100)</f>
        <v>1773.8544578438516</v>
      </c>
      <c r="R102" s="14">
        <v>44882</v>
      </c>
      <c r="S102" s="4">
        <v>3.5</v>
      </c>
      <c r="T102" s="4">
        <v>1.22</v>
      </c>
      <c r="U102" s="4">
        <v>3.5</v>
      </c>
      <c r="V102" s="8">
        <f>(T102-$A$76)/(S102-$A$47*$A$48)</f>
        <v>0.31597998786928522</v>
      </c>
      <c r="W102" s="8">
        <f>(U102-$A$77)/(S102-$A$47*$A$48)</f>
        <v>0.54688844054299368</v>
      </c>
      <c r="X102" s="8">
        <f>1-V102-W102</f>
        <v>0.13713157158772105</v>
      </c>
      <c r="Y102" s="6">
        <f>K102*V102</f>
        <v>592.84202022498459</v>
      </c>
      <c r="Z102" s="6">
        <f>K102*W102</f>
        <v>1026.0727273124733</v>
      </c>
      <c r="AA102" s="6">
        <f>SUM(Y102:Z102)</f>
        <v>1618.914747537458</v>
      </c>
      <c r="AB102" s="6">
        <f>Q102*V102</f>
        <v>560.50251007137774</v>
      </c>
      <c r="AC102" s="6">
        <f>Q102*W102</f>
        <v>970.10049820046152</v>
      </c>
      <c r="AD102" s="6">
        <f>SUM(AB102:AC102)</f>
        <v>1530.6030082718394</v>
      </c>
      <c r="AE102" s="10">
        <v>990130132051</v>
      </c>
      <c r="AF102" s="14">
        <v>44980</v>
      </c>
      <c r="AG102" s="6">
        <v>45.5</v>
      </c>
      <c r="AH102" s="11">
        <v>1.0760000000000001</v>
      </c>
      <c r="AI102" s="6">
        <v>79.5</v>
      </c>
      <c r="AJ102" s="6">
        <v>27.2</v>
      </c>
      <c r="AK102" s="6">
        <v>5.9</v>
      </c>
      <c r="AL102" s="6">
        <v>78.099999999999994</v>
      </c>
      <c r="AM102" s="6">
        <v>8.6999999999999993</v>
      </c>
      <c r="AN102" s="16" t="s">
        <v>149</v>
      </c>
      <c r="AO102" s="12">
        <v>14</v>
      </c>
      <c r="AP102" s="7">
        <v>0.16</v>
      </c>
      <c r="AQ102" s="6">
        <v>10.4</v>
      </c>
      <c r="AV102" s="3"/>
      <c r="AW102" s="3"/>
      <c r="AX102" s="3"/>
      <c r="AY102" s="3"/>
      <c r="AZ102" s="4"/>
      <c r="BA102" s="4"/>
      <c r="BB102" s="4"/>
      <c r="BC102" s="4"/>
      <c r="BD102" s="4"/>
      <c r="BE102" s="3"/>
      <c r="BF102" s="3"/>
      <c r="BG102" s="4"/>
      <c r="BH102" s="4"/>
      <c r="BI102" s="4"/>
      <c r="BJ102" s="9"/>
      <c r="BK102" s="9"/>
      <c r="BL102" s="9"/>
      <c r="BM102" s="3"/>
      <c r="BN102" s="3"/>
      <c r="BO102" s="3"/>
      <c r="BP102" s="3"/>
      <c r="BQ102" s="3"/>
      <c r="BR102" s="3"/>
      <c r="BT102" s="15"/>
      <c r="BU102" s="3"/>
      <c r="BV102" s="13"/>
      <c r="BW102" s="3"/>
      <c r="BX102" s="3"/>
      <c r="BY102" s="3"/>
      <c r="BZ102" s="3"/>
      <c r="CA102" s="3"/>
      <c r="CB102" s="10"/>
      <c r="CC102" s="10"/>
      <c r="CD102" s="4"/>
      <c r="CE102" s="3"/>
    </row>
    <row r="103" spans="1:83" x14ac:dyDescent="0.25">
      <c r="A103" s="1" t="s">
        <v>9</v>
      </c>
      <c r="B103" s="2">
        <v>3</v>
      </c>
      <c r="C103" t="s">
        <v>8</v>
      </c>
      <c r="D103" s="5" t="str">
        <f t="shared" si="0"/>
        <v>p01-3-SE</v>
      </c>
      <c r="E103" s="5" t="s">
        <v>468</v>
      </c>
      <c r="F103" s="17">
        <v>44881</v>
      </c>
      <c r="G103">
        <v>13</v>
      </c>
      <c r="H103" s="3">
        <v>12.3</v>
      </c>
      <c r="I103" s="3">
        <f t="shared" si="2"/>
        <v>11.84</v>
      </c>
      <c r="J103" s="3">
        <f>($A$63-$A$47)*$A$75</f>
        <v>0.56499999999999995</v>
      </c>
      <c r="K103" s="6">
        <f t="shared" si="3"/>
        <v>2769.0987992125984</v>
      </c>
      <c r="L103" s="4"/>
      <c r="M103" s="4"/>
      <c r="N103" s="4"/>
      <c r="O103" s="4"/>
      <c r="P103" s="7"/>
      <c r="Q103" s="6"/>
      <c r="R103" s="14"/>
      <c r="S103" s="4"/>
      <c r="T103" s="4"/>
      <c r="U103" s="4"/>
      <c r="V103" s="8"/>
      <c r="W103" s="8"/>
      <c r="X103" s="8"/>
      <c r="Y103" s="6"/>
      <c r="Z103" s="6"/>
      <c r="AA103" s="6"/>
      <c r="AB103" s="6"/>
      <c r="AC103" s="6"/>
      <c r="AD103" s="6"/>
      <c r="AE103" s="10"/>
      <c r="AF103" s="14"/>
      <c r="AG103" s="6"/>
      <c r="AH103" s="11"/>
      <c r="AI103" s="6"/>
      <c r="AJ103" s="6"/>
      <c r="AK103" s="6"/>
      <c r="AL103" s="6"/>
      <c r="AM103" s="6"/>
      <c r="AN103" s="16"/>
      <c r="AO103" s="12"/>
      <c r="AP103" s="7"/>
      <c r="AQ103" s="6"/>
      <c r="AV103" s="3"/>
      <c r="AW103" s="3"/>
      <c r="AX103" s="3"/>
      <c r="AY103" s="3"/>
      <c r="AZ103" s="4"/>
      <c r="BA103" s="4"/>
      <c r="BB103" s="4"/>
      <c r="BC103" s="4"/>
      <c r="BD103" s="4"/>
      <c r="BE103" s="3"/>
      <c r="BF103" s="3"/>
      <c r="BG103" s="4"/>
      <c r="BH103" s="4"/>
      <c r="BI103" s="4"/>
      <c r="BJ103" s="9"/>
      <c r="BK103" s="9"/>
      <c r="BL103" s="9"/>
      <c r="BM103" s="3"/>
      <c r="BN103" s="3"/>
      <c r="BO103" s="3"/>
      <c r="BP103" s="3"/>
      <c r="BQ103" s="3"/>
      <c r="BR103" s="3"/>
      <c r="BT103" s="15"/>
      <c r="BU103" s="3"/>
      <c r="BV103" s="13"/>
      <c r="BW103" s="3"/>
      <c r="BX103" s="3"/>
      <c r="BY103" s="3"/>
      <c r="BZ103" s="3"/>
      <c r="CA103" s="3"/>
      <c r="CB103" s="10"/>
      <c r="CC103" s="10"/>
      <c r="CD103" s="4"/>
      <c r="CE103" s="3"/>
    </row>
    <row r="104" spans="1:83" x14ac:dyDescent="0.25">
      <c r="A104" s="1" t="s">
        <v>9</v>
      </c>
      <c r="B104" s="2">
        <v>4</v>
      </c>
      <c r="C104" t="s">
        <v>4</v>
      </c>
      <c r="D104" s="5" t="str">
        <f t="shared" si="0"/>
        <v>p01-4-NW</v>
      </c>
      <c r="E104" s="5" t="s">
        <v>468</v>
      </c>
      <c r="F104" s="17">
        <v>44881</v>
      </c>
      <c r="G104">
        <v>1</v>
      </c>
      <c r="H104" s="3">
        <v>16.399999999999999</v>
      </c>
      <c r="I104" s="3">
        <f t="shared" si="2"/>
        <v>15.939999999999998</v>
      </c>
      <c r="J104" s="3">
        <f>($A$51-$A$47)*$A$75</f>
        <v>0.53374999999999995</v>
      </c>
      <c r="K104" s="6">
        <f t="shared" si="3"/>
        <v>3677.3431151574805</v>
      </c>
      <c r="L104" s="4"/>
      <c r="M104" s="4"/>
      <c r="N104" s="4"/>
      <c r="O104" s="4"/>
      <c r="P104" s="7"/>
      <c r="Q104" s="6"/>
      <c r="R104" s="14"/>
      <c r="S104" s="4"/>
      <c r="T104" s="4"/>
      <c r="U104" s="4"/>
      <c r="V104" s="8"/>
      <c r="W104" s="8"/>
      <c r="X104" s="8"/>
      <c r="Y104" s="6"/>
      <c r="Z104" s="6"/>
      <c r="AA104" s="6"/>
      <c r="AB104" s="6"/>
      <c r="AC104" s="6"/>
      <c r="AD104" s="6"/>
      <c r="AE104" s="10"/>
      <c r="AF104" s="14"/>
      <c r="AG104" s="6"/>
      <c r="AH104" s="11"/>
      <c r="AI104" s="6"/>
      <c r="AJ104" s="6"/>
      <c r="AK104" s="6"/>
      <c r="AL104" s="6"/>
      <c r="AM104" s="6"/>
      <c r="AN104" s="16"/>
      <c r="AO104" s="12"/>
      <c r="AP104" s="7"/>
      <c r="AQ104" s="6"/>
      <c r="AS104" t="s">
        <v>89</v>
      </c>
      <c r="AT104" s="4" t="str">
        <f>E104</f>
        <v>Machine</v>
      </c>
      <c r="AU104" s="15">
        <f>F104</f>
        <v>44881</v>
      </c>
      <c r="AV104" s="3">
        <f>SUM(H104:H109)</f>
        <v>117.5</v>
      </c>
      <c r="AW104" s="3">
        <f>AV104-6*$A$47</f>
        <v>114.74</v>
      </c>
      <c r="AX104" s="3">
        <f>SUM(J104:J109)</f>
        <v>3.2962499999999997</v>
      </c>
      <c r="AY104" s="3">
        <f>(AW104+AX104)*$A$48/(6*$A$49)*$A$50</f>
        <v>4391.4286999671913</v>
      </c>
      <c r="AZ104" s="4">
        <f>SUM(L104:L109)</f>
        <v>17.36</v>
      </c>
      <c r="BA104" s="4">
        <f>SUM(M104:M109)</f>
        <v>448.93</v>
      </c>
      <c r="BB104" s="4">
        <f>BA104-AZ104</f>
        <v>431.57</v>
      </c>
      <c r="BC104" s="4">
        <f>SUM(O104:O109)</f>
        <v>404.47</v>
      </c>
      <c r="BD104" s="4">
        <f>(BB104-BC104)/BB104*100</f>
        <v>6.2793984753342373</v>
      </c>
      <c r="BE104" s="3">
        <f>AY104*(1-BD104/100)</f>
        <v>4115.6733931360613</v>
      </c>
      <c r="BF104" s="15">
        <f>R105</f>
        <v>44882</v>
      </c>
      <c r="BG104" s="4">
        <f>SUM(S104:S109)</f>
        <v>19.59</v>
      </c>
      <c r="BH104" s="4">
        <f>SUM(T104:T109)</f>
        <v>6.5600000000000005</v>
      </c>
      <c r="BI104" s="4">
        <f>SUM(U104:U109)</f>
        <v>14.26</v>
      </c>
      <c r="BJ104" s="9">
        <f>(BH104-2*$A$76)/(BG104-2*$A$47*$A$48)</f>
        <v>0.32337654584211789</v>
      </c>
      <c r="BK104" s="9">
        <f>(BI104-2*$A$77)/(BG104-2*$A$47*$A$48)</f>
        <v>0.56643053029764512</v>
      </c>
      <c r="BL104" s="9">
        <f>1-BJ104-BK104</f>
        <v>0.11019292386023705</v>
      </c>
      <c r="BM104" s="3">
        <f>AY104*BJ104</f>
        <v>1420.0850443073325</v>
      </c>
      <c r="BN104" s="3">
        <f>AY104*BK104</f>
        <v>2487.4392872867143</v>
      </c>
      <c r="BO104" s="3">
        <f>SUM(BM104:BN104)</f>
        <v>3907.524331594047</v>
      </c>
      <c r="BP104" s="3">
        <f>BE104*BJ104</f>
        <v>1330.9122456866485</v>
      </c>
      <c r="BQ104" s="3">
        <f>BE104*BK104</f>
        <v>2331.2430626059677</v>
      </c>
      <c r="BR104" s="3">
        <f>SUM(BP104:BQ104)</f>
        <v>3662.1553082926162</v>
      </c>
      <c r="BS104" s="3"/>
      <c r="BT104" s="15">
        <f>AF105</f>
        <v>44980</v>
      </c>
      <c r="BU104" s="3">
        <f t="shared" ref="BU104:CA104" si="6">AVERAGE(AG104:AG109)</f>
        <v>45.35</v>
      </c>
      <c r="BV104" s="13">
        <f t="shared" si="6"/>
        <v>1.181</v>
      </c>
      <c r="BW104" s="3">
        <f t="shared" si="6"/>
        <v>80.25</v>
      </c>
      <c r="BX104" s="3">
        <f t="shared" si="6"/>
        <v>29.6</v>
      </c>
      <c r="BY104" s="3">
        <f t="shared" si="6"/>
        <v>6.35</v>
      </c>
      <c r="BZ104" s="3">
        <f t="shared" si="6"/>
        <v>80.400000000000006</v>
      </c>
      <c r="CA104" s="3">
        <f t="shared" si="6"/>
        <v>8</v>
      </c>
      <c r="CB104" s="13"/>
      <c r="CC104" s="10">
        <f>AVERAGE(AO104:AO109)</f>
        <v>12.5</v>
      </c>
      <c r="CD104" s="4">
        <f>AVERAGE(AP104:AP109)</f>
        <v>0.13500000000000001</v>
      </c>
      <c r="CE104" s="3">
        <f>AVERAGE(AQ104:AQ109)</f>
        <v>9</v>
      </c>
    </row>
    <row r="105" spans="1:83" x14ac:dyDescent="0.25">
      <c r="A105" s="1" t="s">
        <v>9</v>
      </c>
      <c r="B105" s="2">
        <v>4</v>
      </c>
      <c r="C105" t="s">
        <v>5</v>
      </c>
      <c r="D105" s="5" t="str">
        <f t="shared" si="0"/>
        <v>p01-4-MW</v>
      </c>
      <c r="E105" s="5" t="s">
        <v>468</v>
      </c>
      <c r="F105" s="17">
        <v>44881</v>
      </c>
      <c r="G105">
        <v>1</v>
      </c>
      <c r="H105" s="3">
        <v>20.9</v>
      </c>
      <c r="I105" s="3">
        <f t="shared" si="2"/>
        <v>20.439999999999998</v>
      </c>
      <c r="J105" s="3">
        <f>($A$51-$A$47)*$A$75</f>
        <v>0.53374999999999995</v>
      </c>
      <c r="K105" s="6">
        <f t="shared" si="3"/>
        <v>4681.8529576771653</v>
      </c>
      <c r="L105" s="4">
        <v>8.5399999999999991</v>
      </c>
      <c r="M105" s="4">
        <v>250.57</v>
      </c>
      <c r="N105" s="4">
        <f>M105-L105</f>
        <v>242.03</v>
      </c>
      <c r="O105" s="4">
        <v>224.66</v>
      </c>
      <c r="P105" s="7">
        <f>(N105-O105)/N105*100</f>
        <v>7.1767962649258372</v>
      </c>
      <c r="Q105" s="6">
        <f>K105*(1-P105/100)</f>
        <v>4345.8459094812706</v>
      </c>
      <c r="R105" s="14">
        <v>44882</v>
      </c>
      <c r="S105" s="4">
        <v>9.14</v>
      </c>
      <c r="T105" s="4">
        <v>3.12</v>
      </c>
      <c r="U105" s="4">
        <v>6.7</v>
      </c>
      <c r="V105" s="8">
        <f>(T105-$A$76)/(S105-$A$47*$A$48)</f>
        <v>0.32917764545025524</v>
      </c>
      <c r="W105" s="8">
        <f>(U105-$A$77)/(S105-$A$47*$A$48)</f>
        <v>0.55982592763648853</v>
      </c>
      <c r="X105" s="8">
        <f>1-V105-W105</f>
        <v>0.11099642691325617</v>
      </c>
      <c r="Y105" s="6">
        <f>K105*V105</f>
        <v>1541.1613329524828</v>
      </c>
      <c r="Z105" s="6">
        <f>K105*W105</f>
        <v>2621.0226750892566</v>
      </c>
      <c r="AA105" s="6">
        <f>SUM(Y105:Z105)</f>
        <v>4162.1840080417396</v>
      </c>
      <c r="AB105" s="6">
        <f>Q105*V105</f>
        <v>1430.5553239726678</v>
      </c>
      <c r="AC105" s="6">
        <f>Q105*W105</f>
        <v>2432.9172176405914</v>
      </c>
      <c r="AD105" s="6">
        <f>SUM(AB105:AC105)</f>
        <v>3863.4725416132592</v>
      </c>
      <c r="AE105" s="10">
        <v>990130141004</v>
      </c>
      <c r="AF105" s="14">
        <v>44980</v>
      </c>
      <c r="AG105" s="6">
        <v>45.8</v>
      </c>
      <c r="AH105" s="11">
        <v>1.1930000000000001</v>
      </c>
      <c r="AI105" s="6">
        <v>80.5</v>
      </c>
      <c r="AJ105" s="6">
        <v>29.4</v>
      </c>
      <c r="AK105" s="6">
        <v>6.3</v>
      </c>
      <c r="AL105" s="6">
        <v>80</v>
      </c>
      <c r="AM105" s="6">
        <v>8.1</v>
      </c>
      <c r="AN105" s="16" t="s">
        <v>150</v>
      </c>
      <c r="AO105" s="12">
        <v>17</v>
      </c>
      <c r="AP105" s="7">
        <v>0.21</v>
      </c>
      <c r="AQ105" s="6">
        <v>8.6</v>
      </c>
      <c r="AV105" s="3"/>
      <c r="AW105" s="3"/>
      <c r="AX105" s="3"/>
      <c r="AY105" s="3"/>
      <c r="AZ105" s="4"/>
      <c r="BA105" s="4"/>
      <c r="BB105" s="4"/>
      <c r="BC105" s="4"/>
      <c r="BD105" s="4"/>
      <c r="BE105" s="3"/>
      <c r="BF105" s="3"/>
      <c r="BG105" s="4"/>
      <c r="BH105" s="4"/>
      <c r="BI105" s="4"/>
      <c r="BJ105" s="9"/>
      <c r="BK105" s="9"/>
      <c r="BL105" s="9"/>
      <c r="BM105" s="3"/>
      <c r="BN105" s="3"/>
      <c r="BO105" s="3"/>
      <c r="BP105" s="3"/>
      <c r="BQ105" s="3"/>
      <c r="BR105" s="3"/>
      <c r="BT105" s="15"/>
      <c r="BU105" s="3"/>
      <c r="BV105" s="13"/>
      <c r="BW105" s="3"/>
      <c r="BX105" s="3"/>
      <c r="BY105" s="3"/>
      <c r="BZ105" s="3"/>
      <c r="CA105" s="3"/>
      <c r="CB105" s="10"/>
      <c r="CC105" s="10"/>
      <c r="CD105" s="4"/>
      <c r="CE105" s="3"/>
    </row>
    <row r="106" spans="1:83" x14ac:dyDescent="0.25">
      <c r="A106" s="1" t="s">
        <v>9</v>
      </c>
      <c r="B106" s="2">
        <v>4</v>
      </c>
      <c r="C106" t="s">
        <v>6</v>
      </c>
      <c r="D106" s="5" t="str">
        <f t="shared" si="0"/>
        <v>p01-4-SW</v>
      </c>
      <c r="E106" s="5" t="s">
        <v>468</v>
      </c>
      <c r="F106" s="17">
        <v>44881</v>
      </c>
      <c r="G106">
        <v>1</v>
      </c>
      <c r="H106" s="3">
        <v>21.6</v>
      </c>
      <c r="I106" s="3">
        <f t="shared" si="2"/>
        <v>21.14</v>
      </c>
      <c r="J106" s="3">
        <f>($A$51-$A$47)*$A$75</f>
        <v>0.53374999999999995</v>
      </c>
      <c r="K106" s="6">
        <f t="shared" si="3"/>
        <v>4838.1100442913394</v>
      </c>
      <c r="L106" s="4"/>
      <c r="M106" s="4"/>
      <c r="N106" s="4"/>
      <c r="O106" s="4"/>
      <c r="P106" s="7"/>
      <c r="Q106" s="6"/>
      <c r="R106" s="14"/>
      <c r="S106" s="4"/>
      <c r="T106" s="4"/>
      <c r="U106" s="4"/>
      <c r="V106" s="8"/>
      <c r="W106" s="8"/>
      <c r="X106" s="8"/>
      <c r="Y106" s="6"/>
      <c r="Z106" s="6"/>
      <c r="AA106" s="6"/>
      <c r="AB106" s="6"/>
      <c r="AC106" s="6"/>
      <c r="AD106" s="6"/>
      <c r="AE106" s="10"/>
      <c r="AF106" s="14"/>
      <c r="AG106" s="6"/>
      <c r="AH106" s="11"/>
      <c r="AI106" s="6"/>
      <c r="AJ106" s="6"/>
      <c r="AK106" s="6"/>
      <c r="AL106" s="6"/>
      <c r="AM106" s="6"/>
      <c r="AN106" s="16"/>
      <c r="AO106" s="12"/>
      <c r="AP106" s="7"/>
      <c r="AQ106" s="6"/>
      <c r="AV106" s="3"/>
      <c r="AW106" s="3"/>
      <c r="AX106" s="3"/>
      <c r="AY106" s="3"/>
      <c r="AZ106" s="4"/>
      <c r="BA106" s="4"/>
      <c r="BB106" s="4"/>
      <c r="BC106" s="4"/>
      <c r="BD106" s="4"/>
      <c r="BE106" s="3"/>
      <c r="BF106" s="3"/>
      <c r="BG106" s="4"/>
      <c r="BH106" s="4"/>
      <c r="BI106" s="4"/>
      <c r="BJ106" s="9"/>
      <c r="BK106" s="9"/>
      <c r="BL106" s="9"/>
      <c r="BM106" s="3"/>
      <c r="BN106" s="3"/>
      <c r="BO106" s="3"/>
      <c r="BP106" s="3"/>
      <c r="BQ106" s="3"/>
      <c r="BR106" s="3"/>
      <c r="BT106" s="15"/>
      <c r="BU106" s="3"/>
      <c r="BV106" s="13"/>
      <c r="BW106" s="3"/>
      <c r="BX106" s="3"/>
      <c r="BY106" s="3"/>
      <c r="BZ106" s="3"/>
      <c r="CA106" s="3"/>
      <c r="CB106" s="10"/>
      <c r="CC106" s="10"/>
      <c r="CD106" s="4"/>
      <c r="CE106" s="3"/>
    </row>
    <row r="107" spans="1:83" x14ac:dyDescent="0.25">
      <c r="A107" s="1" t="s">
        <v>9</v>
      </c>
      <c r="B107" s="2">
        <v>4</v>
      </c>
      <c r="C107" t="s">
        <v>7</v>
      </c>
      <c r="D107" s="5" t="str">
        <f t="shared" si="0"/>
        <v>p01-4-NE</v>
      </c>
      <c r="E107" s="5" t="s">
        <v>468</v>
      </c>
      <c r="F107" s="17">
        <v>44881</v>
      </c>
      <c r="G107">
        <v>13</v>
      </c>
      <c r="H107" s="3">
        <v>17.899999999999999</v>
      </c>
      <c r="I107" s="3">
        <f t="shared" si="2"/>
        <v>17.439999999999998</v>
      </c>
      <c r="J107" s="3">
        <f>($A$63-$A$47)*$A$75</f>
        <v>0.56499999999999995</v>
      </c>
      <c r="K107" s="6">
        <f t="shared" si="3"/>
        <v>4019.1554921259844</v>
      </c>
      <c r="L107" s="4"/>
      <c r="M107" s="4"/>
      <c r="N107" s="4"/>
      <c r="O107" s="4"/>
      <c r="P107" s="7"/>
      <c r="Q107" s="6"/>
      <c r="R107" s="14"/>
      <c r="S107" s="4"/>
      <c r="T107" s="4"/>
      <c r="U107" s="4"/>
      <c r="V107" s="8"/>
      <c r="W107" s="8"/>
      <c r="X107" s="8"/>
      <c r="Y107" s="6"/>
      <c r="Z107" s="6"/>
      <c r="AA107" s="6"/>
      <c r="AB107" s="6"/>
      <c r="AC107" s="6"/>
      <c r="AD107" s="6"/>
      <c r="AE107" s="10"/>
      <c r="AF107" s="14"/>
      <c r="AG107" s="6"/>
      <c r="AH107" s="11"/>
      <c r="AI107" s="6"/>
      <c r="AJ107" s="6"/>
      <c r="AK107" s="6"/>
      <c r="AL107" s="6"/>
      <c r="AM107" s="6"/>
      <c r="AN107" s="16"/>
      <c r="AO107" s="12"/>
      <c r="AP107" s="7"/>
      <c r="AQ107" s="6"/>
      <c r="AV107" s="3"/>
      <c r="AW107" s="3"/>
      <c r="AX107" s="3"/>
      <c r="AY107" s="3"/>
      <c r="AZ107" s="4"/>
      <c r="BA107" s="4"/>
      <c r="BB107" s="4"/>
      <c r="BC107" s="4"/>
      <c r="BD107" s="4"/>
      <c r="BE107" s="3"/>
      <c r="BF107" s="3"/>
      <c r="BG107" s="4"/>
      <c r="BH107" s="4"/>
      <c r="BI107" s="4"/>
      <c r="BJ107" s="9"/>
      <c r="BK107" s="9"/>
      <c r="BL107" s="9"/>
      <c r="BM107" s="3"/>
      <c r="BN107" s="3"/>
      <c r="BO107" s="3"/>
      <c r="BP107" s="3"/>
      <c r="BQ107" s="3"/>
      <c r="BR107" s="3"/>
      <c r="BT107" s="15"/>
      <c r="BU107" s="3"/>
      <c r="BV107" s="13"/>
      <c r="BW107" s="3"/>
      <c r="BX107" s="3"/>
      <c r="BY107" s="3"/>
      <c r="BZ107" s="3"/>
      <c r="CA107" s="3"/>
      <c r="CB107" s="10"/>
      <c r="CC107" s="10"/>
      <c r="CD107" s="4"/>
      <c r="CE107" s="3"/>
    </row>
    <row r="108" spans="1:83" x14ac:dyDescent="0.25">
      <c r="A108" s="1" t="s">
        <v>9</v>
      </c>
      <c r="B108" s="2">
        <v>4</v>
      </c>
      <c r="C108" t="s">
        <v>18</v>
      </c>
      <c r="D108" s="5" t="str">
        <f t="shared" si="0"/>
        <v>p01-4-ME</v>
      </c>
      <c r="E108" s="5" t="s">
        <v>468</v>
      </c>
      <c r="F108" s="17">
        <v>44881</v>
      </c>
      <c r="G108">
        <v>13</v>
      </c>
      <c r="H108" s="3">
        <v>23.7</v>
      </c>
      <c r="I108" s="3">
        <f t="shared" si="2"/>
        <v>23.24</v>
      </c>
      <c r="J108" s="3">
        <f>($A$63-$A$47)*$A$75</f>
        <v>0.56499999999999995</v>
      </c>
      <c r="K108" s="6">
        <f t="shared" si="3"/>
        <v>5313.857066929133</v>
      </c>
      <c r="L108" s="4">
        <v>8.82</v>
      </c>
      <c r="M108" s="4">
        <v>198.36</v>
      </c>
      <c r="N108" s="4">
        <f>M108-L108</f>
        <v>189.54000000000002</v>
      </c>
      <c r="O108" s="4">
        <v>179.81</v>
      </c>
      <c r="P108" s="7">
        <f>(N108-O108)/N108*100</f>
        <v>5.1334810594069937</v>
      </c>
      <c r="Q108" s="6">
        <f>K108*(1-P108/100)</f>
        <v>5041.0712208743662</v>
      </c>
      <c r="R108" s="14">
        <v>44882</v>
      </c>
      <c r="S108" s="4">
        <v>10.45</v>
      </c>
      <c r="T108" s="4">
        <v>3.44</v>
      </c>
      <c r="U108" s="4">
        <v>7.56</v>
      </c>
      <c r="V108" s="8">
        <f>(T108-$A$76)/(S108-$A$47*$A$48)</f>
        <v>0.31831748143521676</v>
      </c>
      <c r="W108" s="8">
        <f>(U108-$A$77)/(S108-$A$47*$A$48)</f>
        <v>0.57219031938968412</v>
      </c>
      <c r="X108" s="8">
        <f>1-V108-W108</f>
        <v>0.10949219917509911</v>
      </c>
      <c r="Y108" s="6">
        <f>K108*V108</f>
        <v>1691.4935982516097</v>
      </c>
      <c r="Z108" s="6">
        <f>K108*W108</f>
        <v>3040.5375723173106</v>
      </c>
      <c r="AA108" s="6">
        <f>SUM(Y108:Z108)</f>
        <v>4732.0311705689201</v>
      </c>
      <c r="AB108" s="6">
        <f>Q108*V108</f>
        <v>1604.6610947642816</v>
      </c>
      <c r="AC108" s="6">
        <f>Q108*W108</f>
        <v>2884.4521519382483</v>
      </c>
      <c r="AD108" s="6">
        <f>SUM(AB108:AC108)</f>
        <v>4489.11324670253</v>
      </c>
      <c r="AE108" s="10">
        <v>990130142052</v>
      </c>
      <c r="AF108" s="14">
        <v>44980</v>
      </c>
      <c r="AG108" s="6">
        <v>44.900000000000006</v>
      </c>
      <c r="AH108" s="11">
        <v>1.169</v>
      </c>
      <c r="AI108" s="6">
        <v>80</v>
      </c>
      <c r="AJ108" s="6">
        <v>29.8</v>
      </c>
      <c r="AK108" s="6">
        <v>6.4</v>
      </c>
      <c r="AL108" s="6">
        <v>80.8</v>
      </c>
      <c r="AM108" s="6">
        <v>7.9</v>
      </c>
      <c r="AN108" s="16" t="s">
        <v>150</v>
      </c>
      <c r="AO108" s="12">
        <v>8</v>
      </c>
      <c r="AP108" s="7">
        <v>0.06</v>
      </c>
      <c r="AQ108" s="6">
        <v>9.4</v>
      </c>
      <c r="AV108" s="3"/>
      <c r="AW108" s="3"/>
      <c r="AX108" s="3"/>
      <c r="AY108" s="3"/>
      <c r="AZ108" s="4"/>
      <c r="BA108" s="4"/>
      <c r="BB108" s="4"/>
      <c r="BC108" s="4"/>
      <c r="BD108" s="4"/>
      <c r="BE108" s="3"/>
      <c r="BF108" s="3"/>
      <c r="BG108" s="4"/>
      <c r="BH108" s="4"/>
      <c r="BI108" s="4"/>
      <c r="BJ108" s="9"/>
      <c r="BK108" s="9"/>
      <c r="BL108" s="9"/>
      <c r="BM108" s="3"/>
      <c r="BN108" s="3"/>
      <c r="BO108" s="3"/>
      <c r="BP108" s="3"/>
      <c r="BQ108" s="3"/>
      <c r="BR108" s="3"/>
      <c r="BT108" s="15"/>
      <c r="BU108" s="3"/>
      <c r="BV108" s="13"/>
      <c r="BW108" s="3"/>
      <c r="BX108" s="3"/>
      <c r="BY108" s="3"/>
      <c r="BZ108" s="3"/>
      <c r="CA108" s="3"/>
      <c r="CB108" s="10"/>
      <c r="CC108" s="10"/>
      <c r="CD108" s="4"/>
      <c r="CE108" s="3"/>
    </row>
    <row r="109" spans="1:83" x14ac:dyDescent="0.25">
      <c r="A109" s="1" t="s">
        <v>9</v>
      </c>
      <c r="B109" s="2">
        <v>4</v>
      </c>
      <c r="C109" t="s">
        <v>8</v>
      </c>
      <c r="D109" s="5" t="str">
        <f t="shared" si="0"/>
        <v>p01-4-SE</v>
      </c>
      <c r="E109" s="5" t="s">
        <v>468</v>
      </c>
      <c r="F109" s="17">
        <v>44881</v>
      </c>
      <c r="G109">
        <v>13</v>
      </c>
      <c r="H109" s="3">
        <v>17</v>
      </c>
      <c r="I109" s="3">
        <f t="shared" si="2"/>
        <v>16.54</v>
      </c>
      <c r="J109" s="3">
        <f>($A$63-$A$47)*$A$75</f>
        <v>0.56499999999999995</v>
      </c>
      <c r="K109" s="6">
        <f t="shared" si="3"/>
        <v>3818.2535236220474</v>
      </c>
      <c r="L109" s="4"/>
      <c r="M109" s="4"/>
      <c r="N109" s="4"/>
      <c r="O109" s="4"/>
      <c r="P109" s="7"/>
      <c r="Q109" s="6"/>
      <c r="R109" s="14"/>
      <c r="S109" s="4"/>
      <c r="T109" s="4"/>
      <c r="U109" s="4"/>
      <c r="V109" s="8"/>
      <c r="W109" s="8"/>
      <c r="X109" s="8"/>
      <c r="Y109" s="6"/>
      <c r="Z109" s="6"/>
      <c r="AA109" s="6"/>
      <c r="AB109" s="6"/>
      <c r="AC109" s="6"/>
      <c r="AD109" s="6"/>
      <c r="AE109" s="10"/>
      <c r="AF109" s="14"/>
      <c r="AG109" s="6"/>
      <c r="AH109" s="11"/>
      <c r="AI109" s="6"/>
      <c r="AJ109" s="6"/>
      <c r="AK109" s="6"/>
      <c r="AL109" s="6"/>
      <c r="AM109" s="6"/>
      <c r="AN109" s="16"/>
      <c r="AO109" s="12"/>
      <c r="AP109" s="7"/>
      <c r="AQ109" s="6"/>
      <c r="AV109" s="3"/>
      <c r="AW109" s="3"/>
      <c r="AX109" s="3"/>
      <c r="AY109" s="3"/>
      <c r="AZ109" s="4"/>
      <c r="BA109" s="4"/>
      <c r="BB109" s="4"/>
      <c r="BC109" s="4"/>
      <c r="BD109" s="4"/>
      <c r="BE109" s="3"/>
      <c r="BF109" s="3"/>
      <c r="BG109" s="4"/>
      <c r="BH109" s="4"/>
      <c r="BI109" s="4"/>
      <c r="BJ109" s="9"/>
      <c r="BK109" s="9"/>
      <c r="BL109" s="9"/>
      <c r="BM109" s="3"/>
      <c r="BN109" s="3"/>
      <c r="BO109" s="3"/>
      <c r="BP109" s="3"/>
      <c r="BQ109" s="3"/>
      <c r="BR109" s="3"/>
      <c r="BT109" s="15"/>
      <c r="BU109" s="3"/>
      <c r="BV109" s="13"/>
      <c r="BW109" s="3"/>
      <c r="BX109" s="3"/>
      <c r="BY109" s="3"/>
      <c r="BZ109" s="3"/>
      <c r="CA109" s="3"/>
      <c r="CB109" s="10"/>
      <c r="CC109" s="10"/>
      <c r="CD109" s="4"/>
      <c r="CE109" s="3"/>
    </row>
    <row r="110" spans="1:83" x14ac:dyDescent="0.25">
      <c r="A110" s="2" t="s">
        <v>10</v>
      </c>
      <c r="B110" s="2">
        <v>1</v>
      </c>
      <c r="C110" t="s">
        <v>4</v>
      </c>
      <c r="D110" s="5" t="str">
        <f t="shared" si="0"/>
        <v>p02-1-NW</v>
      </c>
      <c r="E110" s="5" t="s">
        <v>468</v>
      </c>
      <c r="F110" s="17">
        <v>44881</v>
      </c>
      <c r="G110">
        <v>2</v>
      </c>
      <c r="H110" s="3">
        <v>27.8</v>
      </c>
      <c r="I110" s="3">
        <f t="shared" si="2"/>
        <v>27.34</v>
      </c>
      <c r="J110" s="3">
        <f>($A$52-$A$47)*$A$75</f>
        <v>1.2024999999999999</v>
      </c>
      <c r="K110" s="6">
        <f t="shared" si="3"/>
        <v>6371.3827066929125</v>
      </c>
      <c r="L110" s="4"/>
      <c r="M110" s="4"/>
      <c r="N110" s="4"/>
      <c r="O110" s="4"/>
      <c r="P110" s="7"/>
      <c r="Q110" s="6"/>
      <c r="R110" s="14"/>
      <c r="S110" s="4"/>
      <c r="T110" s="4"/>
      <c r="U110" s="4"/>
      <c r="V110" s="8"/>
      <c r="W110" s="8"/>
      <c r="X110" s="8"/>
      <c r="Y110" s="6"/>
      <c r="Z110" s="6"/>
      <c r="AA110" s="6"/>
      <c r="AB110" s="6"/>
      <c r="AC110" s="6"/>
      <c r="AD110" s="6"/>
      <c r="AE110" s="10"/>
      <c r="AF110" s="14"/>
      <c r="AG110" s="6"/>
      <c r="AH110" s="11"/>
      <c r="AI110" s="6"/>
      <c r="AJ110" s="6"/>
      <c r="AK110" s="6"/>
      <c r="AL110" s="6"/>
      <c r="AM110" s="6"/>
      <c r="AN110" s="16"/>
      <c r="AO110" s="12"/>
      <c r="AP110" s="7"/>
      <c r="AQ110" s="6"/>
      <c r="AS110" s="4" t="s">
        <v>90</v>
      </c>
      <c r="AT110" s="4" t="str">
        <f>E110</f>
        <v>Machine</v>
      </c>
      <c r="AU110" s="15">
        <f>F110</f>
        <v>44881</v>
      </c>
      <c r="AV110" s="3">
        <f>SUM(H110:H115)</f>
        <v>147.9</v>
      </c>
      <c r="AW110" s="3">
        <f>AV110-6*$A$47</f>
        <v>145.14000000000001</v>
      </c>
      <c r="AX110" s="3">
        <f>SUM(J110:J115)</f>
        <v>5.8275000000000006</v>
      </c>
      <c r="AY110" s="3">
        <f>(AW110+AX110)*$A$48/(6*$A$49)*$A$50</f>
        <v>5616.6051722440961</v>
      </c>
      <c r="AZ110" s="4">
        <f>SUM(L110:L115)</f>
        <v>17.25</v>
      </c>
      <c r="BA110" s="4">
        <f>SUM(M110:M115)</f>
        <v>409.28</v>
      </c>
      <c r="BB110" s="4">
        <f>BA110-AZ110</f>
        <v>392.03</v>
      </c>
      <c r="BC110" s="4">
        <f>SUM(O110:O115)</f>
        <v>368.69</v>
      </c>
      <c r="BD110" s="4">
        <f>(BB110-BC110)/BB110*100</f>
        <v>5.9536259980103505</v>
      </c>
      <c r="BE110" s="3">
        <f>AY110*(1-BD110/100)</f>
        <v>5282.2135065037774</v>
      </c>
      <c r="BF110" s="15">
        <f>R111</f>
        <v>44882</v>
      </c>
      <c r="BG110" s="4">
        <f>SUM(S110:S115)</f>
        <v>23.48</v>
      </c>
      <c r="BH110" s="4">
        <f>SUM(T110:T115)</f>
        <v>8.68</v>
      </c>
      <c r="BI110" s="4">
        <f>SUM(U110:U115)</f>
        <v>14.48</v>
      </c>
      <c r="BJ110" s="9">
        <f>(BH110-2*$A$76)/(BG110-2*$A$47*$A$48)</f>
        <v>0.36075575166423224</v>
      </c>
      <c r="BK110" s="9">
        <f>(BI110-2*$A$77)/(BG110-2*$A$47*$A$48)</f>
        <v>0.48042953466823229</v>
      </c>
      <c r="BL110" s="9">
        <f>1-BJ110-BK110</f>
        <v>0.15881471366753547</v>
      </c>
      <c r="BM110" s="3">
        <f>AY110*BJ110</f>
        <v>2026.2226207141334</v>
      </c>
      <c r="BN110" s="3">
        <f>AY110*BK110</f>
        <v>2698.3830093164179</v>
      </c>
      <c r="BO110" s="3">
        <f>SUM(BM110:BN110)</f>
        <v>4724.6056300305518</v>
      </c>
      <c r="BP110" s="3">
        <f>BE110*BJ110</f>
        <v>1905.5889039897302</v>
      </c>
      <c r="BQ110" s="3">
        <f>BE110*BK110</f>
        <v>2537.7313769478615</v>
      </c>
      <c r="BR110" s="3">
        <f>SUM(BP110:BQ110)</f>
        <v>4443.3202809375916</v>
      </c>
      <c r="BS110" s="3"/>
      <c r="BT110" s="15">
        <f>AF111</f>
        <v>44980</v>
      </c>
      <c r="BU110" s="3">
        <f t="shared" ref="BU110:CA110" si="7">AVERAGE(AG110:AG115)</f>
        <v>46.2</v>
      </c>
      <c r="BV110" s="13">
        <f t="shared" si="7"/>
        <v>1.1385000000000001</v>
      </c>
      <c r="BW110" s="3">
        <f t="shared" si="7"/>
        <v>81.5</v>
      </c>
      <c r="BX110" s="3">
        <f t="shared" si="7"/>
        <v>30.549999999999997</v>
      </c>
      <c r="BY110" s="3">
        <f t="shared" si="7"/>
        <v>5.5</v>
      </c>
      <c r="BZ110" s="3">
        <f t="shared" si="7"/>
        <v>79.099999999999994</v>
      </c>
      <c r="CA110" s="3">
        <f t="shared" si="7"/>
        <v>8.6999999999999993</v>
      </c>
      <c r="CB110" s="13"/>
      <c r="CC110" s="10">
        <f>AVERAGE(AO110:AO115)</f>
        <v>12</v>
      </c>
      <c r="CD110" s="4">
        <f>AVERAGE(AP110:AP115)</f>
        <v>0.21</v>
      </c>
      <c r="CE110" s="3">
        <f>AVERAGE(AQ110:AQ115)</f>
        <v>8.5500000000000007</v>
      </c>
    </row>
    <row r="111" spans="1:83" x14ac:dyDescent="0.25">
      <c r="A111" s="2" t="s">
        <v>10</v>
      </c>
      <c r="B111" s="2">
        <v>1</v>
      </c>
      <c r="C111" t="s">
        <v>5</v>
      </c>
      <c r="D111" s="5" t="str">
        <f t="shared" si="0"/>
        <v>p02-1-MW</v>
      </c>
      <c r="E111" s="5" t="s">
        <v>468</v>
      </c>
      <c r="F111" s="17">
        <v>44881</v>
      </c>
      <c r="G111">
        <v>2</v>
      </c>
      <c r="H111" s="3">
        <v>28.1</v>
      </c>
      <c r="I111" s="3">
        <f t="shared" si="2"/>
        <v>27.64</v>
      </c>
      <c r="J111" s="3">
        <f>($A$52-$A$47)*$A$75</f>
        <v>1.2024999999999999</v>
      </c>
      <c r="K111" s="6">
        <f t="shared" si="3"/>
        <v>6438.3500295275589</v>
      </c>
      <c r="L111" s="4">
        <v>8.43</v>
      </c>
      <c r="M111" s="4">
        <v>196.89</v>
      </c>
      <c r="N111" s="4">
        <f>M111-L111</f>
        <v>188.45999999999998</v>
      </c>
      <c r="O111" s="4">
        <v>174.66</v>
      </c>
      <c r="P111" s="7">
        <f>(N111-O111)/N111*100</f>
        <v>7.3225087551735024</v>
      </c>
      <c r="Q111" s="6">
        <f>K111*(1-P111/100)</f>
        <v>5966.9012849266874</v>
      </c>
      <c r="R111" s="14">
        <v>44882</v>
      </c>
      <c r="S111" s="4">
        <v>12.4</v>
      </c>
      <c r="T111" s="4">
        <v>4.5199999999999996</v>
      </c>
      <c r="U111" s="4">
        <v>7.3</v>
      </c>
      <c r="V111" s="8">
        <f>(T111-$A$76)/(S111-$A$47*$A$48)</f>
        <v>0.35599017548484846</v>
      </c>
      <c r="W111" s="8">
        <f>(U111-$A$77)/(S111-$A$47*$A$48)</f>
        <v>0.45934216191593347</v>
      </c>
      <c r="X111" s="8">
        <f>1-V111-W111</f>
        <v>0.18466766259921807</v>
      </c>
      <c r="Y111" s="6">
        <f>K111*V111</f>
        <v>2291.9893568443949</v>
      </c>
      <c r="Z111" s="6">
        <f>K111*W111</f>
        <v>2957.4056217347029</v>
      </c>
      <c r="AA111" s="6">
        <f>SUM(Y111:Z111)</f>
        <v>5249.3949785790974</v>
      </c>
      <c r="AB111" s="6">
        <f>Q111*V111</f>
        <v>2124.1582355218193</v>
      </c>
      <c r="AC111" s="6">
        <f>Q111*W111</f>
        <v>2740.8493361571859</v>
      </c>
      <c r="AD111" s="6">
        <f>SUM(AB111:AC111)</f>
        <v>4865.0075716790052</v>
      </c>
      <c r="AE111" s="10">
        <v>990130211005</v>
      </c>
      <c r="AF111" s="14">
        <v>44980</v>
      </c>
      <c r="AG111" s="6">
        <v>46.4</v>
      </c>
      <c r="AH111" s="11">
        <v>1.135</v>
      </c>
      <c r="AI111" s="6">
        <v>81.599999999999994</v>
      </c>
      <c r="AJ111" s="6">
        <v>30.9</v>
      </c>
      <c r="AK111" s="6">
        <v>5.5</v>
      </c>
      <c r="AL111" s="6">
        <v>79.400000000000006</v>
      </c>
      <c r="AM111" s="6">
        <v>9.1999999999999993</v>
      </c>
      <c r="AN111" s="16" t="s">
        <v>148</v>
      </c>
      <c r="AO111" s="12">
        <v>14</v>
      </c>
      <c r="AP111" s="7">
        <v>0.28999999999999998</v>
      </c>
      <c r="AQ111" s="6">
        <v>8.6</v>
      </c>
      <c r="AV111" s="3"/>
      <c r="AW111" s="3"/>
      <c r="AX111" s="3"/>
      <c r="AY111" s="3"/>
      <c r="AZ111" s="4"/>
      <c r="BA111" s="4"/>
      <c r="BB111" s="4"/>
      <c r="BC111" s="4"/>
      <c r="BD111" s="4"/>
      <c r="BE111" s="3"/>
      <c r="BF111" s="3"/>
      <c r="BG111" s="4"/>
      <c r="BH111" s="4"/>
      <c r="BI111" s="4"/>
      <c r="BJ111" s="9"/>
      <c r="BK111" s="9"/>
      <c r="BL111" s="9"/>
      <c r="BM111" s="3"/>
      <c r="BN111" s="3"/>
      <c r="BO111" s="3"/>
      <c r="BP111" s="3"/>
      <c r="BQ111" s="3"/>
      <c r="BR111" s="3"/>
      <c r="BT111" s="15"/>
      <c r="BU111" s="3"/>
      <c r="BV111" s="13"/>
      <c r="BW111" s="3"/>
      <c r="BX111" s="3"/>
      <c r="BY111" s="3"/>
      <c r="BZ111" s="3"/>
      <c r="CA111" s="3"/>
      <c r="CB111" s="10"/>
      <c r="CC111" s="10"/>
      <c r="CD111" s="4"/>
      <c r="CE111" s="3"/>
    </row>
    <row r="112" spans="1:83" x14ac:dyDescent="0.25">
      <c r="A112" s="2" t="s">
        <v>10</v>
      </c>
      <c r="B112" s="2">
        <v>1</v>
      </c>
      <c r="C112" t="s">
        <v>6</v>
      </c>
      <c r="D112" s="5" t="str">
        <f t="shared" si="0"/>
        <v>p02-1-SW</v>
      </c>
      <c r="E112" s="5" t="s">
        <v>468</v>
      </c>
      <c r="F112" s="17">
        <v>44881</v>
      </c>
      <c r="G112">
        <v>2</v>
      </c>
      <c r="H112" s="3">
        <v>24.4</v>
      </c>
      <c r="I112" s="3">
        <f t="shared" si="2"/>
        <v>23.939999999999998</v>
      </c>
      <c r="J112" s="3">
        <f>($A$52-$A$47)*$A$75</f>
        <v>1.2024999999999999</v>
      </c>
      <c r="K112" s="6">
        <f t="shared" si="3"/>
        <v>5612.4197145669286</v>
      </c>
      <c r="L112" s="4"/>
      <c r="M112" s="4"/>
      <c r="N112" s="4"/>
      <c r="O112" s="4"/>
      <c r="P112" s="7"/>
      <c r="Q112" s="6"/>
      <c r="R112" s="14"/>
      <c r="S112" s="4"/>
      <c r="T112" s="4"/>
      <c r="U112" s="4"/>
      <c r="V112" s="8"/>
      <c r="W112" s="8"/>
      <c r="X112" s="8"/>
      <c r="Y112" s="6"/>
      <c r="Z112" s="6"/>
      <c r="AA112" s="6"/>
      <c r="AB112" s="6"/>
      <c r="AC112" s="6"/>
      <c r="AD112" s="6"/>
      <c r="AE112" s="10"/>
      <c r="AF112" s="14"/>
      <c r="AG112" s="6"/>
      <c r="AH112" s="11"/>
      <c r="AI112" s="6"/>
      <c r="AJ112" s="6"/>
      <c r="AK112" s="6"/>
      <c r="AL112" s="6"/>
      <c r="AM112" s="6"/>
      <c r="AN112" s="16"/>
      <c r="AO112" s="12"/>
      <c r="AP112" s="7"/>
      <c r="AQ112" s="6"/>
      <c r="AV112" s="3"/>
      <c r="AW112" s="3"/>
      <c r="AX112" s="3"/>
      <c r="AY112" s="3"/>
      <c r="AZ112" s="4"/>
      <c r="BA112" s="4"/>
      <c r="BB112" s="4"/>
      <c r="BC112" s="4"/>
      <c r="BD112" s="4"/>
      <c r="BE112" s="3"/>
      <c r="BF112" s="3"/>
      <c r="BG112" s="4"/>
      <c r="BH112" s="4"/>
      <c r="BI112" s="4"/>
      <c r="BJ112" s="9"/>
      <c r="BK112" s="9"/>
      <c r="BL112" s="9"/>
      <c r="BM112" s="3"/>
      <c r="BN112" s="3"/>
      <c r="BO112" s="3"/>
      <c r="BP112" s="3"/>
      <c r="BQ112" s="3"/>
      <c r="BR112" s="3"/>
      <c r="BS112" s="4"/>
      <c r="BT112" s="15"/>
      <c r="BU112" s="3"/>
      <c r="BV112" s="13"/>
      <c r="BW112" s="3"/>
      <c r="BX112" s="3"/>
      <c r="BY112" s="3"/>
      <c r="BZ112" s="3"/>
      <c r="CA112" s="3"/>
      <c r="CB112" s="10"/>
      <c r="CC112" s="10"/>
      <c r="CD112" s="4"/>
      <c r="CE112" s="3"/>
    </row>
    <row r="113" spans="1:83" x14ac:dyDescent="0.25">
      <c r="A113" s="2" t="s">
        <v>10</v>
      </c>
      <c r="B113" s="2">
        <v>1</v>
      </c>
      <c r="C113" t="s">
        <v>7</v>
      </c>
      <c r="D113" s="5" t="str">
        <f t="shared" si="0"/>
        <v>p02-1-NE</v>
      </c>
      <c r="E113" s="5" t="s">
        <v>468</v>
      </c>
      <c r="F113" s="17">
        <v>44881</v>
      </c>
      <c r="G113">
        <v>14</v>
      </c>
      <c r="H113" s="3">
        <v>24.1</v>
      </c>
      <c r="I113" s="3">
        <f t="shared" si="2"/>
        <v>23.64</v>
      </c>
      <c r="J113" s="3">
        <f>($A$64-$A$47)*$A$75</f>
        <v>0.74</v>
      </c>
      <c r="K113" s="6">
        <f t="shared" si="3"/>
        <v>5442.2111023622047</v>
      </c>
      <c r="L113" s="4"/>
      <c r="M113" s="4"/>
      <c r="N113" s="4"/>
      <c r="O113" s="4"/>
      <c r="P113" s="7"/>
      <c r="Q113" s="6"/>
      <c r="R113" s="14"/>
      <c r="S113" s="4"/>
      <c r="T113" s="4"/>
      <c r="U113" s="4"/>
      <c r="V113" s="8"/>
      <c r="W113" s="8"/>
      <c r="X113" s="8"/>
      <c r="Y113" s="6"/>
      <c r="Z113" s="6"/>
      <c r="AA113" s="6"/>
      <c r="AB113" s="6"/>
      <c r="AC113" s="6"/>
      <c r="AD113" s="6"/>
      <c r="AE113" s="10"/>
      <c r="AF113" s="14"/>
      <c r="AG113" s="6"/>
      <c r="AH113" s="11"/>
      <c r="AI113" s="6"/>
      <c r="AJ113" s="6"/>
      <c r="AK113" s="6"/>
      <c r="AL113" s="6"/>
      <c r="AM113" s="6"/>
      <c r="AN113" s="16"/>
      <c r="AO113" s="12"/>
      <c r="AP113" s="7"/>
      <c r="AQ113" s="6"/>
      <c r="AV113" s="3"/>
      <c r="AW113" s="3"/>
      <c r="AX113" s="3"/>
      <c r="AY113" s="3"/>
      <c r="AZ113" s="4"/>
      <c r="BA113" s="4"/>
      <c r="BB113" s="4"/>
      <c r="BC113" s="4"/>
      <c r="BD113" s="4"/>
      <c r="BE113" s="3"/>
      <c r="BF113" s="3"/>
      <c r="BG113" s="4"/>
      <c r="BH113" s="4"/>
      <c r="BI113" s="4"/>
      <c r="BJ113" s="9"/>
      <c r="BK113" s="9"/>
      <c r="BL113" s="9"/>
      <c r="BM113" s="3"/>
      <c r="BN113" s="3"/>
      <c r="BO113" s="3"/>
      <c r="BP113" s="3"/>
      <c r="BQ113" s="3"/>
      <c r="BR113" s="3"/>
      <c r="BT113" s="15"/>
      <c r="BU113" s="3"/>
      <c r="BV113" s="13"/>
      <c r="BW113" s="3"/>
      <c r="BX113" s="3"/>
      <c r="BY113" s="3"/>
      <c r="BZ113" s="3"/>
      <c r="CA113" s="3"/>
      <c r="CB113" s="10"/>
      <c r="CC113" s="10"/>
      <c r="CD113" s="4"/>
      <c r="CE113" s="3"/>
    </row>
    <row r="114" spans="1:83" x14ac:dyDescent="0.25">
      <c r="A114" s="2" t="s">
        <v>10</v>
      </c>
      <c r="B114" s="2">
        <v>1</v>
      </c>
      <c r="C114" t="s">
        <v>18</v>
      </c>
      <c r="D114" s="5" t="str">
        <f t="shared" si="0"/>
        <v>p02-1-ME</v>
      </c>
      <c r="E114" s="5" t="s">
        <v>468</v>
      </c>
      <c r="F114" s="17">
        <v>44881</v>
      </c>
      <c r="G114">
        <v>14</v>
      </c>
      <c r="H114" s="3">
        <v>24.9</v>
      </c>
      <c r="I114" s="3">
        <f t="shared" si="2"/>
        <v>24.439999999999998</v>
      </c>
      <c r="J114" s="3">
        <f>($A$64-$A$47)*$A$75</f>
        <v>0.74</v>
      </c>
      <c r="K114" s="6">
        <f t="shared" si="3"/>
        <v>5620.7906299212582</v>
      </c>
      <c r="L114" s="4">
        <v>8.82</v>
      </c>
      <c r="M114" s="4">
        <v>212.39</v>
      </c>
      <c r="N114" s="4">
        <f>M114-L114</f>
        <v>203.57</v>
      </c>
      <c r="O114" s="4">
        <v>194.03</v>
      </c>
      <c r="P114" s="7">
        <f>(N114-O114)/N114*100</f>
        <v>4.6863486761310567</v>
      </c>
      <c r="Q114" s="6">
        <f>K114*(1-P114/100)</f>
        <v>5357.3807826478451</v>
      </c>
      <c r="R114" s="14">
        <v>44882</v>
      </c>
      <c r="S114" s="4">
        <v>11.08</v>
      </c>
      <c r="T114" s="4">
        <v>4.16</v>
      </c>
      <c r="U114" s="4">
        <v>7.18</v>
      </c>
      <c r="V114" s="8">
        <f>(T114-$A$76)/(S114-$A$47*$A$48)</f>
        <v>0.36609996452620125</v>
      </c>
      <c r="W114" s="8">
        <f>(U114-$A$77)/(S114-$A$47*$A$48)</f>
        <v>0.50407733809135247</v>
      </c>
      <c r="X114" s="8">
        <f>1-V114-W114</f>
        <v>0.12982269738244623</v>
      </c>
      <c r="Y114" s="6">
        <f>K114*V114</f>
        <v>2057.7712502233771</v>
      </c>
      <c r="Z114" s="6">
        <f>K114*W114</f>
        <v>2833.3131786995241</v>
      </c>
      <c r="AA114" s="6">
        <f>SUM(Y114:Z114)</f>
        <v>4891.0844289229008</v>
      </c>
      <c r="AB114" s="6">
        <f>Q114*V114</f>
        <v>1961.3369144807284</v>
      </c>
      <c r="AC114" s="6">
        <f>Q114*W114</f>
        <v>2700.5342440588925</v>
      </c>
      <c r="AD114" s="6">
        <f>SUM(AB114:AC114)</f>
        <v>4661.8711585396213</v>
      </c>
      <c r="AE114" s="10">
        <v>990130212053</v>
      </c>
      <c r="AF114" s="14">
        <v>44980</v>
      </c>
      <c r="AG114" s="6">
        <v>46</v>
      </c>
      <c r="AH114" s="11">
        <v>1.1419999999999999</v>
      </c>
      <c r="AI114" s="6">
        <v>81.400000000000006</v>
      </c>
      <c r="AJ114" s="6">
        <v>30.2</v>
      </c>
      <c r="AK114" s="6">
        <v>5.5</v>
      </c>
      <c r="AL114" s="6">
        <v>78.8</v>
      </c>
      <c r="AM114" s="6">
        <v>8.1999999999999993</v>
      </c>
      <c r="AN114" s="16" t="s">
        <v>149</v>
      </c>
      <c r="AO114" s="12">
        <v>10</v>
      </c>
      <c r="AP114" s="7">
        <v>0.13</v>
      </c>
      <c r="AQ114" s="6">
        <v>8.5</v>
      </c>
      <c r="AV114" s="3"/>
      <c r="AW114" s="3"/>
      <c r="AX114" s="3"/>
      <c r="AY114" s="3"/>
      <c r="AZ114" s="4"/>
      <c r="BA114" s="4"/>
      <c r="BB114" s="4"/>
      <c r="BC114" s="4"/>
      <c r="BD114" s="4"/>
      <c r="BE114" s="3"/>
      <c r="BF114" s="3"/>
      <c r="BG114" s="4"/>
      <c r="BH114" s="4"/>
      <c r="BI114" s="4"/>
      <c r="BJ114" s="9"/>
      <c r="BK114" s="9"/>
      <c r="BL114" s="9"/>
      <c r="BM114" s="3"/>
      <c r="BN114" s="3"/>
      <c r="BO114" s="3"/>
      <c r="BP114" s="3"/>
      <c r="BQ114" s="3"/>
      <c r="BR114" s="3"/>
      <c r="BT114" s="15"/>
      <c r="BU114" s="3"/>
      <c r="BV114" s="13"/>
      <c r="BW114" s="3"/>
      <c r="BX114" s="3"/>
      <c r="BY114" s="3"/>
      <c r="BZ114" s="3"/>
      <c r="CA114" s="3"/>
      <c r="CB114" s="10"/>
      <c r="CC114" s="10"/>
      <c r="CD114" s="4"/>
      <c r="CE114" s="3"/>
    </row>
    <row r="115" spans="1:83" x14ac:dyDescent="0.25">
      <c r="A115" s="2" t="s">
        <v>10</v>
      </c>
      <c r="B115" s="2">
        <v>1</v>
      </c>
      <c r="C115" t="s">
        <v>8</v>
      </c>
      <c r="D115" s="5" t="str">
        <f t="shared" si="0"/>
        <v>p02-1-SE</v>
      </c>
      <c r="E115" s="5" t="s">
        <v>468</v>
      </c>
      <c r="F115" s="17">
        <v>44881</v>
      </c>
      <c r="G115">
        <v>14</v>
      </c>
      <c r="H115" s="3">
        <v>18.600000000000001</v>
      </c>
      <c r="I115" s="3">
        <f t="shared" si="2"/>
        <v>18.14</v>
      </c>
      <c r="J115" s="3">
        <f>($A$64-$A$47)*$A$75</f>
        <v>0.74</v>
      </c>
      <c r="K115" s="6">
        <f t="shared" si="3"/>
        <v>4214.4768503937003</v>
      </c>
      <c r="L115" s="4"/>
      <c r="M115" s="4"/>
      <c r="N115" s="4"/>
      <c r="O115" s="4"/>
      <c r="P115" s="7"/>
      <c r="Q115" s="6"/>
      <c r="R115" s="14"/>
      <c r="S115" s="4"/>
      <c r="T115" s="4"/>
      <c r="U115" s="4"/>
      <c r="V115" s="8"/>
      <c r="W115" s="8"/>
      <c r="X115" s="8"/>
      <c r="Y115" s="6"/>
      <c r="Z115" s="6"/>
      <c r="AA115" s="6"/>
      <c r="AB115" s="6"/>
      <c r="AC115" s="6"/>
      <c r="AD115" s="6"/>
      <c r="AE115" s="10"/>
      <c r="AF115" s="14"/>
      <c r="AG115" s="6"/>
      <c r="AH115" s="11"/>
      <c r="AI115" s="6"/>
      <c r="AJ115" s="6"/>
      <c r="AK115" s="6"/>
      <c r="AL115" s="6"/>
      <c r="AM115" s="6"/>
      <c r="AN115" s="16"/>
      <c r="AO115" s="12"/>
      <c r="AP115" s="7"/>
      <c r="AQ115" s="6"/>
      <c r="AV115" s="3"/>
      <c r="AW115" s="3"/>
      <c r="AX115" s="3"/>
      <c r="AY115" s="3"/>
      <c r="AZ115" s="4"/>
      <c r="BA115" s="4"/>
      <c r="BB115" s="4"/>
      <c r="BC115" s="4"/>
      <c r="BD115" s="4"/>
      <c r="BE115" s="3"/>
      <c r="BF115" s="3"/>
      <c r="BG115" s="4"/>
      <c r="BH115" s="4"/>
      <c r="BI115" s="4"/>
      <c r="BJ115" s="9"/>
      <c r="BK115" s="9"/>
      <c r="BL115" s="9"/>
      <c r="BM115" s="3"/>
      <c r="BN115" s="3"/>
      <c r="BO115" s="3"/>
      <c r="BP115" s="3"/>
      <c r="BQ115" s="3"/>
      <c r="BR115" s="3"/>
      <c r="BT115" s="15"/>
      <c r="BU115" s="3"/>
      <c r="BV115" s="13"/>
      <c r="BW115" s="3"/>
      <c r="BX115" s="3"/>
      <c r="BY115" s="3"/>
      <c r="BZ115" s="3"/>
      <c r="CA115" s="3"/>
      <c r="CB115" s="10"/>
      <c r="CC115" s="10"/>
      <c r="CD115" s="4"/>
      <c r="CE115" s="3"/>
    </row>
    <row r="116" spans="1:83" x14ac:dyDescent="0.25">
      <c r="A116" s="2" t="s">
        <v>10</v>
      </c>
      <c r="B116" s="2">
        <v>2</v>
      </c>
      <c r="C116" t="s">
        <v>4</v>
      </c>
      <c r="D116" s="5" t="str">
        <f t="shared" si="0"/>
        <v>p02-2-NW</v>
      </c>
      <c r="E116" s="5" t="s">
        <v>468</v>
      </c>
      <c r="F116" s="17">
        <v>44881</v>
      </c>
      <c r="G116">
        <v>2</v>
      </c>
      <c r="H116" s="3">
        <v>18</v>
      </c>
      <c r="I116" s="3">
        <f t="shared" si="2"/>
        <v>17.54</v>
      </c>
      <c r="J116" s="3">
        <f>($A$52-$A$47)*$A$75</f>
        <v>1.2024999999999999</v>
      </c>
      <c r="K116" s="6">
        <f t="shared" si="3"/>
        <v>4183.7834940944877</v>
      </c>
      <c r="L116" s="4"/>
      <c r="M116" s="4"/>
      <c r="N116" s="4"/>
      <c r="O116" s="4"/>
      <c r="P116" s="7"/>
      <c r="Q116" s="6"/>
      <c r="R116" s="14"/>
      <c r="S116" s="4"/>
      <c r="T116" s="4"/>
      <c r="U116" s="4"/>
      <c r="V116" s="8"/>
      <c r="W116" s="8"/>
      <c r="X116" s="8"/>
      <c r="Y116" s="6"/>
      <c r="Z116" s="6"/>
      <c r="AA116" s="6"/>
      <c r="AB116" s="6"/>
      <c r="AC116" s="6"/>
      <c r="AD116" s="6"/>
      <c r="AE116" s="10"/>
      <c r="AF116" s="14"/>
      <c r="AG116" s="6"/>
      <c r="AH116" s="11"/>
      <c r="AI116" s="6"/>
      <c r="AJ116" s="6"/>
      <c r="AK116" s="6"/>
      <c r="AL116" s="6"/>
      <c r="AM116" s="6"/>
      <c r="AN116" s="16"/>
      <c r="AO116" s="12"/>
      <c r="AP116" s="7"/>
      <c r="AQ116" s="6"/>
      <c r="AS116" t="s">
        <v>91</v>
      </c>
      <c r="AT116" s="4" t="str">
        <f>E116</f>
        <v>Machine</v>
      </c>
      <c r="AU116" s="15">
        <f>F116</f>
        <v>44881</v>
      </c>
      <c r="AV116" s="3">
        <f>SUM(H116:H121)</f>
        <v>97.399999999999991</v>
      </c>
      <c r="AW116" s="3">
        <f>AV116-6*$A$47</f>
        <v>94.639999999999986</v>
      </c>
      <c r="AX116" s="3">
        <f>SUM(J116:J121)</f>
        <v>5.8275000000000006</v>
      </c>
      <c r="AY116" s="3">
        <f>(AW116+AX116)*$A$48/(6*$A$49)*$A$50</f>
        <v>3737.7997260498687</v>
      </c>
      <c r="AZ116" s="4">
        <f>SUM(L116:L121)</f>
        <v>17.310000000000002</v>
      </c>
      <c r="BA116" s="4">
        <f>SUM(M116:M121)</f>
        <v>427.49</v>
      </c>
      <c r="BB116" s="4">
        <f>BA116-AZ116</f>
        <v>410.18</v>
      </c>
      <c r="BC116" s="4">
        <f>SUM(O116:O121)</f>
        <v>386.59000000000003</v>
      </c>
      <c r="BD116" s="4">
        <f>(BB116-BC116)/BB116*100</f>
        <v>5.7511336486420532</v>
      </c>
      <c r="BE116" s="3">
        <f>AY116*(1-BD116/100)</f>
        <v>3522.8338682861645</v>
      </c>
      <c r="BF116" s="15">
        <f>R117</f>
        <v>44882</v>
      </c>
      <c r="BG116" s="4">
        <f>SUM(S116:S121)</f>
        <v>15.21</v>
      </c>
      <c r="BH116" s="4">
        <f>SUM(T116:T121)</f>
        <v>5.98</v>
      </c>
      <c r="BI116" s="4">
        <f>SUM(U116:U121)</f>
        <v>10.98</v>
      </c>
      <c r="BJ116" s="9">
        <f>(BH116-2*$A$76)/(BG116-2*$A$47*$A$48)</f>
        <v>0.37991724045076253</v>
      </c>
      <c r="BK116" s="9">
        <f>(BI116-2*$A$77)/(BG116-2*$A$47*$A$48)</f>
        <v>0.51241506808127757</v>
      </c>
      <c r="BL116" s="9">
        <f>1-BJ116-BK116</f>
        <v>0.10766769146795996</v>
      </c>
      <c r="BM116" s="3">
        <f>AY116*BJ116</f>
        <v>1420.0545572784822</v>
      </c>
      <c r="BN116" s="3">
        <f>AY116*BK116</f>
        <v>1915.3049010980242</v>
      </c>
      <c r="BO116" s="3">
        <f>SUM(BM116:BN116)</f>
        <v>3335.3594583765062</v>
      </c>
      <c r="BP116" s="3">
        <f>BE116*BJ116</f>
        <v>1338.3853218057645</v>
      </c>
      <c r="BQ116" s="3">
        <f>BE116*BK116</f>
        <v>1805.1531564568854</v>
      </c>
      <c r="BR116" s="3">
        <f>SUM(BP116:BQ116)</f>
        <v>3143.5384782626497</v>
      </c>
      <c r="BS116" s="3"/>
      <c r="BT116" s="15">
        <f>AF117</f>
        <v>44980</v>
      </c>
      <c r="BU116" s="3">
        <f t="shared" ref="BU116:CA116" si="8">AVERAGE(AG116:AG121)</f>
        <v>48.25</v>
      </c>
      <c r="BV116" s="13">
        <f t="shared" si="8"/>
        <v>1.087</v>
      </c>
      <c r="BW116" s="3">
        <f t="shared" si="8"/>
        <v>80.599999999999994</v>
      </c>
      <c r="BX116" s="3">
        <f t="shared" si="8"/>
        <v>29.1</v>
      </c>
      <c r="BY116" s="3">
        <f t="shared" si="8"/>
        <v>5.45</v>
      </c>
      <c r="BZ116" s="3">
        <f t="shared" si="8"/>
        <v>78.099999999999994</v>
      </c>
      <c r="CA116" s="3">
        <f t="shared" si="8"/>
        <v>9.75</v>
      </c>
      <c r="CB116" s="13"/>
      <c r="CC116" s="10">
        <f>AVERAGE(AO116:AO121)</f>
        <v>13</v>
      </c>
      <c r="CD116" s="4">
        <f>AVERAGE(AP116:AP121)</f>
        <v>0.16500000000000001</v>
      </c>
      <c r="CE116" s="3">
        <f>AVERAGE(AQ116:AQ121)</f>
        <v>9.1000000000000014</v>
      </c>
    </row>
    <row r="117" spans="1:83" x14ac:dyDescent="0.25">
      <c r="A117" s="2" t="s">
        <v>10</v>
      </c>
      <c r="B117" s="2">
        <v>2</v>
      </c>
      <c r="C117" t="s">
        <v>5</v>
      </c>
      <c r="D117" s="5" t="str">
        <f t="shared" si="0"/>
        <v>p02-2-MW</v>
      </c>
      <c r="E117" s="5" t="s">
        <v>468</v>
      </c>
      <c r="F117" s="17">
        <v>44881</v>
      </c>
      <c r="G117">
        <v>2</v>
      </c>
      <c r="H117" s="3">
        <v>19.7</v>
      </c>
      <c r="I117" s="3">
        <f t="shared" si="2"/>
        <v>19.239999999999998</v>
      </c>
      <c r="J117" s="3">
        <f>($A$52-$A$47)*$A$75</f>
        <v>1.2024999999999999</v>
      </c>
      <c r="K117" s="6">
        <f t="shared" si="3"/>
        <v>4563.2649901574805</v>
      </c>
      <c r="L117" s="4">
        <v>8.5</v>
      </c>
      <c r="M117" s="4">
        <v>266.41000000000003</v>
      </c>
      <c r="N117" s="4">
        <f>M117-L117</f>
        <v>257.91000000000003</v>
      </c>
      <c r="O117" s="4">
        <v>241.24</v>
      </c>
      <c r="P117" s="7">
        <f>(N117-O117)/N117*100</f>
        <v>6.4634950176418187</v>
      </c>
      <c r="Q117" s="6">
        <f>K117*(1-P117/100)</f>
        <v>4268.318584876858</v>
      </c>
      <c r="R117" s="14">
        <v>44882</v>
      </c>
      <c r="S117" s="4">
        <v>8.6</v>
      </c>
      <c r="T117" s="4">
        <v>3.38</v>
      </c>
      <c r="U117" s="4">
        <v>5.96</v>
      </c>
      <c r="V117" s="8">
        <f>(T117-$A$76)/(S117-$A$47*$A$48)</f>
        <v>0.38134518101626319</v>
      </c>
      <c r="W117" s="8">
        <f>(U117-$A$77)/(S117-$A$47*$A$48)</f>
        <v>0.50766577222790032</v>
      </c>
      <c r="X117" s="8">
        <f>1-V117-W117</f>
        <v>0.11098904675583654</v>
      </c>
      <c r="Y117" s="6">
        <f>K117*V117</f>
        <v>1740.1791136967809</v>
      </c>
      <c r="Z117" s="6">
        <f>K117*W117</f>
        <v>2316.6134451088392</v>
      </c>
      <c r="AA117" s="6">
        <f>SUM(Y117:Z117)</f>
        <v>4056.79255880562</v>
      </c>
      <c r="AB117" s="6">
        <f>Q117*V117</f>
        <v>1627.7027233849458</v>
      </c>
      <c r="AC117" s="6">
        <f>Q117*W117</f>
        <v>2166.8792505062088</v>
      </c>
      <c r="AD117" s="6">
        <f>SUM(AB117:AC117)</f>
        <v>3794.5819738911546</v>
      </c>
      <c r="AE117" s="10">
        <v>990130221006</v>
      </c>
      <c r="AF117" s="14">
        <v>44980</v>
      </c>
      <c r="AG117" s="6">
        <v>48.8</v>
      </c>
      <c r="AH117" s="11">
        <v>1.087</v>
      </c>
      <c r="AI117" s="6">
        <v>81.3</v>
      </c>
      <c r="AJ117" s="6">
        <v>28.6</v>
      </c>
      <c r="AK117" s="6">
        <v>5.5</v>
      </c>
      <c r="AL117" s="6">
        <v>78</v>
      </c>
      <c r="AM117" s="6">
        <v>9.8000000000000007</v>
      </c>
      <c r="AN117" s="16" t="s">
        <v>165</v>
      </c>
      <c r="AO117" s="12">
        <v>13</v>
      </c>
      <c r="AP117" s="7">
        <v>0.16</v>
      </c>
      <c r="AQ117" s="6">
        <v>8.8000000000000007</v>
      </c>
      <c r="AV117" s="3"/>
      <c r="AW117" s="3"/>
      <c r="AX117" s="3"/>
      <c r="AY117" s="3"/>
      <c r="AZ117" s="4"/>
      <c r="BA117" s="4"/>
      <c r="BB117" s="4"/>
      <c r="BC117" s="4"/>
      <c r="BD117" s="4"/>
      <c r="BE117" s="3"/>
      <c r="BF117" s="3"/>
      <c r="BG117" s="4"/>
      <c r="BH117" s="4"/>
      <c r="BI117" s="4"/>
      <c r="BJ117" s="9"/>
      <c r="BK117" s="9"/>
      <c r="BL117" s="9"/>
      <c r="BM117" s="3"/>
      <c r="BN117" s="3"/>
      <c r="BO117" s="3"/>
      <c r="BP117" s="3"/>
      <c r="BQ117" s="3"/>
      <c r="BR117" s="3"/>
      <c r="BT117" s="15"/>
      <c r="BU117" s="3"/>
      <c r="BV117" s="13"/>
      <c r="BW117" s="3"/>
      <c r="BX117" s="3"/>
      <c r="BY117" s="3"/>
      <c r="BZ117" s="3"/>
      <c r="CA117" s="3"/>
      <c r="CB117" s="10"/>
      <c r="CC117" s="10"/>
      <c r="CD117" s="4"/>
      <c r="CE117" s="3"/>
    </row>
    <row r="118" spans="1:83" x14ac:dyDescent="0.25">
      <c r="A118" s="2" t="s">
        <v>10</v>
      </c>
      <c r="B118" s="2">
        <v>2</v>
      </c>
      <c r="C118" t="s">
        <v>6</v>
      </c>
      <c r="D118" s="5" t="str">
        <f t="shared" si="0"/>
        <v>p02-2-SW</v>
      </c>
      <c r="E118" s="5" t="s">
        <v>468</v>
      </c>
      <c r="F118" s="17">
        <v>44881</v>
      </c>
      <c r="G118">
        <v>2</v>
      </c>
      <c r="H118" s="3">
        <v>10</v>
      </c>
      <c r="I118" s="3">
        <f t="shared" si="2"/>
        <v>9.5399999999999991</v>
      </c>
      <c r="J118" s="3">
        <f>($A$52-$A$47)*$A$75</f>
        <v>1.2024999999999999</v>
      </c>
      <c r="K118" s="6">
        <f t="shared" si="3"/>
        <v>2397.9882185039369</v>
      </c>
      <c r="L118" s="4"/>
      <c r="M118" s="4"/>
      <c r="N118" s="4"/>
      <c r="O118" s="4"/>
      <c r="P118" s="7"/>
      <c r="Q118" s="6"/>
      <c r="R118" s="14"/>
      <c r="S118" s="4"/>
      <c r="T118" s="4"/>
      <c r="U118" s="4"/>
      <c r="V118" s="8"/>
      <c r="W118" s="8"/>
      <c r="X118" s="8"/>
      <c r="Y118" s="6"/>
      <c r="Z118" s="6"/>
      <c r="AA118" s="6"/>
      <c r="AB118" s="6"/>
      <c r="AC118" s="6"/>
      <c r="AD118" s="6"/>
      <c r="AE118" s="10"/>
      <c r="AF118" s="14"/>
      <c r="AG118" s="6"/>
      <c r="AH118" s="11"/>
      <c r="AI118" s="6"/>
      <c r="AJ118" s="6"/>
      <c r="AK118" s="6"/>
      <c r="AL118" s="6"/>
      <c r="AM118" s="6"/>
      <c r="AN118" s="16"/>
      <c r="AO118" s="12"/>
      <c r="AP118" s="7"/>
      <c r="AQ118" s="6"/>
      <c r="AV118" s="3"/>
      <c r="AW118" s="3"/>
      <c r="AX118" s="3"/>
      <c r="AY118" s="3"/>
      <c r="AZ118" s="4"/>
      <c r="BA118" s="4"/>
      <c r="BB118" s="4"/>
      <c r="BC118" s="4"/>
      <c r="BD118" s="4"/>
      <c r="BE118" s="3"/>
      <c r="BF118" s="3"/>
      <c r="BG118" s="4"/>
      <c r="BH118" s="4"/>
      <c r="BI118" s="4"/>
      <c r="BJ118" s="9"/>
      <c r="BK118" s="9"/>
      <c r="BL118" s="9"/>
      <c r="BM118" s="3"/>
      <c r="BN118" s="3"/>
      <c r="BO118" s="3"/>
      <c r="BP118" s="3"/>
      <c r="BQ118" s="3"/>
      <c r="BR118" s="3"/>
      <c r="BT118" s="15"/>
      <c r="BU118" s="3"/>
      <c r="BV118" s="13"/>
      <c r="BW118" s="3"/>
      <c r="BX118" s="3"/>
      <c r="BY118" s="3"/>
      <c r="BZ118" s="3"/>
      <c r="CA118" s="3"/>
      <c r="CB118" s="10"/>
      <c r="CC118" s="10"/>
      <c r="CD118" s="4"/>
      <c r="CE118" s="3"/>
    </row>
    <row r="119" spans="1:83" x14ac:dyDescent="0.25">
      <c r="A119" s="2" t="s">
        <v>10</v>
      </c>
      <c r="B119" s="2">
        <v>2</v>
      </c>
      <c r="C119" t="s">
        <v>7</v>
      </c>
      <c r="D119" s="5" t="str">
        <f t="shared" si="0"/>
        <v>p02-2-NE</v>
      </c>
      <c r="E119" s="5" t="s">
        <v>468</v>
      </c>
      <c r="F119" s="17">
        <v>44881</v>
      </c>
      <c r="G119">
        <v>14</v>
      </c>
      <c r="H119" s="3">
        <v>19.899999999999999</v>
      </c>
      <c r="I119" s="3">
        <f t="shared" si="2"/>
        <v>19.439999999999998</v>
      </c>
      <c r="J119" s="3">
        <f>($A$64-$A$47)*$A$75</f>
        <v>0.74</v>
      </c>
      <c r="K119" s="6">
        <f t="shared" si="3"/>
        <v>4504.6685826771645</v>
      </c>
      <c r="L119" s="4"/>
      <c r="M119" s="4"/>
      <c r="N119" s="4"/>
      <c r="O119" s="4"/>
      <c r="P119" s="7"/>
      <c r="Q119" s="6"/>
      <c r="R119" s="14"/>
      <c r="S119" s="4"/>
      <c r="T119" s="4"/>
      <c r="U119" s="4"/>
      <c r="V119" s="8"/>
      <c r="W119" s="8"/>
      <c r="X119" s="8"/>
      <c r="Y119" s="6"/>
      <c r="Z119" s="6"/>
      <c r="AA119" s="6"/>
      <c r="AB119" s="6"/>
      <c r="AC119" s="6"/>
      <c r="AD119" s="6"/>
      <c r="AE119" s="10"/>
      <c r="AF119" s="14"/>
      <c r="AG119" s="6"/>
      <c r="AH119" s="11"/>
      <c r="AI119" s="6"/>
      <c r="AJ119" s="6"/>
      <c r="AK119" s="6"/>
      <c r="AL119" s="6"/>
      <c r="AM119" s="6"/>
      <c r="AN119" s="16"/>
      <c r="AO119" s="12"/>
      <c r="AP119" s="7"/>
      <c r="AQ119" s="6"/>
      <c r="AV119" s="3"/>
      <c r="AW119" s="3"/>
      <c r="AX119" s="3"/>
      <c r="AY119" s="3"/>
      <c r="AZ119" s="4"/>
      <c r="BA119" s="4"/>
      <c r="BB119" s="4"/>
      <c r="BC119" s="4"/>
      <c r="BD119" s="4"/>
      <c r="BE119" s="3"/>
      <c r="BF119" s="3"/>
      <c r="BG119" s="4"/>
      <c r="BH119" s="4"/>
      <c r="BI119" s="4"/>
      <c r="BJ119" s="9"/>
      <c r="BK119" s="9"/>
      <c r="BL119" s="9"/>
      <c r="BM119" s="3"/>
      <c r="BN119" s="3"/>
      <c r="BO119" s="3"/>
      <c r="BP119" s="3"/>
      <c r="BQ119" s="3"/>
      <c r="BR119" s="3"/>
      <c r="BT119" s="15"/>
      <c r="BU119" s="3"/>
      <c r="BV119" s="13"/>
      <c r="BW119" s="3"/>
      <c r="BX119" s="3"/>
      <c r="BY119" s="3"/>
      <c r="BZ119" s="3"/>
      <c r="CA119" s="3"/>
      <c r="CB119" s="10"/>
      <c r="CC119" s="10"/>
      <c r="CD119" s="4"/>
      <c r="CE119" s="3"/>
    </row>
    <row r="120" spans="1:83" x14ac:dyDescent="0.25">
      <c r="A120" s="2" t="s">
        <v>10</v>
      </c>
      <c r="B120" s="2">
        <v>2</v>
      </c>
      <c r="C120" t="s">
        <v>18</v>
      </c>
      <c r="D120" s="5" t="str">
        <f t="shared" si="0"/>
        <v>p02-2-ME</v>
      </c>
      <c r="E120" s="5" t="s">
        <v>468</v>
      </c>
      <c r="F120" s="17">
        <v>44881</v>
      </c>
      <c r="G120">
        <v>14</v>
      </c>
      <c r="H120" s="3">
        <v>14.8</v>
      </c>
      <c r="I120" s="3">
        <f t="shared" si="2"/>
        <v>14.34</v>
      </c>
      <c r="J120" s="3">
        <f>($A$64-$A$47)*$A$75</f>
        <v>0.74</v>
      </c>
      <c r="K120" s="6">
        <f t="shared" si="3"/>
        <v>3366.2240944881887</v>
      </c>
      <c r="L120" s="4">
        <v>8.81</v>
      </c>
      <c r="M120" s="4">
        <v>161.08000000000001</v>
      </c>
      <c r="N120" s="4">
        <f>M120-L120</f>
        <v>152.27000000000001</v>
      </c>
      <c r="O120" s="4">
        <v>145.35</v>
      </c>
      <c r="P120" s="7">
        <f>(N120-O120)/N120*100</f>
        <v>4.5445590070270017</v>
      </c>
      <c r="Q120" s="6">
        <f>K120*(1-P120/100)</f>
        <v>3213.2440542054123</v>
      </c>
      <c r="R120" s="14">
        <v>44882</v>
      </c>
      <c r="S120" s="4">
        <v>6.61</v>
      </c>
      <c r="T120" s="4">
        <v>2.6</v>
      </c>
      <c r="U120" s="4">
        <v>5.0199999999999996</v>
      </c>
      <c r="V120" s="8">
        <f>(T120-$A$76)/(S120-$A$47*$A$48)</f>
        <v>0.37804539309134971</v>
      </c>
      <c r="W120" s="8">
        <f>(U120-$A$77)/(S120-$A$47*$A$48)</f>
        <v>0.51864078721623175</v>
      </c>
      <c r="X120" s="8">
        <f>1-V120-W120</f>
        <v>0.1033138196924186</v>
      </c>
      <c r="Y120" s="6">
        <f>K120*V120</f>
        <v>1272.58551103436</v>
      </c>
      <c r="Z120" s="6">
        <f>K120*W120</f>
        <v>1745.8611143116011</v>
      </c>
      <c r="AA120" s="6">
        <f>SUM(Y120:Z120)</f>
        <v>3018.4466253459614</v>
      </c>
      <c r="AB120" s="6">
        <f>Q120*V120</f>
        <v>1214.7521115705274</v>
      </c>
      <c r="AC120" s="6">
        <f>Q120*W120</f>
        <v>1666.5194257909711</v>
      </c>
      <c r="AD120" s="6">
        <f>SUM(AB120:AC120)</f>
        <v>2881.2715373614983</v>
      </c>
      <c r="AE120" s="10">
        <v>990130222054</v>
      </c>
      <c r="AF120" s="14">
        <v>44980</v>
      </c>
      <c r="AG120" s="6">
        <v>47.699999999999996</v>
      </c>
      <c r="AH120" s="11">
        <v>1.087</v>
      </c>
      <c r="AI120" s="6">
        <v>79.900000000000006</v>
      </c>
      <c r="AJ120" s="6">
        <v>29.6</v>
      </c>
      <c r="AK120" s="6">
        <v>5.4</v>
      </c>
      <c r="AL120" s="6">
        <v>78.2</v>
      </c>
      <c r="AM120" s="6">
        <v>9.6999999999999993</v>
      </c>
      <c r="AN120" s="16" t="s">
        <v>165</v>
      </c>
      <c r="AO120" s="12">
        <v>13</v>
      </c>
      <c r="AP120" s="7">
        <v>0.17</v>
      </c>
      <c r="AQ120" s="6">
        <v>9.4</v>
      </c>
      <c r="AV120" s="3"/>
      <c r="AW120" s="3"/>
      <c r="AX120" s="3"/>
      <c r="AY120" s="3"/>
      <c r="AZ120" s="4"/>
      <c r="BA120" s="4"/>
      <c r="BB120" s="4"/>
      <c r="BC120" s="4"/>
      <c r="BD120" s="4"/>
      <c r="BE120" s="3"/>
      <c r="BF120" s="3"/>
      <c r="BG120" s="4"/>
      <c r="BH120" s="4"/>
      <c r="BI120" s="4"/>
      <c r="BJ120" s="9"/>
      <c r="BK120" s="9"/>
      <c r="BL120" s="9"/>
      <c r="BM120" s="3"/>
      <c r="BN120" s="3"/>
      <c r="BO120" s="3"/>
      <c r="BP120" s="3"/>
      <c r="BQ120" s="3"/>
      <c r="BR120" s="3"/>
      <c r="BT120" s="15"/>
      <c r="BU120" s="3"/>
      <c r="BV120" s="13"/>
      <c r="BW120" s="3"/>
      <c r="BX120" s="3"/>
      <c r="BY120" s="3"/>
      <c r="BZ120" s="3"/>
      <c r="CA120" s="3"/>
      <c r="CB120" s="10"/>
      <c r="CC120" s="10"/>
      <c r="CD120" s="4"/>
      <c r="CE120" s="3"/>
    </row>
    <row r="121" spans="1:83" x14ac:dyDescent="0.25">
      <c r="A121" s="2" t="s">
        <v>10</v>
      </c>
      <c r="B121" s="2">
        <v>2</v>
      </c>
      <c r="C121" t="s">
        <v>8</v>
      </c>
      <c r="D121" s="5" t="str">
        <f t="shared" si="0"/>
        <v>p02-2-SE</v>
      </c>
      <c r="E121" s="5" t="s">
        <v>468</v>
      </c>
      <c r="F121" s="17">
        <v>44881</v>
      </c>
      <c r="G121">
        <v>14</v>
      </c>
      <c r="H121" s="3">
        <v>15</v>
      </c>
      <c r="I121" s="3">
        <f t="shared" si="2"/>
        <v>14.54</v>
      </c>
      <c r="J121" s="3">
        <f>($A$64-$A$47)*$A$75</f>
        <v>0.74</v>
      </c>
      <c r="K121" s="6">
        <f t="shared" si="3"/>
        <v>3410.8689763779525</v>
      </c>
      <c r="L121" s="4"/>
      <c r="M121" s="4"/>
      <c r="N121" s="4"/>
      <c r="O121" s="4"/>
      <c r="P121" s="7"/>
      <c r="Q121" s="6"/>
      <c r="R121" s="14"/>
      <c r="S121" s="4"/>
      <c r="T121" s="4"/>
      <c r="U121" s="4"/>
      <c r="V121" s="8"/>
      <c r="W121" s="8"/>
      <c r="X121" s="8"/>
      <c r="Y121" s="6"/>
      <c r="Z121" s="6"/>
      <c r="AA121" s="6"/>
      <c r="AB121" s="6"/>
      <c r="AC121" s="6"/>
      <c r="AD121" s="6"/>
      <c r="AE121" s="10"/>
      <c r="AF121" s="14"/>
      <c r="AG121" s="6"/>
      <c r="AH121" s="11"/>
      <c r="AI121" s="6"/>
      <c r="AJ121" s="6"/>
      <c r="AK121" s="6"/>
      <c r="AL121" s="6"/>
      <c r="AM121" s="6"/>
      <c r="AN121" s="16"/>
      <c r="AO121" s="12"/>
      <c r="AP121" s="7"/>
      <c r="AQ121" s="6"/>
      <c r="AV121" s="3"/>
      <c r="AW121" s="3"/>
      <c r="AX121" s="3"/>
      <c r="AY121" s="3"/>
      <c r="AZ121" s="4"/>
      <c r="BA121" s="4"/>
      <c r="BB121" s="4"/>
      <c r="BC121" s="4"/>
      <c r="BD121" s="4"/>
      <c r="BE121" s="3"/>
      <c r="BF121" s="3"/>
      <c r="BG121" s="4"/>
      <c r="BH121" s="4"/>
      <c r="BI121" s="4"/>
      <c r="BJ121" s="9"/>
      <c r="BK121" s="9"/>
      <c r="BL121" s="9"/>
      <c r="BM121" s="3"/>
      <c r="BN121" s="3"/>
      <c r="BO121" s="3"/>
      <c r="BP121" s="3"/>
      <c r="BQ121" s="3"/>
      <c r="BR121" s="3"/>
      <c r="BT121" s="15"/>
      <c r="BU121" s="3"/>
      <c r="BV121" s="13"/>
      <c r="BW121" s="3"/>
      <c r="BX121" s="3"/>
      <c r="BY121" s="3"/>
      <c r="BZ121" s="3"/>
      <c r="CA121" s="3"/>
      <c r="CB121" s="10"/>
      <c r="CC121" s="10"/>
      <c r="CD121" s="4"/>
      <c r="CE121" s="3"/>
    </row>
    <row r="122" spans="1:83" x14ac:dyDescent="0.25">
      <c r="A122" s="2" t="s">
        <v>10</v>
      </c>
      <c r="B122" s="2">
        <v>3</v>
      </c>
      <c r="C122" t="s">
        <v>4</v>
      </c>
      <c r="D122" s="5" t="str">
        <f t="shared" si="0"/>
        <v>p02-3-NW</v>
      </c>
      <c r="E122" s="5" t="s">
        <v>468</v>
      </c>
      <c r="F122" s="17">
        <v>44881</v>
      </c>
      <c r="G122">
        <v>2</v>
      </c>
      <c r="H122" s="3">
        <v>13.2</v>
      </c>
      <c r="I122" s="3">
        <f t="shared" si="2"/>
        <v>12.739999999999998</v>
      </c>
      <c r="J122" s="3">
        <f>($A$52-$A$47)*$A$75</f>
        <v>1.2024999999999999</v>
      </c>
      <c r="K122" s="6">
        <f t="shared" si="3"/>
        <v>3112.3063287401569</v>
      </c>
      <c r="L122" s="4"/>
      <c r="M122" s="4"/>
      <c r="N122" s="4"/>
      <c r="O122" s="4"/>
      <c r="P122" s="7"/>
      <c r="Q122" s="6"/>
      <c r="R122" s="14"/>
      <c r="S122" s="4"/>
      <c r="T122" s="4"/>
      <c r="U122" s="4"/>
      <c r="V122" s="8"/>
      <c r="W122" s="8"/>
      <c r="X122" s="8"/>
      <c r="Y122" s="6"/>
      <c r="Z122" s="6"/>
      <c r="AA122" s="6"/>
      <c r="AB122" s="6"/>
      <c r="AC122" s="6"/>
      <c r="AD122" s="6"/>
      <c r="AE122" s="10"/>
      <c r="AF122" s="14"/>
      <c r="AG122" s="6"/>
      <c r="AH122" s="11"/>
      <c r="AI122" s="6"/>
      <c r="AJ122" s="6"/>
      <c r="AK122" s="6"/>
      <c r="AL122" s="6"/>
      <c r="AM122" s="6"/>
      <c r="AN122" s="16"/>
      <c r="AO122" s="12"/>
      <c r="AP122" s="7"/>
      <c r="AQ122" s="6"/>
      <c r="AS122" t="s">
        <v>92</v>
      </c>
      <c r="AT122" s="4" t="str">
        <f>E122</f>
        <v>Machine</v>
      </c>
      <c r="AU122" s="15">
        <f>F122</f>
        <v>44881</v>
      </c>
      <c r="AV122" s="3">
        <f>SUM(H122:H127)</f>
        <v>78.5</v>
      </c>
      <c r="AW122" s="3">
        <f>AV122-6*$A$47</f>
        <v>75.739999999999995</v>
      </c>
      <c r="AX122" s="3">
        <f>SUM(J122:J127)</f>
        <v>5.8275000000000006</v>
      </c>
      <c r="AY122" s="3">
        <f>(AW122+AX122)*$A$48/(6*$A$49)*$A$50</f>
        <v>3034.6428362860888</v>
      </c>
      <c r="AZ122" s="4">
        <f>SUM(L122:L127)</f>
        <v>17.41</v>
      </c>
      <c r="BA122" s="4">
        <f>SUM(M122:M127)</f>
        <v>314.63</v>
      </c>
      <c r="BB122" s="4">
        <f>BA122-AZ122</f>
        <v>297.21999999999997</v>
      </c>
      <c r="BC122" s="4">
        <f>SUM(O122:O127)</f>
        <v>280.75</v>
      </c>
      <c r="BD122" s="4">
        <f>(BB122-BC122)/BB122*100</f>
        <v>5.5413498418679676</v>
      </c>
      <c r="BE122" s="3">
        <f>AY122*(1-BD122/100)</f>
        <v>2866.4826602762919</v>
      </c>
      <c r="BF122" s="15">
        <f>R123</f>
        <v>44882</v>
      </c>
      <c r="BG122" s="4">
        <f>SUM(S122:S127)</f>
        <v>11.56</v>
      </c>
      <c r="BH122" s="4">
        <f>SUM(T122:T127)</f>
        <v>4.5199999999999996</v>
      </c>
      <c r="BI122" s="4">
        <f>SUM(U122:U127)</f>
        <v>9</v>
      </c>
      <c r="BJ122" s="9">
        <f>(BH122-2*$A$76)/(BG122-2*$A$47*$A$48)</f>
        <v>0.37333875382912729</v>
      </c>
      <c r="BK122" s="9">
        <f>(BI122-2*$A$77)/(BG122-2*$A$47*$A$48)</f>
        <v>0.50257139938536366</v>
      </c>
      <c r="BL122" s="9">
        <f>1-BJ122-BK122</f>
        <v>0.12408984678550905</v>
      </c>
      <c r="BM122" s="3">
        <f>AY122*BJ122</f>
        <v>1132.9497748155368</v>
      </c>
      <c r="BN122" s="3">
        <f>AY122*BK122</f>
        <v>1525.1246968670687</v>
      </c>
      <c r="BO122" s="3">
        <f>SUM(BM122:BN122)</f>
        <v>2658.0744716826057</v>
      </c>
      <c r="BP122" s="3">
        <f>BE122*BJ122</f>
        <v>1070.1690642603523</v>
      </c>
      <c r="BQ122" s="3">
        <f>BE122*BK122</f>
        <v>1440.6122018889359</v>
      </c>
      <c r="BR122" s="3">
        <f>SUM(BP122:BQ122)</f>
        <v>2510.7812661492881</v>
      </c>
      <c r="BS122" s="3"/>
      <c r="BT122" s="15">
        <f>AF123</f>
        <v>44980</v>
      </c>
      <c r="BU122" s="3">
        <f t="shared" ref="BU122:CA122" si="9">AVERAGE(AG122:AG127)</f>
        <v>50.8</v>
      </c>
      <c r="BV122" s="13">
        <f t="shared" si="9"/>
        <v>1.02</v>
      </c>
      <c r="BW122" s="3">
        <f t="shared" si="9"/>
        <v>79.099999999999994</v>
      </c>
      <c r="BX122" s="3">
        <f t="shared" si="9"/>
        <v>26.6</v>
      </c>
      <c r="BY122" s="3">
        <f t="shared" si="9"/>
        <v>5.4499999999999993</v>
      </c>
      <c r="BZ122" s="3">
        <f t="shared" si="9"/>
        <v>77.199999999999989</v>
      </c>
      <c r="CA122" s="3">
        <f t="shared" si="9"/>
        <v>9.5</v>
      </c>
      <c r="CB122" s="13"/>
      <c r="CC122" s="10">
        <f>AVERAGE(AO122:AO127)</f>
        <v>12.5</v>
      </c>
      <c r="CD122" s="4">
        <f>AVERAGE(AP122:AP127)</f>
        <v>0.22999999999999998</v>
      </c>
      <c r="CE122" s="3">
        <f>AVERAGE(AQ122:AQ127)</f>
        <v>10.85</v>
      </c>
    </row>
    <row r="123" spans="1:83" x14ac:dyDescent="0.25">
      <c r="A123" s="2" t="s">
        <v>10</v>
      </c>
      <c r="B123" s="2">
        <v>3</v>
      </c>
      <c r="C123" t="s">
        <v>5</v>
      </c>
      <c r="D123" s="5" t="str">
        <f t="shared" si="0"/>
        <v>p02-3-MW</v>
      </c>
      <c r="E123" s="5" t="s">
        <v>468</v>
      </c>
      <c r="F123" s="17">
        <v>44881</v>
      </c>
      <c r="G123">
        <v>2</v>
      </c>
      <c r="H123" s="3">
        <v>14</v>
      </c>
      <c r="I123" s="3">
        <f t="shared" si="2"/>
        <v>13.54</v>
      </c>
      <c r="J123" s="3">
        <f>($A$52-$A$47)*$A$75</f>
        <v>1.2024999999999999</v>
      </c>
      <c r="K123" s="6">
        <f t="shared" si="3"/>
        <v>3290.8858562992123</v>
      </c>
      <c r="L123" s="4">
        <v>8.5</v>
      </c>
      <c r="M123" s="4">
        <v>168.43</v>
      </c>
      <c r="N123" s="4">
        <f>M123-L123</f>
        <v>159.93</v>
      </c>
      <c r="O123" s="4">
        <v>150.02000000000001</v>
      </c>
      <c r="P123" s="7">
        <f>(N123-O123)/N123*100</f>
        <v>6.1964609516663511</v>
      </c>
      <c r="Q123" s="6">
        <f>K123*(1-P123/100)</f>
        <v>3086.967399249721</v>
      </c>
      <c r="R123" s="14">
        <v>44882</v>
      </c>
      <c r="S123" s="4">
        <v>6.15</v>
      </c>
      <c r="T123" s="4">
        <v>2.42</v>
      </c>
      <c r="U123" s="4">
        <v>4.66</v>
      </c>
      <c r="V123" s="8">
        <f>(T123-$A$76)/(S123-$A$47*$A$48)</f>
        <v>0.37701883825792187</v>
      </c>
      <c r="W123" s="8">
        <f>(U123-$A$77)/(S123-$A$47*$A$48)</f>
        <v>0.49820346484082539</v>
      </c>
      <c r="X123" s="8">
        <f>1-V123-W123</f>
        <v>0.12477769690125279</v>
      </c>
      <c r="Y123" s="6">
        <f>K123*V123</f>
        <v>1240.7259623813554</v>
      </c>
      <c r="Z123" s="6">
        <f>K123*W123</f>
        <v>1639.5307360039342</v>
      </c>
      <c r="AA123" s="6">
        <f>SUM(Y123:Z123)</f>
        <v>2880.2566983852894</v>
      </c>
      <c r="AB123" s="6">
        <f>Q123*V123</f>
        <v>1163.8448626052084</v>
      </c>
      <c r="AC123" s="6">
        <f>Q123*W123</f>
        <v>1537.9378541568826</v>
      </c>
      <c r="AD123" s="6">
        <f>SUM(AB123:AC123)</f>
        <v>2701.7827167620908</v>
      </c>
      <c r="AE123" s="10">
        <v>990130231007</v>
      </c>
      <c r="AF123" s="14">
        <v>44980</v>
      </c>
      <c r="AG123" s="6">
        <v>50.9</v>
      </c>
      <c r="AH123" s="11">
        <v>1.052</v>
      </c>
      <c r="AI123" s="6">
        <v>79.7</v>
      </c>
      <c r="AJ123" s="6">
        <v>27.2</v>
      </c>
      <c r="AK123" s="6">
        <v>5.3</v>
      </c>
      <c r="AL123" s="6">
        <v>76.599999999999994</v>
      </c>
      <c r="AM123" s="6">
        <v>9.5</v>
      </c>
      <c r="AN123" s="16" t="s">
        <v>166</v>
      </c>
      <c r="AO123" s="12">
        <v>15</v>
      </c>
      <c r="AP123" s="7">
        <v>0.36</v>
      </c>
      <c r="AQ123" s="6">
        <v>9.5</v>
      </c>
      <c r="AV123" s="3"/>
      <c r="AW123" s="3"/>
      <c r="AX123" s="3"/>
      <c r="AY123" s="3"/>
      <c r="AZ123" s="4"/>
      <c r="BA123" s="4"/>
      <c r="BB123" s="4"/>
      <c r="BC123" s="4"/>
      <c r="BD123" s="4"/>
      <c r="BE123" s="3"/>
      <c r="BF123" s="3"/>
      <c r="BG123" s="4"/>
      <c r="BH123" s="4"/>
      <c r="BI123" s="4"/>
      <c r="BJ123" s="9"/>
      <c r="BK123" s="9"/>
      <c r="BL123" s="9"/>
      <c r="BM123" s="3"/>
      <c r="BN123" s="3"/>
      <c r="BO123" s="3"/>
      <c r="BP123" s="3"/>
      <c r="BQ123" s="3"/>
      <c r="BR123" s="3"/>
      <c r="BT123" s="15"/>
      <c r="BU123" s="3"/>
      <c r="BV123" s="13"/>
      <c r="BW123" s="3"/>
      <c r="BX123" s="3"/>
      <c r="BY123" s="3"/>
      <c r="BZ123" s="3"/>
      <c r="CA123" s="3"/>
      <c r="CB123" s="10"/>
      <c r="CC123" s="10"/>
      <c r="CD123" s="4"/>
      <c r="CE123" s="3"/>
    </row>
    <row r="124" spans="1:83" x14ac:dyDescent="0.25">
      <c r="A124" s="2" t="s">
        <v>10</v>
      </c>
      <c r="B124" s="2">
        <v>3</v>
      </c>
      <c r="C124" t="s">
        <v>6</v>
      </c>
      <c r="D124" s="5" t="str">
        <f t="shared" si="0"/>
        <v>p02-3-SW</v>
      </c>
      <c r="E124" s="5" t="s">
        <v>468</v>
      </c>
      <c r="F124" s="17">
        <v>44881</v>
      </c>
      <c r="G124">
        <v>2</v>
      </c>
      <c r="H124" s="3">
        <v>15.3</v>
      </c>
      <c r="I124" s="3">
        <f t="shared" si="2"/>
        <v>14.84</v>
      </c>
      <c r="J124" s="3">
        <f>($A$52-$A$47)*$A$75</f>
        <v>1.2024999999999999</v>
      </c>
      <c r="K124" s="6">
        <f t="shared" si="3"/>
        <v>3581.0775885826774</v>
      </c>
      <c r="L124" s="4"/>
      <c r="M124" s="4"/>
      <c r="N124" s="4"/>
      <c r="O124" s="4"/>
      <c r="P124" s="7"/>
      <c r="Q124" s="6"/>
      <c r="R124" s="14"/>
      <c r="S124" s="4"/>
      <c r="T124" s="4"/>
      <c r="U124" s="4"/>
      <c r="V124" s="8"/>
      <c r="W124" s="8"/>
      <c r="X124" s="8"/>
      <c r="Y124" s="6"/>
      <c r="Z124" s="6"/>
      <c r="AA124" s="6"/>
      <c r="AB124" s="6"/>
      <c r="AC124" s="6"/>
      <c r="AD124" s="6"/>
      <c r="AE124" s="10"/>
      <c r="AF124" s="14"/>
      <c r="AG124" s="6"/>
      <c r="AH124" s="11"/>
      <c r="AI124" s="6"/>
      <c r="AJ124" s="6"/>
      <c r="AK124" s="6"/>
      <c r="AL124" s="6"/>
      <c r="AM124" s="6"/>
      <c r="AN124" s="16"/>
      <c r="AO124" s="12"/>
      <c r="AP124" s="7"/>
      <c r="AQ124" s="6"/>
      <c r="AV124" s="3"/>
      <c r="AW124" s="3"/>
      <c r="AX124" s="3"/>
      <c r="AY124" s="3"/>
      <c r="AZ124" s="4"/>
      <c r="BA124" s="4"/>
      <c r="BB124" s="4"/>
      <c r="BC124" s="4"/>
      <c r="BD124" s="4"/>
      <c r="BE124" s="3"/>
      <c r="BF124" s="3"/>
      <c r="BG124" s="4"/>
      <c r="BH124" s="4"/>
      <c r="BI124" s="4"/>
      <c r="BJ124" s="9"/>
      <c r="BK124" s="9"/>
      <c r="BL124" s="9"/>
      <c r="BM124" s="3"/>
      <c r="BN124" s="3"/>
      <c r="BO124" s="3"/>
      <c r="BP124" s="3"/>
      <c r="BQ124" s="3"/>
      <c r="BR124" s="3"/>
      <c r="BT124" s="15"/>
      <c r="BU124" s="3"/>
      <c r="BV124" s="13"/>
      <c r="BW124" s="3"/>
      <c r="BX124" s="3"/>
      <c r="BY124" s="3"/>
      <c r="BZ124" s="3"/>
      <c r="CA124" s="3"/>
      <c r="CB124" s="10"/>
      <c r="CC124" s="10"/>
      <c r="CD124" s="4"/>
      <c r="CE124" s="3"/>
    </row>
    <row r="125" spans="1:83" x14ac:dyDescent="0.25">
      <c r="A125" s="2" t="s">
        <v>10</v>
      </c>
      <c r="B125" s="2">
        <v>3</v>
      </c>
      <c r="C125" t="s">
        <v>7</v>
      </c>
      <c r="D125" s="5" t="str">
        <f t="shared" si="0"/>
        <v>p02-3-NE</v>
      </c>
      <c r="E125" s="5" t="s">
        <v>468</v>
      </c>
      <c r="F125" s="17">
        <v>44881</v>
      </c>
      <c r="G125">
        <v>14</v>
      </c>
      <c r="H125" s="3">
        <v>11.6</v>
      </c>
      <c r="I125" s="3">
        <f t="shared" si="2"/>
        <v>11.139999999999999</v>
      </c>
      <c r="J125" s="3">
        <f>($A$64-$A$47)*$A$75</f>
        <v>0.74</v>
      </c>
      <c r="K125" s="6">
        <f t="shared" si="3"/>
        <v>2651.9059842519682</v>
      </c>
      <c r="L125" s="4"/>
      <c r="M125" s="4"/>
      <c r="N125" s="4"/>
      <c r="O125" s="4"/>
      <c r="P125" s="7"/>
      <c r="Q125" s="6"/>
      <c r="R125" s="14"/>
      <c r="S125" s="4"/>
      <c r="T125" s="4"/>
      <c r="U125" s="4"/>
      <c r="V125" s="8"/>
      <c r="W125" s="8"/>
      <c r="X125" s="8"/>
      <c r="Y125" s="6"/>
      <c r="Z125" s="6"/>
      <c r="AA125" s="6"/>
      <c r="AB125" s="6"/>
      <c r="AC125" s="6"/>
      <c r="AD125" s="6"/>
      <c r="AE125" s="10"/>
      <c r="AF125" s="14"/>
      <c r="AG125" s="6"/>
      <c r="AH125" s="11"/>
      <c r="AI125" s="6"/>
      <c r="AJ125" s="6"/>
      <c r="AK125" s="6"/>
      <c r="AL125" s="6"/>
      <c r="AM125" s="6"/>
      <c r="AN125" s="16"/>
      <c r="AO125" s="12"/>
      <c r="AP125" s="7"/>
      <c r="AQ125" s="6"/>
      <c r="AV125" s="3"/>
      <c r="AW125" s="3"/>
      <c r="AX125" s="3"/>
      <c r="AY125" s="3"/>
      <c r="AZ125" s="4"/>
      <c r="BA125" s="4"/>
      <c r="BB125" s="4"/>
      <c r="BC125" s="4"/>
      <c r="BD125" s="4"/>
      <c r="BE125" s="3"/>
      <c r="BF125" s="3"/>
      <c r="BG125" s="4"/>
      <c r="BH125" s="4"/>
      <c r="BI125" s="4"/>
      <c r="BJ125" s="9"/>
      <c r="BK125" s="9"/>
      <c r="BL125" s="9"/>
      <c r="BM125" s="3"/>
      <c r="BN125" s="3"/>
      <c r="BO125" s="3"/>
      <c r="BP125" s="3"/>
      <c r="BQ125" s="3"/>
      <c r="BR125" s="3"/>
      <c r="BT125" s="15"/>
      <c r="BU125" s="3"/>
      <c r="BV125" s="13"/>
      <c r="BW125" s="3"/>
      <c r="BX125" s="3"/>
      <c r="BY125" s="3"/>
      <c r="BZ125" s="3"/>
      <c r="CA125" s="3"/>
      <c r="CB125" s="10"/>
      <c r="CC125" s="10"/>
      <c r="CD125" s="4"/>
      <c r="CE125" s="3"/>
    </row>
    <row r="126" spans="1:83" x14ac:dyDescent="0.25">
      <c r="A126" s="2" t="s">
        <v>10</v>
      </c>
      <c r="B126" s="2">
        <v>3</v>
      </c>
      <c r="C126" t="s">
        <v>18</v>
      </c>
      <c r="D126" s="5" t="str">
        <f t="shared" si="0"/>
        <v>p02-3-ME</v>
      </c>
      <c r="E126" s="5" t="s">
        <v>468</v>
      </c>
      <c r="F126" s="17">
        <v>44881</v>
      </c>
      <c r="G126">
        <v>14</v>
      </c>
      <c r="H126" s="3">
        <v>12.3</v>
      </c>
      <c r="I126" s="3">
        <f t="shared" si="2"/>
        <v>11.84</v>
      </c>
      <c r="J126" s="3">
        <f>($A$64-$A$47)*$A$75</f>
        <v>0.74</v>
      </c>
      <c r="K126" s="6">
        <f t="shared" si="3"/>
        <v>2808.1630708661419</v>
      </c>
      <c r="L126" s="4">
        <v>8.91</v>
      </c>
      <c r="M126" s="4">
        <v>146.19999999999999</v>
      </c>
      <c r="N126" s="4">
        <f>M126-L126</f>
        <v>137.29</v>
      </c>
      <c r="O126" s="4">
        <v>130.72999999999999</v>
      </c>
      <c r="P126" s="7">
        <f>(N126-O126)/N126*100</f>
        <v>4.7782067157112706</v>
      </c>
      <c r="Q126" s="6">
        <f>K126*(1-P126/100)</f>
        <v>2673.9832344258921</v>
      </c>
      <c r="R126" s="14">
        <v>44882</v>
      </c>
      <c r="S126" s="4">
        <v>5.41</v>
      </c>
      <c r="T126" s="4">
        <v>2.1</v>
      </c>
      <c r="U126" s="4">
        <v>4.34</v>
      </c>
      <c r="V126" s="8">
        <f>(T126-$A$76)/(S126-$A$47*$A$48)</f>
        <v>0.36913510077065259</v>
      </c>
      <c r="W126" s="8">
        <f>(U126-$A$77)/(S126-$A$47*$A$48)</f>
        <v>0.50756076355964719</v>
      </c>
      <c r="X126" s="8">
        <f>1-V126-W126</f>
        <v>0.12330413566970022</v>
      </c>
      <c r="Y126" s="6">
        <f>K126*V126</f>
        <v>1036.5915581445986</v>
      </c>
      <c r="Z126" s="6">
        <f>K126*W126</f>
        <v>1425.3133924488227</v>
      </c>
      <c r="AA126" s="6">
        <f>SUM(Y126:Z126)</f>
        <v>2461.9049505934213</v>
      </c>
      <c r="AB126" s="6">
        <f>Q126*V126</f>
        <v>987.06107069883717</v>
      </c>
      <c r="AC126" s="6">
        <f>Q126*W126</f>
        <v>1357.2089722109008</v>
      </c>
      <c r="AD126" s="6">
        <f>SUM(AB126:AC126)</f>
        <v>2344.2700429097381</v>
      </c>
      <c r="AE126" s="10">
        <v>990130232055</v>
      </c>
      <c r="AF126" s="14">
        <v>44980</v>
      </c>
      <c r="AG126" s="6">
        <v>50.7</v>
      </c>
      <c r="AH126" s="11">
        <v>0.98799999999999999</v>
      </c>
      <c r="AI126" s="6">
        <v>78.5</v>
      </c>
      <c r="AJ126" s="6">
        <v>26</v>
      </c>
      <c r="AK126" s="6">
        <v>5.6</v>
      </c>
      <c r="AL126" s="6">
        <v>77.8</v>
      </c>
      <c r="AM126" s="6">
        <v>9.5</v>
      </c>
      <c r="AN126" s="16" t="s">
        <v>165</v>
      </c>
      <c r="AO126" s="12">
        <v>10</v>
      </c>
      <c r="AP126" s="7">
        <v>0.1</v>
      </c>
      <c r="AQ126" s="6">
        <v>12.2</v>
      </c>
      <c r="AV126" s="3"/>
      <c r="AW126" s="3"/>
      <c r="AX126" s="3"/>
      <c r="AY126" s="3"/>
      <c r="AZ126" s="4"/>
      <c r="BA126" s="4"/>
      <c r="BB126" s="4"/>
      <c r="BC126" s="4"/>
      <c r="BD126" s="4"/>
      <c r="BE126" s="3"/>
      <c r="BF126" s="3"/>
      <c r="BG126" s="4"/>
      <c r="BH126" s="4"/>
      <c r="BI126" s="4"/>
      <c r="BJ126" s="9"/>
      <c r="BK126" s="9"/>
      <c r="BL126" s="9"/>
      <c r="BM126" s="3"/>
      <c r="BN126" s="3"/>
      <c r="BO126" s="3"/>
      <c r="BP126" s="3"/>
      <c r="BQ126" s="3"/>
      <c r="BR126" s="3"/>
      <c r="BT126" s="15"/>
      <c r="BU126" s="3"/>
      <c r="BV126" s="13"/>
      <c r="BW126" s="3"/>
      <c r="BX126" s="3"/>
      <c r="BY126" s="3"/>
      <c r="BZ126" s="3"/>
      <c r="CA126" s="3"/>
      <c r="CB126" s="10"/>
      <c r="CC126" s="10"/>
      <c r="CD126" s="4"/>
      <c r="CE126" s="3"/>
    </row>
    <row r="127" spans="1:83" x14ac:dyDescent="0.25">
      <c r="A127" s="2" t="s">
        <v>10</v>
      </c>
      <c r="B127" s="2">
        <v>3</v>
      </c>
      <c r="C127" t="s">
        <v>8</v>
      </c>
      <c r="D127" s="5" t="str">
        <f t="shared" si="0"/>
        <v>p02-3-SE</v>
      </c>
      <c r="E127" s="5" t="s">
        <v>468</v>
      </c>
      <c r="F127" s="17">
        <v>44881</v>
      </c>
      <c r="G127">
        <v>14</v>
      </c>
      <c r="H127" s="3">
        <v>12.1</v>
      </c>
      <c r="I127" s="3">
        <f t="shared" si="2"/>
        <v>11.639999999999999</v>
      </c>
      <c r="J127" s="3">
        <f>($A$64-$A$47)*$A$75</f>
        <v>0.74</v>
      </c>
      <c r="K127" s="6">
        <f t="shared" si="3"/>
        <v>2763.5181889763776</v>
      </c>
      <c r="L127" s="4"/>
      <c r="M127" s="4"/>
      <c r="N127" s="4"/>
      <c r="O127" s="4"/>
      <c r="P127" s="7"/>
      <c r="Q127" s="6"/>
      <c r="R127" s="14"/>
      <c r="S127" s="4"/>
      <c r="T127" s="4"/>
      <c r="U127" s="4"/>
      <c r="V127" s="8"/>
      <c r="W127" s="8"/>
      <c r="X127" s="8"/>
      <c r="Y127" s="6"/>
      <c r="Z127" s="6"/>
      <c r="AA127" s="6"/>
      <c r="AB127" s="6"/>
      <c r="AC127" s="6"/>
      <c r="AD127" s="6"/>
      <c r="AE127" s="10"/>
      <c r="AF127" s="14"/>
      <c r="AG127" s="6"/>
      <c r="AH127" s="11"/>
      <c r="AI127" s="6"/>
      <c r="AJ127" s="6"/>
      <c r="AK127" s="6"/>
      <c r="AL127" s="6"/>
      <c r="AM127" s="6"/>
      <c r="AN127" s="16"/>
      <c r="AO127" s="12"/>
      <c r="AP127" s="7"/>
      <c r="AQ127" s="6"/>
      <c r="AV127" s="3"/>
      <c r="AW127" s="3"/>
      <c r="AX127" s="3"/>
      <c r="AY127" s="3"/>
      <c r="AZ127" s="4"/>
      <c r="BA127" s="4"/>
      <c r="BB127" s="4"/>
      <c r="BC127" s="4"/>
      <c r="BD127" s="4"/>
      <c r="BE127" s="3"/>
      <c r="BF127" s="3"/>
      <c r="BG127" s="4"/>
      <c r="BH127" s="4"/>
      <c r="BI127" s="4"/>
      <c r="BJ127" s="9"/>
      <c r="BK127" s="9"/>
      <c r="BL127" s="9"/>
      <c r="BM127" s="3"/>
      <c r="BN127" s="3"/>
      <c r="BO127" s="3"/>
      <c r="BP127" s="3"/>
      <c r="BQ127" s="3"/>
      <c r="BR127" s="3"/>
      <c r="BT127" s="15"/>
      <c r="BU127" s="3"/>
      <c r="BV127" s="13"/>
      <c r="BW127" s="3"/>
      <c r="BX127" s="3"/>
      <c r="BY127" s="3"/>
      <c r="BZ127" s="3"/>
      <c r="CA127" s="3"/>
      <c r="CB127" s="10"/>
      <c r="CC127" s="10"/>
      <c r="CD127" s="4"/>
      <c r="CE127" s="3"/>
    </row>
    <row r="128" spans="1:83" x14ac:dyDescent="0.25">
      <c r="A128" s="2" t="s">
        <v>10</v>
      </c>
      <c r="B128" s="2">
        <v>4</v>
      </c>
      <c r="C128" t="s">
        <v>4</v>
      </c>
      <c r="D128" s="5" t="str">
        <f t="shared" si="0"/>
        <v>p02-4-NW</v>
      </c>
      <c r="E128" s="5" t="s">
        <v>468</v>
      </c>
      <c r="F128" s="17">
        <v>44881</v>
      </c>
      <c r="G128">
        <v>2</v>
      </c>
      <c r="H128" s="3">
        <v>22.6</v>
      </c>
      <c r="I128" s="3">
        <f t="shared" si="2"/>
        <v>22.14</v>
      </c>
      <c r="J128" s="3">
        <f>($A$52-$A$47)*$A$75</f>
        <v>1.2024999999999999</v>
      </c>
      <c r="K128" s="6">
        <f t="shared" si="3"/>
        <v>5210.6157775590545</v>
      </c>
      <c r="L128" s="4"/>
      <c r="M128" s="4"/>
      <c r="N128" s="4"/>
      <c r="O128" s="4"/>
      <c r="P128" s="7"/>
      <c r="Q128" s="6"/>
      <c r="R128" s="14"/>
      <c r="S128" s="4"/>
      <c r="T128" s="4"/>
      <c r="U128" s="4"/>
      <c r="V128" s="8"/>
      <c r="W128" s="8"/>
      <c r="X128" s="8"/>
      <c r="Y128" s="6"/>
      <c r="Z128" s="6"/>
      <c r="AA128" s="6"/>
      <c r="AB128" s="6"/>
      <c r="AC128" s="6"/>
      <c r="AD128" s="6"/>
      <c r="AE128" s="10"/>
      <c r="AF128" s="14"/>
      <c r="AG128" s="6"/>
      <c r="AH128" s="11"/>
      <c r="AI128" s="6"/>
      <c r="AJ128" s="6"/>
      <c r="AK128" s="6"/>
      <c r="AL128" s="6"/>
      <c r="AM128" s="6"/>
      <c r="AN128" s="16"/>
      <c r="AO128" s="12"/>
      <c r="AP128" s="7"/>
      <c r="AQ128" s="6"/>
      <c r="AS128" t="s">
        <v>93</v>
      </c>
      <c r="AT128" s="4" t="str">
        <f>E128</f>
        <v>Machine</v>
      </c>
      <c r="AU128" s="15">
        <f>F128</f>
        <v>44881</v>
      </c>
      <c r="AV128" s="3">
        <f>SUM(H128:H133)</f>
        <v>128.6</v>
      </c>
      <c r="AW128" s="3">
        <f>AV128-6*$A$47</f>
        <v>125.83999999999999</v>
      </c>
      <c r="AX128" s="3">
        <f>SUM(J128:J133)</f>
        <v>5.8275000000000006</v>
      </c>
      <c r="AY128" s="3">
        <f>(AW128+AX128)*$A$48/(6*$A$49)*$A$50</f>
        <v>4898.5666551837267</v>
      </c>
      <c r="AZ128" s="4">
        <f>SUM(L128:L133)</f>
        <v>17.240000000000002</v>
      </c>
      <c r="BA128" s="4">
        <f>SUM(M128:M133)</f>
        <v>402.31</v>
      </c>
      <c r="BB128" s="4">
        <f>BA128-AZ128</f>
        <v>385.07</v>
      </c>
      <c r="BC128" s="4">
        <f>SUM(O128:O133)</f>
        <v>361.89</v>
      </c>
      <c r="BD128" s="4">
        <f>(BB128-BC128)/BB128*100</f>
        <v>6.0196847326460139</v>
      </c>
      <c r="BE128" s="3">
        <f>AY128*(1-BD128/100)</f>
        <v>4603.6883861231436</v>
      </c>
      <c r="BF128" s="15">
        <f>R129</f>
        <v>44882</v>
      </c>
      <c r="BG128" s="4">
        <f>SUM(S128:S133)</f>
        <v>19.829999999999998</v>
      </c>
      <c r="BH128" s="4">
        <f>SUM(T128:T133)</f>
        <v>7.52</v>
      </c>
      <c r="BI128" s="4">
        <f>SUM(U128:U133)</f>
        <v>13.239999999999998</v>
      </c>
      <c r="BJ128" s="9">
        <f>(BH128-2*$A$76)/(BG128-2*$A$47*$A$48)</f>
        <v>0.36883080207157798</v>
      </c>
      <c r="BK128" s="9">
        <f>(BI128-2*$A$77)/(BG128-2*$A$47*$A$48)</f>
        <v>0.50688478943915183</v>
      </c>
      <c r="BL128" s="9">
        <f>1-BJ128-BK128</f>
        <v>0.12428440848927014</v>
      </c>
      <c r="BM128" s="3">
        <f>AY128*BJ128</f>
        <v>1806.7422684325009</v>
      </c>
      <c r="BN128" s="3">
        <f>AY128*BK128</f>
        <v>2483.0089275664536</v>
      </c>
      <c r="BO128" s="3">
        <f>SUM(BM128:BN128)</f>
        <v>4289.7511959989542</v>
      </c>
      <c r="BP128" s="3">
        <f>BE128*BJ128</f>
        <v>1697.9820799414074</v>
      </c>
      <c r="BQ128" s="3">
        <f>BE128*BK128</f>
        <v>2333.5396182434984</v>
      </c>
      <c r="BR128" s="3">
        <f>SUM(BP128:BQ128)</f>
        <v>4031.5216981849057</v>
      </c>
      <c r="BS128" s="3"/>
      <c r="BT128" s="15">
        <f>AF129</f>
        <v>44980</v>
      </c>
      <c r="BU128" s="3">
        <f t="shared" ref="BU128:CA128" si="10">AVERAGE(AG128:AG133)</f>
        <v>46.9</v>
      </c>
      <c r="BV128" s="13">
        <f t="shared" si="10"/>
        <v>1.095</v>
      </c>
      <c r="BW128" s="3">
        <f t="shared" si="10"/>
        <v>80.300000000000011</v>
      </c>
      <c r="BX128" s="3">
        <f t="shared" si="10"/>
        <v>30.8</v>
      </c>
      <c r="BY128" s="3">
        <f t="shared" si="10"/>
        <v>5.4</v>
      </c>
      <c r="BZ128" s="3">
        <f t="shared" si="10"/>
        <v>79.150000000000006</v>
      </c>
      <c r="CA128" s="3">
        <f t="shared" si="10"/>
        <v>9.1499999999999986</v>
      </c>
      <c r="CB128" s="13"/>
      <c r="CC128" s="10">
        <f>AVERAGE(AO128:AO133)</f>
        <v>14</v>
      </c>
      <c r="CD128" s="4">
        <f>AVERAGE(AP128:AP133)</f>
        <v>0.17</v>
      </c>
      <c r="CE128" s="3">
        <f>AVERAGE(AQ128:AQ133)</f>
        <v>9.6499999999999986</v>
      </c>
    </row>
    <row r="129" spans="1:83" x14ac:dyDescent="0.25">
      <c r="A129" s="2" t="s">
        <v>10</v>
      </c>
      <c r="B129" s="2">
        <v>4</v>
      </c>
      <c r="C129" t="s">
        <v>5</v>
      </c>
      <c r="D129" s="5" t="str">
        <f t="shared" si="0"/>
        <v>p02-4-MW</v>
      </c>
      <c r="E129" s="5" t="s">
        <v>468</v>
      </c>
      <c r="F129" s="17">
        <v>44881</v>
      </c>
      <c r="G129">
        <v>2</v>
      </c>
      <c r="H129" s="3">
        <v>24.4</v>
      </c>
      <c r="I129" s="3">
        <f t="shared" si="2"/>
        <v>23.939999999999998</v>
      </c>
      <c r="J129" s="3">
        <f>($A$52-$A$47)*$A$75</f>
        <v>1.2024999999999999</v>
      </c>
      <c r="K129" s="6">
        <f t="shared" si="3"/>
        <v>5612.4197145669286</v>
      </c>
      <c r="L129" s="4">
        <v>8.44</v>
      </c>
      <c r="M129" s="4">
        <v>216.75</v>
      </c>
      <c r="N129" s="4">
        <f>M129-L129</f>
        <v>208.31</v>
      </c>
      <c r="O129" s="4">
        <v>194.13</v>
      </c>
      <c r="P129" s="7">
        <f>(N129-O129)/N129*100</f>
        <v>6.8071624021890482</v>
      </c>
      <c r="Q129" s="6">
        <f>K129*(1-P129/100)</f>
        <v>5230.373189903883</v>
      </c>
      <c r="R129" s="14">
        <v>44882</v>
      </c>
      <c r="S129" s="4">
        <v>10.77</v>
      </c>
      <c r="T129" s="4">
        <v>4.04</v>
      </c>
      <c r="U129" s="4">
        <v>7.06</v>
      </c>
      <c r="V129" s="8">
        <f>(T129-$A$76)/(S129-$A$47*$A$48)</f>
        <v>0.36548365956265916</v>
      </c>
      <c r="W129" s="8">
        <f>(U129-$A$77)/(S129-$A$47*$A$48)</f>
        <v>0.50751098840825204</v>
      </c>
      <c r="X129" s="8">
        <f>1-V129-W129</f>
        <v>0.1270053520290888</v>
      </c>
      <c r="Y129" s="6">
        <f>K129*V129</f>
        <v>2051.2476962815358</v>
      </c>
      <c r="Z129" s="6">
        <f>K129*W129</f>
        <v>2848.3646767018217</v>
      </c>
      <c r="AA129" s="6">
        <f>SUM(Y129:Z129)</f>
        <v>4899.612372983358</v>
      </c>
      <c r="AB129" s="6">
        <f>Q129*V129</f>
        <v>1911.6159343244904</v>
      </c>
      <c r="AC129" s="6">
        <f>Q129*W129</f>
        <v>2654.471867352142</v>
      </c>
      <c r="AD129" s="6">
        <f>SUM(AB129:AC129)</f>
        <v>4566.0878016766328</v>
      </c>
      <c r="AE129" s="10">
        <v>990130241008</v>
      </c>
      <c r="AF129" s="14">
        <v>44980</v>
      </c>
      <c r="AG129" s="6">
        <v>47.199999999999996</v>
      </c>
      <c r="AH129" s="11">
        <v>1.115</v>
      </c>
      <c r="AI129" s="6">
        <v>80.7</v>
      </c>
      <c r="AJ129" s="6">
        <v>32.6</v>
      </c>
      <c r="AK129" s="6">
        <v>5.3</v>
      </c>
      <c r="AL129" s="6">
        <v>78.7</v>
      </c>
      <c r="AM129" s="6">
        <v>9.1999999999999993</v>
      </c>
      <c r="AN129" s="16" t="s">
        <v>148</v>
      </c>
      <c r="AO129" s="12">
        <v>18</v>
      </c>
      <c r="AP129" s="7">
        <v>0.26</v>
      </c>
      <c r="AQ129" s="6">
        <v>9.1</v>
      </c>
      <c r="AV129" s="3"/>
      <c r="AW129" s="3"/>
      <c r="AX129" s="3"/>
      <c r="AY129" s="3"/>
      <c r="AZ129" s="4"/>
      <c r="BA129" s="4"/>
      <c r="BB129" s="4"/>
      <c r="BC129" s="4"/>
      <c r="BD129" s="4"/>
      <c r="BE129" s="3"/>
      <c r="BF129" s="3"/>
      <c r="BG129" s="4"/>
      <c r="BH129" s="4"/>
      <c r="BI129" s="4"/>
      <c r="BJ129" s="9"/>
      <c r="BK129" s="9"/>
      <c r="BL129" s="9"/>
      <c r="BM129" s="3"/>
      <c r="BN129" s="3"/>
      <c r="BO129" s="3"/>
      <c r="BP129" s="3"/>
      <c r="BQ129" s="3"/>
      <c r="BR129" s="3"/>
      <c r="BT129" s="15"/>
      <c r="BU129" s="3"/>
      <c r="BV129" s="13"/>
      <c r="BW129" s="3"/>
      <c r="BX129" s="3"/>
      <c r="BY129" s="3"/>
      <c r="BZ129" s="3"/>
      <c r="CA129" s="3"/>
      <c r="CB129" s="10"/>
      <c r="CC129" s="10"/>
      <c r="CD129" s="4"/>
      <c r="CE129" s="3"/>
    </row>
    <row r="130" spans="1:83" x14ac:dyDescent="0.25">
      <c r="A130" s="2" t="s">
        <v>10</v>
      </c>
      <c r="B130" s="2">
        <v>4</v>
      </c>
      <c r="C130" t="s">
        <v>6</v>
      </c>
      <c r="D130" s="5" t="str">
        <f t="shared" si="0"/>
        <v>p02-4-SW</v>
      </c>
      <c r="E130" s="5" t="s">
        <v>468</v>
      </c>
      <c r="F130" s="17">
        <v>44881</v>
      </c>
      <c r="G130">
        <v>2</v>
      </c>
      <c r="H130" s="3">
        <v>22.6</v>
      </c>
      <c r="I130" s="3">
        <f t="shared" si="2"/>
        <v>22.14</v>
      </c>
      <c r="J130" s="3">
        <f>($A$52-$A$47)*$A$75</f>
        <v>1.2024999999999999</v>
      </c>
      <c r="K130" s="6">
        <f t="shared" si="3"/>
        <v>5210.6157775590545</v>
      </c>
      <c r="L130" s="4"/>
      <c r="M130" s="4"/>
      <c r="N130" s="4"/>
      <c r="O130" s="4"/>
      <c r="P130" s="7"/>
      <c r="Q130" s="6"/>
      <c r="R130" s="14"/>
      <c r="S130" s="4"/>
      <c r="T130" s="4"/>
      <c r="U130" s="4"/>
      <c r="V130" s="8"/>
      <c r="W130" s="8"/>
      <c r="X130" s="8"/>
      <c r="Y130" s="6"/>
      <c r="Z130" s="6"/>
      <c r="AA130" s="6"/>
      <c r="AB130" s="6"/>
      <c r="AC130" s="6"/>
      <c r="AD130" s="6"/>
      <c r="AE130" s="10"/>
      <c r="AF130" s="14"/>
      <c r="AG130" s="6"/>
      <c r="AH130" s="11"/>
      <c r="AI130" s="6"/>
      <c r="AJ130" s="6"/>
      <c r="AK130" s="6"/>
      <c r="AL130" s="6"/>
      <c r="AM130" s="6"/>
      <c r="AN130" s="16"/>
      <c r="AO130" s="12"/>
      <c r="AP130" s="7"/>
      <c r="AQ130" s="6"/>
      <c r="AV130" s="3"/>
      <c r="AW130" s="3"/>
      <c r="AX130" s="3"/>
      <c r="AY130" s="3"/>
      <c r="AZ130" s="4"/>
      <c r="BA130" s="4"/>
      <c r="BB130" s="4"/>
      <c r="BC130" s="4"/>
      <c r="BD130" s="4"/>
      <c r="BE130" s="3"/>
      <c r="BF130" s="3"/>
      <c r="BG130" s="4"/>
      <c r="BH130" s="4"/>
      <c r="BI130" s="4"/>
      <c r="BJ130" s="9"/>
      <c r="BK130" s="9"/>
      <c r="BL130" s="9"/>
      <c r="BM130" s="3"/>
      <c r="BN130" s="3"/>
      <c r="BO130" s="3"/>
      <c r="BP130" s="3"/>
      <c r="BQ130" s="3"/>
      <c r="BR130" s="3"/>
      <c r="BT130" s="15"/>
      <c r="BU130" s="3"/>
      <c r="BV130" s="13"/>
      <c r="BW130" s="3"/>
      <c r="BX130" s="3"/>
      <c r="BY130" s="3"/>
      <c r="BZ130" s="3"/>
      <c r="CA130" s="3"/>
      <c r="CB130" s="10"/>
      <c r="CC130" s="10"/>
      <c r="CD130" s="4"/>
      <c r="CE130" s="3"/>
    </row>
    <row r="131" spans="1:83" x14ac:dyDescent="0.25">
      <c r="A131" s="2" t="s">
        <v>10</v>
      </c>
      <c r="B131" s="2">
        <v>4</v>
      </c>
      <c r="C131" t="s">
        <v>7</v>
      </c>
      <c r="D131" s="5" t="str">
        <f t="shared" si="0"/>
        <v>p02-4-NE</v>
      </c>
      <c r="E131" s="5" t="s">
        <v>468</v>
      </c>
      <c r="F131" s="17">
        <v>44881</v>
      </c>
      <c r="G131">
        <v>14</v>
      </c>
      <c r="H131" s="3">
        <v>18.899999999999999</v>
      </c>
      <c r="I131" s="3">
        <f t="shared" si="2"/>
        <v>18.439999999999998</v>
      </c>
      <c r="J131" s="3">
        <f>($A$64-$A$47)*$A$75</f>
        <v>0.74</v>
      </c>
      <c r="K131" s="6">
        <f t="shared" si="3"/>
        <v>4281.4441732283458</v>
      </c>
      <c r="L131" s="4"/>
      <c r="M131" s="4"/>
      <c r="N131" s="4"/>
      <c r="O131" s="4"/>
      <c r="P131" s="7"/>
      <c r="Q131" s="6"/>
      <c r="R131" s="14"/>
      <c r="S131" s="4"/>
      <c r="T131" s="4"/>
      <c r="U131" s="4"/>
      <c r="V131" s="8"/>
      <c r="W131" s="8"/>
      <c r="X131" s="8"/>
      <c r="Y131" s="6"/>
      <c r="Z131" s="6"/>
      <c r="AA131" s="6"/>
      <c r="AB131" s="6"/>
      <c r="AC131" s="6"/>
      <c r="AD131" s="6"/>
      <c r="AE131" s="10"/>
      <c r="AF131" s="14"/>
      <c r="AG131" s="6"/>
      <c r="AH131" s="11"/>
      <c r="AI131" s="6"/>
      <c r="AJ131" s="6"/>
      <c r="AK131" s="6"/>
      <c r="AL131" s="6"/>
      <c r="AM131" s="6"/>
      <c r="AN131" s="16"/>
      <c r="AO131" s="12"/>
      <c r="AP131" s="7"/>
      <c r="AQ131" s="6"/>
      <c r="AV131" s="3"/>
      <c r="AW131" s="3"/>
      <c r="AX131" s="3"/>
      <c r="AY131" s="3"/>
      <c r="AZ131" s="4"/>
      <c r="BA131" s="4"/>
      <c r="BB131" s="4"/>
      <c r="BC131" s="4"/>
      <c r="BD131" s="4"/>
      <c r="BE131" s="3"/>
      <c r="BF131" s="3"/>
      <c r="BG131" s="4"/>
      <c r="BH131" s="4"/>
      <c r="BI131" s="4"/>
      <c r="BJ131" s="9"/>
      <c r="BK131" s="9"/>
      <c r="BL131" s="9"/>
      <c r="BM131" s="3"/>
      <c r="BN131" s="3"/>
      <c r="BO131" s="3"/>
      <c r="BP131" s="3"/>
      <c r="BQ131" s="3"/>
      <c r="BR131" s="3"/>
      <c r="BT131" s="15"/>
      <c r="BU131" s="3"/>
      <c r="BV131" s="13"/>
      <c r="BW131" s="3"/>
      <c r="BX131" s="3"/>
      <c r="BY131" s="3"/>
      <c r="BZ131" s="3"/>
      <c r="CA131" s="3"/>
      <c r="CB131" s="10"/>
      <c r="CC131" s="10"/>
      <c r="CD131" s="4"/>
      <c r="CE131" s="3"/>
    </row>
    <row r="132" spans="1:83" x14ac:dyDescent="0.25">
      <c r="A132" s="2" t="s">
        <v>10</v>
      </c>
      <c r="B132" s="2">
        <v>4</v>
      </c>
      <c r="C132" t="s">
        <v>18</v>
      </c>
      <c r="D132" s="5" t="str">
        <f t="shared" si="0"/>
        <v>p02-4-ME</v>
      </c>
      <c r="E132" s="5" t="s">
        <v>468</v>
      </c>
      <c r="F132" s="17">
        <v>44881</v>
      </c>
      <c r="G132">
        <v>14</v>
      </c>
      <c r="H132" s="3">
        <v>20.399999999999999</v>
      </c>
      <c r="I132" s="3">
        <f t="shared" si="2"/>
        <v>19.939999999999998</v>
      </c>
      <c r="J132" s="3">
        <f>($A$64-$A$47)*$A$75</f>
        <v>0.74</v>
      </c>
      <c r="K132" s="6">
        <f t="shared" si="3"/>
        <v>4616.2807874015734</v>
      </c>
      <c r="L132" s="4">
        <v>8.8000000000000007</v>
      </c>
      <c r="M132" s="4">
        <v>185.56</v>
      </c>
      <c r="N132" s="4">
        <f>M132-L132</f>
        <v>176.76</v>
      </c>
      <c r="O132" s="4">
        <v>167.76</v>
      </c>
      <c r="P132" s="7">
        <f>(N132-O132)/N132*100</f>
        <v>5.0916496945010188</v>
      </c>
      <c r="Q132" s="6">
        <f>K132*(1-P132/100)</f>
        <v>4381.2359407925314</v>
      </c>
      <c r="R132" s="14">
        <v>44882</v>
      </c>
      <c r="S132" s="4">
        <v>9.06</v>
      </c>
      <c r="T132" s="4">
        <v>3.48</v>
      </c>
      <c r="U132" s="4">
        <v>6.18</v>
      </c>
      <c r="V132" s="8">
        <f>(T132-$A$76)/(S132-$A$47*$A$48)</f>
        <v>0.37282458212058389</v>
      </c>
      <c r="W132" s="8">
        <f>(U132-$A$77)/(S132-$A$47*$A$48)</f>
        <v>0.50613761451521688</v>
      </c>
      <c r="X132" s="8">
        <f>1-V132-W132</f>
        <v>0.12103780336419923</v>
      </c>
      <c r="Y132" s="6">
        <f>K132*V132</f>
        <v>1721.0629555142716</v>
      </c>
      <c r="Z132" s="6">
        <f>K132*W132</f>
        <v>2336.4733456678596</v>
      </c>
      <c r="AA132" s="6">
        <f>SUM(Y132:Z132)</f>
        <v>4057.536301182131</v>
      </c>
      <c r="AB132" s="6">
        <f>Q132*V132</f>
        <v>1633.4324587976587</v>
      </c>
      <c r="AC132" s="6">
        <f>Q132*W132</f>
        <v>2217.508307701064</v>
      </c>
      <c r="AD132" s="6">
        <f>SUM(AB132:AC132)</f>
        <v>3850.940766498723</v>
      </c>
      <c r="AE132" s="10">
        <v>990130242056</v>
      </c>
      <c r="AF132" s="14">
        <v>44980</v>
      </c>
      <c r="AG132" s="6">
        <v>46.6</v>
      </c>
      <c r="AH132" s="11">
        <v>1.075</v>
      </c>
      <c r="AI132" s="6">
        <v>79.900000000000006</v>
      </c>
      <c r="AJ132" s="6">
        <v>29</v>
      </c>
      <c r="AK132" s="6">
        <v>5.5</v>
      </c>
      <c r="AL132" s="6">
        <v>79.599999999999994</v>
      </c>
      <c r="AM132" s="6">
        <v>9.1</v>
      </c>
      <c r="AN132" s="16" t="s">
        <v>148</v>
      </c>
      <c r="AO132" s="12">
        <v>10</v>
      </c>
      <c r="AP132" s="7">
        <v>0.08</v>
      </c>
      <c r="AQ132" s="6">
        <v>10.199999999999999</v>
      </c>
      <c r="AV132" s="3"/>
      <c r="AW132" s="3"/>
      <c r="AX132" s="3"/>
      <c r="AY132" s="3"/>
      <c r="AZ132" s="4"/>
      <c r="BA132" s="4"/>
      <c r="BB132" s="4"/>
      <c r="BC132" s="4"/>
      <c r="BD132" s="4"/>
      <c r="BE132" s="3"/>
      <c r="BF132" s="3"/>
      <c r="BG132" s="4"/>
      <c r="BH132" s="4"/>
      <c r="BI132" s="4"/>
      <c r="BJ132" s="9"/>
      <c r="BK132" s="9"/>
      <c r="BL132" s="9"/>
      <c r="BM132" s="3"/>
      <c r="BN132" s="3"/>
      <c r="BO132" s="3"/>
      <c r="BP132" s="3"/>
      <c r="BQ132" s="3"/>
      <c r="BR132" s="3"/>
      <c r="BT132" s="15"/>
      <c r="BU132" s="3"/>
      <c r="BV132" s="13"/>
      <c r="BW132" s="3"/>
      <c r="BX132" s="3"/>
      <c r="BY132" s="3"/>
      <c r="BZ132" s="3"/>
      <c r="CA132" s="3"/>
      <c r="CB132" s="10"/>
      <c r="CC132" s="10"/>
      <c r="CD132" s="4"/>
      <c r="CE132" s="3"/>
    </row>
    <row r="133" spans="1:83" x14ac:dyDescent="0.25">
      <c r="A133" s="2" t="s">
        <v>10</v>
      </c>
      <c r="B133" s="2">
        <v>4</v>
      </c>
      <c r="C133" t="s">
        <v>8</v>
      </c>
      <c r="D133" s="5" t="str">
        <f t="shared" si="0"/>
        <v>p02-4-SE</v>
      </c>
      <c r="E133" s="5" t="s">
        <v>468</v>
      </c>
      <c r="F133" s="17">
        <v>44881</v>
      </c>
      <c r="G133">
        <v>14</v>
      </c>
      <c r="H133" s="3">
        <v>19.7</v>
      </c>
      <c r="I133" s="3">
        <f t="shared" si="2"/>
        <v>19.239999999999998</v>
      </c>
      <c r="J133" s="3">
        <f>($A$64-$A$47)*$A$75</f>
        <v>0.74</v>
      </c>
      <c r="K133" s="6">
        <f t="shared" si="3"/>
        <v>4460.0237007874011</v>
      </c>
      <c r="L133" s="4"/>
      <c r="M133" s="4"/>
      <c r="N133" s="4"/>
      <c r="O133" s="4"/>
      <c r="P133" s="7"/>
      <c r="Q133" s="6"/>
      <c r="R133" s="14"/>
      <c r="S133" s="4"/>
      <c r="T133" s="4"/>
      <c r="U133" s="4"/>
      <c r="V133" s="8"/>
      <c r="W133" s="8"/>
      <c r="X133" s="8"/>
      <c r="Y133" s="6"/>
      <c r="Z133" s="6"/>
      <c r="AA133" s="6"/>
      <c r="AB133" s="6"/>
      <c r="AC133" s="6"/>
      <c r="AD133" s="6"/>
      <c r="AE133" s="10"/>
      <c r="AF133" s="14"/>
      <c r="AG133" s="6"/>
      <c r="AH133" s="11"/>
      <c r="AI133" s="6"/>
      <c r="AJ133" s="6"/>
      <c r="AK133" s="6"/>
      <c r="AL133" s="6"/>
      <c r="AM133" s="6"/>
      <c r="AN133" s="16"/>
      <c r="AO133" s="12"/>
      <c r="AP133" s="7"/>
      <c r="AQ133" s="6"/>
      <c r="AV133" s="3"/>
      <c r="AW133" s="3"/>
      <c r="AX133" s="3"/>
      <c r="AY133" s="3"/>
      <c r="AZ133" s="4"/>
      <c r="BA133" s="4"/>
      <c r="BB133" s="4"/>
      <c r="BC133" s="4"/>
      <c r="BD133" s="4"/>
      <c r="BE133" s="3"/>
      <c r="BF133" s="3"/>
      <c r="BG133" s="4"/>
      <c r="BH133" s="4"/>
      <c r="BI133" s="4"/>
      <c r="BJ133" s="9"/>
      <c r="BK133" s="9"/>
      <c r="BL133" s="9"/>
      <c r="BM133" s="3"/>
      <c r="BN133" s="3"/>
      <c r="BO133" s="3"/>
      <c r="BP133" s="3"/>
      <c r="BQ133" s="3"/>
      <c r="BR133" s="3"/>
      <c r="BT133" s="15"/>
      <c r="BU133" s="3"/>
      <c r="BV133" s="13"/>
      <c r="BW133" s="3"/>
      <c r="BX133" s="3"/>
      <c r="BY133" s="3"/>
      <c r="BZ133" s="3"/>
      <c r="CA133" s="3"/>
      <c r="CB133" s="10"/>
      <c r="CC133" s="10"/>
      <c r="CD133" s="4"/>
      <c r="CE133" s="3"/>
    </row>
    <row r="134" spans="1:83" x14ac:dyDescent="0.25">
      <c r="A134" s="2" t="s">
        <v>11</v>
      </c>
      <c r="B134" s="2">
        <v>1</v>
      </c>
      <c r="C134" t="s">
        <v>4</v>
      </c>
      <c r="D134" s="5" t="str">
        <f t="shared" si="0"/>
        <v>p03-1-NW</v>
      </c>
      <c r="E134" s="5" t="s">
        <v>468</v>
      </c>
      <c r="F134" s="17">
        <v>44881</v>
      </c>
      <c r="G134">
        <v>3</v>
      </c>
      <c r="H134" s="3">
        <v>26.5</v>
      </c>
      <c r="I134" s="3">
        <f t="shared" si="2"/>
        <v>26.04</v>
      </c>
      <c r="J134" s="3">
        <f>($A$53-$A$47)*$A$75</f>
        <v>0.82124999999999992</v>
      </c>
      <c r="K134" s="6">
        <f t="shared" si="3"/>
        <v>5996.0866683070853</v>
      </c>
      <c r="L134" s="4"/>
      <c r="M134" s="4"/>
      <c r="N134" s="4"/>
      <c r="O134" s="4"/>
      <c r="P134" s="7"/>
      <c r="Q134" s="6"/>
      <c r="R134" s="14"/>
      <c r="S134" s="4"/>
      <c r="T134" s="4"/>
      <c r="U134" s="4"/>
      <c r="V134" s="8"/>
      <c r="W134" s="8"/>
      <c r="X134" s="8"/>
      <c r="Y134" s="6"/>
      <c r="Z134" s="6"/>
      <c r="AA134" s="6"/>
      <c r="AB134" s="6"/>
      <c r="AC134" s="6"/>
      <c r="AD134" s="6"/>
      <c r="AE134" s="10"/>
      <c r="AF134" s="14"/>
      <c r="AG134" s="6"/>
      <c r="AH134" s="11"/>
      <c r="AI134" s="6"/>
      <c r="AJ134" s="6"/>
      <c r="AK134" s="6"/>
      <c r="AL134" s="6"/>
      <c r="AM134" s="6"/>
      <c r="AN134" s="16"/>
      <c r="AO134" s="12"/>
      <c r="AP134" s="7"/>
      <c r="AQ134" s="6"/>
      <c r="AS134" s="4" t="s">
        <v>94</v>
      </c>
      <c r="AT134" s="4" t="str">
        <f>E134</f>
        <v>Machine</v>
      </c>
      <c r="AU134" s="15">
        <f>F134</f>
        <v>44881</v>
      </c>
      <c r="AV134" s="3">
        <f>SUM(H134:H139)</f>
        <v>158.20000000000002</v>
      </c>
      <c r="AW134" s="3">
        <f>AV134-6*$A$47</f>
        <v>155.44000000000003</v>
      </c>
      <c r="AX134" s="3">
        <f>SUM(J134:J139)</f>
        <v>4.4587499999999993</v>
      </c>
      <c r="AY134" s="3">
        <f>(AW134+AX134)*$A$48/(6*$A$49)*$A$50</f>
        <v>5948.8840067257224</v>
      </c>
      <c r="AZ134" s="4">
        <f>SUM(L134:L139)</f>
        <v>17.439999999999998</v>
      </c>
      <c r="BA134" s="4">
        <f>SUM(M134:M139)</f>
        <v>395.2</v>
      </c>
      <c r="BB134" s="4">
        <f>BA134-AZ134</f>
        <v>377.76</v>
      </c>
      <c r="BC134" s="4">
        <f>SUM(O134:O139)</f>
        <v>355.02</v>
      </c>
      <c r="BD134" s="4">
        <f>(BB134-BC134)/BB134*100</f>
        <v>6.0196950444726838</v>
      </c>
      <c r="BE134" s="3">
        <f>AY134*(1-BD134/100)</f>
        <v>5590.7793309714261</v>
      </c>
      <c r="BF134" s="15">
        <f>R135</f>
        <v>44882</v>
      </c>
      <c r="BG134" s="4">
        <f>SUM(S134:S139)</f>
        <v>21.799999999999997</v>
      </c>
      <c r="BH134" s="4">
        <f>SUM(T134:T139)</f>
        <v>7.34</v>
      </c>
      <c r="BI134" s="4">
        <f>SUM(U134:U139)</f>
        <v>15.120000000000001</v>
      </c>
      <c r="BJ134" s="9">
        <f>(BH134-2*$A$76)/(BG134-2*$A$47*$A$48)</f>
        <v>0.3264321865173877</v>
      </c>
      <c r="BK134" s="9">
        <f>(BI134-2*$A$77)/(BG134-2*$A$47*$A$48)</f>
        <v>0.54810676590025564</v>
      </c>
      <c r="BL134" s="9">
        <f>1-BJ134-BK134</f>
        <v>0.12546104758235666</v>
      </c>
      <c r="BM134" s="3">
        <f>AY134*BJ134</f>
        <v>1941.9072136537957</v>
      </c>
      <c r="BN134" s="3">
        <f>AY134*BK134</f>
        <v>3260.6235736421904</v>
      </c>
      <c r="BO134" s="3">
        <f>SUM(BM134:BN134)</f>
        <v>5202.5307872959856</v>
      </c>
      <c r="BP134" s="3">
        <f>BE134*BJ134</f>
        <v>1825.0103213452205</v>
      </c>
      <c r="BQ134" s="3">
        <f>BE134*BK134</f>
        <v>3064.3439779607434</v>
      </c>
      <c r="BR134" s="3">
        <f>SUM(BP134:BQ134)</f>
        <v>4889.3542993059637</v>
      </c>
      <c r="BS134" s="3"/>
      <c r="BT134" s="15">
        <f>AF135</f>
        <v>44980</v>
      </c>
      <c r="BU134" s="3">
        <f t="shared" ref="BU134:CA134" si="11">AVERAGE(AG134:AG139)</f>
        <v>44.75</v>
      </c>
      <c r="BV134" s="13">
        <f t="shared" si="11"/>
        <v>1.1635</v>
      </c>
      <c r="BW134" s="3">
        <f t="shared" si="11"/>
        <v>81</v>
      </c>
      <c r="BX134" s="3">
        <f t="shared" si="11"/>
        <v>29.450000000000003</v>
      </c>
      <c r="BY134" s="3">
        <f t="shared" si="11"/>
        <v>6.2</v>
      </c>
      <c r="BZ134" s="3">
        <f t="shared" si="11"/>
        <v>80.5</v>
      </c>
      <c r="CA134" s="3">
        <f t="shared" si="11"/>
        <v>8.35</v>
      </c>
      <c r="CB134" s="13"/>
      <c r="CC134" s="10">
        <f>AVERAGE(AO134:AO139)</f>
        <v>11.5</v>
      </c>
      <c r="CD134" s="4">
        <f>AVERAGE(AP134:AP139)</f>
        <v>0.13500000000000001</v>
      </c>
      <c r="CE134" s="3">
        <f>AVERAGE(AQ134:AQ139)</f>
        <v>9</v>
      </c>
    </row>
    <row r="135" spans="1:83" x14ac:dyDescent="0.25">
      <c r="A135" s="2" t="s">
        <v>11</v>
      </c>
      <c r="B135" s="2">
        <v>1</v>
      </c>
      <c r="C135" t="s">
        <v>5</v>
      </c>
      <c r="D135" s="5" t="str">
        <f t="shared" si="0"/>
        <v>p03-1-MW</v>
      </c>
      <c r="E135" s="5" t="s">
        <v>468</v>
      </c>
      <c r="F135" s="17">
        <v>44881</v>
      </c>
      <c r="G135">
        <v>3</v>
      </c>
      <c r="H135" s="3">
        <v>22.7</v>
      </c>
      <c r="I135" s="3">
        <f t="shared" si="2"/>
        <v>22.24</v>
      </c>
      <c r="J135" s="3">
        <f>($A$53-$A$47)*$A$75</f>
        <v>0.82124999999999992</v>
      </c>
      <c r="K135" s="6">
        <f t="shared" si="3"/>
        <v>5147.8339124015747</v>
      </c>
      <c r="L135" s="4">
        <v>8.57</v>
      </c>
      <c r="M135" s="4">
        <v>212.97</v>
      </c>
      <c r="N135" s="4">
        <f>M135-L135</f>
        <v>204.4</v>
      </c>
      <c r="O135" s="4">
        <v>190.21</v>
      </c>
      <c r="P135" s="7">
        <f>(N135-O135)/N135*100</f>
        <v>6.9422700587084138</v>
      </c>
      <c r="Q135" s="6">
        <f>K135*(1-P135/100)</f>
        <v>4790.4573800288827</v>
      </c>
      <c r="R135" s="14">
        <v>44882</v>
      </c>
      <c r="S135" s="4">
        <v>10.039999999999999</v>
      </c>
      <c r="T135" s="4">
        <v>3.38</v>
      </c>
      <c r="U135" s="4">
        <v>7.14</v>
      </c>
      <c r="V135" s="8">
        <f>(T135-$A$76)/(S135-$A$47*$A$48)</f>
        <v>0.32548945517508138</v>
      </c>
      <c r="W135" s="8">
        <f>(U135-$A$77)/(S135-$A$47*$A$48)</f>
        <v>0.55333207379763827</v>
      </c>
      <c r="X135" s="8">
        <f>1-V135-W135</f>
        <v>0.12117847102728041</v>
      </c>
      <c r="Y135" s="6">
        <f>K135*V135</f>
        <v>1675.5656554793961</v>
      </c>
      <c r="Z135" s="6">
        <f>K135*W135</f>
        <v>2848.4616143149728</v>
      </c>
      <c r="AA135" s="6">
        <f>SUM(Y135:Z135)</f>
        <v>4524.0272697943692</v>
      </c>
      <c r="AB135" s="6">
        <f>Q135*V135</f>
        <v>1559.2433626650488</v>
      </c>
      <c r="AC135" s="6">
        <f>Q135*W135</f>
        <v>2650.7137165305826</v>
      </c>
      <c r="AD135" s="6">
        <f>SUM(AB135:AC135)</f>
        <v>4209.9570791956312</v>
      </c>
      <c r="AE135" s="10">
        <v>990130311009</v>
      </c>
      <c r="AF135" s="14">
        <v>44980</v>
      </c>
      <c r="AG135" s="6">
        <v>44.2</v>
      </c>
      <c r="AH135" s="11">
        <v>1.169</v>
      </c>
      <c r="AI135" s="6">
        <v>81.7</v>
      </c>
      <c r="AJ135" s="6">
        <v>30.3</v>
      </c>
      <c r="AK135" s="6">
        <v>6.2</v>
      </c>
      <c r="AL135" s="6">
        <v>80.599999999999994</v>
      </c>
      <c r="AM135" s="6">
        <v>8.6</v>
      </c>
      <c r="AN135" s="16" t="s">
        <v>148</v>
      </c>
      <c r="AO135" s="12">
        <v>12</v>
      </c>
      <c r="AP135" s="7">
        <v>0.15</v>
      </c>
      <c r="AQ135" s="6">
        <v>8.6999999999999993</v>
      </c>
      <c r="AV135" s="3"/>
      <c r="AW135" s="3"/>
      <c r="AX135" s="3"/>
      <c r="AY135" s="3"/>
      <c r="AZ135" s="4"/>
      <c r="BA135" s="4"/>
      <c r="BB135" s="4"/>
      <c r="BC135" s="4"/>
      <c r="BD135" s="4"/>
      <c r="BE135" s="3"/>
      <c r="BF135" s="3"/>
      <c r="BG135" s="4"/>
      <c r="BH135" s="4"/>
      <c r="BI135" s="4"/>
      <c r="BJ135" s="9"/>
      <c r="BK135" s="9"/>
      <c r="BL135" s="9"/>
      <c r="BM135" s="3"/>
      <c r="BN135" s="3"/>
      <c r="BO135" s="3"/>
      <c r="BP135" s="3"/>
      <c r="BQ135" s="3"/>
      <c r="BR135" s="3"/>
      <c r="BT135" s="15"/>
      <c r="BU135" s="3"/>
      <c r="BV135" s="13"/>
      <c r="BW135" s="3"/>
      <c r="BX135" s="3"/>
      <c r="BY135" s="3"/>
      <c r="BZ135" s="3"/>
      <c r="CA135" s="3"/>
      <c r="CB135" s="10"/>
      <c r="CC135" s="10"/>
      <c r="CD135" s="4"/>
      <c r="CE135" s="3"/>
    </row>
    <row r="136" spans="1:83" x14ac:dyDescent="0.25">
      <c r="A136" s="2" t="s">
        <v>11</v>
      </c>
      <c r="B136" s="2">
        <v>1</v>
      </c>
      <c r="C136" t="s">
        <v>6</v>
      </c>
      <c r="D136" s="5" t="str">
        <f t="shared" si="0"/>
        <v>p03-1-SW</v>
      </c>
      <c r="E136" s="5" t="s">
        <v>468</v>
      </c>
      <c r="F136" s="17">
        <v>44881</v>
      </c>
      <c r="G136">
        <v>3</v>
      </c>
      <c r="H136" s="3">
        <v>26.2</v>
      </c>
      <c r="I136" s="3">
        <f t="shared" si="2"/>
        <v>25.74</v>
      </c>
      <c r="J136" s="3">
        <f>($A$53-$A$47)*$A$75</f>
        <v>0.82124999999999992</v>
      </c>
      <c r="K136" s="6">
        <f t="shared" si="3"/>
        <v>5929.1193454724398</v>
      </c>
      <c r="L136" s="4"/>
      <c r="M136" s="4"/>
      <c r="N136" s="4"/>
      <c r="O136" s="4"/>
      <c r="P136" s="7"/>
      <c r="Q136" s="6"/>
      <c r="R136" s="14"/>
      <c r="S136" s="4"/>
      <c r="T136" s="4"/>
      <c r="U136" s="4"/>
      <c r="V136" s="8"/>
      <c r="W136" s="8"/>
      <c r="X136" s="8"/>
      <c r="Y136" s="6"/>
      <c r="Z136" s="6"/>
      <c r="AA136" s="6"/>
      <c r="AB136" s="6"/>
      <c r="AC136" s="6"/>
      <c r="AD136" s="6"/>
      <c r="AE136" s="10"/>
      <c r="AF136" s="14"/>
      <c r="AG136" s="6"/>
      <c r="AH136" s="11"/>
      <c r="AI136" s="6"/>
      <c r="AJ136" s="6"/>
      <c r="AK136" s="6"/>
      <c r="AL136" s="6"/>
      <c r="AM136" s="6"/>
      <c r="AN136" s="16"/>
      <c r="AO136" s="12"/>
      <c r="AP136" s="7"/>
      <c r="AQ136" s="6"/>
      <c r="AV136" s="3"/>
      <c r="AW136" s="3"/>
      <c r="AX136" s="3"/>
      <c r="AY136" s="3"/>
      <c r="AZ136" s="4"/>
      <c r="BA136" s="4"/>
      <c r="BB136" s="4"/>
      <c r="BC136" s="4"/>
      <c r="BD136" s="4"/>
      <c r="BE136" s="3"/>
      <c r="BF136" s="3"/>
      <c r="BG136" s="4"/>
      <c r="BH136" s="4"/>
      <c r="BI136" s="4"/>
      <c r="BJ136" s="9"/>
      <c r="BK136" s="9"/>
      <c r="BL136" s="9"/>
      <c r="BM136" s="3"/>
      <c r="BN136" s="3"/>
      <c r="BO136" s="3"/>
      <c r="BP136" s="3"/>
      <c r="BQ136" s="3"/>
      <c r="BR136" s="3"/>
      <c r="BS136" s="4"/>
      <c r="BT136" s="15"/>
      <c r="BU136" s="3"/>
      <c r="BV136" s="13"/>
      <c r="BW136" s="3"/>
      <c r="BX136" s="3"/>
      <c r="BY136" s="3"/>
      <c r="BZ136" s="3"/>
      <c r="CA136" s="3"/>
      <c r="CB136" s="10"/>
      <c r="CC136" s="10"/>
      <c r="CD136" s="4"/>
      <c r="CE136" s="3"/>
    </row>
    <row r="137" spans="1:83" x14ac:dyDescent="0.25">
      <c r="A137" s="2" t="s">
        <v>11</v>
      </c>
      <c r="B137" s="2">
        <v>1</v>
      </c>
      <c r="C137" t="s">
        <v>7</v>
      </c>
      <c r="D137" s="5" t="str">
        <f t="shared" si="0"/>
        <v>p03-1-NE</v>
      </c>
      <c r="E137" s="5" t="s">
        <v>468</v>
      </c>
      <c r="F137" s="17">
        <v>44881</v>
      </c>
      <c r="G137">
        <v>15</v>
      </c>
      <c r="H137" s="3">
        <v>26.7</v>
      </c>
      <c r="I137" s="3">
        <f t="shared" si="2"/>
        <v>26.24</v>
      </c>
      <c r="J137" s="3">
        <f>($A$65-$A$47)*$A$75</f>
        <v>0.66499999999999992</v>
      </c>
      <c r="K137" s="6">
        <f t="shared" si="3"/>
        <v>6005.8527362204713</v>
      </c>
      <c r="L137" s="4"/>
      <c r="M137" s="4"/>
      <c r="N137" s="4"/>
      <c r="O137" s="4"/>
      <c r="P137" s="7"/>
      <c r="Q137" s="6"/>
      <c r="R137" s="14"/>
      <c r="S137" s="4"/>
      <c r="T137" s="4"/>
      <c r="U137" s="4"/>
      <c r="V137" s="8"/>
      <c r="W137" s="8"/>
      <c r="X137" s="8"/>
      <c r="Y137" s="6"/>
      <c r="Z137" s="6"/>
      <c r="AA137" s="6"/>
      <c r="AB137" s="6"/>
      <c r="AC137" s="6"/>
      <c r="AD137" s="6"/>
      <c r="AE137" s="10"/>
      <c r="AF137" s="14"/>
      <c r="AG137" s="6"/>
      <c r="AH137" s="11"/>
      <c r="AI137" s="6"/>
      <c r="AJ137" s="6"/>
      <c r="AK137" s="6"/>
      <c r="AL137" s="6"/>
      <c r="AM137" s="6"/>
      <c r="AN137" s="16"/>
      <c r="AO137" s="12"/>
      <c r="AP137" s="7"/>
      <c r="AQ137" s="6"/>
      <c r="AV137" s="3"/>
      <c r="AW137" s="3"/>
      <c r="AX137" s="3"/>
      <c r="AY137" s="3"/>
      <c r="AZ137" s="4"/>
      <c r="BA137" s="4"/>
      <c r="BB137" s="4"/>
      <c r="BC137" s="4"/>
      <c r="BD137" s="4"/>
      <c r="BE137" s="3"/>
      <c r="BF137" s="3"/>
      <c r="BG137" s="4"/>
      <c r="BH137" s="4"/>
      <c r="BI137" s="4"/>
      <c r="BJ137" s="9"/>
      <c r="BK137" s="9"/>
      <c r="BL137" s="9"/>
      <c r="BM137" s="3"/>
      <c r="BN137" s="3"/>
      <c r="BO137" s="3"/>
      <c r="BP137" s="3"/>
      <c r="BQ137" s="3"/>
      <c r="BR137" s="3"/>
      <c r="BT137" s="15"/>
      <c r="BU137" s="3"/>
      <c r="BV137" s="13"/>
      <c r="BW137" s="3"/>
      <c r="BX137" s="3"/>
      <c r="BY137" s="3"/>
      <c r="BZ137" s="3"/>
      <c r="CA137" s="3"/>
      <c r="CB137" s="10"/>
      <c r="CC137" s="10"/>
      <c r="CD137" s="4"/>
      <c r="CE137" s="3"/>
    </row>
    <row r="138" spans="1:83" x14ac:dyDescent="0.25">
      <c r="A138" s="2" t="s">
        <v>11</v>
      </c>
      <c r="B138" s="2">
        <v>1</v>
      </c>
      <c r="C138" t="s">
        <v>18</v>
      </c>
      <c r="D138" s="5" t="str">
        <f t="shared" si="0"/>
        <v>p03-1-ME</v>
      </c>
      <c r="E138" s="5" t="s">
        <v>468</v>
      </c>
      <c r="F138" s="17">
        <v>44881</v>
      </c>
      <c r="G138">
        <v>15</v>
      </c>
      <c r="H138" s="3">
        <v>26.5</v>
      </c>
      <c r="I138" s="3">
        <f t="shared" si="2"/>
        <v>26.04</v>
      </c>
      <c r="J138" s="3">
        <f>($A$65-$A$47)*$A$75</f>
        <v>0.66499999999999992</v>
      </c>
      <c r="K138" s="6">
        <f t="shared" si="3"/>
        <v>5961.207854330708</v>
      </c>
      <c r="L138" s="4">
        <v>8.8699999999999992</v>
      </c>
      <c r="M138" s="4">
        <v>182.23</v>
      </c>
      <c r="N138" s="4">
        <f>M138-L138</f>
        <v>173.35999999999999</v>
      </c>
      <c r="O138" s="4">
        <v>164.81</v>
      </c>
      <c r="P138" s="7">
        <f>(N138-O138)/N138*100</f>
        <v>4.9319335486848086</v>
      </c>
      <c r="Q138" s="6">
        <f>K138*(1-P138/100)</f>
        <v>5667.2050442561376</v>
      </c>
      <c r="R138" s="14">
        <v>44882</v>
      </c>
      <c r="S138" s="4">
        <v>11.76</v>
      </c>
      <c r="T138" s="4">
        <v>3.96</v>
      </c>
      <c r="U138" s="4">
        <v>7.98</v>
      </c>
      <c r="V138" s="8">
        <f>(T138-$A$76)/(S138-$A$47*$A$48)</f>
        <v>0.32723454480940706</v>
      </c>
      <c r="W138" s="8">
        <f>(U138-$A$77)/(S138-$A$47*$A$48)</f>
        <v>0.54365950830769216</v>
      </c>
      <c r="X138" s="8">
        <f>1-V138-W138</f>
        <v>0.12910594688290078</v>
      </c>
      <c r="Y138" s="6">
        <f>K138*V138</f>
        <v>1950.7131387261713</v>
      </c>
      <c r="Z138" s="6">
        <f>K138*W138</f>
        <v>3240.8673310053855</v>
      </c>
      <c r="AA138" s="6">
        <f>SUM(Y138:Z138)</f>
        <v>5191.5804697315571</v>
      </c>
      <c r="AB138" s="6">
        <f>Q138*V138</f>
        <v>1854.5052629987329</v>
      </c>
      <c r="AC138" s="6">
        <f>Q138*W138</f>
        <v>3081.0299078391645</v>
      </c>
      <c r="AD138" s="6">
        <f>SUM(AB138:AC138)</f>
        <v>4935.5351708378976</v>
      </c>
      <c r="AE138" s="10">
        <v>990130312057</v>
      </c>
      <c r="AF138" s="14">
        <v>44980</v>
      </c>
      <c r="AG138" s="6">
        <v>45.300000000000004</v>
      </c>
      <c r="AH138" s="11">
        <v>1.1579999999999999</v>
      </c>
      <c r="AI138" s="6">
        <v>80.3</v>
      </c>
      <c r="AJ138" s="6">
        <v>28.6</v>
      </c>
      <c r="AK138" s="6">
        <v>6.2</v>
      </c>
      <c r="AL138" s="6">
        <v>80.400000000000006</v>
      </c>
      <c r="AM138" s="6">
        <v>8.1</v>
      </c>
      <c r="AN138" s="16" t="s">
        <v>150</v>
      </c>
      <c r="AO138" s="12">
        <v>11</v>
      </c>
      <c r="AP138" s="7">
        <v>0.12</v>
      </c>
      <c r="AQ138" s="6">
        <v>9.3000000000000007</v>
      </c>
      <c r="AV138" s="3"/>
      <c r="AW138" s="3"/>
      <c r="AX138" s="3"/>
      <c r="AY138" s="3"/>
      <c r="AZ138" s="4"/>
      <c r="BA138" s="4"/>
      <c r="BB138" s="4"/>
      <c r="BC138" s="4"/>
      <c r="BD138" s="4"/>
      <c r="BE138" s="3"/>
      <c r="BF138" s="3"/>
      <c r="BG138" s="4"/>
      <c r="BH138" s="4"/>
      <c r="BI138" s="4"/>
      <c r="BJ138" s="9"/>
      <c r="BK138" s="9"/>
      <c r="BL138" s="9"/>
      <c r="BM138" s="3"/>
      <c r="BN138" s="3"/>
      <c r="BO138" s="3"/>
      <c r="BP138" s="3"/>
      <c r="BQ138" s="3"/>
      <c r="BR138" s="3"/>
      <c r="BT138" s="15"/>
      <c r="BU138" s="3"/>
      <c r="BV138" s="13"/>
      <c r="BW138" s="3"/>
      <c r="BX138" s="3"/>
      <c r="BY138" s="3"/>
      <c r="BZ138" s="3"/>
      <c r="CA138" s="3"/>
      <c r="CB138" s="10"/>
      <c r="CC138" s="10"/>
      <c r="CD138" s="4"/>
      <c r="CE138" s="3"/>
    </row>
    <row r="139" spans="1:83" x14ac:dyDescent="0.25">
      <c r="A139" s="2" t="s">
        <v>11</v>
      </c>
      <c r="B139" s="2">
        <v>1</v>
      </c>
      <c r="C139" t="s">
        <v>8</v>
      </c>
      <c r="D139" s="5" t="str">
        <f t="shared" si="0"/>
        <v>p03-1-SE</v>
      </c>
      <c r="E139" s="5" t="s">
        <v>468</v>
      </c>
      <c r="F139" s="17">
        <v>44881</v>
      </c>
      <c r="G139">
        <v>15</v>
      </c>
      <c r="H139" s="3">
        <v>29.6</v>
      </c>
      <c r="I139" s="3">
        <f t="shared" si="2"/>
        <v>29.14</v>
      </c>
      <c r="J139" s="3">
        <f>($A$65-$A$47)*$A$75</f>
        <v>0.66499999999999992</v>
      </c>
      <c r="K139" s="6">
        <f t="shared" si="3"/>
        <v>6653.2035236220463</v>
      </c>
      <c r="L139" s="4"/>
      <c r="M139" s="4"/>
      <c r="N139" s="4"/>
      <c r="O139" s="4"/>
      <c r="P139" s="7"/>
      <c r="Q139" s="6"/>
      <c r="R139" s="14"/>
      <c r="S139" s="4"/>
      <c r="T139" s="4"/>
      <c r="U139" s="4"/>
      <c r="V139" s="8"/>
      <c r="W139" s="8"/>
      <c r="X139" s="8"/>
      <c r="Y139" s="6"/>
      <c r="Z139" s="6"/>
      <c r="AA139" s="6"/>
      <c r="AB139" s="6"/>
      <c r="AC139" s="6"/>
      <c r="AD139" s="6"/>
      <c r="AE139" s="10"/>
      <c r="AF139" s="14"/>
      <c r="AG139" s="6"/>
      <c r="AH139" s="11"/>
      <c r="AI139" s="6"/>
      <c r="AJ139" s="6"/>
      <c r="AK139" s="6"/>
      <c r="AL139" s="6"/>
      <c r="AM139" s="6"/>
      <c r="AN139" s="16"/>
      <c r="AO139" s="12"/>
      <c r="AP139" s="7"/>
      <c r="AQ139" s="6"/>
      <c r="AV139" s="3"/>
      <c r="AW139" s="3"/>
      <c r="AX139" s="3"/>
      <c r="AY139" s="3"/>
      <c r="AZ139" s="4"/>
      <c r="BA139" s="4"/>
      <c r="BB139" s="4"/>
      <c r="BC139" s="4"/>
      <c r="BD139" s="4"/>
      <c r="BE139" s="3"/>
      <c r="BF139" s="3"/>
      <c r="BG139" s="4"/>
      <c r="BH139" s="4"/>
      <c r="BI139" s="4"/>
      <c r="BJ139" s="9"/>
      <c r="BK139" s="9"/>
      <c r="BL139" s="9"/>
      <c r="BM139" s="3"/>
      <c r="BN139" s="3"/>
      <c r="BO139" s="3"/>
      <c r="BP139" s="3"/>
      <c r="BQ139" s="3"/>
      <c r="BR139" s="3"/>
      <c r="BT139" s="15"/>
      <c r="BU139" s="3"/>
      <c r="BV139" s="13"/>
      <c r="BW139" s="3"/>
      <c r="BX139" s="3"/>
      <c r="BY139" s="3"/>
      <c r="BZ139" s="3"/>
      <c r="CA139" s="3"/>
      <c r="CB139" s="10"/>
      <c r="CC139" s="10"/>
      <c r="CD139" s="4"/>
      <c r="CE139" s="3"/>
    </row>
    <row r="140" spans="1:83" x14ac:dyDescent="0.25">
      <c r="A140" s="2" t="s">
        <v>11</v>
      </c>
      <c r="B140" s="2">
        <v>2</v>
      </c>
      <c r="C140" t="s">
        <v>4</v>
      </c>
      <c r="D140" s="5" t="str">
        <f t="shared" si="0"/>
        <v>p03-2-NW</v>
      </c>
      <c r="E140" s="5" t="s">
        <v>468</v>
      </c>
      <c r="F140" s="17">
        <v>44881</v>
      </c>
      <c r="G140">
        <v>3</v>
      </c>
      <c r="H140" s="3">
        <v>24.2</v>
      </c>
      <c r="I140" s="3">
        <f t="shared" si="2"/>
        <v>23.74</v>
      </c>
      <c r="J140" s="3">
        <f>($A$53-$A$47)*$A$75</f>
        <v>0.82124999999999992</v>
      </c>
      <c r="K140" s="6">
        <f t="shared" si="3"/>
        <v>5482.6705265748024</v>
      </c>
      <c r="L140" s="4"/>
      <c r="M140" s="4"/>
      <c r="N140" s="4"/>
      <c r="O140" s="4"/>
      <c r="P140" s="7"/>
      <c r="Q140" s="6"/>
      <c r="R140" s="14"/>
      <c r="S140" s="4"/>
      <c r="T140" s="4"/>
      <c r="U140" s="4"/>
      <c r="V140" s="8"/>
      <c r="W140" s="8"/>
      <c r="X140" s="8"/>
      <c r="Y140" s="6"/>
      <c r="Z140" s="6"/>
      <c r="AA140" s="6"/>
      <c r="AB140" s="6"/>
      <c r="AC140" s="6"/>
      <c r="AD140" s="6"/>
      <c r="AE140" s="10"/>
      <c r="AF140" s="14"/>
      <c r="AG140" s="6"/>
      <c r="AH140" s="11"/>
      <c r="AI140" s="6"/>
      <c r="AJ140" s="6"/>
      <c r="AK140" s="6"/>
      <c r="AL140" s="6"/>
      <c r="AM140" s="6"/>
      <c r="AN140" s="16"/>
      <c r="AO140" s="12"/>
      <c r="AP140" s="7"/>
      <c r="AQ140" s="6"/>
      <c r="AS140" t="s">
        <v>95</v>
      </c>
      <c r="AT140" s="4" t="str">
        <f>E140</f>
        <v>Machine</v>
      </c>
      <c r="AU140" s="15">
        <f>F140</f>
        <v>44881</v>
      </c>
      <c r="AV140" s="3">
        <f>SUM(H140:H145)</f>
        <v>140.70000000000002</v>
      </c>
      <c r="AW140" s="3">
        <f>AV140-6*$A$47</f>
        <v>137.94000000000003</v>
      </c>
      <c r="AX140" s="3">
        <f>SUM(J140:J145)</f>
        <v>4.4587499999999993</v>
      </c>
      <c r="AY140" s="3">
        <f>(AW140+AX140)*$A$48/(6*$A$49)*$A$50</f>
        <v>5297.8128125000012</v>
      </c>
      <c r="AZ140" s="4">
        <f>SUM(L140:L145)</f>
        <v>17.32</v>
      </c>
      <c r="BA140" s="4">
        <f>SUM(M140:M145)</f>
        <v>355.98</v>
      </c>
      <c r="BB140" s="4">
        <f>BA140-AZ140</f>
        <v>338.66</v>
      </c>
      <c r="BC140" s="4">
        <f>SUM(O140:O145)</f>
        <v>319.76</v>
      </c>
      <c r="BD140" s="4">
        <f>(BB140-BC140)/BB140*100</f>
        <v>5.5808185200496174</v>
      </c>
      <c r="BE140" s="3">
        <f>AY140*(1-BD140/100)</f>
        <v>5002.1514939024401</v>
      </c>
      <c r="BF140" s="15">
        <f>R141</f>
        <v>44882</v>
      </c>
      <c r="BG140" s="4">
        <f>SUM(S140:S145)</f>
        <v>22.240000000000002</v>
      </c>
      <c r="BH140" s="4">
        <f>SUM(T140:T145)</f>
        <v>7.68</v>
      </c>
      <c r="BI140" s="4">
        <f>SUM(U140:U145)</f>
        <v>15.440000000000001</v>
      </c>
      <c r="BJ140" s="9">
        <f>(BH140-2*$A$76)/(BG140-2*$A$47*$A$48)</f>
        <v>0.33543060924624479</v>
      </c>
      <c r="BK140" s="9">
        <f>(BI140-2*$A$77)/(BG140-2*$A$47*$A$48)</f>
        <v>0.55171919881486176</v>
      </c>
      <c r="BL140" s="9">
        <f>1-BJ140-BK140</f>
        <v>0.11285019193889345</v>
      </c>
      <c r="BM140" s="3">
        <f>AY140*BJ140</f>
        <v>1777.048579369437</v>
      </c>
      <c r="BN140" s="3">
        <f>AY140*BK140</f>
        <v>2922.90504038361</v>
      </c>
      <c r="BO140" s="3">
        <f>SUM(BM140:BN140)</f>
        <v>4699.953619753047</v>
      </c>
      <c r="BP140" s="3">
        <f>BE140*BJ140</f>
        <v>1677.874723141709</v>
      </c>
      <c r="BQ140" s="3">
        <f>BE140*BK140</f>
        <v>2759.7830145664179</v>
      </c>
      <c r="BR140" s="3">
        <f>SUM(BP140:BQ140)</f>
        <v>4437.6577377081267</v>
      </c>
      <c r="BS140" s="3"/>
      <c r="BT140" s="15">
        <f>AF141</f>
        <v>44980</v>
      </c>
      <c r="BU140" s="3">
        <f t="shared" ref="BU140:CA140" si="12">AVERAGE(AG140:AG145)</f>
        <v>44.8</v>
      </c>
      <c r="BV140" s="13">
        <f t="shared" si="12"/>
        <v>1.1665000000000001</v>
      </c>
      <c r="BW140" s="3">
        <f t="shared" si="12"/>
        <v>80.25</v>
      </c>
      <c r="BX140" s="3">
        <f t="shared" si="12"/>
        <v>28.85</v>
      </c>
      <c r="BY140" s="3">
        <f t="shared" si="12"/>
        <v>6.4</v>
      </c>
      <c r="BZ140" s="3">
        <f t="shared" si="12"/>
        <v>81.300000000000011</v>
      </c>
      <c r="CA140" s="3">
        <f t="shared" si="12"/>
        <v>8.4</v>
      </c>
      <c r="CB140" s="13"/>
      <c r="CC140" s="10">
        <f>AVERAGE(AO140:AO145)</f>
        <v>9</v>
      </c>
      <c r="CD140" s="4">
        <f>AVERAGE(AP140:AP145)</f>
        <v>0.08</v>
      </c>
      <c r="CE140" s="3">
        <f>AVERAGE(AQ140:AQ145)</f>
        <v>9.3000000000000007</v>
      </c>
    </row>
    <row r="141" spans="1:83" x14ac:dyDescent="0.25">
      <c r="A141" s="2" t="s">
        <v>11</v>
      </c>
      <c r="B141" s="2">
        <v>2</v>
      </c>
      <c r="C141" t="s">
        <v>5</v>
      </c>
      <c r="D141" s="5" t="str">
        <f t="shared" si="0"/>
        <v>p03-2-MW</v>
      </c>
      <c r="E141" s="5" t="s">
        <v>468</v>
      </c>
      <c r="F141" s="17">
        <v>44881</v>
      </c>
      <c r="G141">
        <v>3</v>
      </c>
      <c r="H141" s="3">
        <v>25.6</v>
      </c>
      <c r="I141" s="3">
        <f t="shared" si="2"/>
        <v>25.14</v>
      </c>
      <c r="J141" s="3">
        <f>($A$53-$A$47)*$A$75</f>
        <v>0.82124999999999992</v>
      </c>
      <c r="K141" s="6">
        <f t="shared" si="3"/>
        <v>5795.1846998031497</v>
      </c>
      <c r="L141" s="4">
        <v>8.51</v>
      </c>
      <c r="M141" s="4">
        <v>193.01</v>
      </c>
      <c r="N141" s="4">
        <f>M141-L141</f>
        <v>184.5</v>
      </c>
      <c r="O141" s="4">
        <v>174.41</v>
      </c>
      <c r="P141" s="7">
        <f>(N141-O141)/N141*100</f>
        <v>5.4688346883468855</v>
      </c>
      <c r="Q141" s="6">
        <f>K141*(1-P141/100)</f>
        <v>5478.2556286865438</v>
      </c>
      <c r="R141" s="14">
        <v>44882</v>
      </c>
      <c r="S141" s="4">
        <v>11.32</v>
      </c>
      <c r="T141" s="4">
        <v>3.94</v>
      </c>
      <c r="U141" s="4">
        <v>7.82</v>
      </c>
      <c r="V141" s="8">
        <f>(T141-$A$76)/(S141-$A$47*$A$48)</f>
        <v>0.3383927952113186</v>
      </c>
      <c r="W141" s="8">
        <f>(U141-$A$77)/(S141-$A$47*$A$48)</f>
        <v>0.55078827305672073</v>
      </c>
      <c r="X141" s="8">
        <f>1-V141-W141</f>
        <v>0.11081893173196067</v>
      </c>
      <c r="Y141" s="6">
        <f>K141*V141</f>
        <v>1961.0487493322541</v>
      </c>
      <c r="Z141" s="6">
        <f>K141*W141</f>
        <v>3191.9197728493073</v>
      </c>
      <c r="AA141" s="6">
        <f>SUM(Y141:Z141)</f>
        <v>5152.9685221815616</v>
      </c>
      <c r="AB141" s="6">
        <f>Q141*V141</f>
        <v>1853.8022350733791</v>
      </c>
      <c r="AC141" s="6">
        <f>Q141*W141</f>
        <v>3017.3589570875215</v>
      </c>
      <c r="AD141" s="6">
        <f>SUM(AB141:AC141)</f>
        <v>4871.1611921609001</v>
      </c>
      <c r="AE141" s="10">
        <v>990130321010</v>
      </c>
      <c r="AF141" s="14">
        <v>44980</v>
      </c>
      <c r="AG141" s="6">
        <v>45.5</v>
      </c>
      <c r="AH141" s="11">
        <v>1.177</v>
      </c>
      <c r="AI141" s="6">
        <v>81</v>
      </c>
      <c r="AJ141" s="6">
        <v>29.2</v>
      </c>
      <c r="AK141" s="6">
        <v>6.3</v>
      </c>
      <c r="AL141" s="6">
        <v>81.2</v>
      </c>
      <c r="AM141" s="6">
        <v>8.4</v>
      </c>
      <c r="AN141" s="16" t="s">
        <v>148</v>
      </c>
      <c r="AO141" s="12">
        <v>9</v>
      </c>
      <c r="AP141" s="7">
        <v>7.0000000000000007E-2</v>
      </c>
      <c r="AQ141" s="6">
        <v>9</v>
      </c>
      <c r="AV141" s="3"/>
      <c r="AW141" s="3"/>
      <c r="AX141" s="3"/>
      <c r="AY141" s="3"/>
      <c r="AZ141" s="4"/>
      <c r="BA141" s="4"/>
      <c r="BB141" s="4"/>
      <c r="BC141" s="4"/>
      <c r="BD141" s="4"/>
      <c r="BE141" s="3"/>
      <c r="BF141" s="3"/>
      <c r="BG141" s="4"/>
      <c r="BH141" s="4"/>
      <c r="BI141" s="4"/>
      <c r="BJ141" s="9"/>
      <c r="BK141" s="9"/>
      <c r="BL141" s="9"/>
      <c r="BM141" s="3"/>
      <c r="BN141" s="3"/>
      <c r="BO141" s="3"/>
      <c r="BP141" s="3"/>
      <c r="BQ141" s="3"/>
      <c r="BR141" s="3"/>
      <c r="BT141" s="15"/>
      <c r="BU141" s="3"/>
      <c r="BV141" s="13"/>
      <c r="BW141" s="3"/>
      <c r="BX141" s="3"/>
      <c r="BY141" s="3"/>
      <c r="BZ141" s="3"/>
      <c r="CA141" s="3"/>
      <c r="CB141" s="10"/>
      <c r="CC141" s="10"/>
      <c r="CD141" s="4"/>
      <c r="CE141" s="3"/>
    </row>
    <row r="142" spans="1:83" x14ac:dyDescent="0.25">
      <c r="A142" s="2" t="s">
        <v>11</v>
      </c>
      <c r="B142" s="2">
        <v>2</v>
      </c>
      <c r="C142" t="s">
        <v>6</v>
      </c>
      <c r="D142" s="5" t="str">
        <f t="shared" si="0"/>
        <v>p03-2-SW</v>
      </c>
      <c r="E142" s="5" t="s">
        <v>468</v>
      </c>
      <c r="F142" s="17">
        <v>44881</v>
      </c>
      <c r="G142">
        <v>3</v>
      </c>
      <c r="H142" s="3">
        <v>19.100000000000001</v>
      </c>
      <c r="I142" s="3">
        <f t="shared" si="2"/>
        <v>18.64</v>
      </c>
      <c r="J142" s="3">
        <f>($A$53-$A$47)*$A$75</f>
        <v>0.82124999999999992</v>
      </c>
      <c r="K142" s="6">
        <f t="shared" si="3"/>
        <v>4344.2260383858265</v>
      </c>
      <c r="L142" s="4"/>
      <c r="M142" s="4"/>
      <c r="N142" s="4"/>
      <c r="O142" s="4"/>
      <c r="P142" s="7"/>
      <c r="Q142" s="6"/>
      <c r="R142" s="14"/>
      <c r="S142" s="4"/>
      <c r="T142" s="4"/>
      <c r="U142" s="4"/>
      <c r="V142" s="8"/>
      <c r="W142" s="8"/>
      <c r="X142" s="8"/>
      <c r="Y142" s="6"/>
      <c r="Z142" s="6"/>
      <c r="AA142" s="6"/>
      <c r="AB142" s="6"/>
      <c r="AC142" s="6"/>
      <c r="AD142" s="6"/>
      <c r="AE142" s="10"/>
      <c r="AF142" s="14"/>
      <c r="AG142" s="6"/>
      <c r="AH142" s="11"/>
      <c r="AI142" s="6"/>
      <c r="AJ142" s="6"/>
      <c r="AK142" s="6"/>
      <c r="AL142" s="6"/>
      <c r="AM142" s="6"/>
      <c r="AN142" s="16"/>
      <c r="AO142" s="12"/>
      <c r="AP142" s="7"/>
      <c r="AQ142" s="6"/>
      <c r="AV142" s="3"/>
      <c r="AW142" s="3"/>
      <c r="AX142" s="3"/>
      <c r="AY142" s="3"/>
      <c r="AZ142" s="4"/>
      <c r="BA142" s="4"/>
      <c r="BB142" s="4"/>
      <c r="BC142" s="4"/>
      <c r="BD142" s="4"/>
      <c r="BE142" s="3"/>
      <c r="BF142" s="3"/>
      <c r="BG142" s="4"/>
      <c r="BH142" s="4"/>
      <c r="BI142" s="4"/>
      <c r="BJ142" s="9"/>
      <c r="BK142" s="9"/>
      <c r="BL142" s="9"/>
      <c r="BM142" s="3"/>
      <c r="BN142" s="3"/>
      <c r="BO142" s="3"/>
      <c r="BP142" s="3"/>
      <c r="BQ142" s="3"/>
      <c r="BR142" s="3"/>
      <c r="BT142" s="15"/>
      <c r="BU142" s="3"/>
      <c r="BV142" s="13"/>
      <c r="BW142" s="3"/>
      <c r="BX142" s="3"/>
      <c r="BY142" s="3"/>
      <c r="BZ142" s="3"/>
      <c r="CA142" s="3"/>
      <c r="CB142" s="10"/>
      <c r="CC142" s="10"/>
      <c r="CD142" s="4"/>
      <c r="CE142" s="3"/>
    </row>
    <row r="143" spans="1:83" x14ac:dyDescent="0.25">
      <c r="A143" s="2" t="s">
        <v>11</v>
      </c>
      <c r="B143" s="2">
        <v>2</v>
      </c>
      <c r="C143" t="s">
        <v>7</v>
      </c>
      <c r="D143" s="5" t="str">
        <f t="shared" si="0"/>
        <v>p03-2-NE</v>
      </c>
      <c r="E143" s="5" t="s">
        <v>468</v>
      </c>
      <c r="F143" s="17">
        <v>44881</v>
      </c>
      <c r="G143">
        <v>15</v>
      </c>
      <c r="H143" s="3">
        <v>25</v>
      </c>
      <c r="I143" s="3">
        <f t="shared" si="2"/>
        <v>24.54</v>
      </c>
      <c r="J143" s="3">
        <f>($A$65-$A$47)*$A$75</f>
        <v>0.66499999999999992</v>
      </c>
      <c r="K143" s="6">
        <f t="shared" si="3"/>
        <v>5626.3712401574803</v>
      </c>
      <c r="L143" s="4"/>
      <c r="M143" s="4"/>
      <c r="N143" s="4"/>
      <c r="O143" s="4"/>
      <c r="P143" s="7"/>
      <c r="Q143" s="6"/>
      <c r="R143" s="14"/>
      <c r="S143" s="4"/>
      <c r="T143" s="4"/>
      <c r="U143" s="4"/>
      <c r="V143" s="8"/>
      <c r="W143" s="8"/>
      <c r="X143" s="8"/>
      <c r="Y143" s="6"/>
      <c r="Z143" s="6"/>
      <c r="AA143" s="6"/>
      <c r="AB143" s="6"/>
      <c r="AC143" s="6"/>
      <c r="AD143" s="6"/>
      <c r="AE143" s="10"/>
      <c r="AF143" s="14"/>
      <c r="AG143" s="6"/>
      <c r="AH143" s="11"/>
      <c r="AI143" s="6"/>
      <c r="AJ143" s="6"/>
      <c r="AK143" s="6"/>
      <c r="AL143" s="6"/>
      <c r="AM143" s="6"/>
      <c r="AN143" s="16"/>
      <c r="AO143" s="12"/>
      <c r="AP143" s="7"/>
      <c r="AQ143" s="6"/>
      <c r="AV143" s="3"/>
      <c r="AW143" s="3"/>
      <c r="AX143" s="3"/>
      <c r="AY143" s="3"/>
      <c r="AZ143" s="4"/>
      <c r="BA143" s="4"/>
      <c r="BB143" s="4"/>
      <c r="BC143" s="4"/>
      <c r="BD143" s="4"/>
      <c r="BE143" s="3"/>
      <c r="BF143" s="3"/>
      <c r="BG143" s="4"/>
      <c r="BH143" s="4"/>
      <c r="BI143" s="4"/>
      <c r="BJ143" s="9"/>
      <c r="BK143" s="9"/>
      <c r="BL143" s="9"/>
      <c r="BM143" s="3"/>
      <c r="BN143" s="3"/>
      <c r="BO143" s="3"/>
      <c r="BP143" s="3"/>
      <c r="BQ143" s="3"/>
      <c r="BR143" s="3"/>
      <c r="BT143" s="15"/>
      <c r="BU143" s="3"/>
      <c r="BV143" s="13"/>
      <c r="BW143" s="3"/>
      <c r="BX143" s="3"/>
      <c r="BY143" s="3"/>
      <c r="BZ143" s="3"/>
      <c r="CA143" s="3"/>
      <c r="CB143" s="10"/>
      <c r="CC143" s="10"/>
      <c r="CD143" s="4"/>
      <c r="CE143" s="3"/>
    </row>
    <row r="144" spans="1:83" x14ac:dyDescent="0.25">
      <c r="A144" s="2" t="s">
        <v>11</v>
      </c>
      <c r="B144" s="2">
        <v>2</v>
      </c>
      <c r="C144" t="s">
        <v>18</v>
      </c>
      <c r="D144" s="5" t="str">
        <f t="shared" si="0"/>
        <v>p03-2-ME</v>
      </c>
      <c r="E144" s="5" t="s">
        <v>468</v>
      </c>
      <c r="F144" s="17">
        <v>44881</v>
      </c>
      <c r="G144">
        <v>15</v>
      </c>
      <c r="H144" s="3">
        <v>24.5</v>
      </c>
      <c r="I144" s="3">
        <f t="shared" si="2"/>
        <v>24.04</v>
      </c>
      <c r="J144" s="3">
        <f>($A$65-$A$47)*$A$75</f>
        <v>0.66499999999999992</v>
      </c>
      <c r="K144" s="6">
        <f t="shared" si="3"/>
        <v>5514.7590354330696</v>
      </c>
      <c r="L144" s="4">
        <v>8.81</v>
      </c>
      <c r="M144" s="4">
        <v>162.97</v>
      </c>
      <c r="N144" s="4">
        <f>M144-L144</f>
        <v>154.16</v>
      </c>
      <c r="O144" s="4">
        <v>145.35</v>
      </c>
      <c r="P144" s="7">
        <f>(N144-O144)/N144*100</f>
        <v>5.7148417228853159</v>
      </c>
      <c r="Q144" s="6">
        <f>K144*(1-P144/100)</f>
        <v>5199.5992851595529</v>
      </c>
      <c r="R144" s="14">
        <v>44882</v>
      </c>
      <c r="S144" s="4">
        <v>10.92</v>
      </c>
      <c r="T144" s="4">
        <v>3.74</v>
      </c>
      <c r="U144" s="4">
        <v>7.62</v>
      </c>
      <c r="V144" s="8">
        <f>(T144-$A$76)/(S144-$A$47*$A$48)</f>
        <v>0.33235780467169002</v>
      </c>
      <c r="W144" s="8">
        <f>(U144-$A$77)/(S144-$A$47*$A$48)</f>
        <v>0.55268488866752952</v>
      </c>
      <c r="X144" s="8">
        <f>1-V144-W144</f>
        <v>0.11495730666078052</v>
      </c>
      <c r="Y144" s="6">
        <f>K144*V144</f>
        <v>1832.8732063099019</v>
      </c>
      <c r="Z144" s="6">
        <f>K144*W144</f>
        <v>3047.9239835265785</v>
      </c>
      <c r="AA144" s="6">
        <f>SUM(Y144:Z144)</f>
        <v>4880.7971898364804</v>
      </c>
      <c r="AB144" s="6">
        <f>Q144*V144</f>
        <v>1728.1274035881177</v>
      </c>
      <c r="AC144" s="6">
        <f>Q144*W144</f>
        <v>2873.7399520341737</v>
      </c>
      <c r="AD144" s="6">
        <f>SUM(AB144:AC144)</f>
        <v>4601.8673556222911</v>
      </c>
      <c r="AE144" s="10">
        <v>990130322058</v>
      </c>
      <c r="AF144" s="14">
        <v>44980</v>
      </c>
      <c r="AG144" s="6">
        <v>44.1</v>
      </c>
      <c r="AH144" s="11">
        <v>1.1559999999999999</v>
      </c>
      <c r="AI144" s="6">
        <v>79.5</v>
      </c>
      <c r="AJ144" s="6">
        <v>28.5</v>
      </c>
      <c r="AK144" s="6">
        <v>6.5</v>
      </c>
      <c r="AL144" s="6">
        <v>81.400000000000006</v>
      </c>
      <c r="AM144" s="6">
        <v>8.4</v>
      </c>
      <c r="AN144" s="16" t="s">
        <v>148</v>
      </c>
      <c r="AO144" s="12">
        <v>9</v>
      </c>
      <c r="AP144" s="7">
        <v>0.09</v>
      </c>
      <c r="AQ144" s="6">
        <v>9.6</v>
      </c>
      <c r="AV144" s="3"/>
      <c r="AW144" s="3"/>
      <c r="AX144" s="3"/>
      <c r="AY144" s="3"/>
      <c r="AZ144" s="4"/>
      <c r="BA144" s="4"/>
      <c r="BB144" s="4"/>
      <c r="BC144" s="4"/>
      <c r="BD144" s="4"/>
      <c r="BE144" s="3"/>
      <c r="BF144" s="3"/>
      <c r="BG144" s="4"/>
      <c r="BH144" s="4"/>
      <c r="BI144" s="4"/>
      <c r="BJ144" s="9"/>
      <c r="BK144" s="9"/>
      <c r="BL144" s="9"/>
      <c r="BM144" s="3"/>
      <c r="BN144" s="3"/>
      <c r="BO144" s="3"/>
      <c r="BP144" s="3"/>
      <c r="BQ144" s="3"/>
      <c r="BR144" s="3"/>
      <c r="BT144" s="15"/>
      <c r="BU144" s="3"/>
      <c r="BV144" s="13"/>
      <c r="BW144" s="3"/>
      <c r="BX144" s="3"/>
      <c r="BY144" s="3"/>
      <c r="BZ144" s="3"/>
      <c r="CA144" s="3"/>
      <c r="CB144" s="10"/>
      <c r="CC144" s="10"/>
      <c r="CD144" s="4"/>
      <c r="CE144" s="3"/>
    </row>
    <row r="145" spans="1:83" x14ac:dyDescent="0.25">
      <c r="A145" s="2" t="s">
        <v>11</v>
      </c>
      <c r="B145" s="2">
        <v>2</v>
      </c>
      <c r="C145" t="s">
        <v>8</v>
      </c>
      <c r="D145" s="5" t="str">
        <f t="shared" si="0"/>
        <v>p03-2-SE</v>
      </c>
      <c r="E145" s="5" t="s">
        <v>468</v>
      </c>
      <c r="F145" s="17">
        <v>44881</v>
      </c>
      <c r="G145">
        <v>15</v>
      </c>
      <c r="H145" s="3">
        <v>22.3</v>
      </c>
      <c r="I145" s="3">
        <f t="shared" si="2"/>
        <v>21.84</v>
      </c>
      <c r="J145" s="3">
        <f>($A$65-$A$47)*$A$75</f>
        <v>0.66499999999999992</v>
      </c>
      <c r="K145" s="6">
        <f t="shared" si="3"/>
        <v>5023.6653346456696</v>
      </c>
      <c r="L145" s="4"/>
      <c r="M145" s="4"/>
      <c r="N145" s="4"/>
      <c r="O145" s="4"/>
      <c r="P145" s="7"/>
      <c r="Q145" s="6"/>
      <c r="R145" s="14"/>
      <c r="S145" s="4"/>
      <c r="T145" s="4"/>
      <c r="U145" s="4"/>
      <c r="V145" s="8"/>
      <c r="W145" s="8"/>
      <c r="X145" s="8"/>
      <c r="Y145" s="6"/>
      <c r="Z145" s="6"/>
      <c r="AA145" s="6"/>
      <c r="AB145" s="6"/>
      <c r="AC145" s="6"/>
      <c r="AD145" s="6"/>
      <c r="AE145" s="10"/>
      <c r="AF145" s="14"/>
      <c r="AG145" s="6"/>
      <c r="AH145" s="11"/>
      <c r="AI145" s="6"/>
      <c r="AJ145" s="6"/>
      <c r="AK145" s="6"/>
      <c r="AL145" s="6"/>
      <c r="AM145" s="6"/>
      <c r="AN145" s="16"/>
      <c r="AO145" s="12"/>
      <c r="AP145" s="7"/>
      <c r="AQ145" s="6"/>
      <c r="AV145" s="3"/>
      <c r="AW145" s="3"/>
      <c r="AX145" s="3"/>
      <c r="AY145" s="3"/>
      <c r="AZ145" s="4"/>
      <c r="BA145" s="4"/>
      <c r="BB145" s="4"/>
      <c r="BC145" s="4"/>
      <c r="BD145" s="4"/>
      <c r="BE145" s="3"/>
      <c r="BF145" s="3"/>
      <c r="BG145" s="4"/>
      <c r="BH145" s="4"/>
      <c r="BI145" s="4"/>
      <c r="BJ145" s="9"/>
      <c r="BK145" s="9"/>
      <c r="BL145" s="9"/>
      <c r="BM145" s="3"/>
      <c r="BN145" s="3"/>
      <c r="BO145" s="3"/>
      <c r="BP145" s="3"/>
      <c r="BQ145" s="3"/>
      <c r="BR145" s="3"/>
      <c r="BT145" s="15"/>
      <c r="BU145" s="3"/>
      <c r="BV145" s="13"/>
      <c r="BW145" s="3"/>
      <c r="BX145" s="3"/>
      <c r="BY145" s="3"/>
      <c r="BZ145" s="3"/>
      <c r="CA145" s="3"/>
      <c r="CB145" s="10"/>
      <c r="CC145" s="10"/>
      <c r="CD145" s="4"/>
      <c r="CE145" s="3"/>
    </row>
    <row r="146" spans="1:83" x14ac:dyDescent="0.25">
      <c r="A146" s="2" t="s">
        <v>11</v>
      </c>
      <c r="B146" s="2">
        <v>3</v>
      </c>
      <c r="C146" t="s">
        <v>4</v>
      </c>
      <c r="D146" s="5" t="str">
        <f t="shared" si="0"/>
        <v>p03-3-NW</v>
      </c>
      <c r="E146" s="5" t="s">
        <v>468</v>
      </c>
      <c r="F146" s="17">
        <v>44881</v>
      </c>
      <c r="G146">
        <v>3</v>
      </c>
      <c r="H146" s="3">
        <v>18.399999999999999</v>
      </c>
      <c r="I146" s="3">
        <f t="shared" si="2"/>
        <v>17.939999999999998</v>
      </c>
      <c r="J146" s="3">
        <f>($A$53-$A$47)*$A$75</f>
        <v>0.82124999999999992</v>
      </c>
      <c r="K146" s="6">
        <f t="shared" si="3"/>
        <v>4187.9689517716524</v>
      </c>
      <c r="L146" s="4"/>
      <c r="M146" s="4"/>
      <c r="N146" s="4"/>
      <c r="O146" s="4"/>
      <c r="P146" s="7"/>
      <c r="Q146" s="6"/>
      <c r="R146" s="14"/>
      <c r="S146" s="4"/>
      <c r="T146" s="4"/>
      <c r="U146" s="4"/>
      <c r="V146" s="8"/>
      <c r="W146" s="8"/>
      <c r="X146" s="8"/>
      <c r="Y146" s="6"/>
      <c r="Z146" s="6"/>
      <c r="AA146" s="6"/>
      <c r="AB146" s="6"/>
      <c r="AC146" s="6"/>
      <c r="AD146" s="6"/>
      <c r="AE146" s="10"/>
      <c r="AF146" s="14"/>
      <c r="AG146" s="6"/>
      <c r="AH146" s="11"/>
      <c r="AI146" s="6"/>
      <c r="AJ146" s="6"/>
      <c r="AK146" s="6"/>
      <c r="AL146" s="6"/>
      <c r="AM146" s="6"/>
      <c r="AN146" s="16"/>
      <c r="AO146" s="12"/>
      <c r="AP146" s="7"/>
      <c r="AQ146" s="6"/>
      <c r="AS146" t="s">
        <v>96</v>
      </c>
      <c r="AT146" s="4" t="str">
        <f>E146</f>
        <v>Machine</v>
      </c>
      <c r="AU146" s="15">
        <f>F146</f>
        <v>44881</v>
      </c>
      <c r="AV146" s="3">
        <f>SUM(H146:H151)</f>
        <v>111.5</v>
      </c>
      <c r="AW146" s="3">
        <f>AV146-6*$A$47</f>
        <v>108.74</v>
      </c>
      <c r="AX146" s="3">
        <f>SUM(J146:J151)</f>
        <v>4.4587499999999993</v>
      </c>
      <c r="AY146" s="3">
        <f>(AW146+AX146)*$A$48/(6*$A$49)*$A$50</f>
        <v>4211.4540198490813</v>
      </c>
      <c r="AZ146" s="4">
        <f>SUM(L146:L151)</f>
        <v>17.350000000000001</v>
      </c>
      <c r="BA146" s="4">
        <f>SUM(M146:M151)</f>
        <v>324.51</v>
      </c>
      <c r="BB146" s="4">
        <f>BA146-AZ146</f>
        <v>307.15999999999997</v>
      </c>
      <c r="BC146" s="4">
        <f>SUM(O146:O151)</f>
        <v>289.52</v>
      </c>
      <c r="BD146" s="4">
        <f>(BB146-BC146)/BB146*100</f>
        <v>5.7429352780309895</v>
      </c>
      <c r="BE146" s="3">
        <f>AY146*(1-BD146/100)</f>
        <v>3969.5929412251139</v>
      </c>
      <c r="BF146" s="15">
        <f>R147</f>
        <v>44882</v>
      </c>
      <c r="BG146" s="4">
        <f>SUM(S146:S151)</f>
        <v>9.0299999999999994</v>
      </c>
      <c r="BH146" s="4">
        <f>SUM(T146:T151)</f>
        <v>3.08</v>
      </c>
      <c r="BI146" s="4">
        <f>SUM(U146:U151)</f>
        <v>6.56</v>
      </c>
      <c r="BJ146" s="9">
        <f>(BH146-1*$A$76)/(BG146-1*$A$47*$A$48)</f>
        <v>0.328747953850063</v>
      </c>
      <c r="BK146" s="9">
        <f>(BI146-1*$A$77)/(BG146-1*$A$47*$A$48)</f>
        <v>0.55093622610734694</v>
      </c>
      <c r="BL146" s="9">
        <f>1-BJ146-BK146</f>
        <v>0.12031582004259</v>
      </c>
      <c r="BM146" s="3">
        <f>AY146*BJ146</f>
        <v>1384.5068917590081</v>
      </c>
      <c r="BN146" s="3">
        <f>AY146*BK146</f>
        <v>2320.2425841202685</v>
      </c>
      <c r="BO146" s="3">
        <f>SUM(BM146:BN146)</f>
        <v>3704.7494758792764</v>
      </c>
      <c r="BP146" s="3">
        <f>BE146*BJ146</f>
        <v>1304.9955570454097</v>
      </c>
      <c r="BQ146" s="3">
        <f>BE146*BK146</f>
        <v>2186.9925542209276</v>
      </c>
      <c r="BR146" s="3">
        <f>SUM(BP146:BQ146)</f>
        <v>3491.988111266337</v>
      </c>
      <c r="BS146" s="3"/>
      <c r="BT146" s="15">
        <f>AF147</f>
        <v>44980</v>
      </c>
      <c r="BU146" s="3">
        <f t="shared" ref="BU146:CA146" si="13">AVERAGE(AG146:AG151)</f>
        <v>46.45</v>
      </c>
      <c r="BV146" s="13">
        <f t="shared" si="13"/>
        <v>1.1280000000000001</v>
      </c>
      <c r="BW146" s="3">
        <f t="shared" si="13"/>
        <v>80.199999999999989</v>
      </c>
      <c r="BX146" s="3">
        <f t="shared" si="13"/>
        <v>29.25</v>
      </c>
      <c r="BY146" s="3">
        <f t="shared" si="13"/>
        <v>5.95</v>
      </c>
      <c r="BZ146" s="3">
        <f t="shared" si="13"/>
        <v>80.300000000000011</v>
      </c>
      <c r="CA146" s="3">
        <f t="shared" si="13"/>
        <v>8.4499999999999993</v>
      </c>
      <c r="CB146" s="13"/>
      <c r="CC146" s="10">
        <f>AVERAGE(AO146:AO151)</f>
        <v>12.5</v>
      </c>
      <c r="CD146" s="4">
        <f>AVERAGE(AP146:AP151)</f>
        <v>0.12000000000000001</v>
      </c>
      <c r="CE146" s="3">
        <f>AVERAGE(AQ146:AQ151)</f>
        <v>9.9499999999999993</v>
      </c>
    </row>
    <row r="147" spans="1:83" x14ac:dyDescent="0.25">
      <c r="A147" s="2" t="s">
        <v>11</v>
      </c>
      <c r="B147" s="2">
        <v>3</v>
      </c>
      <c r="C147" t="s">
        <v>5</v>
      </c>
      <c r="D147" s="5" t="str">
        <f t="shared" si="0"/>
        <v>p03-3-MW</v>
      </c>
      <c r="E147" s="5" t="s">
        <v>468</v>
      </c>
      <c r="F147" s="17">
        <v>44881</v>
      </c>
      <c r="G147">
        <v>3</v>
      </c>
      <c r="H147" s="3">
        <v>20.399999999999999</v>
      </c>
      <c r="I147" s="3">
        <f t="shared" si="2"/>
        <v>19.939999999999998</v>
      </c>
      <c r="J147" s="3">
        <f>($A$53-$A$47)*$A$75</f>
        <v>0.82124999999999992</v>
      </c>
      <c r="K147" s="6">
        <f t="shared" si="3"/>
        <v>4634.4177706692899</v>
      </c>
      <c r="L147" s="4">
        <v>8.43</v>
      </c>
      <c r="M147" s="4">
        <v>153.41</v>
      </c>
      <c r="N147" s="4">
        <f>M147-L147</f>
        <v>144.97999999999999</v>
      </c>
      <c r="O147" s="4">
        <v>134.66999999999999</v>
      </c>
      <c r="P147" s="7">
        <f>(N147-O147)/N147*100</f>
        <v>7.1113257000965673</v>
      </c>
      <c r="Q147" s="6">
        <f>K147*(1-P147/100)</f>
        <v>4304.8492286938417</v>
      </c>
      <c r="R147" s="14">
        <v>44882</v>
      </c>
      <c r="S147" s="4">
        <v>9.0299999999999994</v>
      </c>
      <c r="T147" s="4">
        <v>3.08</v>
      </c>
      <c r="U147" s="4">
        <v>6.56</v>
      </c>
      <c r="V147" s="8">
        <f>(T147-$A$76)/(S147-$A$47*$A$48)</f>
        <v>0.328747953850063</v>
      </c>
      <c r="W147" s="8">
        <f>(U147-$A$77)/(S147-$A$47*$A$48)</f>
        <v>0.55093622610734694</v>
      </c>
      <c r="X147" s="8">
        <f>1-V147-W147</f>
        <v>0.12031582004259</v>
      </c>
      <c r="Y147" s="6">
        <f>K147*V147</f>
        <v>1523.5553593938996</v>
      </c>
      <c r="Z147" s="6">
        <f>K147*W147</f>
        <v>2553.2686367773626</v>
      </c>
      <c r="AA147" s="6">
        <f>SUM(Y147:Z147)</f>
        <v>4076.8239961712625</v>
      </c>
      <c r="AB147" s="6">
        <f>Q147*V147</f>
        <v>1415.2103755661224</v>
      </c>
      <c r="AC147" s="6">
        <f>Q147*W147</f>
        <v>2371.6973880177084</v>
      </c>
      <c r="AD147" s="6">
        <f>SUM(AB147:AC147)</f>
        <v>3786.9077635838307</v>
      </c>
      <c r="AE147" s="10">
        <v>990130331011</v>
      </c>
      <c r="AF147" s="14">
        <v>44980</v>
      </c>
      <c r="AG147" s="6">
        <v>46.2</v>
      </c>
      <c r="AH147" s="11">
        <v>1.1359999999999999</v>
      </c>
      <c r="AI147" s="6">
        <v>80.8</v>
      </c>
      <c r="AJ147" s="6">
        <v>29.9</v>
      </c>
      <c r="AK147" s="6">
        <v>5.9</v>
      </c>
      <c r="AL147" s="6">
        <v>80.2</v>
      </c>
      <c r="AM147" s="6">
        <v>8.6</v>
      </c>
      <c r="AN147" s="16" t="s">
        <v>148</v>
      </c>
      <c r="AO147" s="12">
        <v>10</v>
      </c>
      <c r="AP147" s="7">
        <v>0.1</v>
      </c>
      <c r="AQ147" s="6">
        <v>9.3000000000000007</v>
      </c>
      <c r="AV147" s="3"/>
      <c r="AW147" s="3"/>
      <c r="AX147" s="3"/>
      <c r="AY147" s="3"/>
      <c r="AZ147" s="4"/>
      <c r="BA147" s="4"/>
      <c r="BB147" s="4"/>
      <c r="BC147" s="4"/>
      <c r="BD147" s="4"/>
      <c r="BE147" s="3"/>
      <c r="BF147" s="3"/>
      <c r="BG147" s="4"/>
      <c r="BH147" s="4"/>
      <c r="BI147" s="4"/>
      <c r="BJ147" s="9"/>
      <c r="BK147" s="9"/>
      <c r="BL147" s="9"/>
      <c r="BM147" s="3"/>
      <c r="BN147" s="3"/>
      <c r="BO147" s="3"/>
      <c r="BP147" s="3"/>
      <c r="BQ147" s="3"/>
      <c r="BR147" s="3"/>
      <c r="BT147" s="15"/>
      <c r="BU147" s="3"/>
      <c r="BV147" s="13"/>
      <c r="BW147" s="3"/>
      <c r="BX147" s="3"/>
      <c r="BY147" s="3"/>
      <c r="BZ147" s="3"/>
      <c r="CA147" s="3"/>
      <c r="CB147" s="10"/>
      <c r="CC147" s="10"/>
      <c r="CD147" s="4"/>
      <c r="CE147" s="3"/>
    </row>
    <row r="148" spans="1:83" x14ac:dyDescent="0.25">
      <c r="A148" s="2" t="s">
        <v>11</v>
      </c>
      <c r="B148" s="2">
        <v>3</v>
      </c>
      <c r="C148" t="s">
        <v>6</v>
      </c>
      <c r="D148" s="5" t="str">
        <f t="shared" si="0"/>
        <v>p03-3-SW</v>
      </c>
      <c r="E148" s="5" t="s">
        <v>468</v>
      </c>
      <c r="F148" s="17">
        <v>44881</v>
      </c>
      <c r="G148">
        <v>3</v>
      </c>
      <c r="H148" s="3">
        <v>15.6</v>
      </c>
      <c r="I148" s="3">
        <f t="shared" si="2"/>
        <v>15.139999999999999</v>
      </c>
      <c r="J148" s="3">
        <f>($A$53-$A$47)*$A$75</f>
        <v>0.82124999999999992</v>
      </c>
      <c r="K148" s="6">
        <f t="shared" si="3"/>
        <v>3562.9406053149596</v>
      </c>
      <c r="L148" s="4"/>
      <c r="M148" s="4"/>
      <c r="N148" s="4"/>
      <c r="O148" s="4"/>
      <c r="P148" s="7"/>
      <c r="Q148" s="6"/>
      <c r="R148" s="14"/>
      <c r="S148" s="4"/>
      <c r="T148" s="4"/>
      <c r="U148" s="4"/>
      <c r="V148" s="8"/>
      <c r="W148" s="8"/>
      <c r="X148" s="8"/>
      <c r="Y148" s="6"/>
      <c r="Z148" s="6"/>
      <c r="AA148" s="6"/>
      <c r="AB148" s="6"/>
      <c r="AC148" s="6"/>
      <c r="AD148" s="6"/>
      <c r="AE148" s="10"/>
      <c r="AF148" s="14"/>
      <c r="AG148" s="6"/>
      <c r="AH148" s="11"/>
      <c r="AI148" s="6"/>
      <c r="AJ148" s="6"/>
      <c r="AK148" s="6"/>
      <c r="AL148" s="6"/>
      <c r="AM148" s="6"/>
      <c r="AN148" s="16"/>
      <c r="AO148" s="12"/>
      <c r="AP148" s="7"/>
      <c r="AQ148" s="6"/>
      <c r="AV148" s="3"/>
      <c r="AW148" s="3"/>
      <c r="AX148" s="3"/>
      <c r="AY148" s="3"/>
      <c r="AZ148" s="4"/>
      <c r="BA148" s="4"/>
      <c r="BB148" s="4"/>
      <c r="BC148" s="4"/>
      <c r="BD148" s="4"/>
      <c r="BE148" s="3"/>
      <c r="BF148" s="3"/>
      <c r="BG148" s="4"/>
      <c r="BH148" s="4"/>
      <c r="BI148" s="4"/>
      <c r="BJ148" s="9"/>
      <c r="BK148" s="9"/>
      <c r="BL148" s="9"/>
      <c r="BM148" s="3"/>
      <c r="BN148" s="3"/>
      <c r="BO148" s="3"/>
      <c r="BP148" s="3"/>
      <c r="BQ148" s="3"/>
      <c r="BR148" s="3"/>
      <c r="BT148" s="15"/>
      <c r="BU148" s="3"/>
      <c r="BV148" s="13"/>
      <c r="BW148" s="3"/>
      <c r="BX148" s="3"/>
      <c r="BY148" s="3"/>
      <c r="BZ148" s="3"/>
      <c r="CA148" s="3"/>
      <c r="CB148" s="10"/>
      <c r="CC148" s="10"/>
      <c r="CD148" s="4"/>
      <c r="CE148" s="3"/>
    </row>
    <row r="149" spans="1:83" x14ac:dyDescent="0.25">
      <c r="A149" s="2" t="s">
        <v>11</v>
      </c>
      <c r="B149" s="2">
        <v>3</v>
      </c>
      <c r="C149" t="s">
        <v>7</v>
      </c>
      <c r="D149" s="5" t="str">
        <f t="shared" si="0"/>
        <v>p03-3-NE</v>
      </c>
      <c r="E149" s="5" t="s">
        <v>468</v>
      </c>
      <c r="F149" s="17">
        <v>44881</v>
      </c>
      <c r="G149">
        <v>15</v>
      </c>
      <c r="H149" s="3">
        <v>16.899999999999999</v>
      </c>
      <c r="I149" s="3">
        <f t="shared" si="2"/>
        <v>16.439999999999998</v>
      </c>
      <c r="J149" s="3">
        <f>($A$65-$A$47)*$A$75</f>
        <v>0.66499999999999992</v>
      </c>
      <c r="K149" s="6">
        <f t="shared" si="3"/>
        <v>3818.2535236220465</v>
      </c>
      <c r="L149" s="4"/>
      <c r="M149" s="4"/>
      <c r="N149" s="4"/>
      <c r="O149" s="4"/>
      <c r="P149" s="7"/>
      <c r="Q149" s="6"/>
      <c r="R149" s="14"/>
      <c r="S149" s="4"/>
      <c r="T149" s="4"/>
      <c r="U149" s="4"/>
      <c r="V149" s="8"/>
      <c r="W149" s="8"/>
      <c r="X149" s="8"/>
      <c r="Y149" s="6"/>
      <c r="Z149" s="6"/>
      <c r="AA149" s="6"/>
      <c r="AB149" s="6"/>
      <c r="AC149" s="6"/>
      <c r="AD149" s="6"/>
      <c r="AE149" s="10"/>
      <c r="AF149" s="14"/>
      <c r="AG149" s="6"/>
      <c r="AH149" s="11"/>
      <c r="AI149" s="6"/>
      <c r="AJ149" s="6"/>
      <c r="AK149" s="6"/>
      <c r="AL149" s="6"/>
      <c r="AM149" s="6"/>
      <c r="AN149" s="16"/>
      <c r="AO149" s="12"/>
      <c r="AP149" s="7"/>
      <c r="AQ149" s="6"/>
      <c r="AV149" s="3"/>
      <c r="AW149" s="3"/>
      <c r="AX149" s="3"/>
      <c r="AY149" s="3"/>
      <c r="AZ149" s="4"/>
      <c r="BA149" s="4"/>
      <c r="BB149" s="4"/>
      <c r="BC149" s="4"/>
      <c r="BD149" s="4"/>
      <c r="BE149" s="3"/>
      <c r="BF149" s="3"/>
      <c r="BG149" s="4"/>
      <c r="BH149" s="4"/>
      <c r="BI149" s="4"/>
      <c r="BJ149" s="9"/>
      <c r="BK149" s="9"/>
      <c r="BL149" s="9"/>
      <c r="BM149" s="3"/>
      <c r="BN149" s="3"/>
      <c r="BO149" s="3"/>
      <c r="BP149" s="3"/>
      <c r="BQ149" s="3"/>
      <c r="BR149" s="3"/>
      <c r="BT149" s="15"/>
      <c r="BU149" s="3"/>
      <c r="BV149" s="13"/>
      <c r="BW149" s="3"/>
      <c r="BX149" s="3"/>
      <c r="BY149" s="3"/>
      <c r="BZ149" s="3"/>
      <c r="CA149" s="3"/>
      <c r="CB149" s="10"/>
      <c r="CC149" s="10"/>
      <c r="CD149" s="4"/>
      <c r="CE149" s="3"/>
    </row>
    <row r="150" spans="1:83" x14ac:dyDescent="0.25">
      <c r="A150" s="2" t="s">
        <v>11</v>
      </c>
      <c r="B150" s="2">
        <v>3</v>
      </c>
      <c r="C150" t="s">
        <v>18</v>
      </c>
      <c r="D150" s="5" t="str">
        <f t="shared" ref="D150:D213" si="14">CONCATENATE("p",A150,"-",B150,"-",C150)</f>
        <v>p03-3-ME</v>
      </c>
      <c r="E150" s="5" t="s">
        <v>468</v>
      </c>
      <c r="F150" s="17">
        <v>44881</v>
      </c>
      <c r="G150">
        <v>15</v>
      </c>
      <c r="H150" s="3">
        <v>19.8</v>
      </c>
      <c r="I150" s="3">
        <f t="shared" si="2"/>
        <v>19.34</v>
      </c>
      <c r="J150" s="3">
        <f>($A$65-$A$47)*$A$75</f>
        <v>0.66499999999999992</v>
      </c>
      <c r="K150" s="6">
        <f t="shared" si="3"/>
        <v>4465.6043110236214</v>
      </c>
      <c r="L150" s="4">
        <v>8.92</v>
      </c>
      <c r="M150" s="4">
        <v>171.1</v>
      </c>
      <c r="N150" s="4">
        <f>M150-L150</f>
        <v>162.18</v>
      </c>
      <c r="O150" s="4">
        <v>154.85</v>
      </c>
      <c r="P150" s="7">
        <f>(N150-O150)/N150*100</f>
        <v>4.5196695030213414</v>
      </c>
      <c r="Q150" s="6">
        <f>K150*(1-P150/100)</f>
        <v>4263.7737548526802</v>
      </c>
      <c r="R150" s="14">
        <v>44882</v>
      </c>
      <c r="S150" s="4"/>
      <c r="T150" s="4"/>
      <c r="U150" s="4"/>
      <c r="V150" s="8"/>
      <c r="W150" s="8"/>
      <c r="X150" s="8"/>
      <c r="Y150" s="6"/>
      <c r="Z150" s="6"/>
      <c r="AA150" s="6"/>
      <c r="AB150" s="6"/>
      <c r="AC150" s="6"/>
      <c r="AD150" s="6"/>
      <c r="AE150" s="10">
        <v>990130332059</v>
      </c>
      <c r="AF150" s="14">
        <v>44980</v>
      </c>
      <c r="AG150" s="6">
        <v>46.7</v>
      </c>
      <c r="AH150" s="11">
        <v>1.1200000000000001</v>
      </c>
      <c r="AI150" s="6">
        <v>79.599999999999994</v>
      </c>
      <c r="AJ150" s="6">
        <v>28.6</v>
      </c>
      <c r="AK150" s="6">
        <v>6</v>
      </c>
      <c r="AL150" s="6">
        <v>80.400000000000006</v>
      </c>
      <c r="AM150" s="6">
        <v>8.3000000000000007</v>
      </c>
      <c r="AN150" s="16" t="s">
        <v>150</v>
      </c>
      <c r="AO150" s="12">
        <v>15</v>
      </c>
      <c r="AP150" s="7">
        <v>0.14000000000000001</v>
      </c>
      <c r="AQ150" s="6">
        <v>10.6</v>
      </c>
      <c r="AV150" s="3"/>
      <c r="AW150" s="3"/>
      <c r="AX150" s="3"/>
      <c r="AY150" s="3"/>
      <c r="AZ150" s="4"/>
      <c r="BA150" s="4"/>
      <c r="BB150" s="4"/>
      <c r="BC150" s="4"/>
      <c r="BD150" s="4"/>
      <c r="BE150" s="3"/>
      <c r="BF150" s="3"/>
      <c r="BG150" s="4"/>
      <c r="BH150" s="4"/>
      <c r="BI150" s="4"/>
      <c r="BJ150" s="9"/>
      <c r="BK150" s="9"/>
      <c r="BL150" s="9"/>
      <c r="BM150" s="3"/>
      <c r="BN150" s="3"/>
      <c r="BO150" s="3"/>
      <c r="BP150" s="3"/>
      <c r="BQ150" s="3"/>
      <c r="BR150" s="3"/>
      <c r="BT150" s="15"/>
      <c r="BU150" s="3"/>
      <c r="BV150" s="13"/>
      <c r="BW150" s="3"/>
      <c r="BX150" s="3"/>
      <c r="BY150" s="3"/>
      <c r="BZ150" s="3"/>
      <c r="CA150" s="3"/>
      <c r="CB150" s="10"/>
      <c r="CC150" s="10"/>
      <c r="CD150" s="4"/>
      <c r="CE150" s="3"/>
    </row>
    <row r="151" spans="1:83" x14ac:dyDescent="0.25">
      <c r="A151" s="2" t="s">
        <v>11</v>
      </c>
      <c r="B151" s="2">
        <v>3</v>
      </c>
      <c r="C151" t="s">
        <v>8</v>
      </c>
      <c r="D151" s="5" t="str">
        <f t="shared" si="14"/>
        <v>p03-3-SE</v>
      </c>
      <c r="E151" s="5" t="s">
        <v>468</v>
      </c>
      <c r="F151" s="17">
        <v>44881</v>
      </c>
      <c r="G151">
        <v>15</v>
      </c>
      <c r="H151" s="3">
        <v>20.399999999999999</v>
      </c>
      <c r="I151" s="3">
        <f t="shared" ref="I151:I214" si="15">H151-$A$47</f>
        <v>19.939999999999998</v>
      </c>
      <c r="J151" s="3">
        <f>($A$65-$A$47)*$A$75</f>
        <v>0.66499999999999992</v>
      </c>
      <c r="K151" s="6">
        <f t="shared" ref="K151:K214" si="16">(I151+J151)*$A$48/$A$49*$A$50</f>
        <v>4599.5389566929125</v>
      </c>
      <c r="L151" s="4"/>
      <c r="M151" s="4"/>
      <c r="N151" s="4"/>
      <c r="O151" s="4"/>
      <c r="P151" s="7"/>
      <c r="Q151" s="6"/>
      <c r="R151" s="14"/>
      <c r="S151" s="4"/>
      <c r="T151" s="4"/>
      <c r="U151" s="4"/>
      <c r="V151" s="8"/>
      <c r="W151" s="8"/>
      <c r="X151" s="8"/>
      <c r="Y151" s="6"/>
      <c r="Z151" s="6"/>
      <c r="AA151" s="6"/>
      <c r="AB151" s="6"/>
      <c r="AC151" s="6"/>
      <c r="AD151" s="6"/>
      <c r="AE151" s="10"/>
      <c r="AF151" s="14"/>
      <c r="AG151" s="6"/>
      <c r="AH151" s="11"/>
      <c r="AI151" s="6"/>
      <c r="AJ151" s="6"/>
      <c r="AK151" s="6"/>
      <c r="AL151" s="6"/>
      <c r="AM151" s="6"/>
      <c r="AN151" s="16"/>
      <c r="AO151" s="12"/>
      <c r="AP151" s="7"/>
      <c r="AQ151" s="6"/>
      <c r="AV151" s="3"/>
      <c r="AW151" s="3"/>
      <c r="AX151" s="3"/>
      <c r="AY151" s="3"/>
      <c r="AZ151" s="4"/>
      <c r="BA151" s="4"/>
      <c r="BB151" s="4"/>
      <c r="BC151" s="4"/>
      <c r="BD151" s="4"/>
      <c r="BE151" s="3"/>
      <c r="BF151" s="3"/>
      <c r="BG151" s="4"/>
      <c r="BH151" s="4"/>
      <c r="BI151" s="4"/>
      <c r="BJ151" s="9"/>
      <c r="BK151" s="9"/>
      <c r="BL151" s="9"/>
      <c r="BM151" s="3"/>
      <c r="BN151" s="3"/>
      <c r="BO151" s="3"/>
      <c r="BP151" s="3"/>
      <c r="BQ151" s="3"/>
      <c r="BR151" s="3"/>
      <c r="BT151" s="15"/>
      <c r="BU151" s="3"/>
      <c r="BV151" s="13"/>
      <c r="BW151" s="3"/>
      <c r="BX151" s="3"/>
      <c r="BY151" s="3"/>
      <c r="BZ151" s="3"/>
      <c r="CA151" s="3"/>
      <c r="CB151" s="10"/>
      <c r="CC151" s="10"/>
      <c r="CD151" s="4"/>
      <c r="CE151" s="3"/>
    </row>
    <row r="152" spans="1:83" x14ac:dyDescent="0.25">
      <c r="A152" s="2" t="s">
        <v>11</v>
      </c>
      <c r="B152" s="2">
        <v>4</v>
      </c>
      <c r="C152" t="s">
        <v>4</v>
      </c>
      <c r="D152" s="5" t="str">
        <f t="shared" si="14"/>
        <v>p03-4-NW</v>
      </c>
      <c r="E152" s="5" t="s">
        <v>468</v>
      </c>
      <c r="F152" s="17">
        <v>44881</v>
      </c>
      <c r="G152">
        <v>3</v>
      </c>
      <c r="H152" s="3">
        <v>23.4</v>
      </c>
      <c r="I152" s="3">
        <f t="shared" si="15"/>
        <v>22.939999999999998</v>
      </c>
      <c r="J152" s="3">
        <f>($A$53-$A$47)*$A$75</f>
        <v>0.82124999999999992</v>
      </c>
      <c r="K152" s="6">
        <f t="shared" si="16"/>
        <v>5304.090999015747</v>
      </c>
      <c r="L152" s="4"/>
      <c r="M152" s="4"/>
      <c r="N152" s="4"/>
      <c r="O152" s="4"/>
      <c r="P152" s="7"/>
      <c r="Q152" s="6"/>
      <c r="R152" s="14"/>
      <c r="S152" s="4"/>
      <c r="T152" s="4"/>
      <c r="U152" s="4"/>
      <c r="V152" s="8"/>
      <c r="W152" s="8"/>
      <c r="X152" s="8"/>
      <c r="Y152" s="6"/>
      <c r="Z152" s="6"/>
      <c r="AA152" s="6"/>
      <c r="AB152" s="6"/>
      <c r="AC152" s="6"/>
      <c r="AD152" s="6"/>
      <c r="AE152" s="10"/>
      <c r="AF152" s="14"/>
      <c r="AG152" s="6"/>
      <c r="AH152" s="11"/>
      <c r="AI152" s="6"/>
      <c r="AJ152" s="6"/>
      <c r="AK152" s="6"/>
      <c r="AL152" s="6"/>
      <c r="AM152" s="6"/>
      <c r="AN152" s="16"/>
      <c r="AO152" s="12"/>
      <c r="AP152" s="7"/>
      <c r="AQ152" s="6"/>
      <c r="AS152" t="s">
        <v>97</v>
      </c>
      <c r="AT152" s="4" t="str">
        <f>E152</f>
        <v>Machine</v>
      </c>
      <c r="AU152" s="15">
        <f>F152</f>
        <v>44881</v>
      </c>
      <c r="AV152" s="3">
        <f>SUM(H152:H157)</f>
        <v>148.10000000000002</v>
      </c>
      <c r="AW152" s="3">
        <f>AV152-6*$A$47</f>
        <v>145.34000000000003</v>
      </c>
      <c r="AX152" s="3">
        <f>SUM(J152:J157)</f>
        <v>4.4587499999999993</v>
      </c>
      <c r="AY152" s="3">
        <f>(AW152+AX152)*$A$48/(6*$A$49)*$A$50</f>
        <v>5573.1229174868777</v>
      </c>
      <c r="AZ152" s="4">
        <f>SUM(L152:L157)</f>
        <v>17.520000000000003</v>
      </c>
      <c r="BA152" s="4">
        <f>SUM(M152:M157)</f>
        <v>337.55999999999995</v>
      </c>
      <c r="BB152" s="4">
        <f>BA152-AZ152</f>
        <v>320.03999999999996</v>
      </c>
      <c r="BC152" s="4">
        <f>SUM(O152:O157)</f>
        <v>301.02999999999997</v>
      </c>
      <c r="BD152" s="4">
        <f>(BB152-BC152)/BB152*100</f>
        <v>5.939882514685662</v>
      </c>
      <c r="BE152" s="3">
        <f>AY152*(1-BD152/100)</f>
        <v>5242.0859637891353</v>
      </c>
      <c r="BF152" s="15">
        <f>R153</f>
        <v>44882</v>
      </c>
      <c r="BG152" s="4">
        <f>SUM(S152:S157)</f>
        <v>21.27</v>
      </c>
      <c r="BH152" s="4">
        <f>SUM(T152:T157)</f>
        <v>7.26</v>
      </c>
      <c r="BI152" s="4">
        <f>SUM(U152:U157)</f>
        <v>14.86</v>
      </c>
      <c r="BJ152" s="9">
        <f>(BH152-2*$A$76)/(BG152-2*$A$47*$A$48)</f>
        <v>0.3308924760506356</v>
      </c>
      <c r="BK152" s="9">
        <f>(BI152-2*$A$77)/(BG152-2*$A$47*$A$48)</f>
        <v>0.54956924283192521</v>
      </c>
      <c r="BL152" s="9">
        <f>1-BJ152-BK152</f>
        <v>0.11953828111743925</v>
      </c>
      <c r="BM152" s="3">
        <f>AY152*BJ152</f>
        <v>1844.104441501775</v>
      </c>
      <c r="BN152" s="3">
        <f>AY152*BK152</f>
        <v>3062.8169419725132</v>
      </c>
      <c r="BO152" s="3">
        <f>SUM(BM152:BN152)</f>
        <v>4906.9213834742877</v>
      </c>
      <c r="BP152" s="3">
        <f>BE152*BJ152</f>
        <v>1734.5668042284694</v>
      </c>
      <c r="BQ152" s="3">
        <f>BE152*BK152</f>
        <v>2880.889213979458</v>
      </c>
      <c r="BR152" s="3">
        <f>SUM(BP152:BQ152)</f>
        <v>4615.4560182079276</v>
      </c>
      <c r="BS152" s="3"/>
      <c r="BT152" s="15">
        <f>AF153</f>
        <v>44980</v>
      </c>
      <c r="BU152" s="3">
        <f t="shared" ref="BU152:CA152" si="17">AVERAGE(AG152:AG157)</f>
        <v>43.6</v>
      </c>
      <c r="BV152" s="13">
        <f t="shared" si="17"/>
        <v>1.1825000000000001</v>
      </c>
      <c r="BW152" s="3">
        <f t="shared" si="17"/>
        <v>80.599999999999994</v>
      </c>
      <c r="BX152" s="3">
        <f t="shared" si="17"/>
        <v>30.1</v>
      </c>
      <c r="BY152" s="3">
        <f t="shared" si="17"/>
        <v>6.25</v>
      </c>
      <c r="BZ152" s="3">
        <f t="shared" si="17"/>
        <v>80.75</v>
      </c>
      <c r="CA152" s="3">
        <f t="shared" si="17"/>
        <v>8.1999999999999993</v>
      </c>
      <c r="CB152" s="13"/>
      <c r="CC152" s="10">
        <f>AVERAGE(AO152:AO157)</f>
        <v>20</v>
      </c>
      <c r="CD152" s="4">
        <f>AVERAGE(AP152:AP157)</f>
        <v>0.24</v>
      </c>
      <c r="CE152" s="3">
        <f>AVERAGE(AQ152:AQ157)</f>
        <v>9.1499999999999986</v>
      </c>
    </row>
    <row r="153" spans="1:83" x14ac:dyDescent="0.25">
      <c r="A153" s="2" t="s">
        <v>11</v>
      </c>
      <c r="B153" s="2">
        <v>4</v>
      </c>
      <c r="C153" t="s">
        <v>5</v>
      </c>
      <c r="D153" s="5" t="str">
        <f t="shared" si="14"/>
        <v>p03-4-MW</v>
      </c>
      <c r="E153" s="5" t="s">
        <v>468</v>
      </c>
      <c r="F153" s="17">
        <v>44881</v>
      </c>
      <c r="G153">
        <v>3</v>
      </c>
      <c r="H153" s="3">
        <v>23.8</v>
      </c>
      <c r="I153" s="3">
        <f t="shared" si="15"/>
        <v>23.34</v>
      </c>
      <c r="J153" s="3">
        <f>($A$53-$A$47)*$A$75</f>
        <v>0.82124999999999992</v>
      </c>
      <c r="K153" s="6">
        <f t="shared" si="16"/>
        <v>5393.3807627952756</v>
      </c>
      <c r="L153" s="4">
        <v>8.6300000000000008</v>
      </c>
      <c r="M153" s="4">
        <v>160.38999999999999</v>
      </c>
      <c r="N153" s="4">
        <f>M153-L153</f>
        <v>151.76</v>
      </c>
      <c r="O153" s="4">
        <v>140.63999999999999</v>
      </c>
      <c r="P153" s="7">
        <f>(N153-O153)/N153*100</f>
        <v>7.3273589878755967</v>
      </c>
      <c r="Q153" s="6">
        <f>K153*(1-P153/100)</f>
        <v>4998.1883927222425</v>
      </c>
      <c r="R153" s="14">
        <v>44882</v>
      </c>
      <c r="S153" s="4">
        <v>10.48</v>
      </c>
      <c r="T153" s="4">
        <v>3.56</v>
      </c>
      <c r="U153" s="4">
        <v>7.38</v>
      </c>
      <c r="V153" s="8">
        <f>(T153-$A$76)/(S153-$A$47*$A$48)</f>
        <v>0.32907074176657602</v>
      </c>
      <c r="W153" s="8">
        <f>(U153-$A$77)/(S153-$A$47*$A$48)</f>
        <v>0.5529946193000449</v>
      </c>
      <c r="X153" s="8">
        <f>1-V153-W153</f>
        <v>0.11793463893337908</v>
      </c>
      <c r="Y153" s="6">
        <f>K153*V153</f>
        <v>1774.8038082426231</v>
      </c>
      <c r="Z153" s="6">
        <f>K153*W153</f>
        <v>2982.5105416621591</v>
      </c>
      <c r="AA153" s="6">
        <f>SUM(Y153:Z153)</f>
        <v>4757.3143499047819</v>
      </c>
      <c r="AB153" s="6">
        <f>Q153*V153</f>
        <v>1644.7575618821988</v>
      </c>
      <c r="AC153" s="6">
        <f>Q153*W153</f>
        <v>2763.9712874233396</v>
      </c>
      <c r="AD153" s="6">
        <f>SUM(AB153:AC153)</f>
        <v>4408.7288493055385</v>
      </c>
      <c r="AE153" s="10">
        <v>990130341012</v>
      </c>
      <c r="AF153" s="14">
        <v>44980</v>
      </c>
      <c r="AG153" s="6">
        <v>44</v>
      </c>
      <c r="AH153" s="11">
        <v>1.198</v>
      </c>
      <c r="AI153" s="6">
        <v>81.900000000000006</v>
      </c>
      <c r="AJ153" s="6">
        <v>31</v>
      </c>
      <c r="AK153" s="6">
        <v>6.2</v>
      </c>
      <c r="AL153" s="6">
        <v>80.7</v>
      </c>
      <c r="AM153" s="6">
        <v>8.4</v>
      </c>
      <c r="AN153" s="16" t="s">
        <v>148</v>
      </c>
      <c r="AO153" s="12">
        <v>25</v>
      </c>
      <c r="AP153" s="7">
        <v>0.36</v>
      </c>
      <c r="AQ153" s="6">
        <v>8.6</v>
      </c>
      <c r="AV153" s="3"/>
      <c r="AW153" s="3"/>
      <c r="AX153" s="3"/>
      <c r="AY153" s="3"/>
      <c r="AZ153" s="4"/>
      <c r="BA153" s="4"/>
      <c r="BB153" s="4"/>
      <c r="BC153" s="4"/>
      <c r="BD153" s="4"/>
      <c r="BE153" s="3"/>
      <c r="BF153" s="3"/>
      <c r="BG153" s="4"/>
      <c r="BH153" s="4"/>
      <c r="BI153" s="4"/>
      <c r="BJ153" s="9"/>
      <c r="BK153" s="9"/>
      <c r="BL153" s="9"/>
      <c r="BM153" s="3"/>
      <c r="BN153" s="3"/>
      <c r="BO153" s="3"/>
      <c r="BP153" s="3"/>
      <c r="BQ153" s="3"/>
      <c r="BR153" s="3"/>
      <c r="BT153" s="15"/>
      <c r="BU153" s="3"/>
      <c r="BV153" s="13"/>
      <c r="BW153" s="3"/>
      <c r="BX153" s="3"/>
      <c r="BY153" s="3"/>
      <c r="BZ153" s="3"/>
      <c r="CA153" s="3"/>
      <c r="CB153" s="10"/>
      <c r="CC153" s="10"/>
      <c r="CD153" s="4"/>
      <c r="CE153" s="3"/>
    </row>
    <row r="154" spans="1:83" x14ac:dyDescent="0.25">
      <c r="A154" s="2" t="s">
        <v>11</v>
      </c>
      <c r="B154" s="2">
        <v>4</v>
      </c>
      <c r="C154" t="s">
        <v>6</v>
      </c>
      <c r="D154" s="5" t="str">
        <f t="shared" si="14"/>
        <v>p03-4-SW</v>
      </c>
      <c r="E154" s="5" t="s">
        <v>468</v>
      </c>
      <c r="F154" s="17">
        <v>44881</v>
      </c>
      <c r="G154">
        <v>3</v>
      </c>
      <c r="H154" s="3">
        <v>28.1</v>
      </c>
      <c r="I154" s="3">
        <f t="shared" si="15"/>
        <v>27.64</v>
      </c>
      <c r="J154" s="3">
        <f>($A$53-$A$47)*$A$75</f>
        <v>0.82124999999999992</v>
      </c>
      <c r="K154" s="6">
        <f t="shared" si="16"/>
        <v>6353.245723425197</v>
      </c>
      <c r="L154" s="4"/>
      <c r="M154" s="4"/>
      <c r="N154" s="4"/>
      <c r="O154" s="4"/>
      <c r="P154" s="7"/>
      <c r="Q154" s="6"/>
      <c r="R154" s="14"/>
      <c r="S154" s="4"/>
      <c r="T154" s="4"/>
      <c r="U154" s="4"/>
      <c r="V154" s="8"/>
      <c r="W154" s="8"/>
      <c r="X154" s="8"/>
      <c r="Y154" s="6"/>
      <c r="Z154" s="6"/>
      <c r="AA154" s="6"/>
      <c r="AB154" s="6"/>
      <c r="AC154" s="6"/>
      <c r="AD154" s="6"/>
      <c r="AE154" s="10"/>
      <c r="AF154" s="14"/>
      <c r="AG154" s="6"/>
      <c r="AH154" s="11"/>
      <c r="AI154" s="6"/>
      <c r="AJ154" s="6"/>
      <c r="AK154" s="6"/>
      <c r="AL154" s="6"/>
      <c r="AM154" s="6"/>
      <c r="AN154" s="16"/>
      <c r="AO154" s="12"/>
      <c r="AP154" s="7"/>
      <c r="AQ154" s="6"/>
      <c r="AV154" s="3"/>
      <c r="AW154" s="3"/>
      <c r="AX154" s="3"/>
      <c r="AY154" s="3"/>
      <c r="AZ154" s="4"/>
      <c r="BA154" s="4"/>
      <c r="BB154" s="4"/>
      <c r="BC154" s="4"/>
      <c r="BD154" s="4"/>
      <c r="BE154" s="3"/>
      <c r="BF154" s="3"/>
      <c r="BG154" s="4"/>
      <c r="BH154" s="4"/>
      <c r="BI154" s="4"/>
      <c r="BJ154" s="9"/>
      <c r="BK154" s="9"/>
      <c r="BL154" s="9"/>
      <c r="BM154" s="3"/>
      <c r="BN154" s="3"/>
      <c r="BO154" s="3"/>
      <c r="BP154" s="3"/>
      <c r="BQ154" s="3"/>
      <c r="BR154" s="3"/>
      <c r="BT154" s="15"/>
      <c r="BU154" s="3"/>
      <c r="BV154" s="13"/>
      <c r="BW154" s="3"/>
      <c r="BX154" s="3"/>
      <c r="BY154" s="3"/>
      <c r="BZ154" s="3"/>
      <c r="CA154" s="3"/>
      <c r="CB154" s="10"/>
      <c r="CC154" s="10"/>
      <c r="CD154" s="4"/>
      <c r="CE154" s="3"/>
    </row>
    <row r="155" spans="1:83" x14ac:dyDescent="0.25">
      <c r="A155" s="2" t="s">
        <v>11</v>
      </c>
      <c r="B155" s="2">
        <v>4</v>
      </c>
      <c r="C155" t="s">
        <v>7</v>
      </c>
      <c r="D155" s="5" t="str">
        <f t="shared" si="14"/>
        <v>p03-4-NE</v>
      </c>
      <c r="E155" s="5" t="s">
        <v>468</v>
      </c>
      <c r="F155" s="17">
        <v>44881</v>
      </c>
      <c r="G155">
        <v>15</v>
      </c>
      <c r="H155" s="3">
        <v>24.3</v>
      </c>
      <c r="I155" s="3">
        <f t="shared" si="15"/>
        <v>23.84</v>
      </c>
      <c r="J155" s="3">
        <f>($A$65-$A$47)*$A$75</f>
        <v>0.66499999999999992</v>
      </c>
      <c r="K155" s="6">
        <f t="shared" si="16"/>
        <v>5470.1141535433062</v>
      </c>
      <c r="L155" s="4"/>
      <c r="M155" s="4"/>
      <c r="N155" s="4"/>
      <c r="O155" s="4"/>
      <c r="P155" s="7"/>
      <c r="Q155" s="6"/>
      <c r="R155" s="14"/>
      <c r="S155" s="4"/>
      <c r="T155" s="4"/>
      <c r="U155" s="4"/>
      <c r="V155" s="8"/>
      <c r="W155" s="8"/>
      <c r="X155" s="8"/>
      <c r="Y155" s="6"/>
      <c r="Z155" s="6"/>
      <c r="AA155" s="6"/>
      <c r="AB155" s="6"/>
      <c r="AC155" s="6"/>
      <c r="AD155" s="6"/>
      <c r="AE155" s="10"/>
      <c r="AF155" s="14"/>
      <c r="AG155" s="6"/>
      <c r="AH155" s="11"/>
      <c r="AI155" s="6"/>
      <c r="AJ155" s="6"/>
      <c r="AK155" s="6"/>
      <c r="AL155" s="6"/>
      <c r="AM155" s="6"/>
      <c r="AN155" s="16"/>
      <c r="AO155" s="12"/>
      <c r="AP155" s="7"/>
      <c r="AQ155" s="6"/>
      <c r="AV155" s="3"/>
      <c r="AW155" s="3"/>
      <c r="AX155" s="3"/>
      <c r="AY155" s="3"/>
      <c r="AZ155" s="4"/>
      <c r="BA155" s="4"/>
      <c r="BB155" s="4"/>
      <c r="BC155" s="4"/>
      <c r="BD155" s="4"/>
      <c r="BE155" s="3"/>
      <c r="BF155" s="3"/>
      <c r="BG155" s="4"/>
      <c r="BH155" s="4"/>
      <c r="BI155" s="4"/>
      <c r="BJ155" s="9"/>
      <c r="BK155" s="9"/>
      <c r="BL155" s="9"/>
      <c r="BM155" s="3"/>
      <c r="BN155" s="3"/>
      <c r="BO155" s="3"/>
      <c r="BP155" s="3"/>
      <c r="BQ155" s="3"/>
      <c r="BR155" s="3"/>
      <c r="BT155" s="15"/>
      <c r="BU155" s="3"/>
      <c r="BV155" s="13"/>
      <c r="BW155" s="3"/>
      <c r="BX155" s="3"/>
      <c r="BY155" s="3"/>
      <c r="BZ155" s="3"/>
      <c r="CA155" s="3"/>
      <c r="CB155" s="10"/>
      <c r="CC155" s="10"/>
      <c r="CD155" s="4"/>
      <c r="CE155" s="3"/>
    </row>
    <row r="156" spans="1:83" x14ac:dyDescent="0.25">
      <c r="A156" s="2" t="s">
        <v>11</v>
      </c>
      <c r="B156" s="2">
        <v>4</v>
      </c>
      <c r="C156" t="s">
        <v>18</v>
      </c>
      <c r="D156" s="5" t="str">
        <f t="shared" si="14"/>
        <v>p03-4-ME</v>
      </c>
      <c r="E156" s="5" t="s">
        <v>468</v>
      </c>
      <c r="F156" s="17">
        <v>44881</v>
      </c>
      <c r="G156">
        <v>15</v>
      </c>
      <c r="H156" s="3">
        <v>24.2</v>
      </c>
      <c r="I156" s="3">
        <f t="shared" si="15"/>
        <v>23.74</v>
      </c>
      <c r="J156" s="3">
        <f>($A$65-$A$47)*$A$75</f>
        <v>0.66499999999999992</v>
      </c>
      <c r="K156" s="6">
        <f t="shared" si="16"/>
        <v>5447.7917125984241</v>
      </c>
      <c r="L156" s="4">
        <v>8.89</v>
      </c>
      <c r="M156" s="4">
        <v>177.17</v>
      </c>
      <c r="N156" s="4">
        <f>M156-L156</f>
        <v>168.27999999999997</v>
      </c>
      <c r="O156" s="4">
        <v>160.38999999999999</v>
      </c>
      <c r="P156" s="7">
        <f>(N156-O156)/N156*100</f>
        <v>4.6886142144045566</v>
      </c>
      <c r="Q156" s="6">
        <f>K156*(1-P156/100)</f>
        <v>5192.3657759903808</v>
      </c>
      <c r="R156" s="14">
        <v>44882</v>
      </c>
      <c r="S156" s="4">
        <v>10.79</v>
      </c>
      <c r="T156" s="4">
        <v>3.7</v>
      </c>
      <c r="U156" s="4">
        <v>7.48</v>
      </c>
      <c r="V156" s="8">
        <f>(T156-$A$76)/(S156-$A$47*$A$48)</f>
        <v>0.33266083928545487</v>
      </c>
      <c r="W156" s="8">
        <f>(U156-$A$77)/(S156-$A$47*$A$48)</f>
        <v>0.54624421905395715</v>
      </c>
      <c r="X156" s="8">
        <f>1-V156-W156</f>
        <v>0.12109494166058798</v>
      </c>
      <c r="Y156" s="6">
        <f>K156*V156</f>
        <v>1812.2669633653372</v>
      </c>
      <c r="Z156" s="6">
        <f>K156*W156</f>
        <v>2975.8247296169461</v>
      </c>
      <c r="AA156" s="6">
        <f>SUM(Y156:Z156)</f>
        <v>4788.0916929822833</v>
      </c>
      <c r="AB156" s="6">
        <f>Q156*V156</f>
        <v>1727.2967569180323</v>
      </c>
      <c r="AC156" s="6">
        <f>Q156*W156</f>
        <v>2836.2997883483599</v>
      </c>
      <c r="AD156" s="6">
        <f>SUM(AB156:AC156)</f>
        <v>4563.5965452663922</v>
      </c>
      <c r="AE156" s="10">
        <v>990130342060</v>
      </c>
      <c r="AF156" s="14">
        <v>44980</v>
      </c>
      <c r="AG156" s="6">
        <v>43.2</v>
      </c>
      <c r="AH156" s="11">
        <v>1.167</v>
      </c>
      <c r="AI156" s="6">
        <v>79.3</v>
      </c>
      <c r="AJ156" s="6">
        <v>29.2</v>
      </c>
      <c r="AK156" s="6">
        <v>6.3</v>
      </c>
      <c r="AL156" s="6">
        <v>80.8</v>
      </c>
      <c r="AM156" s="6">
        <v>8</v>
      </c>
      <c r="AN156" s="16" t="s">
        <v>148</v>
      </c>
      <c r="AO156" s="12">
        <v>15</v>
      </c>
      <c r="AP156" s="7">
        <v>0.12</v>
      </c>
      <c r="AQ156" s="6">
        <v>9.6999999999999993</v>
      </c>
      <c r="AV156" s="3"/>
      <c r="AW156" s="3"/>
      <c r="AX156" s="3"/>
      <c r="AY156" s="3"/>
      <c r="AZ156" s="4"/>
      <c r="BA156" s="4"/>
      <c r="BB156" s="4"/>
      <c r="BC156" s="4"/>
      <c r="BD156" s="4"/>
      <c r="BE156" s="3"/>
      <c r="BF156" s="3"/>
      <c r="BG156" s="4"/>
      <c r="BH156" s="4"/>
      <c r="BI156" s="4"/>
      <c r="BJ156" s="9"/>
      <c r="BK156" s="9"/>
      <c r="BL156" s="9"/>
      <c r="BM156" s="3"/>
      <c r="BN156" s="3"/>
      <c r="BO156" s="3"/>
      <c r="BP156" s="3"/>
      <c r="BQ156" s="3"/>
      <c r="BR156" s="3"/>
      <c r="BT156" s="15"/>
      <c r="BU156" s="3"/>
      <c r="BV156" s="13"/>
      <c r="BW156" s="3"/>
      <c r="BX156" s="3"/>
      <c r="BY156" s="3"/>
      <c r="BZ156" s="3"/>
      <c r="CA156" s="3"/>
      <c r="CB156" s="10"/>
      <c r="CC156" s="10"/>
      <c r="CD156" s="4"/>
      <c r="CE156" s="3"/>
    </row>
    <row r="157" spans="1:83" x14ac:dyDescent="0.25">
      <c r="A157" s="2" t="s">
        <v>11</v>
      </c>
      <c r="B157" s="2">
        <v>4</v>
      </c>
      <c r="C157" t="s">
        <v>8</v>
      </c>
      <c r="D157" s="5" t="str">
        <f t="shared" si="14"/>
        <v>p03-4-SE</v>
      </c>
      <c r="E157" s="5" t="s">
        <v>468</v>
      </c>
      <c r="F157" s="17">
        <v>44881</v>
      </c>
      <c r="G157">
        <v>15</v>
      </c>
      <c r="H157" s="3">
        <v>24.3</v>
      </c>
      <c r="I157" s="3">
        <f t="shared" si="15"/>
        <v>23.84</v>
      </c>
      <c r="J157" s="3">
        <f>($A$65-$A$47)*$A$75</f>
        <v>0.66499999999999992</v>
      </c>
      <c r="K157" s="6">
        <f t="shared" si="16"/>
        <v>5470.1141535433062</v>
      </c>
      <c r="L157" s="4"/>
      <c r="M157" s="4"/>
      <c r="N157" s="4"/>
      <c r="O157" s="4"/>
      <c r="P157" s="7"/>
      <c r="Q157" s="6"/>
      <c r="R157" s="14"/>
      <c r="S157" s="4"/>
      <c r="T157" s="4"/>
      <c r="U157" s="4"/>
      <c r="V157" s="8"/>
      <c r="W157" s="8"/>
      <c r="X157" s="8"/>
      <c r="Y157" s="6"/>
      <c r="Z157" s="6"/>
      <c r="AA157" s="6"/>
      <c r="AB157" s="6"/>
      <c r="AC157" s="6"/>
      <c r="AD157" s="6"/>
      <c r="AE157" s="10"/>
      <c r="AF157" s="14"/>
      <c r="AG157" s="6"/>
      <c r="AH157" s="11"/>
      <c r="AI157" s="6"/>
      <c r="AJ157" s="6"/>
      <c r="AK157" s="6"/>
      <c r="AL157" s="6"/>
      <c r="AM157" s="6"/>
      <c r="AN157" s="16"/>
      <c r="AO157" s="12"/>
      <c r="AP157" s="7"/>
      <c r="AQ157" s="6"/>
      <c r="AV157" s="3"/>
      <c r="AW157" s="3"/>
      <c r="AX157" s="3"/>
      <c r="AY157" s="3"/>
      <c r="AZ157" s="4"/>
      <c r="BA157" s="4"/>
      <c r="BB157" s="4"/>
      <c r="BC157" s="4"/>
      <c r="BD157" s="4"/>
      <c r="BE157" s="3"/>
      <c r="BF157" s="3"/>
      <c r="BG157" s="4"/>
      <c r="BH157" s="4"/>
      <c r="BI157" s="4"/>
      <c r="BJ157" s="9"/>
      <c r="BK157" s="9"/>
      <c r="BL157" s="9"/>
      <c r="BM157" s="3"/>
      <c r="BN157" s="3"/>
      <c r="BO157" s="3"/>
      <c r="BP157" s="3"/>
      <c r="BQ157" s="3"/>
      <c r="BR157" s="3"/>
      <c r="BT157" s="15"/>
      <c r="BU157" s="3"/>
      <c r="BV157" s="13"/>
      <c r="BW157" s="3"/>
      <c r="BX157" s="3"/>
      <c r="BY157" s="3"/>
      <c r="BZ157" s="3"/>
      <c r="CA157" s="3"/>
      <c r="CB157" s="10"/>
      <c r="CC157" s="10"/>
      <c r="CD157" s="4"/>
      <c r="CE157" s="3"/>
    </row>
    <row r="158" spans="1:83" x14ac:dyDescent="0.25">
      <c r="A158" s="2" t="s">
        <v>12</v>
      </c>
      <c r="B158" s="2">
        <v>1</v>
      </c>
      <c r="C158" t="s">
        <v>4</v>
      </c>
      <c r="D158" s="5" t="str">
        <f t="shared" si="14"/>
        <v>p04-1-NW</v>
      </c>
      <c r="E158" s="5" t="s">
        <v>468</v>
      </c>
      <c r="F158" s="17">
        <v>44881</v>
      </c>
      <c r="G158">
        <v>4</v>
      </c>
      <c r="H158" s="3">
        <v>30.8</v>
      </c>
      <c r="I158" s="3">
        <f t="shared" si="15"/>
        <v>30.34</v>
      </c>
      <c r="J158" s="3">
        <f>($A$54-$A$47)*$A$75</f>
        <v>0.96499999999999997</v>
      </c>
      <c r="K158" s="6">
        <f t="shared" si="16"/>
        <v>6988.0401377952758</v>
      </c>
      <c r="L158" s="4"/>
      <c r="M158" s="4"/>
      <c r="N158" s="4"/>
      <c r="O158" s="4"/>
      <c r="P158" s="7"/>
      <c r="Q158" s="6"/>
      <c r="R158" s="14"/>
      <c r="S158" s="4"/>
      <c r="T158" s="4"/>
      <c r="U158" s="4"/>
      <c r="V158" s="8"/>
      <c r="W158" s="8"/>
      <c r="X158" s="8"/>
      <c r="Y158" s="6"/>
      <c r="Z158" s="6"/>
      <c r="AA158" s="6"/>
      <c r="AB158" s="6"/>
      <c r="AC158" s="6"/>
      <c r="AD158" s="6"/>
      <c r="AE158" s="10"/>
      <c r="AF158" s="14"/>
      <c r="AG158" s="6"/>
      <c r="AH158" s="11"/>
      <c r="AI158" s="6"/>
      <c r="AJ158" s="6"/>
      <c r="AK158" s="6"/>
      <c r="AL158" s="6"/>
      <c r="AM158" s="6"/>
      <c r="AN158" s="16"/>
      <c r="AO158" s="12"/>
      <c r="AP158" s="7"/>
      <c r="AQ158" s="6"/>
      <c r="AS158" s="4" t="s">
        <v>98</v>
      </c>
      <c r="AT158" s="4" t="str">
        <f>E158</f>
        <v>Machine</v>
      </c>
      <c r="AU158" s="15">
        <f>F158</f>
        <v>44881</v>
      </c>
      <c r="AV158" s="3">
        <f>SUM(H158:H163)</f>
        <v>154</v>
      </c>
      <c r="AW158" s="3">
        <f>AV158-6*$A$47</f>
        <v>151.24</v>
      </c>
      <c r="AX158" s="3">
        <f>SUM(J158:J163)</f>
        <v>5.9587500000000002</v>
      </c>
      <c r="AY158" s="3">
        <f>(AW158+AX158)*$A$48/(6*$A$49)*$A$50</f>
        <v>5848.4330224737532</v>
      </c>
      <c r="AZ158" s="4">
        <f>SUM(L158:L163)</f>
        <v>17.53</v>
      </c>
      <c r="BA158" s="4">
        <f>SUM(M158:M163)</f>
        <v>317.37</v>
      </c>
      <c r="BB158" s="4">
        <f>BA158-AZ158</f>
        <v>299.84000000000003</v>
      </c>
      <c r="BC158" s="4">
        <f>SUM(O158:O163)</f>
        <v>284.49</v>
      </c>
      <c r="BD158" s="4">
        <f>(BB158-BC158)/BB158*100</f>
        <v>5.1193970117396015</v>
      </c>
      <c r="BE158" s="3">
        <f>AY158*(1-BD158/100)</f>
        <v>5549.0285170876396</v>
      </c>
      <c r="BF158" s="15">
        <f>R159</f>
        <v>44882</v>
      </c>
      <c r="BG158" s="4">
        <f>SUM(S158:S163)</f>
        <v>21.65</v>
      </c>
      <c r="BH158" s="4">
        <f>SUM(T158:T163)</f>
        <v>7.92</v>
      </c>
      <c r="BI158" s="4">
        <f>SUM(U158:U163)</f>
        <v>14.219999999999999</v>
      </c>
      <c r="BJ158" s="9">
        <f>(BH158-2*$A$76)/(BG158-2*$A$47*$A$48)</f>
        <v>0.35605465400507685</v>
      </c>
      <c r="BK158" s="9">
        <f>(BI158-2*$A$77)/(BG158-2*$A$47*$A$48)</f>
        <v>0.50959144925065225</v>
      </c>
      <c r="BL158" s="9">
        <f>1-BJ158-BK158</f>
        <v>0.1343538967442709</v>
      </c>
      <c r="BM158" s="3">
        <f>AY158*BJ158</f>
        <v>2082.3617962887579</v>
      </c>
      <c r="BN158" s="3">
        <f>AY158*BK158</f>
        <v>2980.3114597677722</v>
      </c>
      <c r="BO158" s="3">
        <f>SUM(BM158:BN158)</f>
        <v>5062.6732560565306</v>
      </c>
      <c r="BP158" s="3">
        <f>BE158*BJ158</f>
        <v>1975.7574287159441</v>
      </c>
      <c r="BQ158" s="3">
        <f>BE158*BK158</f>
        <v>2827.7374839558879</v>
      </c>
      <c r="BR158" s="3">
        <f>SUM(BP158:BQ158)</f>
        <v>4803.494912671832</v>
      </c>
      <c r="BS158" s="3"/>
      <c r="BT158" s="15">
        <f>AF159</f>
        <v>44980</v>
      </c>
      <c r="BU158" s="3">
        <f t="shared" ref="BU158:CA158" si="18">AVERAGE(AG158:AG163)</f>
        <v>47.9</v>
      </c>
      <c r="BV158" s="13">
        <f t="shared" si="18"/>
        <v>1.133</v>
      </c>
      <c r="BW158" s="3">
        <f t="shared" si="18"/>
        <v>81.25</v>
      </c>
      <c r="BX158" s="3">
        <f t="shared" si="18"/>
        <v>30.85</v>
      </c>
      <c r="BY158" s="3">
        <f t="shared" si="18"/>
        <v>5.45</v>
      </c>
      <c r="BZ158" s="3">
        <f t="shared" si="18"/>
        <v>79.650000000000006</v>
      </c>
      <c r="CA158" s="3">
        <f t="shared" si="18"/>
        <v>8.9499999999999993</v>
      </c>
      <c r="CB158" s="13"/>
      <c r="CC158" s="10">
        <f>AVERAGE(AO158:AO163)</f>
        <v>14</v>
      </c>
      <c r="CD158" s="4">
        <f>AVERAGE(AP158:AP163)</f>
        <v>0.15000000000000002</v>
      </c>
      <c r="CE158" s="3">
        <f>AVERAGE(AQ158:AQ163)</f>
        <v>8.5</v>
      </c>
    </row>
    <row r="159" spans="1:83" x14ac:dyDescent="0.25">
      <c r="A159" s="2" t="s">
        <v>12</v>
      </c>
      <c r="B159" s="2">
        <v>1</v>
      </c>
      <c r="C159" t="s">
        <v>5</v>
      </c>
      <c r="D159" s="5" t="str">
        <f t="shared" si="14"/>
        <v>p04-1-MW</v>
      </c>
      <c r="E159" s="5" t="s">
        <v>468</v>
      </c>
      <c r="F159" s="17">
        <v>44881</v>
      </c>
      <c r="G159">
        <v>4</v>
      </c>
      <c r="H159" s="3">
        <v>28.5</v>
      </c>
      <c r="I159" s="3">
        <f t="shared" si="15"/>
        <v>28.04</v>
      </c>
      <c r="J159" s="3">
        <f>($A$54-$A$47)*$A$75</f>
        <v>0.96499999999999997</v>
      </c>
      <c r="K159" s="6">
        <f t="shared" si="16"/>
        <v>6474.6239960629919</v>
      </c>
      <c r="L159" s="4">
        <v>8.59</v>
      </c>
      <c r="M159" s="4">
        <v>171.06</v>
      </c>
      <c r="N159" s="4">
        <f>M159-L159</f>
        <v>162.47</v>
      </c>
      <c r="O159" s="4">
        <v>151.5</v>
      </c>
      <c r="P159" s="7">
        <f>(N159-O159)/N159*100</f>
        <v>6.7520157567550925</v>
      </c>
      <c r="Q159" s="6">
        <f>K159*(1-P159/100)</f>
        <v>6037.4563636581724</v>
      </c>
      <c r="R159" s="14">
        <v>44882</v>
      </c>
      <c r="S159" s="4">
        <v>12.64</v>
      </c>
      <c r="T159" s="4">
        <v>4.58</v>
      </c>
      <c r="U159" s="4">
        <v>8</v>
      </c>
      <c r="V159" s="8">
        <f>(T159-$A$76)/(S159-$A$47*$A$48)</f>
        <v>0.35394392573211342</v>
      </c>
      <c r="W159" s="8">
        <f>(U159-$A$77)/(S159-$A$47*$A$48)</f>
        <v>0.50678334820734416</v>
      </c>
      <c r="X159" s="8">
        <f>1-V159-W159</f>
        <v>0.13927272606054242</v>
      </c>
      <c r="Y159" s="6">
        <f>K159*V159</f>
        <v>2291.6538348058789</v>
      </c>
      <c r="Z159" s="6">
        <f>K159*W159</f>
        <v>3281.2316271084173</v>
      </c>
      <c r="AA159" s="6">
        <f>SUM(Y159:Z159)</f>
        <v>5572.8854619142967</v>
      </c>
      <c r="AB159" s="6">
        <f>Q159*V159</f>
        <v>2136.9210067895037</v>
      </c>
      <c r="AC159" s="6">
        <f>Q159*W159</f>
        <v>3059.6823506304254</v>
      </c>
      <c r="AD159" s="6">
        <f>SUM(AB159:AC159)</f>
        <v>5196.6033574199291</v>
      </c>
      <c r="AE159" s="10">
        <v>990130411013</v>
      </c>
      <c r="AF159" s="14">
        <v>44980</v>
      </c>
      <c r="AG159" s="6">
        <v>47.199999999999996</v>
      </c>
      <c r="AH159" s="11">
        <v>1.141</v>
      </c>
      <c r="AI159" s="6">
        <v>82</v>
      </c>
      <c r="AJ159" s="6">
        <v>31.3</v>
      </c>
      <c r="AK159" s="6">
        <v>5.4</v>
      </c>
      <c r="AL159" s="6">
        <v>79.2</v>
      </c>
      <c r="AM159" s="6">
        <v>9.1999999999999993</v>
      </c>
      <c r="AN159" s="16" t="s">
        <v>148</v>
      </c>
      <c r="AO159" s="12">
        <v>20</v>
      </c>
      <c r="AP159" s="7">
        <v>0.23</v>
      </c>
      <c r="AQ159" s="6">
        <v>8.1</v>
      </c>
      <c r="AV159" s="3"/>
      <c r="AW159" s="3"/>
      <c r="AX159" s="3"/>
      <c r="AY159" s="3"/>
      <c r="AZ159" s="4"/>
      <c r="BA159" s="4"/>
      <c r="BB159" s="4"/>
      <c r="BC159" s="4"/>
      <c r="BD159" s="4"/>
      <c r="BE159" s="3"/>
      <c r="BF159" s="3"/>
      <c r="BG159" s="4"/>
      <c r="BH159" s="4"/>
      <c r="BI159" s="4"/>
      <c r="BJ159" s="9"/>
      <c r="BK159" s="9"/>
      <c r="BL159" s="9"/>
      <c r="BM159" s="3"/>
      <c r="BN159" s="3"/>
      <c r="BO159" s="3"/>
      <c r="BP159" s="3"/>
      <c r="BQ159" s="3"/>
      <c r="BR159" s="3"/>
      <c r="BT159" s="15"/>
      <c r="BU159" s="3"/>
      <c r="BV159" s="13"/>
      <c r="BW159" s="3"/>
      <c r="BX159" s="3"/>
      <c r="BY159" s="3"/>
      <c r="BZ159" s="3"/>
      <c r="CA159" s="3"/>
      <c r="CB159" s="10"/>
      <c r="CC159" s="10"/>
      <c r="CD159" s="4"/>
      <c r="CE159" s="3"/>
    </row>
    <row r="160" spans="1:83" x14ac:dyDescent="0.25">
      <c r="A160" s="2" t="s">
        <v>12</v>
      </c>
      <c r="B160" s="2">
        <v>1</v>
      </c>
      <c r="C160" t="s">
        <v>6</v>
      </c>
      <c r="D160" s="5" t="str">
        <f t="shared" si="14"/>
        <v>p04-1-SW</v>
      </c>
      <c r="E160" s="5" t="s">
        <v>468</v>
      </c>
      <c r="F160" s="17">
        <v>44881</v>
      </c>
      <c r="G160">
        <v>4</v>
      </c>
      <c r="H160" s="3">
        <v>25.5</v>
      </c>
      <c r="I160" s="3">
        <f t="shared" si="15"/>
        <v>25.04</v>
      </c>
      <c r="J160" s="3">
        <f>($A$54-$A$47)*$A$75</f>
        <v>0.96499999999999997</v>
      </c>
      <c r="K160" s="6">
        <f t="shared" si="16"/>
        <v>5804.9507677165357</v>
      </c>
      <c r="L160" s="4"/>
      <c r="M160" s="4"/>
      <c r="N160" s="4"/>
      <c r="O160" s="4"/>
      <c r="P160" s="7"/>
      <c r="Q160" s="6"/>
      <c r="R160" s="14"/>
      <c r="S160" s="4"/>
      <c r="T160" s="4"/>
      <c r="U160" s="4"/>
      <c r="V160" s="8"/>
      <c r="W160" s="8"/>
      <c r="X160" s="8"/>
      <c r="Y160" s="6"/>
      <c r="Z160" s="6"/>
      <c r="AA160" s="6"/>
      <c r="AB160" s="6"/>
      <c r="AC160" s="6"/>
      <c r="AD160" s="6"/>
      <c r="AE160" s="10"/>
      <c r="AF160" s="14"/>
      <c r="AG160" s="6"/>
      <c r="AH160" s="11"/>
      <c r="AI160" s="6"/>
      <c r="AJ160" s="6"/>
      <c r="AK160" s="6"/>
      <c r="AL160" s="6"/>
      <c r="AM160" s="6"/>
      <c r="AN160" s="16"/>
      <c r="AO160" s="12"/>
      <c r="AP160" s="7"/>
      <c r="AQ160" s="6"/>
      <c r="AV160" s="3"/>
      <c r="AW160" s="3"/>
      <c r="AX160" s="3"/>
      <c r="AY160" s="3"/>
      <c r="AZ160" s="4"/>
      <c r="BA160" s="4"/>
      <c r="BB160" s="4"/>
      <c r="BC160" s="4"/>
      <c r="BD160" s="4"/>
      <c r="BE160" s="3"/>
      <c r="BF160" s="3"/>
      <c r="BG160" s="4"/>
      <c r="BH160" s="4"/>
      <c r="BI160" s="4"/>
      <c r="BJ160" s="9"/>
      <c r="BK160" s="9"/>
      <c r="BL160" s="9"/>
      <c r="BM160" s="3"/>
      <c r="BN160" s="3"/>
      <c r="BO160" s="3"/>
      <c r="BP160" s="3"/>
      <c r="BQ160" s="3"/>
      <c r="BR160" s="3"/>
      <c r="BS160" s="4"/>
      <c r="BT160" s="15"/>
      <c r="BU160" s="3"/>
      <c r="BV160" s="13"/>
      <c r="BW160" s="3"/>
      <c r="BX160" s="3"/>
      <c r="BY160" s="3"/>
      <c r="BZ160" s="3"/>
      <c r="CA160" s="3"/>
      <c r="CB160" s="10"/>
      <c r="CC160" s="10"/>
      <c r="CD160" s="4"/>
      <c r="CE160" s="3"/>
    </row>
    <row r="161" spans="1:83" x14ac:dyDescent="0.25">
      <c r="A161" s="2" t="s">
        <v>12</v>
      </c>
      <c r="B161" s="2">
        <v>1</v>
      </c>
      <c r="C161" t="s">
        <v>7</v>
      </c>
      <c r="D161" s="5" t="str">
        <f t="shared" si="14"/>
        <v>p04-1-NE</v>
      </c>
      <c r="E161" s="5" t="s">
        <v>468</v>
      </c>
      <c r="F161" s="17">
        <v>44881</v>
      </c>
      <c r="G161">
        <v>16</v>
      </c>
      <c r="H161" s="3">
        <v>28.5</v>
      </c>
      <c r="I161" s="3">
        <f t="shared" si="15"/>
        <v>28.04</v>
      </c>
      <c r="J161" s="3">
        <f>($A$66-$A$47)*$A$75</f>
        <v>1.02125</v>
      </c>
      <c r="K161" s="6">
        <f t="shared" si="16"/>
        <v>6487.1803690944871</v>
      </c>
      <c r="L161" s="4"/>
      <c r="M161" s="4"/>
      <c r="N161" s="4"/>
      <c r="O161" s="4"/>
      <c r="P161" s="7"/>
      <c r="Q161" s="6"/>
      <c r="R161" s="14"/>
      <c r="S161" s="4"/>
      <c r="T161" s="4"/>
      <c r="U161" s="4"/>
      <c r="V161" s="8"/>
      <c r="W161" s="8"/>
      <c r="X161" s="8"/>
      <c r="Y161" s="6"/>
      <c r="Z161" s="6"/>
      <c r="AA161" s="6"/>
      <c r="AB161" s="6"/>
      <c r="AC161" s="6"/>
      <c r="AD161" s="6"/>
      <c r="AE161" s="10"/>
      <c r="AF161" s="14"/>
      <c r="AG161" s="6"/>
      <c r="AH161" s="11"/>
      <c r="AI161" s="6"/>
      <c r="AJ161" s="6"/>
      <c r="AK161" s="6"/>
      <c r="AL161" s="6"/>
      <c r="AM161" s="6"/>
      <c r="AN161" s="16"/>
      <c r="AO161" s="12"/>
      <c r="AP161" s="7"/>
      <c r="AQ161" s="6"/>
      <c r="AV161" s="3"/>
      <c r="AW161" s="3"/>
      <c r="AX161" s="3"/>
      <c r="AY161" s="3"/>
      <c r="AZ161" s="4"/>
      <c r="BA161" s="4"/>
      <c r="BB161" s="4"/>
      <c r="BC161" s="4"/>
      <c r="BD161" s="4"/>
      <c r="BE161" s="3"/>
      <c r="BF161" s="3"/>
      <c r="BG161" s="4"/>
      <c r="BH161" s="4"/>
      <c r="BI161" s="4"/>
      <c r="BJ161" s="9"/>
      <c r="BK161" s="9"/>
      <c r="BL161" s="9"/>
      <c r="BM161" s="3"/>
      <c r="BN161" s="3"/>
      <c r="BO161" s="3"/>
      <c r="BP161" s="3"/>
      <c r="BQ161" s="3"/>
      <c r="BR161" s="3"/>
      <c r="BT161" s="15"/>
      <c r="BU161" s="3"/>
      <c r="BV161" s="13"/>
      <c r="BW161" s="3"/>
      <c r="BX161" s="3"/>
      <c r="BY161" s="3"/>
      <c r="BZ161" s="3"/>
      <c r="CA161" s="3"/>
      <c r="CB161" s="10"/>
      <c r="CC161" s="10"/>
      <c r="CD161" s="4"/>
      <c r="CE161" s="3"/>
    </row>
    <row r="162" spans="1:83" x14ac:dyDescent="0.25">
      <c r="A162" s="2" t="s">
        <v>12</v>
      </c>
      <c r="B162" s="2">
        <v>1</v>
      </c>
      <c r="C162" t="s">
        <v>18</v>
      </c>
      <c r="D162" s="5" t="str">
        <f t="shared" si="14"/>
        <v>p04-1-ME</v>
      </c>
      <c r="E162" s="5" t="s">
        <v>468</v>
      </c>
      <c r="F162" s="17">
        <v>44881</v>
      </c>
      <c r="G162">
        <v>16</v>
      </c>
      <c r="H162" s="3">
        <v>20.3</v>
      </c>
      <c r="I162" s="3">
        <f t="shared" si="15"/>
        <v>19.84</v>
      </c>
      <c r="J162" s="3">
        <f>($A$66-$A$47)*$A$75</f>
        <v>1.02125</v>
      </c>
      <c r="K162" s="6">
        <f t="shared" si="16"/>
        <v>4656.740211614172</v>
      </c>
      <c r="L162" s="4">
        <v>8.94</v>
      </c>
      <c r="M162" s="4">
        <v>146.31</v>
      </c>
      <c r="N162" s="4">
        <f>M162-L162</f>
        <v>137.37</v>
      </c>
      <c r="O162" s="4">
        <v>132.99</v>
      </c>
      <c r="P162" s="7">
        <f>(N162-O162)/N162*100</f>
        <v>3.1884690980563408</v>
      </c>
      <c r="Q162" s="6">
        <f>K162*(1-P162/100)</f>
        <v>4508.2614889900906</v>
      </c>
      <c r="R162" s="14">
        <v>44882</v>
      </c>
      <c r="S162" s="4">
        <v>9.01</v>
      </c>
      <c r="T162" s="4">
        <v>3.34</v>
      </c>
      <c r="U162" s="4">
        <v>6.22</v>
      </c>
      <c r="V162" s="8">
        <f>(T162-$A$76)/(S162-$A$47*$A$48)</f>
        <v>0.35903592437107312</v>
      </c>
      <c r="W162" s="8">
        <f>(U162-$A$77)/(S162-$A$47*$A$48)</f>
        <v>0.51355771460672484</v>
      </c>
      <c r="X162" s="8">
        <f>1-V162-W162</f>
        <v>0.12740636102220204</v>
      </c>
      <c r="Y162" s="6">
        <f>K162*V162</f>
        <v>1671.9370264328409</v>
      </c>
      <c r="Z162" s="6">
        <f>K162*W162</f>
        <v>2391.5048605938105</v>
      </c>
      <c r="AA162" s="6">
        <f>SUM(Y162:Z162)</f>
        <v>4063.4418870266513</v>
      </c>
      <c r="AB162" s="6">
        <f>Q162*V162</f>
        <v>1618.6278310060677</v>
      </c>
      <c r="AC162" s="6">
        <f>Q162*W162</f>
        <v>2315.2524671352612</v>
      </c>
      <c r="AD162" s="6">
        <f>SUM(AB162:AC162)</f>
        <v>3933.8802981413291</v>
      </c>
      <c r="AE162" s="10">
        <v>990130412061</v>
      </c>
      <c r="AF162" s="14">
        <v>44980</v>
      </c>
      <c r="AG162" s="6">
        <v>48.6</v>
      </c>
      <c r="AH162" s="11">
        <v>1.125</v>
      </c>
      <c r="AI162" s="6">
        <v>80.5</v>
      </c>
      <c r="AJ162" s="6">
        <v>30.4</v>
      </c>
      <c r="AK162" s="6">
        <v>5.5</v>
      </c>
      <c r="AL162" s="6">
        <v>80.099999999999994</v>
      </c>
      <c r="AM162" s="6">
        <v>8.6999999999999993</v>
      </c>
      <c r="AN162" s="16" t="s">
        <v>148</v>
      </c>
      <c r="AO162" s="12">
        <v>8</v>
      </c>
      <c r="AP162" s="7">
        <v>7.0000000000000007E-2</v>
      </c>
      <c r="AQ162" s="6">
        <v>8.9</v>
      </c>
      <c r="AV162" s="3"/>
      <c r="AW162" s="3"/>
      <c r="AX162" s="3"/>
      <c r="AY162" s="3"/>
      <c r="AZ162" s="4"/>
      <c r="BA162" s="4"/>
      <c r="BB162" s="4"/>
      <c r="BC162" s="4"/>
      <c r="BD162" s="4"/>
      <c r="BE162" s="3"/>
      <c r="BF162" s="3"/>
      <c r="BG162" s="4"/>
      <c r="BH162" s="4"/>
      <c r="BI162" s="4"/>
      <c r="BJ162" s="9"/>
      <c r="BK162" s="9"/>
      <c r="BL162" s="9"/>
      <c r="BM162" s="3"/>
      <c r="BN162" s="3"/>
      <c r="BO162" s="3"/>
      <c r="BP162" s="3"/>
      <c r="BQ162" s="3"/>
      <c r="BR162" s="3"/>
      <c r="BT162" s="15"/>
      <c r="BU162" s="3"/>
      <c r="BV162" s="13"/>
      <c r="BW162" s="3"/>
      <c r="BX162" s="3"/>
      <c r="BY162" s="3"/>
      <c r="BZ162" s="3"/>
      <c r="CA162" s="3"/>
      <c r="CB162" s="10"/>
      <c r="CC162" s="10"/>
      <c r="CD162" s="4"/>
      <c r="CE162" s="3"/>
    </row>
    <row r="163" spans="1:83" x14ac:dyDescent="0.25">
      <c r="A163" s="2" t="s">
        <v>12</v>
      </c>
      <c r="B163" s="2">
        <v>1</v>
      </c>
      <c r="C163" t="s">
        <v>8</v>
      </c>
      <c r="D163" s="5" t="str">
        <f t="shared" si="14"/>
        <v>p04-1-SE</v>
      </c>
      <c r="E163" s="5" t="s">
        <v>468</v>
      </c>
      <c r="F163" s="17">
        <v>44881</v>
      </c>
      <c r="G163">
        <v>16</v>
      </c>
      <c r="H163" s="3">
        <v>20.399999999999999</v>
      </c>
      <c r="I163" s="3">
        <f t="shared" si="15"/>
        <v>19.939999999999998</v>
      </c>
      <c r="J163" s="3">
        <f>($A$66-$A$47)*$A$75</f>
        <v>1.02125</v>
      </c>
      <c r="K163" s="6">
        <f t="shared" si="16"/>
        <v>4679.0626525590542</v>
      </c>
      <c r="L163" s="4"/>
      <c r="M163" s="4"/>
      <c r="N163" s="4"/>
      <c r="O163" s="4"/>
      <c r="P163" s="7"/>
      <c r="Q163" s="6"/>
      <c r="R163" s="14"/>
      <c r="S163" s="4"/>
      <c r="T163" s="4"/>
      <c r="U163" s="4"/>
      <c r="V163" s="8"/>
      <c r="W163" s="8"/>
      <c r="X163" s="8"/>
      <c r="Y163" s="6"/>
      <c r="Z163" s="6"/>
      <c r="AA163" s="6"/>
      <c r="AB163" s="6"/>
      <c r="AC163" s="6"/>
      <c r="AD163" s="6"/>
      <c r="AE163" s="10"/>
      <c r="AF163" s="14"/>
      <c r="AG163" s="6"/>
      <c r="AH163" s="11"/>
      <c r="AI163" s="6"/>
      <c r="AJ163" s="6"/>
      <c r="AK163" s="6"/>
      <c r="AL163" s="6"/>
      <c r="AM163" s="6"/>
      <c r="AN163" s="16"/>
      <c r="AO163" s="12"/>
      <c r="AP163" s="7"/>
      <c r="AQ163" s="6"/>
      <c r="AV163" s="3"/>
      <c r="AW163" s="3"/>
      <c r="AX163" s="3"/>
      <c r="AY163" s="3"/>
      <c r="AZ163" s="4"/>
      <c r="BA163" s="4"/>
      <c r="BB163" s="4"/>
      <c r="BC163" s="4"/>
      <c r="BD163" s="4"/>
      <c r="BE163" s="3"/>
      <c r="BF163" s="3"/>
      <c r="BG163" s="4"/>
      <c r="BH163" s="4"/>
      <c r="BI163" s="4"/>
      <c r="BJ163" s="9"/>
      <c r="BK163" s="9"/>
      <c r="BL163" s="9"/>
      <c r="BM163" s="3"/>
      <c r="BN163" s="3"/>
      <c r="BO163" s="3"/>
      <c r="BP163" s="3"/>
      <c r="BQ163" s="3"/>
      <c r="BR163" s="3"/>
      <c r="BT163" s="15"/>
      <c r="BU163" s="3"/>
      <c r="BV163" s="13"/>
      <c r="BW163" s="3"/>
      <c r="BX163" s="3"/>
      <c r="BY163" s="3"/>
      <c r="BZ163" s="3"/>
      <c r="CA163" s="3"/>
      <c r="CB163" s="10"/>
      <c r="CC163" s="10"/>
      <c r="CD163" s="4"/>
      <c r="CE163" s="3"/>
    </row>
    <row r="164" spans="1:83" x14ac:dyDescent="0.25">
      <c r="A164" s="2" t="s">
        <v>12</v>
      </c>
      <c r="B164" s="2">
        <v>2</v>
      </c>
      <c r="C164" t="s">
        <v>4</v>
      </c>
      <c r="D164" s="5" t="str">
        <f t="shared" si="14"/>
        <v>p04-2-NW</v>
      </c>
      <c r="E164" s="5" t="s">
        <v>468</v>
      </c>
      <c r="F164" s="17">
        <v>44881</v>
      </c>
      <c r="G164">
        <v>4</v>
      </c>
      <c r="H164" s="3">
        <v>24.9</v>
      </c>
      <c r="I164" s="3">
        <f t="shared" si="15"/>
        <v>24.439999999999998</v>
      </c>
      <c r="J164" s="3">
        <f>($A$54-$A$47)*$A$75</f>
        <v>0.96499999999999997</v>
      </c>
      <c r="K164" s="6">
        <f t="shared" si="16"/>
        <v>5671.0161220472437</v>
      </c>
      <c r="L164" s="4"/>
      <c r="M164" s="4"/>
      <c r="N164" s="4"/>
      <c r="O164" s="4"/>
      <c r="P164" s="7"/>
      <c r="Q164" s="6"/>
      <c r="R164" s="14"/>
      <c r="S164" s="4"/>
      <c r="T164" s="4"/>
      <c r="U164" s="4"/>
      <c r="V164" s="8"/>
      <c r="W164" s="8"/>
      <c r="X164" s="8"/>
      <c r="Y164" s="6"/>
      <c r="Z164" s="6"/>
      <c r="AA164" s="6"/>
      <c r="AB164" s="6"/>
      <c r="AC164" s="6"/>
      <c r="AD164" s="6"/>
      <c r="AE164" s="10"/>
      <c r="AF164" s="14"/>
      <c r="AG164" s="6"/>
      <c r="AH164" s="11"/>
      <c r="AI164" s="6"/>
      <c r="AJ164" s="6"/>
      <c r="AK164" s="6"/>
      <c r="AL164" s="6"/>
      <c r="AM164" s="6"/>
      <c r="AN164" s="16"/>
      <c r="AO164" s="12"/>
      <c r="AP164" s="7"/>
      <c r="AQ164" s="6"/>
      <c r="AS164" t="s">
        <v>99</v>
      </c>
      <c r="AT164" s="4" t="str">
        <f>E164</f>
        <v>Machine</v>
      </c>
      <c r="AU164" s="15">
        <f>F164</f>
        <v>44881</v>
      </c>
      <c r="AV164" s="3">
        <f>SUM(H164:H169)</f>
        <v>116.50000000000001</v>
      </c>
      <c r="AW164" s="3">
        <f>AV164-6*$A$47</f>
        <v>113.74000000000001</v>
      </c>
      <c r="AX164" s="3">
        <f>SUM(J164:J169)</f>
        <v>5.9587500000000002</v>
      </c>
      <c r="AY164" s="3">
        <f>(AW164+AX164)*$A$48/(6*$A$49)*$A$50</f>
        <v>4453.280463418635</v>
      </c>
      <c r="AZ164" s="4">
        <f>SUM(L164:L169)</f>
        <v>17.489999999999998</v>
      </c>
      <c r="BA164" s="4">
        <f>SUM(M164:M169)</f>
        <v>321.87</v>
      </c>
      <c r="BB164" s="4">
        <f>BA164-AZ164</f>
        <v>304.38</v>
      </c>
      <c r="BC164" s="4">
        <f>SUM(O164:O169)</f>
        <v>288.10000000000002</v>
      </c>
      <c r="BD164" s="4">
        <f>(BB164-BC164)/BB164*100</f>
        <v>5.3485774360996032</v>
      </c>
      <c r="BE164" s="3">
        <f>AY164*(1-BD164/100)</f>
        <v>4215.093309385994</v>
      </c>
      <c r="BF164" s="15">
        <f>R165</f>
        <v>44882</v>
      </c>
      <c r="BG164" s="4">
        <f>SUM(S164:S169)</f>
        <v>16.73</v>
      </c>
      <c r="BH164" s="4">
        <f>SUM(T164:T169)</f>
        <v>6.26</v>
      </c>
      <c r="BI164" s="4">
        <f>SUM(U164:U169)</f>
        <v>11.84</v>
      </c>
      <c r="BJ164" s="9">
        <f>(BH164-2*$A$76)/(BG164-2*$A$47*$A$48)</f>
        <v>0.36168149222398033</v>
      </c>
      <c r="BK164" s="9">
        <f>(BI164-2*$A$77)/(BG164-2*$A$47*$A$48)</f>
        <v>0.51738843972379556</v>
      </c>
      <c r="BL164" s="9">
        <f>1-BJ164-BK164</f>
        <v>0.12093006805222406</v>
      </c>
      <c r="BM164" s="3">
        <f>AY164*BJ164</f>
        <v>1610.6691233011506</v>
      </c>
      <c r="BN164" s="3">
        <f>AY164*BK164</f>
        <v>2304.0758306206289</v>
      </c>
      <c r="BO164" s="3">
        <f>SUM(BM164:BN164)</f>
        <v>3914.7449539217796</v>
      </c>
      <c r="BP164" s="3">
        <f>BE164*BJ164</f>
        <v>1524.5212380020419</v>
      </c>
      <c r="BQ164" s="3">
        <f>BE164*BK164</f>
        <v>2180.8405506334293</v>
      </c>
      <c r="BR164" s="3">
        <f>SUM(BP164:BQ164)</f>
        <v>3705.3617886354714</v>
      </c>
      <c r="BS164" s="3"/>
      <c r="BT164" s="15">
        <f>AF165</f>
        <v>44980</v>
      </c>
      <c r="BU164" s="3">
        <f t="shared" ref="BU164:CA164" si="19">AVERAGE(AG164:AG169)</f>
        <v>48.75</v>
      </c>
      <c r="BV164" s="13">
        <f t="shared" si="19"/>
        <v>1.099</v>
      </c>
      <c r="BW164" s="3">
        <f t="shared" si="19"/>
        <v>81.099999999999994</v>
      </c>
      <c r="BX164" s="3">
        <f t="shared" si="19"/>
        <v>30.2</v>
      </c>
      <c r="BY164" s="3">
        <f t="shared" si="19"/>
        <v>5.25</v>
      </c>
      <c r="BZ164" s="3">
        <f t="shared" si="19"/>
        <v>78.55</v>
      </c>
      <c r="CA164" s="3">
        <f t="shared" si="19"/>
        <v>9.1999999999999993</v>
      </c>
      <c r="CB164" s="13"/>
      <c r="CC164" s="10">
        <f>AVERAGE(AO164:AO169)</f>
        <v>10.5</v>
      </c>
      <c r="CD164" s="4">
        <f>AVERAGE(AP164:AP169)</f>
        <v>0.11</v>
      </c>
      <c r="CE164" s="3">
        <f>AVERAGE(AQ164:AQ169)</f>
        <v>8.75</v>
      </c>
    </row>
    <row r="165" spans="1:83" x14ac:dyDescent="0.25">
      <c r="A165" s="2" t="s">
        <v>12</v>
      </c>
      <c r="B165" s="2">
        <v>2</v>
      </c>
      <c r="C165" t="s">
        <v>5</v>
      </c>
      <c r="D165" s="5" t="str">
        <f t="shared" si="14"/>
        <v>p04-2-MW</v>
      </c>
      <c r="E165" s="5" t="s">
        <v>468</v>
      </c>
      <c r="F165" s="17">
        <v>44881</v>
      </c>
      <c r="G165">
        <v>4</v>
      </c>
      <c r="H165" s="3">
        <v>21.6</v>
      </c>
      <c r="I165" s="3">
        <f t="shared" si="15"/>
        <v>21.14</v>
      </c>
      <c r="J165" s="3">
        <f>($A$54-$A$47)*$A$75</f>
        <v>0.96499999999999997</v>
      </c>
      <c r="K165" s="6">
        <f t="shared" si="16"/>
        <v>4934.375570866142</v>
      </c>
      <c r="L165" s="4">
        <v>8.5399999999999991</v>
      </c>
      <c r="M165" s="4">
        <v>170.01</v>
      </c>
      <c r="N165" s="4">
        <f>M165-L165</f>
        <v>161.47</v>
      </c>
      <c r="O165" s="4">
        <v>151.65</v>
      </c>
      <c r="P165" s="7">
        <f>(N165-O165)/N165*100</f>
        <v>6.0816250696723806</v>
      </c>
      <c r="Q165" s="6">
        <f>K165*(1-P165/100)</f>
        <v>4634.285349116557</v>
      </c>
      <c r="R165" s="14">
        <v>44882</v>
      </c>
      <c r="S165" s="4">
        <v>9.57</v>
      </c>
      <c r="T165" s="4">
        <v>3.58</v>
      </c>
      <c r="U165" s="4">
        <v>6.42</v>
      </c>
      <c r="V165" s="8">
        <f>(T165-$A$76)/(S165-$A$47*$A$48)</f>
        <v>0.36319556929435615</v>
      </c>
      <c r="W165" s="8">
        <f>(U165-$A$77)/(S165-$A$47*$A$48)</f>
        <v>0.50420090796157668</v>
      </c>
      <c r="X165" s="8">
        <f>1-V165-W165</f>
        <v>0.13260352274406717</v>
      </c>
      <c r="Y165" s="6">
        <f>K165*V165</f>
        <v>1792.1433445728921</v>
      </c>
      <c r="Z165" s="6">
        <f>K165*W165</f>
        <v>2487.9166430541322</v>
      </c>
      <c r="AA165" s="6">
        <f>SUM(Y165:Z165)</f>
        <v>4280.0599876270244</v>
      </c>
      <c r="AB165" s="6">
        <f>Q165*V165</f>
        <v>1683.1519056448819</v>
      </c>
      <c r="AC165" s="6">
        <f>Q165*W165</f>
        <v>2336.6108807776004</v>
      </c>
      <c r="AD165" s="6">
        <f>SUM(AB165:AC165)</f>
        <v>4019.7627864224823</v>
      </c>
      <c r="AE165" s="10">
        <v>990130421014</v>
      </c>
      <c r="AF165" s="14">
        <v>44980</v>
      </c>
      <c r="AG165" s="6">
        <v>47.800000000000004</v>
      </c>
      <c r="AH165" s="11">
        <v>1.123</v>
      </c>
      <c r="AI165" s="6">
        <v>81.5</v>
      </c>
      <c r="AJ165" s="6">
        <v>31</v>
      </c>
      <c r="AK165" s="6">
        <v>5.3</v>
      </c>
      <c r="AL165" s="6">
        <v>79</v>
      </c>
      <c r="AM165" s="6">
        <v>9.3000000000000007</v>
      </c>
      <c r="AN165" s="16" t="s">
        <v>148</v>
      </c>
      <c r="AO165" s="12">
        <v>10</v>
      </c>
      <c r="AP165" s="7">
        <v>0.12</v>
      </c>
      <c r="AQ165" s="6">
        <v>8.3000000000000007</v>
      </c>
      <c r="AV165" s="3"/>
      <c r="AW165" s="3"/>
      <c r="AX165" s="3"/>
      <c r="AY165" s="3"/>
      <c r="AZ165" s="4"/>
      <c r="BA165" s="4"/>
      <c r="BB165" s="4"/>
      <c r="BC165" s="4"/>
      <c r="BD165" s="4"/>
      <c r="BE165" s="3"/>
      <c r="BF165" s="3"/>
      <c r="BG165" s="4"/>
      <c r="BH165" s="4"/>
      <c r="BI165" s="4"/>
      <c r="BJ165" s="9"/>
      <c r="BK165" s="9"/>
      <c r="BL165" s="9"/>
      <c r="BM165" s="3"/>
      <c r="BN165" s="3"/>
      <c r="BO165" s="3"/>
      <c r="BP165" s="3"/>
      <c r="BQ165" s="3"/>
      <c r="BR165" s="3"/>
      <c r="BT165" s="15"/>
      <c r="BU165" s="3"/>
      <c r="BV165" s="13"/>
      <c r="BW165" s="3"/>
      <c r="BX165" s="3"/>
      <c r="BY165" s="3"/>
      <c r="BZ165" s="3"/>
      <c r="CA165" s="3"/>
      <c r="CB165" s="10"/>
      <c r="CC165" s="10"/>
      <c r="CD165" s="4"/>
      <c r="CE165" s="3"/>
    </row>
    <row r="166" spans="1:83" x14ac:dyDescent="0.25">
      <c r="A166" s="2" t="s">
        <v>12</v>
      </c>
      <c r="B166" s="2">
        <v>2</v>
      </c>
      <c r="C166" t="s">
        <v>6</v>
      </c>
      <c r="D166" s="5" t="str">
        <f t="shared" si="14"/>
        <v>p04-2-SW</v>
      </c>
      <c r="E166" s="5" t="s">
        <v>468</v>
      </c>
      <c r="F166" s="17">
        <v>44881</v>
      </c>
      <c r="G166">
        <v>4</v>
      </c>
      <c r="H166" s="3">
        <v>22.8</v>
      </c>
      <c r="I166" s="3">
        <f t="shared" si="15"/>
        <v>22.34</v>
      </c>
      <c r="J166" s="3">
        <f>($A$54-$A$47)*$A$75</f>
        <v>0.96499999999999997</v>
      </c>
      <c r="K166" s="6">
        <f t="shared" si="16"/>
        <v>5202.244862204725</v>
      </c>
      <c r="L166" s="4"/>
      <c r="M166" s="4"/>
      <c r="N166" s="4"/>
      <c r="O166" s="4"/>
      <c r="P166" s="7"/>
      <c r="Q166" s="6"/>
      <c r="R166" s="14"/>
      <c r="S166" s="4"/>
      <c r="T166" s="4"/>
      <c r="U166" s="4"/>
      <c r="V166" s="8"/>
      <c r="W166" s="8"/>
      <c r="X166" s="8"/>
      <c r="Y166" s="6"/>
      <c r="Z166" s="6"/>
      <c r="AA166" s="6"/>
      <c r="AB166" s="6"/>
      <c r="AC166" s="6"/>
      <c r="AD166" s="6"/>
      <c r="AE166" s="10"/>
      <c r="AF166" s="14"/>
      <c r="AG166" s="6"/>
      <c r="AH166" s="11"/>
      <c r="AI166" s="6"/>
      <c r="AJ166" s="6"/>
      <c r="AK166" s="6"/>
      <c r="AL166" s="6"/>
      <c r="AM166" s="6"/>
      <c r="AN166" s="16"/>
      <c r="AO166" s="12"/>
      <c r="AP166" s="7"/>
      <c r="AQ166" s="6"/>
      <c r="AV166" s="3"/>
      <c r="AW166" s="3"/>
      <c r="AX166" s="3"/>
      <c r="AY166" s="3"/>
      <c r="AZ166" s="4"/>
      <c r="BA166" s="4"/>
      <c r="BB166" s="4"/>
      <c r="BC166" s="4"/>
      <c r="BD166" s="4"/>
      <c r="BE166" s="3"/>
      <c r="BF166" s="3"/>
      <c r="BG166" s="4"/>
      <c r="BH166" s="4"/>
      <c r="BI166" s="4"/>
      <c r="BJ166" s="9"/>
      <c r="BK166" s="9"/>
      <c r="BL166" s="9"/>
      <c r="BM166" s="3"/>
      <c r="BN166" s="3"/>
      <c r="BO166" s="3"/>
      <c r="BP166" s="3"/>
      <c r="BQ166" s="3"/>
      <c r="BR166" s="3"/>
      <c r="BT166" s="15"/>
      <c r="BU166" s="3"/>
      <c r="BV166" s="13"/>
      <c r="BW166" s="3"/>
      <c r="BX166" s="3"/>
      <c r="BY166" s="3"/>
      <c r="BZ166" s="3"/>
      <c r="CA166" s="3"/>
      <c r="CB166" s="10"/>
      <c r="CC166" s="10"/>
      <c r="CD166" s="4"/>
      <c r="CE166" s="3"/>
    </row>
    <row r="167" spans="1:83" x14ac:dyDescent="0.25">
      <c r="A167" s="2" t="s">
        <v>12</v>
      </c>
      <c r="B167" s="2">
        <v>2</v>
      </c>
      <c r="C167" t="s">
        <v>7</v>
      </c>
      <c r="D167" s="5" t="str">
        <f t="shared" si="14"/>
        <v>p04-2-NE</v>
      </c>
      <c r="E167" s="5" t="s">
        <v>468</v>
      </c>
      <c r="F167" s="17">
        <v>44881</v>
      </c>
      <c r="G167">
        <v>16</v>
      </c>
      <c r="H167" s="3">
        <v>16.100000000000001</v>
      </c>
      <c r="I167" s="3">
        <f t="shared" si="15"/>
        <v>15.64</v>
      </c>
      <c r="J167" s="3">
        <f>($A$66-$A$47)*$A$75</f>
        <v>1.02125</v>
      </c>
      <c r="K167" s="6">
        <f t="shared" si="16"/>
        <v>3719.1976919291333</v>
      </c>
      <c r="L167" s="4"/>
      <c r="M167" s="4"/>
      <c r="N167" s="4"/>
      <c r="O167" s="4"/>
      <c r="P167" s="7"/>
      <c r="Q167" s="6"/>
      <c r="R167" s="14"/>
      <c r="S167" s="4"/>
      <c r="T167" s="4"/>
      <c r="U167" s="4"/>
      <c r="V167" s="8"/>
      <c r="W167" s="8"/>
      <c r="X167" s="8"/>
      <c r="Y167" s="6"/>
      <c r="Z167" s="6"/>
      <c r="AA167" s="6"/>
      <c r="AB167" s="6"/>
      <c r="AC167" s="6"/>
      <c r="AD167" s="6"/>
      <c r="AE167" s="10"/>
      <c r="AF167" s="14"/>
      <c r="AG167" s="6"/>
      <c r="AH167" s="11"/>
      <c r="AI167" s="6"/>
      <c r="AJ167" s="6"/>
      <c r="AK167" s="6"/>
      <c r="AL167" s="6"/>
      <c r="AM167" s="6"/>
      <c r="AN167" s="16"/>
      <c r="AO167" s="12"/>
      <c r="AP167" s="7"/>
      <c r="AQ167" s="6"/>
      <c r="AV167" s="3"/>
      <c r="AW167" s="3"/>
      <c r="AX167" s="3"/>
      <c r="AY167" s="3"/>
      <c r="AZ167" s="4"/>
      <c r="BA167" s="4"/>
      <c r="BB167" s="4"/>
      <c r="BC167" s="4"/>
      <c r="BD167" s="4"/>
      <c r="BE167" s="3"/>
      <c r="BF167" s="3"/>
      <c r="BG167" s="4"/>
      <c r="BH167" s="4"/>
      <c r="BI167" s="4"/>
      <c r="BJ167" s="9"/>
      <c r="BK167" s="9"/>
      <c r="BL167" s="9"/>
      <c r="BM167" s="3"/>
      <c r="BN167" s="3"/>
      <c r="BO167" s="3"/>
      <c r="BP167" s="3"/>
      <c r="BQ167" s="3"/>
      <c r="BR167" s="3"/>
      <c r="BT167" s="15"/>
      <c r="BU167" s="3"/>
      <c r="BV167" s="13"/>
      <c r="BW167" s="3"/>
      <c r="BX167" s="3"/>
      <c r="BY167" s="3"/>
      <c r="BZ167" s="3"/>
      <c r="CA167" s="3"/>
      <c r="CB167" s="10"/>
      <c r="CC167" s="10"/>
      <c r="CD167" s="4"/>
      <c r="CE167" s="3"/>
    </row>
    <row r="168" spans="1:83" x14ac:dyDescent="0.25">
      <c r="A168" s="2" t="s">
        <v>12</v>
      </c>
      <c r="B168" s="2">
        <v>2</v>
      </c>
      <c r="C168" t="s">
        <v>18</v>
      </c>
      <c r="D168" s="5" t="str">
        <f t="shared" si="14"/>
        <v>p04-2-ME</v>
      </c>
      <c r="E168" s="5" t="s">
        <v>468</v>
      </c>
      <c r="F168" s="17">
        <v>44881</v>
      </c>
      <c r="G168">
        <v>16</v>
      </c>
      <c r="H168" s="3">
        <v>16.2</v>
      </c>
      <c r="I168" s="3">
        <f t="shared" si="15"/>
        <v>15.739999999999998</v>
      </c>
      <c r="J168" s="3">
        <f>($A$66-$A$47)*$A$75</f>
        <v>1.02125</v>
      </c>
      <c r="K168" s="6">
        <f t="shared" si="16"/>
        <v>3741.520132874015</v>
      </c>
      <c r="L168" s="4">
        <v>8.9499999999999993</v>
      </c>
      <c r="M168" s="4">
        <v>151.86000000000001</v>
      </c>
      <c r="N168" s="4">
        <f>M168-L168</f>
        <v>142.91000000000003</v>
      </c>
      <c r="O168" s="4">
        <v>136.44999999999999</v>
      </c>
      <c r="P168" s="7">
        <f>(N168-O168)/N168*100</f>
        <v>4.520327478832856</v>
      </c>
      <c r="Q168" s="6">
        <f>K168*(1-P168/100)</f>
        <v>3572.3911701816473</v>
      </c>
      <c r="R168" s="14">
        <v>44882</v>
      </c>
      <c r="S168" s="4">
        <v>7.16</v>
      </c>
      <c r="T168" s="4">
        <v>2.68</v>
      </c>
      <c r="U168" s="4">
        <v>5.42</v>
      </c>
      <c r="V168" s="8">
        <f>(T168-$A$76)/(S168-$A$47*$A$48)</f>
        <v>0.3596424916556612</v>
      </c>
      <c r="W168" s="8">
        <f>(U168-$A$77)/(S168-$A$47*$A$48)</f>
        <v>0.53514802758362379</v>
      </c>
      <c r="X168" s="8">
        <f>1-V168-W168</f>
        <v>0.10520948076071501</v>
      </c>
      <c r="Y168" s="6">
        <f>K168*V168</f>
        <v>1345.6096231666313</v>
      </c>
      <c r="Z168" s="6">
        <f>K168*W168</f>
        <v>2002.2671192719472</v>
      </c>
      <c r="AA168" s="6">
        <f>SUM(Y168:Z168)</f>
        <v>3347.8767424385787</v>
      </c>
      <c r="AB168" s="6">
        <f>Q168*V168</f>
        <v>1284.7836616128109</v>
      </c>
      <c r="AC168" s="6">
        <f>Q168*W168</f>
        <v>1911.7580884798622</v>
      </c>
      <c r="AD168" s="6">
        <f>SUM(AB168:AC168)</f>
        <v>3196.5417500926733</v>
      </c>
      <c r="AE168" s="10">
        <v>990130422062</v>
      </c>
      <c r="AF168" s="14">
        <v>44980</v>
      </c>
      <c r="AG168" s="6">
        <v>49.699999999999996</v>
      </c>
      <c r="AH168" s="11">
        <v>1.075</v>
      </c>
      <c r="AI168" s="6">
        <v>80.7</v>
      </c>
      <c r="AJ168" s="6">
        <v>29.4</v>
      </c>
      <c r="AK168" s="6">
        <v>5.2</v>
      </c>
      <c r="AL168" s="6">
        <v>78.099999999999994</v>
      </c>
      <c r="AM168" s="6">
        <v>9.1</v>
      </c>
      <c r="AN168" s="16" t="s">
        <v>150</v>
      </c>
      <c r="AO168" s="12">
        <v>11</v>
      </c>
      <c r="AP168" s="7">
        <v>0.1</v>
      </c>
      <c r="AQ168" s="6">
        <v>9.1999999999999993</v>
      </c>
      <c r="AV168" s="3"/>
      <c r="AW168" s="3"/>
      <c r="AX168" s="3"/>
      <c r="AY168" s="3"/>
      <c r="AZ168" s="4"/>
      <c r="BA168" s="4"/>
      <c r="BB168" s="4"/>
      <c r="BC168" s="4"/>
      <c r="BD168" s="4"/>
      <c r="BE168" s="3"/>
      <c r="BF168" s="3"/>
      <c r="BG168" s="4"/>
      <c r="BH168" s="4"/>
      <c r="BI168" s="4"/>
      <c r="BJ168" s="9"/>
      <c r="BK168" s="9"/>
      <c r="BL168" s="9"/>
      <c r="BM168" s="3"/>
      <c r="BN168" s="3"/>
      <c r="BO168" s="3"/>
      <c r="BP168" s="3"/>
      <c r="BQ168" s="3"/>
      <c r="BR168" s="3"/>
      <c r="BT168" s="15"/>
      <c r="BU168" s="3"/>
      <c r="BV168" s="13"/>
      <c r="BW168" s="3"/>
      <c r="BX168" s="3"/>
      <c r="BY168" s="3"/>
      <c r="BZ168" s="3"/>
      <c r="CA168" s="3"/>
      <c r="CB168" s="10"/>
      <c r="CC168" s="10"/>
      <c r="CD168" s="4"/>
      <c r="CE168" s="3"/>
    </row>
    <row r="169" spans="1:83" x14ac:dyDescent="0.25">
      <c r="A169" s="2" t="s">
        <v>12</v>
      </c>
      <c r="B169" s="2">
        <v>2</v>
      </c>
      <c r="C169" t="s">
        <v>8</v>
      </c>
      <c r="D169" s="5" t="str">
        <f t="shared" si="14"/>
        <v>p04-2-SE</v>
      </c>
      <c r="E169" s="5" t="s">
        <v>468</v>
      </c>
      <c r="F169" s="17">
        <v>44881</v>
      </c>
      <c r="G169">
        <v>16</v>
      </c>
      <c r="H169" s="3">
        <v>14.9</v>
      </c>
      <c r="I169" s="3">
        <f t="shared" si="15"/>
        <v>14.44</v>
      </c>
      <c r="J169" s="3">
        <f>($A$66-$A$47)*$A$75</f>
        <v>1.02125</v>
      </c>
      <c r="K169" s="6">
        <f t="shared" si="16"/>
        <v>3451.3284005905507</v>
      </c>
      <c r="L169" s="4"/>
      <c r="M169" s="4"/>
      <c r="N169" s="4"/>
      <c r="O169" s="4"/>
      <c r="P169" s="7"/>
      <c r="Q169" s="6"/>
      <c r="R169" s="14"/>
      <c r="S169" s="4"/>
      <c r="T169" s="4"/>
      <c r="U169" s="4"/>
      <c r="V169" s="8"/>
      <c r="W169" s="8"/>
      <c r="X169" s="8"/>
      <c r="Y169" s="6"/>
      <c r="Z169" s="6"/>
      <c r="AA169" s="6"/>
      <c r="AB169" s="6"/>
      <c r="AC169" s="6"/>
      <c r="AD169" s="6"/>
      <c r="AE169" s="10"/>
      <c r="AF169" s="14"/>
      <c r="AG169" s="6"/>
      <c r="AH169" s="11"/>
      <c r="AI169" s="6"/>
      <c r="AJ169" s="6"/>
      <c r="AK169" s="6"/>
      <c r="AL169" s="6"/>
      <c r="AM169" s="6"/>
      <c r="AN169" s="16"/>
      <c r="AO169" s="12"/>
      <c r="AP169" s="7"/>
      <c r="AQ169" s="6"/>
      <c r="AV169" s="3"/>
      <c r="AW169" s="3"/>
      <c r="AX169" s="3"/>
      <c r="AY169" s="3"/>
      <c r="AZ169" s="4"/>
      <c r="BA169" s="4"/>
      <c r="BB169" s="4"/>
      <c r="BC169" s="4"/>
      <c r="BD169" s="4"/>
      <c r="BE169" s="3"/>
      <c r="BF169" s="3"/>
      <c r="BG169" s="4"/>
      <c r="BH169" s="4"/>
      <c r="BI169" s="4"/>
      <c r="BJ169" s="9"/>
      <c r="BK169" s="9"/>
      <c r="BL169" s="9"/>
      <c r="BM169" s="3"/>
      <c r="BN169" s="3"/>
      <c r="BO169" s="3"/>
      <c r="BP169" s="3"/>
      <c r="BQ169" s="3"/>
      <c r="BR169" s="3"/>
      <c r="BT169" s="15"/>
      <c r="BU169" s="3"/>
      <c r="BV169" s="13"/>
      <c r="BW169" s="3"/>
      <c r="BX169" s="3"/>
      <c r="BY169" s="3"/>
      <c r="BZ169" s="3"/>
      <c r="CA169" s="3"/>
      <c r="CB169" s="10"/>
      <c r="CC169" s="10"/>
      <c r="CD169" s="4"/>
      <c r="CE169" s="3"/>
    </row>
    <row r="170" spans="1:83" x14ac:dyDescent="0.25">
      <c r="A170" s="2" t="s">
        <v>12</v>
      </c>
      <c r="B170" s="2">
        <v>3</v>
      </c>
      <c r="C170" t="s">
        <v>4</v>
      </c>
      <c r="D170" s="5" t="str">
        <f t="shared" si="14"/>
        <v>p04-3-NW</v>
      </c>
      <c r="E170" s="5" t="s">
        <v>468</v>
      </c>
      <c r="F170" s="17">
        <v>44881</v>
      </c>
      <c r="G170">
        <v>4</v>
      </c>
      <c r="H170" s="3">
        <v>23.9</v>
      </c>
      <c r="I170" s="3">
        <f t="shared" si="15"/>
        <v>23.439999999999998</v>
      </c>
      <c r="J170" s="3">
        <f>($A$54-$A$47)*$A$75</f>
        <v>0.96499999999999997</v>
      </c>
      <c r="K170" s="6">
        <f t="shared" si="16"/>
        <v>5447.7917125984241</v>
      </c>
      <c r="L170" s="4"/>
      <c r="M170" s="4"/>
      <c r="N170" s="4"/>
      <c r="O170" s="4"/>
      <c r="P170" s="7"/>
      <c r="Q170" s="6"/>
      <c r="R170" s="14"/>
      <c r="S170" s="4"/>
      <c r="T170" s="4"/>
      <c r="U170" s="4"/>
      <c r="V170" s="8"/>
      <c r="W170" s="8"/>
      <c r="X170" s="8"/>
      <c r="Y170" s="6"/>
      <c r="Z170" s="6"/>
      <c r="AA170" s="6"/>
      <c r="AB170" s="6"/>
      <c r="AC170" s="6"/>
      <c r="AD170" s="6"/>
      <c r="AE170" s="10"/>
      <c r="AF170" s="14"/>
      <c r="AG170" s="6"/>
      <c r="AH170" s="11"/>
      <c r="AI170" s="6"/>
      <c r="AJ170" s="6"/>
      <c r="AK170" s="6"/>
      <c r="AL170" s="6"/>
      <c r="AM170" s="6"/>
      <c r="AN170" s="16"/>
      <c r="AO170" s="12"/>
      <c r="AP170" s="7"/>
      <c r="AQ170" s="6"/>
      <c r="AS170" t="s">
        <v>100</v>
      </c>
      <c r="AT170" s="4" t="str">
        <f>E170</f>
        <v>Machine</v>
      </c>
      <c r="AU170" s="15">
        <f>F170</f>
        <v>44881</v>
      </c>
      <c r="AV170" s="3">
        <f>SUM(H170:H175)</f>
        <v>123.6</v>
      </c>
      <c r="AW170" s="3">
        <f>AV170-6*$A$47</f>
        <v>120.83999999999999</v>
      </c>
      <c r="AX170" s="3">
        <f>SUM(J170:J175)</f>
        <v>5.9587500000000002</v>
      </c>
      <c r="AY170" s="3">
        <f>(AW170+AX170)*$A$48/(6*$A$49)*$A$50</f>
        <v>4717.4293479330699</v>
      </c>
      <c r="AZ170" s="4">
        <f>SUM(L170:L175)</f>
        <v>17.53</v>
      </c>
      <c r="BA170" s="4">
        <f>SUM(M170:M175)</f>
        <v>349.25</v>
      </c>
      <c r="BB170" s="4">
        <f>BA170-AZ170</f>
        <v>331.72</v>
      </c>
      <c r="BC170" s="4">
        <f>SUM(O170:O175)</f>
        <v>312.96000000000004</v>
      </c>
      <c r="BD170" s="4">
        <f>(BB170-BC170)/BB170*100</f>
        <v>5.6553720004823314</v>
      </c>
      <c r="BE170" s="3">
        <f>AY170*(1-BD170/100)</f>
        <v>4450.6411694475273</v>
      </c>
      <c r="BF170" s="15">
        <f>R171</f>
        <v>44882</v>
      </c>
      <c r="BG170" s="4">
        <f>SUM(S170:S175)</f>
        <v>16.54</v>
      </c>
      <c r="BH170" s="4">
        <f>SUM(T170:T175)</f>
        <v>6.1</v>
      </c>
      <c r="BI170" s="4">
        <f>SUM(U170:U175)</f>
        <v>11.76</v>
      </c>
      <c r="BJ170" s="9">
        <f>(BH170-2*$A$76)/(BG170-2*$A$47*$A$48)</f>
        <v>0.35601987582304601</v>
      </c>
      <c r="BK170" s="9">
        <f>(BI170-2*$A$77)/(BG170-2*$A$47*$A$48)</f>
        <v>0.51852372158199733</v>
      </c>
      <c r="BL170" s="9">
        <f>1-BJ170-BK170</f>
        <v>0.12545640259495672</v>
      </c>
      <c r="BM170" s="3">
        <f>AY170*BJ170</f>
        <v>1679.4986106551244</v>
      </c>
      <c r="BN170" s="3">
        <f>AY170*BK170</f>
        <v>2446.0990217903905</v>
      </c>
      <c r="BO170" s="3">
        <f>SUM(BM170:BN170)</f>
        <v>4125.597632445515</v>
      </c>
      <c r="BP170" s="3">
        <f>BE170*BJ170</f>
        <v>1584.5167164796449</v>
      </c>
      <c r="BQ170" s="3">
        <f>BE170*BK170</f>
        <v>2307.7630226079846</v>
      </c>
      <c r="BR170" s="3">
        <f>SUM(BP170:BQ170)</f>
        <v>3892.2797390876294</v>
      </c>
      <c r="BS170" s="3"/>
      <c r="BT170" s="15">
        <f>AF171</f>
        <v>44980</v>
      </c>
      <c r="BU170" s="3">
        <f t="shared" ref="BU170:CA170" si="20">AVERAGE(AG170:AG175)</f>
        <v>47.5</v>
      </c>
      <c r="BV170" s="13">
        <f t="shared" si="20"/>
        <v>1.0794999999999999</v>
      </c>
      <c r="BW170" s="3">
        <f t="shared" si="20"/>
        <v>80.199999999999989</v>
      </c>
      <c r="BX170" s="3">
        <f t="shared" si="20"/>
        <v>29.95</v>
      </c>
      <c r="BY170" s="3">
        <f t="shared" si="20"/>
        <v>5.15</v>
      </c>
      <c r="BZ170" s="3">
        <f t="shared" si="20"/>
        <v>78.349999999999994</v>
      </c>
      <c r="CA170" s="3">
        <f t="shared" si="20"/>
        <v>9</v>
      </c>
      <c r="CB170" s="13"/>
      <c r="CC170" s="10">
        <f>AVERAGE(AO170:AO175)</f>
        <v>14.5</v>
      </c>
      <c r="CD170" s="4">
        <f>AVERAGE(AP170:AP175)</f>
        <v>0.21</v>
      </c>
      <c r="CE170" s="3">
        <f>AVERAGE(AQ170:AQ175)</f>
        <v>9.75</v>
      </c>
    </row>
    <row r="171" spans="1:83" x14ac:dyDescent="0.25">
      <c r="A171" s="2" t="s">
        <v>12</v>
      </c>
      <c r="B171" s="2">
        <v>3</v>
      </c>
      <c r="C171" t="s">
        <v>5</v>
      </c>
      <c r="D171" s="5" t="str">
        <f t="shared" si="14"/>
        <v>p04-3-MW</v>
      </c>
      <c r="E171" s="5" t="s">
        <v>468</v>
      </c>
      <c r="F171" s="17">
        <v>44881</v>
      </c>
      <c r="G171">
        <v>4</v>
      </c>
      <c r="H171" s="3">
        <v>23.4</v>
      </c>
      <c r="I171" s="3">
        <f t="shared" si="15"/>
        <v>22.939999999999998</v>
      </c>
      <c r="J171" s="3">
        <f>($A$54-$A$47)*$A$75</f>
        <v>0.96499999999999997</v>
      </c>
      <c r="K171" s="6">
        <f t="shared" si="16"/>
        <v>5336.1795078740151</v>
      </c>
      <c r="L171" s="4">
        <v>8.57</v>
      </c>
      <c r="M171" s="4">
        <v>198.29</v>
      </c>
      <c r="N171" s="4">
        <f>M171-L171</f>
        <v>189.72</v>
      </c>
      <c r="O171" s="4">
        <v>177.62</v>
      </c>
      <c r="P171" s="7">
        <f>(N171-O171)/N171*100</f>
        <v>6.3778199451823712</v>
      </c>
      <c r="Q171" s="6">
        <f>K171*(1-P171/100)</f>
        <v>4995.8475869100912</v>
      </c>
      <c r="R171" s="14">
        <v>44882</v>
      </c>
      <c r="S171" s="4">
        <v>10.35</v>
      </c>
      <c r="T171" s="4">
        <v>3.82</v>
      </c>
      <c r="U171" s="4">
        <v>6.92</v>
      </c>
      <c r="V171" s="8">
        <f>(T171-$A$76)/(S171-$A$47*$A$48)</f>
        <v>0.3589266550025233</v>
      </c>
      <c r="W171" s="8">
        <f>(U171-$A$77)/(S171-$A$47*$A$48)</f>
        <v>0.51472448876735488</v>
      </c>
      <c r="X171" s="8">
        <f>1-V171-W171</f>
        <v>0.12634885623012182</v>
      </c>
      <c r="Y171" s="6">
        <f>K171*V171</f>
        <v>1915.2970612542313</v>
      </c>
      <c r="Z171" s="6">
        <f>K171*W171</f>
        <v>2746.6622691612879</v>
      </c>
      <c r="AA171" s="6">
        <f>SUM(Y171:Z171)</f>
        <v>4661.9593304155187</v>
      </c>
      <c r="AB171" s="6">
        <f>Q171*V171</f>
        <v>1793.1428632720667</v>
      </c>
      <c r="AC171" s="6">
        <f>Q171*W171</f>
        <v>2571.4850951319204</v>
      </c>
      <c r="AD171" s="6">
        <f>SUM(AB171:AC171)</f>
        <v>4364.6279584039876</v>
      </c>
      <c r="AE171" s="10">
        <v>990130431015</v>
      </c>
      <c r="AF171" s="14">
        <v>44980</v>
      </c>
      <c r="AG171" s="6">
        <v>47.9</v>
      </c>
      <c r="AH171" s="11">
        <v>1.0720000000000001</v>
      </c>
      <c r="AI171" s="6">
        <v>80.3</v>
      </c>
      <c r="AJ171" s="6">
        <v>29</v>
      </c>
      <c r="AK171" s="6">
        <v>5.3</v>
      </c>
      <c r="AL171" s="6">
        <v>78.8</v>
      </c>
      <c r="AM171" s="6">
        <v>9.3000000000000007</v>
      </c>
      <c r="AN171" s="16" t="s">
        <v>148</v>
      </c>
      <c r="AO171" s="12">
        <v>19</v>
      </c>
      <c r="AP171" s="7">
        <v>0.24</v>
      </c>
      <c r="AQ171" s="6">
        <v>9.9</v>
      </c>
      <c r="AV171" s="3"/>
      <c r="AW171" s="3"/>
      <c r="AX171" s="3"/>
      <c r="AY171" s="3"/>
      <c r="AZ171" s="4"/>
      <c r="BA171" s="4"/>
      <c r="BB171" s="4"/>
      <c r="BC171" s="4"/>
      <c r="BD171" s="4"/>
      <c r="BE171" s="3"/>
      <c r="BF171" s="3"/>
      <c r="BG171" s="4"/>
      <c r="BH171" s="4"/>
      <c r="BI171" s="4"/>
      <c r="BJ171" s="9"/>
      <c r="BK171" s="9"/>
      <c r="BL171" s="9"/>
      <c r="BM171" s="3"/>
      <c r="BN171" s="3"/>
      <c r="BO171" s="3"/>
      <c r="BP171" s="3"/>
      <c r="BQ171" s="3"/>
      <c r="BR171" s="3"/>
      <c r="BT171" s="15"/>
      <c r="BU171" s="3"/>
      <c r="BV171" s="13"/>
      <c r="BW171" s="3"/>
      <c r="BX171" s="3"/>
      <c r="BY171" s="3"/>
      <c r="BZ171" s="3"/>
      <c r="CA171" s="3"/>
      <c r="CB171" s="10"/>
      <c r="CC171" s="10"/>
      <c r="CD171" s="4"/>
      <c r="CE171" s="3"/>
    </row>
    <row r="172" spans="1:83" x14ac:dyDescent="0.25">
      <c r="A172" s="2" t="s">
        <v>12</v>
      </c>
      <c r="B172" s="2">
        <v>3</v>
      </c>
      <c r="C172" t="s">
        <v>6</v>
      </c>
      <c r="D172" s="5" t="str">
        <f t="shared" si="14"/>
        <v>p04-3-SW</v>
      </c>
      <c r="E172" s="5" t="s">
        <v>468</v>
      </c>
      <c r="F172" s="17">
        <v>44881</v>
      </c>
      <c r="G172">
        <v>4</v>
      </c>
      <c r="H172" s="3">
        <v>22.1</v>
      </c>
      <c r="I172" s="3">
        <f t="shared" si="15"/>
        <v>21.64</v>
      </c>
      <c r="J172" s="3">
        <f>($A$54-$A$47)*$A$75</f>
        <v>0.96499999999999997</v>
      </c>
      <c r="K172" s="6">
        <f t="shared" si="16"/>
        <v>5045.9877755905518</v>
      </c>
      <c r="L172" s="4"/>
      <c r="M172" s="4"/>
      <c r="N172" s="4"/>
      <c r="O172" s="4"/>
      <c r="P172" s="7"/>
      <c r="Q172" s="6"/>
      <c r="R172" s="14"/>
      <c r="S172" s="4"/>
      <c r="T172" s="4"/>
      <c r="U172" s="4"/>
      <c r="V172" s="8"/>
      <c r="W172" s="8"/>
      <c r="X172" s="8"/>
      <c r="Y172" s="6"/>
      <c r="Z172" s="6"/>
      <c r="AA172" s="6"/>
      <c r="AB172" s="6"/>
      <c r="AC172" s="6"/>
      <c r="AD172" s="6"/>
      <c r="AE172" s="10"/>
      <c r="AF172" s="14"/>
      <c r="AG172" s="6"/>
      <c r="AH172" s="11"/>
      <c r="AI172" s="6"/>
      <c r="AJ172" s="6"/>
      <c r="AK172" s="6"/>
      <c r="AL172" s="6"/>
      <c r="AM172" s="6"/>
      <c r="AN172" s="16"/>
      <c r="AO172" s="12"/>
      <c r="AP172" s="7"/>
      <c r="AQ172" s="6"/>
      <c r="AV172" s="3"/>
      <c r="AW172" s="3"/>
      <c r="AX172" s="3"/>
      <c r="AY172" s="3"/>
      <c r="AZ172" s="4"/>
      <c r="BA172" s="4"/>
      <c r="BB172" s="4"/>
      <c r="BC172" s="4"/>
      <c r="BD172" s="4"/>
      <c r="BE172" s="3"/>
      <c r="BF172" s="3"/>
      <c r="BG172" s="4"/>
      <c r="BH172" s="4"/>
      <c r="BI172" s="4"/>
      <c r="BJ172" s="9"/>
      <c r="BK172" s="9"/>
      <c r="BL172" s="9"/>
      <c r="BM172" s="3"/>
      <c r="BN172" s="3"/>
      <c r="BO172" s="3"/>
      <c r="BP172" s="3"/>
      <c r="BQ172" s="3"/>
      <c r="BR172" s="3"/>
      <c r="BT172" s="15"/>
      <c r="BU172" s="3"/>
      <c r="BV172" s="13"/>
      <c r="BW172" s="3"/>
      <c r="BX172" s="3"/>
      <c r="BY172" s="3"/>
      <c r="BZ172" s="3"/>
      <c r="CA172" s="3"/>
      <c r="CB172" s="10"/>
      <c r="CC172" s="10"/>
      <c r="CD172" s="4"/>
      <c r="CE172" s="3"/>
    </row>
    <row r="173" spans="1:83" x14ac:dyDescent="0.25">
      <c r="A173" s="2" t="s">
        <v>12</v>
      </c>
      <c r="B173" s="2">
        <v>3</v>
      </c>
      <c r="C173" t="s">
        <v>7</v>
      </c>
      <c r="D173" s="5" t="str">
        <f t="shared" si="14"/>
        <v>p04-3-NE</v>
      </c>
      <c r="E173" s="5" t="s">
        <v>468</v>
      </c>
      <c r="F173" s="17">
        <v>44881</v>
      </c>
      <c r="G173">
        <v>16</v>
      </c>
      <c r="H173" s="3">
        <v>18.3</v>
      </c>
      <c r="I173" s="3">
        <f t="shared" si="15"/>
        <v>17.84</v>
      </c>
      <c r="J173" s="3">
        <f>($A$66-$A$47)*$A$75</f>
        <v>1.02125</v>
      </c>
      <c r="K173" s="6">
        <f t="shared" si="16"/>
        <v>4210.2913927165346</v>
      </c>
      <c r="L173" s="4"/>
      <c r="M173" s="4"/>
      <c r="N173" s="4"/>
      <c r="O173" s="4"/>
      <c r="P173" s="7"/>
      <c r="Q173" s="6"/>
      <c r="R173" s="14"/>
      <c r="S173" s="4"/>
      <c r="T173" s="4"/>
      <c r="U173" s="4"/>
      <c r="V173" s="8"/>
      <c r="W173" s="8"/>
      <c r="X173" s="8"/>
      <c r="Y173" s="6"/>
      <c r="Z173" s="6"/>
      <c r="AA173" s="6"/>
      <c r="AB173" s="6"/>
      <c r="AC173" s="6"/>
      <c r="AD173" s="6"/>
      <c r="AE173" s="10"/>
      <c r="AF173" s="14"/>
      <c r="AG173" s="6"/>
      <c r="AH173" s="11"/>
      <c r="AI173" s="6"/>
      <c r="AJ173" s="6"/>
      <c r="AK173" s="6"/>
      <c r="AL173" s="6"/>
      <c r="AM173" s="6"/>
      <c r="AN173" s="16"/>
      <c r="AO173" s="12"/>
      <c r="AP173" s="7"/>
      <c r="AQ173" s="6"/>
      <c r="AV173" s="3"/>
      <c r="AW173" s="3"/>
      <c r="AX173" s="3"/>
      <c r="AY173" s="3"/>
      <c r="AZ173" s="4"/>
      <c r="BA173" s="4"/>
      <c r="BB173" s="4"/>
      <c r="BC173" s="4"/>
      <c r="BD173" s="4"/>
      <c r="BE173" s="3"/>
      <c r="BF173" s="3"/>
      <c r="BG173" s="4"/>
      <c r="BH173" s="4"/>
      <c r="BI173" s="4"/>
      <c r="BJ173" s="9"/>
      <c r="BK173" s="9"/>
      <c r="BL173" s="9"/>
      <c r="BM173" s="3"/>
      <c r="BN173" s="3"/>
      <c r="BO173" s="3"/>
      <c r="BP173" s="3"/>
      <c r="BQ173" s="3"/>
      <c r="BR173" s="3"/>
      <c r="BT173" s="15"/>
      <c r="BU173" s="3"/>
      <c r="BV173" s="13"/>
      <c r="BW173" s="3"/>
      <c r="BX173" s="3"/>
      <c r="BY173" s="3"/>
      <c r="BZ173" s="3"/>
      <c r="CA173" s="3"/>
      <c r="CB173" s="10"/>
      <c r="CC173" s="10"/>
      <c r="CD173" s="4"/>
      <c r="CE173" s="3"/>
    </row>
    <row r="174" spans="1:83" x14ac:dyDescent="0.25">
      <c r="A174" s="2" t="s">
        <v>12</v>
      </c>
      <c r="B174" s="2">
        <v>3</v>
      </c>
      <c r="C174" t="s">
        <v>18</v>
      </c>
      <c r="D174" s="5" t="str">
        <f t="shared" si="14"/>
        <v>p04-3-ME</v>
      </c>
      <c r="E174" s="5" t="s">
        <v>468</v>
      </c>
      <c r="F174" s="17">
        <v>44881</v>
      </c>
      <c r="G174">
        <v>16</v>
      </c>
      <c r="H174" s="3">
        <v>14</v>
      </c>
      <c r="I174" s="3">
        <f t="shared" si="15"/>
        <v>13.54</v>
      </c>
      <c r="J174" s="3">
        <f>($A$66-$A$47)*$A$75</f>
        <v>1.02125</v>
      </c>
      <c r="K174" s="6">
        <f t="shared" si="16"/>
        <v>3250.4264320866137</v>
      </c>
      <c r="L174" s="4">
        <v>8.9600000000000009</v>
      </c>
      <c r="M174" s="4">
        <v>150.96</v>
      </c>
      <c r="N174" s="4">
        <f>M174-L174</f>
        <v>142</v>
      </c>
      <c r="O174" s="4">
        <v>135.34</v>
      </c>
      <c r="P174" s="7">
        <f>(N174-O174)/N174*100</f>
        <v>4.6901408450704203</v>
      </c>
      <c r="Q174" s="6">
        <f>K174*(1-P174/100)</f>
        <v>3097.9768543563541</v>
      </c>
      <c r="R174" s="14">
        <v>44882</v>
      </c>
      <c r="S174" s="4">
        <v>6.19</v>
      </c>
      <c r="T174" s="4">
        <v>2.2799999999999998</v>
      </c>
      <c r="U174" s="4">
        <v>4.84</v>
      </c>
      <c r="V174" s="8">
        <f>(T174-$A$76)/(S174-$A$47*$A$48)</f>
        <v>0.35109144499689066</v>
      </c>
      <c r="W174" s="8">
        <f>(U174-$A$77)/(S174-$A$47*$A$48)</f>
        <v>0.52496530347154124</v>
      </c>
      <c r="X174" s="8">
        <f>1-V174-W174</f>
        <v>0.12394325153156804</v>
      </c>
      <c r="Y174" s="6">
        <f>K174*V174</f>
        <v>1141.1969128973769</v>
      </c>
      <c r="Z174" s="6">
        <f>K174*W174</f>
        <v>1706.3610983322683</v>
      </c>
      <c r="AA174" s="6">
        <f>SUM(Y174:Z174)</f>
        <v>2847.5580112296452</v>
      </c>
      <c r="AB174" s="6">
        <f>Q174*V174</f>
        <v>1087.6731703628943</v>
      </c>
      <c r="AC174" s="6">
        <f>Q174*W174</f>
        <v>1626.3303594949941</v>
      </c>
      <c r="AD174" s="6">
        <f>SUM(AB174:AC174)</f>
        <v>2714.0035298578887</v>
      </c>
      <c r="AE174" s="10">
        <v>990130432063</v>
      </c>
      <c r="AF174" s="14">
        <v>44980</v>
      </c>
      <c r="AG174" s="6">
        <v>47.1</v>
      </c>
      <c r="AH174" s="11">
        <v>1.087</v>
      </c>
      <c r="AI174" s="6">
        <v>80.099999999999994</v>
      </c>
      <c r="AJ174" s="6">
        <v>30.9</v>
      </c>
      <c r="AK174" s="6">
        <v>5</v>
      </c>
      <c r="AL174" s="6">
        <v>77.900000000000006</v>
      </c>
      <c r="AM174" s="6">
        <v>8.6999999999999993</v>
      </c>
      <c r="AN174" s="16" t="s">
        <v>149</v>
      </c>
      <c r="AO174" s="12">
        <v>10</v>
      </c>
      <c r="AP174" s="7">
        <v>0.18</v>
      </c>
      <c r="AQ174" s="6">
        <v>9.6</v>
      </c>
      <c r="AV174" s="3"/>
      <c r="AW174" s="3"/>
      <c r="AX174" s="3"/>
      <c r="AY174" s="3"/>
      <c r="AZ174" s="4"/>
      <c r="BA174" s="4"/>
      <c r="BB174" s="4"/>
      <c r="BC174" s="4"/>
      <c r="BD174" s="4"/>
      <c r="BE174" s="3"/>
      <c r="BF174" s="3"/>
      <c r="BG174" s="4"/>
      <c r="BH174" s="4"/>
      <c r="BI174" s="4"/>
      <c r="BJ174" s="9"/>
      <c r="BK174" s="9"/>
      <c r="BL174" s="9"/>
      <c r="BM174" s="3"/>
      <c r="BN174" s="3"/>
      <c r="BO174" s="3"/>
      <c r="BP174" s="3"/>
      <c r="BQ174" s="3"/>
      <c r="BR174" s="3"/>
      <c r="BT174" s="15"/>
      <c r="BU174" s="3"/>
      <c r="BV174" s="13"/>
      <c r="BW174" s="3"/>
      <c r="BX174" s="3"/>
      <c r="BY174" s="3"/>
      <c r="BZ174" s="3"/>
      <c r="CA174" s="3"/>
      <c r="CB174" s="10"/>
      <c r="CC174" s="10"/>
      <c r="CD174" s="4"/>
      <c r="CE174" s="3"/>
    </row>
    <row r="175" spans="1:83" x14ac:dyDescent="0.25">
      <c r="A175" s="2" t="s">
        <v>12</v>
      </c>
      <c r="B175" s="2">
        <v>3</v>
      </c>
      <c r="C175" t="s">
        <v>8</v>
      </c>
      <c r="D175" s="5" t="str">
        <f t="shared" si="14"/>
        <v>p04-3-SE</v>
      </c>
      <c r="E175" s="5" t="s">
        <v>468</v>
      </c>
      <c r="F175" s="17">
        <v>44881</v>
      </c>
      <c r="G175">
        <v>16</v>
      </c>
      <c r="H175" s="3">
        <v>21.9</v>
      </c>
      <c r="I175" s="3">
        <f t="shared" si="15"/>
        <v>21.439999999999998</v>
      </c>
      <c r="J175" s="3">
        <f>($A$66-$A$47)*$A$75</f>
        <v>1.02125</v>
      </c>
      <c r="K175" s="6">
        <f t="shared" si="16"/>
        <v>5013.8992667322827</v>
      </c>
      <c r="L175" s="4"/>
      <c r="M175" s="4"/>
      <c r="N175" s="4"/>
      <c r="O175" s="4"/>
      <c r="P175" s="7"/>
      <c r="Q175" s="6"/>
      <c r="R175" s="14"/>
      <c r="S175" s="4"/>
      <c r="T175" s="4"/>
      <c r="U175" s="4"/>
      <c r="V175" s="8"/>
      <c r="W175" s="8"/>
      <c r="X175" s="8"/>
      <c r="Y175" s="6"/>
      <c r="Z175" s="6"/>
      <c r="AA175" s="6"/>
      <c r="AB175" s="6"/>
      <c r="AC175" s="6"/>
      <c r="AD175" s="6"/>
      <c r="AE175" s="10"/>
      <c r="AF175" s="14"/>
      <c r="AG175" s="6"/>
      <c r="AH175" s="11"/>
      <c r="AI175" s="6"/>
      <c r="AJ175" s="6"/>
      <c r="AK175" s="6"/>
      <c r="AL175" s="6"/>
      <c r="AM175" s="6"/>
      <c r="AN175" s="16"/>
      <c r="AO175" s="12"/>
      <c r="AP175" s="7"/>
      <c r="AQ175" s="6"/>
      <c r="AV175" s="3"/>
      <c r="AW175" s="3"/>
      <c r="AX175" s="3"/>
      <c r="AY175" s="3"/>
      <c r="AZ175" s="4"/>
      <c r="BA175" s="4"/>
      <c r="BB175" s="4"/>
      <c r="BC175" s="4"/>
      <c r="BD175" s="4"/>
      <c r="BE175" s="3"/>
      <c r="BF175" s="3"/>
      <c r="BG175" s="4"/>
      <c r="BH175" s="4"/>
      <c r="BI175" s="4"/>
      <c r="BJ175" s="9"/>
      <c r="BK175" s="9"/>
      <c r="BL175" s="9"/>
      <c r="BM175" s="3"/>
      <c r="BN175" s="3"/>
      <c r="BO175" s="3"/>
      <c r="BP175" s="3"/>
      <c r="BQ175" s="3"/>
      <c r="BR175" s="3"/>
      <c r="BT175" s="15"/>
      <c r="BU175" s="3"/>
      <c r="BV175" s="13"/>
      <c r="BW175" s="3"/>
      <c r="BX175" s="3"/>
      <c r="BY175" s="3"/>
      <c r="BZ175" s="3"/>
      <c r="CA175" s="3"/>
      <c r="CB175" s="10"/>
      <c r="CC175" s="10"/>
      <c r="CD175" s="4"/>
      <c r="CE175" s="3"/>
    </row>
    <row r="176" spans="1:83" x14ac:dyDescent="0.25">
      <c r="A176" s="2" t="s">
        <v>12</v>
      </c>
      <c r="B176" s="2">
        <v>4</v>
      </c>
      <c r="C176" t="s">
        <v>4</v>
      </c>
      <c r="D176" s="5" t="str">
        <f t="shared" si="14"/>
        <v>p04-4-NW</v>
      </c>
      <c r="E176" s="5" t="s">
        <v>468</v>
      </c>
      <c r="F176" s="17">
        <v>44881</v>
      </c>
      <c r="G176">
        <v>4</v>
      </c>
      <c r="H176" s="3">
        <v>27.1</v>
      </c>
      <c r="I176" s="3">
        <f t="shared" si="15"/>
        <v>26.64</v>
      </c>
      <c r="J176" s="3">
        <f>($A$54-$A$47)*$A$75</f>
        <v>0.96499999999999997</v>
      </c>
      <c r="K176" s="6">
        <f t="shared" si="16"/>
        <v>6162.1098228346464</v>
      </c>
      <c r="L176" s="4"/>
      <c r="M176" s="4"/>
      <c r="N176" s="4"/>
      <c r="O176" s="4"/>
      <c r="P176" s="7"/>
      <c r="Q176" s="6"/>
      <c r="R176" s="14"/>
      <c r="S176" s="4"/>
      <c r="T176" s="4"/>
      <c r="U176" s="4"/>
      <c r="V176" s="8"/>
      <c r="W176" s="8"/>
      <c r="X176" s="8"/>
      <c r="Y176" s="6"/>
      <c r="Z176" s="6"/>
      <c r="AA176" s="6"/>
      <c r="AB176" s="6"/>
      <c r="AC176" s="6"/>
      <c r="AD176" s="6"/>
      <c r="AE176" s="10"/>
      <c r="AF176" s="14"/>
      <c r="AG176" s="6"/>
      <c r="AH176" s="11"/>
      <c r="AI176" s="6"/>
      <c r="AJ176" s="6"/>
      <c r="AK176" s="6"/>
      <c r="AL176" s="6"/>
      <c r="AM176" s="6"/>
      <c r="AN176" s="16"/>
      <c r="AO176" s="12"/>
      <c r="AP176" s="7"/>
      <c r="AQ176" s="6"/>
      <c r="AS176" t="s">
        <v>101</v>
      </c>
      <c r="AT176" s="4" t="str">
        <f>E176</f>
        <v>Machine</v>
      </c>
      <c r="AU176" s="15">
        <f>F176</f>
        <v>44881</v>
      </c>
      <c r="AV176" s="3">
        <f>SUM(H176:H181)</f>
        <v>149.1</v>
      </c>
      <c r="AW176" s="3">
        <f>AV176-6*$A$47</f>
        <v>146.34</v>
      </c>
      <c r="AX176" s="3">
        <f>SUM(J176:J181)</f>
        <v>5.9587500000000002</v>
      </c>
      <c r="AY176" s="3">
        <f>(AW176+AX176)*$A$48/(6*$A$49)*$A$50</f>
        <v>5666.1330880905516</v>
      </c>
      <c r="AZ176" s="4">
        <f>SUM(L176:L181)</f>
        <v>17.490000000000002</v>
      </c>
      <c r="BA176" s="4">
        <f>SUM(M176:M181)</f>
        <v>434.58000000000004</v>
      </c>
      <c r="BB176" s="4">
        <f>BA176-AZ176</f>
        <v>417.09000000000003</v>
      </c>
      <c r="BC176" s="4">
        <f>SUM(O176:O181)</f>
        <v>394.64</v>
      </c>
      <c r="BD176" s="4">
        <f>(BB176-BC176)/BB176*100</f>
        <v>5.3825313481502901</v>
      </c>
      <c r="BE176" s="3">
        <f>AY176*(1-BD176/100)</f>
        <v>5361.1516983961619</v>
      </c>
      <c r="BF176" s="15">
        <f>R177</f>
        <v>44882</v>
      </c>
      <c r="BG176" s="4">
        <f>SUM(S176:S181)</f>
        <v>22.68</v>
      </c>
      <c r="BH176" s="4">
        <f>SUM(T176:T181)</f>
        <v>8.379999999999999</v>
      </c>
      <c r="BI176" s="4">
        <f>SUM(U176:U181)</f>
        <v>14.7</v>
      </c>
      <c r="BJ176" s="9">
        <f>(BH176-2*$A$76)/(BG176-2*$A$47*$A$48)</f>
        <v>0.36024389097151982</v>
      </c>
      <c r="BK176" s="9">
        <f>(BI176-2*$A$77)/(BG176-2*$A$47*$A$48)</f>
        <v>0.50757555710451041</v>
      </c>
      <c r="BL176" s="9">
        <f>1-BJ176-BK176</f>
        <v>0.13218055192396982</v>
      </c>
      <c r="BM176" s="3">
        <f>AY176*BJ176</f>
        <v>2041.1898304162137</v>
      </c>
      <c r="BN176" s="3">
        <f>AY176*BK176</f>
        <v>2875.9906588158615</v>
      </c>
      <c r="BO176" s="3">
        <f>SUM(BM176:BN176)</f>
        <v>4917.1804892320752</v>
      </c>
      <c r="BP176" s="3">
        <f>BE176*BJ176</f>
        <v>1931.3221479188053</v>
      </c>
      <c r="BQ176" s="3">
        <f>BE176*BK176</f>
        <v>2721.1895600352241</v>
      </c>
      <c r="BR176" s="3">
        <f>SUM(BP176:BQ176)</f>
        <v>4652.5117079540296</v>
      </c>
      <c r="BS176" s="3"/>
      <c r="BT176" s="15">
        <f>AF177</f>
        <v>44980</v>
      </c>
      <c r="BU176" s="3">
        <f t="shared" ref="BU176:CA176" si="21">AVERAGE(AG176:AG181)</f>
        <v>46.349999999999994</v>
      </c>
      <c r="BV176" s="13">
        <f t="shared" si="21"/>
        <v>1.111</v>
      </c>
      <c r="BW176" s="3">
        <f t="shared" si="21"/>
        <v>80.849999999999994</v>
      </c>
      <c r="BX176" s="3">
        <f t="shared" si="21"/>
        <v>30.6</v>
      </c>
      <c r="BY176" s="3">
        <f t="shared" si="21"/>
        <v>5.45</v>
      </c>
      <c r="BZ176" s="3">
        <f t="shared" si="21"/>
        <v>79.599999999999994</v>
      </c>
      <c r="CA176" s="3">
        <f t="shared" si="21"/>
        <v>8.85</v>
      </c>
      <c r="CB176" s="13"/>
      <c r="CC176" s="10">
        <f>AVERAGE(AO176:AO181)</f>
        <v>19</v>
      </c>
      <c r="CD176" s="4">
        <f>AVERAGE(AP176:AP181)</f>
        <v>0.33499999999999996</v>
      </c>
      <c r="CE176" s="3">
        <f>AVERAGE(AQ176:AQ181)</f>
        <v>9.1000000000000014</v>
      </c>
    </row>
    <row r="177" spans="1:83" x14ac:dyDescent="0.25">
      <c r="A177" s="2" t="s">
        <v>12</v>
      </c>
      <c r="B177" s="2">
        <v>4</v>
      </c>
      <c r="C177" t="s">
        <v>5</v>
      </c>
      <c r="D177" s="5" t="str">
        <f t="shared" si="14"/>
        <v>p04-4-MW</v>
      </c>
      <c r="E177" s="5" t="s">
        <v>468</v>
      </c>
      <c r="F177" s="17">
        <v>44881</v>
      </c>
      <c r="G177">
        <v>4</v>
      </c>
      <c r="H177" s="3">
        <v>27.2</v>
      </c>
      <c r="I177" s="3">
        <f t="shared" si="15"/>
        <v>26.74</v>
      </c>
      <c r="J177" s="3">
        <f>($A$54-$A$47)*$A$75</f>
        <v>0.96499999999999997</v>
      </c>
      <c r="K177" s="6">
        <f t="shared" si="16"/>
        <v>6184.4322637795267</v>
      </c>
      <c r="L177" s="4">
        <v>8.57</v>
      </c>
      <c r="M177" s="4">
        <v>271.86</v>
      </c>
      <c r="N177" s="4">
        <f>M177-L177</f>
        <v>263.29000000000002</v>
      </c>
      <c r="O177" s="4">
        <v>246.14</v>
      </c>
      <c r="P177" s="7">
        <f>(N177-O177)/N177*100</f>
        <v>6.5137301074860545</v>
      </c>
      <c r="Q177" s="6">
        <f>K177*(1-P177/100)</f>
        <v>5781.5950374366375</v>
      </c>
      <c r="R177" s="14">
        <v>44882</v>
      </c>
      <c r="S177" s="4">
        <v>11.94</v>
      </c>
      <c r="T177" s="4">
        <v>4.42</v>
      </c>
      <c r="U177" s="4">
        <v>7.6</v>
      </c>
      <c r="V177" s="8">
        <f>(T177-$A$76)/(S177-$A$47*$A$48)</f>
        <v>0.36142480093983548</v>
      </c>
      <c r="W177" s="8">
        <f>(U177-$A$77)/(S177-$A$47*$A$48)</f>
        <v>0.50292602017571442</v>
      </c>
      <c r="X177" s="8">
        <f>1-V177-W177</f>
        <v>0.13564917888445005</v>
      </c>
      <c r="Y177" s="6">
        <f>K177*V177</f>
        <v>2235.2071998624115</v>
      </c>
      <c r="Z177" s="6">
        <f>K177*W177</f>
        <v>3110.3119054689214</v>
      </c>
      <c r="AA177" s="6">
        <f>SUM(Y177:Z177)</f>
        <v>5345.5191053313329</v>
      </c>
      <c r="AB177" s="6">
        <f>Q177*V177</f>
        <v>2089.6118355202775</v>
      </c>
      <c r="AC177" s="6">
        <f>Q177*W177</f>
        <v>2907.7145824456688</v>
      </c>
      <c r="AD177" s="6">
        <f>SUM(AB177:AC177)</f>
        <v>4997.3264179659463</v>
      </c>
      <c r="AE177" s="10">
        <v>990130441016</v>
      </c>
      <c r="AF177" s="14">
        <v>44980</v>
      </c>
      <c r="AG177" s="6">
        <v>46.3</v>
      </c>
      <c r="AH177" s="11">
        <v>1.119</v>
      </c>
      <c r="AI177" s="6">
        <v>81.400000000000006</v>
      </c>
      <c r="AJ177" s="6">
        <v>31</v>
      </c>
      <c r="AK177" s="6">
        <v>5.4</v>
      </c>
      <c r="AL177" s="6">
        <v>80</v>
      </c>
      <c r="AM177" s="6">
        <v>9</v>
      </c>
      <c r="AN177" s="16" t="s">
        <v>148</v>
      </c>
      <c r="AO177" s="12">
        <v>20</v>
      </c>
      <c r="AP177" s="7">
        <v>0.25</v>
      </c>
      <c r="AQ177" s="6">
        <v>8.8000000000000007</v>
      </c>
      <c r="AV177" s="3"/>
      <c r="AW177" s="3"/>
      <c r="AX177" s="3"/>
      <c r="AY177" s="3"/>
      <c r="AZ177" s="4"/>
      <c r="BA177" s="4"/>
      <c r="BB177" s="4"/>
      <c r="BC177" s="4"/>
      <c r="BD177" s="4"/>
      <c r="BE177" s="3"/>
      <c r="BF177" s="3"/>
      <c r="BG177" s="4"/>
      <c r="BH177" s="4"/>
      <c r="BI177" s="4"/>
      <c r="BJ177" s="9"/>
      <c r="BK177" s="9"/>
      <c r="BL177" s="9"/>
      <c r="BM177" s="3"/>
      <c r="BN177" s="3"/>
      <c r="BO177" s="3"/>
      <c r="BP177" s="3"/>
      <c r="BQ177" s="3"/>
      <c r="BR177" s="3"/>
      <c r="BT177" s="15"/>
      <c r="BU177" s="3"/>
      <c r="BV177" s="13"/>
      <c r="BW177" s="3"/>
      <c r="BX177" s="3"/>
      <c r="BY177" s="3"/>
      <c r="BZ177" s="3"/>
      <c r="CA177" s="3"/>
      <c r="CB177" s="10"/>
      <c r="CC177" s="10"/>
      <c r="CD177" s="4"/>
      <c r="CE177" s="3"/>
    </row>
    <row r="178" spans="1:83" x14ac:dyDescent="0.25">
      <c r="A178" s="2" t="s">
        <v>12</v>
      </c>
      <c r="B178" s="2">
        <v>4</v>
      </c>
      <c r="C178" t="s">
        <v>6</v>
      </c>
      <c r="D178" s="5" t="str">
        <f t="shared" si="14"/>
        <v>p04-4-SW</v>
      </c>
      <c r="E178" s="5" t="s">
        <v>468</v>
      </c>
      <c r="F178" s="17">
        <v>44881</v>
      </c>
      <c r="G178">
        <v>4</v>
      </c>
      <c r="H178" s="3">
        <v>22.5</v>
      </c>
      <c r="I178" s="3">
        <f t="shared" si="15"/>
        <v>22.04</v>
      </c>
      <c r="J178" s="3">
        <f>($A$54-$A$47)*$A$75</f>
        <v>0.96499999999999997</v>
      </c>
      <c r="K178" s="6">
        <f t="shared" si="16"/>
        <v>5135.2775393700776</v>
      </c>
      <c r="L178" s="4"/>
      <c r="M178" s="4"/>
      <c r="N178" s="4"/>
      <c r="O178" s="4"/>
      <c r="P178" s="7"/>
      <c r="Q178" s="6"/>
      <c r="R178" s="14"/>
      <c r="S178" s="4"/>
      <c r="T178" s="4"/>
      <c r="U178" s="4"/>
      <c r="V178" s="8"/>
      <c r="W178" s="8"/>
      <c r="X178" s="8"/>
      <c r="Y178" s="6"/>
      <c r="Z178" s="6"/>
      <c r="AA178" s="6"/>
      <c r="AB178" s="6"/>
      <c r="AC178" s="6"/>
      <c r="AD178" s="6"/>
      <c r="AE178" s="10"/>
      <c r="AF178" s="14"/>
      <c r="AG178" s="6"/>
      <c r="AH178" s="11"/>
      <c r="AI178" s="6"/>
      <c r="AJ178" s="6"/>
      <c r="AK178" s="6"/>
      <c r="AL178" s="6"/>
      <c r="AM178" s="6"/>
      <c r="AN178" s="16"/>
      <c r="AO178" s="12"/>
      <c r="AP178" s="7"/>
      <c r="AQ178" s="6"/>
      <c r="AV178" s="3"/>
      <c r="AW178" s="3"/>
      <c r="AX178" s="3"/>
      <c r="AY178" s="3"/>
      <c r="AZ178" s="4"/>
      <c r="BA178" s="4"/>
      <c r="BB178" s="4"/>
      <c r="BC178" s="4"/>
      <c r="BD178" s="4"/>
      <c r="BE178" s="3"/>
      <c r="BF178" s="3"/>
      <c r="BG178" s="4"/>
      <c r="BH178" s="4"/>
      <c r="BI178" s="4"/>
      <c r="BJ178" s="9"/>
      <c r="BK178" s="9"/>
      <c r="BL178" s="9"/>
      <c r="BM178" s="3"/>
      <c r="BN178" s="3"/>
      <c r="BO178" s="3"/>
      <c r="BP178" s="3"/>
      <c r="BQ178" s="3"/>
      <c r="BR178" s="3"/>
      <c r="BT178" s="15"/>
      <c r="BU178" s="3"/>
      <c r="BV178" s="13"/>
      <c r="BW178" s="3"/>
      <c r="BX178" s="3"/>
      <c r="BY178" s="3"/>
      <c r="BZ178" s="3"/>
      <c r="CA178" s="3"/>
      <c r="CB178" s="10"/>
      <c r="CC178" s="10"/>
      <c r="CD178" s="4"/>
      <c r="CE178" s="3"/>
    </row>
    <row r="179" spans="1:83" x14ac:dyDescent="0.25">
      <c r="A179" s="2" t="s">
        <v>12</v>
      </c>
      <c r="B179" s="2">
        <v>4</v>
      </c>
      <c r="C179" t="s">
        <v>7</v>
      </c>
      <c r="D179" s="5" t="str">
        <f t="shared" si="14"/>
        <v>p04-4-NE</v>
      </c>
      <c r="E179" s="5" t="s">
        <v>468</v>
      </c>
      <c r="F179" s="17">
        <v>44881</v>
      </c>
      <c r="G179">
        <v>16</v>
      </c>
      <c r="H179" s="3">
        <v>28.2</v>
      </c>
      <c r="I179" s="3">
        <f t="shared" si="15"/>
        <v>27.74</v>
      </c>
      <c r="J179" s="3">
        <f>($A$66-$A$47)*$A$75</f>
        <v>1.02125</v>
      </c>
      <c r="K179" s="6">
        <f t="shared" si="16"/>
        <v>6420.2130462598416</v>
      </c>
      <c r="L179" s="4"/>
      <c r="M179" s="4"/>
      <c r="N179" s="4"/>
      <c r="O179" s="4"/>
      <c r="P179" s="7"/>
      <c r="Q179" s="6"/>
      <c r="R179" s="14"/>
      <c r="S179" s="4"/>
      <c r="T179" s="4"/>
      <c r="U179" s="4"/>
      <c r="V179" s="8"/>
      <c r="W179" s="8"/>
      <c r="X179" s="8"/>
      <c r="Y179" s="6"/>
      <c r="Z179" s="6"/>
      <c r="AA179" s="6"/>
      <c r="AB179" s="6"/>
      <c r="AC179" s="6"/>
      <c r="AD179" s="6"/>
      <c r="AE179" s="10"/>
      <c r="AF179" s="14"/>
      <c r="AG179" s="6"/>
      <c r="AH179" s="11"/>
      <c r="AI179" s="6"/>
      <c r="AJ179" s="6"/>
      <c r="AK179" s="6"/>
      <c r="AL179" s="6"/>
      <c r="AM179" s="6"/>
      <c r="AN179" s="16"/>
      <c r="AO179" s="12"/>
      <c r="AP179" s="7"/>
      <c r="AQ179" s="6"/>
      <c r="AV179" s="3"/>
      <c r="AW179" s="3"/>
      <c r="AX179" s="3"/>
      <c r="AY179" s="3"/>
      <c r="AZ179" s="4"/>
      <c r="BA179" s="4"/>
      <c r="BB179" s="4"/>
      <c r="BC179" s="4"/>
      <c r="BD179" s="4"/>
      <c r="BE179" s="3"/>
      <c r="BF179" s="3"/>
      <c r="BG179" s="4"/>
      <c r="BH179" s="4"/>
      <c r="BI179" s="4"/>
      <c r="BJ179" s="9"/>
      <c r="BK179" s="9"/>
      <c r="BL179" s="9"/>
      <c r="BM179" s="3"/>
      <c r="BN179" s="3"/>
      <c r="BO179" s="3"/>
      <c r="BP179" s="3"/>
      <c r="BQ179" s="3"/>
      <c r="BR179" s="3"/>
      <c r="BT179" s="15"/>
      <c r="BU179" s="3"/>
      <c r="BV179" s="13"/>
      <c r="BW179" s="3"/>
      <c r="BX179" s="3"/>
      <c r="BY179" s="3"/>
      <c r="BZ179" s="3"/>
      <c r="CA179" s="3"/>
      <c r="CB179" s="10"/>
      <c r="CC179" s="10"/>
      <c r="CD179" s="4"/>
      <c r="CE179" s="3"/>
    </row>
    <row r="180" spans="1:83" x14ac:dyDescent="0.25">
      <c r="A180" s="2" t="s">
        <v>12</v>
      </c>
      <c r="B180" s="2">
        <v>4</v>
      </c>
      <c r="C180" t="s">
        <v>18</v>
      </c>
      <c r="D180" s="5" t="str">
        <f t="shared" si="14"/>
        <v>p04-4-ME</v>
      </c>
      <c r="E180" s="5" t="s">
        <v>468</v>
      </c>
      <c r="F180" s="17">
        <v>44881</v>
      </c>
      <c r="G180">
        <v>16</v>
      </c>
      <c r="H180" s="3">
        <v>24</v>
      </c>
      <c r="I180" s="3">
        <f t="shared" si="15"/>
        <v>23.54</v>
      </c>
      <c r="J180" s="3">
        <f>($A$66-$A$47)*$A$75</f>
        <v>1.02125</v>
      </c>
      <c r="K180" s="6">
        <f t="shared" si="16"/>
        <v>5482.6705265748024</v>
      </c>
      <c r="L180" s="4">
        <v>8.92</v>
      </c>
      <c r="M180" s="4">
        <v>162.72</v>
      </c>
      <c r="N180" s="4">
        <f>M180-L180</f>
        <v>153.80000000000001</v>
      </c>
      <c r="O180" s="4">
        <v>148.5</v>
      </c>
      <c r="P180" s="7">
        <f>(N180-O180)/N180*100</f>
        <v>3.4460338101430503</v>
      </c>
      <c r="Q180" s="6">
        <f>K180*(1-P180/100)</f>
        <v>5293.7358465302868</v>
      </c>
      <c r="R180" s="14">
        <v>44882</v>
      </c>
      <c r="S180" s="4">
        <v>10.74</v>
      </c>
      <c r="T180" s="4">
        <v>3.96</v>
      </c>
      <c r="U180" s="4">
        <v>7.1</v>
      </c>
      <c r="V180" s="8">
        <f>(T180-$A$76)/(S180-$A$47*$A$48)</f>
        <v>0.35892842159019861</v>
      </c>
      <c r="W180" s="8">
        <f>(U180-$A$77)/(S180-$A$47*$A$48)</f>
        <v>0.512754887985998</v>
      </c>
      <c r="X180" s="8">
        <f>1-V180-W180</f>
        <v>0.12831669042380334</v>
      </c>
      <c r="Y180" s="6">
        <f>K180*V180</f>
        <v>1967.8862782025969</v>
      </c>
      <c r="Z180" s="6">
        <f>K180*W180</f>
        <v>2811.2661117179955</v>
      </c>
      <c r="AA180" s="6">
        <f>SUM(Y180:Z180)</f>
        <v>4779.1523899205922</v>
      </c>
      <c r="AB180" s="6">
        <f>Q180*V180</f>
        <v>1900.0722517105696</v>
      </c>
      <c r="AC180" s="6">
        <f>Q180*W180</f>
        <v>2714.3889310150994</v>
      </c>
      <c r="AD180" s="6">
        <f>SUM(AB180:AC180)</f>
        <v>4614.4611827256686</v>
      </c>
      <c r="AE180" s="10">
        <v>990130442064</v>
      </c>
      <c r="AF180" s="14">
        <v>44980</v>
      </c>
      <c r="AG180" s="6">
        <v>46.4</v>
      </c>
      <c r="AH180" s="11">
        <v>1.103</v>
      </c>
      <c r="AI180" s="6">
        <v>80.3</v>
      </c>
      <c r="AJ180" s="6">
        <v>30.2</v>
      </c>
      <c r="AK180" s="6">
        <v>5.5</v>
      </c>
      <c r="AL180" s="6">
        <v>79.2</v>
      </c>
      <c r="AM180" s="6">
        <v>8.6999999999999993</v>
      </c>
      <c r="AN180" s="16" t="s">
        <v>150</v>
      </c>
      <c r="AO180" s="12">
        <v>18</v>
      </c>
      <c r="AP180" s="7">
        <v>0.42</v>
      </c>
      <c r="AQ180" s="6">
        <v>9.4</v>
      </c>
      <c r="AV180" s="3"/>
      <c r="AW180" s="3"/>
      <c r="AX180" s="3"/>
      <c r="AY180" s="3"/>
      <c r="AZ180" s="4"/>
      <c r="BA180" s="4"/>
      <c r="BB180" s="4"/>
      <c r="BC180" s="4"/>
      <c r="BD180" s="4"/>
      <c r="BE180" s="3"/>
      <c r="BF180" s="3"/>
      <c r="BG180" s="4"/>
      <c r="BH180" s="4"/>
      <c r="BI180" s="4"/>
      <c r="BJ180" s="9"/>
      <c r="BK180" s="9"/>
      <c r="BL180" s="9"/>
      <c r="BM180" s="3"/>
      <c r="BN180" s="3"/>
      <c r="BO180" s="3"/>
      <c r="BP180" s="3"/>
      <c r="BQ180" s="3"/>
      <c r="BR180" s="3"/>
      <c r="BT180" s="15"/>
      <c r="BU180" s="3"/>
      <c r="BV180" s="13"/>
      <c r="BW180" s="3"/>
      <c r="BX180" s="3"/>
      <c r="BY180" s="3"/>
      <c r="BZ180" s="3"/>
      <c r="CA180" s="3"/>
      <c r="CB180" s="10"/>
      <c r="CC180" s="10"/>
      <c r="CD180" s="4"/>
      <c r="CE180" s="3"/>
    </row>
    <row r="181" spans="1:83" x14ac:dyDescent="0.25">
      <c r="A181" s="2" t="s">
        <v>12</v>
      </c>
      <c r="B181" s="2">
        <v>4</v>
      </c>
      <c r="C181" t="s">
        <v>8</v>
      </c>
      <c r="D181" s="5" t="str">
        <f t="shared" si="14"/>
        <v>p04-4-SE</v>
      </c>
      <c r="E181" s="5" t="s">
        <v>468</v>
      </c>
      <c r="F181" s="17">
        <v>44881</v>
      </c>
      <c r="G181">
        <v>16</v>
      </c>
      <c r="H181" s="3">
        <v>20.100000000000001</v>
      </c>
      <c r="I181" s="3">
        <f t="shared" si="15"/>
        <v>19.64</v>
      </c>
      <c r="J181" s="3">
        <f>($A$66-$A$47)*$A$75</f>
        <v>1.02125</v>
      </c>
      <c r="K181" s="6">
        <f t="shared" si="16"/>
        <v>4612.0953297244096</v>
      </c>
      <c r="L181" s="4"/>
      <c r="M181" s="4"/>
      <c r="N181" s="4"/>
      <c r="O181" s="4"/>
      <c r="P181" s="7"/>
      <c r="Q181" s="6"/>
      <c r="R181" s="14"/>
      <c r="S181" s="4"/>
      <c r="T181" s="4"/>
      <c r="U181" s="4"/>
      <c r="V181" s="8"/>
      <c r="W181" s="8"/>
      <c r="X181" s="8"/>
      <c r="Y181" s="6"/>
      <c r="Z181" s="6"/>
      <c r="AA181" s="6"/>
      <c r="AB181" s="6"/>
      <c r="AC181" s="6"/>
      <c r="AD181" s="6"/>
      <c r="AE181" s="10"/>
      <c r="AF181" s="14"/>
      <c r="AG181" s="6"/>
      <c r="AH181" s="11"/>
      <c r="AI181" s="6"/>
      <c r="AJ181" s="6"/>
      <c r="AK181" s="6"/>
      <c r="AL181" s="6"/>
      <c r="AM181" s="6"/>
      <c r="AN181" s="16"/>
      <c r="AO181" s="12"/>
      <c r="AP181" s="7"/>
      <c r="AQ181" s="6"/>
      <c r="AV181" s="3"/>
      <c r="AW181" s="3"/>
      <c r="AX181" s="3"/>
      <c r="AY181" s="3"/>
      <c r="AZ181" s="4"/>
      <c r="BA181" s="4"/>
      <c r="BB181" s="4"/>
      <c r="BC181" s="4"/>
      <c r="BD181" s="4"/>
      <c r="BE181" s="3"/>
      <c r="BF181" s="3"/>
      <c r="BG181" s="4"/>
      <c r="BH181" s="4"/>
      <c r="BI181" s="4"/>
      <c r="BJ181" s="9"/>
      <c r="BK181" s="9"/>
      <c r="BL181" s="9"/>
      <c r="BM181" s="3"/>
      <c r="BN181" s="3"/>
      <c r="BO181" s="3"/>
      <c r="BP181" s="3"/>
      <c r="BQ181" s="3"/>
      <c r="BR181" s="3"/>
      <c r="BT181" s="15"/>
      <c r="BU181" s="3"/>
      <c r="BV181" s="13"/>
      <c r="BW181" s="3"/>
      <c r="BX181" s="3"/>
      <c r="BY181" s="3"/>
      <c r="BZ181" s="3"/>
      <c r="CA181" s="3"/>
      <c r="CB181" s="10"/>
      <c r="CC181" s="10"/>
      <c r="CD181" s="4"/>
      <c r="CE181" s="3"/>
    </row>
    <row r="182" spans="1:83" x14ac:dyDescent="0.25">
      <c r="A182" s="2" t="s">
        <v>13</v>
      </c>
      <c r="B182" s="2">
        <v>1</v>
      </c>
      <c r="C182" t="s">
        <v>4</v>
      </c>
      <c r="D182" s="5" t="str">
        <f t="shared" si="14"/>
        <v>p05-1-NW</v>
      </c>
      <c r="E182" s="5" t="s">
        <v>468</v>
      </c>
      <c r="F182" s="17">
        <v>44881</v>
      </c>
      <c r="G182">
        <v>5</v>
      </c>
      <c r="H182" s="3">
        <v>22.7</v>
      </c>
      <c r="I182" s="3">
        <f t="shared" si="15"/>
        <v>22.24</v>
      </c>
      <c r="J182" s="3">
        <f>($A$55-$A$47)*$A$75</f>
        <v>0.6399999999999999</v>
      </c>
      <c r="K182" s="6">
        <f t="shared" si="16"/>
        <v>5107.3744881889761</v>
      </c>
      <c r="L182" s="4"/>
      <c r="M182" s="4"/>
      <c r="N182" s="4"/>
      <c r="O182" s="4"/>
      <c r="P182" s="7"/>
      <c r="Q182" s="6"/>
      <c r="R182" s="14"/>
      <c r="S182" s="4"/>
      <c r="T182" s="4"/>
      <c r="U182" s="4"/>
      <c r="V182" s="8"/>
      <c r="W182" s="8"/>
      <c r="X182" s="8"/>
      <c r="Y182" s="6"/>
      <c r="Z182" s="6"/>
      <c r="AA182" s="6"/>
      <c r="AB182" s="6"/>
      <c r="AC182" s="6"/>
      <c r="AD182" s="6"/>
      <c r="AE182" s="10"/>
      <c r="AF182" s="14"/>
      <c r="AG182" s="6"/>
      <c r="AH182" s="11"/>
      <c r="AI182" s="6"/>
      <c r="AJ182" s="6"/>
      <c r="AK182" s="6"/>
      <c r="AL182" s="6"/>
      <c r="AM182" s="6"/>
      <c r="AN182" s="16"/>
      <c r="AO182" s="12"/>
      <c r="AP182" s="7"/>
      <c r="AQ182" s="6"/>
      <c r="AS182" s="4" t="s">
        <v>102</v>
      </c>
      <c r="AT182" s="4" t="str">
        <f>E182</f>
        <v>Machine</v>
      </c>
      <c r="AU182" s="15">
        <f>F182</f>
        <v>44881</v>
      </c>
      <c r="AV182" s="3">
        <f>SUM(H182:H187)</f>
        <v>124.00000000000001</v>
      </c>
      <c r="AW182" s="3">
        <f>AV182-6*$A$47</f>
        <v>121.24000000000001</v>
      </c>
      <c r="AX182" s="3">
        <f>SUM(J182:J187)</f>
        <v>4.1962499999999991</v>
      </c>
      <c r="AY182" s="3">
        <f>(AW182+AX182)*$A$48/(6*$A$49)*$A$50</f>
        <v>4666.7388049540677</v>
      </c>
      <c r="AZ182" s="4">
        <f>SUM(L182:L187)</f>
        <v>17.310000000000002</v>
      </c>
      <c r="BA182" s="4">
        <f>SUM(M182:M187)</f>
        <v>334.03999999999996</v>
      </c>
      <c r="BB182" s="4">
        <f>BA182-AZ182</f>
        <v>316.72999999999996</v>
      </c>
      <c r="BC182" s="4">
        <f>SUM(O182:O187)</f>
        <v>300.02999999999997</v>
      </c>
      <c r="BD182" s="4">
        <f>(BB182-BC182)/BB182*100</f>
        <v>5.2726296845893952</v>
      </c>
      <c r="BE182" s="3">
        <f>AY182*(1-BD182/100)</f>
        <v>4420.6789494218074</v>
      </c>
      <c r="BF182" s="15">
        <f>R183</f>
        <v>44882</v>
      </c>
      <c r="BG182" s="4">
        <f>SUM(S182:S187)</f>
        <v>17.57</v>
      </c>
      <c r="BH182" s="4">
        <f>SUM(T182:T187)</f>
        <v>6.3599999999999994</v>
      </c>
      <c r="BI182" s="4">
        <f>SUM(U182:U187)</f>
        <v>12.3</v>
      </c>
      <c r="BJ182" s="9">
        <f>(BH182-2*$A$76)/(BG182-2*$A$47*$A$48)</f>
        <v>0.34979925160869874</v>
      </c>
      <c r="BK182" s="9">
        <f>(BI182-2*$A$77)/(BG182-2*$A$47*$A$48)</f>
        <v>0.51886888988623658</v>
      </c>
      <c r="BL182" s="9">
        <f>1-BJ182-BK182</f>
        <v>0.13133185850506468</v>
      </c>
      <c r="BM182" s="3">
        <f>AY182*BJ182</f>
        <v>1632.4217414262059</v>
      </c>
      <c r="BN182" s="3">
        <f>AY182*BK182</f>
        <v>2421.4255831155397</v>
      </c>
      <c r="BO182" s="3">
        <f>SUM(BM182:BN182)</f>
        <v>4053.8473245417454</v>
      </c>
      <c r="BP182" s="3">
        <f>BE182*BJ182</f>
        <v>1546.3501881100767</v>
      </c>
      <c r="BQ182" s="3">
        <f>BE182*BK182</f>
        <v>2293.7527790299478</v>
      </c>
      <c r="BR182" s="3">
        <f>SUM(BP182:BQ182)</f>
        <v>3840.1029671400247</v>
      </c>
      <c r="BS182" s="3"/>
      <c r="BT182" s="15">
        <f>AF183</f>
        <v>44980</v>
      </c>
      <c r="BU182" s="3">
        <f t="shared" ref="BU182:CA182" si="22">AVERAGE(AG182:AG187)</f>
        <v>47.150000000000006</v>
      </c>
      <c r="BV182" s="13">
        <f t="shared" si="22"/>
        <v>1.0775000000000001</v>
      </c>
      <c r="BW182" s="3">
        <f t="shared" si="22"/>
        <v>79.45</v>
      </c>
      <c r="BX182" s="3">
        <f t="shared" si="22"/>
        <v>28.85</v>
      </c>
      <c r="BY182" s="3">
        <f t="shared" si="22"/>
        <v>5.35</v>
      </c>
      <c r="BZ182" s="3">
        <f t="shared" si="22"/>
        <v>78.900000000000006</v>
      </c>
      <c r="CA182" s="3">
        <f t="shared" si="22"/>
        <v>9.0500000000000007</v>
      </c>
      <c r="CB182" s="13"/>
      <c r="CC182" s="10">
        <f>AVERAGE(AO182:AO187)</f>
        <v>13.5</v>
      </c>
      <c r="CD182" s="4">
        <f>AVERAGE(AP182:AP187)</f>
        <v>0.23499999999999999</v>
      </c>
      <c r="CE182" s="3">
        <f>AVERAGE(AQ182:AQ187)</f>
        <v>9.75</v>
      </c>
    </row>
    <row r="183" spans="1:83" x14ac:dyDescent="0.25">
      <c r="A183" s="2" t="s">
        <v>13</v>
      </c>
      <c r="B183" s="2">
        <v>1</v>
      </c>
      <c r="C183" t="s">
        <v>5</v>
      </c>
      <c r="D183" s="5" t="str">
        <f t="shared" si="14"/>
        <v>p05-1-MW</v>
      </c>
      <c r="E183" s="5" t="s">
        <v>468</v>
      </c>
      <c r="F183" s="17">
        <v>44881</v>
      </c>
      <c r="G183">
        <v>5</v>
      </c>
      <c r="H183" s="3">
        <v>21.5</v>
      </c>
      <c r="I183" s="3">
        <f t="shared" si="15"/>
        <v>21.04</v>
      </c>
      <c r="J183" s="3">
        <f>($A$55-$A$47)*$A$75</f>
        <v>0.6399999999999999</v>
      </c>
      <c r="K183" s="6">
        <f t="shared" si="16"/>
        <v>4839.505196850394</v>
      </c>
      <c r="L183" s="4">
        <v>8.48</v>
      </c>
      <c r="M183" s="4">
        <v>176.35</v>
      </c>
      <c r="N183" s="4">
        <f>M183-L183</f>
        <v>167.87</v>
      </c>
      <c r="O183" s="4">
        <v>157.63</v>
      </c>
      <c r="P183" s="7">
        <f>(N183-O183)/N183*100</f>
        <v>6.0999583010663061</v>
      </c>
      <c r="Q183" s="6">
        <f>K183*(1-P183/100)</f>
        <v>4544.2973978645832</v>
      </c>
      <c r="R183" s="14">
        <v>44882</v>
      </c>
      <c r="S183" s="4">
        <v>9.52</v>
      </c>
      <c r="T183" s="4">
        <v>3.46</v>
      </c>
      <c r="U183" s="4">
        <v>6.44</v>
      </c>
      <c r="V183" s="8">
        <f>(T183-$A$76)/(S183-$A$47*$A$48)</f>
        <v>0.35225835321831739</v>
      </c>
      <c r="W183" s="8">
        <f>(U183-$A$77)/(S183-$A$47*$A$48)</f>
        <v>0.50905627873622705</v>
      </c>
      <c r="X183" s="8">
        <f>1-V183-W183</f>
        <v>0.1386853680454555</v>
      </c>
      <c r="Y183" s="6">
        <f>K183*V183</f>
        <v>1704.7561310340086</v>
      </c>
      <c r="Z183" s="6">
        <f>K183*W183</f>
        <v>2463.5805064332935</v>
      </c>
      <c r="AA183" s="6">
        <f>SUM(Y183:Z183)</f>
        <v>4168.3366374673024</v>
      </c>
      <c r="AB183" s="6">
        <f>Q183*V183</f>
        <v>1600.7667179060629</v>
      </c>
      <c r="AC183" s="6">
        <f>Q183*W183</f>
        <v>2313.3031228276645</v>
      </c>
      <c r="AD183" s="6">
        <f>SUM(AB183:AC183)</f>
        <v>3914.0698407337277</v>
      </c>
      <c r="AE183" s="10">
        <v>990130511017</v>
      </c>
      <c r="AF183" s="14">
        <v>44980</v>
      </c>
      <c r="AG183" s="6">
        <v>48.6</v>
      </c>
      <c r="AH183" s="11">
        <v>1.083</v>
      </c>
      <c r="AI183" s="6">
        <v>80.5</v>
      </c>
      <c r="AJ183" s="6">
        <v>29.9</v>
      </c>
      <c r="AK183" s="6">
        <v>5.2</v>
      </c>
      <c r="AL183" s="6">
        <v>79.099999999999994</v>
      </c>
      <c r="AM183" s="6">
        <v>9.1999999999999993</v>
      </c>
      <c r="AN183" s="16" t="s">
        <v>148</v>
      </c>
      <c r="AO183" s="12">
        <v>11</v>
      </c>
      <c r="AP183" s="7">
        <v>0.11</v>
      </c>
      <c r="AQ183" s="6">
        <v>9.4</v>
      </c>
      <c r="AV183" s="3"/>
      <c r="AW183" s="3"/>
      <c r="AX183" s="3"/>
      <c r="AY183" s="3"/>
      <c r="AZ183" s="4"/>
      <c r="BA183" s="4"/>
      <c r="BB183" s="4"/>
      <c r="BC183" s="4"/>
      <c r="BD183" s="4"/>
      <c r="BE183" s="3"/>
      <c r="BF183" s="3"/>
      <c r="BG183" s="4"/>
      <c r="BH183" s="4"/>
      <c r="BI183" s="4"/>
      <c r="BJ183" s="9"/>
      <c r="BK183" s="9"/>
      <c r="BL183" s="9"/>
      <c r="BM183" s="3"/>
      <c r="BN183" s="3"/>
      <c r="BO183" s="3"/>
      <c r="BP183" s="3"/>
      <c r="BQ183" s="3"/>
      <c r="BR183" s="3"/>
      <c r="BT183" s="15"/>
      <c r="BU183" s="3"/>
      <c r="BV183" s="13"/>
      <c r="BW183" s="3"/>
      <c r="BX183" s="3"/>
      <c r="BY183" s="3"/>
      <c r="BZ183" s="3"/>
      <c r="CA183" s="3"/>
      <c r="CB183" s="10"/>
      <c r="CC183" s="10"/>
      <c r="CD183" s="4"/>
      <c r="CE183" s="3"/>
    </row>
    <row r="184" spans="1:83" x14ac:dyDescent="0.25">
      <c r="A184" s="2" t="s">
        <v>13</v>
      </c>
      <c r="B184" s="2">
        <v>1</v>
      </c>
      <c r="C184" t="s">
        <v>6</v>
      </c>
      <c r="D184" s="5" t="str">
        <f t="shared" si="14"/>
        <v>p05-1-SW</v>
      </c>
      <c r="E184" s="5" t="s">
        <v>468</v>
      </c>
      <c r="F184" s="17">
        <v>44881</v>
      </c>
      <c r="G184">
        <v>5</v>
      </c>
      <c r="H184" s="3">
        <v>17.100000000000001</v>
      </c>
      <c r="I184" s="3">
        <f t="shared" si="15"/>
        <v>16.64</v>
      </c>
      <c r="J184" s="3">
        <f>($A$55-$A$47)*$A$75</f>
        <v>0.6399999999999999</v>
      </c>
      <c r="K184" s="6">
        <f t="shared" si="16"/>
        <v>3857.3177952755909</v>
      </c>
      <c r="L184" s="4"/>
      <c r="M184" s="4"/>
      <c r="N184" s="4"/>
      <c r="O184" s="4"/>
      <c r="P184" s="7"/>
      <c r="Q184" s="6"/>
      <c r="R184" s="14"/>
      <c r="S184" s="4"/>
      <c r="T184" s="4"/>
      <c r="U184" s="4"/>
      <c r="V184" s="8"/>
      <c r="W184" s="8"/>
      <c r="X184" s="8"/>
      <c r="Y184" s="6"/>
      <c r="Z184" s="6"/>
      <c r="AA184" s="6"/>
      <c r="AB184" s="6"/>
      <c r="AC184" s="6"/>
      <c r="AD184" s="6"/>
      <c r="AE184" s="10"/>
      <c r="AF184" s="14"/>
      <c r="AG184" s="6"/>
      <c r="AH184" s="11"/>
      <c r="AI184" s="6"/>
      <c r="AJ184" s="6"/>
      <c r="AK184" s="6"/>
      <c r="AL184" s="6"/>
      <c r="AM184" s="6"/>
      <c r="AN184" s="16"/>
      <c r="AO184" s="12"/>
      <c r="AP184" s="7"/>
      <c r="AQ184" s="6"/>
      <c r="AV184" s="3"/>
      <c r="AW184" s="3"/>
      <c r="AX184" s="3"/>
      <c r="AY184" s="3"/>
      <c r="AZ184" s="4"/>
      <c r="BA184" s="4"/>
      <c r="BB184" s="4"/>
      <c r="BC184" s="4"/>
      <c r="BD184" s="4"/>
      <c r="BE184" s="3"/>
      <c r="BF184" s="3"/>
      <c r="BG184" s="4"/>
      <c r="BH184" s="4"/>
      <c r="BI184" s="4"/>
      <c r="BJ184" s="9"/>
      <c r="BK184" s="9"/>
      <c r="BL184" s="9"/>
      <c r="BM184" s="3"/>
      <c r="BN184" s="3"/>
      <c r="BO184" s="3"/>
      <c r="BP184" s="3"/>
      <c r="BQ184" s="3"/>
      <c r="BR184" s="3"/>
      <c r="BS184" s="4"/>
      <c r="BT184" s="15"/>
      <c r="BU184" s="3"/>
      <c r="BV184" s="13"/>
      <c r="BW184" s="3"/>
      <c r="BX184" s="3"/>
      <c r="BY184" s="3"/>
      <c r="BZ184" s="3"/>
      <c r="CA184" s="3"/>
      <c r="CB184" s="10"/>
      <c r="CC184" s="10"/>
      <c r="CD184" s="4"/>
      <c r="CE184" s="3"/>
    </row>
    <row r="185" spans="1:83" x14ac:dyDescent="0.25">
      <c r="A185" s="2" t="s">
        <v>13</v>
      </c>
      <c r="B185" s="2">
        <v>1</v>
      </c>
      <c r="C185" t="s">
        <v>7</v>
      </c>
      <c r="D185" s="5" t="str">
        <f t="shared" si="14"/>
        <v>p05-1-NE</v>
      </c>
      <c r="E185" s="5" t="s">
        <v>468</v>
      </c>
      <c r="F185" s="17">
        <v>44881</v>
      </c>
      <c r="G185">
        <v>17</v>
      </c>
      <c r="H185" s="3">
        <v>28.3</v>
      </c>
      <c r="I185" s="3">
        <f t="shared" si="15"/>
        <v>27.84</v>
      </c>
      <c r="J185" s="3">
        <f>($A$67-$A$47)*$A$75</f>
        <v>0.75874999999999992</v>
      </c>
      <c r="K185" s="6">
        <f t="shared" si="16"/>
        <v>6383.9390797244087</v>
      </c>
      <c r="L185" s="4"/>
      <c r="M185" s="4"/>
      <c r="N185" s="4"/>
      <c r="O185" s="4"/>
      <c r="P185" s="7"/>
      <c r="Q185" s="6"/>
      <c r="R185" s="14"/>
      <c r="S185" s="4"/>
      <c r="T185" s="4"/>
      <c r="U185" s="4"/>
      <c r="V185" s="8"/>
      <c r="W185" s="8"/>
      <c r="X185" s="8"/>
      <c r="Y185" s="6"/>
      <c r="Z185" s="6"/>
      <c r="AA185" s="6"/>
      <c r="AB185" s="6"/>
      <c r="AC185" s="6"/>
      <c r="AD185" s="6"/>
      <c r="AE185" s="10"/>
      <c r="AF185" s="14"/>
      <c r="AG185" s="6"/>
      <c r="AH185" s="11"/>
      <c r="AI185" s="6"/>
      <c r="AJ185" s="6"/>
      <c r="AK185" s="6"/>
      <c r="AL185" s="6"/>
      <c r="AM185" s="6"/>
      <c r="AN185" s="16"/>
      <c r="AO185" s="12"/>
      <c r="AP185" s="7"/>
      <c r="AQ185" s="6"/>
      <c r="AV185" s="3"/>
      <c r="AW185" s="3"/>
      <c r="AX185" s="3"/>
      <c r="AY185" s="3"/>
      <c r="AZ185" s="4"/>
      <c r="BA185" s="4"/>
      <c r="BB185" s="4"/>
      <c r="BC185" s="4"/>
      <c r="BD185" s="4"/>
      <c r="BE185" s="3"/>
      <c r="BF185" s="3"/>
      <c r="BG185" s="4"/>
      <c r="BH185" s="4"/>
      <c r="BI185" s="4"/>
      <c r="BJ185" s="9"/>
      <c r="BK185" s="9"/>
      <c r="BL185" s="9"/>
      <c r="BM185" s="3"/>
      <c r="BN185" s="3"/>
      <c r="BO185" s="3"/>
      <c r="BP185" s="3"/>
      <c r="BQ185" s="3"/>
      <c r="BR185" s="3"/>
      <c r="BT185" s="15"/>
      <c r="BU185" s="3"/>
      <c r="BV185" s="13"/>
      <c r="BW185" s="3"/>
      <c r="BX185" s="3"/>
      <c r="BY185" s="3"/>
      <c r="BZ185" s="3"/>
      <c r="CA185" s="3"/>
      <c r="CB185" s="10"/>
      <c r="CC185" s="10"/>
      <c r="CD185" s="4"/>
      <c r="CE185" s="3"/>
    </row>
    <row r="186" spans="1:83" x14ac:dyDescent="0.25">
      <c r="A186" s="2" t="s">
        <v>13</v>
      </c>
      <c r="B186" s="2">
        <v>1</v>
      </c>
      <c r="C186" t="s">
        <v>18</v>
      </c>
      <c r="D186" s="5" t="str">
        <f t="shared" si="14"/>
        <v>p05-1-ME</v>
      </c>
      <c r="E186" s="5" t="s">
        <v>468</v>
      </c>
      <c r="F186" s="17">
        <v>44881</v>
      </c>
      <c r="G186">
        <v>17</v>
      </c>
      <c r="H186" s="3">
        <v>18.100000000000001</v>
      </c>
      <c r="I186" s="3">
        <f t="shared" si="15"/>
        <v>17.64</v>
      </c>
      <c r="J186" s="3">
        <f>($A$67-$A$47)*$A$75</f>
        <v>0.75874999999999992</v>
      </c>
      <c r="K186" s="6">
        <f t="shared" si="16"/>
        <v>4107.050103346457</v>
      </c>
      <c r="L186" s="4">
        <v>8.83</v>
      </c>
      <c r="M186" s="4">
        <v>157.69</v>
      </c>
      <c r="N186" s="4">
        <f>M186-L186</f>
        <v>148.85999999999999</v>
      </c>
      <c r="O186" s="4">
        <v>142.4</v>
      </c>
      <c r="P186" s="7">
        <f>(N186-O186)/N186*100</f>
        <v>4.3396479914013035</v>
      </c>
      <c r="Q186" s="6">
        <f>K186*(1-P186/100)</f>
        <v>3928.8185860307372</v>
      </c>
      <c r="R186" s="14">
        <v>44882</v>
      </c>
      <c r="S186" s="4">
        <v>8.0500000000000007</v>
      </c>
      <c r="T186" s="4">
        <v>2.9</v>
      </c>
      <c r="U186" s="4">
        <v>5.86</v>
      </c>
      <c r="V186" s="8">
        <f>(T186-$A$76)/(S186-$A$47*$A$48)</f>
        <v>0.34687914769263228</v>
      </c>
      <c r="W186" s="8">
        <f>(U186-$A$77)/(S186-$A$47*$A$48)</f>
        <v>0.53052104941226119</v>
      </c>
      <c r="X186" s="8">
        <f>1-V186-W186</f>
        <v>0.12259980289510652</v>
      </c>
      <c r="Y186" s="6">
        <f>K186*V186</f>
        <v>1424.6500393797564</v>
      </c>
      <c r="Z186" s="6">
        <f>K186*W186</f>
        <v>2178.8765308160982</v>
      </c>
      <c r="AA186" s="6">
        <f>SUM(Y186:Z186)</f>
        <v>3603.5265701958547</v>
      </c>
      <c r="AB186" s="6">
        <f>Q186*V186</f>
        <v>1362.8252425613148</v>
      </c>
      <c r="AC186" s="6">
        <f>Q186*W186</f>
        <v>2084.3209592114226</v>
      </c>
      <c r="AD186" s="6">
        <f>SUM(AB186:AC186)</f>
        <v>3447.1462017727372</v>
      </c>
      <c r="AE186" s="10">
        <v>990130512065</v>
      </c>
      <c r="AF186" s="14">
        <v>44980</v>
      </c>
      <c r="AG186" s="6">
        <v>45.7</v>
      </c>
      <c r="AH186" s="11">
        <v>1.0720000000000001</v>
      </c>
      <c r="AI186" s="6">
        <v>78.400000000000006</v>
      </c>
      <c r="AJ186" s="6">
        <v>27.8</v>
      </c>
      <c r="AK186" s="6">
        <v>5.5</v>
      </c>
      <c r="AL186" s="6">
        <v>78.7</v>
      </c>
      <c r="AM186" s="6">
        <v>8.9</v>
      </c>
      <c r="AN186" s="16" t="s">
        <v>148</v>
      </c>
      <c r="AO186" s="12">
        <v>16</v>
      </c>
      <c r="AP186" s="7">
        <v>0.36</v>
      </c>
      <c r="AQ186" s="6">
        <v>10.1</v>
      </c>
      <c r="AV186" s="3"/>
      <c r="AW186" s="3"/>
      <c r="AX186" s="3"/>
      <c r="AY186" s="3"/>
      <c r="AZ186" s="4"/>
      <c r="BA186" s="4"/>
      <c r="BB186" s="4"/>
      <c r="BC186" s="4"/>
      <c r="BD186" s="4"/>
      <c r="BE186" s="3"/>
      <c r="BF186" s="3"/>
      <c r="BG186" s="4"/>
      <c r="BH186" s="4"/>
      <c r="BI186" s="4"/>
      <c r="BJ186" s="9"/>
      <c r="BK186" s="9"/>
      <c r="BL186" s="9"/>
      <c r="BM186" s="3"/>
      <c r="BN186" s="3"/>
      <c r="BO186" s="3"/>
      <c r="BP186" s="3"/>
      <c r="BQ186" s="3"/>
      <c r="BR186" s="3"/>
      <c r="BT186" s="15"/>
      <c r="BU186" s="3"/>
      <c r="BV186" s="13"/>
      <c r="BW186" s="3"/>
      <c r="BX186" s="3"/>
      <c r="BY186" s="3"/>
      <c r="BZ186" s="3"/>
      <c r="CA186" s="3"/>
      <c r="CB186" s="10"/>
      <c r="CC186" s="10"/>
      <c r="CD186" s="4"/>
      <c r="CE186" s="3"/>
    </row>
    <row r="187" spans="1:83" x14ac:dyDescent="0.25">
      <c r="A187" s="2" t="s">
        <v>13</v>
      </c>
      <c r="B187" s="2">
        <v>1</v>
      </c>
      <c r="C187" t="s">
        <v>8</v>
      </c>
      <c r="D187" s="5" t="str">
        <f t="shared" si="14"/>
        <v>p05-1-SE</v>
      </c>
      <c r="E187" s="5" t="s">
        <v>468</v>
      </c>
      <c r="F187" s="17">
        <v>44881</v>
      </c>
      <c r="G187">
        <v>17</v>
      </c>
      <c r="H187" s="3">
        <v>16.3</v>
      </c>
      <c r="I187" s="3">
        <f t="shared" si="15"/>
        <v>15.84</v>
      </c>
      <c r="J187" s="3">
        <f>($A$67-$A$47)*$A$75</f>
        <v>0.75874999999999992</v>
      </c>
      <c r="K187" s="6">
        <f t="shared" si="16"/>
        <v>3705.246166338582</v>
      </c>
      <c r="L187" s="4"/>
      <c r="M187" s="4"/>
      <c r="N187" s="4"/>
      <c r="O187" s="4"/>
      <c r="P187" s="7"/>
      <c r="Q187" s="6"/>
      <c r="R187" s="14"/>
      <c r="S187" s="4"/>
      <c r="T187" s="4"/>
      <c r="U187" s="4"/>
      <c r="V187" s="8"/>
      <c r="W187" s="8"/>
      <c r="X187" s="8"/>
      <c r="Y187" s="6"/>
      <c r="Z187" s="6"/>
      <c r="AA187" s="6"/>
      <c r="AB187" s="6"/>
      <c r="AC187" s="6"/>
      <c r="AD187" s="6"/>
      <c r="AE187" s="10"/>
      <c r="AF187" s="14"/>
      <c r="AG187" s="6"/>
      <c r="AH187" s="11"/>
      <c r="AI187" s="6"/>
      <c r="AJ187" s="6"/>
      <c r="AK187" s="6"/>
      <c r="AL187" s="6"/>
      <c r="AM187" s="6"/>
      <c r="AN187" s="16"/>
      <c r="AO187" s="12"/>
      <c r="AP187" s="7"/>
      <c r="AQ187" s="6"/>
      <c r="AV187" s="3"/>
      <c r="AW187" s="3"/>
      <c r="AX187" s="3"/>
      <c r="AY187" s="3"/>
      <c r="AZ187" s="4"/>
      <c r="BA187" s="4"/>
      <c r="BB187" s="4"/>
      <c r="BC187" s="4"/>
      <c r="BD187" s="4"/>
      <c r="BE187" s="3"/>
      <c r="BF187" s="3"/>
      <c r="BG187" s="4"/>
      <c r="BH187" s="4"/>
      <c r="BI187" s="4"/>
      <c r="BJ187" s="9"/>
      <c r="BK187" s="9"/>
      <c r="BL187" s="9"/>
      <c r="BM187" s="3"/>
      <c r="BN187" s="3"/>
      <c r="BO187" s="3"/>
      <c r="BP187" s="3"/>
      <c r="BQ187" s="3"/>
      <c r="BR187" s="3"/>
      <c r="BT187" s="15"/>
      <c r="BU187" s="3"/>
      <c r="BV187" s="13"/>
      <c r="BW187" s="3"/>
      <c r="BX187" s="3"/>
      <c r="BY187" s="3"/>
      <c r="BZ187" s="3"/>
      <c r="CA187" s="3"/>
      <c r="CB187" s="10"/>
      <c r="CC187" s="10"/>
      <c r="CD187" s="4"/>
      <c r="CE187" s="3"/>
    </row>
    <row r="188" spans="1:83" x14ac:dyDescent="0.25">
      <c r="A188" s="2" t="s">
        <v>13</v>
      </c>
      <c r="B188" s="2">
        <v>2</v>
      </c>
      <c r="C188" t="s">
        <v>4</v>
      </c>
      <c r="D188" s="5" t="str">
        <f t="shared" si="14"/>
        <v>p05-2-NW</v>
      </c>
      <c r="E188" s="5" t="s">
        <v>468</v>
      </c>
      <c r="F188" s="17">
        <v>44881</v>
      </c>
      <c r="G188">
        <v>5</v>
      </c>
      <c r="H188" s="3">
        <v>18.5</v>
      </c>
      <c r="I188" s="3">
        <f t="shared" si="15"/>
        <v>18.04</v>
      </c>
      <c r="J188" s="3">
        <f>($A$55-$A$47)*$A$75</f>
        <v>0.6399999999999999</v>
      </c>
      <c r="K188" s="6">
        <f t="shared" si="16"/>
        <v>4169.8319685039369</v>
      </c>
      <c r="L188" s="4"/>
      <c r="M188" s="4"/>
      <c r="N188" s="4"/>
      <c r="O188" s="4"/>
      <c r="P188" s="7"/>
      <c r="Q188" s="6"/>
      <c r="R188" s="14"/>
      <c r="S188" s="4"/>
      <c r="T188" s="4"/>
      <c r="U188" s="4"/>
      <c r="V188" s="8"/>
      <c r="W188" s="8"/>
      <c r="X188" s="8"/>
      <c r="Y188" s="6"/>
      <c r="Z188" s="6"/>
      <c r="AA188" s="6"/>
      <c r="AB188" s="6"/>
      <c r="AC188" s="6"/>
      <c r="AD188" s="6"/>
      <c r="AE188" s="10"/>
      <c r="AF188" s="14"/>
      <c r="AG188" s="6"/>
      <c r="AH188" s="11"/>
      <c r="AI188" s="6"/>
      <c r="AJ188" s="6"/>
      <c r="AK188" s="6"/>
      <c r="AL188" s="6"/>
      <c r="AM188" s="6"/>
      <c r="AN188" s="16"/>
      <c r="AO188" s="12"/>
      <c r="AP188" s="7"/>
      <c r="AQ188" s="6"/>
      <c r="AS188" t="s">
        <v>103</v>
      </c>
      <c r="AT188" s="4" t="str">
        <f>E188</f>
        <v>Machine</v>
      </c>
      <c r="AU188" s="15">
        <f>F188</f>
        <v>44881</v>
      </c>
      <c r="AV188" s="3">
        <f>SUM(H188:H193)</f>
        <v>112.69999999999999</v>
      </c>
      <c r="AW188" s="3">
        <f>AV188-6*$A$47</f>
        <v>109.93999999999998</v>
      </c>
      <c r="AX188" s="3">
        <f>SUM(J188:J193)</f>
        <v>4.1962499999999991</v>
      </c>
      <c r="AY188" s="3">
        <f>(AW188+AX188)*$A$48/(6*$A$49)*$A$50</f>
        <v>4246.3328338254587</v>
      </c>
      <c r="AZ188" s="4">
        <f>SUM(L188:L193)</f>
        <v>17.32</v>
      </c>
      <c r="BA188" s="4">
        <f>SUM(M188:M193)</f>
        <v>376.86</v>
      </c>
      <c r="BB188" s="4">
        <f>BA188-AZ188</f>
        <v>359.54</v>
      </c>
      <c r="BC188" s="4">
        <f>SUM(O188:O193)</f>
        <v>341.1</v>
      </c>
      <c r="BD188" s="4">
        <f>(BB188-BC188)/BB188*100</f>
        <v>5.1287756577849466</v>
      </c>
      <c r="BE188" s="3">
        <f>AY188*(1-BD188/100)</f>
        <v>4028.5479490956891</v>
      </c>
      <c r="BF188" s="15">
        <f>R189</f>
        <v>44882</v>
      </c>
      <c r="BG188" s="4">
        <f>SUM(S188:S193)</f>
        <v>19.21</v>
      </c>
      <c r="BH188" s="4">
        <f>SUM(T188:T193)</f>
        <v>7.2</v>
      </c>
      <c r="BI188" s="4">
        <f>SUM(U188:U193)</f>
        <v>13</v>
      </c>
      <c r="BJ188" s="9">
        <f>(BH188-2*$A$76)/(BG188-2*$A$47*$A$48)</f>
        <v>0.36397120631023733</v>
      </c>
      <c r="BK188" s="9">
        <f>(BI188-2*$A$77)/(BG188-2*$A$47*$A$48)</f>
        <v>0.51083678078629802</v>
      </c>
      <c r="BL188" s="9">
        <f>1-BJ188-BK188</f>
        <v>0.1251920129034646</v>
      </c>
      <c r="BM188" s="3">
        <f>AY188*BJ188</f>
        <v>1545.5428839222207</v>
      </c>
      <c r="BN188" s="3">
        <f>AY188*BK188</f>
        <v>2169.1829949785556</v>
      </c>
      <c r="BO188" s="3">
        <f>SUM(BM188:BN188)</f>
        <v>3714.7258789007765</v>
      </c>
      <c r="BP188" s="3">
        <f>BE188*BJ188</f>
        <v>1466.2754567109905</v>
      </c>
      <c r="BQ188" s="3">
        <f>BE188*BK188</f>
        <v>2057.930465559285</v>
      </c>
      <c r="BR188" s="3">
        <f>SUM(BP188:BQ188)</f>
        <v>3524.2059222702756</v>
      </c>
      <c r="BS188" s="3"/>
      <c r="BT188" s="15">
        <f>AF189</f>
        <v>44980</v>
      </c>
      <c r="BU188" s="3">
        <f t="shared" ref="BU188:CA188" si="23">AVERAGE(AG188:AG193)</f>
        <v>49.149999999999991</v>
      </c>
      <c r="BV188" s="13">
        <f t="shared" si="23"/>
        <v>1.0685</v>
      </c>
      <c r="BW188" s="3">
        <f t="shared" si="23"/>
        <v>80.150000000000006</v>
      </c>
      <c r="BX188" s="3">
        <f t="shared" si="23"/>
        <v>28.55</v>
      </c>
      <c r="BY188" s="3">
        <f t="shared" si="23"/>
        <v>5.5</v>
      </c>
      <c r="BZ188" s="3">
        <f t="shared" si="23"/>
        <v>79.05</v>
      </c>
      <c r="CA188" s="3">
        <f t="shared" si="23"/>
        <v>9.4</v>
      </c>
      <c r="CB188" s="13"/>
      <c r="CC188" s="10">
        <f>AVERAGE(AO188:AO193)</f>
        <v>11.5</v>
      </c>
      <c r="CD188" s="4">
        <f>AVERAGE(AP188:AP193)</f>
        <v>0.13</v>
      </c>
      <c r="CE188" s="3">
        <f>AVERAGE(AQ188:AQ193)</f>
        <v>10.15</v>
      </c>
    </row>
    <row r="189" spans="1:83" x14ac:dyDescent="0.25">
      <c r="A189" s="2" t="s">
        <v>13</v>
      </c>
      <c r="B189" s="2">
        <v>2</v>
      </c>
      <c r="C189" t="s">
        <v>5</v>
      </c>
      <c r="D189" s="5" t="str">
        <f t="shared" si="14"/>
        <v>p05-2-MW</v>
      </c>
      <c r="E189" s="5" t="s">
        <v>468</v>
      </c>
      <c r="F189" s="17">
        <v>44881</v>
      </c>
      <c r="G189">
        <v>5</v>
      </c>
      <c r="H189" s="3">
        <v>21</v>
      </c>
      <c r="I189" s="3">
        <f t="shared" si="15"/>
        <v>20.54</v>
      </c>
      <c r="J189" s="3">
        <f>($A$55-$A$47)*$A$75</f>
        <v>0.6399999999999999</v>
      </c>
      <c r="K189" s="6">
        <f t="shared" si="16"/>
        <v>4727.8929921259842</v>
      </c>
      <c r="L189" s="4">
        <v>8.56</v>
      </c>
      <c r="M189" s="4">
        <v>150.11000000000001</v>
      </c>
      <c r="N189" s="4">
        <f>M189-L189</f>
        <v>141.55000000000001</v>
      </c>
      <c r="O189" s="4">
        <v>133.38</v>
      </c>
      <c r="P189" s="7">
        <f>(N189-O189)/N189*100</f>
        <v>5.7718120805369235</v>
      </c>
      <c r="Q189" s="6">
        <f>K189*(1-P189/100)</f>
        <v>4455.007893251598</v>
      </c>
      <c r="R189" s="14">
        <v>44882</v>
      </c>
      <c r="S189" s="4">
        <v>9.31</v>
      </c>
      <c r="T189" s="4">
        <v>3.5</v>
      </c>
      <c r="U189" s="4">
        <v>6.38</v>
      </c>
      <c r="V189" s="8">
        <f>(T189-$A$76)/(S189-$A$47*$A$48)</f>
        <v>0.36478114195061712</v>
      </c>
      <c r="W189" s="8">
        <f>(U189-$A$77)/(S189-$A$47*$A$48)</f>
        <v>0.51420956154484587</v>
      </c>
      <c r="X189" s="8">
        <f>1-V189-W189</f>
        <v>0.12100929650453707</v>
      </c>
      <c r="Y189" s="6">
        <f>K189*V189</f>
        <v>1724.6462046880365</v>
      </c>
      <c r="Z189" s="6">
        <f>K189*W189</f>
        <v>2431.1277825120519</v>
      </c>
      <c r="AA189" s="6">
        <f>SUM(Y189:Z189)</f>
        <v>4155.7739872000884</v>
      </c>
      <c r="AB189" s="6">
        <f>Q189*V189</f>
        <v>1625.1028666993309</v>
      </c>
      <c r="AC189" s="6">
        <f>Q189*W189</f>
        <v>2290.8076554677318</v>
      </c>
      <c r="AD189" s="6">
        <f>SUM(AB189:AC189)</f>
        <v>3915.9105221670625</v>
      </c>
      <c r="AE189" s="10">
        <v>990130521018</v>
      </c>
      <c r="AF189" s="14">
        <v>44980</v>
      </c>
      <c r="AG189" s="6">
        <v>50.199999999999996</v>
      </c>
      <c r="AH189" s="11">
        <v>1.0660000000000001</v>
      </c>
      <c r="AI189" s="6">
        <v>80</v>
      </c>
      <c r="AJ189" s="6">
        <v>27.5</v>
      </c>
      <c r="AK189" s="6">
        <v>5.6</v>
      </c>
      <c r="AL189" s="6">
        <v>78.8</v>
      </c>
      <c r="AM189" s="6">
        <v>9.8000000000000007</v>
      </c>
      <c r="AN189" s="16" t="s">
        <v>170</v>
      </c>
      <c r="AO189" s="12">
        <v>10</v>
      </c>
      <c r="AP189" s="7">
        <v>0.14000000000000001</v>
      </c>
      <c r="AQ189" s="6">
        <v>10.5</v>
      </c>
      <c r="AV189" s="3"/>
      <c r="AW189" s="3"/>
      <c r="AX189" s="3"/>
      <c r="AY189" s="3"/>
      <c r="AZ189" s="4"/>
      <c r="BA189" s="4"/>
      <c r="BB189" s="4"/>
      <c r="BC189" s="4"/>
      <c r="BD189" s="4"/>
      <c r="BE189" s="3"/>
      <c r="BF189" s="3"/>
      <c r="BG189" s="4"/>
      <c r="BH189" s="4"/>
      <c r="BI189" s="4"/>
      <c r="BJ189" s="9"/>
      <c r="BK189" s="9"/>
      <c r="BL189" s="9"/>
      <c r="BM189" s="3"/>
      <c r="BN189" s="3"/>
      <c r="BO189" s="3"/>
      <c r="BP189" s="3"/>
      <c r="BQ189" s="3"/>
      <c r="BR189" s="3"/>
      <c r="BT189" s="15"/>
      <c r="BU189" s="3"/>
      <c r="BV189" s="13"/>
      <c r="BW189" s="3"/>
      <c r="BX189" s="3"/>
      <c r="BY189" s="3"/>
      <c r="BZ189" s="3"/>
      <c r="CA189" s="3"/>
      <c r="CB189" s="10"/>
      <c r="CC189" s="10"/>
      <c r="CD189" s="4"/>
      <c r="CE189" s="3"/>
    </row>
    <row r="190" spans="1:83" x14ac:dyDescent="0.25">
      <c r="A190" s="2" t="s">
        <v>13</v>
      </c>
      <c r="B190" s="2">
        <v>2</v>
      </c>
      <c r="C190" t="s">
        <v>6</v>
      </c>
      <c r="D190" s="5" t="str">
        <f t="shared" si="14"/>
        <v>p05-2-SW</v>
      </c>
      <c r="E190" s="5" t="s">
        <v>468</v>
      </c>
      <c r="F190" s="17">
        <v>44881</v>
      </c>
      <c r="G190">
        <v>5</v>
      </c>
      <c r="H190" s="3">
        <v>11.1</v>
      </c>
      <c r="I190" s="3">
        <f t="shared" si="15"/>
        <v>10.639999999999999</v>
      </c>
      <c r="J190" s="3">
        <f>($A$55-$A$47)*$A$75</f>
        <v>0.6399999999999999</v>
      </c>
      <c r="K190" s="6">
        <f t="shared" si="16"/>
        <v>2517.9713385826767</v>
      </c>
      <c r="L190" s="4"/>
      <c r="M190" s="4"/>
      <c r="N190" s="4"/>
      <c r="O190" s="4"/>
      <c r="P190" s="7"/>
      <c r="Q190" s="6"/>
      <c r="R190" s="14"/>
      <c r="S190" s="4"/>
      <c r="T190" s="4"/>
      <c r="U190" s="4"/>
      <c r="V190" s="8"/>
      <c r="W190" s="8"/>
      <c r="X190" s="8"/>
      <c r="Y190" s="6"/>
      <c r="Z190" s="6"/>
      <c r="AA190" s="6"/>
      <c r="AB190" s="6"/>
      <c r="AC190" s="6"/>
      <c r="AD190" s="6"/>
      <c r="AE190" s="10"/>
      <c r="AF190" s="14"/>
      <c r="AG190" s="6"/>
      <c r="AH190" s="11"/>
      <c r="AI190" s="6"/>
      <c r="AJ190" s="6"/>
      <c r="AK190" s="6"/>
      <c r="AL190" s="6"/>
      <c r="AM190" s="6"/>
      <c r="AN190" s="16"/>
      <c r="AO190" s="12"/>
      <c r="AP190" s="7"/>
      <c r="AQ190" s="6"/>
      <c r="AV190" s="3"/>
      <c r="AW190" s="3"/>
      <c r="AX190" s="3"/>
      <c r="AY190" s="3"/>
      <c r="AZ190" s="4"/>
      <c r="BA190" s="4"/>
      <c r="BB190" s="4"/>
      <c r="BC190" s="4"/>
      <c r="BD190" s="4"/>
      <c r="BE190" s="3"/>
      <c r="BF190" s="3"/>
      <c r="BG190" s="4"/>
      <c r="BH190" s="4"/>
      <c r="BI190" s="4"/>
      <c r="BJ190" s="9"/>
      <c r="BK190" s="9"/>
      <c r="BL190" s="9"/>
      <c r="BM190" s="3"/>
      <c r="BN190" s="3"/>
      <c r="BO190" s="3"/>
      <c r="BP190" s="3"/>
      <c r="BQ190" s="3"/>
      <c r="BR190" s="3"/>
      <c r="BT190" s="15"/>
      <c r="BU190" s="3"/>
      <c r="BV190" s="13"/>
      <c r="BW190" s="3"/>
      <c r="BX190" s="3"/>
      <c r="BY190" s="3"/>
      <c r="BZ190" s="3"/>
      <c r="CA190" s="3"/>
      <c r="CB190" s="10"/>
      <c r="CC190" s="10"/>
      <c r="CD190" s="4"/>
      <c r="CE190" s="3"/>
    </row>
    <row r="191" spans="1:83" x14ac:dyDescent="0.25">
      <c r="A191" s="2" t="s">
        <v>13</v>
      </c>
      <c r="B191" s="2">
        <v>2</v>
      </c>
      <c r="C191" t="s">
        <v>7</v>
      </c>
      <c r="D191" s="5" t="str">
        <f t="shared" si="14"/>
        <v>p05-2-NE</v>
      </c>
      <c r="E191" s="5" t="s">
        <v>468</v>
      </c>
      <c r="F191" s="17">
        <v>44881</v>
      </c>
      <c r="G191">
        <v>17</v>
      </c>
      <c r="H191" s="3">
        <v>20.399999999999999</v>
      </c>
      <c r="I191" s="3">
        <f t="shared" si="15"/>
        <v>19.939999999999998</v>
      </c>
      <c r="J191" s="3">
        <f>($A$67-$A$47)*$A$75</f>
        <v>0.75874999999999992</v>
      </c>
      <c r="K191" s="6">
        <f t="shared" si="16"/>
        <v>4620.46624507874</v>
      </c>
      <c r="L191" s="4"/>
      <c r="M191" s="4"/>
      <c r="N191" s="4"/>
      <c r="O191" s="4"/>
      <c r="P191" s="7"/>
      <c r="Q191" s="6"/>
      <c r="R191" s="14"/>
      <c r="S191" s="4"/>
      <c r="T191" s="4"/>
      <c r="U191" s="4"/>
      <c r="V191" s="8"/>
      <c r="W191" s="8"/>
      <c r="X191" s="8"/>
      <c r="Y191" s="6"/>
      <c r="Z191" s="6"/>
      <c r="AA191" s="6"/>
      <c r="AB191" s="6"/>
      <c r="AC191" s="6"/>
      <c r="AD191" s="6"/>
      <c r="AE191" s="10"/>
      <c r="AF191" s="14"/>
      <c r="AG191" s="6"/>
      <c r="AH191" s="11"/>
      <c r="AI191" s="6"/>
      <c r="AJ191" s="6"/>
      <c r="AK191" s="6"/>
      <c r="AL191" s="6"/>
      <c r="AM191" s="6"/>
      <c r="AN191" s="16"/>
      <c r="AO191" s="12"/>
      <c r="AP191" s="7"/>
      <c r="AQ191" s="6"/>
      <c r="AV191" s="3"/>
      <c r="AW191" s="3"/>
      <c r="AX191" s="3"/>
      <c r="AY191" s="3"/>
      <c r="AZ191" s="4"/>
      <c r="BA191" s="4"/>
      <c r="BB191" s="4"/>
      <c r="BC191" s="4"/>
      <c r="BD191" s="4"/>
      <c r="BE191" s="3"/>
      <c r="BF191" s="3"/>
      <c r="BG191" s="4"/>
      <c r="BH191" s="4"/>
      <c r="BI191" s="4"/>
      <c r="BJ191" s="9"/>
      <c r="BK191" s="9"/>
      <c r="BL191" s="9"/>
      <c r="BM191" s="3"/>
      <c r="BN191" s="3"/>
      <c r="BO191" s="3"/>
      <c r="BP191" s="3"/>
      <c r="BQ191" s="3"/>
      <c r="BR191" s="3"/>
      <c r="BT191" s="15"/>
      <c r="BU191" s="3"/>
      <c r="BV191" s="13"/>
      <c r="BW191" s="3"/>
      <c r="BX191" s="3"/>
      <c r="BY191" s="3"/>
      <c r="BZ191" s="3"/>
      <c r="CA191" s="3"/>
      <c r="CB191" s="10"/>
      <c r="CC191" s="10"/>
      <c r="CD191" s="4"/>
      <c r="CE191" s="3"/>
    </row>
    <row r="192" spans="1:83" x14ac:dyDescent="0.25">
      <c r="A192" s="2" t="s">
        <v>13</v>
      </c>
      <c r="B192" s="2">
        <v>2</v>
      </c>
      <c r="C192" t="s">
        <v>18</v>
      </c>
      <c r="D192" s="5" t="str">
        <f t="shared" si="14"/>
        <v>p05-2-ME</v>
      </c>
      <c r="E192" s="5" t="s">
        <v>468</v>
      </c>
      <c r="F192" s="17">
        <v>44881</v>
      </c>
      <c r="G192">
        <v>17</v>
      </c>
      <c r="H192" s="3">
        <v>22.3</v>
      </c>
      <c r="I192" s="3">
        <f t="shared" si="15"/>
        <v>21.84</v>
      </c>
      <c r="J192" s="3">
        <f>($A$67-$A$47)*$A$75</f>
        <v>0.75874999999999992</v>
      </c>
      <c r="K192" s="6">
        <f t="shared" si="16"/>
        <v>5044.5926230314963</v>
      </c>
      <c r="L192" s="4">
        <v>8.76</v>
      </c>
      <c r="M192" s="4">
        <v>226.75</v>
      </c>
      <c r="N192" s="4">
        <f>M192-L192</f>
        <v>217.99</v>
      </c>
      <c r="O192" s="4">
        <v>207.72</v>
      </c>
      <c r="P192" s="7">
        <f>(N192-O192)/N192*100</f>
        <v>4.7112252855635628</v>
      </c>
      <c r="Q192" s="6">
        <f>K192*(1-P192/100)</f>
        <v>4806.9304998215621</v>
      </c>
      <c r="R192" s="14">
        <v>44882</v>
      </c>
      <c r="S192" s="4">
        <v>9.9</v>
      </c>
      <c r="T192" s="4">
        <v>3.7</v>
      </c>
      <c r="U192" s="4">
        <v>6.62</v>
      </c>
      <c r="V192" s="8">
        <f>(T192-$A$76)/(S192-$A$47*$A$48)</f>
        <v>0.36321057877886392</v>
      </c>
      <c r="W192" s="8">
        <f>(U192-$A$77)/(S192-$A$47*$A$48)</f>
        <v>0.50766933170227568</v>
      </c>
      <c r="X192" s="8">
        <f>1-V192-W192</f>
        <v>0.12912008951886034</v>
      </c>
      <c r="Y192" s="6">
        <f>K192*V192</f>
        <v>1832.249406314857</v>
      </c>
      <c r="Z192" s="6">
        <f>K192*W192</f>
        <v>2560.9849656446295</v>
      </c>
      <c r="AA192" s="6">
        <f>SUM(Y192:Z192)</f>
        <v>4393.2343719594865</v>
      </c>
      <c r="AB192" s="6">
        <f>Q192*V192</f>
        <v>1745.9280089899632</v>
      </c>
      <c r="AC192" s="6">
        <f>Q192*W192</f>
        <v>2440.3311943836984</v>
      </c>
      <c r="AD192" s="6">
        <f>SUM(AB192:AC192)</f>
        <v>4186.2592033736619</v>
      </c>
      <c r="AE192" s="10">
        <v>990130522066</v>
      </c>
      <c r="AF192" s="14">
        <v>44980</v>
      </c>
      <c r="AG192" s="6">
        <v>48.099999999999994</v>
      </c>
      <c r="AH192" s="11">
        <v>1.071</v>
      </c>
      <c r="AI192" s="6">
        <v>80.3</v>
      </c>
      <c r="AJ192" s="6">
        <v>29.6</v>
      </c>
      <c r="AK192" s="6">
        <v>5.4</v>
      </c>
      <c r="AL192" s="6">
        <v>79.3</v>
      </c>
      <c r="AM192" s="6">
        <v>9</v>
      </c>
      <c r="AN192" s="16" t="s">
        <v>148</v>
      </c>
      <c r="AO192" s="12">
        <v>13</v>
      </c>
      <c r="AP192" s="7">
        <v>0.12</v>
      </c>
      <c r="AQ192" s="6">
        <v>9.8000000000000007</v>
      </c>
      <c r="AV192" s="3"/>
      <c r="AW192" s="3"/>
      <c r="AX192" s="3"/>
      <c r="AY192" s="3"/>
      <c r="AZ192" s="4"/>
      <c r="BA192" s="4"/>
      <c r="BB192" s="4"/>
      <c r="BC192" s="4"/>
      <c r="BD192" s="4"/>
      <c r="BE192" s="3"/>
      <c r="BF192" s="3"/>
      <c r="BG192" s="4"/>
      <c r="BH192" s="4"/>
      <c r="BI192" s="4"/>
      <c r="BJ192" s="9"/>
      <c r="BK192" s="9"/>
      <c r="BL192" s="9"/>
      <c r="BM192" s="3"/>
      <c r="BN192" s="3"/>
      <c r="BO192" s="3"/>
      <c r="BP192" s="3"/>
      <c r="BQ192" s="3"/>
      <c r="BR192" s="3"/>
      <c r="BT192" s="15"/>
      <c r="BU192" s="3"/>
      <c r="BV192" s="13"/>
      <c r="BW192" s="3"/>
      <c r="BX192" s="3"/>
      <c r="BY192" s="3"/>
      <c r="BZ192" s="3"/>
      <c r="CA192" s="3"/>
      <c r="CB192" s="10"/>
      <c r="CC192" s="10"/>
      <c r="CD192" s="4"/>
      <c r="CE192" s="3"/>
    </row>
    <row r="193" spans="1:83" x14ac:dyDescent="0.25">
      <c r="A193" s="2" t="s">
        <v>13</v>
      </c>
      <c r="B193" s="2">
        <v>2</v>
      </c>
      <c r="C193" t="s">
        <v>8</v>
      </c>
      <c r="D193" s="5" t="str">
        <f t="shared" si="14"/>
        <v>p05-2-SE</v>
      </c>
      <c r="E193" s="5" t="s">
        <v>468</v>
      </c>
      <c r="F193" s="17">
        <v>44881</v>
      </c>
      <c r="G193">
        <v>17</v>
      </c>
      <c r="H193" s="3">
        <v>19.399999999999999</v>
      </c>
      <c r="I193" s="3">
        <f t="shared" si="15"/>
        <v>18.939999999999998</v>
      </c>
      <c r="J193" s="3">
        <f>($A$67-$A$47)*$A$75</f>
        <v>0.75874999999999992</v>
      </c>
      <c r="K193" s="6">
        <f t="shared" si="16"/>
        <v>4397.2418356299204</v>
      </c>
      <c r="L193" s="4"/>
      <c r="M193" s="4"/>
      <c r="N193" s="4"/>
      <c r="O193" s="4"/>
      <c r="P193" s="7"/>
      <c r="Q193" s="6"/>
      <c r="R193" s="14"/>
      <c r="S193" s="4"/>
      <c r="T193" s="4"/>
      <c r="U193" s="4"/>
      <c r="V193" s="8"/>
      <c r="W193" s="8"/>
      <c r="X193" s="8"/>
      <c r="Y193" s="6"/>
      <c r="Z193" s="6"/>
      <c r="AA193" s="6"/>
      <c r="AB193" s="6"/>
      <c r="AC193" s="6"/>
      <c r="AD193" s="6"/>
      <c r="AE193" s="10"/>
      <c r="AF193" s="14"/>
      <c r="AG193" s="6"/>
      <c r="AH193" s="11"/>
      <c r="AI193" s="6"/>
      <c r="AJ193" s="6"/>
      <c r="AK193" s="6"/>
      <c r="AL193" s="6"/>
      <c r="AM193" s="6"/>
      <c r="AN193" s="16"/>
      <c r="AO193" s="12"/>
      <c r="AP193" s="7"/>
      <c r="AQ193" s="6"/>
      <c r="AV193" s="3"/>
      <c r="AW193" s="3"/>
      <c r="AX193" s="3"/>
      <c r="AY193" s="3"/>
      <c r="AZ193" s="4"/>
      <c r="BA193" s="4"/>
      <c r="BB193" s="4"/>
      <c r="BC193" s="4"/>
      <c r="BD193" s="4"/>
      <c r="BE193" s="3"/>
      <c r="BF193" s="3"/>
      <c r="BG193" s="4"/>
      <c r="BH193" s="4"/>
      <c r="BI193" s="4"/>
      <c r="BJ193" s="9"/>
      <c r="BK193" s="9"/>
      <c r="BL193" s="9"/>
      <c r="BM193" s="3"/>
      <c r="BN193" s="3"/>
      <c r="BO193" s="3"/>
      <c r="BP193" s="3"/>
      <c r="BQ193" s="3"/>
      <c r="BR193" s="3"/>
      <c r="BT193" s="15"/>
      <c r="BU193" s="3"/>
      <c r="BV193" s="13"/>
      <c r="BW193" s="3"/>
      <c r="BX193" s="3"/>
      <c r="BY193" s="3"/>
      <c r="BZ193" s="3"/>
      <c r="CA193" s="3"/>
      <c r="CB193" s="10"/>
      <c r="CC193" s="10"/>
      <c r="CD193" s="4"/>
      <c r="CE193" s="3"/>
    </row>
    <row r="194" spans="1:83" x14ac:dyDescent="0.25">
      <c r="A194" s="2" t="s">
        <v>13</v>
      </c>
      <c r="B194" s="2">
        <v>3</v>
      </c>
      <c r="C194" t="s">
        <v>4</v>
      </c>
      <c r="D194" s="5" t="str">
        <f t="shared" si="14"/>
        <v>p05-3-NW</v>
      </c>
      <c r="E194" s="5" t="s">
        <v>468</v>
      </c>
      <c r="F194" s="17">
        <v>44881</v>
      </c>
      <c r="G194">
        <v>5</v>
      </c>
      <c r="H194" s="3">
        <v>11.1</v>
      </c>
      <c r="I194" s="3">
        <f t="shared" si="15"/>
        <v>10.639999999999999</v>
      </c>
      <c r="J194" s="3">
        <f>($A$55-$A$47)*$A$75</f>
        <v>0.6399999999999999</v>
      </c>
      <c r="K194" s="6">
        <f t="shared" si="16"/>
        <v>2517.9713385826767</v>
      </c>
      <c r="L194" s="4"/>
      <c r="M194" s="4"/>
      <c r="N194" s="4"/>
      <c r="O194" s="4"/>
      <c r="P194" s="7"/>
      <c r="Q194" s="6"/>
      <c r="R194" s="14"/>
      <c r="S194" s="4"/>
      <c r="T194" s="4"/>
      <c r="U194" s="4"/>
      <c r="V194" s="8"/>
      <c r="W194" s="8"/>
      <c r="X194" s="8"/>
      <c r="Y194" s="6"/>
      <c r="Z194" s="6"/>
      <c r="AA194" s="6"/>
      <c r="AB194" s="6"/>
      <c r="AC194" s="6"/>
      <c r="AD194" s="6"/>
      <c r="AE194" s="10"/>
      <c r="AF194" s="14"/>
      <c r="AG194" s="6"/>
      <c r="AH194" s="11"/>
      <c r="AI194" s="6"/>
      <c r="AJ194" s="6"/>
      <c r="AK194" s="6"/>
      <c r="AL194" s="6"/>
      <c r="AM194" s="6"/>
      <c r="AN194" s="16"/>
      <c r="AO194" s="12"/>
      <c r="AP194" s="7"/>
      <c r="AQ194" s="6"/>
      <c r="AS194" t="s">
        <v>104</v>
      </c>
      <c r="AT194" s="4" t="str">
        <f>E194</f>
        <v>Machine</v>
      </c>
      <c r="AU194" s="15">
        <f>F194</f>
        <v>44881</v>
      </c>
      <c r="AV194" s="3">
        <f>SUM(H194:H199)</f>
        <v>89.7</v>
      </c>
      <c r="AW194" s="3">
        <f>AV194-6*$A$47</f>
        <v>86.94</v>
      </c>
      <c r="AX194" s="3">
        <f>SUM(J194:J199)</f>
        <v>4.1962499999999991</v>
      </c>
      <c r="AY194" s="3">
        <f>(AW194+AX194)*$A$48/(6*$A$49)*$A$50</f>
        <v>3390.6392642716532</v>
      </c>
      <c r="AZ194" s="4">
        <f>SUM(L194:L199)</f>
        <v>17.490000000000002</v>
      </c>
      <c r="BA194" s="4">
        <f>SUM(M194:M199)</f>
        <v>314.89999999999998</v>
      </c>
      <c r="BB194" s="4">
        <f>BA194-AZ194</f>
        <v>297.40999999999997</v>
      </c>
      <c r="BC194" s="4">
        <f>SUM(O194:O199)</f>
        <v>281.01</v>
      </c>
      <c r="BD194" s="4">
        <f>(BB194-BC194)/BB194*100</f>
        <v>5.5142732255135938</v>
      </c>
      <c r="BE194" s="3">
        <f>AY194*(1-BD194/100)</f>
        <v>3203.6701511481706</v>
      </c>
      <c r="BF194" s="15">
        <f>R195</f>
        <v>44882</v>
      </c>
      <c r="BG194" s="4">
        <f>SUM(S194:S199)</f>
        <v>15.12</v>
      </c>
      <c r="BH194" s="4">
        <f>SUM(T194:T199)</f>
        <v>5.74</v>
      </c>
      <c r="BI194" s="4">
        <f>SUM(U194:U199)</f>
        <v>10.92</v>
      </c>
      <c r="BJ194" s="9">
        <f>(BH194-2*$A$76)/(BG194-2*$A$47*$A$48)</f>
        <v>0.36591930039146237</v>
      </c>
      <c r="BK194" s="9">
        <f>(BI194-2*$A$77)/(BG194-2*$A$47*$A$48)</f>
        <v>0.51147084366985074</v>
      </c>
      <c r="BL194" s="9">
        <f>1-BJ194-BK194</f>
        <v>0.1226098559386869</v>
      </c>
      <c r="BM194" s="3">
        <f>AY194*BJ194</f>
        <v>1240.700347462106</v>
      </c>
      <c r="BN194" s="3">
        <f>AY194*BK194</f>
        <v>1734.2131250771445</v>
      </c>
      <c r="BO194" s="3">
        <f>SUM(BM194:BN194)</f>
        <v>2974.9134725392505</v>
      </c>
      <c r="BP194" s="3">
        <f>BE194*BJ194</f>
        <v>1172.2847403931491</v>
      </c>
      <c r="BQ194" s="3">
        <f>BE194*BK194</f>
        <v>1638.583875047673</v>
      </c>
      <c r="BR194" s="3">
        <f>SUM(BP194:BQ194)</f>
        <v>2810.8686154408224</v>
      </c>
      <c r="BS194" s="3"/>
      <c r="BT194" s="15">
        <f>AF195</f>
        <v>44980</v>
      </c>
      <c r="BU194" s="3">
        <f t="shared" ref="BU194:CA194" si="24">AVERAGE(AG194:AG199)</f>
        <v>48.6</v>
      </c>
      <c r="BV194" s="13">
        <f t="shared" si="24"/>
        <v>1.097</v>
      </c>
      <c r="BW194" s="3">
        <f t="shared" si="24"/>
        <v>81.25</v>
      </c>
      <c r="BX194" s="3">
        <f t="shared" si="24"/>
        <v>29.75</v>
      </c>
      <c r="BY194" s="3">
        <f t="shared" si="24"/>
        <v>5.1999999999999993</v>
      </c>
      <c r="BZ194" s="3">
        <f t="shared" si="24"/>
        <v>78.699999999999989</v>
      </c>
      <c r="CA194" s="3">
        <f t="shared" si="24"/>
        <v>9.5</v>
      </c>
      <c r="CB194" s="13"/>
      <c r="CC194" s="10">
        <f>AVERAGE(AO194:AO199)</f>
        <v>11</v>
      </c>
      <c r="CD194" s="4">
        <f>AVERAGE(AP194:AP199)</f>
        <v>0.155</v>
      </c>
      <c r="CE194" s="3">
        <f>AVERAGE(AQ194:AQ199)</f>
        <v>8.8500000000000014</v>
      </c>
    </row>
    <row r="195" spans="1:83" x14ac:dyDescent="0.25">
      <c r="A195" s="2" t="s">
        <v>13</v>
      </c>
      <c r="B195" s="2">
        <v>3</v>
      </c>
      <c r="C195" t="s">
        <v>5</v>
      </c>
      <c r="D195" s="5" t="str">
        <f t="shared" si="14"/>
        <v>p05-3-MW</v>
      </c>
      <c r="E195" s="5" t="s">
        <v>468</v>
      </c>
      <c r="F195" s="17">
        <v>44881</v>
      </c>
      <c r="G195">
        <v>5</v>
      </c>
      <c r="H195" s="3">
        <v>15.9</v>
      </c>
      <c r="I195" s="3">
        <f t="shared" si="15"/>
        <v>15.44</v>
      </c>
      <c r="J195" s="3">
        <f>($A$55-$A$47)*$A$75</f>
        <v>0.6399999999999999</v>
      </c>
      <c r="K195" s="6">
        <f t="shared" si="16"/>
        <v>3589.448503937007</v>
      </c>
      <c r="L195" s="4">
        <v>8.5299999999999994</v>
      </c>
      <c r="M195" s="4">
        <v>167.85</v>
      </c>
      <c r="N195" s="4">
        <f>M195-L195</f>
        <v>159.32</v>
      </c>
      <c r="O195" s="4">
        <v>149.56</v>
      </c>
      <c r="P195" s="7">
        <f>(N195-O195)/N195*100</f>
        <v>6.1260356515189507</v>
      </c>
      <c r="Q195" s="6">
        <f>K195*(1-P195/100)</f>
        <v>3369.5576088929124</v>
      </c>
      <c r="R195" s="14">
        <v>44882</v>
      </c>
      <c r="S195" s="4">
        <v>7</v>
      </c>
      <c r="T195" s="4">
        <v>2.66</v>
      </c>
      <c r="U195" s="4">
        <v>5.24</v>
      </c>
      <c r="V195" s="8">
        <f>(T195-$A$76)/(S195-$A$47*$A$48)</f>
        <v>0.36517052532937022</v>
      </c>
      <c r="W195" s="8">
        <f>(U195-$A$77)/(S195-$A$47*$A$48)</f>
        <v>0.52125147567176233</v>
      </c>
      <c r="X195" s="8">
        <f>1-V195-W195</f>
        <v>0.11357799899886745</v>
      </c>
      <c r="Y195" s="6">
        <f>K195*V195</f>
        <v>1310.7607958253989</v>
      </c>
      <c r="Z195" s="6">
        <f>K195*W195</f>
        <v>1871.0053295249645</v>
      </c>
      <c r="AA195" s="6">
        <f>SUM(Y195:Z195)</f>
        <v>3181.7661253503634</v>
      </c>
      <c r="AB195" s="6">
        <f>Q195*V195</f>
        <v>1230.4631221670015</v>
      </c>
      <c r="AC195" s="6">
        <f>Q195*W195</f>
        <v>1756.3868759964455</v>
      </c>
      <c r="AD195" s="6">
        <f>SUM(AB195:AC195)</f>
        <v>2986.8499981634468</v>
      </c>
      <c r="AE195" s="10">
        <v>990130531019</v>
      </c>
      <c r="AF195" s="14">
        <v>44980</v>
      </c>
      <c r="AG195" s="6">
        <v>49.2</v>
      </c>
      <c r="AH195" s="11">
        <v>1.099</v>
      </c>
      <c r="AI195" s="6">
        <v>81.5</v>
      </c>
      <c r="AJ195" s="6">
        <v>29.9</v>
      </c>
      <c r="AK195" s="6">
        <v>5.0999999999999996</v>
      </c>
      <c r="AL195" s="6">
        <v>78.3</v>
      </c>
      <c r="AM195" s="6">
        <v>9.6999999999999993</v>
      </c>
      <c r="AN195" s="16" t="s">
        <v>165</v>
      </c>
      <c r="AO195" s="12">
        <v>10</v>
      </c>
      <c r="AP195" s="7">
        <v>0.18</v>
      </c>
      <c r="AQ195" s="6">
        <v>8.8000000000000007</v>
      </c>
      <c r="AV195" s="3"/>
      <c r="AW195" s="3"/>
      <c r="AX195" s="3"/>
      <c r="AY195" s="3"/>
      <c r="AZ195" s="4"/>
      <c r="BA195" s="4"/>
      <c r="BB195" s="4"/>
      <c r="BC195" s="4"/>
      <c r="BD195" s="4"/>
      <c r="BE195" s="3"/>
      <c r="BF195" s="3"/>
      <c r="BG195" s="4"/>
      <c r="BH195" s="4"/>
      <c r="BI195" s="4"/>
      <c r="BJ195" s="9"/>
      <c r="BK195" s="9"/>
      <c r="BL195" s="9"/>
      <c r="BM195" s="3"/>
      <c r="BN195" s="3"/>
      <c r="BO195" s="3"/>
      <c r="BP195" s="3"/>
      <c r="BQ195" s="3"/>
      <c r="BR195" s="3"/>
      <c r="BT195" s="15"/>
      <c r="BU195" s="3"/>
      <c r="BV195" s="13"/>
      <c r="BW195" s="3"/>
      <c r="BX195" s="3"/>
      <c r="BY195" s="3"/>
      <c r="BZ195" s="3"/>
      <c r="CA195" s="3"/>
      <c r="CB195" s="10"/>
      <c r="CC195" s="10"/>
      <c r="CD195" s="4"/>
      <c r="CE195" s="3"/>
    </row>
    <row r="196" spans="1:83" x14ac:dyDescent="0.25">
      <c r="A196" s="2" t="s">
        <v>13</v>
      </c>
      <c r="B196" s="2">
        <v>3</v>
      </c>
      <c r="C196" t="s">
        <v>6</v>
      </c>
      <c r="D196" s="5" t="str">
        <f t="shared" si="14"/>
        <v>p05-3-SW</v>
      </c>
      <c r="E196" s="5" t="s">
        <v>468</v>
      </c>
      <c r="F196" s="17">
        <v>44881</v>
      </c>
      <c r="G196">
        <v>5</v>
      </c>
      <c r="H196" s="3">
        <v>14</v>
      </c>
      <c r="I196" s="3">
        <f t="shared" si="15"/>
        <v>13.54</v>
      </c>
      <c r="J196" s="3">
        <f>($A$55-$A$47)*$A$75</f>
        <v>0.6399999999999999</v>
      </c>
      <c r="K196" s="6">
        <f t="shared" si="16"/>
        <v>3165.3221259842517</v>
      </c>
      <c r="L196" s="4"/>
      <c r="M196" s="4"/>
      <c r="N196" s="4"/>
      <c r="O196" s="4"/>
      <c r="P196" s="7"/>
      <c r="Q196" s="6"/>
      <c r="R196" s="14"/>
      <c r="S196" s="4"/>
      <c r="T196" s="4"/>
      <c r="U196" s="4"/>
      <c r="V196" s="8"/>
      <c r="W196" s="8"/>
      <c r="X196" s="8"/>
      <c r="Y196" s="6"/>
      <c r="Z196" s="6"/>
      <c r="AA196" s="6"/>
      <c r="AB196" s="6"/>
      <c r="AC196" s="6"/>
      <c r="AD196" s="6"/>
      <c r="AE196" s="10"/>
      <c r="AF196" s="14"/>
      <c r="AG196" s="6"/>
      <c r="AH196" s="11"/>
      <c r="AI196" s="6"/>
      <c r="AJ196" s="6"/>
      <c r="AK196" s="6"/>
      <c r="AL196" s="6"/>
      <c r="AM196" s="6"/>
      <c r="AN196" s="16"/>
      <c r="AO196" s="12"/>
      <c r="AP196" s="7"/>
      <c r="AQ196" s="6"/>
      <c r="AV196" s="3"/>
      <c r="AW196" s="3"/>
      <c r="AX196" s="3"/>
      <c r="AY196" s="3"/>
      <c r="AZ196" s="4"/>
      <c r="BA196" s="4"/>
      <c r="BB196" s="4"/>
      <c r="BC196" s="4"/>
      <c r="BD196" s="4"/>
      <c r="BE196" s="3"/>
      <c r="BF196" s="3"/>
      <c r="BG196" s="4"/>
      <c r="BH196" s="4"/>
      <c r="BI196" s="4"/>
      <c r="BJ196" s="9"/>
      <c r="BK196" s="9"/>
      <c r="BL196" s="9"/>
      <c r="BM196" s="3"/>
      <c r="BN196" s="3"/>
      <c r="BO196" s="3"/>
      <c r="BP196" s="3"/>
      <c r="BQ196" s="3"/>
      <c r="BR196" s="3"/>
      <c r="BT196" s="15"/>
      <c r="BU196" s="3"/>
      <c r="BV196" s="13"/>
      <c r="BW196" s="3"/>
      <c r="BX196" s="3"/>
      <c r="BY196" s="3"/>
      <c r="BZ196" s="3"/>
      <c r="CA196" s="3"/>
      <c r="CB196" s="10"/>
      <c r="CC196" s="10"/>
      <c r="CD196" s="4"/>
      <c r="CE196" s="3"/>
    </row>
    <row r="197" spans="1:83" x14ac:dyDescent="0.25">
      <c r="A197" s="2" t="s">
        <v>13</v>
      </c>
      <c r="B197" s="2">
        <v>3</v>
      </c>
      <c r="C197" t="s">
        <v>7</v>
      </c>
      <c r="D197" s="5" t="str">
        <f t="shared" si="14"/>
        <v>p05-3-NE</v>
      </c>
      <c r="E197" s="5" t="s">
        <v>468</v>
      </c>
      <c r="F197" s="17">
        <v>44881</v>
      </c>
      <c r="G197">
        <v>17</v>
      </c>
      <c r="H197" s="3">
        <v>15.4</v>
      </c>
      <c r="I197" s="3">
        <f t="shared" si="15"/>
        <v>14.94</v>
      </c>
      <c r="J197" s="3">
        <f>($A$67-$A$47)*$A$75</f>
        <v>0.75874999999999992</v>
      </c>
      <c r="K197" s="6">
        <f t="shared" si="16"/>
        <v>3504.344197834645</v>
      </c>
      <c r="L197" s="4"/>
      <c r="M197" s="4"/>
      <c r="N197" s="4"/>
      <c r="O197" s="4"/>
      <c r="P197" s="7"/>
      <c r="Q197" s="6"/>
      <c r="R197" s="14"/>
      <c r="S197" s="4"/>
      <c r="T197" s="4"/>
      <c r="U197" s="4"/>
      <c r="V197" s="8"/>
      <c r="W197" s="8"/>
      <c r="X197" s="8"/>
      <c r="Y197" s="6"/>
      <c r="Z197" s="6"/>
      <c r="AA197" s="6"/>
      <c r="AB197" s="6"/>
      <c r="AC197" s="6"/>
      <c r="AD197" s="6"/>
      <c r="AE197" s="10"/>
      <c r="AF197" s="14"/>
      <c r="AG197" s="6"/>
      <c r="AH197" s="11"/>
      <c r="AI197" s="6"/>
      <c r="AJ197" s="6"/>
      <c r="AK197" s="6"/>
      <c r="AL197" s="6"/>
      <c r="AM197" s="6"/>
      <c r="AN197" s="16"/>
      <c r="AO197" s="12"/>
      <c r="AP197" s="7"/>
      <c r="AQ197" s="6"/>
      <c r="AV197" s="3"/>
      <c r="AW197" s="3"/>
      <c r="AX197" s="3"/>
      <c r="AY197" s="3"/>
      <c r="AZ197" s="4"/>
      <c r="BA197" s="4"/>
      <c r="BB197" s="4"/>
      <c r="BC197" s="4"/>
      <c r="BD197" s="4"/>
      <c r="BE197" s="3"/>
      <c r="BF197" s="3"/>
      <c r="BG197" s="4"/>
      <c r="BH197" s="4"/>
      <c r="BI197" s="4"/>
      <c r="BJ197" s="9"/>
      <c r="BK197" s="9"/>
      <c r="BL197" s="9"/>
      <c r="BM197" s="3"/>
      <c r="BN197" s="3"/>
      <c r="BO197" s="3"/>
      <c r="BP197" s="3"/>
      <c r="BQ197" s="3"/>
      <c r="BR197" s="3"/>
      <c r="BT197" s="15"/>
      <c r="BU197" s="3"/>
      <c r="BV197" s="13"/>
      <c r="BW197" s="3"/>
      <c r="BX197" s="3"/>
      <c r="BY197" s="3"/>
      <c r="BZ197" s="3"/>
      <c r="CA197" s="3"/>
      <c r="CB197" s="10"/>
      <c r="CC197" s="10"/>
      <c r="CD197" s="4"/>
      <c r="CE197" s="3"/>
    </row>
    <row r="198" spans="1:83" x14ac:dyDescent="0.25">
      <c r="A198" s="2" t="s">
        <v>13</v>
      </c>
      <c r="B198" s="2">
        <v>3</v>
      </c>
      <c r="C198" t="s">
        <v>18</v>
      </c>
      <c r="D198" s="5" t="str">
        <f t="shared" si="14"/>
        <v>p05-3-ME</v>
      </c>
      <c r="E198" s="5" t="s">
        <v>468</v>
      </c>
      <c r="F198" s="17">
        <v>44881</v>
      </c>
      <c r="G198">
        <v>17</v>
      </c>
      <c r="H198" s="3">
        <v>18.3</v>
      </c>
      <c r="I198" s="3">
        <f t="shared" si="15"/>
        <v>17.84</v>
      </c>
      <c r="J198" s="3">
        <f>($A$67-$A$47)*$A$75</f>
        <v>0.75874999999999992</v>
      </c>
      <c r="K198" s="6">
        <f t="shared" si="16"/>
        <v>4151.6949852362204</v>
      </c>
      <c r="L198" s="4">
        <v>8.9600000000000009</v>
      </c>
      <c r="M198" s="4">
        <v>147.05000000000001</v>
      </c>
      <c r="N198" s="4">
        <f>M198-L198</f>
        <v>138.09</v>
      </c>
      <c r="O198" s="4">
        <v>131.44999999999999</v>
      </c>
      <c r="P198" s="7">
        <f>(N198-O198)/N198*100</f>
        <v>4.8084582518647361</v>
      </c>
      <c r="Q198" s="6">
        <f>K198*(1-P198/100)</f>
        <v>3952.0624651263752</v>
      </c>
      <c r="R198" s="14">
        <v>44882</v>
      </c>
      <c r="S198" s="4">
        <v>8.1199999999999992</v>
      </c>
      <c r="T198" s="4">
        <v>3.08</v>
      </c>
      <c r="U198" s="4">
        <v>5.68</v>
      </c>
      <c r="V198" s="8">
        <f>(T198-$A$76)/(S198-$A$47*$A$48)</f>
        <v>0.36656207226630194</v>
      </c>
      <c r="W198" s="8">
        <f>(U198-$A$77)/(S198-$A$47*$A$48)</f>
        <v>0.50307484400685565</v>
      </c>
      <c r="X198" s="8">
        <f>1-V198-W198</f>
        <v>0.13036308372684247</v>
      </c>
      <c r="Y198" s="6">
        <f>K198*V198</f>
        <v>1521.8539172058029</v>
      </c>
      <c r="Z198" s="6">
        <f>K198*W198</f>
        <v>2088.6133070617566</v>
      </c>
      <c r="AA198" s="6">
        <f>SUM(Y198:Z198)</f>
        <v>3610.4672242675597</v>
      </c>
      <c r="AB198" s="6">
        <f>Q198*V198</f>
        <v>1448.6762069425938</v>
      </c>
      <c r="AC198" s="6">
        <f>Q198*W198</f>
        <v>1988.1832081488005</v>
      </c>
      <c r="AD198" s="6">
        <f>SUM(AB198:AC198)</f>
        <v>3436.8594150913941</v>
      </c>
      <c r="AE198" s="10">
        <v>990130532067</v>
      </c>
      <c r="AF198" s="14">
        <v>44980</v>
      </c>
      <c r="AG198" s="6">
        <v>48</v>
      </c>
      <c r="AH198" s="11">
        <v>1.095</v>
      </c>
      <c r="AI198" s="6">
        <v>81</v>
      </c>
      <c r="AJ198" s="6">
        <v>29.6</v>
      </c>
      <c r="AK198" s="6">
        <v>5.3</v>
      </c>
      <c r="AL198" s="6">
        <v>79.099999999999994</v>
      </c>
      <c r="AM198" s="6">
        <v>9.3000000000000007</v>
      </c>
      <c r="AN198" s="16" t="s">
        <v>148</v>
      </c>
      <c r="AO198" s="12">
        <v>12</v>
      </c>
      <c r="AP198" s="7">
        <v>0.13</v>
      </c>
      <c r="AQ198" s="6">
        <v>8.9</v>
      </c>
      <c r="AV198" s="3"/>
      <c r="AW198" s="3"/>
      <c r="AX198" s="3"/>
      <c r="AY198" s="3"/>
      <c r="AZ198" s="4"/>
      <c r="BA198" s="4"/>
      <c r="BB198" s="4"/>
      <c r="BC198" s="4"/>
      <c r="BD198" s="4"/>
      <c r="BE198" s="3"/>
      <c r="BF198" s="3"/>
      <c r="BG198" s="4"/>
      <c r="BH198" s="4"/>
      <c r="BI198" s="4"/>
      <c r="BJ198" s="9"/>
      <c r="BK198" s="9"/>
      <c r="BL198" s="9"/>
      <c r="BM198" s="3"/>
      <c r="BN198" s="3"/>
      <c r="BO198" s="3"/>
      <c r="BP198" s="3"/>
      <c r="BQ198" s="3"/>
      <c r="BR198" s="3"/>
      <c r="BT198" s="15"/>
      <c r="BU198" s="3"/>
      <c r="BV198" s="13"/>
      <c r="BW198" s="3"/>
      <c r="BX198" s="3"/>
      <c r="BY198" s="3"/>
      <c r="BZ198" s="3"/>
      <c r="CA198" s="3"/>
      <c r="CB198" s="10"/>
      <c r="CC198" s="10"/>
      <c r="CD198" s="4"/>
      <c r="CE198" s="3"/>
    </row>
    <row r="199" spans="1:83" x14ac:dyDescent="0.25">
      <c r="A199" s="2" t="s">
        <v>13</v>
      </c>
      <c r="B199" s="2">
        <v>3</v>
      </c>
      <c r="C199" t="s">
        <v>8</v>
      </c>
      <c r="D199" s="5" t="str">
        <f t="shared" si="14"/>
        <v>p05-3-SE</v>
      </c>
      <c r="E199" s="5" t="s">
        <v>468</v>
      </c>
      <c r="F199" s="17">
        <v>44881</v>
      </c>
      <c r="G199">
        <v>17</v>
      </c>
      <c r="H199" s="3">
        <v>15</v>
      </c>
      <c r="I199" s="3">
        <f t="shared" si="15"/>
        <v>14.54</v>
      </c>
      <c r="J199" s="3">
        <f>($A$67-$A$47)*$A$75</f>
        <v>0.75874999999999992</v>
      </c>
      <c r="K199" s="6">
        <f t="shared" si="16"/>
        <v>3415.0544340551173</v>
      </c>
      <c r="L199" s="4"/>
      <c r="M199" s="4"/>
      <c r="N199" s="4"/>
      <c r="O199" s="4"/>
      <c r="P199" s="7"/>
      <c r="Q199" s="6"/>
      <c r="R199" s="14"/>
      <c r="S199" s="4"/>
      <c r="T199" s="4"/>
      <c r="U199" s="4"/>
      <c r="V199" s="8"/>
      <c r="W199" s="8"/>
      <c r="X199" s="8"/>
      <c r="Y199" s="6"/>
      <c r="Z199" s="6"/>
      <c r="AA199" s="6"/>
      <c r="AB199" s="6"/>
      <c r="AC199" s="6"/>
      <c r="AD199" s="6"/>
      <c r="AE199" s="10"/>
      <c r="AF199" s="14"/>
      <c r="AG199" s="6"/>
      <c r="AH199" s="11"/>
      <c r="AI199" s="6"/>
      <c r="AJ199" s="6"/>
      <c r="AK199" s="6"/>
      <c r="AL199" s="6"/>
      <c r="AM199" s="6"/>
      <c r="AN199" s="16"/>
      <c r="AO199" s="12"/>
      <c r="AP199" s="7"/>
      <c r="AQ199" s="6"/>
      <c r="AV199" s="3"/>
      <c r="AW199" s="3"/>
      <c r="AX199" s="3"/>
      <c r="AY199" s="3"/>
      <c r="AZ199" s="4"/>
      <c r="BA199" s="4"/>
      <c r="BB199" s="4"/>
      <c r="BC199" s="4"/>
      <c r="BD199" s="4"/>
      <c r="BE199" s="3"/>
      <c r="BF199" s="3"/>
      <c r="BG199" s="4"/>
      <c r="BH199" s="4"/>
      <c r="BI199" s="4"/>
      <c r="BJ199" s="9"/>
      <c r="BK199" s="9"/>
      <c r="BL199" s="9"/>
      <c r="BM199" s="3"/>
      <c r="BN199" s="3"/>
      <c r="BO199" s="3"/>
      <c r="BP199" s="3"/>
      <c r="BQ199" s="3"/>
      <c r="BR199" s="3"/>
      <c r="BT199" s="15"/>
      <c r="BU199" s="3"/>
      <c r="BV199" s="13"/>
      <c r="BW199" s="3"/>
      <c r="BX199" s="3"/>
      <c r="BY199" s="3"/>
      <c r="BZ199" s="3"/>
      <c r="CA199" s="3"/>
      <c r="CB199" s="10"/>
      <c r="CC199" s="10"/>
      <c r="CD199" s="4"/>
      <c r="CE199" s="3"/>
    </row>
    <row r="200" spans="1:83" x14ac:dyDescent="0.25">
      <c r="A200" s="2" t="s">
        <v>13</v>
      </c>
      <c r="B200" s="2">
        <v>4</v>
      </c>
      <c r="C200" t="s">
        <v>4</v>
      </c>
      <c r="D200" s="5" t="str">
        <f t="shared" si="14"/>
        <v>p05-4-NW</v>
      </c>
      <c r="E200" s="5" t="s">
        <v>468</v>
      </c>
      <c r="F200" s="17">
        <v>44881</v>
      </c>
      <c r="G200">
        <v>5</v>
      </c>
      <c r="H200" s="3">
        <v>16.600000000000001</v>
      </c>
      <c r="I200" s="3">
        <f t="shared" si="15"/>
        <v>16.14</v>
      </c>
      <c r="J200" s="3">
        <f>($A$55-$A$47)*$A$75</f>
        <v>0.6399999999999999</v>
      </c>
      <c r="K200" s="6">
        <f t="shared" si="16"/>
        <v>3745.7055905511811</v>
      </c>
      <c r="L200" s="4"/>
      <c r="M200" s="4"/>
      <c r="N200" s="4"/>
      <c r="O200" s="4"/>
      <c r="P200" s="7"/>
      <c r="Q200" s="6"/>
      <c r="R200" s="14"/>
      <c r="S200" s="4"/>
      <c r="T200" s="4"/>
      <c r="U200" s="4"/>
      <c r="V200" s="8"/>
      <c r="W200" s="8"/>
      <c r="X200" s="8"/>
      <c r="Y200" s="6"/>
      <c r="Z200" s="6"/>
      <c r="AA200" s="6"/>
      <c r="AB200" s="6"/>
      <c r="AC200" s="6"/>
      <c r="AD200" s="6"/>
      <c r="AE200" s="10"/>
      <c r="AF200" s="14"/>
      <c r="AG200" s="6"/>
      <c r="AH200" s="11"/>
      <c r="AI200" s="6"/>
      <c r="AJ200" s="6"/>
      <c r="AK200" s="6"/>
      <c r="AL200" s="6"/>
      <c r="AM200" s="6"/>
      <c r="AN200" s="16"/>
      <c r="AO200" s="12"/>
      <c r="AP200" s="7"/>
      <c r="AQ200" s="6"/>
      <c r="AS200" t="s">
        <v>105</v>
      </c>
      <c r="AT200" s="4" t="str">
        <f>E200</f>
        <v>Machine</v>
      </c>
      <c r="AU200" s="15">
        <f>F200</f>
        <v>44881</v>
      </c>
      <c r="AV200" s="3">
        <f>SUM(H200:H205)</f>
        <v>88.9</v>
      </c>
      <c r="AW200" s="3">
        <f>AV200-6*$A$47</f>
        <v>86.14</v>
      </c>
      <c r="AX200" s="3">
        <f>SUM(J200:J205)</f>
        <v>4.1962499999999991</v>
      </c>
      <c r="AY200" s="3">
        <f>(AW200+AX200)*$A$48/(6*$A$49)*$A$50</f>
        <v>3360.8760096784777</v>
      </c>
      <c r="AZ200" s="4">
        <f>SUM(L200:L205)</f>
        <v>17.440000000000001</v>
      </c>
      <c r="BA200" s="4">
        <f>SUM(M200:M205)</f>
        <v>344.96</v>
      </c>
      <c r="BB200" s="4">
        <f>BA200-AZ200</f>
        <v>327.52</v>
      </c>
      <c r="BC200" s="4">
        <f>SUM(O200:O205)</f>
        <v>308.15999999999997</v>
      </c>
      <c r="BD200" s="4">
        <f>(BB200-BC200)/BB200*100</f>
        <v>5.9110893991206694</v>
      </c>
      <c r="BE200" s="3">
        <f>AY200*(1-BD200/100)</f>
        <v>3162.2116241527833</v>
      </c>
      <c r="BF200" s="15">
        <f>R201</f>
        <v>44882</v>
      </c>
      <c r="BG200" s="4">
        <f>SUM(S200:S205)</f>
        <v>12.7</v>
      </c>
      <c r="BH200" s="4">
        <f>SUM(T200:T205)</f>
        <v>4.88</v>
      </c>
      <c r="BI200" s="4">
        <f>SUM(U200:U205)</f>
        <v>9.620000000000001</v>
      </c>
      <c r="BJ200" s="9">
        <f>(BH200-2*$A$76)/(BG200-2*$A$47*$A$48)</f>
        <v>0.36799740346242699</v>
      </c>
      <c r="BK200" s="9">
        <f>(BI200-2*$A$77)/(BG200-2*$A$47*$A$48)</f>
        <v>0.50640350653457877</v>
      </c>
      <c r="BL200" s="9">
        <f>1-BJ200-BK200</f>
        <v>0.1255990900029943</v>
      </c>
      <c r="BM200" s="3">
        <f>AY200*BJ200</f>
        <v>1236.7936449208423</v>
      </c>
      <c r="BN200" s="3">
        <f>AY200*BK200</f>
        <v>1701.959396329124</v>
      </c>
      <c r="BO200" s="3">
        <f>SUM(BM200:BN200)</f>
        <v>2938.7530412499664</v>
      </c>
      <c r="BP200" s="3">
        <f>BE200*BJ200</f>
        <v>1163.6856668869284</v>
      </c>
      <c r="BQ200" s="3">
        <f>BE200*BK200</f>
        <v>1601.3550548753749</v>
      </c>
      <c r="BR200" s="3">
        <f>SUM(BP200:BQ200)</f>
        <v>2765.0407217623033</v>
      </c>
      <c r="BS200" s="3"/>
      <c r="BT200" s="15">
        <f>AF201</f>
        <v>44980</v>
      </c>
      <c r="BU200" s="3">
        <f t="shared" ref="BU200:CA200" si="25">AVERAGE(AG200:AG205)</f>
        <v>49.3</v>
      </c>
      <c r="BV200" s="13">
        <f t="shared" si="25"/>
        <v>1.0455000000000001</v>
      </c>
      <c r="BW200" s="3">
        <f t="shared" si="25"/>
        <v>80.7</v>
      </c>
      <c r="BX200" s="3">
        <f t="shared" si="25"/>
        <v>28.95</v>
      </c>
      <c r="BY200" s="3">
        <f t="shared" si="25"/>
        <v>5.25</v>
      </c>
      <c r="BZ200" s="3">
        <f t="shared" si="25"/>
        <v>77.400000000000006</v>
      </c>
      <c r="CA200" s="3">
        <f t="shared" si="25"/>
        <v>9.75</v>
      </c>
      <c r="CB200" s="13"/>
      <c r="CC200" s="10">
        <f>AVERAGE(AO200:AO205)</f>
        <v>8.5</v>
      </c>
      <c r="CD200" s="4">
        <f>AVERAGE(AP200:AP205)</f>
        <v>7.0000000000000007E-2</v>
      </c>
      <c r="CE200" s="3">
        <f>AVERAGE(AQ200:AQ205)</f>
        <v>9.65</v>
      </c>
    </row>
    <row r="201" spans="1:83" x14ac:dyDescent="0.25">
      <c r="A201" s="2" t="s">
        <v>13</v>
      </c>
      <c r="B201" s="2">
        <v>4</v>
      </c>
      <c r="C201" t="s">
        <v>5</v>
      </c>
      <c r="D201" s="5" t="str">
        <f t="shared" si="14"/>
        <v>p05-4-MW</v>
      </c>
      <c r="E201" s="5" t="s">
        <v>468</v>
      </c>
      <c r="F201" s="17">
        <v>44881</v>
      </c>
      <c r="G201">
        <v>5</v>
      </c>
      <c r="H201" s="3">
        <v>13.7</v>
      </c>
      <c r="I201" s="3">
        <f t="shared" si="15"/>
        <v>13.239999999999998</v>
      </c>
      <c r="J201" s="3">
        <f>($A$55-$A$47)*$A$75</f>
        <v>0.6399999999999999</v>
      </c>
      <c r="K201" s="6">
        <f t="shared" si="16"/>
        <v>3098.3548031496061</v>
      </c>
      <c r="L201" s="4">
        <v>8.48</v>
      </c>
      <c r="M201" s="4">
        <v>171.7</v>
      </c>
      <c r="N201" s="4">
        <f>M201-L201</f>
        <v>163.22</v>
      </c>
      <c r="O201" s="4">
        <v>153.13</v>
      </c>
      <c r="P201" s="7">
        <f>(N201-O201)/N201*100</f>
        <v>6.1818404607278543</v>
      </c>
      <c r="Q201" s="6">
        <f>K201*(1-P201/100)</f>
        <v>2906.819452311599</v>
      </c>
      <c r="R201" s="14">
        <v>44882</v>
      </c>
      <c r="S201" s="4">
        <v>6.01</v>
      </c>
      <c r="T201" s="4">
        <v>2.2799999999999998</v>
      </c>
      <c r="U201" s="4">
        <v>4.68</v>
      </c>
      <c r="V201" s="8">
        <f>(T201-$A$76)/(S201-$A$47*$A$48)</f>
        <v>0.36198485521557289</v>
      </c>
      <c r="W201" s="8">
        <f>(U201-$A$77)/(S201-$A$47*$A$48)</f>
        <v>0.51367374692495582</v>
      </c>
      <c r="X201" s="8">
        <f>1-V201-W201</f>
        <v>0.12434139785947129</v>
      </c>
      <c r="Y201" s="6">
        <f>K201*V201</f>
        <v>1121.557514824585</v>
      </c>
      <c r="Z201" s="6">
        <f>K201*W201</f>
        <v>1591.5435210367921</v>
      </c>
      <c r="AA201" s="6">
        <f>SUM(Y201:Z201)</f>
        <v>2713.1010358613771</v>
      </c>
      <c r="AB201" s="6">
        <f>Q201*V201</f>
        <v>1052.2246185828251</v>
      </c>
      <c r="AC201" s="6">
        <f>Q201*W201</f>
        <v>1493.156839703247</v>
      </c>
      <c r="AD201" s="6">
        <f>SUM(AB201:AC201)</f>
        <v>2545.3814582860723</v>
      </c>
      <c r="AE201" s="10">
        <v>990130541020</v>
      </c>
      <c r="AF201" s="14">
        <v>44980</v>
      </c>
      <c r="AG201" s="6">
        <v>49.1</v>
      </c>
      <c r="AH201" s="11">
        <v>1.0489999999999999</v>
      </c>
      <c r="AI201" s="6">
        <v>81</v>
      </c>
      <c r="AJ201" s="6">
        <v>28.4</v>
      </c>
      <c r="AK201" s="6">
        <v>5.3</v>
      </c>
      <c r="AL201" s="6">
        <v>77.099999999999994</v>
      </c>
      <c r="AM201" s="6">
        <v>9.9</v>
      </c>
      <c r="AN201" s="16" t="s">
        <v>167</v>
      </c>
      <c r="AO201" s="12">
        <v>9</v>
      </c>
      <c r="AP201" s="7">
        <v>0.08</v>
      </c>
      <c r="AQ201" s="6">
        <v>9.3000000000000007</v>
      </c>
      <c r="AV201" s="3"/>
      <c r="AW201" s="3"/>
      <c r="AX201" s="3"/>
      <c r="AY201" s="3"/>
      <c r="AZ201" s="4"/>
      <c r="BA201" s="4"/>
      <c r="BB201" s="4"/>
      <c r="BC201" s="4"/>
      <c r="BD201" s="4"/>
      <c r="BE201" s="3"/>
      <c r="BF201" s="3"/>
      <c r="BG201" s="4"/>
      <c r="BH201" s="4"/>
      <c r="BI201" s="4"/>
      <c r="BJ201" s="9"/>
      <c r="BK201" s="9"/>
      <c r="BL201" s="9"/>
      <c r="BM201" s="3"/>
      <c r="BN201" s="3"/>
      <c r="BO201" s="3"/>
      <c r="BP201" s="3"/>
      <c r="BQ201" s="3"/>
      <c r="BR201" s="3"/>
      <c r="BT201" s="15"/>
      <c r="BU201" s="3"/>
      <c r="BV201" s="13"/>
      <c r="BW201" s="3"/>
      <c r="BX201" s="3"/>
      <c r="BY201" s="3"/>
      <c r="BZ201" s="3"/>
      <c r="CA201" s="3"/>
      <c r="CB201" s="10"/>
      <c r="CC201" s="10"/>
      <c r="CD201" s="4"/>
      <c r="CE201" s="3"/>
    </row>
    <row r="202" spans="1:83" x14ac:dyDescent="0.25">
      <c r="A202" s="2" t="s">
        <v>13</v>
      </c>
      <c r="B202" s="2">
        <v>4</v>
      </c>
      <c r="C202" t="s">
        <v>6</v>
      </c>
      <c r="D202" s="5" t="str">
        <f t="shared" si="14"/>
        <v>p05-4-SW</v>
      </c>
      <c r="E202" s="5" t="s">
        <v>468</v>
      </c>
      <c r="F202" s="17">
        <v>44881</v>
      </c>
      <c r="G202">
        <v>5</v>
      </c>
      <c r="H202" s="3">
        <v>16</v>
      </c>
      <c r="I202" s="3">
        <f t="shared" si="15"/>
        <v>15.54</v>
      </c>
      <c r="J202" s="3">
        <f>($A$55-$A$47)*$A$75</f>
        <v>0.6399999999999999</v>
      </c>
      <c r="K202" s="6">
        <f t="shared" si="16"/>
        <v>3611.7709448818896</v>
      </c>
      <c r="L202" s="4"/>
      <c r="M202" s="4"/>
      <c r="N202" s="4"/>
      <c r="O202" s="4"/>
      <c r="P202" s="7"/>
      <c r="Q202" s="6"/>
      <c r="R202" s="14"/>
      <c r="S202" s="4"/>
      <c r="T202" s="4"/>
      <c r="U202" s="4"/>
      <c r="V202" s="8"/>
      <c r="W202" s="8"/>
      <c r="X202" s="8"/>
      <c r="Y202" s="6"/>
      <c r="Z202" s="6"/>
      <c r="AA202" s="6"/>
      <c r="AB202" s="6"/>
      <c r="AC202" s="6"/>
      <c r="AD202" s="6"/>
      <c r="AE202" s="10"/>
      <c r="AF202" s="14"/>
      <c r="AG202" s="6"/>
      <c r="AH202" s="11"/>
      <c r="AI202" s="6"/>
      <c r="AJ202" s="6"/>
      <c r="AK202" s="6"/>
      <c r="AL202" s="6"/>
      <c r="AM202" s="6"/>
      <c r="AN202" s="16"/>
      <c r="AO202" s="12"/>
      <c r="AP202" s="7"/>
      <c r="AQ202" s="6"/>
      <c r="AV202" s="3"/>
      <c r="AW202" s="3"/>
      <c r="AX202" s="3"/>
      <c r="AY202" s="3"/>
      <c r="AZ202" s="4"/>
      <c r="BA202" s="4"/>
      <c r="BB202" s="4"/>
      <c r="BC202" s="4"/>
      <c r="BD202" s="4"/>
      <c r="BE202" s="3"/>
      <c r="BF202" s="3"/>
      <c r="BG202" s="4"/>
      <c r="BH202" s="4"/>
      <c r="BI202" s="4"/>
      <c r="BJ202" s="9"/>
      <c r="BK202" s="9"/>
      <c r="BL202" s="9"/>
      <c r="BM202" s="3"/>
      <c r="BN202" s="3"/>
      <c r="BO202" s="3"/>
      <c r="BP202" s="3"/>
      <c r="BQ202" s="3"/>
      <c r="BR202" s="3"/>
      <c r="BT202" s="15"/>
      <c r="BU202" s="3"/>
      <c r="BV202" s="13"/>
      <c r="BW202" s="3"/>
      <c r="BX202" s="3"/>
      <c r="BY202" s="3"/>
      <c r="BZ202" s="3"/>
      <c r="CA202" s="3"/>
      <c r="CB202" s="10"/>
      <c r="CC202" s="10"/>
      <c r="CD202" s="4"/>
      <c r="CE202" s="3"/>
    </row>
    <row r="203" spans="1:83" x14ac:dyDescent="0.25">
      <c r="A203" s="2" t="s">
        <v>13</v>
      </c>
      <c r="B203" s="2">
        <v>4</v>
      </c>
      <c r="C203" t="s">
        <v>7</v>
      </c>
      <c r="D203" s="5" t="str">
        <f t="shared" si="14"/>
        <v>p05-4-NE</v>
      </c>
      <c r="E203" s="5" t="s">
        <v>468</v>
      </c>
      <c r="F203" s="17">
        <v>44881</v>
      </c>
      <c r="G203">
        <v>17</v>
      </c>
      <c r="H203" s="3">
        <v>14.6</v>
      </c>
      <c r="I203" s="3">
        <f t="shared" si="15"/>
        <v>14.139999999999999</v>
      </c>
      <c r="J203" s="3">
        <f>($A$67-$A$47)*$A$75</f>
        <v>0.75874999999999992</v>
      </c>
      <c r="K203" s="6">
        <f t="shared" si="16"/>
        <v>3325.7646702755901</v>
      </c>
      <c r="L203" s="4"/>
      <c r="M203" s="4"/>
      <c r="N203" s="4"/>
      <c r="O203" s="4"/>
      <c r="P203" s="7"/>
      <c r="Q203" s="6"/>
      <c r="R203" s="14"/>
      <c r="S203" s="4"/>
      <c r="T203" s="4"/>
      <c r="U203" s="4"/>
      <c r="V203" s="8"/>
      <c r="W203" s="8"/>
      <c r="X203" s="8"/>
      <c r="Y203" s="6"/>
      <c r="Z203" s="6"/>
      <c r="AA203" s="6"/>
      <c r="AB203" s="6"/>
      <c r="AC203" s="6"/>
      <c r="AD203" s="6"/>
      <c r="AE203" s="10"/>
      <c r="AF203" s="14"/>
      <c r="AG203" s="6"/>
      <c r="AH203" s="11"/>
      <c r="AI203" s="6"/>
      <c r="AJ203" s="6"/>
      <c r="AK203" s="6"/>
      <c r="AL203" s="6"/>
      <c r="AM203" s="6"/>
      <c r="AN203" s="16"/>
      <c r="AO203" s="12"/>
      <c r="AP203" s="7"/>
      <c r="AQ203" s="6"/>
      <c r="AV203" s="3"/>
      <c r="AW203" s="3"/>
      <c r="AX203" s="3"/>
      <c r="AY203" s="3"/>
      <c r="AZ203" s="4"/>
      <c r="BA203" s="4"/>
      <c r="BB203" s="4"/>
      <c r="BC203" s="4"/>
      <c r="BD203" s="4"/>
      <c r="BE203" s="3"/>
      <c r="BF203" s="3"/>
      <c r="BG203" s="4"/>
      <c r="BH203" s="4"/>
      <c r="BI203" s="4"/>
      <c r="BJ203" s="9"/>
      <c r="BK203" s="9"/>
      <c r="BL203" s="9"/>
      <c r="BM203" s="3"/>
      <c r="BN203" s="3"/>
      <c r="BO203" s="3"/>
      <c r="BP203" s="3"/>
      <c r="BQ203" s="3"/>
      <c r="BR203" s="3"/>
      <c r="BT203" s="15"/>
      <c r="BU203" s="3"/>
      <c r="BV203" s="13"/>
      <c r="BW203" s="3"/>
      <c r="BX203" s="3"/>
      <c r="BY203" s="3"/>
      <c r="BZ203" s="3"/>
      <c r="CA203" s="3"/>
      <c r="CB203" s="10"/>
      <c r="CC203" s="10"/>
      <c r="CD203" s="4"/>
      <c r="CE203" s="3"/>
    </row>
    <row r="204" spans="1:83" x14ac:dyDescent="0.25">
      <c r="A204" s="2" t="s">
        <v>13</v>
      </c>
      <c r="B204" s="2">
        <v>4</v>
      </c>
      <c r="C204" t="s">
        <v>18</v>
      </c>
      <c r="D204" s="5" t="str">
        <f t="shared" si="14"/>
        <v>p05-4-ME</v>
      </c>
      <c r="E204" s="5" t="s">
        <v>468</v>
      </c>
      <c r="F204" s="17">
        <v>44881</v>
      </c>
      <c r="G204">
        <v>17</v>
      </c>
      <c r="H204" s="3">
        <v>15.3</v>
      </c>
      <c r="I204" s="3">
        <f t="shared" si="15"/>
        <v>14.84</v>
      </c>
      <c r="J204" s="3">
        <f>($A$67-$A$47)*$A$75</f>
        <v>0.75874999999999992</v>
      </c>
      <c r="K204" s="6">
        <f t="shared" si="16"/>
        <v>3482.0217568897633</v>
      </c>
      <c r="L204" s="4">
        <v>8.9600000000000009</v>
      </c>
      <c r="M204" s="4">
        <v>173.26</v>
      </c>
      <c r="N204" s="4">
        <f>M204-L204</f>
        <v>164.29999999999998</v>
      </c>
      <c r="O204" s="4">
        <v>155.03</v>
      </c>
      <c r="P204" s="7">
        <f>(N204-O204)/N204*100</f>
        <v>5.6421180766889734</v>
      </c>
      <c r="Q204" s="6">
        <f>K204*(1-P204/100)</f>
        <v>3285.561977910043</v>
      </c>
      <c r="R204" s="14">
        <v>44882</v>
      </c>
      <c r="S204" s="4">
        <v>6.69</v>
      </c>
      <c r="T204" s="4">
        <v>2.6</v>
      </c>
      <c r="U204" s="4">
        <v>4.9400000000000004</v>
      </c>
      <c r="V204" s="8">
        <f>(T204-$A$76)/(S204-$A$47*$A$48)</f>
        <v>0.37337913648230636</v>
      </c>
      <c r="W204" s="8">
        <f>(U204-$A$77)/(S204-$A$47*$A$48)</f>
        <v>0.49989603396804655</v>
      </c>
      <c r="X204" s="8">
        <f>1-V204-W204</f>
        <v>0.12672482954964709</v>
      </c>
      <c r="Y204" s="6">
        <f>K204*V204</f>
        <v>1300.1142768001032</v>
      </c>
      <c r="Z204" s="6">
        <f>K204*W204</f>
        <v>1740.6488664596422</v>
      </c>
      <c r="AA204" s="6">
        <f>SUM(Y204:Z204)</f>
        <v>3040.7631432597454</v>
      </c>
      <c r="AB204" s="6">
        <f>Q204*V204</f>
        <v>1226.7602941711505</v>
      </c>
      <c r="AC204" s="6">
        <f>Q204*W204</f>
        <v>1642.439402113441</v>
      </c>
      <c r="AD204" s="6">
        <f>SUM(AB204:AC204)</f>
        <v>2869.1996962845915</v>
      </c>
      <c r="AE204" s="10">
        <v>990130542068</v>
      </c>
      <c r="AF204" s="14">
        <v>44980</v>
      </c>
      <c r="AG204" s="6">
        <v>49.5</v>
      </c>
      <c r="AH204" s="11">
        <v>1.042</v>
      </c>
      <c r="AI204" s="6">
        <v>80.400000000000006</v>
      </c>
      <c r="AJ204" s="6">
        <v>29.5</v>
      </c>
      <c r="AK204" s="6">
        <v>5.2</v>
      </c>
      <c r="AL204" s="6">
        <v>77.7</v>
      </c>
      <c r="AM204" s="6">
        <v>9.6</v>
      </c>
      <c r="AN204" s="16" t="s">
        <v>165</v>
      </c>
      <c r="AO204" s="12">
        <v>8</v>
      </c>
      <c r="AP204" s="7">
        <v>0.06</v>
      </c>
      <c r="AQ204" s="6">
        <v>10</v>
      </c>
      <c r="AV204" s="3"/>
      <c r="AW204" s="3"/>
      <c r="AX204" s="3"/>
      <c r="AY204" s="3"/>
      <c r="AZ204" s="4"/>
      <c r="BA204" s="4"/>
      <c r="BB204" s="4"/>
      <c r="BC204" s="4"/>
      <c r="BD204" s="4"/>
      <c r="BE204" s="3"/>
      <c r="BF204" s="3"/>
      <c r="BG204" s="4"/>
      <c r="BH204" s="4"/>
      <c r="BI204" s="4"/>
      <c r="BJ204" s="9"/>
      <c r="BK204" s="9"/>
      <c r="BL204" s="9"/>
      <c r="BM204" s="3"/>
      <c r="BN204" s="3"/>
      <c r="BO204" s="3"/>
      <c r="BP204" s="3"/>
      <c r="BQ204" s="3"/>
      <c r="BR204" s="3"/>
      <c r="BT204" s="15"/>
      <c r="BU204" s="3"/>
      <c r="BV204" s="13"/>
      <c r="BW204" s="3"/>
      <c r="BX204" s="3"/>
      <c r="BY204" s="3"/>
      <c r="BZ204" s="3"/>
      <c r="CA204" s="3"/>
      <c r="CB204" s="10"/>
      <c r="CC204" s="10"/>
      <c r="CD204" s="4"/>
      <c r="CE204" s="3"/>
    </row>
    <row r="205" spans="1:83" x14ac:dyDescent="0.25">
      <c r="A205" s="2" t="s">
        <v>13</v>
      </c>
      <c r="B205" s="2">
        <v>4</v>
      </c>
      <c r="C205" t="s">
        <v>8</v>
      </c>
      <c r="D205" s="5" t="str">
        <f t="shared" si="14"/>
        <v>p05-4-SE</v>
      </c>
      <c r="E205" s="5" t="s">
        <v>468</v>
      </c>
      <c r="F205" s="17">
        <v>44881</v>
      </c>
      <c r="G205">
        <v>17</v>
      </c>
      <c r="H205" s="3">
        <v>12.7</v>
      </c>
      <c r="I205" s="3">
        <f t="shared" si="15"/>
        <v>12.239999999999998</v>
      </c>
      <c r="J205" s="3">
        <f>($A$67-$A$47)*$A$75</f>
        <v>0.75874999999999992</v>
      </c>
      <c r="K205" s="6">
        <f t="shared" si="16"/>
        <v>2901.6382923228339</v>
      </c>
      <c r="L205" s="4"/>
      <c r="M205" s="4"/>
      <c r="N205" s="4"/>
      <c r="O205" s="4"/>
      <c r="P205" s="7"/>
      <c r="Q205" s="6"/>
      <c r="R205" s="14"/>
      <c r="S205" s="4"/>
      <c r="T205" s="4"/>
      <c r="U205" s="4"/>
      <c r="V205" s="8"/>
      <c r="W205" s="8"/>
      <c r="X205" s="8"/>
      <c r="Y205" s="6"/>
      <c r="Z205" s="6"/>
      <c r="AA205" s="6"/>
      <c r="AB205" s="6"/>
      <c r="AC205" s="6"/>
      <c r="AD205" s="6"/>
      <c r="AE205" s="10"/>
      <c r="AF205" s="14"/>
      <c r="AG205" s="6"/>
      <c r="AH205" s="11"/>
      <c r="AI205" s="6"/>
      <c r="AJ205" s="6"/>
      <c r="AK205" s="6"/>
      <c r="AL205" s="6"/>
      <c r="AM205" s="6"/>
      <c r="AN205" s="16"/>
      <c r="AO205" s="12"/>
      <c r="AP205" s="7"/>
      <c r="AQ205" s="6"/>
      <c r="AV205" s="3"/>
      <c r="AW205" s="3"/>
      <c r="AX205" s="3"/>
      <c r="AY205" s="3"/>
      <c r="AZ205" s="4"/>
      <c r="BA205" s="4"/>
      <c r="BB205" s="4"/>
      <c r="BC205" s="4"/>
      <c r="BD205" s="4"/>
      <c r="BE205" s="3"/>
      <c r="BF205" s="3"/>
      <c r="BG205" s="4"/>
      <c r="BH205" s="4"/>
      <c r="BI205" s="4"/>
      <c r="BJ205" s="9"/>
      <c r="BK205" s="9"/>
      <c r="BL205" s="9"/>
      <c r="BM205" s="3"/>
      <c r="BN205" s="3"/>
      <c r="BO205" s="3"/>
      <c r="BP205" s="3"/>
      <c r="BQ205" s="3"/>
      <c r="BR205" s="3"/>
      <c r="BT205" s="15"/>
      <c r="BU205" s="3"/>
      <c r="BV205" s="13"/>
      <c r="BW205" s="3"/>
      <c r="BX205" s="3"/>
      <c r="BY205" s="3"/>
      <c r="BZ205" s="3"/>
      <c r="CA205" s="3"/>
      <c r="CB205" s="10"/>
      <c r="CC205" s="10"/>
      <c r="CD205" s="4"/>
      <c r="CE205" s="3"/>
    </row>
    <row r="206" spans="1:83" x14ac:dyDescent="0.25">
      <c r="A206" s="2" t="s">
        <v>14</v>
      </c>
      <c r="B206" s="2">
        <v>1</v>
      </c>
      <c r="C206" t="s">
        <v>4</v>
      </c>
      <c r="D206" s="5" t="str">
        <f t="shared" si="14"/>
        <v>p06-1-NW</v>
      </c>
      <c r="E206" s="5" t="s">
        <v>468</v>
      </c>
      <c r="F206" s="17">
        <v>44881</v>
      </c>
      <c r="G206">
        <v>6</v>
      </c>
      <c r="H206" s="3">
        <v>21.3</v>
      </c>
      <c r="I206" s="3">
        <f t="shared" si="15"/>
        <v>20.84</v>
      </c>
      <c r="J206" s="3">
        <f>($A$56-$A$47)*$A$75</f>
        <v>0.57124999999999992</v>
      </c>
      <c r="K206" s="6">
        <f t="shared" si="16"/>
        <v>4779.5136368110234</v>
      </c>
      <c r="L206" s="4"/>
      <c r="M206" s="4"/>
      <c r="N206" s="4"/>
      <c r="O206" s="4"/>
      <c r="P206" s="7"/>
      <c r="Q206" s="6"/>
      <c r="R206" s="14"/>
      <c r="S206" s="4"/>
      <c r="T206" s="4"/>
      <c r="U206" s="4"/>
      <c r="V206" s="8"/>
      <c r="W206" s="8"/>
      <c r="X206" s="8"/>
      <c r="Y206" s="6"/>
      <c r="Z206" s="6"/>
      <c r="AA206" s="6"/>
      <c r="AB206" s="6"/>
      <c r="AC206" s="6"/>
      <c r="AD206" s="6"/>
      <c r="AE206" s="10"/>
      <c r="AF206" s="14"/>
      <c r="AG206" s="6"/>
      <c r="AH206" s="11"/>
      <c r="AI206" s="6"/>
      <c r="AJ206" s="6"/>
      <c r="AK206" s="6"/>
      <c r="AL206" s="6"/>
      <c r="AM206" s="6"/>
      <c r="AN206" s="16"/>
      <c r="AO206" s="12"/>
      <c r="AP206" s="7"/>
      <c r="AQ206" s="6"/>
      <c r="AS206" s="4" t="s">
        <v>106</v>
      </c>
      <c r="AT206" s="4" t="str">
        <f>E206</f>
        <v>Machine</v>
      </c>
      <c r="AU206" s="15">
        <f>F206</f>
        <v>44881</v>
      </c>
      <c r="AV206" s="3">
        <f>SUM(H206:H211)</f>
        <v>114.2</v>
      </c>
      <c r="AW206" s="3">
        <f>AV206-6*$A$47</f>
        <v>111.44</v>
      </c>
      <c r="AX206" s="3">
        <f>SUM(J206:J211)</f>
        <v>3.1087499999999992</v>
      </c>
      <c r="AY206" s="3">
        <f>(AW206+AX206)*$A$48/(6*$A$49)*$A$50</f>
        <v>4261.6795119750659</v>
      </c>
      <c r="AZ206" s="4">
        <f>SUM(L206:L211)</f>
        <v>17.509999999999998</v>
      </c>
      <c r="BA206" s="4">
        <f>SUM(M206:M211)</f>
        <v>478.13</v>
      </c>
      <c r="BB206" s="4">
        <f>BA206-AZ206</f>
        <v>460.62</v>
      </c>
      <c r="BC206" s="4">
        <f>SUM(O206:O211)</f>
        <v>435.98</v>
      </c>
      <c r="BD206" s="4">
        <f>(BB206-BC206)/BB206*100</f>
        <v>5.3493117971429784</v>
      </c>
      <c r="BE206" s="3">
        <f>AY206*(1-BD206/100)</f>
        <v>4033.7089870845584</v>
      </c>
      <c r="BF206" s="15">
        <f>R207</f>
        <v>44882</v>
      </c>
      <c r="BG206" s="4">
        <f>SUM(S206:S211)</f>
        <v>16.759999999999998</v>
      </c>
      <c r="BH206" s="4">
        <f>SUM(T206:T211)</f>
        <v>5.7200000000000006</v>
      </c>
      <c r="BI206" s="4">
        <f>SUM(U206:U211)</f>
        <v>12.36</v>
      </c>
      <c r="BJ206" s="9">
        <f>(BH206-2*$A$76)/(BG206-2*$A$47*$A$48)</f>
        <v>0.32797527469789423</v>
      </c>
      <c r="BK206" s="9">
        <f>(BI206-2*$A$77)/(BG206-2*$A$47*$A$48)</f>
        <v>0.54825717561439025</v>
      </c>
      <c r="BL206" s="9">
        <f>1-BJ206-BK206</f>
        <v>0.12376754968771553</v>
      </c>
      <c r="BM206" s="3">
        <f>AY206*BJ206</f>
        <v>1397.72550861441</v>
      </c>
      <c r="BN206" s="3">
        <f>AY206*BK206</f>
        <v>2336.4963726091628</v>
      </c>
      <c r="BO206" s="3">
        <f>SUM(BM206:BN206)</f>
        <v>3734.2218812235728</v>
      </c>
      <c r="BP206" s="3">
        <f>BE206*BJ206</f>
        <v>1322.9568130904227</v>
      </c>
      <c r="BQ206" s="3">
        <f>BE206*BK206</f>
        <v>2211.509896509363</v>
      </c>
      <c r="BR206" s="3">
        <f>SUM(BP206:BQ206)</f>
        <v>3534.4667095997856</v>
      </c>
      <c r="BS206" s="3"/>
      <c r="BT206" s="15">
        <f>AF207</f>
        <v>44980</v>
      </c>
      <c r="BU206" s="3">
        <f t="shared" ref="BU206:CA206" si="26">AVERAGE(AG206:AG211)</f>
        <v>45.9</v>
      </c>
      <c r="BV206" s="13">
        <f t="shared" si="26"/>
        <v>1.1425000000000001</v>
      </c>
      <c r="BW206" s="3">
        <f t="shared" si="26"/>
        <v>79.400000000000006</v>
      </c>
      <c r="BX206" s="3">
        <f t="shared" si="26"/>
        <v>28.5</v>
      </c>
      <c r="BY206" s="3">
        <f t="shared" si="26"/>
        <v>6.0500000000000007</v>
      </c>
      <c r="BZ206" s="3">
        <f t="shared" si="26"/>
        <v>79.199999999999989</v>
      </c>
      <c r="CA206" s="3">
        <f t="shared" si="26"/>
        <v>8.15</v>
      </c>
      <c r="CB206" s="13"/>
      <c r="CC206" s="10">
        <f>AVERAGE(AO206:AO211)</f>
        <v>9</v>
      </c>
      <c r="CD206" s="4">
        <f>AVERAGE(AP206:AP211)</f>
        <v>0.12</v>
      </c>
      <c r="CE206" s="3">
        <f>AVERAGE(AQ206:AQ211)</f>
        <v>10</v>
      </c>
    </row>
    <row r="207" spans="1:83" x14ac:dyDescent="0.25">
      <c r="A207" s="2" t="s">
        <v>14</v>
      </c>
      <c r="B207" s="2">
        <v>1</v>
      </c>
      <c r="C207" t="s">
        <v>5</v>
      </c>
      <c r="D207" s="5" t="str">
        <f t="shared" si="14"/>
        <v>p06-1-MW</v>
      </c>
      <c r="E207" s="5" t="s">
        <v>468</v>
      </c>
      <c r="F207" s="17">
        <v>44881</v>
      </c>
      <c r="G207">
        <v>6</v>
      </c>
      <c r="H207" s="3">
        <v>18.399999999999999</v>
      </c>
      <c r="I207" s="3">
        <f t="shared" si="15"/>
        <v>17.939999999999998</v>
      </c>
      <c r="J207" s="3">
        <f>($A$56-$A$47)*$A$75</f>
        <v>0.57124999999999992</v>
      </c>
      <c r="K207" s="6">
        <f t="shared" si="16"/>
        <v>4132.1628494094484</v>
      </c>
      <c r="L207" s="4">
        <v>8.6199999999999992</v>
      </c>
      <c r="M207" s="4">
        <v>288.72000000000003</v>
      </c>
      <c r="N207" s="4">
        <f>M207-L207</f>
        <v>280.10000000000002</v>
      </c>
      <c r="O207" s="4">
        <v>263.23</v>
      </c>
      <c r="P207" s="7">
        <f>(N207-O207)/N207*100</f>
        <v>6.0228489825062486</v>
      </c>
      <c r="Q207" s="6">
        <f>K207*(1-P207/100)</f>
        <v>3883.2889212782902</v>
      </c>
      <c r="R207" s="14">
        <v>44882</v>
      </c>
      <c r="S207" s="4">
        <v>8</v>
      </c>
      <c r="T207" s="4">
        <v>2.7</v>
      </c>
      <c r="U207" s="4">
        <v>6.04</v>
      </c>
      <c r="V207" s="8">
        <f>(T207-$A$76)/(S207-$A$47*$A$48)</f>
        <v>0.32343570117769405</v>
      </c>
      <c r="W207" s="8">
        <f>(U207-$A$77)/(S207-$A$47*$A$48)</f>
        <v>0.55702815202825084</v>
      </c>
      <c r="X207" s="8">
        <f>1-V207-W207</f>
        <v>0.11953614679405511</v>
      </c>
      <c r="Y207" s="6">
        <f>K207*V207</f>
        <v>1336.4889885791631</v>
      </c>
      <c r="Z207" s="6">
        <f>K207*W207</f>
        <v>2301.7310358863365</v>
      </c>
      <c r="AA207" s="6">
        <f>SUM(Y207:Z207)</f>
        <v>3638.2200244654996</v>
      </c>
      <c r="AB207" s="6">
        <f>Q207*V207</f>
        <v>1255.9942751292149</v>
      </c>
      <c r="AC207" s="6">
        <f>Q207*W207</f>
        <v>2163.1012516114256</v>
      </c>
      <c r="AD207" s="6">
        <f>SUM(AB207:AC207)</f>
        <v>3419.0955267406407</v>
      </c>
      <c r="AE207" s="10">
        <v>990130611021</v>
      </c>
      <c r="AF207" s="14">
        <v>44980</v>
      </c>
      <c r="AG207" s="6">
        <v>44.2</v>
      </c>
      <c r="AH207" s="11">
        <v>1.1639999999999999</v>
      </c>
      <c r="AI207" s="6">
        <v>80.8</v>
      </c>
      <c r="AJ207" s="6">
        <v>29.8</v>
      </c>
      <c r="AK207" s="6">
        <v>5.9</v>
      </c>
      <c r="AL207" s="6">
        <v>79.3</v>
      </c>
      <c r="AM207" s="6">
        <v>8.6</v>
      </c>
      <c r="AN207" s="16" t="s">
        <v>150</v>
      </c>
      <c r="AO207" s="12">
        <v>7</v>
      </c>
      <c r="AP207" s="7">
        <v>0.12</v>
      </c>
      <c r="AQ207" s="6">
        <v>8.8000000000000007</v>
      </c>
      <c r="AV207" s="3"/>
      <c r="AW207" s="3"/>
      <c r="AX207" s="3"/>
      <c r="AY207" s="3"/>
      <c r="AZ207" s="4"/>
      <c r="BA207" s="4"/>
      <c r="BB207" s="4"/>
      <c r="BC207" s="4"/>
      <c r="BD207" s="4"/>
      <c r="BE207" s="3"/>
      <c r="BF207" s="3"/>
      <c r="BG207" s="4"/>
      <c r="BH207" s="4"/>
      <c r="BI207" s="4"/>
      <c r="BJ207" s="9"/>
      <c r="BK207" s="9"/>
      <c r="BL207" s="9"/>
      <c r="BM207" s="3"/>
      <c r="BN207" s="3"/>
      <c r="BO207" s="3"/>
      <c r="BP207" s="3"/>
      <c r="BQ207" s="3"/>
      <c r="BR207" s="3"/>
      <c r="BT207" s="15"/>
      <c r="BU207" s="3"/>
      <c r="BV207" s="13"/>
      <c r="BW207" s="3"/>
      <c r="BX207" s="3"/>
      <c r="BY207" s="3"/>
      <c r="BZ207" s="3"/>
      <c r="CA207" s="3"/>
      <c r="CB207" s="10"/>
      <c r="CC207" s="10"/>
      <c r="CD207" s="4"/>
      <c r="CE207" s="3"/>
    </row>
    <row r="208" spans="1:83" x14ac:dyDescent="0.25">
      <c r="A208" s="2" t="s">
        <v>14</v>
      </c>
      <c r="B208" s="2">
        <v>1</v>
      </c>
      <c r="C208" t="s">
        <v>6</v>
      </c>
      <c r="D208" s="5" t="str">
        <f t="shared" si="14"/>
        <v>p06-1-SW</v>
      </c>
      <c r="E208" s="5" t="s">
        <v>468</v>
      </c>
      <c r="F208" s="17">
        <v>44881</v>
      </c>
      <c r="G208">
        <v>6</v>
      </c>
      <c r="H208" s="3">
        <v>20.7</v>
      </c>
      <c r="I208" s="3">
        <f t="shared" si="15"/>
        <v>20.239999999999998</v>
      </c>
      <c r="J208" s="3">
        <f>($A$56-$A$47)*$A$75</f>
        <v>0.57124999999999992</v>
      </c>
      <c r="K208" s="6">
        <f t="shared" si="16"/>
        <v>4645.5789911417314</v>
      </c>
      <c r="L208" s="4"/>
      <c r="M208" s="4"/>
      <c r="N208" s="4"/>
      <c r="O208" s="4"/>
      <c r="P208" s="7"/>
      <c r="Q208" s="6"/>
      <c r="R208" s="14"/>
      <c r="S208" s="4"/>
      <c r="T208" s="4"/>
      <c r="U208" s="4"/>
      <c r="V208" s="8"/>
      <c r="W208" s="8"/>
      <c r="X208" s="8"/>
      <c r="Y208" s="6"/>
      <c r="Z208" s="6"/>
      <c r="AA208" s="6"/>
      <c r="AB208" s="6"/>
      <c r="AC208" s="6"/>
      <c r="AD208" s="6"/>
      <c r="AE208" s="10"/>
      <c r="AF208" s="14"/>
      <c r="AG208" s="6"/>
      <c r="AH208" s="11"/>
      <c r="AI208" s="6"/>
      <c r="AJ208" s="6"/>
      <c r="AK208" s="6"/>
      <c r="AL208" s="6"/>
      <c r="AM208" s="6"/>
      <c r="AN208" s="16"/>
      <c r="AO208" s="12"/>
      <c r="AP208" s="7"/>
      <c r="AQ208" s="6"/>
      <c r="AV208" s="3"/>
      <c r="AW208" s="3"/>
      <c r="AX208" s="3"/>
      <c r="AY208" s="3"/>
      <c r="AZ208" s="4"/>
      <c r="BA208" s="4"/>
      <c r="BB208" s="4"/>
      <c r="BC208" s="4"/>
      <c r="BD208" s="4"/>
      <c r="BE208" s="3"/>
      <c r="BF208" s="3"/>
      <c r="BG208" s="4"/>
      <c r="BH208" s="4"/>
      <c r="BI208" s="4"/>
      <c r="BJ208" s="9"/>
      <c r="BK208" s="9"/>
      <c r="BL208" s="9"/>
      <c r="BM208" s="3"/>
      <c r="BN208" s="3"/>
      <c r="BO208" s="3"/>
      <c r="BP208" s="3"/>
      <c r="BQ208" s="3"/>
      <c r="BR208" s="3"/>
      <c r="BS208" s="4"/>
      <c r="BT208" s="15"/>
      <c r="BU208" s="3"/>
      <c r="BV208" s="13"/>
      <c r="BW208" s="3"/>
      <c r="BX208" s="3"/>
      <c r="BY208" s="3"/>
      <c r="BZ208" s="3"/>
      <c r="CA208" s="3"/>
      <c r="CB208" s="10"/>
      <c r="CC208" s="10"/>
      <c r="CD208" s="4"/>
      <c r="CE208" s="3"/>
    </row>
    <row r="209" spans="1:83" x14ac:dyDescent="0.25">
      <c r="A209" s="2" t="s">
        <v>14</v>
      </c>
      <c r="B209" s="2">
        <v>1</v>
      </c>
      <c r="C209" t="s">
        <v>7</v>
      </c>
      <c r="D209" s="5" t="str">
        <f t="shared" si="14"/>
        <v>p06-1-NE</v>
      </c>
      <c r="E209" s="5" t="s">
        <v>468</v>
      </c>
      <c r="F209" s="17">
        <v>44881</v>
      </c>
      <c r="G209">
        <v>18</v>
      </c>
      <c r="H209" s="3">
        <v>17.2</v>
      </c>
      <c r="I209" s="3">
        <f t="shared" si="15"/>
        <v>16.739999999999998</v>
      </c>
      <c r="J209" s="3">
        <f>($A$68-$A$47)*$A$75</f>
        <v>0.46500000000000002</v>
      </c>
      <c r="K209" s="6">
        <f t="shared" si="16"/>
        <v>3840.5759645669286</v>
      </c>
      <c r="L209" s="4"/>
      <c r="M209" s="4"/>
      <c r="N209" s="4"/>
      <c r="O209" s="4"/>
      <c r="P209" s="7"/>
      <c r="Q209" s="6"/>
      <c r="R209" s="14"/>
      <c r="S209" s="4"/>
      <c r="T209" s="4"/>
      <c r="U209" s="4"/>
      <c r="V209" s="8"/>
      <c r="W209" s="8"/>
      <c r="X209" s="8"/>
      <c r="Y209" s="6"/>
      <c r="Z209" s="6"/>
      <c r="AA209" s="6"/>
      <c r="AB209" s="6"/>
      <c r="AC209" s="6"/>
      <c r="AD209" s="6"/>
      <c r="AE209" s="10"/>
      <c r="AF209" s="14"/>
      <c r="AG209" s="6"/>
      <c r="AH209" s="11"/>
      <c r="AI209" s="6"/>
      <c r="AJ209" s="6"/>
      <c r="AK209" s="6"/>
      <c r="AL209" s="6"/>
      <c r="AM209" s="6"/>
      <c r="AN209" s="16"/>
      <c r="AO209" s="12"/>
      <c r="AP209" s="7"/>
      <c r="AQ209" s="6"/>
      <c r="AV209" s="3"/>
      <c r="AW209" s="3"/>
      <c r="AX209" s="3"/>
      <c r="AY209" s="3"/>
      <c r="AZ209" s="4"/>
      <c r="BA209" s="4"/>
      <c r="BB209" s="4"/>
      <c r="BC209" s="4"/>
      <c r="BD209" s="4"/>
      <c r="BE209" s="3"/>
      <c r="BF209" s="3"/>
      <c r="BG209" s="4"/>
      <c r="BH209" s="4"/>
      <c r="BI209" s="4"/>
      <c r="BJ209" s="9"/>
      <c r="BK209" s="9"/>
      <c r="BL209" s="9"/>
      <c r="BM209" s="3"/>
      <c r="BN209" s="3"/>
      <c r="BO209" s="3"/>
      <c r="BP209" s="3"/>
      <c r="BQ209" s="3"/>
      <c r="BR209" s="3"/>
      <c r="BT209" s="15"/>
      <c r="BU209" s="3"/>
      <c r="BV209" s="13"/>
      <c r="BW209" s="3"/>
      <c r="BX209" s="3"/>
      <c r="BY209" s="3"/>
      <c r="BZ209" s="3"/>
      <c r="CA209" s="3"/>
      <c r="CB209" s="10"/>
      <c r="CC209" s="10"/>
      <c r="CD209" s="4"/>
      <c r="CE209" s="3"/>
    </row>
    <row r="210" spans="1:83" x14ac:dyDescent="0.25">
      <c r="A210" s="2" t="s">
        <v>14</v>
      </c>
      <c r="B210" s="2">
        <v>1</v>
      </c>
      <c r="C210" t="s">
        <v>18</v>
      </c>
      <c r="D210" s="5" t="str">
        <f t="shared" si="14"/>
        <v>p06-1-ME</v>
      </c>
      <c r="E210" s="5" t="s">
        <v>468</v>
      </c>
      <c r="F210" s="17">
        <v>44881</v>
      </c>
      <c r="G210">
        <v>18</v>
      </c>
      <c r="H210" s="3">
        <v>19.8</v>
      </c>
      <c r="I210" s="3">
        <f t="shared" si="15"/>
        <v>19.34</v>
      </c>
      <c r="J210" s="3">
        <f>($A$68-$A$47)*$A$75</f>
        <v>0.46500000000000002</v>
      </c>
      <c r="K210" s="6">
        <f t="shared" si="16"/>
        <v>4420.9594291338581</v>
      </c>
      <c r="L210" s="4">
        <v>8.89</v>
      </c>
      <c r="M210" s="4">
        <v>189.41</v>
      </c>
      <c r="N210" s="4">
        <f>M210-L210</f>
        <v>180.51999999999998</v>
      </c>
      <c r="O210" s="4">
        <v>172.75</v>
      </c>
      <c r="P210" s="7">
        <f>(N210-O210)/N210*100</f>
        <v>4.3042322180367725</v>
      </c>
      <c r="Q210" s="6">
        <f>K210*(1-P210/100)</f>
        <v>4230.6710690387436</v>
      </c>
      <c r="R210" s="14">
        <v>44882</v>
      </c>
      <c r="S210" s="4">
        <v>8.76</v>
      </c>
      <c r="T210" s="4">
        <v>3.02</v>
      </c>
      <c r="U210" s="4">
        <v>6.32</v>
      </c>
      <c r="V210" s="8">
        <f>(T210-$A$76)/(S210-$A$47*$A$48)</f>
        <v>0.33211139416565039</v>
      </c>
      <c r="W210" s="8">
        <f>(U210-$A$77)/(S210-$A$47*$A$48)</f>
        <v>0.54026571867792428</v>
      </c>
      <c r="X210" s="8">
        <f>1-V210-W210</f>
        <v>0.12762288715642534</v>
      </c>
      <c r="Y210" s="6">
        <f>K210*V210</f>
        <v>1468.2509995594235</v>
      </c>
      <c r="Z210" s="6">
        <f>K210*W210</f>
        <v>2388.4928232269499</v>
      </c>
      <c r="AA210" s="6">
        <f>SUM(Y210:Z210)</f>
        <v>3856.7438227863731</v>
      </c>
      <c r="AB210" s="6">
        <f>Q210*V210</f>
        <v>1405.0540669947397</v>
      </c>
      <c r="AC210" s="6">
        <f>Q210*W210</f>
        <v>2285.6865456041191</v>
      </c>
      <c r="AD210" s="6">
        <f>SUM(AB210:AC210)</f>
        <v>3690.7406125988591</v>
      </c>
      <c r="AE210" s="10">
        <v>990130612069</v>
      </c>
      <c r="AF210" s="14">
        <v>44980</v>
      </c>
      <c r="AG210" s="6">
        <v>47.599999999999994</v>
      </c>
      <c r="AH210" s="11">
        <v>1.121</v>
      </c>
      <c r="AI210" s="6">
        <v>78</v>
      </c>
      <c r="AJ210" s="6">
        <v>27.2</v>
      </c>
      <c r="AK210" s="6">
        <v>6.2</v>
      </c>
      <c r="AL210" s="6">
        <v>79.099999999999994</v>
      </c>
      <c r="AM210" s="6">
        <v>7.7</v>
      </c>
      <c r="AN210" s="16" t="s">
        <v>149</v>
      </c>
      <c r="AO210" s="12">
        <v>11</v>
      </c>
      <c r="AP210" s="7">
        <v>0.12</v>
      </c>
      <c r="AQ210" s="6">
        <v>11.2</v>
      </c>
      <c r="AV210" s="3"/>
      <c r="AW210" s="3"/>
      <c r="AX210" s="3"/>
      <c r="AY210" s="3"/>
      <c r="AZ210" s="4"/>
      <c r="BA210" s="4"/>
      <c r="BB210" s="4"/>
      <c r="BC210" s="4"/>
      <c r="BD210" s="4"/>
      <c r="BE210" s="3"/>
      <c r="BF210" s="3"/>
      <c r="BG210" s="4"/>
      <c r="BH210" s="4"/>
      <c r="BI210" s="4"/>
      <c r="BJ210" s="9"/>
      <c r="BK210" s="9"/>
      <c r="BL210" s="9"/>
      <c r="BM210" s="3"/>
      <c r="BN210" s="3"/>
      <c r="BO210" s="3"/>
      <c r="BP210" s="3"/>
      <c r="BQ210" s="3"/>
      <c r="BR210" s="3"/>
      <c r="BT210" s="15"/>
      <c r="BU210" s="3"/>
      <c r="BV210" s="13"/>
      <c r="BW210" s="3"/>
      <c r="BX210" s="3"/>
      <c r="BY210" s="3"/>
      <c r="BZ210" s="3"/>
      <c r="CA210" s="3"/>
      <c r="CB210" s="10"/>
      <c r="CC210" s="10"/>
      <c r="CD210" s="4"/>
      <c r="CE210" s="3"/>
    </row>
    <row r="211" spans="1:83" x14ac:dyDescent="0.25">
      <c r="A211" s="2" t="s">
        <v>14</v>
      </c>
      <c r="B211" s="2">
        <v>1</v>
      </c>
      <c r="C211" t="s">
        <v>8</v>
      </c>
      <c r="D211" s="5" t="str">
        <f t="shared" si="14"/>
        <v>p06-1-SE</v>
      </c>
      <c r="E211" s="5" t="s">
        <v>468</v>
      </c>
      <c r="F211" s="17">
        <v>44881</v>
      </c>
      <c r="G211">
        <v>18</v>
      </c>
      <c r="H211" s="3">
        <v>16.8</v>
      </c>
      <c r="I211" s="3">
        <f t="shared" si="15"/>
        <v>16.34</v>
      </c>
      <c r="J211" s="3">
        <f>($A$68-$A$47)*$A$75</f>
        <v>0.46500000000000002</v>
      </c>
      <c r="K211" s="6">
        <f t="shared" si="16"/>
        <v>3751.2862007874014</v>
      </c>
      <c r="L211" s="4"/>
      <c r="M211" s="4"/>
      <c r="N211" s="4"/>
      <c r="O211" s="4"/>
      <c r="P211" s="7"/>
      <c r="Q211" s="6"/>
      <c r="R211" s="14"/>
      <c r="S211" s="4"/>
      <c r="T211" s="4"/>
      <c r="U211" s="4"/>
      <c r="V211" s="8"/>
      <c r="W211" s="8"/>
      <c r="X211" s="8"/>
      <c r="Y211" s="6"/>
      <c r="Z211" s="6"/>
      <c r="AA211" s="6"/>
      <c r="AB211" s="6"/>
      <c r="AC211" s="6"/>
      <c r="AD211" s="6"/>
      <c r="AE211" s="10"/>
      <c r="AF211" s="14"/>
      <c r="AG211" s="6"/>
      <c r="AH211" s="11"/>
      <c r="AI211" s="6"/>
      <c r="AJ211" s="6"/>
      <c r="AK211" s="6"/>
      <c r="AL211" s="6"/>
      <c r="AM211" s="6"/>
      <c r="AN211" s="16"/>
      <c r="AO211" s="12"/>
      <c r="AP211" s="7"/>
      <c r="AQ211" s="6"/>
      <c r="AV211" s="3"/>
      <c r="AW211" s="3"/>
      <c r="AX211" s="3"/>
      <c r="AY211" s="3"/>
      <c r="AZ211" s="4"/>
      <c r="BA211" s="4"/>
      <c r="BB211" s="4"/>
      <c r="BC211" s="4"/>
      <c r="BD211" s="4"/>
      <c r="BE211" s="3"/>
      <c r="BF211" s="3"/>
      <c r="BG211" s="4"/>
      <c r="BH211" s="4"/>
      <c r="BI211" s="4"/>
      <c r="BJ211" s="9"/>
      <c r="BK211" s="9"/>
      <c r="BL211" s="9"/>
      <c r="BM211" s="3"/>
      <c r="BN211" s="3"/>
      <c r="BO211" s="3"/>
      <c r="BP211" s="3"/>
      <c r="BQ211" s="3"/>
      <c r="BR211" s="3"/>
      <c r="BT211" s="15"/>
      <c r="BU211" s="3"/>
      <c r="BV211" s="13"/>
      <c r="BW211" s="3"/>
      <c r="BX211" s="3"/>
      <c r="BY211" s="3"/>
      <c r="BZ211" s="3"/>
      <c r="CA211" s="3"/>
      <c r="CB211" s="10"/>
      <c r="CC211" s="10"/>
      <c r="CD211" s="4"/>
      <c r="CE211" s="3"/>
    </row>
    <row r="212" spans="1:83" x14ac:dyDescent="0.25">
      <c r="A212" s="2" t="s">
        <v>14</v>
      </c>
      <c r="B212" s="2">
        <v>2</v>
      </c>
      <c r="C212" t="s">
        <v>4</v>
      </c>
      <c r="D212" s="5" t="str">
        <f t="shared" si="14"/>
        <v>p06-2-NW</v>
      </c>
      <c r="E212" s="5" t="s">
        <v>468</v>
      </c>
      <c r="F212" s="17">
        <v>44881</v>
      </c>
      <c r="G212">
        <v>6</v>
      </c>
      <c r="H212" s="3">
        <v>13.5</v>
      </c>
      <c r="I212" s="3">
        <f t="shared" si="15"/>
        <v>13.04</v>
      </c>
      <c r="J212" s="3">
        <f>($A$56-$A$47)*$A$75</f>
        <v>0.57124999999999992</v>
      </c>
      <c r="K212" s="6">
        <f t="shared" si="16"/>
        <v>3038.363243110236</v>
      </c>
      <c r="L212" s="4"/>
      <c r="M212" s="4"/>
      <c r="N212" s="4"/>
      <c r="O212" s="4"/>
      <c r="P212" s="7"/>
      <c r="Q212" s="6"/>
      <c r="R212" s="14"/>
      <c r="S212" s="4"/>
      <c r="T212" s="4"/>
      <c r="U212" s="4"/>
      <c r="V212" s="8"/>
      <c r="W212" s="8"/>
      <c r="X212" s="8"/>
      <c r="Y212" s="6"/>
      <c r="Z212" s="6"/>
      <c r="AA212" s="6"/>
      <c r="AB212" s="6"/>
      <c r="AC212" s="6"/>
      <c r="AD212" s="6"/>
      <c r="AE212" s="10"/>
      <c r="AF212" s="14"/>
      <c r="AG212" s="6"/>
      <c r="AH212" s="11"/>
      <c r="AI212" s="6"/>
      <c r="AJ212" s="6"/>
      <c r="AK212" s="6"/>
      <c r="AL212" s="6"/>
      <c r="AM212" s="6"/>
      <c r="AN212" s="16"/>
      <c r="AO212" s="12"/>
      <c r="AP212" s="7"/>
      <c r="AQ212" s="6"/>
      <c r="AS212" t="s">
        <v>107</v>
      </c>
      <c r="AT212" s="4" t="str">
        <f>E212</f>
        <v>Machine</v>
      </c>
      <c r="AU212" s="15">
        <f>F212</f>
        <v>44881</v>
      </c>
      <c r="AV212" s="3">
        <f>SUM(H212:H217)</f>
        <v>89.2</v>
      </c>
      <c r="AW212" s="3">
        <f>AV212-6*$A$47</f>
        <v>86.44</v>
      </c>
      <c r="AX212" s="3">
        <f>SUM(J212:J217)</f>
        <v>3.1087499999999992</v>
      </c>
      <c r="AY212" s="3">
        <f>(AW212+AX212)*$A$48/(6*$A$49)*$A$50</f>
        <v>3331.5778059383201</v>
      </c>
      <c r="AZ212" s="4">
        <f>SUM(L212:L217)</f>
        <v>17.48</v>
      </c>
      <c r="BA212" s="4">
        <f>SUM(M212:M217)</f>
        <v>312.39</v>
      </c>
      <c r="BB212" s="4">
        <f>BA212-AZ212</f>
        <v>294.90999999999997</v>
      </c>
      <c r="BC212" s="4">
        <f>SUM(O212:O217)</f>
        <v>278.2</v>
      </c>
      <c r="BD212" s="4">
        <f>(BB212-BC212)/BB212*100</f>
        <v>5.6661354311484793</v>
      </c>
      <c r="BE212" s="3">
        <f>AY212*(1-BD212/100)</f>
        <v>3142.8060954597699</v>
      </c>
      <c r="BF212" s="15">
        <f>R213</f>
        <v>44882</v>
      </c>
      <c r="BG212" s="4">
        <f>SUM(S212:S217)</f>
        <v>12.29</v>
      </c>
      <c r="BH212" s="4">
        <f>SUM(T212:T217)</f>
        <v>4.42</v>
      </c>
      <c r="BI212" s="4">
        <f>SUM(U212:U217)</f>
        <v>9.84</v>
      </c>
      <c r="BJ212" s="9">
        <f>(BH212-2*$A$76)/(BG212-2*$A$47*$A$48)</f>
        <v>0.34196110292515747</v>
      </c>
      <c r="BK212" s="9">
        <f>(BI212-2*$A$77)/(BG212-2*$A$47*$A$48)</f>
        <v>0.54242105981231881</v>
      </c>
      <c r="BL212" s="9">
        <f>1-BJ212-BK212</f>
        <v>0.11561783726252373</v>
      </c>
      <c r="BM212" s="3">
        <f>AY212*BJ212</f>
        <v>1139.2700209996442</v>
      </c>
      <c r="BN212" s="3">
        <f>AY212*BK212</f>
        <v>1807.1179643442633</v>
      </c>
      <c r="BO212" s="3">
        <f>SUM(BM212:BN212)</f>
        <v>2946.3879853439075</v>
      </c>
      <c r="BP212" s="3">
        <f>BE212*BJ212</f>
        <v>1074.7174386833306</v>
      </c>
      <c r="BQ212" s="3">
        <f>BE212*BK212</f>
        <v>1704.724213083904</v>
      </c>
      <c r="BR212" s="3">
        <f>SUM(BP212:BQ212)</f>
        <v>2779.4416517672344</v>
      </c>
      <c r="BS212" s="3"/>
      <c r="BT212" s="15">
        <f>AF213</f>
        <v>44980</v>
      </c>
      <c r="BU212" s="3">
        <f t="shared" ref="BU212:CA212" si="27">AVERAGE(AG212:AG217)</f>
        <v>49.95</v>
      </c>
      <c r="BV212" s="13">
        <f t="shared" si="27"/>
        <v>1.1095000000000002</v>
      </c>
      <c r="BW212" s="3">
        <f t="shared" si="27"/>
        <v>79.800000000000011</v>
      </c>
      <c r="BX212" s="3">
        <f t="shared" si="27"/>
        <v>27.75</v>
      </c>
      <c r="BY212" s="3">
        <f t="shared" si="27"/>
        <v>6</v>
      </c>
      <c r="BZ212" s="3">
        <f t="shared" si="27"/>
        <v>79.150000000000006</v>
      </c>
      <c r="CA212" s="3">
        <f t="shared" si="27"/>
        <v>8.5</v>
      </c>
      <c r="CB212" s="13"/>
      <c r="CC212" s="10">
        <f>AVERAGE(AO212:AO217)</f>
        <v>9.5</v>
      </c>
      <c r="CD212" s="4">
        <f>AVERAGE(AP212:AP217)</f>
        <v>0.13500000000000001</v>
      </c>
      <c r="CE212" s="3">
        <f>AVERAGE(AQ212:AQ217)</f>
        <v>9.8000000000000007</v>
      </c>
    </row>
    <row r="213" spans="1:83" x14ac:dyDescent="0.25">
      <c r="A213" s="2" t="s">
        <v>14</v>
      </c>
      <c r="B213" s="2">
        <v>2</v>
      </c>
      <c r="C213" t="s">
        <v>5</v>
      </c>
      <c r="D213" s="5" t="str">
        <f t="shared" si="14"/>
        <v>p06-2-MW</v>
      </c>
      <c r="E213" s="5" t="s">
        <v>468</v>
      </c>
      <c r="F213" s="17">
        <v>44881</v>
      </c>
      <c r="G213">
        <v>6</v>
      </c>
      <c r="H213" s="3">
        <v>14.4</v>
      </c>
      <c r="I213" s="3">
        <f t="shared" si="15"/>
        <v>13.94</v>
      </c>
      <c r="J213" s="3">
        <f>($A$56-$A$47)*$A$75</f>
        <v>0.57124999999999992</v>
      </c>
      <c r="K213" s="6">
        <f t="shared" si="16"/>
        <v>3239.265211614173</v>
      </c>
      <c r="L213" s="4">
        <v>8.57</v>
      </c>
      <c r="M213" s="4">
        <v>171.11</v>
      </c>
      <c r="N213" s="4">
        <f>M213-L213</f>
        <v>162.54000000000002</v>
      </c>
      <c r="O213" s="4">
        <v>152.66999999999999</v>
      </c>
      <c r="P213" s="7">
        <f>(N213-O213)/N213*100</f>
        <v>6.0723514211886505</v>
      </c>
      <c r="Q213" s="6">
        <f>K213*(1-P213/100)</f>
        <v>3042.5656445006503</v>
      </c>
      <c r="R213" s="14">
        <v>44882</v>
      </c>
      <c r="S213" s="4">
        <v>6.32</v>
      </c>
      <c r="T213" s="4">
        <v>2.2200000000000002</v>
      </c>
      <c r="U213" s="4">
        <v>5</v>
      </c>
      <c r="V213" s="8">
        <f>(T213-$A$76)/(S213-$A$47*$A$48)</f>
        <v>0.3338052597917322</v>
      </c>
      <c r="W213" s="8">
        <f>(U213-$A$77)/(S213-$A$47*$A$48)</f>
        <v>0.53997909672191968</v>
      </c>
      <c r="X213" s="8">
        <f>1-V213-W213</f>
        <v>0.12621564348634806</v>
      </c>
      <c r="Y213" s="6">
        <f>K213*V213</f>
        <v>1081.2837654971895</v>
      </c>
      <c r="Z213" s="6">
        <f>K213*W213</f>
        <v>1749.1355030101593</v>
      </c>
      <c r="AA213" s="6">
        <f>SUM(Y213:Z213)</f>
        <v>2830.4192685073485</v>
      </c>
      <c r="AB213" s="6">
        <f>Q213*V213</f>
        <v>1015.6244153959386</v>
      </c>
      <c r="AC213" s="6">
        <f>Q213*W213</f>
        <v>1642.9218484346065</v>
      </c>
      <c r="AD213" s="6">
        <f>SUM(AB213:AC213)</f>
        <v>2658.5462638305453</v>
      </c>
      <c r="AE213" s="10">
        <v>990130621022</v>
      </c>
      <c r="AF213" s="14">
        <v>44980</v>
      </c>
      <c r="AG213" s="6">
        <v>49.5</v>
      </c>
      <c r="AH213" s="11">
        <v>1.095</v>
      </c>
      <c r="AI213" s="6">
        <v>79.900000000000006</v>
      </c>
      <c r="AJ213" s="6">
        <v>27.4</v>
      </c>
      <c r="AK213" s="6">
        <v>5.9</v>
      </c>
      <c r="AL213" s="6">
        <v>79.2</v>
      </c>
      <c r="AM213" s="6">
        <v>9</v>
      </c>
      <c r="AN213" s="16" t="s">
        <v>148</v>
      </c>
      <c r="AO213" s="12">
        <v>9</v>
      </c>
      <c r="AP213" s="7">
        <v>0.19</v>
      </c>
      <c r="AQ213" s="6">
        <v>9.9</v>
      </c>
      <c r="AV213" s="3"/>
      <c r="AW213" s="3"/>
      <c r="AX213" s="3"/>
      <c r="AY213" s="3"/>
      <c r="AZ213" s="4"/>
      <c r="BA213" s="4"/>
      <c r="BB213" s="4"/>
      <c r="BC213" s="4"/>
      <c r="BD213" s="4"/>
      <c r="BE213" s="3"/>
      <c r="BF213" s="3"/>
      <c r="BG213" s="4"/>
      <c r="BH213" s="4"/>
      <c r="BI213" s="4"/>
      <c r="BJ213" s="9"/>
      <c r="BK213" s="9"/>
      <c r="BL213" s="9"/>
      <c r="BM213" s="3"/>
      <c r="BN213" s="3"/>
      <c r="BO213" s="3"/>
      <c r="BP213" s="3"/>
      <c r="BQ213" s="3"/>
      <c r="BR213" s="3"/>
      <c r="BT213" s="15"/>
      <c r="BU213" s="3"/>
      <c r="BV213" s="13"/>
      <c r="BW213" s="3"/>
      <c r="BX213" s="3"/>
      <c r="BY213" s="3"/>
      <c r="BZ213" s="3"/>
      <c r="CA213" s="3"/>
      <c r="CB213" s="10"/>
      <c r="CC213" s="10"/>
      <c r="CD213" s="4"/>
      <c r="CE213" s="3"/>
    </row>
    <row r="214" spans="1:83" x14ac:dyDescent="0.25">
      <c r="A214" s="2" t="s">
        <v>14</v>
      </c>
      <c r="B214" s="2">
        <v>2</v>
      </c>
      <c r="C214" t="s">
        <v>6</v>
      </c>
      <c r="D214" s="5" t="str">
        <f t="shared" ref="D214:D277" si="28">CONCATENATE("p",A214,"-",B214,"-",C214)</f>
        <v>p06-2-SW</v>
      </c>
      <c r="E214" s="5" t="s">
        <v>468</v>
      </c>
      <c r="F214" s="17">
        <v>44881</v>
      </c>
      <c r="G214">
        <v>6</v>
      </c>
      <c r="H214" s="3">
        <v>14.9</v>
      </c>
      <c r="I214" s="3">
        <f t="shared" si="15"/>
        <v>14.44</v>
      </c>
      <c r="J214" s="3">
        <f>($A$56-$A$47)*$A$75</f>
        <v>0.57124999999999992</v>
      </c>
      <c r="K214" s="6">
        <f t="shared" si="16"/>
        <v>3350.8774163385824</v>
      </c>
      <c r="L214" s="4"/>
      <c r="M214" s="4"/>
      <c r="N214" s="4"/>
      <c r="O214" s="4"/>
      <c r="P214" s="7"/>
      <c r="Q214" s="6"/>
      <c r="R214" s="14"/>
      <c r="S214" s="4"/>
      <c r="T214" s="4"/>
      <c r="U214" s="4"/>
      <c r="V214" s="8"/>
      <c r="W214" s="8"/>
      <c r="X214" s="8"/>
      <c r="Y214" s="6"/>
      <c r="Z214" s="6"/>
      <c r="AA214" s="6"/>
      <c r="AB214" s="6"/>
      <c r="AC214" s="6"/>
      <c r="AD214" s="6"/>
      <c r="AE214" s="10"/>
      <c r="AF214" s="14"/>
      <c r="AG214" s="6"/>
      <c r="AH214" s="11"/>
      <c r="AI214" s="6"/>
      <c r="AJ214" s="6"/>
      <c r="AK214" s="6"/>
      <c r="AL214" s="6"/>
      <c r="AM214" s="6"/>
      <c r="AN214" s="16"/>
      <c r="AO214" s="12"/>
      <c r="AP214" s="7"/>
      <c r="AQ214" s="6"/>
      <c r="AV214" s="3"/>
      <c r="AW214" s="3"/>
      <c r="AX214" s="3"/>
      <c r="AY214" s="3"/>
      <c r="AZ214" s="4"/>
      <c r="BA214" s="4"/>
      <c r="BB214" s="4"/>
      <c r="BC214" s="4"/>
      <c r="BD214" s="4"/>
      <c r="BE214" s="3"/>
      <c r="BF214" s="3"/>
      <c r="BG214" s="4"/>
      <c r="BH214" s="4"/>
      <c r="BI214" s="4"/>
      <c r="BJ214" s="9"/>
      <c r="BK214" s="9"/>
      <c r="BL214" s="9"/>
      <c r="BM214" s="3"/>
      <c r="BN214" s="3"/>
      <c r="BO214" s="3"/>
      <c r="BP214" s="3"/>
      <c r="BQ214" s="3"/>
      <c r="BR214" s="3"/>
      <c r="BT214" s="15"/>
      <c r="BU214" s="3"/>
      <c r="BV214" s="13"/>
      <c r="BW214" s="3"/>
      <c r="BX214" s="3"/>
      <c r="BY214" s="3"/>
      <c r="BZ214" s="3"/>
      <c r="CA214" s="3"/>
      <c r="CB214" s="10"/>
      <c r="CC214" s="10"/>
      <c r="CD214" s="4"/>
      <c r="CE214" s="3"/>
    </row>
    <row r="215" spans="1:83" x14ac:dyDescent="0.25">
      <c r="A215" s="2" t="s">
        <v>14</v>
      </c>
      <c r="B215" s="2">
        <v>2</v>
      </c>
      <c r="C215" t="s">
        <v>7</v>
      </c>
      <c r="D215" s="5" t="str">
        <f t="shared" si="28"/>
        <v>p06-2-NE</v>
      </c>
      <c r="E215" s="5" t="s">
        <v>468</v>
      </c>
      <c r="F215" s="17">
        <v>44881</v>
      </c>
      <c r="G215">
        <v>18</v>
      </c>
      <c r="H215" s="3">
        <v>15.7</v>
      </c>
      <c r="I215" s="3">
        <f t="shared" ref="I215:I278" si="29">H215-$A$47</f>
        <v>15.239999999999998</v>
      </c>
      <c r="J215" s="3">
        <f>($A$68-$A$47)*$A$75</f>
        <v>0.46500000000000002</v>
      </c>
      <c r="K215" s="6">
        <f t="shared" ref="K215:K278" si="30">(I215+J215)*$A$48/$A$49*$A$50</f>
        <v>3505.7393503937001</v>
      </c>
      <c r="L215" s="4"/>
      <c r="M215" s="4"/>
      <c r="N215" s="4"/>
      <c r="O215" s="4"/>
      <c r="P215" s="7"/>
      <c r="Q215" s="6"/>
      <c r="R215" s="14"/>
      <c r="S215" s="4"/>
      <c r="T215" s="4"/>
      <c r="U215" s="4"/>
      <c r="V215" s="8"/>
      <c r="W215" s="8"/>
      <c r="X215" s="8"/>
      <c r="Y215" s="6"/>
      <c r="Z215" s="6"/>
      <c r="AA215" s="6"/>
      <c r="AB215" s="6"/>
      <c r="AC215" s="6"/>
      <c r="AD215" s="6"/>
      <c r="AE215" s="10"/>
      <c r="AF215" s="14"/>
      <c r="AG215" s="6"/>
      <c r="AH215" s="11"/>
      <c r="AI215" s="6"/>
      <c r="AJ215" s="6"/>
      <c r="AK215" s="6"/>
      <c r="AL215" s="6"/>
      <c r="AM215" s="6"/>
      <c r="AN215" s="16"/>
      <c r="AO215" s="12"/>
      <c r="AP215" s="7"/>
      <c r="AQ215" s="6"/>
      <c r="AV215" s="3"/>
      <c r="AW215" s="3"/>
      <c r="AX215" s="3"/>
      <c r="AY215" s="3"/>
      <c r="AZ215" s="4"/>
      <c r="BA215" s="4"/>
      <c r="BB215" s="4"/>
      <c r="BC215" s="4"/>
      <c r="BD215" s="4"/>
      <c r="BE215" s="3"/>
      <c r="BF215" s="3"/>
      <c r="BG215" s="4"/>
      <c r="BH215" s="4"/>
      <c r="BI215" s="4"/>
      <c r="BJ215" s="9"/>
      <c r="BK215" s="9"/>
      <c r="BL215" s="9"/>
      <c r="BM215" s="3"/>
      <c r="BN215" s="3"/>
      <c r="BO215" s="3"/>
      <c r="BP215" s="3"/>
      <c r="BQ215" s="3"/>
      <c r="BR215" s="3"/>
      <c r="BT215" s="15"/>
      <c r="BU215" s="3"/>
      <c r="BV215" s="13"/>
      <c r="BW215" s="3"/>
      <c r="BX215" s="3"/>
      <c r="BY215" s="3"/>
      <c r="BZ215" s="3"/>
      <c r="CA215" s="3"/>
      <c r="CB215" s="10"/>
      <c r="CC215" s="10"/>
      <c r="CD215" s="4"/>
      <c r="CE215" s="3"/>
    </row>
    <row r="216" spans="1:83" x14ac:dyDescent="0.25">
      <c r="A216" s="2" t="s">
        <v>14</v>
      </c>
      <c r="B216" s="2">
        <v>2</v>
      </c>
      <c r="C216" t="s">
        <v>18</v>
      </c>
      <c r="D216" s="5" t="str">
        <f t="shared" si="28"/>
        <v>p06-2-ME</v>
      </c>
      <c r="E216" s="5" t="s">
        <v>468</v>
      </c>
      <c r="F216" s="17">
        <v>44881</v>
      </c>
      <c r="G216">
        <v>18</v>
      </c>
      <c r="H216" s="3">
        <v>13.5</v>
      </c>
      <c r="I216" s="3">
        <f t="shared" si="29"/>
        <v>13.04</v>
      </c>
      <c r="J216" s="3">
        <f>($A$68-$A$47)*$A$75</f>
        <v>0.46500000000000002</v>
      </c>
      <c r="K216" s="6">
        <f t="shared" si="30"/>
        <v>3014.6456496062988</v>
      </c>
      <c r="L216" s="4">
        <v>8.91</v>
      </c>
      <c r="M216" s="4">
        <v>141.28</v>
      </c>
      <c r="N216" s="4">
        <f>M216-L216</f>
        <v>132.37</v>
      </c>
      <c r="O216" s="4">
        <v>125.53</v>
      </c>
      <c r="P216" s="7">
        <f>(N216-O216)/N216*100</f>
        <v>5.1673339880637634</v>
      </c>
      <c r="Q216" s="6">
        <f>K216*(1-P216/100)</f>
        <v>2858.8688403345068</v>
      </c>
      <c r="R216" s="14">
        <v>44882</v>
      </c>
      <c r="S216" s="4">
        <v>5.97</v>
      </c>
      <c r="T216" s="4">
        <v>2.2000000000000002</v>
      </c>
      <c r="U216" s="4">
        <v>4.84</v>
      </c>
      <c r="V216" s="8">
        <f>(T216-$A$76)/(S216-$A$47*$A$48)</f>
        <v>0.35061241087953227</v>
      </c>
      <c r="W216" s="8">
        <f>(U216-$A$77)/(S216-$A$47*$A$48)</f>
        <v>0.54501137136719369</v>
      </c>
      <c r="X216" s="8">
        <f>1-V216-W216</f>
        <v>0.10437621775327399</v>
      </c>
      <c r="Y216" s="6">
        <f>K216*V216</f>
        <v>1056.972179155958</v>
      </c>
      <c r="Z216" s="6">
        <f>K216*W216</f>
        <v>1643.0161596780733</v>
      </c>
      <c r="AA216" s="6">
        <f>SUM(Y216:Z216)</f>
        <v>2699.9883388340313</v>
      </c>
      <c r="AB216" s="6">
        <f>Q216*V216</f>
        <v>1002.354896498054</v>
      </c>
      <c r="AC216" s="6">
        <f>Q216*W216</f>
        <v>1558.1160272296481</v>
      </c>
      <c r="AD216" s="6">
        <f>SUM(AB216:AC216)</f>
        <v>2560.470923727702</v>
      </c>
      <c r="AE216" s="10">
        <v>990130622070</v>
      </c>
      <c r="AF216" s="14">
        <v>44980</v>
      </c>
      <c r="AG216" s="6">
        <v>50.4</v>
      </c>
      <c r="AH216" s="11">
        <v>1.1240000000000001</v>
      </c>
      <c r="AI216" s="6">
        <v>79.7</v>
      </c>
      <c r="AJ216" s="6">
        <v>28.1</v>
      </c>
      <c r="AK216" s="6">
        <v>6.1</v>
      </c>
      <c r="AL216" s="6">
        <v>79.099999999999994</v>
      </c>
      <c r="AM216" s="6">
        <v>8</v>
      </c>
      <c r="AN216" s="16" t="s">
        <v>149</v>
      </c>
      <c r="AO216" s="12">
        <v>10</v>
      </c>
      <c r="AP216" s="7">
        <v>0.08</v>
      </c>
      <c r="AQ216" s="6">
        <v>9.6999999999999993</v>
      </c>
      <c r="AV216" s="3"/>
      <c r="AW216" s="3"/>
      <c r="AX216" s="3"/>
      <c r="AY216" s="3"/>
      <c r="AZ216" s="4"/>
      <c r="BA216" s="4"/>
      <c r="BB216" s="4"/>
      <c r="BC216" s="4"/>
      <c r="BD216" s="4"/>
      <c r="BE216" s="3"/>
      <c r="BF216" s="3"/>
      <c r="BG216" s="4"/>
      <c r="BH216" s="4"/>
      <c r="BI216" s="4"/>
      <c r="BJ216" s="9"/>
      <c r="BK216" s="9"/>
      <c r="BL216" s="9"/>
      <c r="BM216" s="3"/>
      <c r="BN216" s="3"/>
      <c r="BO216" s="3"/>
      <c r="BP216" s="3"/>
      <c r="BQ216" s="3"/>
      <c r="BR216" s="3"/>
      <c r="BT216" s="15"/>
      <c r="BU216" s="3"/>
      <c r="BV216" s="13"/>
      <c r="BW216" s="3"/>
      <c r="BX216" s="3"/>
      <c r="BY216" s="3"/>
      <c r="BZ216" s="3"/>
      <c r="CA216" s="3"/>
      <c r="CB216" s="10"/>
      <c r="CC216" s="10"/>
      <c r="CD216" s="4"/>
      <c r="CE216" s="3"/>
    </row>
    <row r="217" spans="1:83" x14ac:dyDescent="0.25">
      <c r="A217" s="2" t="s">
        <v>14</v>
      </c>
      <c r="B217" s="2">
        <v>2</v>
      </c>
      <c r="C217" t="s">
        <v>8</v>
      </c>
      <c r="D217" s="5" t="str">
        <f t="shared" si="28"/>
        <v>p06-2-SE</v>
      </c>
      <c r="E217" s="5" t="s">
        <v>468</v>
      </c>
      <c r="F217" s="17">
        <v>44881</v>
      </c>
      <c r="G217">
        <v>18</v>
      </c>
      <c r="H217" s="3">
        <v>17.2</v>
      </c>
      <c r="I217" s="3">
        <f t="shared" si="29"/>
        <v>16.739999999999998</v>
      </c>
      <c r="J217" s="3">
        <f>($A$68-$A$47)*$A$75</f>
        <v>0.46500000000000002</v>
      </c>
      <c r="K217" s="6">
        <f t="shared" si="30"/>
        <v>3840.5759645669286</v>
      </c>
      <c r="L217" s="4"/>
      <c r="M217" s="4"/>
      <c r="N217" s="4"/>
      <c r="O217" s="4"/>
      <c r="P217" s="7"/>
      <c r="Q217" s="6"/>
      <c r="R217" s="14"/>
      <c r="S217" s="4"/>
      <c r="T217" s="4"/>
      <c r="U217" s="4"/>
      <c r="V217" s="8"/>
      <c r="W217" s="8"/>
      <c r="X217" s="8"/>
      <c r="Y217" s="6"/>
      <c r="Z217" s="6"/>
      <c r="AA217" s="6"/>
      <c r="AB217" s="6"/>
      <c r="AC217" s="6"/>
      <c r="AD217" s="6"/>
      <c r="AE217" s="10"/>
      <c r="AF217" s="14"/>
      <c r="AG217" s="6"/>
      <c r="AH217" s="11"/>
      <c r="AI217" s="6"/>
      <c r="AJ217" s="6"/>
      <c r="AK217" s="6"/>
      <c r="AL217" s="6"/>
      <c r="AM217" s="6"/>
      <c r="AN217" s="16"/>
      <c r="AO217" s="12"/>
      <c r="AP217" s="7"/>
      <c r="AQ217" s="6"/>
      <c r="AV217" s="3"/>
      <c r="AW217" s="3"/>
      <c r="AX217" s="3"/>
      <c r="AY217" s="3"/>
      <c r="AZ217" s="4"/>
      <c r="BA217" s="4"/>
      <c r="BB217" s="4"/>
      <c r="BC217" s="4"/>
      <c r="BD217" s="4"/>
      <c r="BE217" s="3"/>
      <c r="BF217" s="3"/>
      <c r="BG217" s="4"/>
      <c r="BH217" s="4"/>
      <c r="BI217" s="4"/>
      <c r="BJ217" s="9"/>
      <c r="BK217" s="9"/>
      <c r="BL217" s="9"/>
      <c r="BM217" s="3"/>
      <c r="BN217" s="3"/>
      <c r="BO217" s="3"/>
      <c r="BP217" s="3"/>
      <c r="BQ217" s="3"/>
      <c r="BR217" s="3"/>
      <c r="BT217" s="15"/>
      <c r="BU217" s="3"/>
      <c r="BV217" s="13"/>
      <c r="BW217" s="3"/>
      <c r="BX217" s="3"/>
      <c r="BY217" s="3"/>
      <c r="BZ217" s="3"/>
      <c r="CA217" s="3"/>
      <c r="CB217" s="10"/>
      <c r="CC217" s="10"/>
      <c r="CD217" s="4"/>
      <c r="CE217" s="3"/>
    </row>
    <row r="218" spans="1:83" x14ac:dyDescent="0.25">
      <c r="A218" s="2" t="s">
        <v>14</v>
      </c>
      <c r="B218" s="2">
        <v>3</v>
      </c>
      <c r="C218" t="s">
        <v>4</v>
      </c>
      <c r="D218" s="5" t="str">
        <f t="shared" si="28"/>
        <v>p06-3-NW</v>
      </c>
      <c r="E218" s="5" t="s">
        <v>468</v>
      </c>
      <c r="F218" s="17">
        <v>44881</v>
      </c>
      <c r="G218">
        <v>6</v>
      </c>
      <c r="H218" s="3">
        <v>18.8</v>
      </c>
      <c r="I218" s="3">
        <f t="shared" si="29"/>
        <v>18.34</v>
      </c>
      <c r="J218" s="3">
        <f>($A$56-$A$47)*$A$75</f>
        <v>0.57124999999999992</v>
      </c>
      <c r="K218" s="6">
        <f t="shared" si="30"/>
        <v>4221.4526131889761</v>
      </c>
      <c r="L218" s="4"/>
      <c r="M218" s="4"/>
      <c r="N218" s="4"/>
      <c r="O218" s="4"/>
      <c r="P218" s="7"/>
      <c r="Q218" s="6"/>
      <c r="R218" s="14"/>
      <c r="S218" s="4"/>
      <c r="T218" s="4"/>
      <c r="U218" s="4"/>
      <c r="V218" s="8"/>
      <c r="W218" s="8"/>
      <c r="X218" s="8"/>
      <c r="Y218" s="6"/>
      <c r="Z218" s="6"/>
      <c r="AA218" s="6"/>
      <c r="AB218" s="6"/>
      <c r="AC218" s="6"/>
      <c r="AD218" s="6"/>
      <c r="AE218" s="10"/>
      <c r="AF218" s="14"/>
      <c r="AG218" s="6"/>
      <c r="AH218" s="11"/>
      <c r="AI218" s="6"/>
      <c r="AJ218" s="6"/>
      <c r="AK218" s="6"/>
      <c r="AL218" s="6"/>
      <c r="AM218" s="6"/>
      <c r="AN218" s="16"/>
      <c r="AO218" s="12"/>
      <c r="AP218" s="7"/>
      <c r="AQ218" s="6"/>
      <c r="AS218" t="s">
        <v>108</v>
      </c>
      <c r="AT218" s="4" t="str">
        <f>E218</f>
        <v>Machine</v>
      </c>
      <c r="AU218" s="15">
        <f>F218</f>
        <v>44881</v>
      </c>
      <c r="AV218" s="3">
        <f>SUM(H218:H223)</f>
        <v>109.39999999999998</v>
      </c>
      <c r="AW218" s="3">
        <f>AV218-6*$A$47</f>
        <v>106.63999999999997</v>
      </c>
      <c r="AX218" s="3">
        <f>SUM(J218:J223)</f>
        <v>3.1087499999999992</v>
      </c>
      <c r="AY218" s="3">
        <f>(AW218+AX218)*$A$48/(6*$A$49)*$A$50</f>
        <v>4083.0999844160092</v>
      </c>
      <c r="AZ218" s="4">
        <f>SUM(L218:L223)</f>
        <v>17.329999999999998</v>
      </c>
      <c r="BA218" s="4">
        <f>SUM(M218:M223)</f>
        <v>369.89</v>
      </c>
      <c r="BB218" s="4">
        <f>BA218-AZ218</f>
        <v>352.56</v>
      </c>
      <c r="BC218" s="4">
        <f>SUM(O218:O223)</f>
        <v>335.65</v>
      </c>
      <c r="BD218" s="4">
        <f>(BB218-BC218)/BB218*100</f>
        <v>4.7963467211254889</v>
      </c>
      <c r="BE218" s="3">
        <f>AY218*(1-BD218/100)</f>
        <v>3887.2603521931965</v>
      </c>
      <c r="BF218" s="15">
        <f>R219</f>
        <v>44882</v>
      </c>
      <c r="BG218" s="4">
        <f>SUM(S218:S223)</f>
        <v>19.39</v>
      </c>
      <c r="BH218" s="4">
        <f>SUM(T218:T223)</f>
        <v>6.82</v>
      </c>
      <c r="BI218" s="4">
        <f>SUM(U218:U223)</f>
        <v>13.8</v>
      </c>
      <c r="BJ218" s="9">
        <f>(BH218-2*$A$76)/(BG218-2*$A$47*$A$48)</f>
        <v>0.34048931253171189</v>
      </c>
      <c r="BK218" s="9">
        <f>(BI218-2*$A$77)/(BG218-2*$A$47*$A$48)</f>
        <v>0.54815616878170337</v>
      </c>
      <c r="BL218" s="9">
        <f>1-BJ218-BK218</f>
        <v>0.11135451868658475</v>
      </c>
      <c r="BM218" s="3">
        <f>AY218*BJ218</f>
        <v>1390.2519066920504</v>
      </c>
      <c r="BN218" s="3">
        <f>AY218*BK218</f>
        <v>2238.1764442101125</v>
      </c>
      <c r="BO218" s="3">
        <f>SUM(BM218:BN218)</f>
        <v>3628.4283509021629</v>
      </c>
      <c r="BP218" s="3">
        <f>BE218*BJ218</f>
        <v>1323.5706049500418</v>
      </c>
      <c r="BQ218" s="3">
        <f>BE218*BK218</f>
        <v>2130.8257417152377</v>
      </c>
      <c r="BR218" s="3">
        <f>SUM(BP218:BQ218)</f>
        <v>3454.3963466652795</v>
      </c>
      <c r="BS218" s="3"/>
      <c r="BT218" s="15">
        <f>AF219</f>
        <v>44980</v>
      </c>
      <c r="BU218" s="3">
        <f t="shared" ref="BU218:CA218" si="31">AVERAGE(AG218:AG223)</f>
        <v>46.75</v>
      </c>
      <c r="BV218" s="13">
        <f t="shared" si="31"/>
        <v>1.149</v>
      </c>
      <c r="BW218" s="3">
        <f t="shared" si="31"/>
        <v>80.400000000000006</v>
      </c>
      <c r="BX218" s="3">
        <f t="shared" si="31"/>
        <v>29.15</v>
      </c>
      <c r="BY218" s="3">
        <f t="shared" si="31"/>
        <v>6.35</v>
      </c>
      <c r="BZ218" s="3">
        <f t="shared" si="31"/>
        <v>79.900000000000006</v>
      </c>
      <c r="CA218" s="3">
        <f t="shared" si="31"/>
        <v>8.5500000000000007</v>
      </c>
      <c r="CB218" s="13"/>
      <c r="CC218" s="10">
        <f>AVERAGE(AO218:AO223)</f>
        <v>14</v>
      </c>
      <c r="CD218" s="4">
        <f>AVERAGE(AP218:AP223)</f>
        <v>0.21500000000000002</v>
      </c>
      <c r="CE218" s="3">
        <f>AVERAGE(AQ218:AQ223)</f>
        <v>9.3000000000000007</v>
      </c>
    </row>
    <row r="219" spans="1:83" x14ac:dyDescent="0.25">
      <c r="A219" s="2" t="s">
        <v>14</v>
      </c>
      <c r="B219" s="2">
        <v>3</v>
      </c>
      <c r="C219" t="s">
        <v>5</v>
      </c>
      <c r="D219" s="5" t="str">
        <f t="shared" si="28"/>
        <v>p06-3-MW</v>
      </c>
      <c r="E219" s="5" t="s">
        <v>468</v>
      </c>
      <c r="F219" s="17">
        <v>44881</v>
      </c>
      <c r="G219">
        <v>6</v>
      </c>
      <c r="H219" s="3">
        <v>22.3</v>
      </c>
      <c r="I219" s="3">
        <f t="shared" si="29"/>
        <v>21.84</v>
      </c>
      <c r="J219" s="3">
        <f>($A$56-$A$47)*$A$75</f>
        <v>0.57124999999999992</v>
      </c>
      <c r="K219" s="6">
        <f t="shared" si="30"/>
        <v>5002.7380462598412</v>
      </c>
      <c r="L219" s="4">
        <v>8.4600000000000009</v>
      </c>
      <c r="M219" s="4">
        <v>167.34</v>
      </c>
      <c r="N219" s="4">
        <f>M219-L219</f>
        <v>158.88</v>
      </c>
      <c r="O219" s="4">
        <v>149.63</v>
      </c>
      <c r="P219" s="7">
        <f>(N219-O219)/N219*100</f>
        <v>5.8220040281973819</v>
      </c>
      <c r="Q219" s="6">
        <f>K219*(1-P219/100)</f>
        <v>4711.4784356864302</v>
      </c>
      <c r="R219" s="14">
        <v>44882</v>
      </c>
      <c r="S219" s="4">
        <v>9.99</v>
      </c>
      <c r="T219" s="4">
        <v>3.44</v>
      </c>
      <c r="U219" s="4">
        <v>7.2</v>
      </c>
      <c r="V219" s="8">
        <f>(T219-$A$76)/(S219-$A$47*$A$48)</f>
        <v>0.3332874064650363</v>
      </c>
      <c r="W219" s="8">
        <f>(U219-$A$77)/(S219-$A$47*$A$48)</f>
        <v>0.56229470415880367</v>
      </c>
      <c r="X219" s="8">
        <f>1-V219-W219</f>
        <v>0.10441788937616003</v>
      </c>
      <c r="Y219" s="6">
        <f>K219*V219</f>
        <v>1667.3495886619053</v>
      </c>
      <c r="Z219" s="6">
        <f>K219*W219</f>
        <v>2813.0131097056687</v>
      </c>
      <c r="AA219" s="6">
        <f>SUM(Y219:Z219)</f>
        <v>4480.362698367574</v>
      </c>
      <c r="AB219" s="6">
        <f>Q219*V219</f>
        <v>1570.2764284458767</v>
      </c>
      <c r="AC219" s="6">
        <f>Q219*W219</f>
        <v>2649.2393731448842</v>
      </c>
      <c r="AD219" s="6">
        <f>SUM(AB219:AC219)</f>
        <v>4219.5158015907609</v>
      </c>
      <c r="AE219" s="10">
        <v>990130631023</v>
      </c>
      <c r="AF219" s="14">
        <v>44980</v>
      </c>
      <c r="AG219" s="6">
        <v>45.300000000000004</v>
      </c>
      <c r="AH219" s="11">
        <v>1.1479999999999999</v>
      </c>
      <c r="AI219" s="6">
        <v>80.400000000000006</v>
      </c>
      <c r="AJ219" s="6">
        <v>28.5</v>
      </c>
      <c r="AK219" s="6">
        <v>6.4</v>
      </c>
      <c r="AL219" s="6">
        <v>79.5</v>
      </c>
      <c r="AM219" s="6">
        <v>8.6999999999999993</v>
      </c>
      <c r="AN219" s="16" t="s">
        <v>148</v>
      </c>
      <c r="AO219" s="12">
        <v>19</v>
      </c>
      <c r="AP219" s="7">
        <v>0.26</v>
      </c>
      <c r="AQ219" s="6">
        <v>9.3000000000000007</v>
      </c>
      <c r="AV219" s="3"/>
      <c r="AW219" s="3"/>
      <c r="AX219" s="3"/>
      <c r="AY219" s="3"/>
      <c r="AZ219" s="4"/>
      <c r="BA219" s="4"/>
      <c r="BB219" s="4"/>
      <c r="BC219" s="4"/>
      <c r="BD219" s="4"/>
      <c r="BE219" s="3"/>
      <c r="BF219" s="3"/>
      <c r="BG219" s="4"/>
      <c r="BH219" s="4"/>
      <c r="BI219" s="4"/>
      <c r="BJ219" s="9"/>
      <c r="BK219" s="9"/>
      <c r="BL219" s="9"/>
      <c r="BM219" s="3"/>
      <c r="BN219" s="3"/>
      <c r="BO219" s="3"/>
      <c r="BP219" s="3"/>
      <c r="BQ219" s="3"/>
      <c r="BR219" s="3"/>
      <c r="BT219" s="15"/>
      <c r="BU219" s="3"/>
      <c r="BV219" s="13"/>
      <c r="BW219" s="3"/>
      <c r="BX219" s="3"/>
      <c r="BY219" s="3"/>
      <c r="BZ219" s="3"/>
      <c r="CA219" s="3"/>
      <c r="CB219" s="10"/>
      <c r="CC219" s="10"/>
      <c r="CD219" s="4"/>
      <c r="CE219" s="3"/>
    </row>
    <row r="220" spans="1:83" x14ac:dyDescent="0.25">
      <c r="A220" s="2" t="s">
        <v>14</v>
      </c>
      <c r="B220" s="2">
        <v>3</v>
      </c>
      <c r="C220" t="s">
        <v>6</v>
      </c>
      <c r="D220" s="5" t="str">
        <f t="shared" si="28"/>
        <v>p06-3-SW</v>
      </c>
      <c r="E220" s="5" t="s">
        <v>468</v>
      </c>
      <c r="F220" s="17">
        <v>44881</v>
      </c>
      <c r="G220">
        <v>6</v>
      </c>
      <c r="H220" s="3">
        <v>14.7</v>
      </c>
      <c r="I220" s="3">
        <f t="shared" si="29"/>
        <v>14.239999999999998</v>
      </c>
      <c r="J220" s="3">
        <f>($A$56-$A$47)*$A$75</f>
        <v>0.57124999999999992</v>
      </c>
      <c r="K220" s="6">
        <f t="shared" si="30"/>
        <v>3306.2325344488186</v>
      </c>
      <c r="L220" s="4"/>
      <c r="M220" s="4"/>
      <c r="N220" s="4"/>
      <c r="O220" s="4"/>
      <c r="P220" s="7"/>
      <c r="Q220" s="6"/>
      <c r="R220" s="14"/>
      <c r="S220" s="4"/>
      <c r="T220" s="4"/>
      <c r="U220" s="4"/>
      <c r="V220" s="8"/>
      <c r="W220" s="8"/>
      <c r="X220" s="8"/>
      <c r="Y220" s="6"/>
      <c r="Z220" s="6"/>
      <c r="AA220" s="6"/>
      <c r="AB220" s="6"/>
      <c r="AC220" s="6"/>
      <c r="AD220" s="6"/>
      <c r="AE220" s="10"/>
      <c r="AF220" s="14"/>
      <c r="AG220" s="6"/>
      <c r="AH220" s="11"/>
      <c r="AI220" s="6"/>
      <c r="AJ220" s="6"/>
      <c r="AK220" s="6"/>
      <c r="AL220" s="6"/>
      <c r="AM220" s="6"/>
      <c r="AN220" s="16"/>
      <c r="AO220" s="12"/>
      <c r="AP220" s="7"/>
      <c r="AQ220" s="6"/>
      <c r="AV220" s="3"/>
      <c r="AW220" s="3"/>
      <c r="AX220" s="3"/>
      <c r="AY220" s="3"/>
      <c r="AZ220" s="4"/>
      <c r="BA220" s="4"/>
      <c r="BB220" s="4"/>
      <c r="BC220" s="4"/>
      <c r="BD220" s="4"/>
      <c r="BE220" s="3"/>
      <c r="BF220" s="3"/>
      <c r="BG220" s="4"/>
      <c r="BH220" s="4"/>
      <c r="BI220" s="4"/>
      <c r="BJ220" s="9"/>
      <c r="BK220" s="9"/>
      <c r="BL220" s="9"/>
      <c r="BM220" s="3"/>
      <c r="BN220" s="3"/>
      <c r="BO220" s="3"/>
      <c r="BP220" s="3"/>
      <c r="BQ220" s="3"/>
      <c r="BR220" s="3"/>
      <c r="BT220" s="15"/>
      <c r="BU220" s="3"/>
      <c r="BV220" s="13"/>
      <c r="BW220" s="3"/>
      <c r="BX220" s="3"/>
      <c r="BY220" s="3"/>
      <c r="BZ220" s="3"/>
      <c r="CA220" s="3"/>
      <c r="CB220" s="10"/>
      <c r="CC220" s="10"/>
      <c r="CD220" s="4"/>
      <c r="CE220" s="3"/>
    </row>
    <row r="221" spans="1:83" x14ac:dyDescent="0.25">
      <c r="A221" s="2" t="s">
        <v>14</v>
      </c>
      <c r="B221" s="2">
        <v>3</v>
      </c>
      <c r="C221" t="s">
        <v>7</v>
      </c>
      <c r="D221" s="5" t="str">
        <f t="shared" si="28"/>
        <v>p06-3-NE</v>
      </c>
      <c r="E221" s="5" t="s">
        <v>468</v>
      </c>
      <c r="F221" s="17">
        <v>44881</v>
      </c>
      <c r="G221">
        <v>18</v>
      </c>
      <c r="H221" s="3">
        <v>19.399999999999999</v>
      </c>
      <c r="I221" s="3">
        <f t="shared" si="29"/>
        <v>18.939999999999998</v>
      </c>
      <c r="J221" s="3">
        <f>($A$68-$A$47)*$A$75</f>
        <v>0.46500000000000002</v>
      </c>
      <c r="K221" s="6">
        <f t="shared" si="30"/>
        <v>4331.6696653543304</v>
      </c>
      <c r="L221" s="4"/>
      <c r="M221" s="4"/>
      <c r="N221" s="4"/>
      <c r="O221" s="4"/>
      <c r="P221" s="7"/>
      <c r="Q221" s="6"/>
      <c r="R221" s="14"/>
      <c r="S221" s="4"/>
      <c r="T221" s="4"/>
      <c r="U221" s="4"/>
      <c r="V221" s="8"/>
      <c r="W221" s="8"/>
      <c r="X221" s="8"/>
      <c r="Y221" s="6"/>
      <c r="Z221" s="6"/>
      <c r="AA221" s="6"/>
      <c r="AB221" s="6"/>
      <c r="AC221" s="6"/>
      <c r="AD221" s="6"/>
      <c r="AE221" s="10"/>
      <c r="AF221" s="14"/>
      <c r="AG221" s="6"/>
      <c r="AH221" s="11"/>
      <c r="AI221" s="6"/>
      <c r="AJ221" s="6"/>
      <c r="AK221" s="6"/>
      <c r="AL221" s="6"/>
      <c r="AM221" s="6"/>
      <c r="AN221" s="16"/>
      <c r="AO221" s="12"/>
      <c r="AP221" s="7"/>
      <c r="AQ221" s="6"/>
      <c r="AV221" s="3"/>
      <c r="AW221" s="3"/>
      <c r="AX221" s="3"/>
      <c r="AY221" s="3"/>
      <c r="AZ221" s="4"/>
      <c r="BA221" s="4"/>
      <c r="BB221" s="4"/>
      <c r="BC221" s="4"/>
      <c r="BD221" s="4"/>
      <c r="BE221" s="3"/>
      <c r="BF221" s="3"/>
      <c r="BG221" s="4"/>
      <c r="BH221" s="4"/>
      <c r="BI221" s="4"/>
      <c r="BJ221" s="9"/>
      <c r="BK221" s="9"/>
      <c r="BL221" s="9"/>
      <c r="BM221" s="3"/>
      <c r="BN221" s="3"/>
      <c r="BO221" s="3"/>
      <c r="BP221" s="3"/>
      <c r="BQ221" s="3"/>
      <c r="BR221" s="3"/>
      <c r="BT221" s="15"/>
      <c r="BU221" s="3"/>
      <c r="BV221" s="13"/>
      <c r="BW221" s="3"/>
      <c r="BX221" s="3"/>
      <c r="BY221" s="3"/>
      <c r="BZ221" s="3"/>
      <c r="CA221" s="3"/>
      <c r="CB221" s="10"/>
      <c r="CC221" s="10"/>
      <c r="CD221" s="4"/>
      <c r="CE221" s="3"/>
    </row>
    <row r="222" spans="1:83" x14ac:dyDescent="0.25">
      <c r="A222" s="2" t="s">
        <v>14</v>
      </c>
      <c r="B222" s="2">
        <v>3</v>
      </c>
      <c r="C222" t="s">
        <v>18</v>
      </c>
      <c r="D222" s="5" t="str">
        <f t="shared" si="28"/>
        <v>p06-3-ME</v>
      </c>
      <c r="E222" s="5" t="s">
        <v>468</v>
      </c>
      <c r="F222" s="17">
        <v>44881</v>
      </c>
      <c r="G222">
        <v>18</v>
      </c>
      <c r="H222" s="3">
        <v>21.1</v>
      </c>
      <c r="I222" s="3">
        <f t="shared" si="29"/>
        <v>20.64</v>
      </c>
      <c r="J222" s="3">
        <f>($A$68-$A$47)*$A$75</f>
        <v>0.46500000000000002</v>
      </c>
      <c r="K222" s="6">
        <f t="shared" si="30"/>
        <v>4711.1511614173223</v>
      </c>
      <c r="L222" s="4">
        <v>8.8699999999999992</v>
      </c>
      <c r="M222" s="4">
        <v>202.55</v>
      </c>
      <c r="N222" s="4">
        <f>M222-L222</f>
        <v>193.68</v>
      </c>
      <c r="O222" s="4">
        <v>186.02</v>
      </c>
      <c r="P222" s="7">
        <f>(N222-O222)/N222*100</f>
        <v>3.9549772821148266</v>
      </c>
      <c r="Q222" s="6">
        <f>K222*(1-P222/100)</f>
        <v>4524.8262032571783</v>
      </c>
      <c r="R222" s="14">
        <v>44882</v>
      </c>
      <c r="S222" s="4">
        <v>9.4</v>
      </c>
      <c r="T222" s="4">
        <v>3.38</v>
      </c>
      <c r="U222" s="4">
        <v>6.6</v>
      </c>
      <c r="V222" s="8">
        <f>(T222-$A$76)/(S222-$A$47*$A$48)</f>
        <v>0.34815351474115924</v>
      </c>
      <c r="W222" s="8">
        <f>(U222-$A$77)/(S222-$A$47*$A$48)</f>
        <v>0.53311006944740003</v>
      </c>
      <c r="X222" s="8">
        <f>1-V222-W222</f>
        <v>0.11873641581144079</v>
      </c>
      <c r="Y222" s="6">
        <f>K222*V222</f>
        <v>1640.2038353243352</v>
      </c>
      <c r="Z222" s="6">
        <f>K222*W222</f>
        <v>2511.5621228403879</v>
      </c>
      <c r="AA222" s="6">
        <f>SUM(Y222:Z222)</f>
        <v>4151.7659581647231</v>
      </c>
      <c r="AB222" s="6">
        <f>Q222*V222</f>
        <v>1575.3341462568817</v>
      </c>
      <c r="AC222" s="6">
        <f>Q222*W222</f>
        <v>2412.2304114558497</v>
      </c>
      <c r="AD222" s="6">
        <f>SUM(AB222:AC222)</f>
        <v>3987.5645577127316</v>
      </c>
      <c r="AE222" s="10">
        <v>990130632071</v>
      </c>
      <c r="AF222" s="14">
        <v>44980</v>
      </c>
      <c r="AG222" s="6">
        <v>48.2</v>
      </c>
      <c r="AH222" s="11">
        <v>1.1499999999999999</v>
      </c>
      <c r="AI222" s="6">
        <v>80.400000000000006</v>
      </c>
      <c r="AJ222" s="6">
        <v>29.8</v>
      </c>
      <c r="AK222" s="6">
        <v>6.3</v>
      </c>
      <c r="AL222" s="6">
        <v>80.3</v>
      </c>
      <c r="AM222" s="6">
        <v>8.4</v>
      </c>
      <c r="AN222" s="16" t="s">
        <v>150</v>
      </c>
      <c r="AO222" s="12">
        <v>9</v>
      </c>
      <c r="AP222" s="7">
        <v>0.17</v>
      </c>
      <c r="AQ222" s="6">
        <v>9.3000000000000007</v>
      </c>
      <c r="AV222" s="3"/>
      <c r="AW222" s="3"/>
      <c r="AX222" s="3"/>
      <c r="AY222" s="3"/>
      <c r="AZ222" s="4"/>
      <c r="BA222" s="4"/>
      <c r="BB222" s="4"/>
      <c r="BC222" s="4"/>
      <c r="BD222" s="4"/>
      <c r="BE222" s="3"/>
      <c r="BF222" s="3"/>
      <c r="BG222" s="4"/>
      <c r="BH222" s="4"/>
      <c r="BI222" s="4"/>
      <c r="BJ222" s="9"/>
      <c r="BK222" s="9"/>
      <c r="BL222" s="9"/>
      <c r="BM222" s="3"/>
      <c r="BN222" s="3"/>
      <c r="BO222" s="3"/>
      <c r="BP222" s="3"/>
      <c r="BQ222" s="3"/>
      <c r="BR222" s="3"/>
      <c r="BT222" s="15"/>
      <c r="BU222" s="3"/>
      <c r="BV222" s="13"/>
      <c r="BW222" s="3"/>
      <c r="BX222" s="3"/>
      <c r="BY222" s="3"/>
      <c r="BZ222" s="3"/>
      <c r="CA222" s="3"/>
      <c r="CB222" s="10"/>
      <c r="CC222" s="10"/>
      <c r="CD222" s="4"/>
      <c r="CE222" s="3"/>
    </row>
    <row r="223" spans="1:83" x14ac:dyDescent="0.25">
      <c r="A223" s="2" t="s">
        <v>14</v>
      </c>
      <c r="B223" s="2">
        <v>3</v>
      </c>
      <c r="C223" t="s">
        <v>8</v>
      </c>
      <c r="D223" s="5" t="str">
        <f t="shared" si="28"/>
        <v>p06-3-SE</v>
      </c>
      <c r="E223" s="5" t="s">
        <v>468</v>
      </c>
      <c r="F223" s="17">
        <v>44881</v>
      </c>
      <c r="G223">
        <v>18</v>
      </c>
      <c r="H223" s="3">
        <v>13.1</v>
      </c>
      <c r="I223" s="3">
        <f t="shared" si="29"/>
        <v>12.639999999999999</v>
      </c>
      <c r="J223" s="3">
        <f>($A$68-$A$47)*$A$75</f>
        <v>0.46500000000000002</v>
      </c>
      <c r="K223" s="6">
        <f t="shared" si="30"/>
        <v>2925.3558858267716</v>
      </c>
      <c r="L223" s="4"/>
      <c r="M223" s="4"/>
      <c r="N223" s="4"/>
      <c r="O223" s="4"/>
      <c r="P223" s="7"/>
      <c r="Q223" s="6"/>
      <c r="R223" s="14"/>
      <c r="S223" s="4"/>
      <c r="T223" s="4"/>
      <c r="U223" s="4"/>
      <c r="V223" s="8"/>
      <c r="W223" s="8"/>
      <c r="X223" s="8"/>
      <c r="Y223" s="6"/>
      <c r="Z223" s="6"/>
      <c r="AA223" s="6"/>
      <c r="AB223" s="6"/>
      <c r="AC223" s="6"/>
      <c r="AD223" s="6"/>
      <c r="AE223" s="10"/>
      <c r="AF223" s="14"/>
      <c r="AG223" s="6"/>
      <c r="AH223" s="11"/>
      <c r="AI223" s="6"/>
      <c r="AJ223" s="6"/>
      <c r="AK223" s="6"/>
      <c r="AL223" s="6"/>
      <c r="AM223" s="6"/>
      <c r="AN223" s="16"/>
      <c r="AO223" s="12"/>
      <c r="AP223" s="7"/>
      <c r="AQ223" s="6"/>
      <c r="AV223" s="3"/>
      <c r="AW223" s="3"/>
      <c r="AX223" s="3"/>
      <c r="AY223" s="3"/>
      <c r="AZ223" s="4"/>
      <c r="BA223" s="4"/>
      <c r="BB223" s="4"/>
      <c r="BC223" s="4"/>
      <c r="BD223" s="4"/>
      <c r="BE223" s="3"/>
      <c r="BF223" s="3"/>
      <c r="BG223" s="4"/>
      <c r="BH223" s="4"/>
      <c r="BI223" s="4"/>
      <c r="BJ223" s="9"/>
      <c r="BK223" s="9"/>
      <c r="BL223" s="9"/>
      <c r="BM223" s="3"/>
      <c r="BN223" s="3"/>
      <c r="BO223" s="3"/>
      <c r="BP223" s="3"/>
      <c r="BQ223" s="3"/>
      <c r="BR223" s="3"/>
      <c r="BT223" s="15"/>
      <c r="BU223" s="3"/>
      <c r="BV223" s="13"/>
      <c r="BW223" s="3"/>
      <c r="BX223" s="3"/>
      <c r="BY223" s="3"/>
      <c r="BZ223" s="3"/>
      <c r="CA223" s="3"/>
      <c r="CB223" s="10"/>
      <c r="CC223" s="10"/>
      <c r="CD223" s="4"/>
      <c r="CE223" s="3"/>
    </row>
    <row r="224" spans="1:83" x14ac:dyDescent="0.25">
      <c r="A224" s="2" t="s">
        <v>14</v>
      </c>
      <c r="B224" s="2">
        <v>4</v>
      </c>
      <c r="C224" t="s">
        <v>4</v>
      </c>
      <c r="D224" s="5" t="str">
        <f t="shared" si="28"/>
        <v>p06-4-NW</v>
      </c>
      <c r="E224" s="5" t="s">
        <v>468</v>
      </c>
      <c r="F224" s="17">
        <v>44881</v>
      </c>
      <c r="G224">
        <v>6</v>
      </c>
      <c r="H224" s="3">
        <v>19.399999999999999</v>
      </c>
      <c r="I224" s="3">
        <f t="shared" si="29"/>
        <v>18.939999999999998</v>
      </c>
      <c r="J224" s="3">
        <f>($A$56-$A$47)*$A$75</f>
        <v>0.57124999999999992</v>
      </c>
      <c r="K224" s="6">
        <f t="shared" si="30"/>
        <v>4355.3872588582663</v>
      </c>
      <c r="L224" s="4"/>
      <c r="M224" s="4"/>
      <c r="N224" s="4"/>
      <c r="O224" s="4"/>
      <c r="P224" s="7"/>
      <c r="Q224" s="6"/>
      <c r="R224" s="14"/>
      <c r="S224" s="4"/>
      <c r="T224" s="4"/>
      <c r="U224" s="4"/>
      <c r="V224" s="8"/>
      <c r="W224" s="8"/>
      <c r="X224" s="8"/>
      <c r="Y224" s="6"/>
      <c r="Z224" s="6"/>
      <c r="AA224" s="6"/>
      <c r="AB224" s="6"/>
      <c r="AC224" s="6"/>
      <c r="AD224" s="6"/>
      <c r="AE224" s="10"/>
      <c r="AF224" s="14"/>
      <c r="AG224" s="6"/>
      <c r="AH224" s="11"/>
      <c r="AI224" s="6"/>
      <c r="AJ224" s="6"/>
      <c r="AK224" s="6"/>
      <c r="AL224" s="6"/>
      <c r="AM224" s="6"/>
      <c r="AN224" s="16"/>
      <c r="AO224" s="12"/>
      <c r="AP224" s="7"/>
      <c r="AQ224" s="6"/>
      <c r="AS224" t="s">
        <v>109</v>
      </c>
      <c r="AT224" s="4" t="str">
        <f>E224</f>
        <v>Machine</v>
      </c>
      <c r="AU224" s="15">
        <f>F224</f>
        <v>44881</v>
      </c>
      <c r="AV224" s="3">
        <f>SUM(H224:H229)</f>
        <v>95.9</v>
      </c>
      <c r="AW224" s="3">
        <f>AV224-6*$A$47</f>
        <v>93.14</v>
      </c>
      <c r="AX224" s="3">
        <f>SUM(J224:J229)</f>
        <v>3.1087499999999992</v>
      </c>
      <c r="AY224" s="3">
        <f>(AW224+AX224)*$A$48/(6*$A$49)*$A$50</f>
        <v>3580.8450631561677</v>
      </c>
      <c r="AZ224" s="4">
        <f>SUM(L224:L229)</f>
        <v>17.229999999999997</v>
      </c>
      <c r="BA224" s="4">
        <f>SUM(M224:M229)</f>
        <v>311.81</v>
      </c>
      <c r="BB224" s="4">
        <f>BA224-AZ224</f>
        <v>294.58</v>
      </c>
      <c r="BC224" s="4">
        <f>SUM(O224:O229)</f>
        <v>279.94</v>
      </c>
      <c r="BD224" s="4">
        <f>(BB224-BC224)/BB224*100</f>
        <v>4.9697874940593341</v>
      </c>
      <c r="BE224" s="3">
        <f>AY224*(1-BD224/100)</f>
        <v>3402.8846730257915</v>
      </c>
      <c r="BF224" s="15">
        <f>R225</f>
        <v>44882</v>
      </c>
      <c r="BG224" s="4">
        <f>SUM(S224:S229)</f>
        <v>12.45</v>
      </c>
      <c r="BH224" s="4">
        <f>SUM(T224:T229)</f>
        <v>4.4800000000000004</v>
      </c>
      <c r="BI224" s="4">
        <f>SUM(U224:U229)</f>
        <v>10.02</v>
      </c>
      <c r="BJ224" s="9">
        <f>(BH224-2*$A$76)/(BG224-2*$A$47*$A$48)</f>
        <v>0.34240042457120762</v>
      </c>
      <c r="BK224" s="9">
        <f>(BI224-2*$A$77)/(BG224-2*$A$47*$A$48)</f>
        <v>0.5501676724906297</v>
      </c>
      <c r="BL224" s="9">
        <f>1-BJ224-BK224</f>
        <v>0.10743190293816274</v>
      </c>
      <c r="BM224" s="3">
        <f>AY224*BJ224</f>
        <v>1226.0828699483845</v>
      </c>
      <c r="BN224" s="3">
        <f>AY224*BK224</f>
        <v>1970.0651939461907</v>
      </c>
      <c r="BO224" s="3">
        <f>SUM(BM224:BN224)</f>
        <v>3196.148063894575</v>
      </c>
      <c r="BP224" s="3">
        <f>BE224*BJ224</f>
        <v>1165.1491568108861</v>
      </c>
      <c r="BQ224" s="3">
        <f>BE224*BK224</f>
        <v>1872.1571403126372</v>
      </c>
      <c r="BR224" s="3">
        <f>SUM(BP224:BQ224)</f>
        <v>3037.3062971235231</v>
      </c>
      <c r="BS224" s="3"/>
      <c r="BT224" s="15">
        <f>AF225</f>
        <v>44980</v>
      </c>
      <c r="BU224" s="3">
        <f t="shared" ref="BU224:CA224" si="32">AVERAGE(AG224:AG229)</f>
        <v>46.75</v>
      </c>
      <c r="BV224" s="13">
        <f t="shared" si="32"/>
        <v>1.1535</v>
      </c>
      <c r="BW224" s="3">
        <f t="shared" si="32"/>
        <v>80.7</v>
      </c>
      <c r="BX224" s="3">
        <f t="shared" si="32"/>
        <v>29.65</v>
      </c>
      <c r="BY224" s="3">
        <f t="shared" si="32"/>
        <v>6.1999999999999993</v>
      </c>
      <c r="BZ224" s="3">
        <f t="shared" si="32"/>
        <v>79.599999999999994</v>
      </c>
      <c r="CA224" s="3">
        <f t="shared" si="32"/>
        <v>8.85</v>
      </c>
      <c r="CB224" s="13"/>
      <c r="CC224" s="10">
        <f>AVERAGE(AO224:AO229)</f>
        <v>10.5</v>
      </c>
      <c r="CD224" s="4">
        <f>AVERAGE(AP224:AP229)</f>
        <v>0.115</v>
      </c>
      <c r="CE224" s="3">
        <f>AVERAGE(AQ224:AQ229)</f>
        <v>9.25</v>
      </c>
    </row>
    <row r="225" spans="1:83" x14ac:dyDescent="0.25">
      <c r="A225" s="2" t="s">
        <v>14</v>
      </c>
      <c r="B225" s="2">
        <v>4</v>
      </c>
      <c r="C225" t="s">
        <v>5</v>
      </c>
      <c r="D225" s="5" t="str">
        <f t="shared" si="28"/>
        <v>p06-4-MW</v>
      </c>
      <c r="E225" s="5" t="s">
        <v>468</v>
      </c>
      <c r="F225" s="17">
        <v>44881</v>
      </c>
      <c r="G225">
        <v>6</v>
      </c>
      <c r="H225" s="3">
        <v>16.2</v>
      </c>
      <c r="I225" s="3">
        <f t="shared" si="29"/>
        <v>15.739999999999998</v>
      </c>
      <c r="J225" s="3">
        <f>($A$56-$A$47)*$A$75</f>
        <v>0.57124999999999992</v>
      </c>
      <c r="K225" s="6">
        <f t="shared" si="30"/>
        <v>3641.0691486220467</v>
      </c>
      <c r="L225" s="4">
        <v>8.4499999999999993</v>
      </c>
      <c r="M225" s="4">
        <v>148.1</v>
      </c>
      <c r="N225" s="4">
        <f>M225-L225</f>
        <v>139.65</v>
      </c>
      <c r="O225" s="4">
        <v>131.94999999999999</v>
      </c>
      <c r="P225" s="7">
        <f>(N225-O225)/N225*100</f>
        <v>5.5137844611528948</v>
      </c>
      <c r="Q225" s="6">
        <f>K225*(1-P225/100)</f>
        <v>3440.3084436854924</v>
      </c>
      <c r="R225" s="14">
        <v>44882</v>
      </c>
      <c r="S225" s="4">
        <v>7.13</v>
      </c>
      <c r="T225" s="4">
        <v>2.54</v>
      </c>
      <c r="U225" s="4">
        <v>5.54</v>
      </c>
      <c r="V225" s="8">
        <f>(T225-$A$76)/(S225-$A$47*$A$48)</f>
        <v>0.34097405723736157</v>
      </c>
      <c r="W225" s="8">
        <f>(U225-$A$77)/(S225-$A$47*$A$48)</f>
        <v>0.55480524567435108</v>
      </c>
      <c r="X225" s="8">
        <f>1-V225-W225</f>
        <v>0.1042206970882873</v>
      </c>
      <c r="Y225" s="6">
        <f>K225*V225</f>
        <v>1241.510120287445</v>
      </c>
      <c r="Z225" s="6">
        <f>K225*W225</f>
        <v>2020.084263518555</v>
      </c>
      <c r="AA225" s="6">
        <f>SUM(Y225:Z225)</f>
        <v>3261.5943838060002</v>
      </c>
      <c r="AB225" s="6">
        <f>Q225*V225</f>
        <v>1173.0559281913954</v>
      </c>
      <c r="AC225" s="6">
        <f>Q225*W225</f>
        <v>1908.7011712944741</v>
      </c>
      <c r="AD225" s="6">
        <f>SUM(AB225:AC225)</f>
        <v>3081.7570994858697</v>
      </c>
      <c r="AE225" s="10">
        <v>990130641024</v>
      </c>
      <c r="AF225" s="14">
        <v>44980</v>
      </c>
      <c r="AG225" s="6">
        <v>45.9</v>
      </c>
      <c r="AH225" s="11">
        <v>1.1659999999999999</v>
      </c>
      <c r="AI225" s="6">
        <v>80.7</v>
      </c>
      <c r="AJ225" s="6">
        <v>30.5</v>
      </c>
      <c r="AK225" s="6">
        <v>6.1</v>
      </c>
      <c r="AL225" s="6">
        <v>79.599999999999994</v>
      </c>
      <c r="AM225" s="6">
        <v>9</v>
      </c>
      <c r="AN225" s="16" t="s">
        <v>148</v>
      </c>
      <c r="AO225" s="12">
        <v>12</v>
      </c>
      <c r="AP225" s="7">
        <v>0.14000000000000001</v>
      </c>
      <c r="AQ225" s="6">
        <v>9.1</v>
      </c>
      <c r="AV225" s="3"/>
      <c r="AW225" s="3"/>
      <c r="AX225" s="3"/>
      <c r="AY225" s="3"/>
      <c r="AZ225" s="4"/>
      <c r="BA225" s="4"/>
      <c r="BB225" s="4"/>
      <c r="BC225" s="4"/>
      <c r="BD225" s="4"/>
      <c r="BE225" s="3"/>
      <c r="BF225" s="3"/>
      <c r="BG225" s="4"/>
      <c r="BH225" s="4"/>
      <c r="BI225" s="4"/>
      <c r="BJ225" s="9"/>
      <c r="BK225" s="9"/>
      <c r="BL225" s="9"/>
      <c r="BM225" s="3"/>
      <c r="BN225" s="3"/>
      <c r="BO225" s="3"/>
      <c r="BP225" s="3"/>
      <c r="BQ225" s="3"/>
      <c r="BR225" s="3"/>
      <c r="BT225" s="15"/>
      <c r="BU225" s="3"/>
      <c r="BV225" s="13"/>
      <c r="BW225" s="3"/>
      <c r="BX225" s="3"/>
      <c r="BY225" s="3"/>
      <c r="BZ225" s="3"/>
      <c r="CA225" s="3"/>
      <c r="CB225" s="10"/>
      <c r="CC225" s="10"/>
      <c r="CD225" s="4"/>
      <c r="CE225" s="3"/>
    </row>
    <row r="226" spans="1:83" x14ac:dyDescent="0.25">
      <c r="A226" s="2" t="s">
        <v>14</v>
      </c>
      <c r="B226" s="2">
        <v>4</v>
      </c>
      <c r="C226" t="s">
        <v>6</v>
      </c>
      <c r="D226" s="5" t="str">
        <f t="shared" si="28"/>
        <v>p06-4-SW</v>
      </c>
      <c r="E226" s="5" t="s">
        <v>468</v>
      </c>
      <c r="F226" s="17">
        <v>44881</v>
      </c>
      <c r="G226">
        <v>6</v>
      </c>
      <c r="H226" s="3">
        <v>14.7</v>
      </c>
      <c r="I226" s="3">
        <f t="shared" si="29"/>
        <v>14.239999999999998</v>
      </c>
      <c r="J226" s="3">
        <f>($A$56-$A$47)*$A$75</f>
        <v>0.57124999999999992</v>
      </c>
      <c r="K226" s="6">
        <f t="shared" si="30"/>
        <v>3306.2325344488186</v>
      </c>
      <c r="L226" s="4"/>
      <c r="M226" s="4"/>
      <c r="N226" s="4"/>
      <c r="O226" s="4"/>
      <c r="P226" s="7"/>
      <c r="Q226" s="6"/>
      <c r="R226" s="14"/>
      <c r="S226" s="4"/>
      <c r="T226" s="4"/>
      <c r="U226" s="4"/>
      <c r="V226" s="8"/>
      <c r="W226" s="8"/>
      <c r="X226" s="8"/>
      <c r="Y226" s="6"/>
      <c r="Z226" s="6"/>
      <c r="AA226" s="6"/>
      <c r="AB226" s="6"/>
      <c r="AC226" s="6"/>
      <c r="AD226" s="6"/>
      <c r="AE226" s="10"/>
      <c r="AF226" s="14"/>
      <c r="AG226" s="6"/>
      <c r="AH226" s="11"/>
      <c r="AI226" s="6"/>
      <c r="AJ226" s="6"/>
      <c r="AK226" s="6"/>
      <c r="AL226" s="6"/>
      <c r="AM226" s="6"/>
      <c r="AN226" s="16"/>
      <c r="AO226" s="12"/>
      <c r="AP226" s="7"/>
      <c r="AQ226" s="6"/>
      <c r="AV226" s="3"/>
      <c r="AW226" s="3"/>
      <c r="AX226" s="3"/>
      <c r="AY226" s="3"/>
      <c r="AZ226" s="4"/>
      <c r="BA226" s="4"/>
      <c r="BB226" s="4"/>
      <c r="BC226" s="4"/>
      <c r="BD226" s="4"/>
      <c r="BE226" s="3"/>
      <c r="BF226" s="3"/>
      <c r="BG226" s="4"/>
      <c r="BH226" s="4"/>
      <c r="BI226" s="4"/>
      <c r="BJ226" s="9"/>
      <c r="BK226" s="9"/>
      <c r="BL226" s="9"/>
      <c r="BM226" s="3"/>
      <c r="BN226" s="3"/>
      <c r="BO226" s="3"/>
      <c r="BP226" s="3"/>
      <c r="BQ226" s="3"/>
      <c r="BR226" s="3"/>
      <c r="BT226" s="15"/>
      <c r="BU226" s="3"/>
      <c r="BV226" s="13"/>
      <c r="BW226" s="3"/>
      <c r="BX226" s="3"/>
      <c r="BY226" s="3"/>
      <c r="BZ226" s="3"/>
      <c r="CA226" s="3"/>
      <c r="CB226" s="10"/>
      <c r="CC226" s="10"/>
      <c r="CD226" s="4"/>
      <c r="CE226" s="3"/>
    </row>
    <row r="227" spans="1:83" x14ac:dyDescent="0.25">
      <c r="A227" s="2" t="s">
        <v>14</v>
      </c>
      <c r="B227" s="2">
        <v>4</v>
      </c>
      <c r="C227" t="s">
        <v>7</v>
      </c>
      <c r="D227" s="5" t="str">
        <f t="shared" si="28"/>
        <v>p06-4-NE</v>
      </c>
      <c r="E227" s="5" t="s">
        <v>468</v>
      </c>
      <c r="F227" s="17">
        <v>44881</v>
      </c>
      <c r="G227">
        <v>18</v>
      </c>
      <c r="H227" s="3">
        <v>21.1</v>
      </c>
      <c r="I227" s="3">
        <f t="shared" si="29"/>
        <v>20.64</v>
      </c>
      <c r="J227" s="3">
        <f>($A$68-$A$47)*$A$75</f>
        <v>0.46500000000000002</v>
      </c>
      <c r="K227" s="6">
        <f t="shared" si="30"/>
        <v>4711.1511614173223</v>
      </c>
      <c r="L227" s="4"/>
      <c r="M227" s="4"/>
      <c r="N227" s="4"/>
      <c r="O227" s="4"/>
      <c r="P227" s="7"/>
      <c r="Q227" s="6"/>
      <c r="R227" s="14"/>
      <c r="S227" s="4"/>
      <c r="T227" s="4"/>
      <c r="U227" s="4"/>
      <c r="V227" s="8"/>
      <c r="W227" s="8"/>
      <c r="X227" s="8"/>
      <c r="Y227" s="6"/>
      <c r="Z227" s="6"/>
      <c r="AA227" s="6"/>
      <c r="AB227" s="6"/>
      <c r="AC227" s="6"/>
      <c r="AD227" s="6"/>
      <c r="AE227" s="10"/>
      <c r="AF227" s="14"/>
      <c r="AG227" s="6"/>
      <c r="AH227" s="11"/>
      <c r="AI227" s="6"/>
      <c r="AJ227" s="6"/>
      <c r="AK227" s="6"/>
      <c r="AL227" s="6"/>
      <c r="AM227" s="6"/>
      <c r="AN227" s="16"/>
      <c r="AO227" s="12"/>
      <c r="AP227" s="7"/>
      <c r="AQ227" s="6"/>
      <c r="AV227" s="3"/>
      <c r="AW227" s="3"/>
      <c r="AX227" s="3"/>
      <c r="AY227" s="3"/>
      <c r="AZ227" s="4"/>
      <c r="BA227" s="4"/>
      <c r="BB227" s="4"/>
      <c r="BC227" s="4"/>
      <c r="BD227" s="4"/>
      <c r="BE227" s="3"/>
      <c r="BF227" s="3"/>
      <c r="BG227" s="4"/>
      <c r="BH227" s="4"/>
      <c r="BI227" s="4"/>
      <c r="BJ227" s="9"/>
      <c r="BK227" s="9"/>
      <c r="BL227" s="9"/>
      <c r="BM227" s="3"/>
      <c r="BN227" s="3"/>
      <c r="BO227" s="3"/>
      <c r="BP227" s="3"/>
      <c r="BQ227" s="3"/>
      <c r="BR227" s="3"/>
      <c r="BT227" s="15"/>
      <c r="BU227" s="3"/>
      <c r="BV227" s="13"/>
      <c r="BW227" s="3"/>
      <c r="BX227" s="3"/>
      <c r="BY227" s="3"/>
      <c r="BZ227" s="3"/>
      <c r="CA227" s="3"/>
      <c r="CB227" s="10"/>
      <c r="CC227" s="10"/>
      <c r="CD227" s="4"/>
      <c r="CE227" s="3"/>
    </row>
    <row r="228" spans="1:83" x14ac:dyDescent="0.25">
      <c r="A228" s="2" t="s">
        <v>14</v>
      </c>
      <c r="B228" s="2">
        <v>4</v>
      </c>
      <c r="C228" t="s">
        <v>18</v>
      </c>
      <c r="D228" s="5" t="str">
        <f t="shared" si="28"/>
        <v>p06-4-ME</v>
      </c>
      <c r="E228" s="5" t="s">
        <v>468</v>
      </c>
      <c r="F228" s="17">
        <v>44881</v>
      </c>
      <c r="G228">
        <v>18</v>
      </c>
      <c r="H228" s="3">
        <v>12.1</v>
      </c>
      <c r="I228" s="3">
        <f t="shared" si="29"/>
        <v>11.639999999999999</v>
      </c>
      <c r="J228" s="3">
        <f>($A$68-$A$47)*$A$75</f>
        <v>0.46500000000000002</v>
      </c>
      <c r="K228" s="6">
        <f t="shared" si="30"/>
        <v>2702.1314763779524</v>
      </c>
      <c r="L228" s="4">
        <v>8.7799999999999994</v>
      </c>
      <c r="M228" s="4">
        <v>163.71</v>
      </c>
      <c r="N228" s="4">
        <f>M228-L228</f>
        <v>154.93</v>
      </c>
      <c r="O228" s="4">
        <v>147.99</v>
      </c>
      <c r="P228" s="7">
        <f>(N228-O228)/N228*100</f>
        <v>4.4794423287936471</v>
      </c>
      <c r="Q228" s="6">
        <f>K228*(1-P228/100)</f>
        <v>2581.0910552454216</v>
      </c>
      <c r="R228" s="14">
        <v>44882</v>
      </c>
      <c r="S228" s="4">
        <v>5.32</v>
      </c>
      <c r="T228" s="4">
        <v>1.94</v>
      </c>
      <c r="U228" s="4">
        <v>4.4800000000000004</v>
      </c>
      <c r="V228" s="8">
        <f>(T228-$A$76)/(S228-$A$47*$A$48)</f>
        <v>0.3443318886106374</v>
      </c>
      <c r="W228" s="8">
        <f>(U228-$A$77)/(S228-$A$47*$A$48)</f>
        <v>0.54388786950998413</v>
      </c>
      <c r="X228" s="8">
        <f>1-V228-W228</f>
        <v>0.11178024187937841</v>
      </c>
      <c r="Y228" s="6">
        <f>K228*V228</f>
        <v>930.43003453547033</v>
      </c>
      <c r="Z228" s="6">
        <f>K228*W228</f>
        <v>1469.6565318230726</v>
      </c>
      <c r="AA228" s="6">
        <f>SUM(Y228:Z228)</f>
        <v>2400.0865663585428</v>
      </c>
      <c r="AB228" s="6">
        <f>Q228*V228</f>
        <v>888.75195772867903</v>
      </c>
      <c r="AC228" s="6">
        <f>Q228*W228</f>
        <v>1403.824115048709</v>
      </c>
      <c r="AD228" s="6">
        <f>SUM(AB228:AC228)</f>
        <v>2292.5760727773882</v>
      </c>
      <c r="AE228" s="10">
        <v>990130642072</v>
      </c>
      <c r="AF228" s="14">
        <v>44980</v>
      </c>
      <c r="AG228" s="6">
        <v>47.599999999999994</v>
      </c>
      <c r="AH228" s="11">
        <v>1.141</v>
      </c>
      <c r="AI228" s="6">
        <v>80.7</v>
      </c>
      <c r="AJ228" s="6">
        <v>28.8</v>
      </c>
      <c r="AK228" s="6">
        <v>6.3</v>
      </c>
      <c r="AL228" s="6">
        <v>79.599999999999994</v>
      </c>
      <c r="AM228" s="6">
        <v>8.6999999999999993</v>
      </c>
      <c r="AN228" s="16" t="s">
        <v>148</v>
      </c>
      <c r="AO228" s="12">
        <v>9</v>
      </c>
      <c r="AP228" s="7">
        <v>0.09</v>
      </c>
      <c r="AQ228" s="6">
        <v>9.4</v>
      </c>
      <c r="AV228" s="3"/>
      <c r="AW228" s="3"/>
      <c r="AX228" s="3"/>
      <c r="AY228" s="3"/>
      <c r="AZ228" s="4"/>
      <c r="BA228" s="4"/>
      <c r="BB228" s="4"/>
      <c r="BC228" s="4"/>
      <c r="BD228" s="4"/>
      <c r="BE228" s="3"/>
      <c r="BF228" s="3"/>
      <c r="BG228" s="4"/>
      <c r="BH228" s="4"/>
      <c r="BI228" s="4"/>
      <c r="BJ228" s="9"/>
      <c r="BK228" s="9"/>
      <c r="BL228" s="9"/>
      <c r="BM228" s="3"/>
      <c r="BN228" s="3"/>
      <c r="BO228" s="3"/>
      <c r="BP228" s="3"/>
      <c r="BQ228" s="3"/>
      <c r="BR228" s="3"/>
      <c r="BT228" s="15"/>
      <c r="BU228" s="3"/>
      <c r="BV228" s="13"/>
      <c r="BW228" s="3"/>
      <c r="BX228" s="3"/>
      <c r="BY228" s="3"/>
      <c r="BZ228" s="3"/>
      <c r="CA228" s="3"/>
      <c r="CB228" s="10"/>
      <c r="CC228" s="10"/>
      <c r="CD228" s="4"/>
      <c r="CE228" s="3"/>
    </row>
    <row r="229" spans="1:83" x14ac:dyDescent="0.25">
      <c r="A229" s="2" t="s">
        <v>14</v>
      </c>
      <c r="B229" s="2">
        <v>4</v>
      </c>
      <c r="C229" t="s">
        <v>8</v>
      </c>
      <c r="D229" s="5" t="str">
        <f t="shared" si="28"/>
        <v>p06-4-SE</v>
      </c>
      <c r="E229" s="5" t="s">
        <v>468</v>
      </c>
      <c r="F229" s="17">
        <v>44881</v>
      </c>
      <c r="G229">
        <v>18</v>
      </c>
      <c r="H229" s="3">
        <v>12.4</v>
      </c>
      <c r="I229" s="3">
        <f t="shared" si="29"/>
        <v>11.94</v>
      </c>
      <c r="J229" s="3">
        <f>($A$68-$A$47)*$A$75</f>
        <v>0.46500000000000002</v>
      </c>
      <c r="K229" s="6">
        <f t="shared" si="30"/>
        <v>2769.0987992125984</v>
      </c>
      <c r="L229" s="4"/>
      <c r="M229" s="4"/>
      <c r="N229" s="4"/>
      <c r="O229" s="4"/>
      <c r="P229" s="7"/>
      <c r="Q229" s="6"/>
      <c r="R229" s="14"/>
      <c r="S229" s="4"/>
      <c r="T229" s="4"/>
      <c r="U229" s="4"/>
      <c r="V229" s="8"/>
      <c r="W229" s="8"/>
      <c r="X229" s="8"/>
      <c r="Y229" s="6"/>
      <c r="Z229" s="6"/>
      <c r="AA229" s="6"/>
      <c r="AB229" s="6"/>
      <c r="AC229" s="6"/>
      <c r="AD229" s="6"/>
      <c r="AE229" s="10"/>
      <c r="AF229" s="14"/>
      <c r="AG229" s="6"/>
      <c r="AH229" s="11"/>
      <c r="AI229" s="6"/>
      <c r="AJ229" s="6"/>
      <c r="AK229" s="6"/>
      <c r="AL229" s="6"/>
      <c r="AM229" s="6"/>
      <c r="AN229" s="16"/>
      <c r="AO229" s="12"/>
      <c r="AP229" s="7"/>
      <c r="AQ229" s="6"/>
      <c r="AV229" s="3"/>
      <c r="AW229" s="3"/>
      <c r="AX229" s="3"/>
      <c r="AY229" s="3"/>
      <c r="AZ229" s="4"/>
      <c r="BA229" s="4"/>
      <c r="BB229" s="4"/>
      <c r="BC229" s="4"/>
      <c r="BD229" s="4"/>
      <c r="BE229" s="3"/>
      <c r="BF229" s="3"/>
      <c r="BG229" s="4"/>
      <c r="BH229" s="4"/>
      <c r="BI229" s="4"/>
      <c r="BJ229" s="9"/>
      <c r="BK229" s="9"/>
      <c r="BL229" s="9"/>
      <c r="BM229" s="3"/>
      <c r="BN229" s="3"/>
      <c r="BO229" s="3"/>
      <c r="BP229" s="3"/>
      <c r="BQ229" s="3"/>
      <c r="BR229" s="3"/>
      <c r="BT229" s="15"/>
      <c r="BU229" s="3"/>
      <c r="BV229" s="13"/>
      <c r="BW229" s="3"/>
      <c r="BX229" s="3"/>
      <c r="BY229" s="3"/>
      <c r="BZ229" s="3"/>
      <c r="CA229" s="3"/>
      <c r="CB229" s="10"/>
      <c r="CC229" s="10"/>
      <c r="CD229" s="4"/>
      <c r="CE229" s="3"/>
    </row>
    <row r="230" spans="1:83" x14ac:dyDescent="0.25">
      <c r="A230" s="2" t="s">
        <v>15</v>
      </c>
      <c r="B230" s="2">
        <v>1</v>
      </c>
      <c r="C230" t="s">
        <v>4</v>
      </c>
      <c r="D230" s="5" t="str">
        <f t="shared" si="28"/>
        <v>p07-1-NW</v>
      </c>
      <c r="E230" s="5" t="s">
        <v>468</v>
      </c>
      <c r="F230" s="17">
        <v>44881</v>
      </c>
      <c r="G230">
        <v>7</v>
      </c>
      <c r="H230" s="3">
        <v>22.4</v>
      </c>
      <c r="I230" s="3">
        <f t="shared" si="29"/>
        <v>21.939999999999998</v>
      </c>
      <c r="J230" s="3">
        <f>($A$57-$A$47)*$A$75</f>
        <v>1.1524999999999999</v>
      </c>
      <c r="K230" s="6">
        <f t="shared" si="30"/>
        <v>5154.8096751968496</v>
      </c>
      <c r="L230" s="4"/>
      <c r="M230" s="4"/>
      <c r="N230" s="4"/>
      <c r="O230" s="4"/>
      <c r="P230" s="7"/>
      <c r="Q230" s="6"/>
      <c r="R230" s="14"/>
      <c r="S230" s="4"/>
      <c r="T230" s="4"/>
      <c r="U230" s="4"/>
      <c r="V230" s="8"/>
      <c r="W230" s="8"/>
      <c r="X230" s="8"/>
      <c r="Y230" s="6"/>
      <c r="Z230" s="6"/>
      <c r="AA230" s="6"/>
      <c r="AB230" s="6"/>
      <c r="AC230" s="6"/>
      <c r="AD230" s="6"/>
      <c r="AE230" s="10"/>
      <c r="AF230" s="14"/>
      <c r="AG230" s="6"/>
      <c r="AH230" s="11"/>
      <c r="AI230" s="6"/>
      <c r="AJ230" s="6"/>
      <c r="AK230" s="6"/>
      <c r="AL230" s="6"/>
      <c r="AM230" s="6"/>
      <c r="AN230" s="16"/>
      <c r="AO230" s="12"/>
      <c r="AP230" s="7"/>
      <c r="AQ230" s="6"/>
      <c r="AS230" s="4" t="s">
        <v>110</v>
      </c>
      <c r="AT230" s="4" t="str">
        <f>E230</f>
        <v>Machine</v>
      </c>
      <c r="AU230" s="15">
        <f>F230</f>
        <v>44881</v>
      </c>
      <c r="AV230" s="3">
        <f>SUM(H230:H235)</f>
        <v>102.2</v>
      </c>
      <c r="AW230" s="3">
        <f>AV230-6*$A$47</f>
        <v>99.44</v>
      </c>
      <c r="AX230" s="3">
        <f>SUM(J230:J235)</f>
        <v>5.7712500000000002</v>
      </c>
      <c r="AY230" s="3">
        <f>(AW230+AX230)*$A$48/(6*$A$49)*$A$50</f>
        <v>3914.2865247703407</v>
      </c>
      <c r="AZ230" s="4">
        <f>SUM(L230:L235)</f>
        <v>17.32</v>
      </c>
      <c r="BA230" s="4">
        <f>SUM(M230:M235)</f>
        <v>330.26</v>
      </c>
      <c r="BB230" s="4">
        <f>BA230-AZ230</f>
        <v>312.94</v>
      </c>
      <c r="BC230" s="4">
        <f>SUM(O230:O235)</f>
        <v>297.29999999999995</v>
      </c>
      <c r="BD230" s="4">
        <f>(BB230-BC230)/BB230*100</f>
        <v>4.9977631494855377</v>
      </c>
      <c r="BE230" s="3">
        <f>AY230*(1-BD230/100)</f>
        <v>3718.6597552700905</v>
      </c>
      <c r="BF230" s="15">
        <f>R231</f>
        <v>44882</v>
      </c>
      <c r="BG230" s="4">
        <f>SUM(S230:S235)</f>
        <v>13.52</v>
      </c>
      <c r="BH230" s="4">
        <f>SUM(T230:T235)</f>
        <v>5.22</v>
      </c>
      <c r="BI230" s="4">
        <f>SUM(U230:U235)</f>
        <v>9.98</v>
      </c>
      <c r="BJ230" s="9">
        <f>(BH230-2*$A$76)/(BG230-2*$A$47*$A$48)</f>
        <v>0.37091604944404349</v>
      </c>
      <c r="BK230" s="9">
        <f>(BI230-2*$A$77)/(BG230-2*$A$47*$A$48)</f>
        <v>0.50218675007033053</v>
      </c>
      <c r="BL230" s="9">
        <f>1-BJ230-BK230</f>
        <v>0.12689720048562592</v>
      </c>
      <c r="BM230" s="3">
        <f>AY230*BJ230</f>
        <v>1451.8716941598689</v>
      </c>
      <c r="BN230" s="3">
        <f>AY230*BK230</f>
        <v>1965.7028287185058</v>
      </c>
      <c r="BO230" s="3">
        <f>SUM(BM230:BN230)</f>
        <v>3417.5745228783744</v>
      </c>
      <c r="BP230" s="3">
        <f>BE230*BJ230</f>
        <v>1379.3105856513355</v>
      </c>
      <c r="BQ230" s="3">
        <f>BE230*BK230</f>
        <v>1867.4616571164174</v>
      </c>
      <c r="BR230" s="3">
        <f>SUM(BP230:BQ230)</f>
        <v>3246.7722427677527</v>
      </c>
      <c r="BS230" s="3"/>
      <c r="BT230" s="15">
        <f>AF231</f>
        <v>44980</v>
      </c>
      <c r="BU230" s="3">
        <f t="shared" ref="BU230:CA230" si="33">AVERAGE(AG230:AG235)</f>
        <v>49.400000000000006</v>
      </c>
      <c r="BV230" s="13">
        <f t="shared" si="33"/>
        <v>1.1034999999999999</v>
      </c>
      <c r="BW230" s="3">
        <f t="shared" si="33"/>
        <v>81.650000000000006</v>
      </c>
      <c r="BX230" s="3">
        <f t="shared" si="33"/>
        <v>30.5</v>
      </c>
      <c r="BY230" s="3">
        <f t="shared" si="33"/>
        <v>5.25</v>
      </c>
      <c r="BZ230" s="3">
        <f t="shared" si="33"/>
        <v>77.349999999999994</v>
      </c>
      <c r="CA230" s="3">
        <f t="shared" si="33"/>
        <v>9.5500000000000007</v>
      </c>
      <c r="CB230" s="13"/>
      <c r="CC230" s="10">
        <f>AVERAGE(AO230:AO235)</f>
        <v>15</v>
      </c>
      <c r="CD230" s="4">
        <f>AVERAGE(AP230:AP235)</f>
        <v>0.185</v>
      </c>
      <c r="CE230" s="3">
        <f>AVERAGE(AQ230:AQ235)</f>
        <v>8.75</v>
      </c>
    </row>
    <row r="231" spans="1:83" x14ac:dyDescent="0.25">
      <c r="A231" s="2" t="s">
        <v>15</v>
      </c>
      <c r="B231" s="2">
        <v>1</v>
      </c>
      <c r="C231" t="s">
        <v>5</v>
      </c>
      <c r="D231" s="5" t="str">
        <f t="shared" si="28"/>
        <v>p07-1-MW</v>
      </c>
      <c r="E231" s="5" t="s">
        <v>468</v>
      </c>
      <c r="F231" s="17">
        <v>44881</v>
      </c>
      <c r="G231">
        <v>7</v>
      </c>
      <c r="H231" s="3">
        <v>19.7</v>
      </c>
      <c r="I231" s="3">
        <f t="shared" si="29"/>
        <v>19.239999999999998</v>
      </c>
      <c r="J231" s="3">
        <f>($A$57-$A$47)*$A$75</f>
        <v>1.1524999999999999</v>
      </c>
      <c r="K231" s="6">
        <f t="shared" si="30"/>
        <v>4552.103769685039</v>
      </c>
      <c r="L231" s="4">
        <v>8.5299999999999994</v>
      </c>
      <c r="M231" s="4">
        <v>180.83</v>
      </c>
      <c r="N231" s="4">
        <f>M231-L231</f>
        <v>172.3</v>
      </c>
      <c r="O231" s="4">
        <v>162.54</v>
      </c>
      <c r="P231" s="7">
        <f>(N231-O231)/N231*100</f>
        <v>5.6645385954730232</v>
      </c>
      <c r="Q231" s="6">
        <f>K231*(1-P231/100)</f>
        <v>4294.2480947452477</v>
      </c>
      <c r="R231" s="14">
        <v>44882</v>
      </c>
      <c r="S231" s="4">
        <v>8.74</v>
      </c>
      <c r="T231" s="4">
        <v>3.32</v>
      </c>
      <c r="U231" s="4">
        <v>6</v>
      </c>
      <c r="V231" s="8">
        <f>(T231-$A$76)/(S231-$A$47*$A$48)</f>
        <v>0.36805439395713385</v>
      </c>
      <c r="W231" s="8">
        <f>(U231-$A$77)/(S231-$A$47*$A$48)</f>
        <v>0.50402353312601134</v>
      </c>
      <c r="X231" s="8">
        <f>1-V231-W231</f>
        <v>0.12792207291685476</v>
      </c>
      <c r="Y231" s="6">
        <f>K231*V231</f>
        <v>1675.4217941814115</v>
      </c>
      <c r="Z231" s="6">
        <f>K231*W231</f>
        <v>2294.3674251528882</v>
      </c>
      <c r="AA231" s="6">
        <f>SUM(Y231:Z231)</f>
        <v>3969.7892193342996</v>
      </c>
      <c r="AB231" s="6">
        <f>Q231*V231</f>
        <v>1580.5168800130389</v>
      </c>
      <c r="AC231" s="6">
        <f>Q231*W231</f>
        <v>2164.4020968331424</v>
      </c>
      <c r="AD231" s="6">
        <f>SUM(AB231:AC231)</f>
        <v>3744.9189768461811</v>
      </c>
      <c r="AE231" s="10">
        <v>990130711025</v>
      </c>
      <c r="AF231" s="14">
        <v>44980</v>
      </c>
      <c r="AG231" s="6">
        <v>48.5</v>
      </c>
      <c r="AH231" s="11">
        <v>1.113</v>
      </c>
      <c r="AI231" s="6">
        <v>81.8</v>
      </c>
      <c r="AJ231" s="6">
        <v>30.5</v>
      </c>
      <c r="AK231" s="6">
        <v>5.3</v>
      </c>
      <c r="AL231" s="6">
        <v>78</v>
      </c>
      <c r="AM231" s="6">
        <v>9.6999999999999993</v>
      </c>
      <c r="AN231" s="16" t="s">
        <v>165</v>
      </c>
      <c r="AO231" s="12">
        <v>12</v>
      </c>
      <c r="AP231" s="7">
        <v>0.21</v>
      </c>
      <c r="AQ231" s="6">
        <v>8.8000000000000007</v>
      </c>
      <c r="AV231" s="3"/>
      <c r="AW231" s="3"/>
      <c r="AX231" s="3"/>
      <c r="AY231" s="3"/>
      <c r="AZ231" s="4"/>
      <c r="BA231" s="4"/>
      <c r="BB231" s="4"/>
      <c r="BC231" s="4"/>
      <c r="BD231" s="4"/>
      <c r="BE231" s="3"/>
      <c r="BF231" s="3"/>
      <c r="BG231" s="4"/>
      <c r="BH231" s="4"/>
      <c r="BI231" s="4"/>
      <c r="BJ231" s="9"/>
      <c r="BK231" s="9"/>
      <c r="BL231" s="9"/>
      <c r="BM231" s="3"/>
      <c r="BN231" s="3"/>
      <c r="BO231" s="3"/>
      <c r="BP231" s="3"/>
      <c r="BQ231" s="3"/>
      <c r="BR231" s="3"/>
      <c r="BT231" s="15"/>
      <c r="BU231" s="3"/>
      <c r="BV231" s="13"/>
      <c r="BW231" s="3"/>
      <c r="BX231" s="3"/>
      <c r="BY231" s="3"/>
      <c r="BZ231" s="3"/>
      <c r="CA231" s="3"/>
      <c r="CB231" s="10"/>
      <c r="CC231" s="10"/>
      <c r="CD231" s="4"/>
      <c r="CE231" s="3"/>
    </row>
    <row r="232" spans="1:83" x14ac:dyDescent="0.25">
      <c r="A232" s="2" t="s">
        <v>15</v>
      </c>
      <c r="B232" s="2">
        <v>1</v>
      </c>
      <c r="C232" t="s">
        <v>6</v>
      </c>
      <c r="D232" s="5" t="str">
        <f t="shared" si="28"/>
        <v>p07-1-SW</v>
      </c>
      <c r="E232" s="5" t="s">
        <v>468</v>
      </c>
      <c r="F232" s="17">
        <v>44881</v>
      </c>
      <c r="G232">
        <v>7</v>
      </c>
      <c r="H232" s="3">
        <v>21.3</v>
      </c>
      <c r="I232" s="3">
        <f t="shared" si="29"/>
        <v>20.84</v>
      </c>
      <c r="J232" s="3">
        <f>($A$57-$A$47)*$A$75</f>
        <v>1.1524999999999999</v>
      </c>
      <c r="K232" s="6">
        <f t="shared" si="30"/>
        <v>4909.2628248031488</v>
      </c>
      <c r="L232" s="4"/>
      <c r="M232" s="4"/>
      <c r="N232" s="4"/>
      <c r="O232" s="4"/>
      <c r="P232" s="7"/>
      <c r="Q232" s="6"/>
      <c r="R232" s="14"/>
      <c r="S232" s="4"/>
      <c r="T232" s="4"/>
      <c r="U232" s="4"/>
      <c r="V232" s="8"/>
      <c r="W232" s="8"/>
      <c r="X232" s="8"/>
      <c r="Y232" s="6"/>
      <c r="Z232" s="6"/>
      <c r="AA232" s="6"/>
      <c r="AB232" s="6"/>
      <c r="AC232" s="6"/>
      <c r="AD232" s="6"/>
      <c r="AE232" s="10"/>
      <c r="AF232" s="14"/>
      <c r="AG232" s="6"/>
      <c r="AH232" s="11"/>
      <c r="AI232" s="6"/>
      <c r="AJ232" s="6"/>
      <c r="AK232" s="6"/>
      <c r="AL232" s="6"/>
      <c r="AM232" s="6"/>
      <c r="AN232" s="16"/>
      <c r="AO232" s="12"/>
      <c r="AP232" s="7"/>
      <c r="AQ232" s="6"/>
      <c r="AV232" s="3"/>
      <c r="AW232" s="3"/>
      <c r="AX232" s="3"/>
      <c r="AY232" s="3"/>
      <c r="AZ232" s="4"/>
      <c r="BA232" s="4"/>
      <c r="BB232" s="4"/>
      <c r="BC232" s="4"/>
      <c r="BD232" s="4"/>
      <c r="BE232" s="3"/>
      <c r="BF232" s="3"/>
      <c r="BG232" s="4"/>
      <c r="BH232" s="4"/>
      <c r="BI232" s="4"/>
      <c r="BJ232" s="9"/>
      <c r="BK232" s="9"/>
      <c r="BL232" s="9"/>
      <c r="BM232" s="3"/>
      <c r="BN232" s="3"/>
      <c r="BO232" s="3"/>
      <c r="BP232" s="3"/>
      <c r="BQ232" s="3"/>
      <c r="BR232" s="3"/>
      <c r="BS232" s="4"/>
      <c r="BT232" s="15"/>
      <c r="BU232" s="3"/>
      <c r="BV232" s="13"/>
      <c r="BW232" s="3"/>
      <c r="BX232" s="3"/>
      <c r="BY232" s="3"/>
      <c r="BZ232" s="3"/>
      <c r="CA232" s="3"/>
      <c r="CB232" s="10"/>
      <c r="CC232" s="10"/>
      <c r="CD232" s="4"/>
      <c r="CE232" s="3"/>
    </row>
    <row r="233" spans="1:83" x14ac:dyDescent="0.25">
      <c r="A233" s="2" t="s">
        <v>15</v>
      </c>
      <c r="B233" s="2">
        <v>1</v>
      </c>
      <c r="C233" t="s">
        <v>7</v>
      </c>
      <c r="D233" s="5" t="str">
        <f t="shared" si="28"/>
        <v>p07-1-NE</v>
      </c>
      <c r="E233" s="5" t="s">
        <v>468</v>
      </c>
      <c r="F233" s="17">
        <v>44881</v>
      </c>
      <c r="G233">
        <v>19</v>
      </c>
      <c r="H233" s="3">
        <v>13.7</v>
      </c>
      <c r="I233" s="3">
        <f t="shared" si="29"/>
        <v>13.239999999999998</v>
      </c>
      <c r="J233" s="3">
        <f>($A$69-$A$47)*$A$75</f>
        <v>0.77124999999999999</v>
      </c>
      <c r="K233" s="6">
        <f t="shared" si="30"/>
        <v>3127.6530068897632</v>
      </c>
      <c r="L233" s="4"/>
      <c r="M233" s="4"/>
      <c r="N233" s="4"/>
      <c r="O233" s="4"/>
      <c r="P233" s="7"/>
      <c r="Q233" s="6"/>
      <c r="R233" s="14"/>
      <c r="S233" s="4"/>
      <c r="T233" s="4"/>
      <c r="U233" s="4"/>
      <c r="V233" s="8"/>
      <c r="W233" s="8"/>
      <c r="X233" s="8"/>
      <c r="Y233" s="6"/>
      <c r="Z233" s="6"/>
      <c r="AA233" s="6"/>
      <c r="AB233" s="6"/>
      <c r="AC233" s="6"/>
      <c r="AD233" s="6"/>
      <c r="AE233" s="10"/>
      <c r="AF233" s="14"/>
      <c r="AG233" s="6"/>
      <c r="AH233" s="11"/>
      <c r="AI233" s="6"/>
      <c r="AJ233" s="6"/>
      <c r="AK233" s="6"/>
      <c r="AL233" s="6"/>
      <c r="AM233" s="6"/>
      <c r="AN233" s="16"/>
      <c r="AO233" s="12"/>
      <c r="AP233" s="7"/>
      <c r="AQ233" s="6"/>
      <c r="AV233" s="3"/>
      <c r="AW233" s="3"/>
      <c r="AX233" s="3"/>
      <c r="AY233" s="3"/>
      <c r="AZ233" s="4"/>
      <c r="BA233" s="4"/>
      <c r="BB233" s="4"/>
      <c r="BC233" s="4"/>
      <c r="BD233" s="4"/>
      <c r="BE233" s="3"/>
      <c r="BF233" s="3"/>
      <c r="BG233" s="4"/>
      <c r="BH233" s="4"/>
      <c r="BI233" s="4"/>
      <c r="BJ233" s="9"/>
      <c r="BK233" s="9"/>
      <c r="BL233" s="9"/>
      <c r="BM233" s="3"/>
      <c r="BN233" s="3"/>
      <c r="BO233" s="3"/>
      <c r="BP233" s="3"/>
      <c r="BQ233" s="3"/>
      <c r="BR233" s="3"/>
      <c r="BT233" s="15"/>
      <c r="BU233" s="3"/>
      <c r="BV233" s="13"/>
      <c r="BW233" s="3"/>
      <c r="BX233" s="3"/>
      <c r="BY233" s="3"/>
      <c r="BZ233" s="3"/>
      <c r="CA233" s="3"/>
      <c r="CB233" s="10"/>
      <c r="CC233" s="10"/>
      <c r="CD233" s="4"/>
      <c r="CE233" s="3"/>
    </row>
    <row r="234" spans="1:83" x14ac:dyDescent="0.25">
      <c r="A234" s="2" t="s">
        <v>15</v>
      </c>
      <c r="B234" s="2">
        <v>1</v>
      </c>
      <c r="C234" t="s">
        <v>18</v>
      </c>
      <c r="D234" s="5" t="str">
        <f t="shared" si="28"/>
        <v>p07-1-ME</v>
      </c>
      <c r="E234" s="5" t="s">
        <v>468</v>
      </c>
      <c r="F234" s="17">
        <v>44881</v>
      </c>
      <c r="G234">
        <v>19</v>
      </c>
      <c r="H234" s="3">
        <v>10.9</v>
      </c>
      <c r="I234" s="3">
        <f t="shared" si="29"/>
        <v>10.44</v>
      </c>
      <c r="J234" s="3">
        <f>($A$69-$A$47)*$A$75</f>
        <v>0.77124999999999999</v>
      </c>
      <c r="K234" s="6">
        <f t="shared" si="30"/>
        <v>2502.6246604330709</v>
      </c>
      <c r="L234" s="4">
        <v>8.7899999999999991</v>
      </c>
      <c r="M234" s="4">
        <v>149.43</v>
      </c>
      <c r="N234" s="4">
        <f>M234-L234</f>
        <v>140.64000000000001</v>
      </c>
      <c r="O234" s="4">
        <v>134.76</v>
      </c>
      <c r="P234" s="7">
        <f>(N234-O234)/N234*100</f>
        <v>4.1808873720136681</v>
      </c>
      <c r="Q234" s="6">
        <f>K234*(1-P234/100)</f>
        <v>2397.9927420361246</v>
      </c>
      <c r="R234" s="14">
        <v>44882</v>
      </c>
      <c r="S234" s="4">
        <v>4.78</v>
      </c>
      <c r="T234" s="4">
        <v>1.9</v>
      </c>
      <c r="U234" s="4">
        <v>3.98</v>
      </c>
      <c r="V234" s="8">
        <f>(T234-$A$76)/(S234-$A$47*$A$48)</f>
        <v>0.37625665786156082</v>
      </c>
      <c r="W234" s="8">
        <f>(U234-$A$77)/(S234-$A$47*$A$48)</f>
        <v>0.49875882553741785</v>
      </c>
      <c r="X234" s="8">
        <f>1-V234-W234</f>
        <v>0.12498451660102133</v>
      </c>
      <c r="Y234" s="6">
        <f>K234*V234</f>
        <v>941.62919061647074</v>
      </c>
      <c r="Z234" s="6">
        <f>K234*W234</f>
        <v>1248.2061363985777</v>
      </c>
      <c r="AA234" s="6">
        <f>SUM(Y234:Z234)</f>
        <v>2189.8353270150483</v>
      </c>
      <c r="AB234" s="6">
        <f>Q234*V234</f>
        <v>902.26073469479218</v>
      </c>
      <c r="AC234" s="6">
        <f>Q234*W234</f>
        <v>1196.0200436651896</v>
      </c>
      <c r="AD234" s="6">
        <f>SUM(AB234:AC234)</f>
        <v>2098.2807783599819</v>
      </c>
      <c r="AE234" s="10">
        <v>990130712073</v>
      </c>
      <c r="AF234" s="14">
        <v>44980</v>
      </c>
      <c r="AG234" s="6">
        <v>50.300000000000004</v>
      </c>
      <c r="AH234" s="11">
        <v>1.0940000000000001</v>
      </c>
      <c r="AI234" s="6">
        <v>81.5</v>
      </c>
      <c r="AJ234" s="6">
        <v>30.5</v>
      </c>
      <c r="AK234" s="6">
        <v>5.2</v>
      </c>
      <c r="AL234" s="6">
        <v>76.7</v>
      </c>
      <c r="AM234" s="6">
        <v>9.4</v>
      </c>
      <c r="AN234" s="16" t="s">
        <v>166</v>
      </c>
      <c r="AO234" s="12">
        <v>18</v>
      </c>
      <c r="AP234" s="7">
        <v>0.16</v>
      </c>
      <c r="AQ234" s="6">
        <v>8.6999999999999993</v>
      </c>
      <c r="AV234" s="3"/>
      <c r="AW234" s="3"/>
      <c r="AX234" s="3"/>
      <c r="AY234" s="3"/>
      <c r="AZ234" s="4"/>
      <c r="BA234" s="4"/>
      <c r="BB234" s="4"/>
      <c r="BC234" s="4"/>
      <c r="BD234" s="4"/>
      <c r="BE234" s="3"/>
      <c r="BF234" s="3"/>
      <c r="BG234" s="4"/>
      <c r="BH234" s="4"/>
      <c r="BI234" s="4"/>
      <c r="BJ234" s="9"/>
      <c r="BK234" s="9"/>
      <c r="BL234" s="9"/>
      <c r="BM234" s="3"/>
      <c r="BN234" s="3"/>
      <c r="BO234" s="3"/>
      <c r="BP234" s="3"/>
      <c r="BQ234" s="3"/>
      <c r="BR234" s="3"/>
      <c r="BT234" s="15"/>
      <c r="BU234" s="3"/>
      <c r="BV234" s="13"/>
      <c r="BW234" s="3"/>
      <c r="BX234" s="3"/>
      <c r="BY234" s="3"/>
      <c r="BZ234" s="3"/>
      <c r="CA234" s="3"/>
      <c r="CB234" s="10"/>
      <c r="CC234" s="10"/>
      <c r="CD234" s="4"/>
      <c r="CE234" s="3"/>
    </row>
    <row r="235" spans="1:83" x14ac:dyDescent="0.25">
      <c r="A235" s="2" t="s">
        <v>15</v>
      </c>
      <c r="B235" s="2">
        <v>1</v>
      </c>
      <c r="C235" t="s">
        <v>8</v>
      </c>
      <c r="D235" s="5" t="str">
        <f t="shared" si="28"/>
        <v>p07-1-SE</v>
      </c>
      <c r="E235" s="5" t="s">
        <v>468</v>
      </c>
      <c r="F235" s="17">
        <v>44881</v>
      </c>
      <c r="G235">
        <v>19</v>
      </c>
      <c r="H235" s="3">
        <v>14.2</v>
      </c>
      <c r="I235" s="3">
        <f t="shared" si="29"/>
        <v>13.739999999999998</v>
      </c>
      <c r="J235" s="3">
        <f>($A$69-$A$47)*$A$75</f>
        <v>0.77124999999999999</v>
      </c>
      <c r="K235" s="6">
        <f t="shared" si="30"/>
        <v>3239.265211614173</v>
      </c>
      <c r="L235" s="4"/>
      <c r="M235" s="4"/>
      <c r="N235" s="4"/>
      <c r="O235" s="4"/>
      <c r="P235" s="7"/>
      <c r="Q235" s="6"/>
      <c r="R235" s="14"/>
      <c r="S235" s="4"/>
      <c r="T235" s="4"/>
      <c r="U235" s="4"/>
      <c r="V235" s="8"/>
      <c r="W235" s="8"/>
      <c r="X235" s="8"/>
      <c r="Y235" s="6"/>
      <c r="Z235" s="6"/>
      <c r="AA235" s="6"/>
      <c r="AB235" s="6"/>
      <c r="AC235" s="6"/>
      <c r="AD235" s="6"/>
      <c r="AE235" s="10"/>
      <c r="AF235" s="14"/>
      <c r="AG235" s="6"/>
      <c r="AH235" s="11"/>
      <c r="AI235" s="6"/>
      <c r="AJ235" s="6"/>
      <c r="AK235" s="6"/>
      <c r="AL235" s="6"/>
      <c r="AM235" s="6"/>
      <c r="AN235" s="16"/>
      <c r="AO235" s="12"/>
      <c r="AP235" s="7"/>
      <c r="AQ235" s="6"/>
      <c r="AV235" s="3"/>
      <c r="AW235" s="3"/>
      <c r="AX235" s="3"/>
      <c r="AY235" s="3"/>
      <c r="AZ235" s="4"/>
      <c r="BA235" s="4"/>
      <c r="BB235" s="4"/>
      <c r="BC235" s="4"/>
      <c r="BD235" s="4"/>
      <c r="BE235" s="3"/>
      <c r="BF235" s="3"/>
      <c r="BG235" s="4"/>
      <c r="BH235" s="4"/>
      <c r="BI235" s="4"/>
      <c r="BJ235" s="9"/>
      <c r="BK235" s="9"/>
      <c r="BL235" s="9"/>
      <c r="BM235" s="3"/>
      <c r="BN235" s="3"/>
      <c r="BO235" s="3"/>
      <c r="BP235" s="3"/>
      <c r="BQ235" s="3"/>
      <c r="BR235" s="3"/>
      <c r="BT235" s="15"/>
      <c r="BU235" s="3"/>
      <c r="BV235" s="13"/>
      <c r="BW235" s="3"/>
      <c r="BX235" s="3"/>
      <c r="BY235" s="3"/>
      <c r="BZ235" s="3"/>
      <c r="CA235" s="3"/>
      <c r="CB235" s="10"/>
      <c r="CC235" s="10"/>
      <c r="CD235" s="4"/>
      <c r="CE235" s="3"/>
    </row>
    <row r="236" spans="1:83" x14ac:dyDescent="0.25">
      <c r="A236" s="2" t="s">
        <v>15</v>
      </c>
      <c r="B236" s="2">
        <v>2</v>
      </c>
      <c r="C236" t="s">
        <v>4</v>
      </c>
      <c r="D236" s="5" t="str">
        <f t="shared" si="28"/>
        <v>p07-2-NW</v>
      </c>
      <c r="E236" s="5" t="s">
        <v>468</v>
      </c>
      <c r="F236" s="17">
        <v>44881</v>
      </c>
      <c r="G236">
        <v>7</v>
      </c>
      <c r="H236" s="3">
        <v>22.2</v>
      </c>
      <c r="I236" s="3">
        <f t="shared" si="29"/>
        <v>21.74</v>
      </c>
      <c r="J236" s="3">
        <f>($A$57-$A$47)*$A$75</f>
        <v>1.1524999999999999</v>
      </c>
      <c r="K236" s="6">
        <f t="shared" si="30"/>
        <v>5110.1647933070863</v>
      </c>
      <c r="L236" s="4"/>
      <c r="M236" s="4"/>
      <c r="N236" s="4"/>
      <c r="O236" s="4"/>
      <c r="P236" s="7"/>
      <c r="Q236" s="6"/>
      <c r="R236" s="14"/>
      <c r="S236" s="4"/>
      <c r="T236" s="4"/>
      <c r="U236" s="4"/>
      <c r="V236" s="8"/>
      <c r="W236" s="8"/>
      <c r="X236" s="8"/>
      <c r="Y236" s="6"/>
      <c r="Z236" s="6"/>
      <c r="AA236" s="6"/>
      <c r="AB236" s="6"/>
      <c r="AC236" s="6"/>
      <c r="AD236" s="6"/>
      <c r="AE236" s="10"/>
      <c r="AF236" s="14"/>
      <c r="AG236" s="6"/>
      <c r="AH236" s="11"/>
      <c r="AI236" s="6"/>
      <c r="AJ236" s="6"/>
      <c r="AK236" s="6"/>
      <c r="AL236" s="6"/>
      <c r="AM236" s="6"/>
      <c r="AN236" s="16"/>
      <c r="AO236" s="12"/>
      <c r="AP236" s="7"/>
      <c r="AQ236" s="6"/>
      <c r="AS236" t="s">
        <v>111</v>
      </c>
      <c r="AT236" s="4" t="str">
        <f>E236</f>
        <v>Machine</v>
      </c>
      <c r="AU236" s="15">
        <f>F236</f>
        <v>44881</v>
      </c>
      <c r="AV236" s="3">
        <f>SUM(H236:H241)</f>
        <v>126.6</v>
      </c>
      <c r="AW236" s="3">
        <f>AV236-6*$A$47</f>
        <v>123.83999999999999</v>
      </c>
      <c r="AX236" s="3">
        <f>SUM(J236:J241)</f>
        <v>5.7712500000000002</v>
      </c>
      <c r="AY236" s="3">
        <f>(AW236+AX236)*$A$48/(6*$A$49)*$A$50</f>
        <v>4822.0657898622039</v>
      </c>
      <c r="AZ236" s="4">
        <f>SUM(L236:L241)</f>
        <v>17.12</v>
      </c>
      <c r="BA236" s="4">
        <f>SUM(M236:M241)</f>
        <v>331.05</v>
      </c>
      <c r="BB236" s="4">
        <f>BA236-AZ236</f>
        <v>313.93</v>
      </c>
      <c r="BC236" s="4">
        <f>SUM(O236:O241)</f>
        <v>298.36</v>
      </c>
      <c r="BD236" s="4">
        <f>(BB236-BC236)/BB236*100</f>
        <v>4.959704392699007</v>
      </c>
      <c r="BE236" s="3">
        <f>AY236*(1-BD236/100)</f>
        <v>4582.9055810635718</v>
      </c>
      <c r="BF236" s="15">
        <f>R237</f>
        <v>44882</v>
      </c>
      <c r="BG236" s="4">
        <f>SUM(S236:S241)</f>
        <v>11.76</v>
      </c>
      <c r="BH236" s="4">
        <f>SUM(T236:T241)</f>
        <v>4.26</v>
      </c>
      <c r="BI236" s="4">
        <f>SUM(U236:U241)</f>
        <v>7.64</v>
      </c>
      <c r="BJ236" s="9">
        <f>(BH236-1*$A$76)/(BG236-1*$A$47*$A$48)</f>
        <v>0.35320554042920127</v>
      </c>
      <c r="BK236" s="9">
        <f>(BI236-1*$A$77)/(BG236-1*$A$47*$A$48)</f>
        <v>0.51422571327192534</v>
      </c>
      <c r="BL236" s="9">
        <f>1-BJ236-BK236</f>
        <v>0.13256874629887339</v>
      </c>
      <c r="BM236" s="3">
        <f>AY236*BJ236</f>
        <v>1703.180353293443</v>
      </c>
      <c r="BN236" s="3">
        <f>AY236*BK236</f>
        <v>2479.6302202360421</v>
      </c>
      <c r="BO236" s="3">
        <f>SUM(BM236:BN236)</f>
        <v>4182.8105735294848</v>
      </c>
      <c r="BP236" s="3">
        <f>BE236*BJ236</f>
        <v>1618.7076424955615</v>
      </c>
      <c r="BQ236" s="3">
        <f>BE236*BK236</f>
        <v>2356.6478912803027</v>
      </c>
      <c r="BR236" s="3">
        <f>SUM(BP236:BQ236)</f>
        <v>3975.3555337758644</v>
      </c>
      <c r="BS236" s="3"/>
      <c r="BT236" s="15">
        <f>AF237</f>
        <v>44980</v>
      </c>
      <c r="BU236" s="3">
        <f t="shared" ref="BU236:CA236" si="34">AVERAGE(AG236:AG241)</f>
        <v>47</v>
      </c>
      <c r="BV236" s="13">
        <f t="shared" si="34"/>
        <v>1.1215000000000002</v>
      </c>
      <c r="BW236" s="3">
        <f t="shared" si="34"/>
        <v>80.650000000000006</v>
      </c>
      <c r="BX236" s="3">
        <f t="shared" si="34"/>
        <v>29.35</v>
      </c>
      <c r="BY236" s="3">
        <f t="shared" si="34"/>
        <v>5.4</v>
      </c>
      <c r="BZ236" s="3">
        <f t="shared" si="34"/>
        <v>79.199999999999989</v>
      </c>
      <c r="CA236" s="3">
        <f t="shared" si="34"/>
        <v>8.8000000000000007</v>
      </c>
      <c r="CB236" s="13"/>
      <c r="CC236" s="10">
        <f>AVERAGE(AO236:AO241)</f>
        <v>12.5</v>
      </c>
      <c r="CD236" s="4">
        <f>AVERAGE(AP236:AP241)</f>
        <v>0.16499999999999998</v>
      </c>
      <c r="CE236" s="3">
        <f>AVERAGE(AQ236:AQ241)</f>
        <v>9.15</v>
      </c>
    </row>
    <row r="237" spans="1:83" x14ac:dyDescent="0.25">
      <c r="A237" s="2" t="s">
        <v>15</v>
      </c>
      <c r="B237" s="2">
        <v>2</v>
      </c>
      <c r="C237" t="s">
        <v>5</v>
      </c>
      <c r="D237" s="5" t="str">
        <f t="shared" si="28"/>
        <v>p07-2-MW</v>
      </c>
      <c r="E237" s="5" t="s">
        <v>468</v>
      </c>
      <c r="F237" s="17">
        <v>44881</v>
      </c>
      <c r="G237">
        <v>7</v>
      </c>
      <c r="H237" s="3">
        <v>26.3</v>
      </c>
      <c r="I237" s="3">
        <f t="shared" si="29"/>
        <v>25.84</v>
      </c>
      <c r="J237" s="3">
        <f>($A$57-$A$47)*$A$75</f>
        <v>1.1524999999999999</v>
      </c>
      <c r="K237" s="6">
        <f t="shared" si="30"/>
        <v>6025.3848720472433</v>
      </c>
      <c r="L237" s="4">
        <v>8.3800000000000008</v>
      </c>
      <c r="M237" s="4">
        <v>166.34</v>
      </c>
      <c r="N237" s="4">
        <f>M237-L237</f>
        <v>157.96</v>
      </c>
      <c r="O237" s="4">
        <v>149.31</v>
      </c>
      <c r="P237" s="7">
        <f>(N237-O237)/N237*100</f>
        <v>5.4760698911116767</v>
      </c>
      <c r="Q237" s="6">
        <f>K237*(1-P237/100)</f>
        <v>5695.4305852454663</v>
      </c>
      <c r="R237" s="14">
        <v>44882</v>
      </c>
      <c r="S237" s="4">
        <v>11.76</v>
      </c>
      <c r="T237" s="4">
        <v>4.26</v>
      </c>
      <c r="U237" s="4">
        <v>7.64</v>
      </c>
      <c r="V237" s="8">
        <f>(T237-$A$76)/(S237-$A$47*$A$48)</f>
        <v>0.35320554042920127</v>
      </c>
      <c r="W237" s="8">
        <f>(U237-$A$77)/(S237-$A$47*$A$48)</f>
        <v>0.51422571327192534</v>
      </c>
      <c r="X237" s="8">
        <f>1-V237-W237</f>
        <v>0.13256874629887339</v>
      </c>
      <c r="Y237" s="6">
        <f>K237*V237</f>
        <v>2128.1993200253805</v>
      </c>
      <c r="Z237" s="6">
        <f>K237*W237</f>
        <v>3098.4078335663621</v>
      </c>
      <c r="AA237" s="6">
        <f>SUM(Y237:Z237)</f>
        <v>5226.6071535917426</v>
      </c>
      <c r="AB237" s="6">
        <f>Q237*V237</f>
        <v>2011.6576378386269</v>
      </c>
      <c r="AC237" s="6">
        <f>Q237*W237</f>
        <v>2928.736855088589</v>
      </c>
      <c r="AD237" s="6">
        <f>SUM(AB237:AC237)</f>
        <v>4940.3944929272157</v>
      </c>
      <c r="AE237" s="10">
        <v>990130721026</v>
      </c>
      <c r="AF237" s="14">
        <v>44980</v>
      </c>
      <c r="AG237" s="6">
        <v>45.5</v>
      </c>
      <c r="AH237" s="11">
        <v>1.133</v>
      </c>
      <c r="AI237" s="6">
        <v>81.2</v>
      </c>
      <c r="AJ237" s="6">
        <v>29.7</v>
      </c>
      <c r="AK237" s="6">
        <v>5.5</v>
      </c>
      <c r="AL237" s="6">
        <v>80.099999999999994</v>
      </c>
      <c r="AM237" s="6">
        <v>9.1</v>
      </c>
      <c r="AN237" s="16" t="s">
        <v>148</v>
      </c>
      <c r="AO237" s="12">
        <v>11</v>
      </c>
      <c r="AP237" s="7">
        <v>0.15</v>
      </c>
      <c r="AQ237" s="6">
        <v>8.8000000000000007</v>
      </c>
      <c r="AV237" s="3"/>
      <c r="AW237" s="3"/>
      <c r="AX237" s="3"/>
      <c r="AY237" s="3"/>
      <c r="AZ237" s="4"/>
      <c r="BA237" s="4"/>
      <c r="BB237" s="4"/>
      <c r="BC237" s="4"/>
      <c r="BD237" s="4"/>
      <c r="BE237" s="3"/>
      <c r="BF237" s="3"/>
      <c r="BG237" s="4"/>
      <c r="BH237" s="4"/>
      <c r="BI237" s="4"/>
      <c r="BJ237" s="9"/>
      <c r="BK237" s="9"/>
      <c r="BL237" s="9"/>
      <c r="BM237" s="3"/>
      <c r="BN237" s="3"/>
      <c r="BO237" s="3"/>
      <c r="BP237" s="3"/>
      <c r="BQ237" s="3"/>
      <c r="BR237" s="3"/>
      <c r="BT237" s="15"/>
      <c r="BU237" s="3"/>
      <c r="BV237" s="13"/>
      <c r="BW237" s="3"/>
      <c r="BX237" s="3"/>
      <c r="BY237" s="3"/>
      <c r="BZ237" s="3"/>
      <c r="CA237" s="3"/>
      <c r="CB237" s="10"/>
      <c r="CC237" s="10"/>
      <c r="CD237" s="4"/>
      <c r="CE237" s="3"/>
    </row>
    <row r="238" spans="1:83" x14ac:dyDescent="0.25">
      <c r="A238" s="2" t="s">
        <v>15</v>
      </c>
      <c r="B238" s="2">
        <v>2</v>
      </c>
      <c r="C238" t="s">
        <v>6</v>
      </c>
      <c r="D238" s="5" t="str">
        <f t="shared" si="28"/>
        <v>p07-2-SW</v>
      </c>
      <c r="E238" s="5" t="s">
        <v>468</v>
      </c>
      <c r="F238" s="17">
        <v>44881</v>
      </c>
      <c r="G238">
        <v>7</v>
      </c>
      <c r="H238" s="3">
        <v>22.4</v>
      </c>
      <c r="I238" s="3">
        <f t="shared" si="29"/>
        <v>21.939999999999998</v>
      </c>
      <c r="J238" s="3">
        <f>($A$57-$A$47)*$A$75</f>
        <v>1.1524999999999999</v>
      </c>
      <c r="K238" s="6">
        <f t="shared" si="30"/>
        <v>5154.8096751968496</v>
      </c>
      <c r="L238" s="4"/>
      <c r="M238" s="4"/>
      <c r="N238" s="4"/>
      <c r="O238" s="4"/>
      <c r="P238" s="7"/>
      <c r="Q238" s="6"/>
      <c r="R238" s="14"/>
      <c r="S238" s="4"/>
      <c r="T238" s="4"/>
      <c r="U238" s="4"/>
      <c r="V238" s="8"/>
      <c r="W238" s="8"/>
      <c r="X238" s="8"/>
      <c r="Y238" s="6"/>
      <c r="Z238" s="6"/>
      <c r="AA238" s="6"/>
      <c r="AB238" s="6"/>
      <c r="AC238" s="6"/>
      <c r="AD238" s="6"/>
      <c r="AE238" s="10"/>
      <c r="AF238" s="14"/>
      <c r="AG238" s="6"/>
      <c r="AH238" s="11"/>
      <c r="AI238" s="6"/>
      <c r="AJ238" s="6"/>
      <c r="AK238" s="6"/>
      <c r="AL238" s="6"/>
      <c r="AM238" s="6"/>
      <c r="AN238" s="16"/>
      <c r="AO238" s="12"/>
      <c r="AP238" s="7"/>
      <c r="AQ238" s="6"/>
      <c r="AV238" s="3"/>
      <c r="AW238" s="3"/>
      <c r="AX238" s="3"/>
      <c r="AY238" s="3"/>
      <c r="AZ238" s="4"/>
      <c r="BA238" s="4"/>
      <c r="BB238" s="4"/>
      <c r="BC238" s="4"/>
      <c r="BD238" s="4"/>
      <c r="BE238" s="3"/>
      <c r="BF238" s="3"/>
      <c r="BG238" s="4"/>
      <c r="BH238" s="4"/>
      <c r="BI238" s="4"/>
      <c r="BJ238" s="9"/>
      <c r="BK238" s="9"/>
      <c r="BL238" s="9"/>
      <c r="BM238" s="3"/>
      <c r="BN238" s="3"/>
      <c r="BO238" s="3"/>
      <c r="BP238" s="3"/>
      <c r="BQ238" s="3"/>
      <c r="BR238" s="3"/>
      <c r="BT238" s="15"/>
      <c r="BU238" s="3"/>
      <c r="BV238" s="13"/>
      <c r="BW238" s="3"/>
      <c r="BX238" s="3"/>
      <c r="BY238" s="3"/>
      <c r="BZ238" s="3"/>
      <c r="CA238" s="3"/>
      <c r="CB238" s="10"/>
      <c r="CC238" s="10"/>
      <c r="CD238" s="4"/>
      <c r="CE238" s="3"/>
    </row>
    <row r="239" spans="1:83" x14ac:dyDescent="0.25">
      <c r="A239" s="2" t="s">
        <v>15</v>
      </c>
      <c r="B239" s="2">
        <v>2</v>
      </c>
      <c r="C239" t="s">
        <v>7</v>
      </c>
      <c r="D239" s="5" t="str">
        <f t="shared" si="28"/>
        <v>p07-2-NE</v>
      </c>
      <c r="E239" s="5" t="s">
        <v>468</v>
      </c>
      <c r="F239" s="17">
        <v>44881</v>
      </c>
      <c r="G239">
        <v>19</v>
      </c>
      <c r="H239" s="3">
        <v>21.6</v>
      </c>
      <c r="I239" s="3">
        <f t="shared" si="29"/>
        <v>21.14</v>
      </c>
      <c r="J239" s="3">
        <f>($A$69-$A$47)*$A$75</f>
        <v>0.77124999999999999</v>
      </c>
      <c r="K239" s="6">
        <f t="shared" si="30"/>
        <v>4891.1258415354323</v>
      </c>
      <c r="L239" s="4"/>
      <c r="M239" s="4"/>
      <c r="N239" s="4"/>
      <c r="O239" s="4"/>
      <c r="P239" s="7"/>
      <c r="Q239" s="6"/>
      <c r="R239" s="14"/>
      <c r="S239" s="4"/>
      <c r="T239" s="4"/>
      <c r="U239" s="4"/>
      <c r="V239" s="8"/>
      <c r="W239" s="8"/>
      <c r="X239" s="8"/>
      <c r="Y239" s="6"/>
      <c r="Z239" s="6"/>
      <c r="AA239" s="6"/>
      <c r="AB239" s="6"/>
      <c r="AC239" s="6"/>
      <c r="AD239" s="6"/>
      <c r="AE239" s="10"/>
      <c r="AF239" s="14"/>
      <c r="AG239" s="6"/>
      <c r="AH239" s="11"/>
      <c r="AI239" s="6"/>
      <c r="AJ239" s="6"/>
      <c r="AK239" s="6"/>
      <c r="AL239" s="6"/>
      <c r="AM239" s="6"/>
      <c r="AN239" s="16"/>
      <c r="AO239" s="12"/>
      <c r="AP239" s="7"/>
      <c r="AQ239" s="6"/>
      <c r="AV239" s="3"/>
      <c r="AW239" s="3"/>
      <c r="AX239" s="3"/>
      <c r="AY239" s="3"/>
      <c r="AZ239" s="4"/>
      <c r="BA239" s="4"/>
      <c r="BB239" s="4"/>
      <c r="BC239" s="4"/>
      <c r="BD239" s="4"/>
      <c r="BE239" s="3"/>
      <c r="BF239" s="3"/>
      <c r="BG239" s="4"/>
      <c r="BH239" s="4"/>
      <c r="BI239" s="4"/>
      <c r="BJ239" s="9"/>
      <c r="BK239" s="9"/>
      <c r="BL239" s="9"/>
      <c r="BM239" s="3"/>
      <c r="BN239" s="3"/>
      <c r="BO239" s="3"/>
      <c r="BP239" s="3"/>
      <c r="BQ239" s="3"/>
      <c r="BR239" s="3"/>
      <c r="BT239" s="15"/>
      <c r="BU239" s="3"/>
      <c r="BV239" s="13"/>
      <c r="BW239" s="3"/>
      <c r="BX239" s="3"/>
      <c r="BY239" s="3"/>
      <c r="BZ239" s="3"/>
      <c r="CA239" s="3"/>
      <c r="CB239" s="10"/>
      <c r="CC239" s="10"/>
      <c r="CD239" s="4"/>
      <c r="CE239" s="3"/>
    </row>
    <row r="240" spans="1:83" x14ac:dyDescent="0.25">
      <c r="A240" s="2" t="s">
        <v>15</v>
      </c>
      <c r="B240" s="2">
        <v>2</v>
      </c>
      <c r="C240" t="s">
        <v>18</v>
      </c>
      <c r="D240" s="5" t="str">
        <f t="shared" si="28"/>
        <v>p07-2-ME</v>
      </c>
      <c r="E240" s="5" t="s">
        <v>468</v>
      </c>
      <c r="F240" s="17">
        <v>44881</v>
      </c>
      <c r="G240">
        <v>19</v>
      </c>
      <c r="H240" s="3">
        <v>19.600000000000001</v>
      </c>
      <c r="I240" s="3">
        <f t="shared" si="29"/>
        <v>19.14</v>
      </c>
      <c r="J240" s="3">
        <f>($A$69-$A$47)*$A$75</f>
        <v>0.77124999999999999</v>
      </c>
      <c r="K240" s="6">
        <f t="shared" si="30"/>
        <v>4444.6770226377948</v>
      </c>
      <c r="L240" s="4">
        <v>8.74</v>
      </c>
      <c r="M240" s="4">
        <v>164.71</v>
      </c>
      <c r="N240" s="4">
        <f>M240-L240</f>
        <v>155.97</v>
      </c>
      <c r="O240" s="4">
        <v>149.05000000000001</v>
      </c>
      <c r="P240" s="7">
        <f>(N240-O240)/N240*100</f>
        <v>4.4367506571776545</v>
      </c>
      <c r="Q240" s="6">
        <f>K240*(1-P240/100)</f>
        <v>4247.4777856264882</v>
      </c>
      <c r="R240" s="14"/>
      <c r="S240" s="4"/>
      <c r="T240" s="4"/>
      <c r="U240" s="4"/>
      <c r="V240" s="8"/>
      <c r="W240" s="8"/>
      <c r="X240" s="8"/>
      <c r="Y240" s="6"/>
      <c r="Z240" s="6"/>
      <c r="AA240" s="6"/>
      <c r="AB240" s="6"/>
      <c r="AC240" s="6"/>
      <c r="AD240" s="6"/>
      <c r="AE240" s="10">
        <v>990130722074</v>
      </c>
      <c r="AF240" s="14">
        <v>44980</v>
      </c>
      <c r="AG240" s="6">
        <v>48.5</v>
      </c>
      <c r="AH240" s="11">
        <v>1.1100000000000001</v>
      </c>
      <c r="AI240" s="6">
        <v>80.099999999999994</v>
      </c>
      <c r="AJ240" s="6">
        <v>29</v>
      </c>
      <c r="AK240" s="6">
        <v>5.3</v>
      </c>
      <c r="AL240" s="6">
        <v>78.3</v>
      </c>
      <c r="AM240" s="6">
        <v>8.5</v>
      </c>
      <c r="AN240" s="16" t="s">
        <v>149</v>
      </c>
      <c r="AO240" s="12">
        <v>14</v>
      </c>
      <c r="AP240" s="7">
        <v>0.18</v>
      </c>
      <c r="AQ240" s="6">
        <v>9.5</v>
      </c>
      <c r="AV240" s="3"/>
      <c r="AW240" s="3"/>
      <c r="AX240" s="3"/>
      <c r="AY240" s="3"/>
      <c r="AZ240" s="4"/>
      <c r="BA240" s="4"/>
      <c r="BB240" s="4"/>
      <c r="BC240" s="4"/>
      <c r="BD240" s="4"/>
      <c r="BE240" s="3"/>
      <c r="BF240" s="3"/>
      <c r="BG240" s="4"/>
      <c r="BH240" s="4"/>
      <c r="BI240" s="4"/>
      <c r="BJ240" s="9"/>
      <c r="BK240" s="9"/>
      <c r="BL240" s="9"/>
      <c r="BM240" s="3"/>
      <c r="BN240" s="3"/>
      <c r="BO240" s="3"/>
      <c r="BP240" s="3"/>
      <c r="BQ240" s="3"/>
      <c r="BR240" s="3"/>
      <c r="BT240" s="15"/>
      <c r="BU240" s="3"/>
      <c r="BV240" s="13"/>
      <c r="BW240" s="3"/>
      <c r="BX240" s="3"/>
      <c r="BY240" s="3"/>
      <c r="BZ240" s="3"/>
      <c r="CA240" s="3"/>
      <c r="CB240" s="10"/>
      <c r="CC240" s="10"/>
      <c r="CD240" s="4"/>
      <c r="CE240" s="3"/>
    </row>
    <row r="241" spans="1:83" x14ac:dyDescent="0.25">
      <c r="A241" s="2" t="s">
        <v>15</v>
      </c>
      <c r="B241" s="2">
        <v>2</v>
      </c>
      <c r="C241" t="s">
        <v>8</v>
      </c>
      <c r="D241" s="5" t="str">
        <f t="shared" si="28"/>
        <v>p07-2-SE</v>
      </c>
      <c r="E241" s="5" t="s">
        <v>468</v>
      </c>
      <c r="F241" s="17">
        <v>44881</v>
      </c>
      <c r="G241">
        <v>19</v>
      </c>
      <c r="H241" s="3">
        <v>14.5</v>
      </c>
      <c r="I241" s="3">
        <f t="shared" si="29"/>
        <v>14.04</v>
      </c>
      <c r="J241" s="3">
        <f>($A$69-$A$47)*$A$75</f>
        <v>0.77124999999999999</v>
      </c>
      <c r="K241" s="6">
        <f t="shared" si="30"/>
        <v>3306.2325344488186</v>
      </c>
      <c r="L241" s="4"/>
      <c r="M241" s="4"/>
      <c r="N241" s="4"/>
      <c r="O241" s="4"/>
      <c r="P241" s="7"/>
      <c r="Q241" s="6"/>
      <c r="R241" s="14"/>
      <c r="S241" s="4"/>
      <c r="T241" s="4"/>
      <c r="U241" s="4"/>
      <c r="V241" s="8"/>
      <c r="W241" s="8"/>
      <c r="X241" s="8"/>
      <c r="Y241" s="6"/>
      <c r="Z241" s="6"/>
      <c r="AA241" s="6"/>
      <c r="AB241" s="6"/>
      <c r="AC241" s="6"/>
      <c r="AD241" s="6"/>
      <c r="AE241" s="10"/>
      <c r="AF241" s="14"/>
      <c r="AG241" s="6"/>
      <c r="AH241" s="11"/>
      <c r="AI241" s="6"/>
      <c r="AJ241" s="6"/>
      <c r="AK241" s="6"/>
      <c r="AL241" s="6"/>
      <c r="AM241" s="6"/>
      <c r="AN241" s="16"/>
      <c r="AO241" s="12"/>
      <c r="AP241" s="7"/>
      <c r="AQ241" s="6"/>
      <c r="AV241" s="3"/>
      <c r="AW241" s="3"/>
      <c r="AX241" s="3"/>
      <c r="AY241" s="3"/>
      <c r="AZ241" s="4"/>
      <c r="BA241" s="4"/>
      <c r="BB241" s="4"/>
      <c r="BC241" s="4"/>
      <c r="BD241" s="4"/>
      <c r="BE241" s="3"/>
      <c r="BF241" s="3"/>
      <c r="BG241" s="4"/>
      <c r="BH241" s="4"/>
      <c r="BI241" s="4"/>
      <c r="BJ241" s="9"/>
      <c r="BK241" s="9"/>
      <c r="BL241" s="9"/>
      <c r="BM241" s="3"/>
      <c r="BN241" s="3"/>
      <c r="BO241" s="3"/>
      <c r="BP241" s="3"/>
      <c r="BQ241" s="3"/>
      <c r="BR241" s="3"/>
      <c r="BT241" s="15"/>
      <c r="BU241" s="3"/>
      <c r="BV241" s="13"/>
      <c r="BW241" s="3"/>
      <c r="BX241" s="3"/>
      <c r="BY241" s="3"/>
      <c r="BZ241" s="3"/>
      <c r="CA241" s="3"/>
      <c r="CB241" s="10"/>
      <c r="CC241" s="10"/>
      <c r="CD241" s="4"/>
      <c r="CE241" s="3"/>
    </row>
    <row r="242" spans="1:83" x14ac:dyDescent="0.25">
      <c r="A242" s="2" t="s">
        <v>15</v>
      </c>
      <c r="B242" s="2">
        <v>3</v>
      </c>
      <c r="C242" t="s">
        <v>4</v>
      </c>
      <c r="D242" s="5" t="str">
        <f t="shared" si="28"/>
        <v>p07-3-NW</v>
      </c>
      <c r="E242" s="5" t="s">
        <v>468</v>
      </c>
      <c r="F242" s="17">
        <v>44881</v>
      </c>
      <c r="G242">
        <v>7</v>
      </c>
      <c r="H242" s="3">
        <v>26.6</v>
      </c>
      <c r="I242" s="3">
        <f t="shared" si="29"/>
        <v>26.14</v>
      </c>
      <c r="J242" s="3">
        <f>($A$57-$A$47)*$A$75</f>
        <v>1.1524999999999999</v>
      </c>
      <c r="K242" s="6">
        <f t="shared" si="30"/>
        <v>6092.3521948818889</v>
      </c>
      <c r="L242" s="4"/>
      <c r="M242" s="4"/>
      <c r="N242" s="4"/>
      <c r="O242" s="4"/>
      <c r="P242" s="7"/>
      <c r="Q242" s="6"/>
      <c r="R242" s="14"/>
      <c r="S242" s="4"/>
      <c r="T242" s="4"/>
      <c r="U242" s="4"/>
      <c r="V242" s="8"/>
      <c r="W242" s="8"/>
      <c r="X242" s="8"/>
      <c r="Y242" s="6"/>
      <c r="Z242" s="6"/>
      <c r="AA242" s="6"/>
      <c r="AB242" s="6"/>
      <c r="AC242" s="6"/>
      <c r="AD242" s="6"/>
      <c r="AE242" s="10"/>
      <c r="AF242" s="14"/>
      <c r="AG242" s="6"/>
      <c r="AH242" s="11"/>
      <c r="AI242" s="6"/>
      <c r="AJ242" s="6"/>
      <c r="AK242" s="6"/>
      <c r="AL242" s="6"/>
      <c r="AM242" s="6"/>
      <c r="AN242" s="16"/>
      <c r="AO242" s="12"/>
      <c r="AP242" s="7"/>
      <c r="AQ242" s="6"/>
      <c r="AS242" t="s">
        <v>112</v>
      </c>
      <c r="AT242" s="4" t="str">
        <f>E242</f>
        <v>Machine</v>
      </c>
      <c r="AU242" s="15">
        <f>F242</f>
        <v>44881</v>
      </c>
      <c r="AV242" s="3">
        <f>SUM(H242:H247)</f>
        <v>132.1</v>
      </c>
      <c r="AW242" s="3">
        <f>AV242-6*$A$47</f>
        <v>129.34</v>
      </c>
      <c r="AX242" s="3">
        <f>SUM(J242:J247)</f>
        <v>5.7712500000000002</v>
      </c>
      <c r="AY242" s="3">
        <f>(AW242+AX242)*$A$48/(6*$A$49)*$A$50</f>
        <v>5026.6881651902895</v>
      </c>
      <c r="AZ242" s="4">
        <f>SUM(L242:L247)</f>
        <v>17.420000000000002</v>
      </c>
      <c r="BA242" s="4">
        <f>SUM(M242:M247)</f>
        <v>512.91</v>
      </c>
      <c r="BB242" s="4">
        <f>BA242-AZ242</f>
        <v>495.48999999999995</v>
      </c>
      <c r="BC242" s="4">
        <f>SUM(O242:O247)</f>
        <v>469.77</v>
      </c>
      <c r="BD242" s="4">
        <f>(BB242-BC242)/BB242*100</f>
        <v>5.1908212072897486</v>
      </c>
      <c r="BE242" s="3">
        <f>AY242*(1-BD242/100)</f>
        <v>4765.7617698872682</v>
      </c>
      <c r="BF242" s="15">
        <f>R243</f>
        <v>44882</v>
      </c>
      <c r="BG242" s="4">
        <f>SUM(S242:S247)</f>
        <v>9.91</v>
      </c>
      <c r="BH242" s="4">
        <f>SUM(T242:T247)</f>
        <v>3.64</v>
      </c>
      <c r="BI242" s="4">
        <f>SUM(U242:U247)</f>
        <v>6.62</v>
      </c>
      <c r="BJ242" s="9">
        <f>(BH242-1*$A$76)/(BG242-1*$A$47*$A$48)</f>
        <v>0.35665147916851075</v>
      </c>
      <c r="BK242" s="9">
        <f>(BI242-1*$A$77)/(BG242-1*$A$47*$A$48)</f>
        <v>0.50714603396215985</v>
      </c>
      <c r="BL242" s="9">
        <f>1-BJ242-BK242</f>
        <v>0.13620248686932945</v>
      </c>
      <c r="BM242" s="3">
        <f>AY242*BJ242</f>
        <v>1792.7757694339641</v>
      </c>
      <c r="BN242" s="3">
        <f>AY242*BK242</f>
        <v>2549.2649669407815</v>
      </c>
      <c r="BO242" s="3">
        <f>SUM(BM242:BN242)</f>
        <v>4342.0407363747454</v>
      </c>
      <c r="BP242" s="3">
        <f>BE242*BJ242</f>
        <v>1699.7159845950339</v>
      </c>
      <c r="BQ242" s="3">
        <f>BE242*BK242</f>
        <v>2416.9371804068114</v>
      </c>
      <c r="BR242" s="3">
        <f>SUM(BP242:BQ242)</f>
        <v>4116.6531650018451</v>
      </c>
      <c r="BS242" s="3"/>
      <c r="BT242" s="15">
        <f>AF243</f>
        <v>44980</v>
      </c>
      <c r="BU242" s="3">
        <f t="shared" ref="BU242:CA242" si="35">AVERAGE(AG242:AG247)</f>
        <v>45.1</v>
      </c>
      <c r="BV242" s="13">
        <f t="shared" si="35"/>
        <v>1.1375</v>
      </c>
      <c r="BW242" s="3">
        <f t="shared" si="35"/>
        <v>80.449999999999989</v>
      </c>
      <c r="BX242" s="3">
        <f t="shared" si="35"/>
        <v>30.049999999999997</v>
      </c>
      <c r="BY242" s="3">
        <f t="shared" si="35"/>
        <v>5.5500000000000007</v>
      </c>
      <c r="BZ242" s="3">
        <f t="shared" si="35"/>
        <v>79</v>
      </c>
      <c r="CA242" s="3">
        <f t="shared" si="35"/>
        <v>8.8000000000000007</v>
      </c>
      <c r="CB242" s="13"/>
      <c r="CC242" s="10">
        <f>AVERAGE(AO242:AO247)</f>
        <v>12.5</v>
      </c>
      <c r="CD242" s="4">
        <f>AVERAGE(AP242:AP247)</f>
        <v>0.23</v>
      </c>
      <c r="CE242" s="3">
        <f>AVERAGE(AQ242:AQ247)</f>
        <v>8.8000000000000007</v>
      </c>
    </row>
    <row r="243" spans="1:83" x14ac:dyDescent="0.25">
      <c r="A243" s="2" t="s">
        <v>15</v>
      </c>
      <c r="B243" s="2">
        <v>3</v>
      </c>
      <c r="C243" t="s">
        <v>5</v>
      </c>
      <c r="D243" s="5" t="str">
        <f t="shared" si="28"/>
        <v>p07-3-MW</v>
      </c>
      <c r="E243" s="5" t="s">
        <v>468</v>
      </c>
      <c r="F243" s="17">
        <v>44881</v>
      </c>
      <c r="G243">
        <v>7</v>
      </c>
      <c r="H243" s="3">
        <v>22.6</v>
      </c>
      <c r="I243" s="3">
        <f t="shared" si="29"/>
        <v>22.14</v>
      </c>
      <c r="J243" s="3">
        <f>($A$57-$A$47)*$A$75</f>
        <v>1.1524999999999999</v>
      </c>
      <c r="K243" s="6">
        <f t="shared" si="30"/>
        <v>5199.4545570866139</v>
      </c>
      <c r="L243" s="4">
        <v>8.5299999999999994</v>
      </c>
      <c r="M243" s="4">
        <v>287.45999999999998</v>
      </c>
      <c r="N243" s="4">
        <f>M243-L243</f>
        <v>278.93</v>
      </c>
      <c r="O243" s="4">
        <v>262.64</v>
      </c>
      <c r="P243" s="7">
        <f>(N243-O243)/N243*100</f>
        <v>5.8401749542896138</v>
      </c>
      <c r="Q243" s="6">
        <f>K243*(1-P243/100)</f>
        <v>4895.7973142839719</v>
      </c>
      <c r="R243" s="14">
        <v>44882</v>
      </c>
      <c r="S243" s="4">
        <v>9.91</v>
      </c>
      <c r="T243" s="4">
        <v>3.64</v>
      </c>
      <c r="U243" s="4">
        <v>6.62</v>
      </c>
      <c r="V243" s="8">
        <f>(T243-$A$76)/(S243-$A$47*$A$48)</f>
        <v>0.35665147916851075</v>
      </c>
      <c r="W243" s="8">
        <f>(U243-$A$77)/(S243-$A$47*$A$48)</f>
        <v>0.50714603396215985</v>
      </c>
      <c r="X243" s="8">
        <f>1-V243-W243</f>
        <v>0.13620248686932945</v>
      </c>
      <c r="Y243" s="6">
        <f>K243*V243</f>
        <v>1854.3931586543947</v>
      </c>
      <c r="Z243" s="6">
        <f>K243*W243</f>
        <v>2636.8827573929548</v>
      </c>
      <c r="AA243" s="6">
        <f>SUM(Y243:Z243)</f>
        <v>4491.2759160473497</v>
      </c>
      <c r="AB243" s="6">
        <f>Q243*V243</f>
        <v>1746.0933538486008</v>
      </c>
      <c r="AC243" s="6">
        <f>Q243*W243</f>
        <v>2482.8841910217102</v>
      </c>
      <c r="AD243" s="6">
        <f>SUM(AB243:AC243)</f>
        <v>4228.9775448703112</v>
      </c>
      <c r="AE243" s="10">
        <v>990130731027</v>
      </c>
      <c r="AF243" s="14">
        <v>44980</v>
      </c>
      <c r="AG243" s="6">
        <v>46</v>
      </c>
      <c r="AH243" s="11">
        <v>1.119</v>
      </c>
      <c r="AI243" s="6">
        <v>80.099999999999994</v>
      </c>
      <c r="AJ243" s="6">
        <v>29.2</v>
      </c>
      <c r="AK243" s="6">
        <v>5.7</v>
      </c>
      <c r="AL243" s="6">
        <v>79.3</v>
      </c>
      <c r="AM243" s="6">
        <v>9</v>
      </c>
      <c r="AN243" s="16" t="s">
        <v>148</v>
      </c>
      <c r="AO243" s="12">
        <v>16</v>
      </c>
      <c r="AP243" s="7">
        <v>0.18</v>
      </c>
      <c r="AQ243" s="6">
        <v>9</v>
      </c>
      <c r="AV243" s="3"/>
      <c r="AW243" s="3"/>
      <c r="AX243" s="3"/>
      <c r="AY243" s="3"/>
      <c r="AZ243" s="4"/>
      <c r="BA243" s="4"/>
      <c r="BB243" s="4"/>
      <c r="BC243" s="4"/>
      <c r="BD243" s="4"/>
      <c r="BE243" s="3"/>
      <c r="BF243" s="3"/>
      <c r="BG243" s="4"/>
      <c r="BH243" s="4"/>
      <c r="BI243" s="4"/>
      <c r="BJ243" s="9"/>
      <c r="BK243" s="9"/>
      <c r="BL243" s="9"/>
      <c r="BM243" s="3"/>
      <c r="BN243" s="3"/>
      <c r="BO243" s="3"/>
      <c r="BP243" s="3"/>
      <c r="BQ243" s="3"/>
      <c r="BR243" s="3"/>
      <c r="BT243" s="15"/>
      <c r="BU243" s="3"/>
      <c r="BV243" s="13"/>
      <c r="BW243" s="3"/>
      <c r="BX243" s="3"/>
      <c r="BY243" s="3"/>
      <c r="BZ243" s="3"/>
      <c r="CA243" s="3"/>
      <c r="CB243" s="10"/>
      <c r="CC243" s="10"/>
      <c r="CD243" s="4"/>
      <c r="CE243" s="3"/>
    </row>
    <row r="244" spans="1:83" x14ac:dyDescent="0.25">
      <c r="A244" s="2" t="s">
        <v>15</v>
      </c>
      <c r="B244" s="2">
        <v>3</v>
      </c>
      <c r="C244" t="s">
        <v>6</v>
      </c>
      <c r="D244" s="5" t="str">
        <f t="shared" si="28"/>
        <v>p07-3-SW</v>
      </c>
      <c r="E244" s="5" t="s">
        <v>468</v>
      </c>
      <c r="F244" s="17">
        <v>44881</v>
      </c>
      <c r="G244">
        <v>7</v>
      </c>
      <c r="H244" s="3">
        <v>23.5</v>
      </c>
      <c r="I244" s="3">
        <f t="shared" si="29"/>
        <v>23.04</v>
      </c>
      <c r="J244" s="3">
        <f>($A$57-$A$47)*$A$75</f>
        <v>1.1524999999999999</v>
      </c>
      <c r="K244" s="6">
        <f t="shared" si="30"/>
        <v>5400.3565255905514</v>
      </c>
      <c r="L244" s="4"/>
      <c r="M244" s="4"/>
      <c r="N244" s="4"/>
      <c r="O244" s="4"/>
      <c r="P244" s="7"/>
      <c r="Q244" s="6"/>
      <c r="R244" s="14"/>
      <c r="S244" s="4"/>
      <c r="T244" s="4"/>
      <c r="U244" s="4"/>
      <c r="V244" s="8"/>
      <c r="W244" s="8"/>
      <c r="X244" s="8"/>
      <c r="Y244" s="6"/>
      <c r="Z244" s="6"/>
      <c r="AA244" s="6"/>
      <c r="AB244" s="6"/>
      <c r="AC244" s="6"/>
      <c r="AD244" s="6"/>
      <c r="AE244" s="10"/>
      <c r="AF244" s="14"/>
      <c r="AG244" s="6"/>
      <c r="AH244" s="11"/>
      <c r="AI244" s="6"/>
      <c r="AJ244" s="6"/>
      <c r="AK244" s="6"/>
      <c r="AL244" s="6"/>
      <c r="AM244" s="6"/>
      <c r="AN244" s="16"/>
      <c r="AO244" s="12"/>
      <c r="AP244" s="7"/>
      <c r="AQ244" s="6"/>
      <c r="AV244" s="3"/>
      <c r="AW244" s="3"/>
      <c r="AX244" s="3"/>
      <c r="AY244" s="3"/>
      <c r="AZ244" s="4"/>
      <c r="BA244" s="4"/>
      <c r="BB244" s="4"/>
      <c r="BC244" s="4"/>
      <c r="BD244" s="4"/>
      <c r="BE244" s="3"/>
      <c r="BF244" s="3"/>
      <c r="BG244" s="4"/>
      <c r="BH244" s="4"/>
      <c r="BI244" s="4"/>
      <c r="BJ244" s="9"/>
      <c r="BK244" s="9"/>
      <c r="BL244" s="9"/>
      <c r="BM244" s="3"/>
      <c r="BN244" s="3"/>
      <c r="BO244" s="3"/>
      <c r="BP244" s="3"/>
      <c r="BQ244" s="3"/>
      <c r="BR244" s="3"/>
      <c r="BT244" s="15"/>
      <c r="BU244" s="3"/>
      <c r="BV244" s="13"/>
      <c r="BW244" s="3"/>
      <c r="BX244" s="3"/>
      <c r="BY244" s="3"/>
      <c r="BZ244" s="3"/>
      <c r="CA244" s="3"/>
      <c r="CB244" s="10"/>
      <c r="CC244" s="10"/>
      <c r="CD244" s="4"/>
      <c r="CE244" s="3"/>
    </row>
    <row r="245" spans="1:83" x14ac:dyDescent="0.25">
      <c r="A245" s="2" t="s">
        <v>15</v>
      </c>
      <c r="B245" s="2">
        <v>3</v>
      </c>
      <c r="C245" t="s">
        <v>7</v>
      </c>
      <c r="D245" s="5" t="str">
        <f t="shared" si="28"/>
        <v>p07-3-NE</v>
      </c>
      <c r="E245" s="5" t="s">
        <v>468</v>
      </c>
      <c r="F245" s="17">
        <v>44881</v>
      </c>
      <c r="G245">
        <v>19</v>
      </c>
      <c r="H245" s="3">
        <v>20.7</v>
      </c>
      <c r="I245" s="3">
        <f t="shared" si="29"/>
        <v>20.239999999999998</v>
      </c>
      <c r="J245" s="3">
        <f>($A$69-$A$47)*$A$75</f>
        <v>0.77124999999999999</v>
      </c>
      <c r="K245" s="6">
        <f t="shared" si="30"/>
        <v>4690.2238730314948</v>
      </c>
      <c r="L245" s="4"/>
      <c r="M245" s="4"/>
      <c r="N245" s="4"/>
      <c r="O245" s="4"/>
      <c r="P245" s="7"/>
      <c r="Q245" s="6"/>
      <c r="R245" s="14"/>
      <c r="S245" s="4"/>
      <c r="T245" s="4"/>
      <c r="U245" s="4"/>
      <c r="V245" s="8"/>
      <c r="W245" s="8"/>
      <c r="X245" s="8"/>
      <c r="Y245" s="6"/>
      <c r="Z245" s="6"/>
      <c r="AA245" s="6"/>
      <c r="AB245" s="6"/>
      <c r="AC245" s="6"/>
      <c r="AD245" s="6"/>
      <c r="AE245" s="10"/>
      <c r="AF245" s="14"/>
      <c r="AG245" s="6"/>
      <c r="AH245" s="11"/>
      <c r="AI245" s="6"/>
      <c r="AJ245" s="6"/>
      <c r="AK245" s="6"/>
      <c r="AL245" s="6"/>
      <c r="AM245" s="6"/>
      <c r="AN245" s="16"/>
      <c r="AO245" s="12"/>
      <c r="AP245" s="7"/>
      <c r="AQ245" s="6"/>
      <c r="AV245" s="3"/>
      <c r="AW245" s="3"/>
      <c r="AX245" s="3"/>
      <c r="AY245" s="3"/>
      <c r="AZ245" s="4"/>
      <c r="BA245" s="4"/>
      <c r="BB245" s="4"/>
      <c r="BC245" s="4"/>
      <c r="BD245" s="4"/>
      <c r="BE245" s="3"/>
      <c r="BF245" s="3"/>
      <c r="BG245" s="4"/>
      <c r="BH245" s="4"/>
      <c r="BI245" s="4"/>
      <c r="BJ245" s="9"/>
      <c r="BK245" s="9"/>
      <c r="BL245" s="9"/>
      <c r="BM245" s="3"/>
      <c r="BN245" s="3"/>
      <c r="BO245" s="3"/>
      <c r="BP245" s="3"/>
      <c r="BQ245" s="3"/>
      <c r="BR245" s="3"/>
      <c r="BT245" s="15"/>
      <c r="BU245" s="3"/>
      <c r="BV245" s="13"/>
      <c r="BW245" s="3"/>
      <c r="BX245" s="3"/>
      <c r="BY245" s="3"/>
      <c r="BZ245" s="3"/>
      <c r="CA245" s="3"/>
      <c r="CB245" s="10"/>
      <c r="CC245" s="10"/>
      <c r="CD245" s="4"/>
      <c r="CE245" s="3"/>
    </row>
    <row r="246" spans="1:83" x14ac:dyDescent="0.25">
      <c r="A246" s="2" t="s">
        <v>15</v>
      </c>
      <c r="B246" s="2">
        <v>3</v>
      </c>
      <c r="C246" t="s">
        <v>18</v>
      </c>
      <c r="D246" s="5" t="str">
        <f t="shared" si="28"/>
        <v>p07-3-ME</v>
      </c>
      <c r="E246" s="5" t="s">
        <v>468</v>
      </c>
      <c r="F246" s="17">
        <v>44881</v>
      </c>
      <c r="G246">
        <v>19</v>
      </c>
      <c r="H246" s="3">
        <v>18</v>
      </c>
      <c r="I246" s="3">
        <f t="shared" si="29"/>
        <v>17.54</v>
      </c>
      <c r="J246" s="3">
        <f>($A$69-$A$47)*$A$75</f>
        <v>0.77124999999999999</v>
      </c>
      <c r="K246" s="6">
        <f t="shared" si="30"/>
        <v>4087.5179675196841</v>
      </c>
      <c r="L246" s="4">
        <v>8.89</v>
      </c>
      <c r="M246" s="4">
        <v>225.45</v>
      </c>
      <c r="N246" s="4">
        <f>M246-L246</f>
        <v>216.56</v>
      </c>
      <c r="O246" s="4">
        <v>207.13</v>
      </c>
      <c r="P246" s="7">
        <f>(N246-O246)/N246*100</f>
        <v>4.3544514222386432</v>
      </c>
      <c r="Q246" s="6">
        <f>K246*(1-P246/100)</f>
        <v>3909.5289832487629</v>
      </c>
      <c r="R246" s="14"/>
      <c r="S246" s="4"/>
      <c r="T246" s="4"/>
      <c r="U246" s="4"/>
      <c r="V246" s="8"/>
      <c r="W246" s="8"/>
      <c r="X246" s="8"/>
      <c r="Y246" s="6"/>
      <c r="Z246" s="6"/>
      <c r="AA246" s="6"/>
      <c r="AB246" s="6"/>
      <c r="AC246" s="6"/>
      <c r="AD246" s="6"/>
      <c r="AE246" s="10">
        <v>990130732075</v>
      </c>
      <c r="AF246" s="14">
        <v>44980</v>
      </c>
      <c r="AG246" s="6">
        <v>44.2</v>
      </c>
      <c r="AH246" s="11">
        <v>1.1559999999999999</v>
      </c>
      <c r="AI246" s="6">
        <v>80.8</v>
      </c>
      <c r="AJ246" s="6">
        <v>30.9</v>
      </c>
      <c r="AK246" s="6">
        <v>5.4</v>
      </c>
      <c r="AL246" s="6">
        <v>78.7</v>
      </c>
      <c r="AM246" s="6">
        <v>8.6</v>
      </c>
      <c r="AN246" s="16" t="s">
        <v>150</v>
      </c>
      <c r="AO246" s="12">
        <v>9</v>
      </c>
      <c r="AP246" s="7">
        <v>0.28000000000000003</v>
      </c>
      <c r="AQ246" s="6">
        <v>8.6</v>
      </c>
      <c r="AV246" s="3"/>
      <c r="AW246" s="3"/>
      <c r="AX246" s="3"/>
      <c r="AY246" s="3"/>
      <c r="AZ246" s="4"/>
      <c r="BA246" s="4"/>
      <c r="BB246" s="4"/>
      <c r="BC246" s="4"/>
      <c r="BD246" s="4"/>
      <c r="BE246" s="3"/>
      <c r="BF246" s="3"/>
      <c r="BG246" s="4"/>
      <c r="BH246" s="4"/>
      <c r="BI246" s="4"/>
      <c r="BJ246" s="9"/>
      <c r="BK246" s="9"/>
      <c r="BL246" s="9"/>
      <c r="BM246" s="3"/>
      <c r="BN246" s="3"/>
      <c r="BO246" s="3"/>
      <c r="BP246" s="3"/>
      <c r="BQ246" s="3"/>
      <c r="BR246" s="3"/>
      <c r="BT246" s="15"/>
      <c r="BU246" s="3"/>
      <c r="BV246" s="13"/>
      <c r="BW246" s="3"/>
      <c r="BX246" s="3"/>
      <c r="BY246" s="3"/>
      <c r="BZ246" s="3"/>
      <c r="CA246" s="3"/>
      <c r="CB246" s="10"/>
      <c r="CC246" s="10"/>
      <c r="CD246" s="4"/>
      <c r="CE246" s="3"/>
    </row>
    <row r="247" spans="1:83" x14ac:dyDescent="0.25">
      <c r="A247" s="2" t="s">
        <v>15</v>
      </c>
      <c r="B247" s="2">
        <v>3</v>
      </c>
      <c r="C247" t="s">
        <v>8</v>
      </c>
      <c r="D247" s="5" t="str">
        <f t="shared" si="28"/>
        <v>p07-3-SE</v>
      </c>
      <c r="E247" s="5" t="s">
        <v>468</v>
      </c>
      <c r="F247" s="17">
        <v>44881</v>
      </c>
      <c r="G247">
        <v>19</v>
      </c>
      <c r="H247" s="3">
        <v>20.7</v>
      </c>
      <c r="I247" s="3">
        <f t="shared" si="29"/>
        <v>20.239999999999998</v>
      </c>
      <c r="J247" s="3">
        <f>($A$69-$A$47)*$A$75</f>
        <v>0.77124999999999999</v>
      </c>
      <c r="K247" s="6">
        <f t="shared" si="30"/>
        <v>4690.2238730314948</v>
      </c>
      <c r="L247" s="4"/>
      <c r="M247" s="4"/>
      <c r="N247" s="4"/>
      <c r="O247" s="4"/>
      <c r="P247" s="7"/>
      <c r="Q247" s="6"/>
      <c r="R247" s="14"/>
      <c r="S247" s="4"/>
      <c r="T247" s="4"/>
      <c r="U247" s="4"/>
      <c r="V247" s="8"/>
      <c r="W247" s="8"/>
      <c r="X247" s="8"/>
      <c r="Y247" s="6"/>
      <c r="Z247" s="6"/>
      <c r="AA247" s="6"/>
      <c r="AB247" s="6"/>
      <c r="AC247" s="6"/>
      <c r="AD247" s="6"/>
      <c r="AE247" s="10"/>
      <c r="AF247" s="14"/>
      <c r="AG247" s="6"/>
      <c r="AH247" s="11"/>
      <c r="AI247" s="6"/>
      <c r="AJ247" s="6"/>
      <c r="AK247" s="6"/>
      <c r="AL247" s="6"/>
      <c r="AM247" s="6"/>
      <c r="AN247" s="16"/>
      <c r="AO247" s="12"/>
      <c r="AP247" s="7"/>
      <c r="AQ247" s="6"/>
      <c r="AV247" s="3"/>
      <c r="AW247" s="3"/>
      <c r="AX247" s="3"/>
      <c r="AY247" s="3"/>
      <c r="AZ247" s="4"/>
      <c r="BA247" s="4"/>
      <c r="BB247" s="4"/>
      <c r="BC247" s="4"/>
      <c r="BD247" s="4"/>
      <c r="BE247" s="3"/>
      <c r="BF247" s="3"/>
      <c r="BG247" s="4"/>
      <c r="BH247" s="4"/>
      <c r="BI247" s="4"/>
      <c r="BJ247" s="9"/>
      <c r="BK247" s="9"/>
      <c r="BL247" s="9"/>
      <c r="BM247" s="3"/>
      <c r="BN247" s="3"/>
      <c r="BO247" s="3"/>
      <c r="BP247" s="3"/>
      <c r="BQ247" s="3"/>
      <c r="BR247" s="3"/>
      <c r="BT247" s="15"/>
      <c r="BU247" s="3"/>
      <c r="BV247" s="13"/>
      <c r="BW247" s="3"/>
      <c r="BX247" s="3"/>
      <c r="BY247" s="3"/>
      <c r="BZ247" s="3"/>
      <c r="CA247" s="3"/>
      <c r="CB247" s="10"/>
      <c r="CC247" s="10"/>
      <c r="CD247" s="4"/>
      <c r="CE247" s="3"/>
    </row>
    <row r="248" spans="1:83" x14ac:dyDescent="0.25">
      <c r="A248" s="2" t="s">
        <v>15</v>
      </c>
      <c r="B248" s="2">
        <v>4</v>
      </c>
      <c r="C248" t="s">
        <v>4</v>
      </c>
      <c r="D248" s="5" t="str">
        <f t="shared" si="28"/>
        <v>p07-4-NW</v>
      </c>
      <c r="E248" s="5" t="s">
        <v>468</v>
      </c>
      <c r="F248" s="17">
        <v>44881</v>
      </c>
      <c r="G248">
        <v>7</v>
      </c>
      <c r="H248" s="3">
        <v>23.4</v>
      </c>
      <c r="I248" s="3">
        <f t="shared" si="29"/>
        <v>22.939999999999998</v>
      </c>
      <c r="J248" s="3">
        <f>($A$57-$A$47)*$A$75</f>
        <v>1.1524999999999999</v>
      </c>
      <c r="K248" s="6">
        <f t="shared" si="30"/>
        <v>5378.0340846456684</v>
      </c>
      <c r="L248" s="4"/>
      <c r="M248" s="4"/>
      <c r="N248" s="4"/>
      <c r="O248" s="4"/>
      <c r="P248" s="7"/>
      <c r="Q248" s="6"/>
      <c r="R248" s="14"/>
      <c r="S248" s="4"/>
      <c r="T248" s="4"/>
      <c r="U248" s="4"/>
      <c r="V248" s="8"/>
      <c r="W248" s="8"/>
      <c r="X248" s="8"/>
      <c r="Y248" s="6"/>
      <c r="Z248" s="6"/>
      <c r="AA248" s="6"/>
      <c r="AB248" s="6"/>
      <c r="AC248" s="6"/>
      <c r="AD248" s="6"/>
      <c r="AE248" s="10"/>
      <c r="AF248" s="14"/>
      <c r="AG248" s="6"/>
      <c r="AH248" s="11"/>
      <c r="AI248" s="6"/>
      <c r="AJ248" s="6"/>
      <c r="AK248" s="6"/>
      <c r="AL248" s="6"/>
      <c r="AM248" s="6"/>
      <c r="AN248" s="16"/>
      <c r="AO248" s="12"/>
      <c r="AP248" s="7"/>
      <c r="AQ248" s="6"/>
      <c r="AS248" t="s">
        <v>113</v>
      </c>
      <c r="AT248" s="4" t="str">
        <f>E248</f>
        <v>Machine</v>
      </c>
      <c r="AU248" s="15">
        <f>F248</f>
        <v>44881</v>
      </c>
      <c r="AV248" s="3">
        <f>SUM(H248:H253)</f>
        <v>99.399999999999991</v>
      </c>
      <c r="AW248" s="3">
        <f>AV248-6*$A$47</f>
        <v>96.639999999999986</v>
      </c>
      <c r="AX248" s="3">
        <f>SUM(J248:J253)</f>
        <v>5.7712500000000002</v>
      </c>
      <c r="AY248" s="3">
        <f>(AW248+AX248)*$A$48/(6*$A$49)*$A$50</f>
        <v>3810.1151336942253</v>
      </c>
      <c r="AZ248" s="4">
        <f>SUM(L248:L253)</f>
        <v>17.36</v>
      </c>
      <c r="BA248" s="4">
        <f>SUM(M248:M253)</f>
        <v>324.97000000000003</v>
      </c>
      <c r="BB248" s="4">
        <f>BA248-AZ248</f>
        <v>307.61</v>
      </c>
      <c r="BC248" s="4">
        <f>SUM(O248:O253)</f>
        <v>293.45000000000005</v>
      </c>
      <c r="BD248" s="4">
        <f>(BB248-BC248)/BB248*100</f>
        <v>4.6032313643899636</v>
      </c>
      <c r="BE248" s="3">
        <f>AY248*(1-BD248/100)</f>
        <v>3634.7267188406445</v>
      </c>
      <c r="BF248" s="15">
        <f>R249</f>
        <v>44882</v>
      </c>
      <c r="BG248" s="4">
        <f>SUM(S248:S253)</f>
        <v>7.84</v>
      </c>
      <c r="BH248" s="4">
        <f>SUM(T248:T253)</f>
        <v>2.92</v>
      </c>
      <c r="BI248" s="4">
        <f>SUM(U248:U253)</f>
        <v>5.6</v>
      </c>
      <c r="BJ248" s="9">
        <f>(BH248-1*$A$76)/(BG248-1*$A$47*$A$48)</f>
        <v>0.35904536326930914</v>
      </c>
      <c r="BK248" s="9">
        <f>(BI248-1*$A$77)/(BG248-1*$A$47*$A$48)</f>
        <v>0.51104996961689986</v>
      </c>
      <c r="BL248" s="9">
        <f>1-BJ248-BK248</f>
        <v>0.12990466711379101</v>
      </c>
      <c r="BM248" s="3">
        <f>AY248*BJ248</f>
        <v>1368.0041722751355</v>
      </c>
      <c r="BN248" s="3">
        <f>AY248*BK248</f>
        <v>1947.1592233113242</v>
      </c>
      <c r="BO248" s="3">
        <f>SUM(BM248:BN248)</f>
        <v>3315.16339558646</v>
      </c>
      <c r="BP248" s="3">
        <f>BE248*BJ248</f>
        <v>1305.0317751508032</v>
      </c>
      <c r="BQ248" s="3">
        <f>BE248*BK248</f>
        <v>1857.5269792292454</v>
      </c>
      <c r="BR248" s="3">
        <f>SUM(BP248:BQ248)</f>
        <v>3162.5587543800484</v>
      </c>
      <c r="BS248" s="3"/>
      <c r="BT248" s="15">
        <f>AF249</f>
        <v>44980</v>
      </c>
      <c r="BU248" s="3">
        <f t="shared" ref="BU248:CA248" si="36">AVERAGE(AG248:AG253)</f>
        <v>50.3</v>
      </c>
      <c r="BV248" s="13">
        <f t="shared" si="36"/>
        <v>1.1065</v>
      </c>
      <c r="BW248" s="3">
        <f t="shared" si="36"/>
        <v>80.800000000000011</v>
      </c>
      <c r="BX248" s="3">
        <f t="shared" si="36"/>
        <v>28.85</v>
      </c>
      <c r="BY248" s="3">
        <f t="shared" si="36"/>
        <v>5.3</v>
      </c>
      <c r="BZ248" s="3">
        <f t="shared" si="36"/>
        <v>76.599999999999994</v>
      </c>
      <c r="CA248" s="3">
        <f t="shared" si="36"/>
        <v>8.8000000000000007</v>
      </c>
      <c r="CB248" s="13"/>
      <c r="CC248" s="10">
        <f>AVERAGE(AO248:AO253)</f>
        <v>21.5</v>
      </c>
      <c r="CD248" s="4">
        <f>AVERAGE(AP248:AP253)</f>
        <v>0.21500000000000002</v>
      </c>
      <c r="CE248" s="3">
        <f>AVERAGE(AQ248:AQ253)</f>
        <v>9.3500000000000014</v>
      </c>
    </row>
    <row r="249" spans="1:83" x14ac:dyDescent="0.25">
      <c r="A249" s="2" t="s">
        <v>15</v>
      </c>
      <c r="B249" s="2">
        <v>4</v>
      </c>
      <c r="C249" t="s">
        <v>5</v>
      </c>
      <c r="D249" s="5" t="str">
        <f t="shared" si="28"/>
        <v>p07-4-MW</v>
      </c>
      <c r="E249" s="5" t="s">
        <v>468</v>
      </c>
      <c r="F249" s="17">
        <v>44881</v>
      </c>
      <c r="G249">
        <v>7</v>
      </c>
      <c r="H249" s="3">
        <v>17.899999999999999</v>
      </c>
      <c r="I249" s="3">
        <f t="shared" si="29"/>
        <v>17.439999999999998</v>
      </c>
      <c r="J249" s="3">
        <f>($A$57-$A$47)*$A$75</f>
        <v>1.1524999999999999</v>
      </c>
      <c r="K249" s="6">
        <f t="shared" si="30"/>
        <v>4150.2998326771649</v>
      </c>
      <c r="L249" s="4">
        <v>8.4600000000000009</v>
      </c>
      <c r="M249" s="4">
        <v>166.86</v>
      </c>
      <c r="N249" s="4">
        <f>M249-L249</f>
        <v>158.4</v>
      </c>
      <c r="O249" s="4">
        <v>149.55000000000001</v>
      </c>
      <c r="P249" s="7">
        <f>(N249-O249)/N249*100</f>
        <v>5.5871212121212084</v>
      </c>
      <c r="Q249" s="6">
        <f>K249*(1-P249/100)</f>
        <v>3918.4175503590282</v>
      </c>
      <c r="R249" s="14">
        <v>44882</v>
      </c>
      <c r="S249" s="4">
        <v>7.84</v>
      </c>
      <c r="T249" s="4">
        <v>2.92</v>
      </c>
      <c r="U249" s="4">
        <v>5.6</v>
      </c>
      <c r="V249" s="8">
        <f>(T249-$A$76)/(S249-$A$47*$A$48)</f>
        <v>0.35904536326930914</v>
      </c>
      <c r="W249" s="8">
        <f>(U249-$A$77)/(S249-$A$47*$A$48)</f>
        <v>0.51104996961689986</v>
      </c>
      <c r="X249" s="8">
        <f>1-V249-W249</f>
        <v>0.12990466711379101</v>
      </c>
      <c r="Y249" s="6">
        <f>K249*V249</f>
        <v>1490.1459111001257</v>
      </c>
      <c r="Z249" s="6">
        <f>K249*W249</f>
        <v>2121.0106033906895</v>
      </c>
      <c r="AA249" s="6">
        <f>SUM(Y249:Z249)</f>
        <v>3611.1565144908154</v>
      </c>
      <c r="AB249" s="6">
        <f>Q249*V249</f>
        <v>1406.8896528094938</v>
      </c>
      <c r="AC249" s="6">
        <f>Q249*W249</f>
        <v>2002.5071700573085</v>
      </c>
      <c r="AD249" s="6">
        <f>SUM(AB249:AC249)</f>
        <v>3409.3968228668023</v>
      </c>
      <c r="AE249" s="10">
        <v>990130741028</v>
      </c>
      <c r="AF249" s="14">
        <v>44980</v>
      </c>
      <c r="AG249" s="6">
        <v>49.6</v>
      </c>
      <c r="AH249" s="11">
        <v>1.0880000000000001</v>
      </c>
      <c r="AI249" s="6">
        <v>80.400000000000006</v>
      </c>
      <c r="AJ249" s="6">
        <v>29.1</v>
      </c>
      <c r="AK249" s="6">
        <v>5</v>
      </c>
      <c r="AL249" s="6">
        <v>78.2</v>
      </c>
      <c r="AM249" s="6">
        <v>8.9</v>
      </c>
      <c r="AN249" s="16" t="s">
        <v>150</v>
      </c>
      <c r="AO249" s="12">
        <v>12</v>
      </c>
      <c r="AP249" s="7">
        <v>0.09</v>
      </c>
      <c r="AQ249" s="6">
        <v>9.9</v>
      </c>
      <c r="AV249" s="3"/>
      <c r="AW249" s="3"/>
      <c r="AX249" s="3"/>
      <c r="AY249" s="3"/>
      <c r="AZ249" s="4"/>
      <c r="BA249" s="4"/>
      <c r="BB249" s="4"/>
      <c r="BC249" s="4"/>
      <c r="BD249" s="4"/>
      <c r="BE249" s="3"/>
      <c r="BF249" s="3"/>
      <c r="BG249" s="4"/>
      <c r="BH249" s="4"/>
      <c r="BI249" s="4"/>
      <c r="BJ249" s="9"/>
      <c r="BK249" s="9"/>
      <c r="BL249" s="9"/>
      <c r="BM249" s="3"/>
      <c r="BN249" s="3"/>
      <c r="BO249" s="3"/>
      <c r="BP249" s="3"/>
      <c r="BQ249" s="3"/>
      <c r="BR249" s="3"/>
      <c r="BT249" s="15"/>
      <c r="BU249" s="3"/>
      <c r="BV249" s="13"/>
      <c r="BW249" s="3"/>
      <c r="BX249" s="3"/>
      <c r="BY249" s="3"/>
      <c r="BZ249" s="3"/>
      <c r="CA249" s="3"/>
      <c r="CB249" s="10"/>
      <c r="CC249" s="10"/>
      <c r="CD249" s="4"/>
      <c r="CE249" s="3"/>
    </row>
    <row r="250" spans="1:83" x14ac:dyDescent="0.25">
      <c r="A250" s="2" t="s">
        <v>15</v>
      </c>
      <c r="B250" s="2">
        <v>4</v>
      </c>
      <c r="C250" t="s">
        <v>6</v>
      </c>
      <c r="D250" s="5" t="str">
        <f t="shared" si="28"/>
        <v>p07-4-SW</v>
      </c>
      <c r="E250" s="5" t="s">
        <v>468</v>
      </c>
      <c r="F250" s="17">
        <v>44881</v>
      </c>
      <c r="G250">
        <v>7</v>
      </c>
      <c r="H250" s="3">
        <v>21.5</v>
      </c>
      <c r="I250" s="3">
        <f t="shared" si="29"/>
        <v>21.04</v>
      </c>
      <c r="J250" s="3">
        <f>($A$57-$A$47)*$A$75</f>
        <v>1.1524999999999999</v>
      </c>
      <c r="K250" s="6">
        <f t="shared" si="30"/>
        <v>4953.9077066929131</v>
      </c>
      <c r="L250" s="4"/>
      <c r="M250" s="4"/>
      <c r="N250" s="4"/>
      <c r="O250" s="4"/>
      <c r="P250" s="7"/>
      <c r="Q250" s="6"/>
      <c r="R250" s="14"/>
      <c r="S250" s="4"/>
      <c r="T250" s="4"/>
      <c r="U250" s="4"/>
      <c r="V250" s="8"/>
      <c r="W250" s="8"/>
      <c r="X250" s="8"/>
      <c r="Y250" s="6"/>
      <c r="Z250" s="6"/>
      <c r="AA250" s="6"/>
      <c r="AB250" s="6"/>
      <c r="AC250" s="6"/>
      <c r="AD250" s="6"/>
      <c r="AE250" s="10"/>
      <c r="AF250" s="14"/>
      <c r="AG250" s="6"/>
      <c r="AH250" s="11"/>
      <c r="AI250" s="6"/>
      <c r="AJ250" s="6"/>
      <c r="AK250" s="6"/>
      <c r="AL250" s="6"/>
      <c r="AM250" s="6"/>
      <c r="AN250" s="16"/>
      <c r="AO250" s="12"/>
      <c r="AP250" s="7"/>
      <c r="AQ250" s="6"/>
      <c r="AV250" s="3"/>
      <c r="AW250" s="3"/>
      <c r="AX250" s="3"/>
      <c r="AY250" s="3"/>
      <c r="AZ250" s="4"/>
      <c r="BA250" s="4"/>
      <c r="BB250" s="4"/>
      <c r="BC250" s="4"/>
      <c r="BD250" s="4"/>
      <c r="BE250" s="3"/>
      <c r="BF250" s="3"/>
      <c r="BG250" s="4"/>
      <c r="BH250" s="4"/>
      <c r="BI250" s="4"/>
      <c r="BJ250" s="9"/>
      <c r="BK250" s="9"/>
      <c r="BL250" s="9"/>
      <c r="BM250" s="3"/>
      <c r="BN250" s="3"/>
      <c r="BO250" s="3"/>
      <c r="BP250" s="3"/>
      <c r="BQ250" s="3"/>
      <c r="BR250" s="3"/>
      <c r="BT250" s="15"/>
      <c r="BU250" s="3"/>
      <c r="BV250" s="13"/>
      <c r="BW250" s="3"/>
      <c r="BX250" s="3"/>
      <c r="BY250" s="3"/>
      <c r="BZ250" s="3"/>
      <c r="CA250" s="3"/>
      <c r="CB250" s="10"/>
      <c r="CC250" s="10"/>
      <c r="CD250" s="4"/>
      <c r="CE250" s="3"/>
    </row>
    <row r="251" spans="1:83" x14ac:dyDescent="0.25">
      <c r="A251" s="2" t="s">
        <v>15</v>
      </c>
      <c r="B251" s="2">
        <v>4</v>
      </c>
      <c r="C251" t="s">
        <v>7</v>
      </c>
      <c r="D251" s="5" t="str">
        <f t="shared" si="28"/>
        <v>p07-4-NE</v>
      </c>
      <c r="E251" s="5" t="s">
        <v>468</v>
      </c>
      <c r="F251" s="17">
        <v>44881</v>
      </c>
      <c r="G251">
        <v>19</v>
      </c>
      <c r="H251" s="3">
        <v>12.9</v>
      </c>
      <c r="I251" s="3">
        <f t="shared" si="29"/>
        <v>12.44</v>
      </c>
      <c r="J251" s="3">
        <f>($A$69-$A$47)*$A$75</f>
        <v>0.77124999999999999</v>
      </c>
      <c r="K251" s="6">
        <f t="shared" si="30"/>
        <v>2949.0734793307088</v>
      </c>
      <c r="L251" s="4"/>
      <c r="M251" s="4"/>
      <c r="N251" s="4"/>
      <c r="O251" s="4"/>
      <c r="P251" s="7"/>
      <c r="Q251" s="6"/>
      <c r="R251" s="14"/>
      <c r="S251" s="4"/>
      <c r="T251" s="4"/>
      <c r="U251" s="4"/>
      <c r="V251" s="8"/>
      <c r="W251" s="8"/>
      <c r="X251" s="8"/>
      <c r="Y251" s="6"/>
      <c r="Z251" s="6"/>
      <c r="AA251" s="6"/>
      <c r="AB251" s="6"/>
      <c r="AC251" s="6"/>
      <c r="AD251" s="6"/>
      <c r="AE251" s="10"/>
      <c r="AF251" s="14"/>
      <c r="AG251" s="6"/>
      <c r="AH251" s="11"/>
      <c r="AI251" s="6"/>
      <c r="AJ251" s="6"/>
      <c r="AK251" s="6"/>
      <c r="AL251" s="6"/>
      <c r="AM251" s="6"/>
      <c r="AN251" s="16"/>
      <c r="AO251" s="12"/>
      <c r="AP251" s="7"/>
      <c r="AQ251" s="6"/>
      <c r="AV251" s="3"/>
      <c r="AW251" s="3"/>
      <c r="AX251" s="3"/>
      <c r="AY251" s="3"/>
      <c r="AZ251" s="4"/>
      <c r="BA251" s="4"/>
      <c r="BB251" s="4"/>
      <c r="BC251" s="4"/>
      <c r="BD251" s="4"/>
      <c r="BE251" s="3"/>
      <c r="BF251" s="3"/>
      <c r="BG251" s="4"/>
      <c r="BH251" s="4"/>
      <c r="BI251" s="4"/>
      <c r="BJ251" s="9"/>
      <c r="BK251" s="9"/>
      <c r="BL251" s="9"/>
      <c r="BM251" s="3"/>
      <c r="BN251" s="3"/>
      <c r="BO251" s="3"/>
      <c r="BP251" s="3"/>
      <c r="BQ251" s="3"/>
      <c r="BR251" s="3"/>
      <c r="BT251" s="15"/>
      <c r="BU251" s="3"/>
      <c r="BV251" s="13"/>
      <c r="BW251" s="3"/>
      <c r="BX251" s="3"/>
      <c r="BY251" s="3"/>
      <c r="BZ251" s="3"/>
      <c r="CA251" s="3"/>
      <c r="CB251" s="10"/>
      <c r="CC251" s="10"/>
      <c r="CD251" s="4"/>
      <c r="CE251" s="3"/>
    </row>
    <row r="252" spans="1:83" x14ac:dyDescent="0.25">
      <c r="A252" s="2" t="s">
        <v>15</v>
      </c>
      <c r="B252" s="2">
        <v>4</v>
      </c>
      <c r="C252" t="s">
        <v>18</v>
      </c>
      <c r="D252" s="5" t="str">
        <f t="shared" si="28"/>
        <v>p07-4-ME</v>
      </c>
      <c r="E252" s="5" t="s">
        <v>468</v>
      </c>
      <c r="F252" s="17">
        <v>44881</v>
      </c>
      <c r="G252">
        <v>19</v>
      </c>
      <c r="H252" s="3">
        <v>8.6</v>
      </c>
      <c r="I252" s="3">
        <f t="shared" si="29"/>
        <v>8.1399999999999988</v>
      </c>
      <c r="J252" s="3">
        <f>($A$69-$A$47)*$A$75</f>
        <v>0.77124999999999999</v>
      </c>
      <c r="K252" s="6">
        <f t="shared" si="30"/>
        <v>1989.208518700787</v>
      </c>
      <c r="L252" s="4">
        <v>8.9</v>
      </c>
      <c r="M252" s="4">
        <v>158.11000000000001</v>
      </c>
      <c r="N252" s="4">
        <f>M252-L252</f>
        <v>149.21</v>
      </c>
      <c r="O252" s="4">
        <v>143.9</v>
      </c>
      <c r="P252" s="7">
        <f>(N252-O252)/N252*100</f>
        <v>3.5587427116145043</v>
      </c>
      <c r="Q252" s="6">
        <f>K252*(1-P252/100)</f>
        <v>1918.4177055227078</v>
      </c>
      <c r="R252" s="14"/>
      <c r="S252" s="4"/>
      <c r="T252" s="4"/>
      <c r="U252" s="4"/>
      <c r="V252" s="8"/>
      <c r="W252" s="8"/>
      <c r="X252" s="8"/>
      <c r="Y252" s="6"/>
      <c r="Z252" s="6"/>
      <c r="AA252" s="6"/>
      <c r="AB252" s="6"/>
      <c r="AC252" s="6"/>
      <c r="AD252" s="6"/>
      <c r="AE252" s="10">
        <v>990130742076</v>
      </c>
      <c r="AF252" s="14">
        <v>44980</v>
      </c>
      <c r="AG252" s="6">
        <v>51</v>
      </c>
      <c r="AH252" s="11">
        <v>1.125</v>
      </c>
      <c r="AI252" s="6">
        <v>81.2</v>
      </c>
      <c r="AJ252" s="6">
        <v>28.6</v>
      </c>
      <c r="AK252" s="6">
        <v>5.6</v>
      </c>
      <c r="AL252" s="6">
        <v>75</v>
      </c>
      <c r="AM252" s="6">
        <v>8.6999999999999993</v>
      </c>
      <c r="AN252" s="16" t="s">
        <v>168</v>
      </c>
      <c r="AO252" s="12">
        <v>31</v>
      </c>
      <c r="AP252" s="7">
        <v>0.34</v>
      </c>
      <c r="AQ252" s="6">
        <v>8.8000000000000007</v>
      </c>
      <c r="AV252" s="3"/>
      <c r="AW252" s="3"/>
      <c r="AX252" s="3"/>
      <c r="AY252" s="3"/>
      <c r="AZ252" s="4"/>
      <c r="BA252" s="4"/>
      <c r="BB252" s="4"/>
      <c r="BC252" s="4"/>
      <c r="BD252" s="4"/>
      <c r="BE252" s="3"/>
      <c r="BF252" s="3"/>
      <c r="BG252" s="4"/>
      <c r="BH252" s="4"/>
      <c r="BI252" s="4"/>
      <c r="BJ252" s="9"/>
      <c r="BK252" s="9"/>
      <c r="BL252" s="9"/>
      <c r="BM252" s="3"/>
      <c r="BN252" s="3"/>
      <c r="BO252" s="3"/>
      <c r="BP252" s="3"/>
      <c r="BQ252" s="3"/>
      <c r="BR252" s="3"/>
      <c r="BT252" s="15"/>
      <c r="BU252" s="3"/>
      <c r="BV252" s="13"/>
      <c r="BW252" s="3"/>
      <c r="BX252" s="3"/>
      <c r="BY252" s="3"/>
      <c r="BZ252" s="3"/>
      <c r="CA252" s="3"/>
      <c r="CB252" s="10"/>
      <c r="CC252" s="10"/>
      <c r="CD252" s="4"/>
      <c r="CE252" s="3"/>
    </row>
    <row r="253" spans="1:83" x14ac:dyDescent="0.25">
      <c r="A253" s="2" t="s">
        <v>15</v>
      </c>
      <c r="B253" s="2">
        <v>4</v>
      </c>
      <c r="C253" t="s">
        <v>8</v>
      </c>
      <c r="D253" s="5" t="str">
        <f t="shared" si="28"/>
        <v>p07-4-SE</v>
      </c>
      <c r="E253" s="5" t="s">
        <v>468</v>
      </c>
      <c r="F253" s="17">
        <v>44881</v>
      </c>
      <c r="G253">
        <v>19</v>
      </c>
      <c r="H253" s="3">
        <v>15.1</v>
      </c>
      <c r="I253" s="3">
        <f t="shared" si="29"/>
        <v>14.639999999999999</v>
      </c>
      <c r="J253" s="3">
        <f>($A$69-$A$47)*$A$75</f>
        <v>0.77124999999999999</v>
      </c>
      <c r="K253" s="6">
        <f t="shared" si="30"/>
        <v>3440.1671801181101</v>
      </c>
      <c r="L253" s="4"/>
      <c r="M253" s="4"/>
      <c r="N253" s="4"/>
      <c r="O253" s="4"/>
      <c r="P253" s="7"/>
      <c r="Q253" s="6"/>
      <c r="R253" s="14"/>
      <c r="S253" s="4"/>
      <c r="T253" s="4"/>
      <c r="U253" s="4"/>
      <c r="V253" s="8"/>
      <c r="W253" s="8"/>
      <c r="X253" s="8"/>
      <c r="Y253" s="6"/>
      <c r="Z253" s="6"/>
      <c r="AA253" s="6"/>
      <c r="AB253" s="6"/>
      <c r="AC253" s="6"/>
      <c r="AD253" s="6"/>
      <c r="AE253" s="10"/>
      <c r="AF253" s="14"/>
      <c r="AG253" s="6"/>
      <c r="AH253" s="11"/>
      <c r="AI253" s="6"/>
      <c r="AJ253" s="6"/>
      <c r="AK253" s="6"/>
      <c r="AL253" s="6"/>
      <c r="AM253" s="6"/>
      <c r="AN253" s="16"/>
      <c r="AO253" s="12"/>
      <c r="AP253" s="7"/>
      <c r="AQ253" s="6"/>
      <c r="AV253" s="3"/>
      <c r="AW253" s="3"/>
      <c r="AX253" s="3"/>
      <c r="AY253" s="3"/>
      <c r="AZ253" s="4"/>
      <c r="BA253" s="4"/>
      <c r="BB253" s="4"/>
      <c r="BC253" s="4"/>
      <c r="BD253" s="4"/>
      <c r="BE253" s="3"/>
      <c r="BF253" s="3"/>
      <c r="BG253" s="4"/>
      <c r="BH253" s="4"/>
      <c r="BI253" s="4"/>
      <c r="BJ253" s="9"/>
      <c r="BK253" s="9"/>
      <c r="BL253" s="9"/>
      <c r="BM253" s="3"/>
      <c r="BN253" s="3"/>
      <c r="BO253" s="3"/>
      <c r="BP253" s="3"/>
      <c r="BQ253" s="3"/>
      <c r="BR253" s="3"/>
      <c r="BT253" s="15"/>
      <c r="BU253" s="3"/>
      <c r="BV253" s="13"/>
      <c r="BW253" s="3"/>
      <c r="BX253" s="3"/>
      <c r="BY253" s="3"/>
      <c r="BZ253" s="3"/>
      <c r="CA253" s="3"/>
      <c r="CB253" s="10"/>
      <c r="CC253" s="10"/>
      <c r="CD253" s="4"/>
      <c r="CE253" s="3"/>
    </row>
    <row r="254" spans="1:83" x14ac:dyDescent="0.25">
      <c r="A254" s="2" t="s">
        <v>16</v>
      </c>
      <c r="B254" s="2">
        <v>1</v>
      </c>
      <c r="C254" t="s">
        <v>4</v>
      </c>
      <c r="D254" s="5" t="str">
        <f t="shared" si="28"/>
        <v>p08-1-NW</v>
      </c>
      <c r="E254" s="5" t="s">
        <v>468</v>
      </c>
      <c r="F254" s="17">
        <v>44881</v>
      </c>
      <c r="G254">
        <v>8</v>
      </c>
      <c r="H254" s="3">
        <v>19.8</v>
      </c>
      <c r="I254" s="3">
        <f t="shared" si="29"/>
        <v>19.34</v>
      </c>
      <c r="J254" s="3">
        <f>($A$58-$A$47)*$A$75</f>
        <v>0.5149999999999999</v>
      </c>
      <c r="K254" s="6">
        <f t="shared" si="30"/>
        <v>4432.1206496062996</v>
      </c>
      <c r="L254" s="4"/>
      <c r="M254" s="4"/>
      <c r="N254" s="4"/>
      <c r="O254" s="4"/>
      <c r="P254" s="7"/>
      <c r="Q254" s="6"/>
      <c r="R254" s="14"/>
      <c r="S254" s="4"/>
      <c r="T254" s="4"/>
      <c r="U254" s="4"/>
      <c r="V254" s="8"/>
      <c r="W254" s="8"/>
      <c r="X254" s="8"/>
      <c r="Y254" s="6"/>
      <c r="Z254" s="6"/>
      <c r="AA254" s="6"/>
      <c r="AB254" s="6"/>
      <c r="AC254" s="6"/>
      <c r="AD254" s="6"/>
      <c r="AE254" s="10"/>
      <c r="AF254" s="14"/>
      <c r="AG254" s="6"/>
      <c r="AH254" s="11"/>
      <c r="AI254" s="6"/>
      <c r="AJ254" s="6"/>
      <c r="AK254" s="6"/>
      <c r="AL254" s="6"/>
      <c r="AM254" s="6"/>
      <c r="AN254" s="16"/>
      <c r="AO254" s="12"/>
      <c r="AP254" s="7"/>
      <c r="AQ254" s="6"/>
      <c r="AS254" s="4" t="s">
        <v>114</v>
      </c>
      <c r="AT254" s="4" t="str">
        <f>E254</f>
        <v>Machine</v>
      </c>
      <c r="AU254" s="15">
        <f>F254</f>
        <v>44881</v>
      </c>
      <c r="AV254" s="3">
        <f>SUM(H254:H259)</f>
        <v>109.7</v>
      </c>
      <c r="AW254" s="3">
        <f>AV254-6*$A$47</f>
        <v>106.94</v>
      </c>
      <c r="AX254" s="3">
        <f>SUM(J254:J259)</f>
        <v>3.277499999999999</v>
      </c>
      <c r="AY254" s="3">
        <f>(AW254+AX254)*$A$48/(6*$A$49)*$A$50</f>
        <v>4100.5393914041997</v>
      </c>
      <c r="AZ254" s="4">
        <f>SUM(L254:L259)</f>
        <v>17.34</v>
      </c>
      <c r="BA254" s="4">
        <f>SUM(M254:M259)</f>
        <v>315.37</v>
      </c>
      <c r="BB254" s="4">
        <f>BA254-AZ254</f>
        <v>298.03000000000003</v>
      </c>
      <c r="BC254" s="4">
        <f>SUM(O254:O259)</f>
        <v>283.37</v>
      </c>
      <c r="BD254" s="4">
        <f>(BB254-BC254)/BB254*100</f>
        <v>4.9189678891386857</v>
      </c>
      <c r="BE254" s="3">
        <f>AY254*(1-BD254/100)</f>
        <v>3898.8351754595446</v>
      </c>
      <c r="BF254" s="15">
        <f>R255</f>
        <v>44882</v>
      </c>
      <c r="BG254" s="4">
        <f>SUM(S254:S259)</f>
        <v>8.18</v>
      </c>
      <c r="BH254" s="4">
        <f>SUM(T254:T259)</f>
        <v>2.8</v>
      </c>
      <c r="BI254" s="4">
        <f>SUM(U254:U259)</f>
        <v>5.98</v>
      </c>
      <c r="BJ254" s="9">
        <f>(BH254-1*$A$76)/(BG254-1*$A$47*$A$48)</f>
        <v>0.32867717043299255</v>
      </c>
      <c r="BK254" s="9">
        <f>(BI254-1*$A$77)/(BG254-1*$A$47*$A$48)</f>
        <v>0.53692301124168251</v>
      </c>
      <c r="BL254" s="9">
        <f>1-BJ254-BK254</f>
        <v>0.13439981832532499</v>
      </c>
      <c r="BM254" s="3">
        <f>AY254*BJ254</f>
        <v>1347.7536844157578</v>
      </c>
      <c r="BN254" s="3">
        <f>AY254*BK254</f>
        <v>2201.6739577478793</v>
      </c>
      <c r="BO254" s="3">
        <f>SUM(BM254:BN254)</f>
        <v>3549.4276421636368</v>
      </c>
      <c r="BP254" s="3">
        <f>BE254*BJ254</f>
        <v>1281.4581134546631</v>
      </c>
      <c r="BQ254" s="3">
        <f>BE254*BK254</f>
        <v>2093.3743227427321</v>
      </c>
      <c r="BR254" s="3">
        <f>SUM(BP254:BQ254)</f>
        <v>3374.8324361973955</v>
      </c>
      <c r="BS254" s="3"/>
      <c r="BT254" s="15">
        <f>AF255</f>
        <v>44980</v>
      </c>
      <c r="BU254" s="3">
        <f t="shared" ref="BU254:CA254" si="37">AVERAGE(AG254:AG259)</f>
        <v>50.349999999999994</v>
      </c>
      <c r="BV254" s="13">
        <f t="shared" si="37"/>
        <v>1.0845</v>
      </c>
      <c r="BW254" s="3">
        <f t="shared" si="37"/>
        <v>79.7</v>
      </c>
      <c r="BX254" s="3">
        <f t="shared" si="37"/>
        <v>27.2</v>
      </c>
      <c r="BY254" s="3">
        <f t="shared" si="37"/>
        <v>5.8</v>
      </c>
      <c r="BZ254" s="3">
        <f t="shared" si="37"/>
        <v>78.650000000000006</v>
      </c>
      <c r="CA254" s="3">
        <f t="shared" si="37"/>
        <v>8.8000000000000007</v>
      </c>
      <c r="CB254" s="13"/>
      <c r="CC254" s="10">
        <f>AVERAGE(AO254:AO259)</f>
        <v>14</v>
      </c>
      <c r="CD254" s="4">
        <f>AVERAGE(AP254:AP259)</f>
        <v>0.18</v>
      </c>
      <c r="CE254" s="3">
        <f>AVERAGE(AQ254:AQ259)</f>
        <v>10.35</v>
      </c>
    </row>
    <row r="255" spans="1:83" x14ac:dyDescent="0.25">
      <c r="A255" s="2" t="s">
        <v>16</v>
      </c>
      <c r="B255" s="2">
        <v>1</v>
      </c>
      <c r="C255" t="s">
        <v>5</v>
      </c>
      <c r="D255" s="5" t="str">
        <f t="shared" si="28"/>
        <v>p08-1-MW</v>
      </c>
      <c r="E255" s="5" t="s">
        <v>468</v>
      </c>
      <c r="F255" s="17">
        <v>44881</v>
      </c>
      <c r="G255">
        <v>8</v>
      </c>
      <c r="H255" s="3">
        <v>18.3</v>
      </c>
      <c r="I255" s="3">
        <f t="shared" si="29"/>
        <v>17.84</v>
      </c>
      <c r="J255" s="3">
        <f>($A$58-$A$47)*$A$75</f>
        <v>0.5149999999999999</v>
      </c>
      <c r="K255" s="6">
        <f t="shared" si="30"/>
        <v>4097.284035433071</v>
      </c>
      <c r="L255" s="4">
        <v>8.58</v>
      </c>
      <c r="M255" s="4">
        <v>160.83000000000001</v>
      </c>
      <c r="N255" s="4">
        <f>M255-L255</f>
        <v>152.25</v>
      </c>
      <c r="O255" s="4">
        <v>143.86000000000001</v>
      </c>
      <c r="P255" s="7">
        <f>(N255-O255)/N255*100</f>
        <v>5.5106732348111569</v>
      </c>
      <c r="Q255" s="6">
        <f>K255*(1-P255/100)</f>
        <v>3871.4961007382703</v>
      </c>
      <c r="R255" s="14">
        <v>44882</v>
      </c>
      <c r="S255" s="4">
        <v>8.18</v>
      </c>
      <c r="T255" s="4">
        <v>2.8</v>
      </c>
      <c r="U255" s="4">
        <v>5.98</v>
      </c>
      <c r="V255" s="8">
        <f>(T255-$A$76)/(S255-$A$47*$A$48)</f>
        <v>0.32867717043299255</v>
      </c>
      <c r="W255" s="8">
        <f>(U255-$A$77)/(S255-$A$47*$A$48)</f>
        <v>0.53692301124168251</v>
      </c>
      <c r="X255" s="8">
        <f>1-V255-W255</f>
        <v>0.13439981832532499</v>
      </c>
      <c r="Y255" s="6">
        <f>K255*V255</f>
        <v>1346.6837232264149</v>
      </c>
      <c r="Z255" s="6">
        <f>K255*W255</f>
        <v>2199.9260822171973</v>
      </c>
      <c r="AA255" s="6">
        <f>SUM(Y255:Z255)</f>
        <v>3546.6098054436125</v>
      </c>
      <c r="AB255" s="6">
        <f>Q255*V255</f>
        <v>1272.4723837330187</v>
      </c>
      <c r="AC255" s="6">
        <f>Q255*W255</f>
        <v>2078.6953444188243</v>
      </c>
      <c r="AD255" s="6">
        <f>SUM(AB255:AC255)</f>
        <v>3351.1677281518432</v>
      </c>
      <c r="AE255" s="10">
        <v>990130811029</v>
      </c>
      <c r="AF255" s="14">
        <v>44980</v>
      </c>
      <c r="AG255" s="6">
        <v>52.599999999999994</v>
      </c>
      <c r="AH255" s="11">
        <v>1.069</v>
      </c>
      <c r="AI255" s="6">
        <v>78.900000000000006</v>
      </c>
      <c r="AJ255" s="6">
        <v>26.7</v>
      </c>
      <c r="AK255" s="6">
        <v>6</v>
      </c>
      <c r="AL255" s="6">
        <v>79.599999999999994</v>
      </c>
      <c r="AM255" s="6">
        <v>8.9</v>
      </c>
      <c r="AN255" s="16" t="s">
        <v>148</v>
      </c>
      <c r="AO255" s="12">
        <v>14</v>
      </c>
      <c r="AP255" s="7">
        <v>0.14000000000000001</v>
      </c>
      <c r="AQ255" s="6">
        <v>11</v>
      </c>
      <c r="AV255" s="3"/>
      <c r="AW255" s="3"/>
      <c r="AX255" s="3"/>
      <c r="AY255" s="3"/>
      <c r="AZ255" s="4"/>
      <c r="BA255" s="4"/>
      <c r="BB255" s="4"/>
      <c r="BC255" s="4"/>
      <c r="BD255" s="4"/>
      <c r="BE255" s="3"/>
      <c r="BF255" s="3"/>
      <c r="BG255" s="4"/>
      <c r="BH255" s="4"/>
      <c r="BI255" s="4"/>
      <c r="BJ255" s="9"/>
      <c r="BK255" s="9"/>
      <c r="BL255" s="9"/>
      <c r="BM255" s="3"/>
      <c r="BN255" s="3"/>
      <c r="BO255" s="3"/>
      <c r="BP255" s="3"/>
      <c r="BQ255" s="3"/>
      <c r="BR255" s="3"/>
      <c r="BT255" s="15"/>
      <c r="BU255" s="3"/>
      <c r="BV255" s="13"/>
      <c r="BW255" s="3"/>
      <c r="BX255" s="3"/>
      <c r="BY255" s="3"/>
      <c r="BZ255" s="3"/>
      <c r="CA255" s="3"/>
      <c r="CB255" s="10"/>
      <c r="CC255" s="10"/>
      <c r="CD255" s="4"/>
      <c r="CE255" s="3"/>
    </row>
    <row r="256" spans="1:83" x14ac:dyDescent="0.25">
      <c r="A256" s="2" t="s">
        <v>16</v>
      </c>
      <c r="B256" s="2">
        <v>1</v>
      </c>
      <c r="C256" t="s">
        <v>6</v>
      </c>
      <c r="D256" s="5" t="str">
        <f t="shared" si="28"/>
        <v>p08-1-SW</v>
      </c>
      <c r="E256" s="5" t="s">
        <v>468</v>
      </c>
      <c r="F256" s="17">
        <v>44881</v>
      </c>
      <c r="G256">
        <v>8</v>
      </c>
      <c r="H256" s="3">
        <v>16.3</v>
      </c>
      <c r="I256" s="3">
        <f t="shared" si="29"/>
        <v>15.84</v>
      </c>
      <c r="J256" s="3">
        <f>($A$58-$A$47)*$A$75</f>
        <v>0.5149999999999999</v>
      </c>
      <c r="K256" s="6">
        <f t="shared" si="30"/>
        <v>3650.8352165354331</v>
      </c>
      <c r="L256" s="4"/>
      <c r="M256" s="4"/>
      <c r="N256" s="4"/>
      <c r="O256" s="4"/>
      <c r="P256" s="7"/>
      <c r="Q256" s="6"/>
      <c r="R256" s="14"/>
      <c r="S256" s="4"/>
      <c r="T256" s="4"/>
      <c r="U256" s="4"/>
      <c r="V256" s="8"/>
      <c r="W256" s="8"/>
      <c r="X256" s="8"/>
      <c r="Y256" s="6"/>
      <c r="Z256" s="6"/>
      <c r="AA256" s="6"/>
      <c r="AB256" s="6"/>
      <c r="AC256" s="6"/>
      <c r="AD256" s="6"/>
      <c r="AE256" s="10"/>
      <c r="AF256" s="14"/>
      <c r="AG256" s="6"/>
      <c r="AH256" s="11"/>
      <c r="AI256" s="6"/>
      <c r="AJ256" s="6"/>
      <c r="AK256" s="6"/>
      <c r="AL256" s="6"/>
      <c r="AM256" s="6"/>
      <c r="AN256" s="16"/>
      <c r="AO256" s="12"/>
      <c r="AP256" s="7"/>
      <c r="AQ256" s="6"/>
      <c r="AV256" s="3"/>
      <c r="AW256" s="3"/>
      <c r="AX256" s="3"/>
      <c r="AY256" s="3"/>
      <c r="AZ256" s="4"/>
      <c r="BA256" s="4"/>
      <c r="BB256" s="4"/>
      <c r="BC256" s="4"/>
      <c r="BD256" s="4"/>
      <c r="BE256" s="3"/>
      <c r="BF256" s="3"/>
      <c r="BG256" s="4"/>
      <c r="BH256" s="4"/>
      <c r="BI256" s="4"/>
      <c r="BJ256" s="9"/>
      <c r="BK256" s="9"/>
      <c r="BL256" s="9"/>
      <c r="BM256" s="3"/>
      <c r="BN256" s="3"/>
      <c r="BO256" s="3"/>
      <c r="BP256" s="3"/>
      <c r="BQ256" s="3"/>
      <c r="BR256" s="3"/>
      <c r="BS256" s="4"/>
      <c r="BT256" s="15"/>
      <c r="BU256" s="3"/>
      <c r="BV256" s="13"/>
      <c r="BW256" s="3"/>
      <c r="BX256" s="3"/>
      <c r="BY256" s="3"/>
      <c r="BZ256" s="3"/>
      <c r="CA256" s="3"/>
      <c r="CB256" s="10"/>
      <c r="CC256" s="10"/>
      <c r="CD256" s="4"/>
      <c r="CE256" s="3"/>
    </row>
    <row r="257" spans="1:83" x14ac:dyDescent="0.25">
      <c r="A257" s="2" t="s">
        <v>16</v>
      </c>
      <c r="B257" s="2">
        <v>1</v>
      </c>
      <c r="C257" t="s">
        <v>7</v>
      </c>
      <c r="D257" s="5" t="str">
        <f t="shared" si="28"/>
        <v>p08-1-NE</v>
      </c>
      <c r="E257" s="5" t="s">
        <v>468</v>
      </c>
      <c r="F257" s="17">
        <v>44881</v>
      </c>
      <c r="G257">
        <v>20</v>
      </c>
      <c r="H257" s="3">
        <v>18.100000000000001</v>
      </c>
      <c r="I257" s="3">
        <f t="shared" si="29"/>
        <v>17.64</v>
      </c>
      <c r="J257" s="3">
        <f>($A$70-$A$47)*$A$75</f>
        <v>0.5774999999999999</v>
      </c>
      <c r="K257" s="6">
        <f t="shared" si="30"/>
        <v>4066.5906791338584</v>
      </c>
      <c r="L257" s="4"/>
      <c r="M257" s="4"/>
      <c r="N257" s="4"/>
      <c r="O257" s="4"/>
      <c r="P257" s="7"/>
      <c r="Q257" s="6"/>
      <c r="R257" s="14"/>
      <c r="S257" s="4"/>
      <c r="T257" s="4"/>
      <c r="U257" s="4"/>
      <c r="V257" s="8"/>
      <c r="W257" s="8"/>
      <c r="X257" s="8"/>
      <c r="Y257" s="6"/>
      <c r="Z257" s="6"/>
      <c r="AA257" s="6"/>
      <c r="AB257" s="6"/>
      <c r="AC257" s="6"/>
      <c r="AD257" s="6"/>
      <c r="AE257" s="10"/>
      <c r="AF257" s="14"/>
      <c r="AG257" s="6"/>
      <c r="AH257" s="11"/>
      <c r="AI257" s="6"/>
      <c r="AJ257" s="6"/>
      <c r="AK257" s="6"/>
      <c r="AL257" s="6"/>
      <c r="AM257" s="6"/>
      <c r="AN257" s="16"/>
      <c r="AO257" s="12"/>
      <c r="AP257" s="7"/>
      <c r="AQ257" s="6"/>
      <c r="AV257" s="3"/>
      <c r="AW257" s="3"/>
      <c r="AX257" s="3"/>
      <c r="AY257" s="3"/>
      <c r="AZ257" s="4"/>
      <c r="BA257" s="4"/>
      <c r="BB257" s="4"/>
      <c r="BC257" s="4"/>
      <c r="BD257" s="4"/>
      <c r="BE257" s="3"/>
      <c r="BF257" s="3"/>
      <c r="BG257" s="4"/>
      <c r="BH257" s="4"/>
      <c r="BI257" s="4"/>
      <c r="BJ257" s="9"/>
      <c r="BK257" s="9"/>
      <c r="BL257" s="9"/>
      <c r="BM257" s="3"/>
      <c r="BN257" s="3"/>
      <c r="BO257" s="3"/>
      <c r="BP257" s="3"/>
      <c r="BQ257" s="3"/>
      <c r="BR257" s="3"/>
      <c r="BT257" s="15"/>
      <c r="BU257" s="3"/>
      <c r="BV257" s="13"/>
      <c r="BW257" s="3"/>
      <c r="BX257" s="3"/>
      <c r="BY257" s="3"/>
      <c r="BZ257" s="3"/>
      <c r="CA257" s="3"/>
      <c r="CB257" s="10"/>
      <c r="CC257" s="10"/>
      <c r="CD257" s="4"/>
      <c r="CE257" s="3"/>
    </row>
    <row r="258" spans="1:83" x14ac:dyDescent="0.25">
      <c r="A258" s="2" t="s">
        <v>16</v>
      </c>
      <c r="B258" s="2">
        <v>1</v>
      </c>
      <c r="C258" t="s">
        <v>18</v>
      </c>
      <c r="D258" s="5" t="str">
        <f t="shared" si="28"/>
        <v>p08-1-ME</v>
      </c>
      <c r="E258" s="5" t="s">
        <v>468</v>
      </c>
      <c r="F258" s="17">
        <v>44881</v>
      </c>
      <c r="G258">
        <v>20</v>
      </c>
      <c r="H258" s="3">
        <v>16.5</v>
      </c>
      <c r="I258" s="3">
        <f t="shared" si="29"/>
        <v>16.04</v>
      </c>
      <c r="J258" s="3">
        <f>($A$70-$A$47)*$A$75</f>
        <v>0.5774999999999999</v>
      </c>
      <c r="K258" s="6">
        <f t="shared" si="30"/>
        <v>3709.4316240157477</v>
      </c>
      <c r="L258" s="4">
        <v>8.76</v>
      </c>
      <c r="M258" s="4">
        <v>154.54</v>
      </c>
      <c r="N258" s="4">
        <f>M258-L258</f>
        <v>145.78</v>
      </c>
      <c r="O258" s="4">
        <v>139.51</v>
      </c>
      <c r="P258" s="7">
        <f>(N258-O258)/N258*100</f>
        <v>4.3010015091233438</v>
      </c>
      <c r="Q258" s="6">
        <f>K258*(1-P258/100)</f>
        <v>3549.8889138869317</v>
      </c>
      <c r="R258" s="14"/>
      <c r="S258" s="4"/>
      <c r="T258" s="4"/>
      <c r="U258" s="4"/>
      <c r="V258" s="8"/>
      <c r="W258" s="8"/>
      <c r="X258" s="8"/>
      <c r="Y258" s="6"/>
      <c r="Z258" s="6"/>
      <c r="AA258" s="6"/>
      <c r="AB258" s="6"/>
      <c r="AC258" s="6"/>
      <c r="AD258" s="6"/>
      <c r="AE258" s="10">
        <v>990130812077</v>
      </c>
      <c r="AF258" s="14">
        <v>44980</v>
      </c>
      <c r="AG258" s="6">
        <v>48.099999999999994</v>
      </c>
      <c r="AH258" s="11">
        <v>1.1000000000000001</v>
      </c>
      <c r="AI258" s="6">
        <v>80.5</v>
      </c>
      <c r="AJ258" s="6">
        <v>27.7</v>
      </c>
      <c r="AK258" s="6">
        <v>5.6</v>
      </c>
      <c r="AL258" s="6">
        <v>77.7</v>
      </c>
      <c r="AM258" s="6">
        <v>8.6999999999999993</v>
      </c>
      <c r="AN258" s="16" t="s">
        <v>149</v>
      </c>
      <c r="AO258" s="12">
        <v>14</v>
      </c>
      <c r="AP258" s="7">
        <v>0.22</v>
      </c>
      <c r="AQ258" s="6">
        <v>9.6999999999999993</v>
      </c>
      <c r="AV258" s="3"/>
      <c r="AW258" s="3"/>
      <c r="AX258" s="3"/>
      <c r="AY258" s="3"/>
      <c r="AZ258" s="4"/>
      <c r="BA258" s="4"/>
      <c r="BB258" s="4"/>
      <c r="BC258" s="4"/>
      <c r="BD258" s="4"/>
      <c r="BE258" s="3"/>
      <c r="BF258" s="3"/>
      <c r="BG258" s="4"/>
      <c r="BH258" s="4"/>
      <c r="BI258" s="4"/>
      <c r="BJ258" s="9"/>
      <c r="BK258" s="9"/>
      <c r="BL258" s="9"/>
      <c r="BM258" s="3"/>
      <c r="BN258" s="3"/>
      <c r="BO258" s="3"/>
      <c r="BP258" s="3"/>
      <c r="BQ258" s="3"/>
      <c r="BR258" s="3"/>
      <c r="BT258" s="15"/>
      <c r="BU258" s="3"/>
      <c r="BV258" s="13"/>
      <c r="BW258" s="3"/>
      <c r="BX258" s="3"/>
      <c r="BY258" s="3"/>
      <c r="BZ258" s="3"/>
      <c r="CA258" s="3"/>
      <c r="CB258" s="10"/>
      <c r="CC258" s="10"/>
      <c r="CD258" s="4"/>
      <c r="CE258" s="3"/>
    </row>
    <row r="259" spans="1:83" x14ac:dyDescent="0.25">
      <c r="A259" s="2" t="s">
        <v>16</v>
      </c>
      <c r="B259" s="2">
        <v>1</v>
      </c>
      <c r="C259" t="s">
        <v>8</v>
      </c>
      <c r="D259" s="5" t="str">
        <f t="shared" si="28"/>
        <v>p08-1-SE</v>
      </c>
      <c r="E259" s="5" t="s">
        <v>468</v>
      </c>
      <c r="F259" s="17">
        <v>44881</v>
      </c>
      <c r="G259">
        <v>20</v>
      </c>
      <c r="H259" s="3">
        <v>20.7</v>
      </c>
      <c r="I259" s="3">
        <f t="shared" si="29"/>
        <v>20.239999999999998</v>
      </c>
      <c r="J259" s="3">
        <f>($A$70-$A$47)*$A$75</f>
        <v>0.5774999999999999</v>
      </c>
      <c r="K259" s="6">
        <f t="shared" si="30"/>
        <v>4646.974143700787</v>
      </c>
      <c r="L259" s="4"/>
      <c r="M259" s="4"/>
      <c r="N259" s="4"/>
      <c r="O259" s="4"/>
      <c r="P259" s="7"/>
      <c r="Q259" s="6"/>
      <c r="R259" s="14"/>
      <c r="S259" s="4"/>
      <c r="T259" s="4"/>
      <c r="U259" s="4"/>
      <c r="V259" s="8"/>
      <c r="W259" s="8"/>
      <c r="X259" s="8"/>
      <c r="Y259" s="6"/>
      <c r="Z259" s="6"/>
      <c r="AA259" s="6"/>
      <c r="AB259" s="6"/>
      <c r="AC259" s="6"/>
      <c r="AD259" s="6"/>
      <c r="AE259" s="10"/>
      <c r="AF259" s="14"/>
      <c r="AG259" s="6"/>
      <c r="AH259" s="11"/>
      <c r="AI259" s="6"/>
      <c r="AJ259" s="6"/>
      <c r="AK259" s="6"/>
      <c r="AL259" s="6"/>
      <c r="AM259" s="6"/>
      <c r="AN259" s="16"/>
      <c r="AO259" s="12"/>
      <c r="AP259" s="7"/>
      <c r="AQ259" s="6"/>
      <c r="AV259" s="3"/>
      <c r="AW259" s="3"/>
      <c r="AX259" s="3"/>
      <c r="AY259" s="3"/>
      <c r="AZ259" s="4"/>
      <c r="BA259" s="4"/>
      <c r="BB259" s="4"/>
      <c r="BC259" s="4"/>
      <c r="BD259" s="4"/>
      <c r="BE259" s="3"/>
      <c r="BF259" s="3"/>
      <c r="BG259" s="4"/>
      <c r="BH259" s="4"/>
      <c r="BI259" s="4"/>
      <c r="BJ259" s="9"/>
      <c r="BK259" s="9"/>
      <c r="BL259" s="9"/>
      <c r="BM259" s="3"/>
      <c r="BN259" s="3"/>
      <c r="BO259" s="3"/>
      <c r="BP259" s="3"/>
      <c r="BQ259" s="3"/>
      <c r="BR259" s="3"/>
      <c r="BT259" s="15"/>
      <c r="BU259" s="3"/>
      <c r="BV259" s="13"/>
      <c r="BW259" s="3"/>
      <c r="BX259" s="3"/>
      <c r="BY259" s="3"/>
      <c r="BZ259" s="3"/>
      <c r="CA259" s="3"/>
      <c r="CB259" s="10"/>
      <c r="CC259" s="10"/>
      <c r="CD259" s="4"/>
      <c r="CE259" s="3"/>
    </row>
    <row r="260" spans="1:83" x14ac:dyDescent="0.25">
      <c r="A260" s="2" t="s">
        <v>16</v>
      </c>
      <c r="B260" s="2">
        <v>2</v>
      </c>
      <c r="C260" t="s">
        <v>4</v>
      </c>
      <c r="D260" s="5" t="str">
        <f t="shared" si="28"/>
        <v>p08-2-NW</v>
      </c>
      <c r="E260" s="5" t="s">
        <v>468</v>
      </c>
      <c r="F260" s="17">
        <v>44881</v>
      </c>
      <c r="G260">
        <v>8</v>
      </c>
      <c r="H260" s="3">
        <v>24.7</v>
      </c>
      <c r="I260" s="3">
        <f t="shared" si="29"/>
        <v>24.24</v>
      </c>
      <c r="J260" s="3">
        <f>($A$58-$A$47)*$A$75</f>
        <v>0.5149999999999999</v>
      </c>
      <c r="K260" s="6">
        <f t="shared" si="30"/>
        <v>5525.9202559055111</v>
      </c>
      <c r="L260" s="4"/>
      <c r="M260" s="4"/>
      <c r="N260" s="4"/>
      <c r="O260" s="4"/>
      <c r="P260" s="7"/>
      <c r="Q260" s="6"/>
      <c r="R260" s="14"/>
      <c r="S260" s="4"/>
      <c r="T260" s="4"/>
      <c r="U260" s="4"/>
      <c r="V260" s="8"/>
      <c r="W260" s="8"/>
      <c r="X260" s="8"/>
      <c r="Y260" s="6"/>
      <c r="Z260" s="6"/>
      <c r="AA260" s="6"/>
      <c r="AB260" s="6"/>
      <c r="AC260" s="6"/>
      <c r="AD260" s="6"/>
      <c r="AE260" s="10"/>
      <c r="AF260" s="14"/>
      <c r="AG260" s="6"/>
      <c r="AH260" s="11"/>
      <c r="AI260" s="6"/>
      <c r="AJ260" s="6"/>
      <c r="AK260" s="6"/>
      <c r="AL260" s="6"/>
      <c r="AM260" s="6"/>
      <c r="AN260" s="16"/>
      <c r="AO260" s="12"/>
      <c r="AP260" s="7"/>
      <c r="AQ260" s="6"/>
      <c r="AS260" t="s">
        <v>115</v>
      </c>
      <c r="AT260" s="4" t="str">
        <f>E260</f>
        <v>Machine</v>
      </c>
      <c r="AU260" s="15">
        <f>F260</f>
        <v>44881</v>
      </c>
      <c r="AV260" s="3">
        <f>SUM(H260:H265)</f>
        <v>130.69999999999999</v>
      </c>
      <c r="AW260" s="3">
        <f>AV260-6*$A$47</f>
        <v>127.93999999999998</v>
      </c>
      <c r="AX260" s="3">
        <f>SUM(J260:J265)</f>
        <v>3.277499999999999</v>
      </c>
      <c r="AY260" s="3">
        <f>(AW260+AX260)*$A$48/(6*$A$49)*$A$50</f>
        <v>4881.8248244750648</v>
      </c>
      <c r="AZ260" s="4">
        <f>SUM(L260:L265)</f>
        <v>17.369999999999997</v>
      </c>
      <c r="BA260" s="4">
        <f>SUM(M260:M265)</f>
        <v>347.57</v>
      </c>
      <c r="BB260" s="4">
        <f>BA260-AZ260</f>
        <v>330.2</v>
      </c>
      <c r="BC260" s="4">
        <f>SUM(O260:O265)</f>
        <v>313.94</v>
      </c>
      <c r="BD260" s="4">
        <f>(BB260-BC260)/BB260*100</f>
        <v>4.9242883101150792</v>
      </c>
      <c r="BE260" s="3">
        <f>AY260*(1-BD260/100)</f>
        <v>4641.4296953231433</v>
      </c>
      <c r="BF260" s="15">
        <f>R261</f>
        <v>44882</v>
      </c>
      <c r="BG260" s="4">
        <f>SUM(S260:S265)</f>
        <v>19.05</v>
      </c>
      <c r="BH260" s="4">
        <f>SUM(T260:T265)</f>
        <v>6.34</v>
      </c>
      <c r="BI260" s="4">
        <f>SUM(U260:U265)</f>
        <v>13.54</v>
      </c>
      <c r="BJ260" s="9">
        <f>(BH260-2*$A$76)/(BG260-2*$A$47*$A$48)</f>
        <v>0.32094122103437855</v>
      </c>
      <c r="BK260" s="9">
        <f>(BI260-2*$A$77)/(BG260-2*$A$47*$A$48)</f>
        <v>0.54420467914525061</v>
      </c>
      <c r="BL260" s="9">
        <f>1-BJ260-BK260</f>
        <v>0.13485409982037089</v>
      </c>
      <c r="BM260" s="3">
        <f>AY260*BJ260</f>
        <v>1566.7788200429682</v>
      </c>
      <c r="BN260" s="3">
        <f>AY260*BK260</f>
        <v>2656.711912246772</v>
      </c>
      <c r="BO260" s="3">
        <f>SUM(BM260:BN260)</f>
        <v>4223.4907322897398</v>
      </c>
      <c r="BP260" s="3">
        <f>BE260*BJ260</f>
        <v>1489.6261137622332</v>
      </c>
      <c r="BQ260" s="3">
        <f>BE260*BK260</f>
        <v>2525.8877581185693</v>
      </c>
      <c r="BR260" s="3">
        <f>SUM(BP260:BQ260)</f>
        <v>4015.5138718808025</v>
      </c>
      <c r="BS260" s="3"/>
      <c r="BT260" s="15">
        <f>AF261</f>
        <v>44980</v>
      </c>
      <c r="BU260" s="3">
        <f t="shared" ref="BU260:CA260" si="38">AVERAGE(AG260:AG265)</f>
        <v>44.15</v>
      </c>
      <c r="BV260" s="13">
        <f t="shared" si="38"/>
        <v>1.1825000000000001</v>
      </c>
      <c r="BW260" s="3">
        <f t="shared" si="38"/>
        <v>81.150000000000006</v>
      </c>
      <c r="BX260" s="3">
        <f t="shared" si="38"/>
        <v>29.95</v>
      </c>
      <c r="BY260" s="3">
        <f t="shared" si="38"/>
        <v>6.15</v>
      </c>
      <c r="BZ260" s="3">
        <f t="shared" si="38"/>
        <v>81.5</v>
      </c>
      <c r="CA260" s="3">
        <f t="shared" si="38"/>
        <v>8</v>
      </c>
      <c r="CB260" s="13"/>
      <c r="CC260" s="10">
        <f>AVERAGE(AO260:AO265)</f>
        <v>14</v>
      </c>
      <c r="CD260" s="4">
        <f>AVERAGE(AP260:AP265)</f>
        <v>0.17499999999999999</v>
      </c>
      <c r="CE260" s="3">
        <f>AVERAGE(AQ260:AQ265)</f>
        <v>9</v>
      </c>
    </row>
    <row r="261" spans="1:83" x14ac:dyDescent="0.25">
      <c r="A261" s="2" t="s">
        <v>16</v>
      </c>
      <c r="B261" s="2">
        <v>2</v>
      </c>
      <c r="C261" t="s">
        <v>5</v>
      </c>
      <c r="D261" s="5" t="str">
        <f t="shared" si="28"/>
        <v>p08-2-MW</v>
      </c>
      <c r="E261" s="5" t="s">
        <v>468</v>
      </c>
      <c r="F261" s="17">
        <v>44881</v>
      </c>
      <c r="G261">
        <v>8</v>
      </c>
      <c r="H261" s="3">
        <v>19.899999999999999</v>
      </c>
      <c r="I261" s="3">
        <f t="shared" si="29"/>
        <v>19.439999999999998</v>
      </c>
      <c r="J261" s="3">
        <f>($A$58-$A$47)*$A$75</f>
        <v>0.5149999999999999</v>
      </c>
      <c r="K261" s="6">
        <f t="shared" si="30"/>
        <v>4454.4430905511808</v>
      </c>
      <c r="L261" s="4">
        <v>8.6</v>
      </c>
      <c r="M261" s="4">
        <v>163.47</v>
      </c>
      <c r="N261" s="4">
        <f>M261-L261</f>
        <v>154.87</v>
      </c>
      <c r="O261" s="4">
        <v>146.07</v>
      </c>
      <c r="P261" s="7">
        <f>(N261-O261)/N261*100</f>
        <v>5.6821850584361151</v>
      </c>
      <c r="Q261" s="6">
        <f>K261*(1-P261/100)</f>
        <v>4201.3333908233417</v>
      </c>
      <c r="R261" s="14">
        <v>44882</v>
      </c>
      <c r="S261" s="4">
        <v>8.83</v>
      </c>
      <c r="T261" s="4">
        <v>2.92</v>
      </c>
      <c r="U261" s="4">
        <v>6.48</v>
      </c>
      <c r="V261" s="8">
        <f>(T261-$A$76)/(S261-$A$47*$A$48)</f>
        <v>0.31781574084482345</v>
      </c>
      <c r="W261" s="8">
        <f>(U261-$A$77)/(S261-$A$47*$A$48)</f>
        <v>0.5544376792840352</v>
      </c>
      <c r="X261" s="8">
        <f>1-V261-W261</f>
        <v>0.12774657987114135</v>
      </c>
      <c r="Y261" s="6">
        <f>K261*V261</f>
        <v>1415.6921308746284</v>
      </c>
      <c r="Z261" s="6">
        <f>K261*W261</f>
        <v>2469.7110896280024</v>
      </c>
      <c r="AA261" s="6">
        <f>SUM(Y261:Z261)</f>
        <v>3885.4032205026306</v>
      </c>
      <c r="AB261" s="6">
        <f>Q261*V261</f>
        <v>1335.2498841406145</v>
      </c>
      <c r="AC261" s="6">
        <f>Q261*W261</f>
        <v>2329.3775351066201</v>
      </c>
      <c r="AD261" s="6">
        <f>SUM(AB261:AC261)</f>
        <v>3664.6274192472347</v>
      </c>
      <c r="AE261" s="10">
        <v>990130821030</v>
      </c>
      <c r="AF261" s="14">
        <v>44980</v>
      </c>
      <c r="AG261" s="6">
        <v>44</v>
      </c>
      <c r="AH261" s="11">
        <v>1.179</v>
      </c>
      <c r="AI261" s="6">
        <v>81.099999999999994</v>
      </c>
      <c r="AJ261" s="6">
        <v>30.9</v>
      </c>
      <c r="AK261" s="6">
        <v>6.1</v>
      </c>
      <c r="AL261" s="6">
        <v>81.400000000000006</v>
      </c>
      <c r="AM261" s="6">
        <v>8.3000000000000007</v>
      </c>
      <c r="AN261" s="16" t="s">
        <v>148</v>
      </c>
      <c r="AO261" s="12">
        <v>9</v>
      </c>
      <c r="AP261" s="7">
        <v>0.17</v>
      </c>
      <c r="AQ261" s="6">
        <v>8.8000000000000007</v>
      </c>
      <c r="AV261" s="3"/>
      <c r="AW261" s="3"/>
      <c r="AX261" s="3"/>
      <c r="AY261" s="3"/>
      <c r="AZ261" s="4"/>
      <c r="BA261" s="4"/>
      <c r="BB261" s="4"/>
      <c r="BC261" s="4"/>
      <c r="BD261" s="4"/>
      <c r="BE261" s="3"/>
      <c r="BF261" s="3"/>
      <c r="BG261" s="4"/>
      <c r="BH261" s="4"/>
      <c r="BI261" s="4"/>
      <c r="BJ261" s="9"/>
      <c r="BK261" s="9"/>
      <c r="BL261" s="9"/>
      <c r="BM261" s="3"/>
      <c r="BN261" s="3"/>
      <c r="BO261" s="3"/>
      <c r="BP261" s="3"/>
      <c r="BQ261" s="3"/>
      <c r="BR261" s="3"/>
      <c r="BT261" s="15"/>
      <c r="BU261" s="3"/>
      <c r="BV261" s="13"/>
      <c r="BW261" s="3"/>
      <c r="BX261" s="3"/>
      <c r="BY261" s="3"/>
      <c r="BZ261" s="3"/>
      <c r="CA261" s="3"/>
      <c r="CB261" s="10"/>
      <c r="CC261" s="10"/>
      <c r="CD261" s="4"/>
      <c r="CE261" s="3"/>
    </row>
    <row r="262" spans="1:83" x14ac:dyDescent="0.25">
      <c r="A262" s="2" t="s">
        <v>16</v>
      </c>
      <c r="B262" s="2">
        <v>2</v>
      </c>
      <c r="C262" t="s">
        <v>6</v>
      </c>
      <c r="D262" s="5" t="str">
        <f t="shared" si="28"/>
        <v>p08-2-SW</v>
      </c>
      <c r="E262" s="5" t="s">
        <v>468</v>
      </c>
      <c r="F262" s="17">
        <v>44881</v>
      </c>
      <c r="G262">
        <v>8</v>
      </c>
      <c r="H262" s="3">
        <v>18.2</v>
      </c>
      <c r="I262" s="3">
        <f t="shared" si="29"/>
        <v>17.739999999999998</v>
      </c>
      <c r="J262" s="3">
        <f>($A$58-$A$47)*$A$75</f>
        <v>0.5149999999999999</v>
      </c>
      <c r="K262" s="6">
        <f t="shared" si="30"/>
        <v>4074.9615944881889</v>
      </c>
      <c r="L262" s="4"/>
      <c r="M262" s="4"/>
      <c r="N262" s="4"/>
      <c r="O262" s="4"/>
      <c r="P262" s="7"/>
      <c r="Q262" s="6"/>
      <c r="R262" s="14"/>
      <c r="S262" s="4"/>
      <c r="T262" s="4"/>
      <c r="U262" s="4"/>
      <c r="V262" s="8"/>
      <c r="W262" s="8"/>
      <c r="X262" s="8"/>
      <c r="Y262" s="6"/>
      <c r="Z262" s="6"/>
      <c r="AA262" s="6"/>
      <c r="AB262" s="6"/>
      <c r="AC262" s="6"/>
      <c r="AD262" s="6"/>
      <c r="AE262" s="10"/>
      <c r="AF262" s="14"/>
      <c r="AG262" s="6"/>
      <c r="AH262" s="11"/>
      <c r="AI262" s="6"/>
      <c r="AJ262" s="6"/>
      <c r="AK262" s="6"/>
      <c r="AL262" s="6"/>
      <c r="AM262" s="6"/>
      <c r="AN262" s="16"/>
      <c r="AO262" s="12"/>
      <c r="AP262" s="7"/>
      <c r="AQ262" s="6"/>
      <c r="AV262" s="3"/>
      <c r="AW262" s="3"/>
      <c r="AX262" s="3"/>
      <c r="AY262" s="3"/>
      <c r="AZ262" s="4"/>
      <c r="BA262" s="4"/>
      <c r="BB262" s="4"/>
      <c r="BC262" s="4"/>
      <c r="BD262" s="4"/>
      <c r="BE262" s="3"/>
      <c r="BF262" s="3"/>
      <c r="BG262" s="4"/>
      <c r="BH262" s="4"/>
      <c r="BI262" s="4"/>
      <c r="BJ262" s="9"/>
      <c r="BK262" s="9"/>
      <c r="BL262" s="9"/>
      <c r="BM262" s="3"/>
      <c r="BN262" s="3"/>
      <c r="BO262" s="3"/>
      <c r="BP262" s="3"/>
      <c r="BQ262" s="3"/>
      <c r="BR262" s="3"/>
      <c r="BT262" s="15"/>
      <c r="BU262" s="3"/>
      <c r="BV262" s="13"/>
      <c r="BW262" s="3"/>
      <c r="BX262" s="3"/>
      <c r="BY262" s="3"/>
      <c r="BZ262" s="3"/>
      <c r="CA262" s="3"/>
      <c r="CB262" s="10"/>
      <c r="CC262" s="10"/>
      <c r="CD262" s="4"/>
      <c r="CE262" s="3"/>
    </row>
    <row r="263" spans="1:83" x14ac:dyDescent="0.25">
      <c r="A263" s="2" t="s">
        <v>16</v>
      </c>
      <c r="B263" s="2">
        <v>2</v>
      </c>
      <c r="C263" t="s">
        <v>7</v>
      </c>
      <c r="D263" s="5" t="str">
        <f t="shared" si="28"/>
        <v>p08-2-NE</v>
      </c>
      <c r="E263" s="5" t="s">
        <v>468</v>
      </c>
      <c r="F263" s="17">
        <v>44881</v>
      </c>
      <c r="G263">
        <v>20</v>
      </c>
      <c r="H263" s="3">
        <v>24.8</v>
      </c>
      <c r="I263" s="3">
        <f t="shared" si="29"/>
        <v>24.34</v>
      </c>
      <c r="J263" s="3">
        <f>($A$70-$A$47)*$A$75</f>
        <v>0.5774999999999999</v>
      </c>
      <c r="K263" s="6">
        <f t="shared" si="30"/>
        <v>5562.1942224409449</v>
      </c>
      <c r="L263" s="4"/>
      <c r="M263" s="4"/>
      <c r="N263" s="4"/>
      <c r="O263" s="4"/>
      <c r="P263" s="7"/>
      <c r="Q263" s="6"/>
      <c r="R263" s="14"/>
      <c r="S263" s="4"/>
      <c r="T263" s="4"/>
      <c r="U263" s="4"/>
      <c r="V263" s="8"/>
      <c r="W263" s="8"/>
      <c r="X263" s="8"/>
      <c r="Y263" s="6"/>
      <c r="Z263" s="6"/>
      <c r="AA263" s="6"/>
      <c r="AB263" s="6"/>
      <c r="AC263" s="6"/>
      <c r="AD263" s="6"/>
      <c r="AE263" s="10"/>
      <c r="AF263" s="14"/>
      <c r="AG263" s="6"/>
      <c r="AH263" s="11"/>
      <c r="AI263" s="6"/>
      <c r="AJ263" s="6"/>
      <c r="AK263" s="6"/>
      <c r="AL263" s="6"/>
      <c r="AM263" s="6"/>
      <c r="AN263" s="16"/>
      <c r="AO263" s="12"/>
      <c r="AP263" s="7"/>
      <c r="AQ263" s="6"/>
      <c r="AV263" s="3"/>
      <c r="AW263" s="3"/>
      <c r="AX263" s="3"/>
      <c r="AY263" s="3"/>
      <c r="AZ263" s="4"/>
      <c r="BA263" s="4"/>
      <c r="BB263" s="4"/>
      <c r="BC263" s="4"/>
      <c r="BD263" s="4"/>
      <c r="BE263" s="3"/>
      <c r="BF263" s="3"/>
      <c r="BG263" s="4"/>
      <c r="BH263" s="4"/>
      <c r="BI263" s="4"/>
      <c r="BJ263" s="9"/>
      <c r="BK263" s="9"/>
      <c r="BL263" s="9"/>
      <c r="BM263" s="3"/>
      <c r="BN263" s="3"/>
      <c r="BO263" s="3"/>
      <c r="BP263" s="3"/>
      <c r="BQ263" s="3"/>
      <c r="BR263" s="3"/>
      <c r="BT263" s="15"/>
      <c r="BU263" s="3"/>
      <c r="BV263" s="13"/>
      <c r="BW263" s="3"/>
      <c r="BX263" s="3"/>
      <c r="BY263" s="3"/>
      <c r="BZ263" s="3"/>
      <c r="CA263" s="3"/>
      <c r="CB263" s="10"/>
      <c r="CC263" s="10"/>
      <c r="CD263" s="4"/>
      <c r="CE263" s="3"/>
    </row>
    <row r="264" spans="1:83" x14ac:dyDescent="0.25">
      <c r="A264" s="2" t="s">
        <v>16</v>
      </c>
      <c r="B264" s="2">
        <v>2</v>
      </c>
      <c r="C264" t="s">
        <v>18</v>
      </c>
      <c r="D264" s="5" t="str">
        <f t="shared" si="28"/>
        <v>p08-2-ME</v>
      </c>
      <c r="E264" s="5" t="s">
        <v>468</v>
      </c>
      <c r="F264" s="17">
        <v>44881</v>
      </c>
      <c r="G264">
        <v>20</v>
      </c>
      <c r="H264" s="3">
        <v>23.1</v>
      </c>
      <c r="I264" s="3">
        <f t="shared" si="29"/>
        <v>22.64</v>
      </c>
      <c r="J264" s="3">
        <f>($A$70-$A$47)*$A$75</f>
        <v>0.5774999999999999</v>
      </c>
      <c r="K264" s="6">
        <f t="shared" si="30"/>
        <v>5182.712726377953</v>
      </c>
      <c r="L264" s="4">
        <v>8.77</v>
      </c>
      <c r="M264" s="4">
        <v>184.1</v>
      </c>
      <c r="N264" s="4">
        <f>M264-L264</f>
        <v>175.32999999999998</v>
      </c>
      <c r="O264" s="4">
        <v>167.87</v>
      </c>
      <c r="P264" s="7">
        <f>(N264-O264)/N264*100</f>
        <v>4.2548337420863396</v>
      </c>
      <c r="Q264" s="6">
        <f>K264*(1-P264/100)</f>
        <v>4962.1969165406208</v>
      </c>
      <c r="R264" s="14">
        <v>44882</v>
      </c>
      <c r="S264" s="4">
        <v>10.220000000000001</v>
      </c>
      <c r="T264" s="4">
        <v>3.42</v>
      </c>
      <c r="U264" s="4">
        <v>7.06</v>
      </c>
      <c r="V264" s="8">
        <f>(T264-$A$76)/(S264-$A$47*$A$48)</f>
        <v>0.32363275190938129</v>
      </c>
      <c r="W264" s="8">
        <f>(U264-$A$77)/(S264-$A$47*$A$48)</f>
        <v>0.53539245377601341</v>
      </c>
      <c r="X264" s="8">
        <f>1-V264-W264</f>
        <v>0.14097479431460525</v>
      </c>
      <c r="Y264" s="6">
        <f>K264*V264</f>
        <v>1677.2955819934691</v>
      </c>
      <c r="Z264" s="6">
        <f>K264*W264</f>
        <v>2774.7852837916648</v>
      </c>
      <c r="AA264" s="6">
        <f>SUM(Y264:Z264)</f>
        <v>4452.0808657851339</v>
      </c>
      <c r="AB264" s="6">
        <f>Q264*V264</f>
        <v>1605.9294436162875</v>
      </c>
      <c r="AC264" s="6">
        <f>Q264*W264</f>
        <v>2656.7227832664507</v>
      </c>
      <c r="AD264" s="6">
        <f>SUM(AB264:AC264)</f>
        <v>4262.6522268827384</v>
      </c>
      <c r="AE264" s="10">
        <v>990130822078</v>
      </c>
      <c r="AF264" s="14">
        <v>44980</v>
      </c>
      <c r="AG264" s="6">
        <v>44.3</v>
      </c>
      <c r="AH264" s="11">
        <v>1.1859999999999999</v>
      </c>
      <c r="AI264" s="6">
        <v>81.2</v>
      </c>
      <c r="AJ264" s="6">
        <v>29</v>
      </c>
      <c r="AK264" s="6">
        <v>6.2</v>
      </c>
      <c r="AL264" s="6">
        <v>81.599999999999994</v>
      </c>
      <c r="AM264" s="6">
        <v>7.7</v>
      </c>
      <c r="AN264" s="16" t="s">
        <v>148</v>
      </c>
      <c r="AO264" s="12">
        <v>19</v>
      </c>
      <c r="AP264" s="7">
        <v>0.18</v>
      </c>
      <c r="AQ264" s="6">
        <v>9.1999999999999993</v>
      </c>
      <c r="AV264" s="3"/>
      <c r="AW264" s="3"/>
      <c r="AX264" s="3"/>
      <c r="AY264" s="3"/>
      <c r="AZ264" s="4"/>
      <c r="BA264" s="4"/>
      <c r="BB264" s="4"/>
      <c r="BC264" s="4"/>
      <c r="BD264" s="4"/>
      <c r="BE264" s="3"/>
      <c r="BF264" s="3"/>
      <c r="BG264" s="4"/>
      <c r="BH264" s="4"/>
      <c r="BI264" s="4"/>
      <c r="BJ264" s="9"/>
      <c r="BK264" s="9"/>
      <c r="BL264" s="9"/>
      <c r="BM264" s="3"/>
      <c r="BN264" s="3"/>
      <c r="BO264" s="3"/>
      <c r="BP264" s="3"/>
      <c r="BQ264" s="3"/>
      <c r="BR264" s="3"/>
      <c r="BT264" s="15"/>
      <c r="BU264" s="3"/>
      <c r="BV264" s="13"/>
      <c r="BW264" s="3"/>
      <c r="BX264" s="3"/>
      <c r="BY264" s="3"/>
      <c r="BZ264" s="3"/>
      <c r="CA264" s="3"/>
      <c r="CB264" s="10"/>
      <c r="CC264" s="10"/>
      <c r="CD264" s="4"/>
      <c r="CE264" s="3"/>
    </row>
    <row r="265" spans="1:83" x14ac:dyDescent="0.25">
      <c r="A265" s="2" t="s">
        <v>16</v>
      </c>
      <c r="B265" s="2">
        <v>2</v>
      </c>
      <c r="C265" t="s">
        <v>8</v>
      </c>
      <c r="D265" s="5" t="str">
        <f t="shared" si="28"/>
        <v>p08-2-SE</v>
      </c>
      <c r="E265" s="5" t="s">
        <v>468</v>
      </c>
      <c r="F265" s="17">
        <v>44881</v>
      </c>
      <c r="G265">
        <v>20</v>
      </c>
      <c r="H265" s="3">
        <v>20</v>
      </c>
      <c r="I265" s="3">
        <f t="shared" si="29"/>
        <v>19.54</v>
      </c>
      <c r="J265" s="3">
        <f>($A$70-$A$47)*$A$75</f>
        <v>0.5774999999999999</v>
      </c>
      <c r="K265" s="6">
        <f t="shared" si="30"/>
        <v>4490.7170570866137</v>
      </c>
      <c r="L265" s="4"/>
      <c r="M265" s="4"/>
      <c r="N265" s="4"/>
      <c r="O265" s="4"/>
      <c r="P265" s="7"/>
      <c r="Q265" s="6"/>
      <c r="R265" s="14"/>
      <c r="S265" s="4"/>
      <c r="T265" s="4"/>
      <c r="U265" s="4"/>
      <c r="V265" s="8"/>
      <c r="W265" s="8"/>
      <c r="X265" s="8"/>
      <c r="Y265" s="6"/>
      <c r="Z265" s="6"/>
      <c r="AA265" s="6"/>
      <c r="AB265" s="6"/>
      <c r="AC265" s="6"/>
      <c r="AD265" s="6"/>
      <c r="AE265" s="10"/>
      <c r="AF265" s="14"/>
      <c r="AG265" s="6"/>
      <c r="AH265" s="11"/>
      <c r="AI265" s="6"/>
      <c r="AJ265" s="6"/>
      <c r="AK265" s="6"/>
      <c r="AL265" s="6"/>
      <c r="AM265" s="6"/>
      <c r="AN265" s="16"/>
      <c r="AO265" s="12"/>
      <c r="AP265" s="7"/>
      <c r="AQ265" s="6"/>
      <c r="AV265" s="3"/>
      <c r="AW265" s="3"/>
      <c r="AX265" s="3"/>
      <c r="AY265" s="3"/>
      <c r="AZ265" s="4"/>
      <c r="BA265" s="4"/>
      <c r="BB265" s="4"/>
      <c r="BC265" s="4"/>
      <c r="BD265" s="4"/>
      <c r="BE265" s="3"/>
      <c r="BF265" s="3"/>
      <c r="BG265" s="4"/>
      <c r="BH265" s="4"/>
      <c r="BI265" s="4"/>
      <c r="BJ265" s="9"/>
      <c r="BK265" s="9"/>
      <c r="BL265" s="9"/>
      <c r="BM265" s="3"/>
      <c r="BN265" s="3"/>
      <c r="BO265" s="3"/>
      <c r="BP265" s="3"/>
      <c r="BQ265" s="3"/>
      <c r="BR265" s="3"/>
      <c r="BT265" s="15"/>
      <c r="BU265" s="3"/>
      <c r="BV265" s="13"/>
      <c r="BW265" s="3"/>
      <c r="BX265" s="3"/>
      <c r="BY265" s="3"/>
      <c r="BZ265" s="3"/>
      <c r="CA265" s="3"/>
      <c r="CB265" s="10"/>
      <c r="CC265" s="10"/>
      <c r="CD265" s="4"/>
      <c r="CE265" s="3"/>
    </row>
    <row r="266" spans="1:83" x14ac:dyDescent="0.25">
      <c r="A266" s="2" t="s">
        <v>16</v>
      </c>
      <c r="B266" s="2">
        <v>3</v>
      </c>
      <c r="C266" t="s">
        <v>4</v>
      </c>
      <c r="D266" s="5" t="str">
        <f t="shared" si="28"/>
        <v>p08-3-NW</v>
      </c>
      <c r="E266" s="5" t="s">
        <v>468</v>
      </c>
      <c r="F266" s="17">
        <v>44881</v>
      </c>
      <c r="G266">
        <v>8</v>
      </c>
      <c r="H266" s="3">
        <v>20.8</v>
      </c>
      <c r="I266" s="3">
        <f t="shared" si="29"/>
        <v>20.34</v>
      </c>
      <c r="J266" s="3">
        <f>($A$58-$A$47)*$A$75</f>
        <v>0.5149999999999999</v>
      </c>
      <c r="K266" s="6">
        <f t="shared" si="30"/>
        <v>4655.3450590551174</v>
      </c>
      <c r="L266" s="4"/>
      <c r="M266" s="4"/>
      <c r="N266" s="4"/>
      <c r="O266" s="4"/>
      <c r="P266" s="7"/>
      <c r="Q266" s="6"/>
      <c r="R266" s="14"/>
      <c r="S266" s="4"/>
      <c r="T266" s="4"/>
      <c r="U266" s="4"/>
      <c r="V266" s="8"/>
      <c r="W266" s="8"/>
      <c r="X266" s="8"/>
      <c r="Y266" s="6"/>
      <c r="Z266" s="6"/>
      <c r="AA266" s="6"/>
      <c r="AB266" s="6"/>
      <c r="AC266" s="6"/>
      <c r="AD266" s="6"/>
      <c r="AE266" s="10"/>
      <c r="AF266" s="14"/>
      <c r="AG266" s="6"/>
      <c r="AH266" s="11"/>
      <c r="AI266" s="6"/>
      <c r="AJ266" s="6"/>
      <c r="AK266" s="6"/>
      <c r="AL266" s="6"/>
      <c r="AM266" s="6"/>
      <c r="AN266" s="16"/>
      <c r="AO266" s="12"/>
      <c r="AP266" s="7"/>
      <c r="AQ266" s="6"/>
      <c r="AS266" t="s">
        <v>116</v>
      </c>
      <c r="AT266" s="4" t="str">
        <f>E266</f>
        <v>Machine</v>
      </c>
      <c r="AU266" s="15">
        <f>F266</f>
        <v>44881</v>
      </c>
      <c r="AV266" s="3">
        <f>SUM(H266:H271)</f>
        <v>124</v>
      </c>
      <c r="AW266" s="3">
        <f>AV266-6*$A$47</f>
        <v>121.24</v>
      </c>
      <c r="AX266" s="3">
        <f>SUM(J266:J271)</f>
        <v>3.277499999999999</v>
      </c>
      <c r="AY266" s="3">
        <f>(AW266+AX266)*$A$48/(6*$A$49)*$A$50</f>
        <v>4632.5575672572177</v>
      </c>
      <c r="AZ266" s="4">
        <f>SUM(L266:L271)</f>
        <v>17.28</v>
      </c>
      <c r="BA266" s="4">
        <f>SUM(M266:M271)</f>
        <v>468.58</v>
      </c>
      <c r="BB266" s="4">
        <f>BA266-AZ266</f>
        <v>451.29999999999995</v>
      </c>
      <c r="BC266" s="4">
        <f>SUM(O266:O271)</f>
        <v>428.82000000000005</v>
      </c>
      <c r="BD266" s="4">
        <f>(BB266-BC266)/BB266*100</f>
        <v>4.9811655218258162</v>
      </c>
      <c r="BE266" s="3">
        <f>AY266*(1-BD266/100)</f>
        <v>4401.8022069382687</v>
      </c>
      <c r="BF266" s="15">
        <f>R267</f>
        <v>44882</v>
      </c>
      <c r="BG266" s="4">
        <f>SUM(S266:S271)</f>
        <v>16.330000000000002</v>
      </c>
      <c r="BH266" s="4">
        <f>SUM(T266:T271)</f>
        <v>5.6</v>
      </c>
      <c r="BI266" s="4">
        <f>SUM(U266:U271)</f>
        <v>12.16</v>
      </c>
      <c r="BJ266" s="9">
        <f>(BH266-2*$A$76)/(BG266-2*$A$47*$A$48)</f>
        <v>0.32929682127717164</v>
      </c>
      <c r="BK266" s="9">
        <f>(BI266-2*$A$77)/(BG266-2*$A$47*$A$48)</f>
        <v>0.55050384625725646</v>
      </c>
      <c r="BL266" s="9">
        <f>1-BJ266-BK266</f>
        <v>0.12019933246557191</v>
      </c>
      <c r="BM266" s="3">
        <f>AY266*BJ266</f>
        <v>1525.4864812813091</v>
      </c>
      <c r="BN266" s="3">
        <f>AY266*BK266</f>
        <v>2550.2407587832572</v>
      </c>
      <c r="BO266" s="3">
        <f>SUM(BM266:BN266)</f>
        <v>4075.7272400645661</v>
      </c>
      <c r="BP266" s="3">
        <f>BE266*BJ266</f>
        <v>1449.4994746356108</v>
      </c>
      <c r="BQ266" s="3">
        <f>BE266*BK266</f>
        <v>2423.209045383197</v>
      </c>
      <c r="BR266" s="3">
        <f>SUM(BP266:BQ266)</f>
        <v>3872.7085200188076</v>
      </c>
      <c r="BS266" s="3"/>
      <c r="BT266" s="15">
        <f>AF267</f>
        <v>44980</v>
      </c>
      <c r="BU266" s="3">
        <f t="shared" ref="BU266:CA266" si="39">AVERAGE(AG266:AG271)</f>
        <v>43.45</v>
      </c>
      <c r="BV266" s="13">
        <f t="shared" si="39"/>
        <v>1.1930000000000001</v>
      </c>
      <c r="BW266" s="3">
        <f t="shared" si="39"/>
        <v>80.8</v>
      </c>
      <c r="BX266" s="3">
        <f t="shared" si="39"/>
        <v>30.35</v>
      </c>
      <c r="BY266" s="3">
        <f t="shared" si="39"/>
        <v>6.15</v>
      </c>
      <c r="BZ266" s="3">
        <f t="shared" si="39"/>
        <v>81.349999999999994</v>
      </c>
      <c r="CA266" s="3">
        <f t="shared" si="39"/>
        <v>8.15</v>
      </c>
      <c r="CB266" s="13"/>
      <c r="CC266" s="10">
        <f>AVERAGE(AO266:AO271)</f>
        <v>13.5</v>
      </c>
      <c r="CD266" s="4">
        <f>AVERAGE(AP266:AP271)</f>
        <v>0.14000000000000001</v>
      </c>
      <c r="CE266" s="3">
        <f>AVERAGE(AQ266:AQ271)</f>
        <v>8.8000000000000007</v>
      </c>
    </row>
    <row r="267" spans="1:83" x14ac:dyDescent="0.25">
      <c r="A267" s="2" t="s">
        <v>16</v>
      </c>
      <c r="B267" s="2">
        <v>3</v>
      </c>
      <c r="C267" t="s">
        <v>5</v>
      </c>
      <c r="D267" s="5" t="str">
        <f t="shared" si="28"/>
        <v>p08-3-MW</v>
      </c>
      <c r="E267" s="5" t="s">
        <v>468</v>
      </c>
      <c r="F267" s="17">
        <v>44881</v>
      </c>
      <c r="G267">
        <v>8</v>
      </c>
      <c r="H267" s="3">
        <v>15.8</v>
      </c>
      <c r="I267" s="3">
        <f t="shared" si="29"/>
        <v>15.34</v>
      </c>
      <c r="J267" s="3">
        <f>($A$58-$A$47)*$A$75</f>
        <v>0.5149999999999999</v>
      </c>
      <c r="K267" s="6">
        <f t="shared" si="30"/>
        <v>3539.2230118110233</v>
      </c>
      <c r="L267" s="4">
        <v>8.51</v>
      </c>
      <c r="M267" s="4">
        <v>245.57</v>
      </c>
      <c r="N267" s="4">
        <f>M267-L267</f>
        <v>237.06</v>
      </c>
      <c r="O267" s="4">
        <v>224.49</v>
      </c>
      <c r="P267" s="7">
        <f>(N267-O267)/N267*100</f>
        <v>5.3024550746646391</v>
      </c>
      <c r="Q267" s="6">
        <f>K267*(1-P267/100)</f>
        <v>3351.5573016175513</v>
      </c>
      <c r="R267" s="14">
        <v>44882</v>
      </c>
      <c r="S267" s="4">
        <v>6.94</v>
      </c>
      <c r="T267" s="4">
        <v>2.36</v>
      </c>
      <c r="U267" s="4">
        <v>5.46</v>
      </c>
      <c r="V267" s="8">
        <f>(T267-$A$76)/(S267-$A$47*$A$48)</f>
        <v>0.323857881606258</v>
      </c>
      <c r="W267" s="8">
        <f>(U267-$A$77)/(S267-$A$47*$A$48)</f>
        <v>0.55858056644015142</v>
      </c>
      <c r="X267" s="8">
        <f>1-V267-W267</f>
        <v>0.11756155195359053</v>
      </c>
      <c r="Y267" s="6">
        <f>K267*V267</f>
        <v>1146.2052671372383</v>
      </c>
      <c r="Z267" s="6">
        <f>K267*W267</f>
        <v>1976.9411946954201</v>
      </c>
      <c r="AA267" s="6">
        <f>SUM(Y267:Z267)</f>
        <v>3123.1464618326581</v>
      </c>
      <c r="AB267" s="6">
        <f>Q267*V267</f>
        <v>1085.4282477838465</v>
      </c>
      <c r="AC267" s="6">
        <f>Q267*W267</f>
        <v>1872.1147759941573</v>
      </c>
      <c r="AD267" s="6">
        <f>SUM(AB267:AC267)</f>
        <v>2957.5430237780038</v>
      </c>
      <c r="AE267" s="10">
        <v>990130831031</v>
      </c>
      <c r="AF267" s="14">
        <v>44980</v>
      </c>
      <c r="AG267" s="6">
        <v>42.400000000000006</v>
      </c>
      <c r="AH267" s="11">
        <v>1.19</v>
      </c>
      <c r="AI267" s="6">
        <v>80.5</v>
      </c>
      <c r="AJ267" s="6">
        <v>29.7</v>
      </c>
      <c r="AK267" s="6">
        <v>6.1</v>
      </c>
      <c r="AL267" s="6">
        <v>81.2</v>
      </c>
      <c r="AM267" s="6">
        <v>8.6</v>
      </c>
      <c r="AN267" s="16" t="s">
        <v>148</v>
      </c>
      <c r="AO267" s="12">
        <v>20</v>
      </c>
      <c r="AP267" s="7">
        <v>0.21</v>
      </c>
      <c r="AQ267" s="6">
        <v>8.9</v>
      </c>
      <c r="AV267" s="3"/>
      <c r="AW267" s="3"/>
      <c r="AX267" s="3"/>
      <c r="AY267" s="3"/>
      <c r="AZ267" s="4"/>
      <c r="BA267" s="4"/>
      <c r="BB267" s="4"/>
      <c r="BC267" s="4"/>
      <c r="BD267" s="4"/>
      <c r="BE267" s="3"/>
      <c r="BF267" s="3"/>
      <c r="BG267" s="4"/>
      <c r="BH267" s="4"/>
      <c r="BI267" s="4"/>
      <c r="BJ267" s="9"/>
      <c r="BK267" s="9"/>
      <c r="BL267" s="9"/>
      <c r="BM267" s="3"/>
      <c r="BN267" s="3"/>
      <c r="BO267" s="3"/>
      <c r="BP267" s="3"/>
      <c r="BQ267" s="3"/>
      <c r="BR267" s="3"/>
      <c r="BT267" s="15"/>
      <c r="BU267" s="3"/>
      <c r="BV267" s="13"/>
      <c r="BW267" s="3"/>
      <c r="BX267" s="3"/>
      <c r="BY267" s="3"/>
      <c r="BZ267" s="3"/>
      <c r="CA267" s="3"/>
      <c r="CB267" s="10"/>
      <c r="CC267" s="10"/>
      <c r="CD267" s="4"/>
      <c r="CE267" s="3"/>
    </row>
    <row r="268" spans="1:83" x14ac:dyDescent="0.25">
      <c r="A268" s="2" t="s">
        <v>16</v>
      </c>
      <c r="B268" s="2">
        <v>3</v>
      </c>
      <c r="C268" t="s">
        <v>6</v>
      </c>
      <c r="D268" s="5" t="str">
        <f t="shared" si="28"/>
        <v>p08-3-SW</v>
      </c>
      <c r="E268" s="5" t="s">
        <v>468</v>
      </c>
      <c r="F268" s="17">
        <v>44881</v>
      </c>
      <c r="G268">
        <v>8</v>
      </c>
      <c r="H268" s="3">
        <v>23.9</v>
      </c>
      <c r="I268" s="3">
        <f t="shared" si="29"/>
        <v>23.439999999999998</v>
      </c>
      <c r="J268" s="3">
        <f>($A$58-$A$47)*$A$75</f>
        <v>0.5149999999999999</v>
      </c>
      <c r="K268" s="6">
        <f t="shared" si="30"/>
        <v>5347.3407283464558</v>
      </c>
      <c r="L268" s="4"/>
      <c r="M268" s="4"/>
      <c r="N268" s="4"/>
      <c r="O268" s="4"/>
      <c r="P268" s="7"/>
      <c r="Q268" s="6"/>
      <c r="R268" s="14"/>
      <c r="S268" s="4"/>
      <c r="T268" s="4"/>
      <c r="U268" s="4"/>
      <c r="V268" s="8"/>
      <c r="W268" s="8"/>
      <c r="X268" s="8"/>
      <c r="Y268" s="6"/>
      <c r="Z268" s="6"/>
      <c r="AA268" s="6"/>
      <c r="AB268" s="6"/>
      <c r="AC268" s="6"/>
      <c r="AD268" s="6"/>
      <c r="AE268" s="10"/>
      <c r="AF268" s="14"/>
      <c r="AG268" s="6"/>
      <c r="AH268" s="11"/>
      <c r="AI268" s="6"/>
      <c r="AJ268" s="6"/>
      <c r="AK268" s="6"/>
      <c r="AL268" s="6"/>
      <c r="AM268" s="6"/>
      <c r="AN268" s="16"/>
      <c r="AO268" s="12"/>
      <c r="AP268" s="7"/>
      <c r="AQ268" s="6"/>
      <c r="AV268" s="3"/>
      <c r="AW268" s="3"/>
      <c r="AX268" s="3"/>
      <c r="AY268" s="3"/>
      <c r="AZ268" s="4"/>
      <c r="BA268" s="4"/>
      <c r="BB268" s="4"/>
      <c r="BC268" s="4"/>
      <c r="BD268" s="4"/>
      <c r="BE268" s="3"/>
      <c r="BF268" s="3"/>
      <c r="BG268" s="4"/>
      <c r="BH268" s="4"/>
      <c r="BI268" s="4"/>
      <c r="BJ268" s="9"/>
      <c r="BK268" s="9"/>
      <c r="BL268" s="9"/>
      <c r="BM268" s="3"/>
      <c r="BN268" s="3"/>
      <c r="BO268" s="3"/>
      <c r="BP268" s="3"/>
      <c r="BQ268" s="3"/>
      <c r="BR268" s="3"/>
      <c r="BT268" s="15"/>
      <c r="BU268" s="3"/>
      <c r="BV268" s="13"/>
      <c r="BW268" s="3"/>
      <c r="BX268" s="3"/>
      <c r="BY268" s="3"/>
      <c r="BZ268" s="3"/>
      <c r="CA268" s="3"/>
      <c r="CB268" s="10"/>
      <c r="CC268" s="10"/>
      <c r="CD268" s="4"/>
      <c r="CE268" s="3"/>
    </row>
    <row r="269" spans="1:83" x14ac:dyDescent="0.25">
      <c r="A269" s="2" t="s">
        <v>16</v>
      </c>
      <c r="B269" s="2">
        <v>3</v>
      </c>
      <c r="C269" t="s">
        <v>7</v>
      </c>
      <c r="D269" s="5" t="str">
        <f t="shared" si="28"/>
        <v>p08-3-NE</v>
      </c>
      <c r="E269" s="5" t="s">
        <v>468</v>
      </c>
      <c r="F269" s="17">
        <v>44881</v>
      </c>
      <c r="G269">
        <v>20</v>
      </c>
      <c r="H269" s="3">
        <v>23.4</v>
      </c>
      <c r="I269" s="3">
        <f t="shared" si="29"/>
        <v>22.939999999999998</v>
      </c>
      <c r="J269" s="3">
        <f>($A$70-$A$47)*$A$75</f>
        <v>0.5774999999999999</v>
      </c>
      <c r="K269" s="6">
        <f t="shared" si="30"/>
        <v>5249.6800492125985</v>
      </c>
      <c r="L269" s="4"/>
      <c r="M269" s="4"/>
      <c r="N269" s="4"/>
      <c r="O269" s="4"/>
      <c r="P269" s="7"/>
      <c r="Q269" s="6"/>
      <c r="R269" s="14"/>
      <c r="S269" s="4"/>
      <c r="T269" s="4"/>
      <c r="U269" s="4"/>
      <c r="V269" s="8"/>
      <c r="W269" s="8"/>
      <c r="X269" s="8"/>
      <c r="Y269" s="6"/>
      <c r="Z269" s="6"/>
      <c r="AA269" s="6"/>
      <c r="AB269" s="6"/>
      <c r="AC269" s="6"/>
      <c r="AD269" s="6"/>
      <c r="AE269" s="10"/>
      <c r="AF269" s="14"/>
      <c r="AG269" s="6"/>
      <c r="AH269" s="11"/>
      <c r="AI269" s="6"/>
      <c r="AJ269" s="6"/>
      <c r="AK269" s="6"/>
      <c r="AL269" s="6"/>
      <c r="AM269" s="6"/>
      <c r="AN269" s="16"/>
      <c r="AO269" s="12"/>
      <c r="AP269" s="7"/>
      <c r="AQ269" s="6"/>
      <c r="AV269" s="3"/>
      <c r="AW269" s="3"/>
      <c r="AX269" s="3"/>
      <c r="AY269" s="3"/>
      <c r="AZ269" s="4"/>
      <c r="BA269" s="4"/>
      <c r="BB269" s="4"/>
      <c r="BC269" s="4"/>
      <c r="BD269" s="4"/>
      <c r="BE269" s="3"/>
      <c r="BF269" s="3"/>
      <c r="BG269" s="4"/>
      <c r="BH269" s="4"/>
      <c r="BI269" s="4"/>
      <c r="BJ269" s="9"/>
      <c r="BK269" s="9"/>
      <c r="BL269" s="9"/>
      <c r="BM269" s="3"/>
      <c r="BN269" s="3"/>
      <c r="BO269" s="3"/>
      <c r="BP269" s="3"/>
      <c r="BQ269" s="3"/>
      <c r="BR269" s="3"/>
      <c r="BT269" s="15"/>
      <c r="BU269" s="3"/>
      <c r="BV269" s="13"/>
      <c r="BW269" s="3"/>
      <c r="BX269" s="3"/>
      <c r="BY269" s="3"/>
      <c r="BZ269" s="3"/>
      <c r="CA269" s="3"/>
      <c r="CB269" s="10"/>
      <c r="CC269" s="10"/>
      <c r="CD269" s="4"/>
      <c r="CE269" s="3"/>
    </row>
    <row r="270" spans="1:83" x14ac:dyDescent="0.25">
      <c r="A270" s="2" t="s">
        <v>16</v>
      </c>
      <c r="B270" s="2">
        <v>3</v>
      </c>
      <c r="C270" t="s">
        <v>18</v>
      </c>
      <c r="D270" s="5" t="str">
        <f t="shared" si="28"/>
        <v>p08-3-ME</v>
      </c>
      <c r="E270" s="5" t="s">
        <v>468</v>
      </c>
      <c r="F270" s="17">
        <v>44881</v>
      </c>
      <c r="G270">
        <v>20</v>
      </c>
      <c r="H270" s="3">
        <v>21.2</v>
      </c>
      <c r="I270" s="3">
        <f t="shared" si="29"/>
        <v>20.74</v>
      </c>
      <c r="J270" s="3">
        <f>($A$70-$A$47)*$A$75</f>
        <v>0.5774999999999999</v>
      </c>
      <c r="K270" s="6">
        <f t="shared" si="30"/>
        <v>4758.5863484251959</v>
      </c>
      <c r="L270" s="4">
        <v>8.77</v>
      </c>
      <c r="M270" s="4">
        <v>223.01</v>
      </c>
      <c r="N270" s="4">
        <f>M270-L270</f>
        <v>214.23999999999998</v>
      </c>
      <c r="O270" s="4">
        <v>204.33</v>
      </c>
      <c r="P270" s="7">
        <f>(N270-O270)/N270*100</f>
        <v>4.6256534727408374</v>
      </c>
      <c r="Q270" s="6">
        <f>K270*(1-P270/100)</f>
        <v>4538.4706337458938</v>
      </c>
      <c r="R270" s="14">
        <v>44882</v>
      </c>
      <c r="S270" s="4">
        <v>9.39</v>
      </c>
      <c r="T270" s="4">
        <v>3.24</v>
      </c>
      <c r="U270" s="4">
        <v>6.7</v>
      </c>
      <c r="V270" s="8">
        <f>(T270-$A$76)/(S270-$A$47*$A$48)</f>
        <v>0.33328440514954988</v>
      </c>
      <c r="W270" s="8">
        <f>(U270-$A$77)/(S270-$A$47*$A$48)</f>
        <v>0.54458236135547367</v>
      </c>
      <c r="X270" s="8">
        <f>1-V270-W270</f>
        <v>0.12213323349497651</v>
      </c>
      <c r="Y270" s="6">
        <f>K270*V270</f>
        <v>1585.9626204876602</v>
      </c>
      <c r="Z270" s="6">
        <f>K270*W270</f>
        <v>2591.442190339314</v>
      </c>
      <c r="AA270" s="6">
        <f>SUM(Y270:Z270)</f>
        <v>4177.4048108269744</v>
      </c>
      <c r="AB270" s="6">
        <f>Q270*V270</f>
        <v>1512.6014854567009</v>
      </c>
      <c r="AC270" s="6">
        <f>Q270*W270</f>
        <v>2471.5710546678119</v>
      </c>
      <c r="AD270" s="6">
        <f>SUM(AB270:AC270)</f>
        <v>3984.172540124513</v>
      </c>
      <c r="AE270" s="10">
        <v>990130832079</v>
      </c>
      <c r="AF270" s="14">
        <v>44980</v>
      </c>
      <c r="AG270" s="6">
        <v>44.5</v>
      </c>
      <c r="AH270" s="11">
        <v>1.196</v>
      </c>
      <c r="AI270" s="6">
        <v>81.099999999999994</v>
      </c>
      <c r="AJ270" s="6">
        <v>31</v>
      </c>
      <c r="AK270" s="6">
        <v>6.2</v>
      </c>
      <c r="AL270" s="6">
        <v>81.5</v>
      </c>
      <c r="AM270" s="6">
        <v>7.7</v>
      </c>
      <c r="AN270" s="16" t="s">
        <v>148</v>
      </c>
      <c r="AO270" s="12">
        <v>7</v>
      </c>
      <c r="AP270" s="7">
        <v>7.0000000000000007E-2</v>
      </c>
      <c r="AQ270" s="6">
        <v>8.6999999999999993</v>
      </c>
      <c r="AV270" s="3"/>
      <c r="AW270" s="3"/>
      <c r="AX270" s="3"/>
      <c r="AY270" s="3"/>
      <c r="AZ270" s="4"/>
      <c r="BA270" s="4"/>
      <c r="BB270" s="4"/>
      <c r="BC270" s="4"/>
      <c r="BD270" s="4"/>
      <c r="BE270" s="3"/>
      <c r="BF270" s="3"/>
      <c r="BG270" s="4"/>
      <c r="BH270" s="4"/>
      <c r="BI270" s="4"/>
      <c r="BJ270" s="9"/>
      <c r="BK270" s="9"/>
      <c r="BL270" s="9"/>
      <c r="BM270" s="3"/>
      <c r="BN270" s="3"/>
      <c r="BO270" s="3"/>
      <c r="BP270" s="3"/>
      <c r="BQ270" s="3"/>
      <c r="BR270" s="3"/>
      <c r="BT270" s="15"/>
      <c r="BU270" s="3"/>
      <c r="BV270" s="13"/>
      <c r="BW270" s="3"/>
      <c r="BX270" s="3"/>
      <c r="BY270" s="3"/>
      <c r="BZ270" s="3"/>
      <c r="CA270" s="3"/>
      <c r="CB270" s="10"/>
      <c r="CC270" s="10"/>
      <c r="CD270" s="4"/>
      <c r="CE270" s="3"/>
    </row>
    <row r="271" spans="1:83" x14ac:dyDescent="0.25">
      <c r="A271" s="2" t="s">
        <v>16</v>
      </c>
      <c r="B271" s="2">
        <v>3</v>
      </c>
      <c r="C271" t="s">
        <v>8</v>
      </c>
      <c r="D271" s="5" t="str">
        <f t="shared" si="28"/>
        <v>p08-3-SE</v>
      </c>
      <c r="E271" s="5" t="s">
        <v>468</v>
      </c>
      <c r="F271" s="17">
        <v>44881</v>
      </c>
      <c r="G271">
        <v>20</v>
      </c>
      <c r="H271" s="3">
        <v>18.899999999999999</v>
      </c>
      <c r="I271" s="3">
        <f t="shared" si="29"/>
        <v>18.439999999999998</v>
      </c>
      <c r="J271" s="3">
        <f>($A$70-$A$47)*$A$75</f>
        <v>0.5774999999999999</v>
      </c>
      <c r="K271" s="6">
        <f t="shared" si="30"/>
        <v>4245.1702066929129</v>
      </c>
      <c r="L271" s="4"/>
      <c r="M271" s="4"/>
      <c r="N271" s="4"/>
      <c r="O271" s="4"/>
      <c r="P271" s="7"/>
      <c r="Q271" s="6"/>
      <c r="R271" s="14"/>
      <c r="S271" s="4"/>
      <c r="T271" s="4"/>
      <c r="U271" s="4"/>
      <c r="V271" s="8"/>
      <c r="W271" s="8"/>
      <c r="X271" s="8"/>
      <c r="Y271" s="6"/>
      <c r="Z271" s="6"/>
      <c r="AA271" s="6"/>
      <c r="AB271" s="6"/>
      <c r="AC271" s="6"/>
      <c r="AD271" s="6"/>
      <c r="AE271" s="10"/>
      <c r="AF271" s="14"/>
      <c r="AG271" s="6"/>
      <c r="AH271" s="11"/>
      <c r="AI271" s="6"/>
      <c r="AJ271" s="6"/>
      <c r="AK271" s="6"/>
      <c r="AL271" s="6"/>
      <c r="AM271" s="6"/>
      <c r="AN271" s="16"/>
      <c r="AO271" s="12"/>
      <c r="AP271" s="7"/>
      <c r="AQ271" s="6"/>
      <c r="AV271" s="3"/>
      <c r="AW271" s="3"/>
      <c r="AX271" s="3"/>
      <c r="AY271" s="3"/>
      <c r="AZ271" s="4"/>
      <c r="BA271" s="4"/>
      <c r="BB271" s="4"/>
      <c r="BC271" s="4"/>
      <c r="BD271" s="4"/>
      <c r="BE271" s="3"/>
      <c r="BF271" s="3"/>
      <c r="BG271" s="4"/>
      <c r="BH271" s="4"/>
      <c r="BI271" s="4"/>
      <c r="BJ271" s="9"/>
      <c r="BK271" s="9"/>
      <c r="BL271" s="9"/>
      <c r="BM271" s="3"/>
      <c r="BN271" s="3"/>
      <c r="BO271" s="3"/>
      <c r="BP271" s="3"/>
      <c r="BQ271" s="3"/>
      <c r="BR271" s="3"/>
      <c r="BT271" s="15"/>
      <c r="BU271" s="3"/>
      <c r="BV271" s="13"/>
      <c r="BW271" s="3"/>
      <c r="BX271" s="3"/>
      <c r="BY271" s="3"/>
      <c r="BZ271" s="3"/>
      <c r="CA271" s="3"/>
      <c r="CB271" s="10"/>
      <c r="CC271" s="10"/>
      <c r="CD271" s="4"/>
      <c r="CE271" s="3"/>
    </row>
    <row r="272" spans="1:83" x14ac:dyDescent="0.25">
      <c r="A272" s="2" t="s">
        <v>16</v>
      </c>
      <c r="B272" s="2">
        <v>4</v>
      </c>
      <c r="C272" t="s">
        <v>4</v>
      </c>
      <c r="D272" s="5" t="str">
        <f t="shared" si="28"/>
        <v>p08-4-NW</v>
      </c>
      <c r="E272" s="5" t="s">
        <v>468</v>
      </c>
      <c r="F272" s="17">
        <v>44881</v>
      </c>
      <c r="G272">
        <v>8</v>
      </c>
      <c r="H272" s="3">
        <v>17.5</v>
      </c>
      <c r="I272" s="3">
        <f t="shared" si="29"/>
        <v>17.04</v>
      </c>
      <c r="J272" s="3">
        <f>($A$58-$A$47)*$A$75</f>
        <v>0.5149999999999999</v>
      </c>
      <c r="K272" s="6">
        <f t="shared" si="30"/>
        <v>3918.7045078740157</v>
      </c>
      <c r="L272" s="4"/>
      <c r="M272" s="4"/>
      <c r="N272" s="4"/>
      <c r="O272" s="4"/>
      <c r="P272" s="7"/>
      <c r="Q272" s="6"/>
      <c r="R272" s="14"/>
      <c r="S272" s="4"/>
      <c r="T272" s="4"/>
      <c r="U272" s="4"/>
      <c r="V272" s="8"/>
      <c r="W272" s="8"/>
      <c r="X272" s="8"/>
      <c r="Y272" s="6"/>
      <c r="Z272" s="6"/>
      <c r="AA272" s="6"/>
      <c r="AB272" s="6"/>
      <c r="AC272" s="6"/>
      <c r="AD272" s="6"/>
      <c r="AE272" s="10"/>
      <c r="AF272" s="14"/>
      <c r="AG272" s="6"/>
      <c r="AH272" s="11"/>
      <c r="AI272" s="6"/>
      <c r="AJ272" s="6"/>
      <c r="AK272" s="6"/>
      <c r="AL272" s="6"/>
      <c r="AM272" s="6"/>
      <c r="AN272" s="16"/>
      <c r="AO272" s="12"/>
      <c r="AP272" s="7"/>
      <c r="AQ272" s="6"/>
      <c r="AS272" t="s">
        <v>117</v>
      </c>
      <c r="AT272" s="4" t="str">
        <f>E272</f>
        <v>Machine</v>
      </c>
      <c r="AU272" s="15">
        <f>F272</f>
        <v>44881</v>
      </c>
      <c r="AV272" s="3">
        <f>SUM(H272:H277)</f>
        <v>97.600000000000009</v>
      </c>
      <c r="AW272" s="3">
        <f>AV272-6*$A$47</f>
        <v>94.84</v>
      </c>
      <c r="AX272" s="3">
        <f>SUM(J272:J277)</f>
        <v>3.277499999999999</v>
      </c>
      <c r="AY272" s="3">
        <f>(AW272+AX272)*$A$48/(6*$A$49)*$A$50</f>
        <v>3650.3701656824151</v>
      </c>
      <c r="AZ272" s="4">
        <f>SUM(L272:L277)</f>
        <v>17.29</v>
      </c>
      <c r="BA272" s="4">
        <f>SUM(M272:M277)</f>
        <v>360.88</v>
      </c>
      <c r="BB272" s="4">
        <f>BA272-AZ272</f>
        <v>343.59</v>
      </c>
      <c r="BC272" s="4">
        <f>SUM(O272:O277)</f>
        <v>327.59000000000003</v>
      </c>
      <c r="BD272" s="4">
        <f>(BB272-BC272)/BB272*100</f>
        <v>4.6567129427515193</v>
      </c>
      <c r="BE272" s="3">
        <f>AY272*(1-BD272/100)</f>
        <v>3480.3829057187422</v>
      </c>
      <c r="BF272" s="15">
        <f>R273</f>
        <v>44882</v>
      </c>
      <c r="BG272" s="4">
        <f>SUM(S272:S277)</f>
        <v>13.06</v>
      </c>
      <c r="BH272" s="4">
        <f>SUM(T272:T277)</f>
        <v>4.4399999999999995</v>
      </c>
      <c r="BI272" s="4">
        <f>SUM(U272:U277)</f>
        <v>10.36</v>
      </c>
      <c r="BJ272" s="9">
        <f>(BH272-2*$A$76)/(BG272-2*$A$47*$A$48)</f>
        <v>0.32271599400462014</v>
      </c>
      <c r="BK272" s="9">
        <f>(BI272-2*$A$77)/(BG272-2*$A$47*$A$48)</f>
        <v>0.55051551918435204</v>
      </c>
      <c r="BL272" s="9">
        <f>1-BJ272-BK272</f>
        <v>0.12676848681102781</v>
      </c>
      <c r="BM272" s="3">
        <f>AY272*BJ272</f>
        <v>1178.0328365030105</v>
      </c>
      <c r="BN272" s="3">
        <f>AY272*BK272</f>
        <v>2009.585426975724</v>
      </c>
      <c r="BO272" s="3">
        <f>SUM(BM272:BN272)</f>
        <v>3187.6182634787347</v>
      </c>
      <c r="BP272" s="3">
        <f>BE272*BJ272</f>
        <v>1123.1752289357121</v>
      </c>
      <c r="BQ272" s="3">
        <f>BE272*BK272</f>
        <v>1916.0048023020972</v>
      </c>
      <c r="BR272" s="3">
        <f>SUM(BP272:BQ272)</f>
        <v>3039.1800312378091</v>
      </c>
      <c r="BS272" s="3"/>
      <c r="BT272" s="15">
        <f>AF273</f>
        <v>44980</v>
      </c>
      <c r="BU272" s="3">
        <f t="shared" ref="BU272:CA272" si="40">AVERAGE(AG272:AG277)</f>
        <v>45.15</v>
      </c>
      <c r="BV272" s="13">
        <f t="shared" si="40"/>
        <v>1.111</v>
      </c>
      <c r="BW272" s="3">
        <f t="shared" si="40"/>
        <v>79.95</v>
      </c>
      <c r="BX272" s="3">
        <f t="shared" si="40"/>
        <v>27.85</v>
      </c>
      <c r="BY272" s="3">
        <f t="shared" si="40"/>
        <v>6.05</v>
      </c>
      <c r="BZ272" s="3">
        <f t="shared" si="40"/>
        <v>78.3</v>
      </c>
      <c r="CA272" s="3">
        <f t="shared" si="40"/>
        <v>8.5</v>
      </c>
      <c r="CB272" s="13"/>
      <c r="CC272" s="10">
        <f>AVERAGE(AO272:AO277)</f>
        <v>13</v>
      </c>
      <c r="CD272" s="4">
        <f>AVERAGE(AP272:AP277)</f>
        <v>0.125</v>
      </c>
      <c r="CE272" s="3">
        <f>AVERAGE(AQ272:AQ277)</f>
        <v>9.8000000000000007</v>
      </c>
    </row>
    <row r="273" spans="1:83" x14ac:dyDescent="0.25">
      <c r="A273" s="2" t="s">
        <v>16</v>
      </c>
      <c r="B273" s="2">
        <v>4</v>
      </c>
      <c r="C273" t="s">
        <v>5</v>
      </c>
      <c r="D273" s="5" t="str">
        <f t="shared" si="28"/>
        <v>p08-4-MW</v>
      </c>
      <c r="E273" s="5" t="s">
        <v>468</v>
      </c>
      <c r="F273" s="17">
        <v>44881</v>
      </c>
      <c r="G273">
        <v>8</v>
      </c>
      <c r="H273" s="3">
        <v>15.5</v>
      </c>
      <c r="I273" s="3">
        <f t="shared" si="29"/>
        <v>15.04</v>
      </c>
      <c r="J273" s="3">
        <f>($A$58-$A$47)*$A$75</f>
        <v>0.5149999999999999</v>
      </c>
      <c r="K273" s="6">
        <f t="shared" si="30"/>
        <v>3472.2556889763778</v>
      </c>
      <c r="L273" s="4">
        <v>8.5399999999999991</v>
      </c>
      <c r="M273" s="4">
        <v>178.07</v>
      </c>
      <c r="N273" s="4">
        <f>M273-L273</f>
        <v>169.53</v>
      </c>
      <c r="O273" s="4">
        <v>160.9</v>
      </c>
      <c r="P273" s="7">
        <f>(N273-O273)/N273*100</f>
        <v>5.0905444464106626</v>
      </c>
      <c r="Q273" s="6">
        <f>K273*(1-P273/100)</f>
        <v>3295.4989698360127</v>
      </c>
      <c r="R273" s="14">
        <v>44882</v>
      </c>
      <c r="S273" s="4">
        <v>6.87</v>
      </c>
      <c r="T273" s="4">
        <v>2.2999999999999998</v>
      </c>
      <c r="U273" s="4">
        <v>5.42</v>
      </c>
      <c r="V273" s="8">
        <f>(T273-$A$76)/(S273-$A$47*$A$48)</f>
        <v>0.31825391825216959</v>
      </c>
      <c r="W273" s="8">
        <f>(U273-$A$77)/(S273-$A$47*$A$48)</f>
        <v>0.55844555466890144</v>
      </c>
      <c r="X273" s="8">
        <f>1-V273-W273</f>
        <v>0.12330052707892902</v>
      </c>
      <c r="Y273" s="6">
        <f>K273*V273</f>
        <v>1105.058978190119</v>
      </c>
      <c r="Z273" s="6">
        <f>K273*W273</f>
        <v>1939.0657541826617</v>
      </c>
      <c r="AA273" s="6">
        <f>SUM(Y273:Z273)</f>
        <v>3044.1247323727807</v>
      </c>
      <c r="AB273" s="6">
        <f>Q273*V273</f>
        <v>1048.8054597462994</v>
      </c>
      <c r="AC273" s="6">
        <f>Q273*W273</f>
        <v>1840.3567501208654</v>
      </c>
      <c r="AD273" s="6">
        <f>SUM(AB273:AC273)</f>
        <v>2889.1622098671651</v>
      </c>
      <c r="AE273" s="10">
        <v>990130841032</v>
      </c>
      <c r="AF273" s="14">
        <v>44980</v>
      </c>
      <c r="AG273" s="6">
        <v>44.5</v>
      </c>
      <c r="AH273" s="11">
        <v>1.153</v>
      </c>
      <c r="AI273" s="6">
        <v>80.400000000000006</v>
      </c>
      <c r="AJ273" s="6">
        <v>29.1</v>
      </c>
      <c r="AK273" s="6">
        <v>6</v>
      </c>
      <c r="AL273" s="6">
        <v>78</v>
      </c>
      <c r="AM273" s="6">
        <v>9</v>
      </c>
      <c r="AN273" s="16" t="s">
        <v>150</v>
      </c>
      <c r="AO273" s="12">
        <v>16</v>
      </c>
      <c r="AP273" s="7">
        <v>0.13</v>
      </c>
      <c r="AQ273" s="6">
        <v>9</v>
      </c>
      <c r="AV273" s="3"/>
      <c r="AW273" s="3"/>
      <c r="AX273" s="3"/>
      <c r="AY273" s="3"/>
      <c r="AZ273" s="4"/>
      <c r="BA273" s="4"/>
      <c r="BB273" s="4"/>
      <c r="BC273" s="4"/>
      <c r="BD273" s="4"/>
      <c r="BE273" s="3"/>
      <c r="BF273" s="3"/>
      <c r="BG273" s="4"/>
      <c r="BH273" s="4"/>
      <c r="BI273" s="4"/>
      <c r="BJ273" s="9"/>
      <c r="BK273" s="9"/>
      <c r="BL273" s="9"/>
      <c r="BM273" s="3"/>
      <c r="BN273" s="3"/>
      <c r="BO273" s="3"/>
      <c r="BP273" s="3"/>
      <c r="BQ273" s="3"/>
      <c r="BR273" s="3"/>
      <c r="BT273" s="15"/>
      <c r="BU273" s="3"/>
      <c r="BV273" s="13"/>
      <c r="BW273" s="3"/>
      <c r="BX273" s="3"/>
      <c r="BY273" s="3"/>
      <c r="BZ273" s="3"/>
      <c r="CA273" s="3"/>
      <c r="CB273" s="10"/>
      <c r="CC273" s="10"/>
      <c r="CD273" s="4"/>
      <c r="CE273" s="3"/>
    </row>
    <row r="274" spans="1:83" x14ac:dyDescent="0.25">
      <c r="A274" s="2" t="s">
        <v>16</v>
      </c>
      <c r="B274" s="2">
        <v>4</v>
      </c>
      <c r="C274" t="s">
        <v>6</v>
      </c>
      <c r="D274" s="5" t="str">
        <f t="shared" si="28"/>
        <v>p08-4-SW</v>
      </c>
      <c r="E274" s="5" t="s">
        <v>468</v>
      </c>
      <c r="F274" s="17">
        <v>44881</v>
      </c>
      <c r="G274">
        <v>8</v>
      </c>
      <c r="H274" s="3">
        <v>17.600000000000001</v>
      </c>
      <c r="I274" s="3">
        <f t="shared" si="29"/>
        <v>17.14</v>
      </c>
      <c r="J274" s="3">
        <f>($A$58-$A$47)*$A$75</f>
        <v>0.5149999999999999</v>
      </c>
      <c r="K274" s="6">
        <f t="shared" si="30"/>
        <v>3941.0269488188974</v>
      </c>
      <c r="L274" s="4"/>
      <c r="M274" s="4"/>
      <c r="N274" s="4"/>
      <c r="O274" s="4"/>
      <c r="P274" s="7"/>
      <c r="Q274" s="6"/>
      <c r="R274" s="14"/>
      <c r="S274" s="4"/>
      <c r="T274" s="4"/>
      <c r="U274" s="4"/>
      <c r="V274" s="8"/>
      <c r="W274" s="8"/>
      <c r="X274" s="8"/>
      <c r="Y274" s="6"/>
      <c r="Z274" s="6"/>
      <c r="AA274" s="6"/>
      <c r="AB274" s="6"/>
      <c r="AC274" s="6"/>
      <c r="AD274" s="6"/>
      <c r="AE274" s="10"/>
      <c r="AF274" s="14"/>
      <c r="AG274" s="6"/>
      <c r="AH274" s="11"/>
      <c r="AI274" s="6"/>
      <c r="AJ274" s="6"/>
      <c r="AK274" s="6"/>
      <c r="AL274" s="6"/>
      <c r="AM274" s="6"/>
      <c r="AN274" s="16"/>
      <c r="AO274" s="12"/>
      <c r="AP274" s="7"/>
      <c r="AQ274" s="6"/>
      <c r="AV274" s="3"/>
      <c r="AW274" s="3"/>
      <c r="AX274" s="3"/>
      <c r="AY274" s="3"/>
      <c r="AZ274" s="4"/>
      <c r="BA274" s="4"/>
      <c r="BB274" s="4"/>
      <c r="BC274" s="4"/>
      <c r="BD274" s="4"/>
      <c r="BE274" s="3"/>
      <c r="BF274" s="3"/>
      <c r="BG274" s="4"/>
      <c r="BH274" s="4"/>
      <c r="BI274" s="4"/>
      <c r="BJ274" s="9"/>
      <c r="BK274" s="9"/>
      <c r="BL274" s="9"/>
      <c r="BM274" s="3"/>
      <c r="BN274" s="3"/>
      <c r="BO274" s="3"/>
      <c r="BP274" s="3"/>
      <c r="BQ274" s="3"/>
      <c r="BR274" s="3"/>
      <c r="BT274" s="15"/>
      <c r="BU274" s="3"/>
      <c r="BV274" s="13"/>
      <c r="BW274" s="3"/>
      <c r="BX274" s="3"/>
      <c r="BY274" s="3"/>
      <c r="BZ274" s="3"/>
      <c r="CA274" s="3"/>
      <c r="CB274" s="10"/>
      <c r="CC274" s="10"/>
      <c r="CD274" s="4"/>
      <c r="CE274" s="3"/>
    </row>
    <row r="275" spans="1:83" x14ac:dyDescent="0.25">
      <c r="A275" s="2" t="s">
        <v>16</v>
      </c>
      <c r="B275" s="2">
        <v>4</v>
      </c>
      <c r="C275" t="s">
        <v>7</v>
      </c>
      <c r="D275" s="5" t="str">
        <f t="shared" si="28"/>
        <v>p08-4-NE</v>
      </c>
      <c r="E275" s="5" t="s">
        <v>468</v>
      </c>
      <c r="F275" s="17">
        <v>44881</v>
      </c>
      <c r="G275">
        <v>20</v>
      </c>
      <c r="H275" s="3">
        <v>15.3</v>
      </c>
      <c r="I275" s="3">
        <f t="shared" si="29"/>
        <v>14.84</v>
      </c>
      <c r="J275" s="3">
        <f>($A$70-$A$47)*$A$75</f>
        <v>0.5774999999999999</v>
      </c>
      <c r="K275" s="6">
        <f t="shared" si="30"/>
        <v>3441.5623326771656</v>
      </c>
      <c r="L275" s="4"/>
      <c r="M275" s="4"/>
      <c r="N275" s="4"/>
      <c r="O275" s="4"/>
      <c r="P275" s="7"/>
      <c r="Q275" s="6"/>
      <c r="R275" s="14"/>
      <c r="S275" s="4"/>
      <c r="T275" s="4"/>
      <c r="U275" s="4"/>
      <c r="V275" s="8"/>
      <c r="W275" s="8"/>
      <c r="X275" s="8"/>
      <c r="Y275" s="6"/>
      <c r="Z275" s="6"/>
      <c r="AA275" s="6"/>
      <c r="AB275" s="6"/>
      <c r="AC275" s="6"/>
      <c r="AD275" s="6"/>
      <c r="AE275" s="10"/>
      <c r="AF275" s="14"/>
      <c r="AG275" s="6"/>
      <c r="AH275" s="11"/>
      <c r="AI275" s="6"/>
      <c r="AJ275" s="6"/>
      <c r="AK275" s="6"/>
      <c r="AL275" s="6"/>
      <c r="AM275" s="6"/>
      <c r="AN275" s="16"/>
      <c r="AO275" s="12"/>
      <c r="AP275" s="7"/>
      <c r="AQ275" s="6"/>
      <c r="AV275" s="3"/>
      <c r="AW275" s="3"/>
      <c r="AX275" s="3"/>
      <c r="AY275" s="3"/>
      <c r="AZ275" s="4"/>
      <c r="BA275" s="4"/>
      <c r="BB275" s="4"/>
      <c r="BC275" s="4"/>
      <c r="BD275" s="4"/>
      <c r="BE275" s="3"/>
      <c r="BF275" s="3"/>
      <c r="BG275" s="4"/>
      <c r="BH275" s="4"/>
      <c r="BI275" s="4"/>
      <c r="BJ275" s="9"/>
      <c r="BK275" s="9"/>
      <c r="BL275" s="9"/>
      <c r="BM275" s="3"/>
      <c r="BN275" s="3"/>
      <c r="BO275" s="3"/>
      <c r="BP275" s="3"/>
      <c r="BQ275" s="3"/>
      <c r="BR275" s="3"/>
      <c r="BT275" s="15"/>
      <c r="BU275" s="3"/>
      <c r="BV275" s="13"/>
      <c r="BW275" s="3"/>
      <c r="BX275" s="3"/>
      <c r="BY275" s="3"/>
      <c r="BZ275" s="3"/>
      <c r="CA275" s="3"/>
      <c r="CB275" s="10"/>
      <c r="CC275" s="10"/>
      <c r="CD275" s="4"/>
      <c r="CE275" s="3"/>
    </row>
    <row r="276" spans="1:83" x14ac:dyDescent="0.25">
      <c r="A276" s="2" t="s">
        <v>16</v>
      </c>
      <c r="B276" s="2">
        <v>4</v>
      </c>
      <c r="C276" t="s">
        <v>18</v>
      </c>
      <c r="D276" s="5" t="str">
        <f t="shared" si="28"/>
        <v>p08-4-ME</v>
      </c>
      <c r="E276" s="5" t="s">
        <v>468</v>
      </c>
      <c r="F276" s="17">
        <v>44881</v>
      </c>
      <c r="G276">
        <v>20</v>
      </c>
      <c r="H276" s="3">
        <v>14.2</v>
      </c>
      <c r="I276" s="3">
        <f t="shared" si="29"/>
        <v>13.739999999999998</v>
      </c>
      <c r="J276" s="3">
        <f>($A$70-$A$47)*$A$75</f>
        <v>0.5774999999999999</v>
      </c>
      <c r="K276" s="6">
        <f t="shared" si="30"/>
        <v>3196.0154822834643</v>
      </c>
      <c r="L276" s="4">
        <v>8.75</v>
      </c>
      <c r="M276" s="4">
        <v>182.81</v>
      </c>
      <c r="N276" s="4">
        <f>M276-L276</f>
        <v>174.06</v>
      </c>
      <c r="O276" s="4">
        <v>166.69</v>
      </c>
      <c r="P276" s="7">
        <f>(N276-O276)/N276*100</f>
        <v>4.2341721245547541</v>
      </c>
      <c r="Q276" s="6">
        <f>K276*(1-P276/100)</f>
        <v>3060.6906856361634</v>
      </c>
      <c r="R276" s="14">
        <v>44882</v>
      </c>
      <c r="S276" s="4">
        <v>6.19</v>
      </c>
      <c r="T276" s="4">
        <v>2.14</v>
      </c>
      <c r="U276" s="4">
        <v>4.9400000000000004</v>
      </c>
      <c r="V276" s="8">
        <f>(T276-$A$76)/(S276-$A$47*$A$48)</f>
        <v>0.3276853486637647</v>
      </c>
      <c r="W276" s="8">
        <f>(U276-$A$77)/(S276-$A$47*$A$48)</f>
        <v>0.54168394370948858</v>
      </c>
      <c r="X276" s="8">
        <f>1-V276-W276</f>
        <v>0.13063070762674667</v>
      </c>
      <c r="Y276" s="6">
        <f>K276*V276</f>
        <v>1047.2874476468471</v>
      </c>
      <c r="Z276" s="6">
        <f>K276*W276</f>
        <v>1731.23027059989</v>
      </c>
      <c r="AA276" s="6">
        <f>SUM(Y276:Z276)</f>
        <v>2778.5177182467369</v>
      </c>
      <c r="AB276" s="6">
        <f>Q276*V276</f>
        <v>1002.9434944746232</v>
      </c>
      <c r="AC276" s="6">
        <f>Q276*W276</f>
        <v>1657.9270010702955</v>
      </c>
      <c r="AD276" s="6">
        <f>SUM(AB276:AC276)</f>
        <v>2660.8704955449189</v>
      </c>
      <c r="AE276" s="10">
        <v>990130842080</v>
      </c>
      <c r="AF276" s="14">
        <v>44980</v>
      </c>
      <c r="AG276" s="6">
        <v>45.8</v>
      </c>
      <c r="AH276" s="11">
        <v>1.069</v>
      </c>
      <c r="AI276" s="6">
        <v>79.5</v>
      </c>
      <c r="AJ276" s="6">
        <v>26.6</v>
      </c>
      <c r="AK276" s="6">
        <v>6.1</v>
      </c>
      <c r="AL276" s="6">
        <v>78.599999999999994</v>
      </c>
      <c r="AM276" s="6">
        <v>8</v>
      </c>
      <c r="AN276" s="16" t="s">
        <v>149</v>
      </c>
      <c r="AO276" s="12">
        <v>10</v>
      </c>
      <c r="AP276" s="7">
        <v>0.12</v>
      </c>
      <c r="AQ276" s="6">
        <v>10.6</v>
      </c>
      <c r="AV276" s="3"/>
      <c r="AW276" s="3"/>
      <c r="AX276" s="3"/>
      <c r="AY276" s="3"/>
      <c r="AZ276" s="4"/>
      <c r="BA276" s="4"/>
      <c r="BB276" s="4"/>
      <c r="BC276" s="4"/>
      <c r="BD276" s="4"/>
      <c r="BE276" s="3"/>
      <c r="BF276" s="3"/>
      <c r="BG276" s="4"/>
      <c r="BH276" s="4"/>
      <c r="BI276" s="4"/>
      <c r="BJ276" s="9"/>
      <c r="BK276" s="9"/>
      <c r="BL276" s="9"/>
      <c r="BM276" s="3"/>
      <c r="BN276" s="3"/>
      <c r="BO276" s="3"/>
      <c r="BP276" s="3"/>
      <c r="BQ276" s="3"/>
      <c r="BR276" s="3"/>
      <c r="BT276" s="15"/>
      <c r="BU276" s="3"/>
      <c r="BV276" s="13"/>
      <c r="BW276" s="3"/>
      <c r="BX276" s="3"/>
      <c r="BY276" s="3"/>
      <c r="BZ276" s="3"/>
      <c r="CA276" s="3"/>
      <c r="CB276" s="10"/>
      <c r="CC276" s="10"/>
      <c r="CD276" s="4"/>
      <c r="CE276" s="3"/>
    </row>
    <row r="277" spans="1:83" x14ac:dyDescent="0.25">
      <c r="A277" s="2" t="s">
        <v>16</v>
      </c>
      <c r="B277" s="2">
        <v>4</v>
      </c>
      <c r="C277" t="s">
        <v>8</v>
      </c>
      <c r="D277" s="5" t="str">
        <f t="shared" si="28"/>
        <v>p08-4-SE</v>
      </c>
      <c r="E277" s="5" t="s">
        <v>468</v>
      </c>
      <c r="F277" s="17">
        <v>44881</v>
      </c>
      <c r="G277">
        <v>20</v>
      </c>
      <c r="H277" s="3">
        <v>17.5</v>
      </c>
      <c r="I277" s="3">
        <f t="shared" si="29"/>
        <v>17.04</v>
      </c>
      <c r="J277" s="3">
        <f>($A$70-$A$47)*$A$75</f>
        <v>0.5774999999999999</v>
      </c>
      <c r="K277" s="6">
        <f t="shared" si="30"/>
        <v>3932.6560334645665</v>
      </c>
      <c r="L277" s="4"/>
      <c r="M277" s="4"/>
      <c r="N277" s="4"/>
      <c r="O277" s="4"/>
      <c r="P277" s="7"/>
      <c r="Q277" s="6"/>
      <c r="R277" s="14"/>
      <c r="S277" s="4"/>
      <c r="T277" s="4"/>
      <c r="U277" s="4"/>
      <c r="V277" s="8"/>
      <c r="W277" s="8"/>
      <c r="X277" s="8"/>
      <c r="Y277" s="6"/>
      <c r="Z277" s="6"/>
      <c r="AA277" s="6"/>
      <c r="AB277" s="6"/>
      <c r="AC277" s="6"/>
      <c r="AD277" s="6"/>
      <c r="AE277" s="10"/>
      <c r="AF277" s="14"/>
      <c r="AG277" s="6"/>
      <c r="AH277" s="11"/>
      <c r="AI277" s="6"/>
      <c r="AJ277" s="6"/>
      <c r="AK277" s="6"/>
      <c r="AL277" s="6"/>
      <c r="AM277" s="6"/>
      <c r="AN277" s="16"/>
      <c r="AO277" s="12"/>
      <c r="AP277" s="7"/>
      <c r="AQ277" s="6"/>
      <c r="AV277" s="3"/>
      <c r="AW277" s="3"/>
      <c r="AX277" s="3"/>
      <c r="AY277" s="3"/>
      <c r="AZ277" s="4"/>
      <c r="BA277" s="4"/>
      <c r="BB277" s="4"/>
      <c r="BC277" s="4"/>
      <c r="BD277" s="4"/>
      <c r="BE277" s="3"/>
      <c r="BF277" s="3"/>
      <c r="BG277" s="4"/>
      <c r="BH277" s="4"/>
      <c r="BI277" s="4"/>
      <c r="BJ277" s="9"/>
      <c r="BK277" s="9"/>
      <c r="BL277" s="9"/>
      <c r="BM277" s="3"/>
      <c r="BN277" s="3"/>
      <c r="BO277" s="3"/>
      <c r="BP277" s="3"/>
      <c r="BQ277" s="3"/>
      <c r="BR277" s="3"/>
      <c r="BT277" s="15"/>
      <c r="BU277" s="3"/>
      <c r="BV277" s="13"/>
      <c r="BW277" s="3"/>
      <c r="BX277" s="3"/>
      <c r="BY277" s="3"/>
      <c r="BZ277" s="3"/>
      <c r="CA277" s="3"/>
      <c r="CB277" s="10"/>
      <c r="CC277" s="10"/>
      <c r="CD277" s="4"/>
      <c r="CE277" s="3"/>
    </row>
    <row r="278" spans="1:83" x14ac:dyDescent="0.25">
      <c r="A278" s="2" t="s">
        <v>17</v>
      </c>
      <c r="B278" s="2">
        <v>1</v>
      </c>
      <c r="C278" t="s">
        <v>4</v>
      </c>
      <c r="D278" s="5" t="str">
        <f t="shared" ref="D278:D341" si="41">CONCATENATE("p",A278,"-",B278,"-",C278)</f>
        <v>p09-1-NW</v>
      </c>
      <c r="E278" s="5" t="s">
        <v>468</v>
      </c>
      <c r="F278" s="17">
        <v>44881</v>
      </c>
      <c r="G278">
        <v>9</v>
      </c>
      <c r="H278" s="3">
        <v>9.8000000000000007</v>
      </c>
      <c r="I278" s="3">
        <f t="shared" si="29"/>
        <v>9.34</v>
      </c>
      <c r="J278" s="3">
        <f>($A$59-$A$47)*$A$75</f>
        <v>0.45250000000000001</v>
      </c>
      <c r="K278" s="6">
        <f t="shared" si="30"/>
        <v>2185.9250295275588</v>
      </c>
      <c r="L278" s="4"/>
      <c r="M278" s="4"/>
      <c r="N278" s="4"/>
      <c r="O278" s="4"/>
      <c r="P278" s="7"/>
      <c r="Q278" s="6"/>
      <c r="R278" s="14"/>
      <c r="S278" s="4"/>
      <c r="T278" s="4"/>
      <c r="U278" s="4"/>
      <c r="V278" s="8"/>
      <c r="W278" s="8"/>
      <c r="X278" s="8"/>
      <c r="Y278" s="6"/>
      <c r="Z278" s="6"/>
      <c r="AA278" s="6"/>
      <c r="AB278" s="6"/>
      <c r="AC278" s="6"/>
      <c r="AD278" s="6"/>
      <c r="AE278" s="10"/>
      <c r="AF278" s="14"/>
      <c r="AG278" s="6"/>
      <c r="AH278" s="11"/>
      <c r="AI278" s="6"/>
      <c r="AJ278" s="6"/>
      <c r="AK278" s="6"/>
      <c r="AL278" s="6"/>
      <c r="AM278" s="6"/>
      <c r="AN278" s="16"/>
      <c r="AO278" s="12"/>
      <c r="AP278" s="7"/>
      <c r="AQ278" s="6"/>
      <c r="AS278" s="4" t="s">
        <v>118</v>
      </c>
      <c r="AT278" s="4" t="str">
        <f>E278</f>
        <v>Machine</v>
      </c>
      <c r="AU278" s="15">
        <f>F278</f>
        <v>44881</v>
      </c>
      <c r="AV278" s="3">
        <f>SUM(H278:H283)</f>
        <v>71.199999999999989</v>
      </c>
      <c r="AW278" s="3">
        <f>AV278-6*$A$47</f>
        <v>68.439999999999984</v>
      </c>
      <c r="AX278" s="3">
        <f>SUM(J278:J283)</f>
        <v>2.7524999999999999</v>
      </c>
      <c r="AY278" s="3">
        <f>(AW278+AX278)*$A$48/(6*$A$49)*$A$50</f>
        <v>2648.6506282808391</v>
      </c>
      <c r="AZ278" s="4">
        <f>SUM(L278:L283)</f>
        <v>17.34</v>
      </c>
      <c r="BA278" s="4">
        <f>SUM(M278:M283)</f>
        <v>349.40999999999997</v>
      </c>
      <c r="BB278" s="4">
        <f>BA278-AZ278</f>
        <v>332.07</v>
      </c>
      <c r="BC278" s="4">
        <f>SUM(O278:O283)</f>
        <v>314.27999999999997</v>
      </c>
      <c r="BD278" s="4">
        <f>(BB278-BC278)/BB278*100</f>
        <v>5.357304182853019</v>
      </c>
      <c r="BE278" s="3">
        <f>AY278*(1-BD278/100)</f>
        <v>2506.754357382787</v>
      </c>
      <c r="BF278" s="15">
        <f>R279</f>
        <v>44882</v>
      </c>
      <c r="BG278" s="4">
        <f>SUM(S278:S283)</f>
        <v>11.06</v>
      </c>
      <c r="BH278" s="4">
        <f>SUM(T278:T283)</f>
        <v>3.7800000000000002</v>
      </c>
      <c r="BI278" s="4">
        <f>SUM(U278:U283)</f>
        <v>9.18</v>
      </c>
      <c r="BJ278" s="9">
        <f>(BH278-2*$A$76)/(BG278-2*$A$47*$A$48)</f>
        <v>0.32134716670119928</v>
      </c>
      <c r="BK278" s="9">
        <f>(BI278-2*$A$77)/(BG278-2*$A$47*$A$48)</f>
        <v>0.54309550395699746</v>
      </c>
      <c r="BL278" s="9">
        <f>1-BJ278-BK278</f>
        <v>0.1355573293418032</v>
      </c>
      <c r="BM278" s="3">
        <f>AY278*BJ278</f>
        <v>851.13637497939897</v>
      </c>
      <c r="BN278" s="3">
        <f>AY278*BK278</f>
        <v>1438.4702477722003</v>
      </c>
      <c r="BO278" s="3">
        <f>SUM(BM278:BN278)</f>
        <v>2289.6066227515994</v>
      </c>
      <c r="BP278" s="3">
        <f>BE278*BJ278</f>
        <v>805.53841036084418</v>
      </c>
      <c r="BQ278" s="3">
        <f>BE278*BK278</f>
        <v>1361.407021019204</v>
      </c>
      <c r="BR278" s="3">
        <f>SUM(BP278:BQ278)</f>
        <v>2166.9454313800479</v>
      </c>
      <c r="BS278" s="3"/>
      <c r="BT278" s="15">
        <f>AF279</f>
        <v>44980</v>
      </c>
      <c r="BU278" s="3">
        <f t="shared" ref="BU278:CA278" si="42">AVERAGE(AG278:AG283)</f>
        <v>48.2</v>
      </c>
      <c r="BV278" s="13">
        <f t="shared" si="42"/>
        <v>1.095</v>
      </c>
      <c r="BW278" s="3">
        <f t="shared" si="42"/>
        <v>77.599999999999994</v>
      </c>
      <c r="BX278" s="3">
        <f t="shared" si="42"/>
        <v>26.3</v>
      </c>
      <c r="BY278" s="3">
        <f t="shared" si="42"/>
        <v>6.15</v>
      </c>
      <c r="BZ278" s="3">
        <f t="shared" si="42"/>
        <v>78.25</v>
      </c>
      <c r="CA278" s="3">
        <f t="shared" si="42"/>
        <v>8.5500000000000007</v>
      </c>
      <c r="CB278" s="13"/>
      <c r="CC278" s="10">
        <f>AVERAGE(AO278:AO283)</f>
        <v>12.5</v>
      </c>
      <c r="CD278" s="4">
        <f>AVERAGE(AP278:AP283)</f>
        <v>0.19</v>
      </c>
      <c r="CE278" s="3">
        <f>AVERAGE(AQ278:AQ283)</f>
        <v>11.899999999999999</v>
      </c>
    </row>
    <row r="279" spans="1:83" x14ac:dyDescent="0.25">
      <c r="A279" s="2" t="s">
        <v>17</v>
      </c>
      <c r="B279" s="2">
        <v>1</v>
      </c>
      <c r="C279" t="s">
        <v>5</v>
      </c>
      <c r="D279" s="5" t="str">
        <f t="shared" si="41"/>
        <v>p09-1-MW</v>
      </c>
      <c r="E279" s="5" t="s">
        <v>468</v>
      </c>
      <c r="F279" s="17">
        <v>44881</v>
      </c>
      <c r="G279">
        <v>9</v>
      </c>
      <c r="H279" s="3">
        <v>12.3</v>
      </c>
      <c r="I279" s="3">
        <f t="shared" ref="I279:I342" si="43">H279-$A$47</f>
        <v>11.84</v>
      </c>
      <c r="J279" s="3">
        <f>($A$59-$A$47)*$A$75</f>
        <v>0.45250000000000001</v>
      </c>
      <c r="K279" s="6">
        <f t="shared" ref="K279:K342" si="44">(I279+J279)*$A$48/$A$49*$A$50</f>
        <v>2743.9860531496065</v>
      </c>
      <c r="L279" s="4">
        <v>8.51</v>
      </c>
      <c r="M279" s="4">
        <v>181.54</v>
      </c>
      <c r="N279" s="4">
        <f>M279-L279</f>
        <v>173.03</v>
      </c>
      <c r="O279" s="4">
        <v>162.71</v>
      </c>
      <c r="P279" s="7">
        <f>(N279-O279)/N279*100</f>
        <v>5.9642836502340595</v>
      </c>
      <c r="Q279" s="6">
        <f>K279*(1-P279/100)</f>
        <v>2580.3269416169019</v>
      </c>
      <c r="R279" s="14">
        <v>44882</v>
      </c>
      <c r="S279" s="4">
        <v>5.24</v>
      </c>
      <c r="T279" s="4">
        <v>1.76</v>
      </c>
      <c r="U279" s="4">
        <v>4.4800000000000004</v>
      </c>
      <c r="V279" s="8">
        <f>(T279-$A$76)/(S279-$A$47*$A$48)</f>
        <v>0.31403117027285221</v>
      </c>
      <c r="W279" s="8">
        <f>(U279-$A$77)/(S279-$A$47*$A$48)</f>
        <v>0.5525358565560311</v>
      </c>
      <c r="X279" s="8">
        <f>1-V279-W279</f>
        <v>0.13343297317111669</v>
      </c>
      <c r="Y279" s="6">
        <f>K279*V279</f>
        <v>861.69715148295575</v>
      </c>
      <c r="Z279" s="6">
        <f>K279*W279</f>
        <v>1516.1506842548208</v>
      </c>
      <c r="AA279" s="6">
        <f>SUM(Y279:Z279)</f>
        <v>2377.8478357377767</v>
      </c>
      <c r="AB279" s="6">
        <f>Q279*V279</f>
        <v>810.30308916252534</v>
      </c>
      <c r="AC279" s="6">
        <f>Q279*W279</f>
        <v>1425.7231568808988</v>
      </c>
      <c r="AD279" s="6">
        <f>SUM(AB279:AC279)</f>
        <v>2236.0262460434242</v>
      </c>
      <c r="AE279" s="10">
        <v>990130911033</v>
      </c>
      <c r="AF279" s="14">
        <v>44980</v>
      </c>
      <c r="AG279" s="6">
        <v>48.6</v>
      </c>
      <c r="AH279" s="11">
        <v>1.095</v>
      </c>
      <c r="AI279" s="6">
        <v>77.400000000000006</v>
      </c>
      <c r="AJ279" s="6">
        <v>26.6</v>
      </c>
      <c r="AK279" s="6">
        <v>6.1</v>
      </c>
      <c r="AL279" s="6">
        <v>78.400000000000006</v>
      </c>
      <c r="AM279" s="6">
        <v>9.1999999999999993</v>
      </c>
      <c r="AN279" s="16" t="s">
        <v>166</v>
      </c>
      <c r="AO279" s="12">
        <v>15</v>
      </c>
      <c r="AP279" s="7">
        <v>0.25</v>
      </c>
      <c r="AQ279" s="6">
        <v>11.6</v>
      </c>
      <c r="AV279" s="3"/>
      <c r="AW279" s="3"/>
      <c r="AX279" s="3"/>
      <c r="AY279" s="3"/>
      <c r="AZ279" s="4"/>
      <c r="BA279" s="4"/>
      <c r="BB279" s="4"/>
      <c r="BC279" s="4"/>
      <c r="BD279" s="4"/>
      <c r="BE279" s="3"/>
      <c r="BF279" s="3"/>
      <c r="BG279" s="4"/>
      <c r="BH279" s="4"/>
      <c r="BI279" s="4"/>
      <c r="BJ279" s="9"/>
      <c r="BK279" s="9"/>
      <c r="BL279" s="9"/>
      <c r="BM279" s="3"/>
      <c r="BN279" s="3"/>
      <c r="BO279" s="3"/>
      <c r="BP279" s="3"/>
      <c r="BQ279" s="3"/>
      <c r="BR279" s="3"/>
      <c r="BT279" s="15"/>
      <c r="BU279" s="3"/>
      <c r="BV279" s="13"/>
      <c r="BW279" s="3"/>
      <c r="BX279" s="3"/>
      <c r="BY279" s="3"/>
      <c r="BZ279" s="3"/>
      <c r="CA279" s="3"/>
      <c r="CB279" s="10"/>
      <c r="CC279" s="10"/>
      <c r="CD279" s="4"/>
      <c r="CE279" s="3"/>
    </row>
    <row r="280" spans="1:83" x14ac:dyDescent="0.25">
      <c r="A280" s="2" t="s">
        <v>17</v>
      </c>
      <c r="B280" s="2">
        <v>1</v>
      </c>
      <c r="C280" t="s">
        <v>6</v>
      </c>
      <c r="D280" s="5" t="str">
        <f t="shared" si="41"/>
        <v>p09-1-SW</v>
      </c>
      <c r="E280" s="5" t="s">
        <v>468</v>
      </c>
      <c r="F280" s="17">
        <v>44881</v>
      </c>
      <c r="G280">
        <v>9</v>
      </c>
      <c r="H280" s="3">
        <v>14.2</v>
      </c>
      <c r="I280" s="3">
        <f t="shared" si="43"/>
        <v>13.739999999999998</v>
      </c>
      <c r="J280" s="3">
        <f>($A$59-$A$47)*$A$75</f>
        <v>0.45250000000000001</v>
      </c>
      <c r="K280" s="6">
        <f t="shared" si="44"/>
        <v>3168.1124311023618</v>
      </c>
      <c r="L280" s="4"/>
      <c r="M280" s="4"/>
      <c r="N280" s="4"/>
      <c r="O280" s="4"/>
      <c r="P280" s="7"/>
      <c r="Q280" s="6"/>
      <c r="R280" s="14"/>
      <c r="S280" s="4"/>
      <c r="T280" s="4"/>
      <c r="U280" s="4"/>
      <c r="V280" s="8"/>
      <c r="W280" s="8"/>
      <c r="X280" s="8"/>
      <c r="Y280" s="6"/>
      <c r="Z280" s="6"/>
      <c r="AA280" s="6"/>
      <c r="AB280" s="6"/>
      <c r="AC280" s="6"/>
      <c r="AD280" s="6"/>
      <c r="AE280" s="10"/>
      <c r="AF280" s="14"/>
      <c r="AG280" s="6"/>
      <c r="AH280" s="11"/>
      <c r="AI280" s="6"/>
      <c r="AJ280" s="6"/>
      <c r="AK280" s="6"/>
      <c r="AL280" s="6"/>
      <c r="AM280" s="6"/>
      <c r="AN280" s="16"/>
      <c r="AO280" s="12"/>
      <c r="AP280" s="7"/>
      <c r="AQ280" s="6"/>
      <c r="AV280" s="3"/>
      <c r="AW280" s="3"/>
      <c r="AX280" s="3"/>
      <c r="AY280" s="3"/>
      <c r="AZ280" s="4"/>
      <c r="BA280" s="4"/>
      <c r="BB280" s="4"/>
      <c r="BC280" s="4"/>
      <c r="BD280" s="4"/>
      <c r="BE280" s="3"/>
      <c r="BF280" s="3"/>
      <c r="BG280" s="4"/>
      <c r="BH280" s="4"/>
      <c r="BI280" s="4"/>
      <c r="BJ280" s="9"/>
      <c r="BK280" s="9"/>
      <c r="BL280" s="9"/>
      <c r="BM280" s="3"/>
      <c r="BN280" s="3"/>
      <c r="BO280" s="3"/>
      <c r="BP280" s="3"/>
      <c r="BQ280" s="3"/>
      <c r="BR280" s="3"/>
      <c r="BS280" s="4"/>
      <c r="BT280" s="15"/>
      <c r="BU280" s="3"/>
      <c r="BV280" s="13"/>
      <c r="BW280" s="3"/>
      <c r="BX280" s="3"/>
      <c r="BY280" s="3"/>
      <c r="BZ280" s="3"/>
      <c r="CA280" s="3"/>
      <c r="CB280" s="10"/>
      <c r="CC280" s="10"/>
      <c r="CD280" s="4"/>
      <c r="CE280" s="3"/>
    </row>
    <row r="281" spans="1:83" x14ac:dyDescent="0.25">
      <c r="A281" s="2" t="s">
        <v>17</v>
      </c>
      <c r="B281" s="2">
        <v>1</v>
      </c>
      <c r="C281" t="s">
        <v>7</v>
      </c>
      <c r="D281" s="5" t="str">
        <f t="shared" si="41"/>
        <v>p09-1-NE</v>
      </c>
      <c r="E281" s="5" t="s">
        <v>468</v>
      </c>
      <c r="F281" s="17">
        <v>44881</v>
      </c>
      <c r="G281">
        <v>21</v>
      </c>
      <c r="H281" s="3">
        <v>7.5</v>
      </c>
      <c r="I281" s="3">
        <f t="shared" si="43"/>
        <v>7.04</v>
      </c>
      <c r="J281" s="3">
        <f>($A$71-$A$47)*$A$75</f>
        <v>0.46500000000000002</v>
      </c>
      <c r="K281" s="6">
        <f t="shared" si="44"/>
        <v>1675.2991929133857</v>
      </c>
      <c r="L281" s="4"/>
      <c r="M281" s="4"/>
      <c r="N281" s="4"/>
      <c r="O281" s="4"/>
      <c r="P281" s="7"/>
      <c r="Q281" s="6"/>
      <c r="R281" s="14"/>
      <c r="S281" s="4"/>
      <c r="T281" s="4"/>
      <c r="U281" s="4"/>
      <c r="V281" s="8"/>
      <c r="W281" s="8"/>
      <c r="X281" s="8"/>
      <c r="Y281" s="6"/>
      <c r="Z281" s="6"/>
      <c r="AA281" s="6"/>
      <c r="AB281" s="6"/>
      <c r="AC281" s="6"/>
      <c r="AD281" s="6"/>
      <c r="AE281" s="10"/>
      <c r="AF281" s="14"/>
      <c r="AG281" s="6"/>
      <c r="AH281" s="11"/>
      <c r="AI281" s="6"/>
      <c r="AJ281" s="6"/>
      <c r="AK281" s="6"/>
      <c r="AL281" s="6"/>
      <c r="AM281" s="6"/>
      <c r="AN281" s="16"/>
      <c r="AO281" s="12"/>
      <c r="AP281" s="7"/>
      <c r="AQ281" s="6"/>
      <c r="AV281" s="3"/>
      <c r="AW281" s="3"/>
      <c r="AX281" s="3"/>
      <c r="AY281" s="3"/>
      <c r="AZ281" s="4"/>
      <c r="BA281" s="4"/>
      <c r="BB281" s="4"/>
      <c r="BC281" s="4"/>
      <c r="BD281" s="4"/>
      <c r="BE281" s="3"/>
      <c r="BF281" s="3"/>
      <c r="BG281" s="4"/>
      <c r="BH281" s="4"/>
      <c r="BI281" s="4"/>
      <c r="BJ281" s="9"/>
      <c r="BK281" s="9"/>
      <c r="BL281" s="9"/>
      <c r="BM281" s="3"/>
      <c r="BN281" s="3"/>
      <c r="BO281" s="3"/>
      <c r="BP281" s="3"/>
      <c r="BQ281" s="3"/>
      <c r="BR281" s="3"/>
      <c r="BT281" s="15"/>
      <c r="BU281" s="3"/>
      <c r="BV281" s="13"/>
      <c r="BW281" s="3"/>
      <c r="BX281" s="3"/>
      <c r="BY281" s="3"/>
      <c r="BZ281" s="3"/>
      <c r="CA281" s="3"/>
      <c r="CB281" s="10"/>
      <c r="CC281" s="10"/>
      <c r="CD281" s="4"/>
      <c r="CE281" s="3"/>
    </row>
    <row r="282" spans="1:83" x14ac:dyDescent="0.25">
      <c r="A282" s="2" t="s">
        <v>17</v>
      </c>
      <c r="B282" s="2">
        <v>1</v>
      </c>
      <c r="C282" t="s">
        <v>18</v>
      </c>
      <c r="D282" s="5" t="str">
        <f t="shared" si="41"/>
        <v>p09-1-ME</v>
      </c>
      <c r="E282" s="5" t="s">
        <v>468</v>
      </c>
      <c r="F282" s="17">
        <v>44881</v>
      </c>
      <c r="G282">
        <v>21</v>
      </c>
      <c r="H282" s="3">
        <v>13.3</v>
      </c>
      <c r="I282" s="3">
        <f t="shared" si="43"/>
        <v>12.84</v>
      </c>
      <c r="J282" s="3">
        <f>($A$71-$A$47)*$A$75</f>
        <v>0.46500000000000002</v>
      </c>
      <c r="K282" s="6">
        <f t="shared" si="44"/>
        <v>2970.0007677165354</v>
      </c>
      <c r="L282" s="4">
        <v>8.83</v>
      </c>
      <c r="M282" s="4">
        <v>167.87</v>
      </c>
      <c r="N282" s="4">
        <f>M282-L282</f>
        <v>159.04</v>
      </c>
      <c r="O282" s="4">
        <v>151.57</v>
      </c>
      <c r="P282" s="7">
        <f>(N282-O282)/N282*100</f>
        <v>4.6969315895372228</v>
      </c>
      <c r="Q282" s="6">
        <f>K282*(1-P282/100)</f>
        <v>2830.5018634481594</v>
      </c>
      <c r="R282" s="14">
        <v>44882</v>
      </c>
      <c r="S282" s="4">
        <v>5.82</v>
      </c>
      <c r="T282" s="4">
        <v>2.02</v>
      </c>
      <c r="U282" s="4">
        <v>4.7</v>
      </c>
      <c r="V282" s="8">
        <f>(T282-$A$76)/(S282-$A$47*$A$48)</f>
        <v>0.32790696726173985</v>
      </c>
      <c r="W282" s="8">
        <f>(U282-$A$77)/(S282-$A$47*$A$48)</f>
        <v>0.53463092488327146</v>
      </c>
      <c r="X282" s="8">
        <f>1-V282-W282</f>
        <v>0.13746210785498869</v>
      </c>
      <c r="Y282" s="6">
        <f>K282*V282</f>
        <v>973.88394450696819</v>
      </c>
      <c r="Z282" s="6">
        <f>K282*W282</f>
        <v>1587.8542573483176</v>
      </c>
      <c r="AA282" s="6">
        <f>SUM(Y282:Z282)</f>
        <v>2561.7382018552858</v>
      </c>
      <c r="AB282" s="6">
        <f>Q282*V282</f>
        <v>928.14128187198924</v>
      </c>
      <c r="AC282" s="6">
        <f>Q282*W282</f>
        <v>1513.2738291391129</v>
      </c>
      <c r="AD282" s="6">
        <f>SUM(AB282:AC282)</f>
        <v>2441.415111011102</v>
      </c>
      <c r="AE282" s="10">
        <v>990130912081</v>
      </c>
      <c r="AF282" s="14">
        <v>44980</v>
      </c>
      <c r="AG282" s="6">
        <v>47.800000000000004</v>
      </c>
      <c r="AH282" s="11">
        <v>1.095</v>
      </c>
      <c r="AI282" s="6">
        <v>77.8</v>
      </c>
      <c r="AJ282" s="6">
        <v>26</v>
      </c>
      <c r="AK282" s="6">
        <v>6.2</v>
      </c>
      <c r="AL282" s="6">
        <v>78.099999999999994</v>
      </c>
      <c r="AM282" s="6">
        <v>7.9</v>
      </c>
      <c r="AN282" s="16" t="s">
        <v>149</v>
      </c>
      <c r="AO282" s="12">
        <v>10</v>
      </c>
      <c r="AP282" s="7">
        <v>0.13</v>
      </c>
      <c r="AQ282" s="6">
        <v>12.2</v>
      </c>
      <c r="AV282" s="3"/>
      <c r="AW282" s="3"/>
      <c r="AX282" s="3"/>
      <c r="AY282" s="3"/>
      <c r="AZ282" s="4"/>
      <c r="BA282" s="4"/>
      <c r="BB282" s="4"/>
      <c r="BC282" s="4"/>
      <c r="BD282" s="4"/>
      <c r="BE282" s="3"/>
      <c r="BF282" s="3"/>
      <c r="BG282" s="4"/>
      <c r="BH282" s="4"/>
      <c r="BI282" s="4"/>
      <c r="BJ282" s="9"/>
      <c r="BK282" s="9"/>
      <c r="BL282" s="9"/>
      <c r="BM282" s="3"/>
      <c r="BN282" s="3"/>
      <c r="BO282" s="3"/>
      <c r="BP282" s="3"/>
      <c r="BQ282" s="3"/>
      <c r="BR282" s="3"/>
      <c r="BT282" s="15"/>
      <c r="BU282" s="3"/>
      <c r="BV282" s="13"/>
      <c r="BW282" s="3"/>
      <c r="BX282" s="3"/>
      <c r="BY282" s="3"/>
      <c r="BZ282" s="3"/>
      <c r="CA282" s="3"/>
      <c r="CB282" s="10"/>
      <c r="CC282" s="10"/>
      <c r="CD282" s="4"/>
      <c r="CE282" s="3"/>
    </row>
    <row r="283" spans="1:83" x14ac:dyDescent="0.25">
      <c r="A283" s="2" t="s">
        <v>17</v>
      </c>
      <c r="B283" s="2">
        <v>1</v>
      </c>
      <c r="C283" t="s">
        <v>8</v>
      </c>
      <c r="D283" s="5" t="str">
        <f t="shared" si="41"/>
        <v>p09-1-SE</v>
      </c>
      <c r="E283" s="5" t="s">
        <v>468</v>
      </c>
      <c r="F283" s="17">
        <v>44881</v>
      </c>
      <c r="G283">
        <v>21</v>
      </c>
      <c r="H283" s="3">
        <v>14.1</v>
      </c>
      <c r="I283" s="3">
        <f t="shared" si="43"/>
        <v>13.639999999999999</v>
      </c>
      <c r="J283" s="3">
        <f>($A$71-$A$47)*$A$75</f>
        <v>0.46500000000000002</v>
      </c>
      <c r="K283" s="6">
        <f t="shared" si="44"/>
        <v>3148.5802952755903</v>
      </c>
      <c r="L283" s="4"/>
      <c r="M283" s="4"/>
      <c r="N283" s="4"/>
      <c r="O283" s="4"/>
      <c r="P283" s="7"/>
      <c r="Q283" s="6"/>
      <c r="R283" s="14"/>
      <c r="S283" s="4"/>
      <c r="T283" s="4"/>
      <c r="U283" s="4"/>
      <c r="V283" s="8"/>
      <c r="W283" s="8"/>
      <c r="X283" s="8"/>
      <c r="Y283" s="6"/>
      <c r="Z283" s="6"/>
      <c r="AA283" s="6"/>
      <c r="AB283" s="6"/>
      <c r="AC283" s="6"/>
      <c r="AD283" s="6"/>
      <c r="AE283" s="10"/>
      <c r="AF283" s="14"/>
      <c r="AG283" s="6"/>
      <c r="AH283" s="11"/>
      <c r="AI283" s="6"/>
      <c r="AJ283" s="6"/>
      <c r="AK283" s="6"/>
      <c r="AL283" s="6"/>
      <c r="AM283" s="6"/>
      <c r="AN283" s="16"/>
      <c r="AO283" s="12"/>
      <c r="AP283" s="7"/>
      <c r="AQ283" s="6"/>
      <c r="AV283" s="3"/>
      <c r="AW283" s="3"/>
      <c r="AX283" s="3"/>
      <c r="AY283" s="3"/>
      <c r="AZ283" s="4"/>
      <c r="BA283" s="4"/>
      <c r="BB283" s="4"/>
      <c r="BC283" s="4"/>
      <c r="BD283" s="4"/>
      <c r="BE283" s="3"/>
      <c r="BF283" s="3"/>
      <c r="BG283" s="4"/>
      <c r="BH283" s="4"/>
      <c r="BI283" s="4"/>
      <c r="BJ283" s="9"/>
      <c r="BK283" s="9"/>
      <c r="BL283" s="9"/>
      <c r="BM283" s="3"/>
      <c r="BN283" s="3"/>
      <c r="BO283" s="3"/>
      <c r="BP283" s="3"/>
      <c r="BQ283" s="3"/>
      <c r="BR283" s="3"/>
      <c r="BT283" s="15"/>
      <c r="BU283" s="3"/>
      <c r="BV283" s="13"/>
      <c r="BW283" s="3"/>
      <c r="BX283" s="3"/>
      <c r="BY283" s="3"/>
      <c r="BZ283" s="3"/>
      <c r="CA283" s="3"/>
      <c r="CB283" s="10"/>
      <c r="CC283" s="10"/>
      <c r="CD283" s="4"/>
      <c r="CE283" s="3"/>
    </row>
    <row r="284" spans="1:83" x14ac:dyDescent="0.25">
      <c r="A284" s="2" t="s">
        <v>17</v>
      </c>
      <c r="B284" s="2">
        <v>2</v>
      </c>
      <c r="C284" t="s">
        <v>4</v>
      </c>
      <c r="D284" s="5" t="str">
        <f t="shared" si="41"/>
        <v>p09-2-NW</v>
      </c>
      <c r="E284" s="5" t="s">
        <v>468</v>
      </c>
      <c r="F284" s="17">
        <v>44881</v>
      </c>
      <c r="G284">
        <v>9</v>
      </c>
      <c r="H284" s="3">
        <v>22.8</v>
      </c>
      <c r="I284" s="3">
        <f t="shared" si="43"/>
        <v>22.34</v>
      </c>
      <c r="J284" s="3">
        <f>($A$59-$A$47)*$A$75</f>
        <v>0.45250000000000001</v>
      </c>
      <c r="K284" s="6">
        <f t="shared" si="44"/>
        <v>5087.8423523622041</v>
      </c>
      <c r="L284" s="4"/>
      <c r="M284" s="4"/>
      <c r="N284" s="4"/>
      <c r="O284" s="4"/>
      <c r="P284" s="7"/>
      <c r="Q284" s="6"/>
      <c r="R284" s="14"/>
      <c r="S284" s="4"/>
      <c r="T284" s="4"/>
      <c r="U284" s="4"/>
      <c r="V284" s="8"/>
      <c r="W284" s="8"/>
      <c r="X284" s="8"/>
      <c r="Y284" s="6"/>
      <c r="Z284" s="6"/>
      <c r="AA284" s="6"/>
      <c r="AB284" s="6"/>
      <c r="AC284" s="6"/>
      <c r="AD284" s="6"/>
      <c r="AE284" s="10"/>
      <c r="AF284" s="14"/>
      <c r="AG284" s="6"/>
      <c r="AH284" s="11"/>
      <c r="AI284" s="6"/>
      <c r="AJ284" s="6"/>
      <c r="AK284" s="6"/>
      <c r="AL284" s="6"/>
      <c r="AM284" s="6"/>
      <c r="AN284" s="16"/>
      <c r="AO284" s="12"/>
      <c r="AP284" s="7"/>
      <c r="AQ284" s="6"/>
      <c r="AS284" t="s">
        <v>119</v>
      </c>
      <c r="AT284" s="4" t="str">
        <f>E284</f>
        <v>Machine</v>
      </c>
      <c r="AU284" s="15">
        <f>F284</f>
        <v>44881</v>
      </c>
      <c r="AV284" s="3">
        <f>SUM(H284:H289)</f>
        <v>136.5</v>
      </c>
      <c r="AW284" s="3">
        <f>AV284-6*$A$47</f>
        <v>133.74</v>
      </c>
      <c r="AX284" s="3">
        <f>SUM(J284:J289)</f>
        <v>2.7524999999999999</v>
      </c>
      <c r="AY284" s="3">
        <f>(AW284+AX284)*$A$48/(6*$A$49)*$A$50</f>
        <v>5078.076284448819</v>
      </c>
      <c r="AZ284" s="4">
        <f>SUM(L284:L289)</f>
        <v>17.579999999999998</v>
      </c>
      <c r="BA284" s="4">
        <f>SUM(M284:M289)</f>
        <v>336.77</v>
      </c>
      <c r="BB284" s="4">
        <f>BA284-AZ284</f>
        <v>319.19</v>
      </c>
      <c r="BC284" s="4">
        <f>SUM(O284:O289)</f>
        <v>303.63</v>
      </c>
      <c r="BD284" s="4">
        <f>(BB284-BC284)/BB284*100</f>
        <v>4.8748394373257318</v>
      </c>
      <c r="BE284" s="3">
        <f>AY284*(1-BD284/100)</f>
        <v>4830.5282190770231</v>
      </c>
      <c r="BF284" s="15">
        <f>R285</f>
        <v>44882</v>
      </c>
      <c r="BG284" s="4">
        <f>SUM(S284:S289)</f>
        <v>18.509999999999998</v>
      </c>
      <c r="BH284" s="4">
        <f>SUM(T284:T289)</f>
        <v>6.1999999999999993</v>
      </c>
      <c r="BI284" s="4">
        <f>SUM(U284:U289)</f>
        <v>13.42</v>
      </c>
      <c r="BJ284" s="9">
        <f>(BH284-2*$A$76)/(BG284-2*$A$47*$A$48)</f>
        <v>0.32278219932400387</v>
      </c>
      <c r="BK284" s="9">
        <f>(BI284-2*$A$77)/(BG284-2*$A$47*$A$48)</f>
        <v>0.55381466390865053</v>
      </c>
      <c r="BL284" s="9">
        <f>1-BJ284-BK284</f>
        <v>0.1234031367673456</v>
      </c>
      <c r="BM284" s="3">
        <f>AY284*BJ284</f>
        <v>1639.1126314294556</v>
      </c>
      <c r="BN284" s="3">
        <f>AY284*BK284</f>
        <v>2812.3131107745116</v>
      </c>
      <c r="BO284" s="3">
        <f>SUM(BM284:BN284)</f>
        <v>4451.4257422039673</v>
      </c>
      <c r="BP284" s="3">
        <f>BE284*BJ284</f>
        <v>1559.2085224503451</v>
      </c>
      <c r="BQ284" s="3">
        <f>BE284*BK284</f>
        <v>2675.2173621493939</v>
      </c>
      <c r="BR284" s="3">
        <f>SUM(BP284:BQ284)</f>
        <v>4234.4258845997392</v>
      </c>
      <c r="BS284" s="3"/>
      <c r="BT284" s="15">
        <f>AF285</f>
        <v>44980</v>
      </c>
      <c r="BU284" s="3">
        <f t="shared" ref="BU284:CA284" si="45">AVERAGE(AG284:AG289)</f>
        <v>43.6</v>
      </c>
      <c r="BV284" s="13">
        <f t="shared" si="45"/>
        <v>1.1665000000000001</v>
      </c>
      <c r="BW284" s="3">
        <f t="shared" si="45"/>
        <v>80.150000000000006</v>
      </c>
      <c r="BX284" s="3">
        <f t="shared" si="45"/>
        <v>28.950000000000003</v>
      </c>
      <c r="BY284" s="3">
        <f t="shared" si="45"/>
        <v>6.25</v>
      </c>
      <c r="BZ284" s="3">
        <f t="shared" si="45"/>
        <v>81.7</v>
      </c>
      <c r="CA284" s="3">
        <f t="shared" si="45"/>
        <v>8.15</v>
      </c>
      <c r="CB284" s="13"/>
      <c r="CC284" s="10">
        <f>AVERAGE(AO284:AO289)</f>
        <v>7.5</v>
      </c>
      <c r="CD284" s="4">
        <f>AVERAGE(AP284:AP289)</f>
        <v>9.5000000000000001E-2</v>
      </c>
      <c r="CE284" s="3">
        <f>AVERAGE(AQ284:AQ289)</f>
        <v>9.35</v>
      </c>
    </row>
    <row r="285" spans="1:83" x14ac:dyDescent="0.25">
      <c r="A285" s="2" t="s">
        <v>17</v>
      </c>
      <c r="B285" s="2">
        <v>2</v>
      </c>
      <c r="C285" t="s">
        <v>5</v>
      </c>
      <c r="D285" s="5" t="str">
        <f t="shared" si="41"/>
        <v>p09-2-MW</v>
      </c>
      <c r="E285" s="5" t="s">
        <v>468</v>
      </c>
      <c r="F285" s="17">
        <v>44881</v>
      </c>
      <c r="G285">
        <v>9</v>
      </c>
      <c r="H285" s="3">
        <v>19.899999999999999</v>
      </c>
      <c r="I285" s="3">
        <f t="shared" si="43"/>
        <v>19.439999999999998</v>
      </c>
      <c r="J285" s="3">
        <f>($A$59-$A$47)*$A$75</f>
        <v>0.45250000000000001</v>
      </c>
      <c r="K285" s="6">
        <f t="shared" si="44"/>
        <v>4440.4915649606291</v>
      </c>
      <c r="L285" s="4">
        <v>8.5299999999999994</v>
      </c>
      <c r="M285" s="4">
        <v>197.62</v>
      </c>
      <c r="N285" s="4">
        <f>M285-L285</f>
        <v>189.09</v>
      </c>
      <c r="O285" s="4">
        <v>179.41</v>
      </c>
      <c r="P285" s="7">
        <f>(N285-O285)/N285*100</f>
        <v>5.1192553810354893</v>
      </c>
      <c r="Q285" s="6">
        <f>K285*(1-P285/100)</f>
        <v>4213.1714615769552</v>
      </c>
      <c r="R285" s="14">
        <v>44882</v>
      </c>
      <c r="S285" s="4">
        <v>8.75</v>
      </c>
      <c r="T285" s="4">
        <v>2.92</v>
      </c>
      <c r="U285" s="4">
        <v>6.52</v>
      </c>
      <c r="V285" s="8">
        <f>(T285-$A$76)/(S285-$A$47*$A$48)</f>
        <v>0.32079246772916753</v>
      </c>
      <c r="W285" s="8">
        <f>(U285-$A$77)/(S285-$A$47*$A$48)</f>
        <v>0.56431375710021436</v>
      </c>
      <c r="X285" s="8">
        <f>1-V285-W285</f>
        <v>0.11489377517061805</v>
      </c>
      <c r="Y285" s="6">
        <f>K285*V285</f>
        <v>1424.4762470542732</v>
      </c>
      <c r="Z285" s="6">
        <f>K285*W285</f>
        <v>2505.8304783947433</v>
      </c>
      <c r="AA285" s="6">
        <f>SUM(Y285:Z285)</f>
        <v>3930.3067254490165</v>
      </c>
      <c r="AB285" s="6">
        <f>Q285*V285</f>
        <v>1351.553670125375</v>
      </c>
      <c r="AC285" s="6">
        <f>Q285*W285</f>
        <v>2377.550616789893</v>
      </c>
      <c r="AD285" s="6">
        <f>SUM(AB285:AC285)</f>
        <v>3729.1042869152679</v>
      </c>
      <c r="AE285" s="10">
        <v>990130921034</v>
      </c>
      <c r="AF285" s="14">
        <v>44980</v>
      </c>
      <c r="AG285" s="6">
        <v>43.5</v>
      </c>
      <c r="AH285" s="11">
        <v>1.1659999999999999</v>
      </c>
      <c r="AI285" s="6">
        <v>80</v>
      </c>
      <c r="AJ285" s="6">
        <v>29.3</v>
      </c>
      <c r="AK285" s="6">
        <v>6.2</v>
      </c>
      <c r="AL285" s="6">
        <v>82</v>
      </c>
      <c r="AM285" s="6">
        <v>8.4</v>
      </c>
      <c r="AN285" s="16" t="s">
        <v>171</v>
      </c>
      <c r="AO285" s="12">
        <v>5</v>
      </c>
      <c r="AP285" s="7">
        <v>0.1</v>
      </c>
      <c r="AQ285" s="6">
        <v>9.1999999999999993</v>
      </c>
      <c r="AV285" s="3"/>
      <c r="AW285" s="3"/>
      <c r="AX285" s="3"/>
      <c r="AY285" s="3"/>
      <c r="AZ285" s="4"/>
      <c r="BA285" s="4"/>
      <c r="BB285" s="4"/>
      <c r="BC285" s="4"/>
      <c r="BD285" s="4"/>
      <c r="BE285" s="3"/>
      <c r="BF285" s="3"/>
      <c r="BG285" s="4"/>
      <c r="BH285" s="4"/>
      <c r="BI285" s="4"/>
      <c r="BJ285" s="9"/>
      <c r="BK285" s="9"/>
      <c r="BL285" s="9"/>
      <c r="BM285" s="3"/>
      <c r="BN285" s="3"/>
      <c r="BO285" s="3"/>
      <c r="BP285" s="3"/>
      <c r="BQ285" s="3"/>
      <c r="BR285" s="3"/>
      <c r="BT285" s="15"/>
      <c r="BU285" s="3"/>
      <c r="BV285" s="13"/>
      <c r="BW285" s="3"/>
      <c r="BX285" s="3"/>
      <c r="BY285" s="3"/>
      <c r="BZ285" s="3"/>
      <c r="CA285" s="3"/>
      <c r="CB285" s="10"/>
      <c r="CC285" s="10"/>
      <c r="CD285" s="4"/>
      <c r="CE285" s="3"/>
    </row>
    <row r="286" spans="1:83" x14ac:dyDescent="0.25">
      <c r="A286" s="2" t="s">
        <v>17</v>
      </c>
      <c r="B286" s="2">
        <v>2</v>
      </c>
      <c r="C286" t="s">
        <v>6</v>
      </c>
      <c r="D286" s="5" t="str">
        <f t="shared" si="41"/>
        <v>p09-2-SW</v>
      </c>
      <c r="E286" s="5" t="s">
        <v>468</v>
      </c>
      <c r="F286" s="17">
        <v>44881</v>
      </c>
      <c r="G286">
        <v>9</v>
      </c>
      <c r="H286" s="3">
        <v>24</v>
      </c>
      <c r="I286" s="3">
        <f t="shared" si="43"/>
        <v>23.54</v>
      </c>
      <c r="J286" s="3">
        <f>($A$59-$A$47)*$A$75</f>
        <v>0.45250000000000001</v>
      </c>
      <c r="K286" s="6">
        <f t="shared" si="44"/>
        <v>5355.711643700788</v>
      </c>
      <c r="L286" s="4"/>
      <c r="M286" s="4"/>
      <c r="N286" s="4"/>
      <c r="O286" s="4"/>
      <c r="P286" s="7"/>
      <c r="Q286" s="6"/>
      <c r="R286" s="14"/>
      <c r="S286" s="4"/>
      <c r="T286" s="4"/>
      <c r="U286" s="4"/>
      <c r="V286" s="8"/>
      <c r="W286" s="8"/>
      <c r="X286" s="8"/>
      <c r="Y286" s="6"/>
      <c r="Z286" s="6"/>
      <c r="AA286" s="6"/>
      <c r="AB286" s="6"/>
      <c r="AC286" s="6"/>
      <c r="AD286" s="6"/>
      <c r="AE286" s="10"/>
      <c r="AF286" s="14"/>
      <c r="AG286" s="6"/>
      <c r="AH286" s="11"/>
      <c r="AI286" s="6"/>
      <c r="AJ286" s="6"/>
      <c r="AK286" s="6"/>
      <c r="AL286" s="6"/>
      <c r="AM286" s="6"/>
      <c r="AN286" s="16"/>
      <c r="AO286" s="12"/>
      <c r="AP286" s="7"/>
      <c r="AQ286" s="6"/>
      <c r="AV286" s="3"/>
      <c r="AW286" s="3"/>
      <c r="AX286" s="3"/>
      <c r="AY286" s="3"/>
      <c r="AZ286" s="4"/>
      <c r="BA286" s="4"/>
      <c r="BB286" s="4"/>
      <c r="BC286" s="4"/>
      <c r="BD286" s="4"/>
      <c r="BE286" s="3"/>
      <c r="BF286" s="3"/>
      <c r="BG286" s="4"/>
      <c r="BH286" s="4"/>
      <c r="BI286" s="4"/>
      <c r="BJ286" s="9"/>
      <c r="BK286" s="9"/>
      <c r="BL286" s="9"/>
      <c r="BM286" s="3"/>
      <c r="BN286" s="3"/>
      <c r="BO286" s="3"/>
      <c r="BP286" s="3"/>
      <c r="BQ286" s="3"/>
      <c r="BR286" s="3"/>
      <c r="BT286" s="15"/>
      <c r="BU286" s="3"/>
      <c r="BV286" s="13"/>
      <c r="BW286" s="3"/>
      <c r="BX286" s="3"/>
      <c r="BY286" s="3"/>
      <c r="BZ286" s="3"/>
      <c r="CA286" s="3"/>
      <c r="CB286" s="10"/>
      <c r="CC286" s="10"/>
      <c r="CD286" s="4"/>
      <c r="CE286" s="3"/>
    </row>
    <row r="287" spans="1:83" x14ac:dyDescent="0.25">
      <c r="A287" s="2" t="s">
        <v>17</v>
      </c>
      <c r="B287" s="2">
        <v>2</v>
      </c>
      <c r="C287" t="s">
        <v>7</v>
      </c>
      <c r="D287" s="5" t="str">
        <f t="shared" si="41"/>
        <v>p09-2-NE</v>
      </c>
      <c r="E287" s="5" t="s">
        <v>468</v>
      </c>
      <c r="F287" s="17">
        <v>44881</v>
      </c>
      <c r="G287">
        <v>21</v>
      </c>
      <c r="H287" s="3">
        <v>25.3</v>
      </c>
      <c r="I287" s="3">
        <f t="shared" si="43"/>
        <v>24.84</v>
      </c>
      <c r="J287" s="3">
        <f>($A$71-$A$47)*$A$75</f>
        <v>0.46500000000000002</v>
      </c>
      <c r="K287" s="6">
        <f t="shared" si="44"/>
        <v>5648.6936811023625</v>
      </c>
      <c r="L287" s="4"/>
      <c r="M287" s="4"/>
      <c r="N287" s="4"/>
      <c r="O287" s="4"/>
      <c r="P287" s="7"/>
      <c r="Q287" s="6"/>
      <c r="R287" s="14"/>
      <c r="S287" s="4"/>
      <c r="T287" s="4"/>
      <c r="U287" s="4"/>
      <c r="V287" s="8"/>
      <c r="W287" s="8"/>
      <c r="X287" s="8"/>
      <c r="Y287" s="6"/>
      <c r="Z287" s="6"/>
      <c r="AA287" s="6"/>
      <c r="AB287" s="6"/>
      <c r="AC287" s="6"/>
      <c r="AD287" s="6"/>
      <c r="AE287" s="10"/>
      <c r="AF287" s="14"/>
      <c r="AG287" s="6"/>
      <c r="AH287" s="11"/>
      <c r="AI287" s="6"/>
      <c r="AJ287" s="6"/>
      <c r="AK287" s="6"/>
      <c r="AL287" s="6"/>
      <c r="AM287" s="6"/>
      <c r="AN287" s="16"/>
      <c r="AO287" s="12"/>
      <c r="AP287" s="7"/>
      <c r="AQ287" s="6"/>
      <c r="AV287" s="3"/>
      <c r="AW287" s="3"/>
      <c r="AX287" s="3"/>
      <c r="AY287" s="3"/>
      <c r="AZ287" s="4"/>
      <c r="BA287" s="4"/>
      <c r="BB287" s="4"/>
      <c r="BC287" s="4"/>
      <c r="BD287" s="4"/>
      <c r="BE287" s="3"/>
      <c r="BF287" s="3"/>
      <c r="BG287" s="4"/>
      <c r="BH287" s="4"/>
      <c r="BI287" s="4"/>
      <c r="BJ287" s="9"/>
      <c r="BK287" s="9"/>
      <c r="BL287" s="9"/>
      <c r="BM287" s="3"/>
      <c r="BN287" s="3"/>
      <c r="BO287" s="3"/>
      <c r="BP287" s="3"/>
      <c r="BQ287" s="3"/>
      <c r="BR287" s="3"/>
      <c r="BT287" s="15"/>
      <c r="BU287" s="3"/>
      <c r="BV287" s="13"/>
      <c r="BW287" s="3"/>
      <c r="BX287" s="3"/>
      <c r="BY287" s="3"/>
      <c r="BZ287" s="3"/>
      <c r="CA287" s="3"/>
      <c r="CB287" s="10"/>
      <c r="CC287" s="10"/>
      <c r="CD287" s="4"/>
      <c r="CE287" s="3"/>
    </row>
    <row r="288" spans="1:83" x14ac:dyDescent="0.25">
      <c r="A288" s="2" t="s">
        <v>17</v>
      </c>
      <c r="B288" s="2">
        <v>2</v>
      </c>
      <c r="C288" t="s">
        <v>18</v>
      </c>
      <c r="D288" s="5" t="str">
        <f t="shared" si="41"/>
        <v>p09-2-ME</v>
      </c>
      <c r="E288" s="5" t="s">
        <v>468</v>
      </c>
      <c r="F288" s="17">
        <v>44881</v>
      </c>
      <c r="G288">
        <v>21</v>
      </c>
      <c r="H288" s="3">
        <v>21.9</v>
      </c>
      <c r="I288" s="3">
        <f t="shared" si="43"/>
        <v>21.439999999999998</v>
      </c>
      <c r="J288" s="3">
        <f>($A$71-$A$47)*$A$75</f>
        <v>0.46500000000000002</v>
      </c>
      <c r="K288" s="6">
        <f t="shared" si="44"/>
        <v>4889.7306889763768</v>
      </c>
      <c r="L288" s="4">
        <v>9.0500000000000007</v>
      </c>
      <c r="M288" s="4">
        <v>139.15</v>
      </c>
      <c r="N288" s="4">
        <f>M288-L288</f>
        <v>130.1</v>
      </c>
      <c r="O288" s="4">
        <v>124.22</v>
      </c>
      <c r="P288" s="7">
        <f>(N288-O288)/N288*100</f>
        <v>4.5196003074558</v>
      </c>
      <c r="Q288" s="6">
        <f>K288*(1-P288/100)</f>
        <v>4668.7344057236396</v>
      </c>
      <c r="R288" s="14">
        <v>44882</v>
      </c>
      <c r="S288" s="4">
        <v>9.76</v>
      </c>
      <c r="T288" s="4">
        <v>3.28</v>
      </c>
      <c r="U288" s="4">
        <v>6.9</v>
      </c>
      <c r="V288" s="8">
        <f>(T288-$A$76)/(S288-$A$47*$A$48)</f>
        <v>0.32456152826383133</v>
      </c>
      <c r="W288" s="8">
        <f>(U288-$A$77)/(S288-$A$47*$A$48)</f>
        <v>0.54442578934578167</v>
      </c>
      <c r="X288" s="8">
        <f>1-V288-W288</f>
        <v>0.13101268239038699</v>
      </c>
      <c r="Y288" s="6">
        <f>K288*V288</f>
        <v>1587.0184652127298</v>
      </c>
      <c r="Z288" s="6">
        <f>K288*W288</f>
        <v>2662.0954900342567</v>
      </c>
      <c r="AA288" s="6">
        <f>SUM(Y288:Z288)</f>
        <v>4249.1139552469867</v>
      </c>
      <c r="AB288" s="6">
        <f>Q288*V288</f>
        <v>1515.291573779595</v>
      </c>
      <c r="AC288" s="6">
        <f>Q288*W288</f>
        <v>2541.7794140819015</v>
      </c>
      <c r="AD288" s="6">
        <f>SUM(AB288:AC288)</f>
        <v>4057.0709878614962</v>
      </c>
      <c r="AE288" s="10">
        <v>990130922082</v>
      </c>
      <c r="AF288" s="14">
        <v>44980</v>
      </c>
      <c r="AG288" s="6">
        <v>43.7</v>
      </c>
      <c r="AH288" s="11">
        <v>1.167</v>
      </c>
      <c r="AI288" s="6">
        <v>80.3</v>
      </c>
      <c r="AJ288" s="6">
        <v>28.6</v>
      </c>
      <c r="AK288" s="6">
        <v>6.3</v>
      </c>
      <c r="AL288" s="6">
        <v>81.400000000000006</v>
      </c>
      <c r="AM288" s="6">
        <v>7.9</v>
      </c>
      <c r="AN288" s="16" t="s">
        <v>150</v>
      </c>
      <c r="AO288" s="12">
        <v>10</v>
      </c>
      <c r="AP288" s="7">
        <v>0.09</v>
      </c>
      <c r="AQ288" s="6">
        <v>9.5</v>
      </c>
      <c r="AV288" s="3"/>
      <c r="AW288" s="3"/>
      <c r="AX288" s="3"/>
      <c r="AY288" s="3"/>
      <c r="AZ288" s="4"/>
      <c r="BA288" s="4"/>
      <c r="BB288" s="4"/>
      <c r="BC288" s="4"/>
      <c r="BD288" s="4"/>
      <c r="BE288" s="3"/>
      <c r="BF288" s="3"/>
      <c r="BG288" s="4"/>
      <c r="BH288" s="4"/>
      <c r="BI288" s="4"/>
      <c r="BJ288" s="9"/>
      <c r="BK288" s="9"/>
      <c r="BL288" s="9"/>
      <c r="BM288" s="3"/>
      <c r="BN288" s="3"/>
      <c r="BO288" s="3"/>
      <c r="BP288" s="3"/>
      <c r="BQ288" s="3"/>
      <c r="BR288" s="3"/>
      <c r="BT288" s="15"/>
      <c r="BU288" s="3"/>
      <c r="BV288" s="13"/>
      <c r="BW288" s="3"/>
      <c r="BX288" s="3"/>
      <c r="BY288" s="3"/>
      <c r="BZ288" s="3"/>
      <c r="CA288" s="3"/>
      <c r="CB288" s="10"/>
      <c r="CC288" s="10"/>
      <c r="CD288" s="4"/>
      <c r="CE288" s="3"/>
    </row>
    <row r="289" spans="1:83" x14ac:dyDescent="0.25">
      <c r="A289" s="2" t="s">
        <v>17</v>
      </c>
      <c r="B289" s="2">
        <v>2</v>
      </c>
      <c r="C289" t="s">
        <v>8</v>
      </c>
      <c r="D289" s="5" t="str">
        <f t="shared" si="41"/>
        <v>p09-2-SE</v>
      </c>
      <c r="E289" s="5" t="s">
        <v>468</v>
      </c>
      <c r="F289" s="17">
        <v>44881</v>
      </c>
      <c r="G289">
        <v>21</v>
      </c>
      <c r="H289" s="3">
        <v>22.6</v>
      </c>
      <c r="I289" s="3">
        <f t="shared" si="43"/>
        <v>22.14</v>
      </c>
      <c r="J289" s="3">
        <f>($A$71-$A$47)*$A$75</f>
        <v>0.46500000000000002</v>
      </c>
      <c r="K289" s="6">
        <f t="shared" si="44"/>
        <v>5045.9877755905518</v>
      </c>
      <c r="L289" s="4"/>
      <c r="M289" s="4"/>
      <c r="N289" s="4"/>
      <c r="O289" s="4"/>
      <c r="P289" s="7"/>
      <c r="Q289" s="6"/>
      <c r="R289" s="14"/>
      <c r="S289" s="4"/>
      <c r="T289" s="4"/>
      <c r="U289" s="4"/>
      <c r="V289" s="8"/>
      <c r="W289" s="8"/>
      <c r="X289" s="8"/>
      <c r="Y289" s="6"/>
      <c r="Z289" s="6"/>
      <c r="AA289" s="6"/>
      <c r="AB289" s="6"/>
      <c r="AC289" s="6"/>
      <c r="AD289" s="6"/>
      <c r="AE289" s="10"/>
      <c r="AF289" s="14"/>
      <c r="AG289" s="6"/>
      <c r="AH289" s="11"/>
      <c r="AI289" s="6"/>
      <c r="AJ289" s="6"/>
      <c r="AK289" s="6"/>
      <c r="AL289" s="6"/>
      <c r="AM289" s="6"/>
      <c r="AN289" s="16"/>
      <c r="AO289" s="12"/>
      <c r="AP289" s="7"/>
      <c r="AQ289" s="6"/>
      <c r="AV289" s="3"/>
      <c r="AW289" s="3"/>
      <c r="AX289" s="3"/>
      <c r="AY289" s="3"/>
      <c r="AZ289" s="4"/>
      <c r="BA289" s="4"/>
      <c r="BB289" s="4"/>
      <c r="BC289" s="4"/>
      <c r="BD289" s="4"/>
      <c r="BE289" s="3"/>
      <c r="BF289" s="3"/>
      <c r="BG289" s="4"/>
      <c r="BH289" s="4"/>
      <c r="BI289" s="4"/>
      <c r="BJ289" s="9"/>
      <c r="BK289" s="9"/>
      <c r="BL289" s="9"/>
      <c r="BM289" s="3"/>
      <c r="BN289" s="3"/>
      <c r="BO289" s="3"/>
      <c r="BP289" s="3"/>
      <c r="BQ289" s="3"/>
      <c r="BR289" s="3"/>
      <c r="BT289" s="15"/>
      <c r="BU289" s="3"/>
      <c r="BV289" s="13"/>
      <c r="BW289" s="3"/>
      <c r="BX289" s="3"/>
      <c r="BY289" s="3"/>
      <c r="BZ289" s="3"/>
      <c r="CA289" s="3"/>
      <c r="CB289" s="10"/>
      <c r="CC289" s="10"/>
      <c r="CD289" s="4"/>
      <c r="CE289" s="3"/>
    </row>
    <row r="290" spans="1:83" x14ac:dyDescent="0.25">
      <c r="A290" s="2" t="s">
        <v>17</v>
      </c>
      <c r="B290" s="2">
        <v>3</v>
      </c>
      <c r="C290" t="s">
        <v>4</v>
      </c>
      <c r="D290" s="5" t="str">
        <f t="shared" si="41"/>
        <v>p09-3-NW</v>
      </c>
      <c r="E290" s="5" t="s">
        <v>468</v>
      </c>
      <c r="F290" s="17">
        <v>44881</v>
      </c>
      <c r="G290">
        <v>9</v>
      </c>
      <c r="H290" s="3">
        <v>20.7</v>
      </c>
      <c r="I290" s="3">
        <f t="shared" si="43"/>
        <v>20.239999999999998</v>
      </c>
      <c r="J290" s="3">
        <f>($A$59-$A$47)*$A$75</f>
        <v>0.45250000000000001</v>
      </c>
      <c r="K290" s="6">
        <f t="shared" si="44"/>
        <v>4619.0710925196845</v>
      </c>
      <c r="L290" s="4"/>
      <c r="M290" s="4"/>
      <c r="N290" s="4"/>
      <c r="O290" s="4"/>
      <c r="P290" s="7"/>
      <c r="Q290" s="6"/>
      <c r="R290" s="14"/>
      <c r="S290" s="4"/>
      <c r="T290" s="4"/>
      <c r="U290" s="4"/>
      <c r="V290" s="8"/>
      <c r="W290" s="8"/>
      <c r="X290" s="8"/>
      <c r="Y290" s="6"/>
      <c r="Z290" s="6"/>
      <c r="AA290" s="6"/>
      <c r="AB290" s="6"/>
      <c r="AC290" s="6"/>
      <c r="AD290" s="6"/>
      <c r="AE290" s="10"/>
      <c r="AF290" s="14"/>
      <c r="AG290" s="6"/>
      <c r="AH290" s="11"/>
      <c r="AI290" s="6"/>
      <c r="AJ290" s="6"/>
      <c r="AK290" s="6"/>
      <c r="AL290" s="6"/>
      <c r="AM290" s="6"/>
      <c r="AN290" s="16"/>
      <c r="AO290" s="12"/>
      <c r="AP290" s="7"/>
      <c r="AQ290" s="6"/>
      <c r="AS290" t="s">
        <v>120</v>
      </c>
      <c r="AT290" s="4" t="str">
        <f>E290</f>
        <v>Machine</v>
      </c>
      <c r="AU290" s="15">
        <f>F290</f>
        <v>44881</v>
      </c>
      <c r="AV290" s="3">
        <f>SUM(H290:H295)</f>
        <v>122.29999999999998</v>
      </c>
      <c r="AW290" s="3">
        <f>AV290-6*$A$47</f>
        <v>119.53999999999998</v>
      </c>
      <c r="AX290" s="3">
        <f>SUM(J290:J295)</f>
        <v>2.7524999999999999</v>
      </c>
      <c r="AY290" s="3">
        <f>(AW290+AX290)*$A$48/(6*$A$49)*$A$50</f>
        <v>4549.7785154199464</v>
      </c>
      <c r="AZ290" s="4">
        <f>SUM(L290:L295)</f>
        <v>17.34</v>
      </c>
      <c r="BA290" s="4">
        <f>SUM(M290:M295)</f>
        <v>346.19</v>
      </c>
      <c r="BB290" s="4">
        <f>BA290-AZ290</f>
        <v>328.85</v>
      </c>
      <c r="BC290" s="4">
        <f>SUM(O290:O295)</f>
        <v>315.12</v>
      </c>
      <c r="BD290" s="4">
        <f>(BB290-BC290)/BB290*100</f>
        <v>4.1751558461304601</v>
      </c>
      <c r="BE290" s="3">
        <f>AY290*(1-BD290/100)</f>
        <v>4359.8181717474026</v>
      </c>
      <c r="BF290" s="15">
        <f>R291</f>
        <v>44882</v>
      </c>
      <c r="BG290" s="4">
        <f>SUM(S290:S295)</f>
        <v>7.92</v>
      </c>
      <c r="BH290" s="4">
        <f>SUM(T290:T295)</f>
        <v>2.74</v>
      </c>
      <c r="BI290" s="4">
        <f>SUM(U290:U295)</f>
        <v>6</v>
      </c>
      <c r="BJ290" s="9">
        <f>(BH290-1*$A$76)/(BG290-1*$A$47*$A$48)</f>
        <v>0.33197828787302197</v>
      </c>
      <c r="BK290" s="9">
        <f>(BI290-1*$A$77)/(BG290-1*$A$47*$A$48)</f>
        <v>0.55761978041171656</v>
      </c>
      <c r="BL290" s="9">
        <f>1-BJ290-BK290</f>
        <v>0.11040193171526147</v>
      </c>
      <c r="BM290" s="3">
        <f>AY290*BJ290</f>
        <v>1510.4276817505736</v>
      </c>
      <c r="BN290" s="3">
        <f>AY290*BK290</f>
        <v>2537.0464966904165</v>
      </c>
      <c r="BO290" s="3">
        <f>SUM(BM290:BN290)</f>
        <v>4047.4741784409898</v>
      </c>
      <c r="BP290" s="3">
        <f>BE290*BJ290</f>
        <v>1447.3649720943915</v>
      </c>
      <c r="BQ290" s="3">
        <f>BE290*BK290</f>
        <v>2431.1208515647982</v>
      </c>
      <c r="BR290" s="3">
        <f>SUM(BP290:BQ290)</f>
        <v>3878.4858236591899</v>
      </c>
      <c r="BS290" s="3"/>
      <c r="BT290" s="15">
        <f>AF291</f>
        <v>44980</v>
      </c>
      <c r="BU290" s="3">
        <f t="shared" ref="BU290:CA290" si="46">AVERAGE(AG290:AG295)</f>
        <v>47.650000000000006</v>
      </c>
      <c r="BV290" s="13">
        <f t="shared" si="46"/>
        <v>1.147</v>
      </c>
      <c r="BW290" s="3">
        <f t="shared" si="46"/>
        <v>80.45</v>
      </c>
      <c r="BX290" s="3">
        <f t="shared" si="46"/>
        <v>29.299999999999997</v>
      </c>
      <c r="BY290" s="3">
        <f t="shared" si="46"/>
        <v>6.1</v>
      </c>
      <c r="BZ290" s="3">
        <f t="shared" si="46"/>
        <v>80.3</v>
      </c>
      <c r="CA290" s="3">
        <f t="shared" si="46"/>
        <v>8.6</v>
      </c>
      <c r="CB290" s="13"/>
      <c r="CC290" s="10">
        <f>AVERAGE(AO290:AO295)</f>
        <v>9.5</v>
      </c>
      <c r="CD290" s="4">
        <f>AVERAGE(AP290:AP295)</f>
        <v>9.5000000000000001E-2</v>
      </c>
      <c r="CE290" s="3">
        <f>AVERAGE(AQ290:AQ295)</f>
        <v>9.0500000000000007</v>
      </c>
    </row>
    <row r="291" spans="1:83" x14ac:dyDescent="0.25">
      <c r="A291" s="2" t="s">
        <v>17</v>
      </c>
      <c r="B291" s="2">
        <v>3</v>
      </c>
      <c r="C291" t="s">
        <v>5</v>
      </c>
      <c r="D291" s="5" t="str">
        <f t="shared" si="41"/>
        <v>p09-3-MW</v>
      </c>
      <c r="E291" s="5" t="s">
        <v>468</v>
      </c>
      <c r="F291" s="17">
        <v>44881</v>
      </c>
      <c r="G291">
        <v>9</v>
      </c>
      <c r="H291" s="3">
        <v>18.100000000000001</v>
      </c>
      <c r="I291" s="3">
        <f t="shared" si="43"/>
        <v>17.64</v>
      </c>
      <c r="J291" s="3">
        <f>($A$59-$A$47)*$A$75</f>
        <v>0.45250000000000001</v>
      </c>
      <c r="K291" s="6">
        <f t="shared" si="44"/>
        <v>4038.687627952756</v>
      </c>
      <c r="L291" s="4">
        <v>8.4499999999999993</v>
      </c>
      <c r="M291" s="4">
        <v>155.80000000000001</v>
      </c>
      <c r="N291" s="4">
        <f>M291-L291</f>
        <v>147.35000000000002</v>
      </c>
      <c r="O291" s="4">
        <v>141.72999999999999</v>
      </c>
      <c r="P291" s="7">
        <f>(N291-O291)/N291*100</f>
        <v>3.8140481845945247</v>
      </c>
      <c r="Q291" s="6">
        <f>K291*(1-P291/100)</f>
        <v>3884.6501357973802</v>
      </c>
      <c r="R291" s="14">
        <v>44882</v>
      </c>
      <c r="S291" s="4">
        <v>7.92</v>
      </c>
      <c r="T291" s="4">
        <v>2.74</v>
      </c>
      <c r="U291" s="4">
        <v>6</v>
      </c>
      <c r="V291" s="8">
        <f>(T291-$A$76)/(S291-$A$47*$A$48)</f>
        <v>0.33197828787302197</v>
      </c>
      <c r="W291" s="8">
        <f>(U291-$A$77)/(S291-$A$47*$A$48)</f>
        <v>0.55761978041171656</v>
      </c>
      <c r="X291" s="8">
        <f>1-V291-W291</f>
        <v>0.11040193171526147</v>
      </c>
      <c r="Y291" s="6">
        <f>K291*V291</f>
        <v>1340.7566039817123</v>
      </c>
      <c r="Z291" s="6">
        <f>K291*W291</f>
        <v>2252.052108250532</v>
      </c>
      <c r="AA291" s="6">
        <f>SUM(Y291:Z291)</f>
        <v>3592.808712232244</v>
      </c>
      <c r="AB291" s="6">
        <f>Q291*V291</f>
        <v>1289.6195010677166</v>
      </c>
      <c r="AC291" s="6">
        <f>Q291*W291</f>
        <v>2166.1577556996799</v>
      </c>
      <c r="AD291" s="6">
        <f>SUM(AB291:AC291)</f>
        <v>3455.7772567673965</v>
      </c>
      <c r="AE291" s="10">
        <v>990130931035</v>
      </c>
      <c r="AF291" s="14">
        <v>44980</v>
      </c>
      <c r="AG291" s="6">
        <v>48</v>
      </c>
      <c r="AH291" s="11">
        <v>1.153</v>
      </c>
      <c r="AI291" s="6">
        <v>80.400000000000006</v>
      </c>
      <c r="AJ291" s="6">
        <v>30.2</v>
      </c>
      <c r="AK291" s="6">
        <v>6</v>
      </c>
      <c r="AL291" s="6">
        <v>80.3</v>
      </c>
      <c r="AM291" s="6">
        <v>9.1</v>
      </c>
      <c r="AN291" s="16" t="s">
        <v>148</v>
      </c>
      <c r="AO291" s="12">
        <v>10</v>
      </c>
      <c r="AP291" s="7">
        <v>0.11</v>
      </c>
      <c r="AQ291" s="6">
        <v>9</v>
      </c>
      <c r="AV291" s="3"/>
      <c r="AW291" s="3"/>
      <c r="AX291" s="3"/>
      <c r="AY291" s="3"/>
      <c r="AZ291" s="4"/>
      <c r="BA291" s="4"/>
      <c r="BB291" s="4"/>
      <c r="BC291" s="4"/>
      <c r="BD291" s="4"/>
      <c r="BE291" s="3"/>
      <c r="BF291" s="3"/>
      <c r="BG291" s="4"/>
      <c r="BH291" s="4"/>
      <c r="BI291" s="4"/>
      <c r="BJ291" s="9"/>
      <c r="BK291" s="9"/>
      <c r="BL291" s="9"/>
      <c r="BM291" s="3"/>
      <c r="BN291" s="3"/>
      <c r="BO291" s="3"/>
      <c r="BP291" s="3"/>
      <c r="BQ291" s="3"/>
      <c r="BR291" s="3"/>
      <c r="BT291" s="15"/>
      <c r="BU291" s="3"/>
      <c r="BV291" s="13"/>
      <c r="BW291" s="3"/>
      <c r="BX291" s="3"/>
      <c r="BY291" s="3"/>
      <c r="BZ291" s="3"/>
      <c r="CA291" s="3"/>
      <c r="CB291" s="10"/>
      <c r="CC291" s="10"/>
      <c r="CD291" s="4"/>
      <c r="CE291" s="3"/>
    </row>
    <row r="292" spans="1:83" x14ac:dyDescent="0.25">
      <c r="A292" s="2" t="s">
        <v>17</v>
      </c>
      <c r="B292" s="2">
        <v>3</v>
      </c>
      <c r="C292" t="s">
        <v>6</v>
      </c>
      <c r="D292" s="5" t="str">
        <f t="shared" si="41"/>
        <v>p09-3-SW</v>
      </c>
      <c r="E292" s="5" t="s">
        <v>468</v>
      </c>
      <c r="F292" s="17">
        <v>44881</v>
      </c>
      <c r="G292">
        <v>9</v>
      </c>
      <c r="H292" s="3">
        <v>19.3</v>
      </c>
      <c r="I292" s="3">
        <f t="shared" si="43"/>
        <v>18.84</v>
      </c>
      <c r="J292" s="3">
        <f>($A$59-$A$47)*$A$75</f>
        <v>0.45250000000000001</v>
      </c>
      <c r="K292" s="6">
        <f t="shared" si="44"/>
        <v>4306.5569192913381</v>
      </c>
      <c r="L292" s="4"/>
      <c r="M292" s="4"/>
      <c r="N292" s="4"/>
      <c r="O292" s="4"/>
      <c r="P292" s="7"/>
      <c r="Q292" s="6"/>
      <c r="R292" s="14"/>
      <c r="S292" s="4"/>
      <c r="T292" s="4"/>
      <c r="U292" s="4"/>
      <c r="V292" s="8"/>
      <c r="W292" s="8"/>
      <c r="X292" s="8"/>
      <c r="Y292" s="6"/>
      <c r="Z292" s="6"/>
      <c r="AA292" s="6"/>
      <c r="AB292" s="6"/>
      <c r="AC292" s="6"/>
      <c r="AD292" s="6"/>
      <c r="AE292" s="10"/>
      <c r="AF292" s="14"/>
      <c r="AG292" s="6"/>
      <c r="AH292" s="11"/>
      <c r="AI292" s="6"/>
      <c r="AJ292" s="6"/>
      <c r="AK292" s="6"/>
      <c r="AL292" s="6"/>
      <c r="AM292" s="6"/>
      <c r="AN292" s="16"/>
      <c r="AO292" s="12"/>
      <c r="AP292" s="7"/>
      <c r="AQ292" s="6"/>
      <c r="AV292" s="3"/>
      <c r="AW292" s="3"/>
      <c r="AX292" s="3"/>
      <c r="AY292" s="3"/>
      <c r="AZ292" s="4"/>
      <c r="BA292" s="4"/>
      <c r="BB292" s="4"/>
      <c r="BC292" s="4"/>
      <c r="BD292" s="4"/>
      <c r="BE292" s="3"/>
      <c r="BF292" s="3"/>
      <c r="BG292" s="4"/>
      <c r="BH292" s="4"/>
      <c r="BI292" s="4"/>
      <c r="BJ292" s="9"/>
      <c r="BK292" s="9"/>
      <c r="BL292" s="9"/>
      <c r="BM292" s="3"/>
      <c r="BN292" s="3"/>
      <c r="BO292" s="3"/>
      <c r="BP292" s="3"/>
      <c r="BQ292" s="3"/>
      <c r="BR292" s="3"/>
      <c r="BT292" s="15"/>
      <c r="BU292" s="3"/>
      <c r="BV292" s="13"/>
      <c r="BW292" s="3"/>
      <c r="BX292" s="3"/>
      <c r="BY292" s="3"/>
      <c r="BZ292" s="3"/>
      <c r="CA292" s="3"/>
      <c r="CB292" s="10"/>
      <c r="CC292" s="10"/>
      <c r="CD292" s="4"/>
      <c r="CE292" s="3"/>
    </row>
    <row r="293" spans="1:83" x14ac:dyDescent="0.25">
      <c r="A293" s="2" t="s">
        <v>17</v>
      </c>
      <c r="B293" s="2">
        <v>3</v>
      </c>
      <c r="C293" t="s">
        <v>7</v>
      </c>
      <c r="D293" s="5" t="str">
        <f t="shared" si="41"/>
        <v>p09-3-NE</v>
      </c>
      <c r="E293" s="5" t="s">
        <v>468</v>
      </c>
      <c r="F293" s="17">
        <v>44881</v>
      </c>
      <c r="G293">
        <v>21</v>
      </c>
      <c r="H293" s="3">
        <v>21.2</v>
      </c>
      <c r="I293" s="3">
        <f t="shared" si="43"/>
        <v>20.74</v>
      </c>
      <c r="J293" s="3">
        <f>($A$71-$A$47)*$A$75</f>
        <v>0.46500000000000002</v>
      </c>
      <c r="K293" s="6">
        <f t="shared" si="44"/>
        <v>4733.4736023622045</v>
      </c>
      <c r="L293" s="4"/>
      <c r="M293" s="4"/>
      <c r="N293" s="4"/>
      <c r="O293" s="4"/>
      <c r="P293" s="7"/>
      <c r="Q293" s="6"/>
      <c r="R293" s="14"/>
      <c r="S293" s="4"/>
      <c r="T293" s="4"/>
      <c r="U293" s="4"/>
      <c r="V293" s="8"/>
      <c r="W293" s="8"/>
      <c r="X293" s="8"/>
      <c r="Y293" s="6"/>
      <c r="Z293" s="6"/>
      <c r="AA293" s="6"/>
      <c r="AB293" s="6"/>
      <c r="AC293" s="6"/>
      <c r="AD293" s="6"/>
      <c r="AE293" s="10"/>
      <c r="AF293" s="14"/>
      <c r="AG293" s="6"/>
      <c r="AH293" s="11"/>
      <c r="AI293" s="6"/>
      <c r="AJ293" s="6"/>
      <c r="AK293" s="6"/>
      <c r="AL293" s="6"/>
      <c r="AM293" s="6"/>
      <c r="AN293" s="16"/>
      <c r="AO293" s="12"/>
      <c r="AP293" s="7"/>
      <c r="AQ293" s="6"/>
      <c r="AV293" s="3"/>
      <c r="AW293" s="3"/>
      <c r="AX293" s="3"/>
      <c r="AY293" s="3"/>
      <c r="AZ293" s="4"/>
      <c r="BA293" s="4"/>
      <c r="BB293" s="4"/>
      <c r="BC293" s="4"/>
      <c r="BD293" s="4"/>
      <c r="BE293" s="3"/>
      <c r="BF293" s="3"/>
      <c r="BG293" s="4"/>
      <c r="BH293" s="4"/>
      <c r="BI293" s="4"/>
      <c r="BJ293" s="9"/>
      <c r="BK293" s="9"/>
      <c r="BL293" s="9"/>
      <c r="BM293" s="3"/>
      <c r="BN293" s="3"/>
      <c r="BO293" s="3"/>
      <c r="BP293" s="3"/>
      <c r="BQ293" s="3"/>
      <c r="BR293" s="3"/>
      <c r="BT293" s="15"/>
      <c r="BU293" s="3"/>
      <c r="BV293" s="13"/>
      <c r="BW293" s="3"/>
      <c r="BX293" s="3"/>
      <c r="BY293" s="3"/>
      <c r="BZ293" s="3"/>
      <c r="CA293" s="3"/>
      <c r="CB293" s="10"/>
      <c r="CC293" s="10"/>
      <c r="CD293" s="4"/>
      <c r="CE293" s="3"/>
    </row>
    <row r="294" spans="1:83" x14ac:dyDescent="0.25">
      <c r="A294" s="2" t="s">
        <v>17</v>
      </c>
      <c r="B294" s="2">
        <v>3</v>
      </c>
      <c r="C294" t="s">
        <v>18</v>
      </c>
      <c r="D294" s="5" t="str">
        <f t="shared" si="41"/>
        <v>p09-3-ME</v>
      </c>
      <c r="E294" s="5" t="s">
        <v>468</v>
      </c>
      <c r="F294" s="17">
        <v>44881</v>
      </c>
      <c r="G294">
        <v>21</v>
      </c>
      <c r="H294" s="3">
        <v>21.9</v>
      </c>
      <c r="I294" s="3">
        <f t="shared" si="43"/>
        <v>21.439999999999998</v>
      </c>
      <c r="J294" s="3">
        <f>($A$71-$A$47)*$A$75</f>
        <v>0.46500000000000002</v>
      </c>
      <c r="K294" s="6">
        <f t="shared" si="44"/>
        <v>4889.7306889763768</v>
      </c>
      <c r="L294" s="4">
        <v>8.89</v>
      </c>
      <c r="M294" s="4">
        <v>190.39</v>
      </c>
      <c r="N294" s="4">
        <f>M294-L294</f>
        <v>181.5</v>
      </c>
      <c r="O294" s="4">
        <v>173.39</v>
      </c>
      <c r="P294" s="7">
        <f>(N294-O294)/N294*100</f>
        <v>4.4683195592286573</v>
      </c>
      <c r="Q294" s="6">
        <f>K294*(1-P294/100)</f>
        <v>4671.2418962072388</v>
      </c>
      <c r="R294" s="14"/>
      <c r="S294" s="4"/>
      <c r="T294" s="4"/>
      <c r="U294" s="4"/>
      <c r="V294" s="8"/>
      <c r="W294" s="8"/>
      <c r="X294" s="8"/>
      <c r="Y294" s="6"/>
      <c r="Z294" s="6"/>
      <c r="AA294" s="6"/>
      <c r="AB294" s="6"/>
      <c r="AC294" s="6"/>
      <c r="AD294" s="6"/>
      <c r="AE294" s="10">
        <v>990130932083</v>
      </c>
      <c r="AF294" s="14">
        <v>44980</v>
      </c>
      <c r="AG294" s="6">
        <v>47.300000000000004</v>
      </c>
      <c r="AH294" s="11">
        <v>1.141</v>
      </c>
      <c r="AI294" s="6">
        <v>80.5</v>
      </c>
      <c r="AJ294" s="6">
        <v>28.4</v>
      </c>
      <c r="AK294" s="6">
        <v>6.2</v>
      </c>
      <c r="AL294" s="6">
        <v>80.3</v>
      </c>
      <c r="AM294" s="6">
        <v>8.1</v>
      </c>
      <c r="AN294" s="16" t="s">
        <v>150</v>
      </c>
      <c r="AO294" s="12">
        <v>9</v>
      </c>
      <c r="AP294" s="7">
        <v>0.08</v>
      </c>
      <c r="AQ294" s="6">
        <v>9.1</v>
      </c>
      <c r="AV294" s="3"/>
      <c r="AW294" s="3"/>
      <c r="AX294" s="3"/>
      <c r="AY294" s="3"/>
      <c r="AZ294" s="4"/>
      <c r="BA294" s="4"/>
      <c r="BB294" s="4"/>
      <c r="BC294" s="4"/>
      <c r="BD294" s="4"/>
      <c r="BE294" s="3"/>
      <c r="BF294" s="3"/>
      <c r="BG294" s="4"/>
      <c r="BH294" s="4"/>
      <c r="BI294" s="4"/>
      <c r="BJ294" s="9"/>
      <c r="BK294" s="9"/>
      <c r="BL294" s="9"/>
      <c r="BM294" s="3"/>
      <c r="BN294" s="3"/>
      <c r="BO294" s="3"/>
      <c r="BP294" s="3"/>
      <c r="BQ294" s="3"/>
      <c r="BR294" s="3"/>
      <c r="BT294" s="15"/>
      <c r="BU294" s="3"/>
      <c r="BV294" s="13"/>
      <c r="BW294" s="3"/>
      <c r="BX294" s="3"/>
      <c r="BY294" s="3"/>
      <c r="BZ294" s="3"/>
      <c r="CA294" s="3"/>
      <c r="CB294" s="10"/>
      <c r="CC294" s="10"/>
      <c r="CD294" s="4"/>
      <c r="CE294" s="3"/>
    </row>
    <row r="295" spans="1:83" x14ac:dyDescent="0.25">
      <c r="A295" s="2" t="s">
        <v>17</v>
      </c>
      <c r="B295" s="2">
        <v>3</v>
      </c>
      <c r="C295" t="s">
        <v>8</v>
      </c>
      <c r="D295" s="5" t="str">
        <f t="shared" si="41"/>
        <v>p09-3-SE</v>
      </c>
      <c r="E295" s="5" t="s">
        <v>468</v>
      </c>
      <c r="F295" s="17">
        <v>44881</v>
      </c>
      <c r="G295">
        <v>21</v>
      </c>
      <c r="H295" s="3">
        <v>21.1</v>
      </c>
      <c r="I295" s="3">
        <f t="shared" si="43"/>
        <v>20.64</v>
      </c>
      <c r="J295" s="3">
        <f>($A$71-$A$47)*$A$75</f>
        <v>0.46500000000000002</v>
      </c>
      <c r="K295" s="6">
        <f t="shared" si="44"/>
        <v>4711.1511614173223</v>
      </c>
      <c r="L295" s="4"/>
      <c r="M295" s="4"/>
      <c r="N295" s="4"/>
      <c r="O295" s="4"/>
      <c r="P295" s="7"/>
      <c r="Q295" s="6"/>
      <c r="R295" s="14"/>
      <c r="S295" s="4"/>
      <c r="T295" s="4"/>
      <c r="U295" s="4"/>
      <c r="V295" s="8"/>
      <c r="W295" s="8"/>
      <c r="X295" s="8"/>
      <c r="Y295" s="6"/>
      <c r="Z295" s="6"/>
      <c r="AA295" s="6"/>
      <c r="AB295" s="6"/>
      <c r="AC295" s="6"/>
      <c r="AD295" s="6"/>
      <c r="AE295" s="10"/>
      <c r="AF295" s="14"/>
      <c r="AG295" s="6"/>
      <c r="AH295" s="11"/>
      <c r="AI295" s="6"/>
      <c r="AJ295" s="6"/>
      <c r="AK295" s="6"/>
      <c r="AL295" s="6"/>
      <c r="AM295" s="6"/>
      <c r="AN295" s="16"/>
      <c r="AO295" s="12"/>
      <c r="AP295" s="7"/>
      <c r="AQ295" s="6"/>
      <c r="AV295" s="3"/>
      <c r="AW295" s="3"/>
      <c r="AX295" s="3"/>
      <c r="AY295" s="3"/>
      <c r="AZ295" s="4"/>
      <c r="BA295" s="4"/>
      <c r="BB295" s="4"/>
      <c r="BC295" s="4"/>
      <c r="BD295" s="4"/>
      <c r="BE295" s="3"/>
      <c r="BF295" s="3"/>
      <c r="BG295" s="4"/>
      <c r="BH295" s="4"/>
      <c r="BI295" s="4"/>
      <c r="BJ295" s="9"/>
      <c r="BK295" s="9"/>
      <c r="BL295" s="9"/>
      <c r="BM295" s="3"/>
      <c r="BN295" s="3"/>
      <c r="BO295" s="3"/>
      <c r="BP295" s="3"/>
      <c r="BQ295" s="3"/>
      <c r="BR295" s="3"/>
      <c r="BT295" s="15"/>
      <c r="BU295" s="3"/>
      <c r="BV295" s="13"/>
      <c r="BW295" s="3"/>
      <c r="BX295" s="3"/>
      <c r="BY295" s="3"/>
      <c r="BZ295" s="3"/>
      <c r="CA295" s="3"/>
      <c r="CB295" s="10"/>
      <c r="CC295" s="10"/>
      <c r="CD295" s="4"/>
      <c r="CE295" s="3"/>
    </row>
    <row r="296" spans="1:83" x14ac:dyDescent="0.25">
      <c r="A296" s="2" t="s">
        <v>17</v>
      </c>
      <c r="B296" s="2">
        <v>4</v>
      </c>
      <c r="C296" t="s">
        <v>4</v>
      </c>
      <c r="D296" s="5" t="str">
        <f t="shared" si="41"/>
        <v>p09-4-NW</v>
      </c>
      <c r="E296" s="5" t="s">
        <v>468</v>
      </c>
      <c r="F296" s="17">
        <v>44881</v>
      </c>
      <c r="G296">
        <v>9</v>
      </c>
      <c r="H296" s="3">
        <v>15.9</v>
      </c>
      <c r="I296" s="3">
        <f t="shared" si="43"/>
        <v>15.44</v>
      </c>
      <c r="J296" s="3">
        <f>($A$59-$A$47)*$A$75</f>
        <v>0.45250000000000001</v>
      </c>
      <c r="K296" s="6">
        <f t="shared" si="44"/>
        <v>3547.5939271653547</v>
      </c>
      <c r="L296" s="4"/>
      <c r="M296" s="4"/>
      <c r="N296" s="4"/>
      <c r="O296" s="4"/>
      <c r="P296" s="7"/>
      <c r="Q296" s="6"/>
      <c r="R296" s="14"/>
      <c r="S296" s="4"/>
      <c r="T296" s="4"/>
      <c r="U296" s="4"/>
      <c r="V296" s="8"/>
      <c r="W296" s="8"/>
      <c r="X296" s="8"/>
      <c r="Y296" s="6"/>
      <c r="Z296" s="6"/>
      <c r="AA296" s="6"/>
      <c r="AB296" s="6"/>
      <c r="AC296" s="6"/>
      <c r="AD296" s="6"/>
      <c r="AE296" s="10"/>
      <c r="AF296" s="14"/>
      <c r="AG296" s="6"/>
      <c r="AH296" s="11"/>
      <c r="AI296" s="6"/>
      <c r="AJ296" s="6"/>
      <c r="AK296" s="6"/>
      <c r="AL296" s="6"/>
      <c r="AM296" s="6"/>
      <c r="AN296" s="16"/>
      <c r="AO296" s="12"/>
      <c r="AP296" s="7"/>
      <c r="AQ296" s="6"/>
      <c r="AS296" t="s">
        <v>121</v>
      </c>
      <c r="AT296" s="4" t="str">
        <f>E296</f>
        <v>Machine</v>
      </c>
      <c r="AU296" s="15">
        <f>F296</f>
        <v>44881</v>
      </c>
      <c r="AV296" s="3">
        <f>SUM(H296:H301)</f>
        <v>90.6</v>
      </c>
      <c r="AW296" s="3">
        <f>AV296-6*$A$47</f>
        <v>87.839999999999989</v>
      </c>
      <c r="AX296" s="3">
        <f>SUM(J296:J301)</f>
        <v>2.7524999999999999</v>
      </c>
      <c r="AY296" s="3">
        <f>(AW296+AX296)*$A$48/(6*$A$49)*$A$50</f>
        <v>3370.4095521653539</v>
      </c>
      <c r="AZ296" s="4">
        <f>SUM(L296:L301)</f>
        <v>17.34</v>
      </c>
      <c r="BA296" s="4">
        <f>SUM(M296:M301)</f>
        <v>357.78</v>
      </c>
      <c r="BB296" s="4">
        <f>BA296-AZ296</f>
        <v>340.44</v>
      </c>
      <c r="BC296" s="4">
        <f>SUM(O296:O301)</f>
        <v>324.26</v>
      </c>
      <c r="BD296" s="4">
        <f>(BB296-BC296)/BB296*100</f>
        <v>4.7526730113970173</v>
      </c>
      <c r="BE296" s="3">
        <f>AY296*(1-BD296/100)</f>
        <v>3210.2250070060441</v>
      </c>
      <c r="BF296" s="15">
        <f>R297</f>
        <v>44882</v>
      </c>
      <c r="BG296" s="4">
        <f>SUM(S296:S301)</f>
        <v>5.68</v>
      </c>
      <c r="BH296" s="4">
        <f>SUM(T296:T301)</f>
        <v>1.96</v>
      </c>
      <c r="BI296" s="4">
        <f>SUM(U296:U301)</f>
        <v>4.74</v>
      </c>
      <c r="BJ296" s="9">
        <f>(BH296-1*$A$76)/(BG296-1*$A$47*$A$48)</f>
        <v>0.32533118056208044</v>
      </c>
      <c r="BK296" s="9">
        <f>(BI296-1*$A$77)/(BG296-1*$A$47*$A$48)</f>
        <v>0.55562179152175539</v>
      </c>
      <c r="BL296" s="9">
        <f>1-BJ296-BK296</f>
        <v>0.11904702791616417</v>
      </c>
      <c r="BM296" s="3">
        <f>AY296*BJ296</f>
        <v>1096.4993185836674</v>
      </c>
      <c r="BN296" s="3">
        <f>AY296*BK296</f>
        <v>1872.6729935361514</v>
      </c>
      <c r="BO296" s="3">
        <f>SUM(BM296:BN296)</f>
        <v>2969.1723121198188</v>
      </c>
      <c r="BP296" s="3">
        <f>BE296*BJ296</f>
        <v>1044.3862913991893</v>
      </c>
      <c r="BQ296" s="3">
        <f>BE296*BK296</f>
        <v>1783.670969580638</v>
      </c>
      <c r="BR296" s="3">
        <f>SUM(BP296:BQ296)</f>
        <v>2828.0572609798273</v>
      </c>
      <c r="BS296" s="3"/>
      <c r="BT296" s="15">
        <f>AF297</f>
        <v>44980</v>
      </c>
      <c r="BU296" s="3">
        <f t="shared" ref="BU296:CA296" si="47">AVERAGE(AG296:AG301)</f>
        <v>49.1</v>
      </c>
      <c r="BV296" s="13">
        <f t="shared" si="47"/>
        <v>1.1234999999999999</v>
      </c>
      <c r="BW296" s="3">
        <f t="shared" si="47"/>
        <v>80.150000000000006</v>
      </c>
      <c r="BX296" s="3">
        <f t="shared" si="47"/>
        <v>28.15</v>
      </c>
      <c r="BY296" s="3">
        <f t="shared" si="47"/>
        <v>6</v>
      </c>
      <c r="BZ296" s="3">
        <f t="shared" si="47"/>
        <v>79.099999999999994</v>
      </c>
      <c r="CA296" s="3">
        <f t="shared" si="47"/>
        <v>8.5500000000000007</v>
      </c>
      <c r="CB296" s="13"/>
      <c r="CC296" s="10">
        <f>AVERAGE(AO296:AO301)</f>
        <v>7</v>
      </c>
      <c r="CD296" s="4">
        <f>AVERAGE(AP296:AP301)</f>
        <v>7.5000000000000011E-2</v>
      </c>
      <c r="CE296" s="3">
        <f>AVERAGE(AQ296:AQ301)</f>
        <v>9.4499999999999993</v>
      </c>
    </row>
    <row r="297" spans="1:83" x14ac:dyDescent="0.25">
      <c r="A297" s="2" t="s">
        <v>17</v>
      </c>
      <c r="B297" s="2">
        <v>4</v>
      </c>
      <c r="C297" t="s">
        <v>5</v>
      </c>
      <c r="D297" s="5" t="str">
        <f t="shared" si="41"/>
        <v>p09-4-MW</v>
      </c>
      <c r="E297" s="5" t="s">
        <v>468</v>
      </c>
      <c r="F297" s="17">
        <v>44881</v>
      </c>
      <c r="G297">
        <v>9</v>
      </c>
      <c r="H297" s="3">
        <v>13.1</v>
      </c>
      <c r="I297" s="3">
        <f t="shared" si="43"/>
        <v>12.639999999999999</v>
      </c>
      <c r="J297" s="3">
        <f>($A$59-$A$47)*$A$75</f>
        <v>0.45250000000000001</v>
      </c>
      <c r="K297" s="6">
        <f t="shared" si="44"/>
        <v>2922.5655807086614</v>
      </c>
      <c r="L297" s="4">
        <v>8.4</v>
      </c>
      <c r="M297" s="4">
        <v>158.9</v>
      </c>
      <c r="N297" s="4">
        <f>M297-L297</f>
        <v>150.5</v>
      </c>
      <c r="O297" s="4">
        <v>142.82</v>
      </c>
      <c r="P297" s="7">
        <f>(N297-O297)/N297*100</f>
        <v>5.1029900332225955</v>
      </c>
      <c r="Q297" s="6">
        <f>K297*(1-P297/100)</f>
        <v>2773.4273504107041</v>
      </c>
      <c r="R297" s="14">
        <v>44882</v>
      </c>
      <c r="S297" s="4">
        <v>5.68</v>
      </c>
      <c r="T297" s="4">
        <v>1.96</v>
      </c>
      <c r="U297" s="4">
        <v>4.74</v>
      </c>
      <c r="V297" s="8">
        <f>(T297-$A$76)/(S297-$A$47*$A$48)</f>
        <v>0.32533118056208044</v>
      </c>
      <c r="W297" s="8">
        <f>(U297-$A$77)/(S297-$A$47*$A$48)</f>
        <v>0.55562179152175539</v>
      </c>
      <c r="X297" s="8">
        <f>1-V297-W297</f>
        <v>0.11904702791616417</v>
      </c>
      <c r="Y297" s="6">
        <f>K297*V297</f>
        <v>950.80171064205103</v>
      </c>
      <c r="Z297" s="6">
        <f>K297*W297</f>
        <v>1623.8411237931659</v>
      </c>
      <c r="AA297" s="6">
        <f>SUM(Y297:Z297)</f>
        <v>2574.6428344352171</v>
      </c>
      <c r="AB297" s="6">
        <f>Q297*V297</f>
        <v>902.28239411227707</v>
      </c>
      <c r="AC297" s="6">
        <f>Q297*W297</f>
        <v>1540.9766730906306</v>
      </c>
      <c r="AD297" s="6">
        <f>SUM(AB297:AC297)</f>
        <v>2443.2590672029078</v>
      </c>
      <c r="AE297" s="10">
        <v>990130941036</v>
      </c>
      <c r="AF297" s="14">
        <v>44980</v>
      </c>
      <c r="AG297" s="6">
        <v>49.900000000000006</v>
      </c>
      <c r="AH297" s="11">
        <v>1.125</v>
      </c>
      <c r="AI297" s="6">
        <v>80.3</v>
      </c>
      <c r="AJ297" s="6">
        <v>28.2</v>
      </c>
      <c r="AK297" s="6">
        <v>6</v>
      </c>
      <c r="AL297" s="6">
        <v>79.599999999999994</v>
      </c>
      <c r="AM297" s="6">
        <v>9.1</v>
      </c>
      <c r="AN297" s="16" t="s">
        <v>148</v>
      </c>
      <c r="AO297" s="12">
        <v>4</v>
      </c>
      <c r="AP297" s="7">
        <v>0.05</v>
      </c>
      <c r="AQ297" s="6">
        <v>9.6</v>
      </c>
      <c r="AV297" s="3"/>
      <c r="AW297" s="3"/>
      <c r="AX297" s="3"/>
      <c r="AY297" s="3"/>
      <c r="AZ297" s="4"/>
      <c r="BA297" s="4"/>
      <c r="BB297" s="4"/>
      <c r="BC297" s="4"/>
      <c r="BD297" s="4"/>
      <c r="BE297" s="3"/>
      <c r="BF297" s="3"/>
      <c r="BG297" s="4"/>
      <c r="BH297" s="4"/>
      <c r="BI297" s="4"/>
      <c r="BJ297" s="9"/>
      <c r="BK297" s="9"/>
      <c r="BL297" s="9"/>
      <c r="BM297" s="3"/>
      <c r="BN297" s="3"/>
      <c r="BO297" s="3"/>
      <c r="BP297" s="3"/>
      <c r="BQ297" s="3"/>
      <c r="BR297" s="3"/>
      <c r="BT297" s="15"/>
      <c r="BU297" s="3"/>
      <c r="BV297" s="13"/>
      <c r="BW297" s="3"/>
      <c r="BX297" s="3"/>
      <c r="BY297" s="3"/>
      <c r="BZ297" s="3"/>
      <c r="CA297" s="3"/>
      <c r="CB297" s="10"/>
      <c r="CC297" s="10"/>
      <c r="CD297" s="4"/>
      <c r="CE297" s="3"/>
    </row>
    <row r="298" spans="1:83" x14ac:dyDescent="0.25">
      <c r="A298" s="2" t="s">
        <v>17</v>
      </c>
      <c r="B298" s="2">
        <v>4</v>
      </c>
      <c r="C298" t="s">
        <v>6</v>
      </c>
      <c r="D298" s="5" t="str">
        <f t="shared" si="41"/>
        <v>p09-4-SW</v>
      </c>
      <c r="E298" s="5" t="s">
        <v>468</v>
      </c>
      <c r="F298" s="17">
        <v>44881</v>
      </c>
      <c r="G298">
        <v>9</v>
      </c>
      <c r="H298" s="3">
        <v>17.100000000000001</v>
      </c>
      <c r="I298" s="3">
        <f t="shared" si="43"/>
        <v>16.64</v>
      </c>
      <c r="J298" s="3">
        <f>($A$59-$A$47)*$A$75</f>
        <v>0.45250000000000001</v>
      </c>
      <c r="K298" s="6">
        <f t="shared" si="44"/>
        <v>3815.4632185039372</v>
      </c>
      <c r="L298" s="4"/>
      <c r="M298" s="4"/>
      <c r="N298" s="4"/>
      <c r="O298" s="4"/>
      <c r="P298" s="7"/>
      <c r="Q298" s="6"/>
      <c r="R298" s="14"/>
      <c r="S298" s="4"/>
      <c r="T298" s="4"/>
      <c r="U298" s="4"/>
      <c r="V298" s="8"/>
      <c r="W298" s="8"/>
      <c r="X298" s="8"/>
      <c r="Y298" s="6"/>
      <c r="Z298" s="6"/>
      <c r="AA298" s="6"/>
      <c r="AB298" s="6"/>
      <c r="AC298" s="6"/>
      <c r="AD298" s="6"/>
      <c r="AE298" s="10"/>
      <c r="AF298" s="14"/>
      <c r="AG298" s="6"/>
      <c r="AH298" s="11"/>
      <c r="AI298" s="6"/>
      <c r="AJ298" s="6"/>
      <c r="AK298" s="6"/>
      <c r="AL298" s="6"/>
      <c r="AM298" s="6"/>
      <c r="AN298" s="16"/>
      <c r="AO298" s="12"/>
      <c r="AP298" s="7"/>
      <c r="AQ298" s="6"/>
      <c r="AV298" s="3"/>
      <c r="AW298" s="3"/>
      <c r="AX298" s="3"/>
      <c r="AY298" s="3"/>
      <c r="AZ298" s="4"/>
      <c r="BA298" s="4"/>
      <c r="BB298" s="4"/>
      <c r="BC298" s="4"/>
      <c r="BD298" s="4"/>
      <c r="BE298" s="3"/>
      <c r="BF298" s="3"/>
      <c r="BG298" s="4"/>
      <c r="BH298" s="4"/>
      <c r="BI298" s="4"/>
      <c r="BJ298" s="9"/>
      <c r="BK298" s="9"/>
      <c r="BL298" s="9"/>
      <c r="BM298" s="3"/>
      <c r="BN298" s="3"/>
      <c r="BO298" s="3"/>
      <c r="BP298" s="3"/>
      <c r="BQ298" s="3"/>
      <c r="BR298" s="3"/>
      <c r="BT298" s="15"/>
      <c r="BU298" s="3"/>
      <c r="BV298" s="13"/>
      <c r="BW298" s="3"/>
      <c r="BX298" s="3"/>
      <c r="BY298" s="3"/>
      <c r="BZ298" s="3"/>
      <c r="CA298" s="3"/>
      <c r="CB298" s="10"/>
      <c r="CC298" s="10"/>
      <c r="CD298" s="4"/>
      <c r="CE298" s="3"/>
    </row>
    <row r="299" spans="1:83" x14ac:dyDescent="0.25">
      <c r="A299" s="2" t="s">
        <v>17</v>
      </c>
      <c r="B299" s="2">
        <v>4</v>
      </c>
      <c r="C299" t="s">
        <v>7</v>
      </c>
      <c r="D299" s="5" t="str">
        <f t="shared" si="41"/>
        <v>p09-4-NE</v>
      </c>
      <c r="E299" s="5" t="s">
        <v>468</v>
      </c>
      <c r="F299" s="17">
        <v>44881</v>
      </c>
      <c r="G299">
        <v>21</v>
      </c>
      <c r="H299" s="3">
        <v>17</v>
      </c>
      <c r="I299" s="3">
        <f t="shared" si="43"/>
        <v>16.54</v>
      </c>
      <c r="J299" s="3">
        <f>($A$71-$A$47)*$A$75</f>
        <v>0.46500000000000002</v>
      </c>
      <c r="K299" s="6">
        <f t="shared" si="44"/>
        <v>3795.9310826771653</v>
      </c>
      <c r="L299" s="4"/>
      <c r="M299" s="4"/>
      <c r="N299" s="4"/>
      <c r="O299" s="4"/>
      <c r="P299" s="7"/>
      <c r="Q299" s="6"/>
      <c r="R299" s="14"/>
      <c r="S299" s="4"/>
      <c r="T299" s="4"/>
      <c r="U299" s="4"/>
      <c r="V299" s="8"/>
      <c r="W299" s="8"/>
      <c r="X299" s="8"/>
      <c r="Y299" s="6"/>
      <c r="Z299" s="6"/>
      <c r="AA299" s="6"/>
      <c r="AB299" s="6"/>
      <c r="AC299" s="6"/>
      <c r="AD299" s="6"/>
      <c r="AE299" s="10"/>
      <c r="AF299" s="14"/>
      <c r="AG299" s="6"/>
      <c r="AH299" s="11"/>
      <c r="AI299" s="6"/>
      <c r="AJ299" s="6"/>
      <c r="AK299" s="6"/>
      <c r="AL299" s="6"/>
      <c r="AM299" s="6"/>
      <c r="AN299" s="16"/>
      <c r="AO299" s="12"/>
      <c r="AP299" s="7"/>
      <c r="AQ299" s="6"/>
      <c r="AV299" s="3"/>
      <c r="AW299" s="3"/>
      <c r="AX299" s="3"/>
      <c r="AY299" s="3"/>
      <c r="AZ299" s="4"/>
      <c r="BA299" s="4"/>
      <c r="BB299" s="4"/>
      <c r="BC299" s="4"/>
      <c r="BD299" s="4"/>
      <c r="BE299" s="3"/>
      <c r="BF299" s="3"/>
      <c r="BG299" s="4"/>
      <c r="BH299" s="4"/>
      <c r="BI299" s="4"/>
      <c r="BJ299" s="9"/>
      <c r="BK299" s="9"/>
      <c r="BL299" s="9"/>
      <c r="BM299" s="3"/>
      <c r="BN299" s="3"/>
      <c r="BO299" s="3"/>
      <c r="BP299" s="3"/>
      <c r="BQ299" s="3"/>
      <c r="BR299" s="3"/>
      <c r="BT299" s="15"/>
      <c r="BU299" s="3"/>
      <c r="BV299" s="13"/>
      <c r="BW299" s="3"/>
      <c r="BX299" s="3"/>
      <c r="BY299" s="3"/>
      <c r="BZ299" s="3"/>
      <c r="CA299" s="3"/>
      <c r="CB299" s="10"/>
      <c r="CC299" s="10"/>
      <c r="CD299" s="4"/>
      <c r="CE299" s="3"/>
    </row>
    <row r="300" spans="1:83" x14ac:dyDescent="0.25">
      <c r="A300" s="2" t="s">
        <v>17</v>
      </c>
      <c r="B300" s="2">
        <v>4</v>
      </c>
      <c r="C300" t="s">
        <v>18</v>
      </c>
      <c r="D300" s="5" t="str">
        <f t="shared" si="41"/>
        <v>p09-4-ME</v>
      </c>
      <c r="E300" s="5" t="s">
        <v>468</v>
      </c>
      <c r="F300" s="17">
        <v>44881</v>
      </c>
      <c r="G300">
        <v>21</v>
      </c>
      <c r="H300" s="3">
        <v>12.5</v>
      </c>
      <c r="I300" s="3">
        <f t="shared" si="43"/>
        <v>12.04</v>
      </c>
      <c r="J300" s="3">
        <f>($A$71-$A$47)*$A$75</f>
        <v>0.46500000000000002</v>
      </c>
      <c r="K300" s="6">
        <f t="shared" si="44"/>
        <v>2791.42124015748</v>
      </c>
      <c r="L300" s="4">
        <v>8.94</v>
      </c>
      <c r="M300" s="4">
        <v>198.88</v>
      </c>
      <c r="N300" s="4">
        <f>M300-L300</f>
        <v>189.94</v>
      </c>
      <c r="O300" s="4">
        <v>181.44</v>
      </c>
      <c r="P300" s="7">
        <f>(N300-O300)/N300*100</f>
        <v>4.4750973991786882</v>
      </c>
      <c r="Q300" s="6">
        <f>K300*(1-P300/100)</f>
        <v>2666.5024208390714</v>
      </c>
      <c r="R300" s="14"/>
      <c r="S300" s="4"/>
      <c r="T300" s="4"/>
      <c r="U300" s="4"/>
      <c r="V300" s="8"/>
      <c r="W300" s="8"/>
      <c r="X300" s="8"/>
      <c r="Y300" s="6"/>
      <c r="Z300" s="6"/>
      <c r="AA300" s="6"/>
      <c r="AB300" s="6"/>
      <c r="AC300" s="6"/>
      <c r="AD300" s="6"/>
      <c r="AE300" s="10">
        <v>990130942084</v>
      </c>
      <c r="AF300" s="14">
        <v>44980</v>
      </c>
      <c r="AG300" s="6">
        <v>48.3</v>
      </c>
      <c r="AH300" s="11">
        <v>1.1220000000000001</v>
      </c>
      <c r="AI300" s="6">
        <v>80</v>
      </c>
      <c r="AJ300" s="6">
        <v>28.1</v>
      </c>
      <c r="AK300" s="6">
        <v>6</v>
      </c>
      <c r="AL300" s="6">
        <v>78.599999999999994</v>
      </c>
      <c r="AM300" s="6">
        <v>8</v>
      </c>
      <c r="AN300" s="16" t="s">
        <v>149</v>
      </c>
      <c r="AO300" s="12">
        <v>10</v>
      </c>
      <c r="AP300" s="7">
        <v>0.1</v>
      </c>
      <c r="AQ300" s="6">
        <v>9.3000000000000007</v>
      </c>
      <c r="AV300" s="3"/>
      <c r="AW300" s="3"/>
      <c r="AX300" s="3"/>
      <c r="AY300" s="3"/>
      <c r="AZ300" s="4"/>
      <c r="BA300" s="4"/>
      <c r="BB300" s="4"/>
      <c r="BC300" s="4"/>
      <c r="BD300" s="4"/>
      <c r="BE300" s="3"/>
      <c r="BF300" s="3"/>
      <c r="BG300" s="4"/>
      <c r="BH300" s="4"/>
      <c r="BI300" s="4"/>
      <c r="BJ300" s="9"/>
      <c r="BK300" s="9"/>
      <c r="BL300" s="9"/>
      <c r="BM300" s="3"/>
      <c r="BN300" s="3"/>
      <c r="BO300" s="3"/>
      <c r="BP300" s="3"/>
      <c r="BQ300" s="3"/>
      <c r="BR300" s="3"/>
      <c r="BT300" s="15"/>
      <c r="BU300" s="3"/>
      <c r="BV300" s="13"/>
      <c r="BW300" s="3"/>
      <c r="BX300" s="3"/>
      <c r="BY300" s="3"/>
      <c r="BZ300" s="3"/>
      <c r="CA300" s="3"/>
      <c r="CB300" s="10"/>
      <c r="CC300" s="10"/>
      <c r="CD300" s="4"/>
      <c r="CE300" s="3"/>
    </row>
    <row r="301" spans="1:83" x14ac:dyDescent="0.25">
      <c r="A301" s="2" t="s">
        <v>17</v>
      </c>
      <c r="B301" s="2">
        <v>4</v>
      </c>
      <c r="C301" t="s">
        <v>8</v>
      </c>
      <c r="D301" s="5" t="str">
        <f t="shared" si="41"/>
        <v>p09-4-SE</v>
      </c>
      <c r="E301" s="5" t="s">
        <v>468</v>
      </c>
      <c r="F301" s="17">
        <v>44881</v>
      </c>
      <c r="G301">
        <v>21</v>
      </c>
      <c r="H301" s="3">
        <v>15</v>
      </c>
      <c r="I301" s="3">
        <f t="shared" si="43"/>
        <v>14.54</v>
      </c>
      <c r="J301" s="3">
        <f>($A$71-$A$47)*$A$75</f>
        <v>0.46500000000000002</v>
      </c>
      <c r="K301" s="6">
        <f t="shared" si="44"/>
        <v>3349.4822637795273</v>
      </c>
      <c r="L301" s="4"/>
      <c r="M301" s="4"/>
      <c r="N301" s="4"/>
      <c r="O301" s="4"/>
      <c r="P301" s="7"/>
      <c r="Q301" s="6"/>
      <c r="R301" s="14"/>
      <c r="S301" s="4"/>
      <c r="T301" s="4"/>
      <c r="U301" s="4"/>
      <c r="V301" s="8"/>
      <c r="W301" s="8"/>
      <c r="X301" s="8"/>
      <c r="Y301" s="6"/>
      <c r="Z301" s="6"/>
      <c r="AA301" s="6"/>
      <c r="AB301" s="6"/>
      <c r="AC301" s="6"/>
      <c r="AD301" s="6"/>
      <c r="AE301" s="10"/>
      <c r="AF301" s="14"/>
      <c r="AG301" s="6"/>
      <c r="AH301" s="11"/>
      <c r="AI301" s="6"/>
      <c r="AJ301" s="6"/>
      <c r="AK301" s="6"/>
      <c r="AL301" s="6"/>
      <c r="AM301" s="6"/>
      <c r="AN301" s="16"/>
      <c r="AO301" s="12"/>
      <c r="AP301" s="7"/>
      <c r="AQ301" s="6"/>
      <c r="AV301" s="3"/>
      <c r="AW301" s="3"/>
      <c r="AX301" s="3"/>
      <c r="AY301" s="3"/>
      <c r="AZ301" s="4"/>
      <c r="BA301" s="4"/>
      <c r="BB301" s="4"/>
      <c r="BC301" s="4"/>
      <c r="BD301" s="4"/>
      <c r="BE301" s="3"/>
      <c r="BF301" s="3"/>
      <c r="BG301" s="4"/>
      <c r="BH301" s="4"/>
      <c r="BI301" s="4"/>
      <c r="BJ301" s="9"/>
      <c r="BK301" s="9"/>
      <c r="BL301" s="9"/>
      <c r="BM301" s="3"/>
      <c r="BN301" s="3"/>
      <c r="BO301" s="3"/>
      <c r="BP301" s="3"/>
      <c r="BQ301" s="3"/>
      <c r="BR301" s="3"/>
      <c r="BT301" s="15"/>
      <c r="BU301" s="3"/>
      <c r="BV301" s="13"/>
      <c r="BW301" s="3"/>
      <c r="BX301" s="3"/>
      <c r="BY301" s="3"/>
      <c r="BZ301" s="3"/>
      <c r="CA301" s="3"/>
      <c r="CB301" s="10"/>
      <c r="CC301" s="10"/>
      <c r="CD301" s="4"/>
      <c r="CE301" s="3"/>
    </row>
    <row r="302" spans="1:83" x14ac:dyDescent="0.25">
      <c r="A302" s="2">
        <f t="shared" ref="A302" si="48">A278+1</f>
        <v>10</v>
      </c>
      <c r="B302" s="2">
        <v>1</v>
      </c>
      <c r="C302" t="s">
        <v>4</v>
      </c>
      <c r="D302" s="5" t="str">
        <f t="shared" si="41"/>
        <v>p10-1-NW</v>
      </c>
      <c r="E302" s="5" t="s">
        <v>468</v>
      </c>
      <c r="F302" s="17">
        <v>44881</v>
      </c>
      <c r="G302">
        <v>10</v>
      </c>
      <c r="H302" s="3">
        <v>13.1</v>
      </c>
      <c r="I302" s="3">
        <f t="shared" si="43"/>
        <v>12.639999999999999</v>
      </c>
      <c r="J302" s="3">
        <f>($A$60-$A$47)*$A$75</f>
        <v>0.84624999999999995</v>
      </c>
      <c r="K302" s="6">
        <f t="shared" si="44"/>
        <v>3010.4601919291335</v>
      </c>
      <c r="L302" s="4"/>
      <c r="M302" s="4"/>
      <c r="N302" s="4"/>
      <c r="O302" s="4"/>
      <c r="P302" s="7"/>
      <c r="Q302" s="6"/>
      <c r="R302" s="14"/>
      <c r="S302" s="4"/>
      <c r="T302" s="4"/>
      <c r="U302" s="4"/>
      <c r="V302" s="8"/>
      <c r="W302" s="8"/>
      <c r="X302" s="8"/>
      <c r="Y302" s="6"/>
      <c r="Z302" s="6"/>
      <c r="AA302" s="6"/>
      <c r="AB302" s="6"/>
      <c r="AC302" s="6"/>
      <c r="AD302" s="6"/>
      <c r="AE302" s="10"/>
      <c r="AF302" s="14"/>
      <c r="AG302" s="6"/>
      <c r="AH302" s="11"/>
      <c r="AI302" s="6"/>
      <c r="AJ302" s="6"/>
      <c r="AK302" s="6"/>
      <c r="AL302" s="6"/>
      <c r="AM302" s="6"/>
      <c r="AN302" s="16"/>
      <c r="AO302" s="12"/>
      <c r="AP302" s="7"/>
      <c r="AQ302" s="6"/>
      <c r="AS302" s="4" t="s">
        <v>122</v>
      </c>
      <c r="AT302" s="4" t="str">
        <f>E302</f>
        <v>Machine</v>
      </c>
      <c r="AU302" s="15">
        <f>F302</f>
        <v>44881</v>
      </c>
      <c r="AV302" s="3">
        <f>SUM(H302:H307)</f>
        <v>103.3</v>
      </c>
      <c r="AW302" s="3">
        <f>AV302-6*$A$47</f>
        <v>100.53999999999999</v>
      </c>
      <c r="AX302" s="3">
        <f>SUM(J302:J307)</f>
        <v>6.25875</v>
      </c>
      <c r="AY302" s="3">
        <f>(AW302+AX302)*$A$48/(6*$A$49)*$A$50</f>
        <v>3973.3479831036743</v>
      </c>
      <c r="AZ302" s="4">
        <f>SUM(L302:L307)</f>
        <v>17.45</v>
      </c>
      <c r="BA302" s="4">
        <f>SUM(M302:M307)</f>
        <v>435.76</v>
      </c>
      <c r="BB302" s="4">
        <f>BA302-AZ302</f>
        <v>418.31</v>
      </c>
      <c r="BC302" s="4">
        <f>SUM(O302:O307)</f>
        <v>399.26</v>
      </c>
      <c r="BD302" s="4">
        <f>(BB302-BC302)/BB302*100</f>
        <v>4.5540388706939856</v>
      </c>
      <c r="BE302" s="3">
        <f>AY302*(1-BD302/100)</f>
        <v>3792.4001714851975</v>
      </c>
      <c r="BF302" s="15">
        <f>R303</f>
        <v>44882</v>
      </c>
      <c r="BG302" s="4">
        <f>SUM(S302:S307)</f>
        <v>16.71</v>
      </c>
      <c r="BH302" s="4">
        <f>SUM(T302:T307)</f>
        <v>6.26</v>
      </c>
      <c r="BI302" s="4">
        <f>SUM(U302:U307)</f>
        <v>11.3</v>
      </c>
      <c r="BJ302" s="9">
        <f>(BH302-2*$A$76)/(BG302-2*$A$47*$A$48)</f>
        <v>0.3621254721600588</v>
      </c>
      <c r="BK302" s="9">
        <f>(BI302-2*$A$77)/(BG302-2*$A$47*$A$48)</f>
        <v>0.48487986950245171</v>
      </c>
      <c r="BL302" s="9">
        <f>1-BJ302-BK302</f>
        <v>0.15299465833748943</v>
      </c>
      <c r="BM302" s="3">
        <f>AY302*BJ302</f>
        <v>1438.8505144376354</v>
      </c>
      <c r="BN302" s="3">
        <f>AY302*BK302</f>
        <v>1926.5964515351393</v>
      </c>
      <c r="BO302" s="3">
        <f>SUM(BM302:BN302)</f>
        <v>3365.4469659727747</v>
      </c>
      <c r="BP302" s="3">
        <f>BE302*BJ302</f>
        <v>1373.324702718965</v>
      </c>
      <c r="BQ302" s="3">
        <f>BE302*BK302</f>
        <v>1838.858500250818</v>
      </c>
      <c r="BR302" s="3">
        <f>SUM(BP302:BQ302)</f>
        <v>3212.183202969783</v>
      </c>
      <c r="BS302" s="3"/>
      <c r="BT302" s="15">
        <f>AF303</f>
        <v>44980</v>
      </c>
      <c r="BU302" s="3">
        <f t="shared" ref="BU302:CA302" si="49">AVERAGE(AG302:AG307)</f>
        <v>49.95</v>
      </c>
      <c r="BV302" s="13">
        <f t="shared" si="49"/>
        <v>1.0405</v>
      </c>
      <c r="BW302" s="3">
        <f t="shared" si="49"/>
        <v>79.099999999999994</v>
      </c>
      <c r="BX302" s="3">
        <f t="shared" si="49"/>
        <v>27.4</v>
      </c>
      <c r="BY302" s="3">
        <f t="shared" si="49"/>
        <v>5.35</v>
      </c>
      <c r="BZ302" s="3">
        <f t="shared" si="49"/>
        <v>77.949999999999989</v>
      </c>
      <c r="CA302" s="3">
        <f t="shared" si="49"/>
        <v>9.25</v>
      </c>
      <c r="CB302" s="13"/>
      <c r="CC302" s="10">
        <f>AVERAGE(AO302:AO307)</f>
        <v>12.5</v>
      </c>
      <c r="CD302" s="4">
        <f>AVERAGE(AP302:AP307)</f>
        <v>0.13500000000000001</v>
      </c>
      <c r="CE302" s="3">
        <f>AVERAGE(AQ302:AQ307)</f>
        <v>10.75</v>
      </c>
    </row>
    <row r="303" spans="1:83" x14ac:dyDescent="0.25">
      <c r="A303" s="2">
        <f t="shared" ref="A303:A335" si="50">A279+1</f>
        <v>10</v>
      </c>
      <c r="B303" s="2">
        <v>1</v>
      </c>
      <c r="C303" t="s">
        <v>5</v>
      </c>
      <c r="D303" s="5" t="str">
        <f t="shared" si="41"/>
        <v>p10-1-MW</v>
      </c>
      <c r="E303" s="5" t="s">
        <v>468</v>
      </c>
      <c r="F303" s="17">
        <v>44881</v>
      </c>
      <c r="G303">
        <v>10</v>
      </c>
      <c r="H303" s="3">
        <v>20</v>
      </c>
      <c r="I303" s="3">
        <f t="shared" si="43"/>
        <v>19.54</v>
      </c>
      <c r="J303" s="3">
        <f>($A$60-$A$47)*$A$75</f>
        <v>0.84624999999999995</v>
      </c>
      <c r="K303" s="6">
        <f t="shared" si="44"/>
        <v>4550.7086171259843</v>
      </c>
      <c r="L303" s="4">
        <v>8.5399999999999991</v>
      </c>
      <c r="M303" s="4">
        <v>219.05</v>
      </c>
      <c r="N303" s="4">
        <f>M303-L303</f>
        <v>210.51000000000002</v>
      </c>
      <c r="O303" s="4">
        <v>199.94</v>
      </c>
      <c r="P303" s="7">
        <f>(N303-O303)/N303*100</f>
        <v>5.0211391382832264</v>
      </c>
      <c r="Q303" s="6">
        <f>K303*(1-P303/100)</f>
        <v>4322.2112056822443</v>
      </c>
      <c r="R303" s="14">
        <v>44882</v>
      </c>
      <c r="S303" s="4">
        <v>8.7899999999999991</v>
      </c>
      <c r="T303" s="4">
        <v>3.24</v>
      </c>
      <c r="U303" s="4">
        <v>5.96</v>
      </c>
      <c r="V303" s="8">
        <f>(T303-$A$76)/(S303-$A$47*$A$48)</f>
        <v>0.35658734666254666</v>
      </c>
      <c r="W303" s="8">
        <f>(U303-$A$77)/(S303-$A$47*$A$48)</f>
        <v>0.49642552182432964</v>
      </c>
      <c r="X303" s="8">
        <f>1-V303-W303</f>
        <v>0.1469871315131237</v>
      </c>
      <c r="Y303" s="6">
        <f>K303*V303</f>
        <v>1622.7251112153417</v>
      </c>
      <c r="Z303" s="6">
        <f>K303*W303</f>
        <v>2259.0878999272404</v>
      </c>
      <c r="AA303" s="6">
        <f>SUM(Y303:Z303)</f>
        <v>3881.8130111425821</v>
      </c>
      <c r="AB303" s="6">
        <f>Q303*V303</f>
        <v>1541.2458255493582</v>
      </c>
      <c r="AC303" s="6">
        <f>Q303*W303</f>
        <v>2145.655953215773</v>
      </c>
      <c r="AD303" s="6">
        <f>SUM(AB303:AC303)</f>
        <v>3686.901778765131</v>
      </c>
      <c r="AE303" s="10">
        <v>990131011037</v>
      </c>
      <c r="AF303" s="14">
        <v>44980</v>
      </c>
      <c r="AG303" s="6">
        <v>50</v>
      </c>
      <c r="AH303" s="11">
        <v>1.016</v>
      </c>
      <c r="AI303" s="6">
        <v>78.400000000000006</v>
      </c>
      <c r="AJ303" s="6">
        <v>27.1</v>
      </c>
      <c r="AK303" s="6">
        <v>5.4</v>
      </c>
      <c r="AL303" s="6">
        <v>78.3</v>
      </c>
      <c r="AM303" s="6">
        <v>9.5</v>
      </c>
      <c r="AN303" s="16" t="s">
        <v>165</v>
      </c>
      <c r="AO303" s="12">
        <v>10</v>
      </c>
      <c r="AP303" s="7">
        <v>7.0000000000000007E-2</v>
      </c>
      <c r="AQ303" s="6">
        <v>11.7</v>
      </c>
      <c r="AV303" s="3"/>
      <c r="AW303" s="3"/>
      <c r="AX303" s="3"/>
      <c r="AY303" s="3"/>
      <c r="AZ303" s="4"/>
      <c r="BA303" s="4"/>
      <c r="BB303" s="4"/>
      <c r="BC303" s="4"/>
      <c r="BD303" s="4"/>
      <c r="BE303" s="3"/>
      <c r="BF303" s="3"/>
      <c r="BG303" s="4"/>
      <c r="BH303" s="4"/>
      <c r="BI303" s="4"/>
      <c r="BJ303" s="9"/>
      <c r="BK303" s="9"/>
      <c r="BL303" s="9"/>
      <c r="BM303" s="3"/>
      <c r="BN303" s="3"/>
      <c r="BO303" s="3"/>
      <c r="BP303" s="3"/>
      <c r="BQ303" s="3"/>
      <c r="BR303" s="3"/>
      <c r="BT303" s="15"/>
      <c r="BU303" s="3"/>
      <c r="BV303" s="13"/>
      <c r="BW303" s="3"/>
      <c r="BX303" s="3"/>
      <c r="BY303" s="3"/>
      <c r="BZ303" s="3"/>
      <c r="CA303" s="3"/>
      <c r="CB303" s="10"/>
      <c r="CC303" s="10"/>
      <c r="CD303" s="4"/>
      <c r="CE303" s="3"/>
    </row>
    <row r="304" spans="1:83" x14ac:dyDescent="0.25">
      <c r="A304" s="2">
        <f t="shared" si="50"/>
        <v>10</v>
      </c>
      <c r="B304" s="2">
        <v>1</v>
      </c>
      <c r="C304" t="s">
        <v>6</v>
      </c>
      <c r="D304" s="5" t="str">
        <f t="shared" si="41"/>
        <v>p10-1-SW</v>
      </c>
      <c r="E304" s="5" t="s">
        <v>468</v>
      </c>
      <c r="F304" s="17">
        <v>44881</v>
      </c>
      <c r="G304">
        <v>10</v>
      </c>
      <c r="H304" s="3">
        <v>14.9</v>
      </c>
      <c r="I304" s="3">
        <f t="shared" si="43"/>
        <v>14.44</v>
      </c>
      <c r="J304" s="3">
        <f>($A$60-$A$47)*$A$75</f>
        <v>0.84624999999999995</v>
      </c>
      <c r="K304" s="6">
        <f t="shared" si="44"/>
        <v>3412.2641289370076</v>
      </c>
      <c r="L304" s="4"/>
      <c r="M304" s="4"/>
      <c r="N304" s="4"/>
      <c r="O304" s="4"/>
      <c r="P304" s="7"/>
      <c r="Q304" s="6"/>
      <c r="R304" s="14"/>
      <c r="S304" s="4"/>
      <c r="T304" s="4"/>
      <c r="U304" s="4"/>
      <c r="V304" s="8"/>
      <c r="W304" s="8"/>
      <c r="X304" s="8"/>
      <c r="Y304" s="6"/>
      <c r="Z304" s="6"/>
      <c r="AA304" s="6"/>
      <c r="AB304" s="6"/>
      <c r="AC304" s="6"/>
      <c r="AD304" s="6"/>
      <c r="AE304" s="10"/>
      <c r="AF304" s="14"/>
      <c r="AG304" s="6"/>
      <c r="AH304" s="11"/>
      <c r="AI304" s="6"/>
      <c r="AJ304" s="6"/>
      <c r="AK304" s="6"/>
      <c r="AL304" s="6"/>
      <c r="AM304" s="6"/>
      <c r="AN304" s="16"/>
      <c r="AO304" s="12"/>
      <c r="AP304" s="7"/>
      <c r="AQ304" s="6"/>
      <c r="AV304" s="3"/>
      <c r="AW304" s="3"/>
      <c r="AX304" s="3"/>
      <c r="AY304" s="3"/>
      <c r="AZ304" s="4"/>
      <c r="BA304" s="4"/>
      <c r="BB304" s="4"/>
      <c r="BC304" s="4"/>
      <c r="BD304" s="4"/>
      <c r="BE304" s="3"/>
      <c r="BF304" s="3"/>
      <c r="BG304" s="4"/>
      <c r="BH304" s="4"/>
      <c r="BI304" s="4"/>
      <c r="BJ304" s="9"/>
      <c r="BK304" s="9"/>
      <c r="BL304" s="9"/>
      <c r="BM304" s="3"/>
      <c r="BN304" s="3"/>
      <c r="BO304" s="3"/>
      <c r="BP304" s="3"/>
      <c r="BQ304" s="3"/>
      <c r="BR304" s="3"/>
      <c r="BS304" s="4"/>
      <c r="BT304" s="15"/>
      <c r="BU304" s="3"/>
      <c r="BV304" s="13"/>
      <c r="BW304" s="3"/>
      <c r="BX304" s="3"/>
      <c r="BY304" s="3"/>
      <c r="BZ304" s="3"/>
      <c r="CA304" s="3"/>
      <c r="CB304" s="10"/>
      <c r="CC304" s="10"/>
      <c r="CD304" s="4"/>
      <c r="CE304" s="3"/>
    </row>
    <row r="305" spans="1:83" x14ac:dyDescent="0.25">
      <c r="A305" s="2">
        <f t="shared" si="50"/>
        <v>10</v>
      </c>
      <c r="B305" s="2">
        <v>1</v>
      </c>
      <c r="C305" t="s">
        <v>7</v>
      </c>
      <c r="D305" s="5" t="str">
        <f t="shared" si="41"/>
        <v>p10-1-NE</v>
      </c>
      <c r="E305" s="5" t="s">
        <v>468</v>
      </c>
      <c r="F305" s="17">
        <v>44881</v>
      </c>
      <c r="G305">
        <v>22</v>
      </c>
      <c r="H305" s="3">
        <v>18</v>
      </c>
      <c r="I305" s="3">
        <f t="shared" si="43"/>
        <v>17.54</v>
      </c>
      <c r="J305" s="3">
        <f>($A$72-$A$47)*$A$75</f>
        <v>1.24</v>
      </c>
      <c r="K305" s="6">
        <f t="shared" si="44"/>
        <v>4192.1544094488181</v>
      </c>
      <c r="L305" s="4"/>
      <c r="M305" s="4"/>
      <c r="N305" s="4"/>
      <c r="O305" s="4"/>
      <c r="P305" s="7"/>
      <c r="Q305" s="6"/>
      <c r="R305" s="14"/>
      <c r="S305" s="4"/>
      <c r="T305" s="4"/>
      <c r="U305" s="4"/>
      <c r="V305" s="8"/>
      <c r="W305" s="8"/>
      <c r="X305" s="8"/>
      <c r="Y305" s="6"/>
      <c r="Z305" s="6"/>
      <c r="AA305" s="6"/>
      <c r="AB305" s="6"/>
      <c r="AC305" s="6"/>
      <c r="AD305" s="6"/>
      <c r="AE305" s="10"/>
      <c r="AF305" s="14"/>
      <c r="AG305" s="6"/>
      <c r="AH305" s="11"/>
      <c r="AI305" s="6"/>
      <c r="AJ305" s="6"/>
      <c r="AK305" s="6"/>
      <c r="AL305" s="6"/>
      <c r="AM305" s="6"/>
      <c r="AN305" s="16"/>
      <c r="AO305" s="12"/>
      <c r="AP305" s="7"/>
      <c r="AQ305" s="6"/>
      <c r="AV305" s="3"/>
      <c r="AW305" s="3"/>
      <c r="AX305" s="3"/>
      <c r="AY305" s="3"/>
      <c r="AZ305" s="4"/>
      <c r="BA305" s="4"/>
      <c r="BB305" s="4"/>
      <c r="BC305" s="4"/>
      <c r="BD305" s="4"/>
      <c r="BE305" s="3"/>
      <c r="BF305" s="3"/>
      <c r="BG305" s="4"/>
      <c r="BH305" s="4"/>
      <c r="BI305" s="4"/>
      <c r="BJ305" s="9"/>
      <c r="BK305" s="9"/>
      <c r="BL305" s="9"/>
      <c r="BM305" s="3"/>
      <c r="BN305" s="3"/>
      <c r="BO305" s="3"/>
      <c r="BP305" s="3"/>
      <c r="BQ305" s="3"/>
      <c r="BR305" s="3"/>
      <c r="BT305" s="15"/>
      <c r="BU305" s="3"/>
      <c r="BV305" s="13"/>
      <c r="BW305" s="3"/>
      <c r="BX305" s="3"/>
      <c r="BY305" s="3"/>
      <c r="BZ305" s="3"/>
      <c r="CA305" s="3"/>
      <c r="CB305" s="10"/>
      <c r="CC305" s="10"/>
      <c r="CD305" s="4"/>
      <c r="CE305" s="3"/>
    </row>
    <row r="306" spans="1:83" x14ac:dyDescent="0.25">
      <c r="A306" s="2">
        <f t="shared" si="50"/>
        <v>10</v>
      </c>
      <c r="B306" s="2">
        <v>1</v>
      </c>
      <c r="C306" t="s">
        <v>18</v>
      </c>
      <c r="D306" s="5" t="str">
        <f t="shared" si="41"/>
        <v>p10-1-ME</v>
      </c>
      <c r="E306" s="5" t="s">
        <v>468</v>
      </c>
      <c r="F306" s="17">
        <v>44881</v>
      </c>
      <c r="G306">
        <v>22</v>
      </c>
      <c r="H306" s="3">
        <v>18</v>
      </c>
      <c r="I306" s="3">
        <f t="shared" si="43"/>
        <v>17.54</v>
      </c>
      <c r="J306" s="3">
        <f>($A$72-$A$47)*$A$75</f>
        <v>1.24</v>
      </c>
      <c r="K306" s="6">
        <f t="shared" si="44"/>
        <v>4192.1544094488181</v>
      </c>
      <c r="L306" s="4">
        <v>8.91</v>
      </c>
      <c r="M306" s="4">
        <v>216.71</v>
      </c>
      <c r="N306" s="4">
        <f>M306-L306</f>
        <v>207.8</v>
      </c>
      <c r="O306" s="4">
        <v>199.32</v>
      </c>
      <c r="P306" s="7">
        <f>(N306-O306)/N306*100</f>
        <v>4.0808469682386992</v>
      </c>
      <c r="Q306" s="6">
        <f>K306*(1-P306/100)</f>
        <v>4021.0790033269413</v>
      </c>
      <c r="R306" s="14">
        <v>44882</v>
      </c>
      <c r="S306" s="4">
        <v>7.92</v>
      </c>
      <c r="T306" s="4">
        <v>3.02</v>
      </c>
      <c r="U306" s="4">
        <v>5.34</v>
      </c>
      <c r="V306" s="8">
        <f>(T306-$A$76)/(S306-$A$47*$A$48)</f>
        <v>0.36828841310913368</v>
      </c>
      <c r="W306" s="8">
        <f>(U306-$A$77)/(S306-$A$47*$A$48)</f>
        <v>0.47203162806945304</v>
      </c>
      <c r="X306" s="8">
        <f>1-V306-W306</f>
        <v>0.15967995882141323</v>
      </c>
      <c r="Y306" s="6">
        <f>K306*V306</f>
        <v>1543.9218949643628</v>
      </c>
      <c r="Z306" s="6">
        <f>K306*W306</f>
        <v>1978.829471010662</v>
      </c>
      <c r="AA306" s="6">
        <f>SUM(Y306:Z306)</f>
        <v>3522.7513659750248</v>
      </c>
      <c r="AB306" s="6">
        <f>Q306*V306</f>
        <v>1480.9168051217362</v>
      </c>
      <c r="AC306" s="6">
        <f>Q306*W306</f>
        <v>1898.0764685363097</v>
      </c>
      <c r="AD306" s="6">
        <f>SUM(AB306:AC306)</f>
        <v>3378.9932736580458</v>
      </c>
      <c r="AE306" s="10">
        <v>990131012085</v>
      </c>
      <c r="AF306" s="14">
        <v>44980</v>
      </c>
      <c r="AG306" s="6">
        <v>49.900000000000006</v>
      </c>
      <c r="AH306" s="11">
        <v>1.0649999999999999</v>
      </c>
      <c r="AI306" s="6">
        <v>79.8</v>
      </c>
      <c r="AJ306" s="6">
        <v>27.7</v>
      </c>
      <c r="AK306" s="6">
        <v>5.3</v>
      </c>
      <c r="AL306" s="6">
        <v>77.599999999999994</v>
      </c>
      <c r="AM306" s="6">
        <v>9</v>
      </c>
      <c r="AN306" s="16" t="s">
        <v>150</v>
      </c>
      <c r="AO306" s="12">
        <v>15</v>
      </c>
      <c r="AP306" s="7">
        <v>0.2</v>
      </c>
      <c r="AQ306" s="6">
        <v>9.8000000000000007</v>
      </c>
      <c r="AV306" s="3"/>
      <c r="AW306" s="3"/>
      <c r="AX306" s="3"/>
      <c r="AY306" s="3"/>
      <c r="AZ306" s="4"/>
      <c r="BA306" s="4"/>
      <c r="BB306" s="4"/>
      <c r="BC306" s="4"/>
      <c r="BD306" s="4"/>
      <c r="BE306" s="3"/>
      <c r="BF306" s="3"/>
      <c r="BG306" s="4"/>
      <c r="BH306" s="4"/>
      <c r="BI306" s="4"/>
      <c r="BJ306" s="9"/>
      <c r="BK306" s="9"/>
      <c r="BL306" s="9"/>
      <c r="BM306" s="3"/>
      <c r="BN306" s="3"/>
      <c r="BO306" s="3"/>
      <c r="BP306" s="3"/>
      <c r="BQ306" s="3"/>
      <c r="BR306" s="3"/>
      <c r="BT306" s="15"/>
      <c r="BU306" s="3"/>
      <c r="BV306" s="13"/>
      <c r="BW306" s="3"/>
      <c r="BX306" s="3"/>
      <c r="BY306" s="3"/>
      <c r="BZ306" s="3"/>
      <c r="CA306" s="3"/>
      <c r="CB306" s="10"/>
      <c r="CC306" s="10"/>
      <c r="CD306" s="4"/>
      <c r="CE306" s="3"/>
    </row>
    <row r="307" spans="1:83" x14ac:dyDescent="0.25">
      <c r="A307" s="2">
        <f t="shared" si="50"/>
        <v>10</v>
      </c>
      <c r="B307" s="2">
        <v>1</v>
      </c>
      <c r="C307" t="s">
        <v>8</v>
      </c>
      <c r="D307" s="5" t="str">
        <f t="shared" si="41"/>
        <v>p10-1-SE</v>
      </c>
      <c r="E307" s="5" t="s">
        <v>468</v>
      </c>
      <c r="F307" s="17">
        <v>44881</v>
      </c>
      <c r="G307">
        <v>22</v>
      </c>
      <c r="H307" s="3">
        <v>19.3</v>
      </c>
      <c r="I307" s="3">
        <f t="shared" si="43"/>
        <v>18.84</v>
      </c>
      <c r="J307" s="3">
        <f>($A$72-$A$47)*$A$75</f>
        <v>1.24</v>
      </c>
      <c r="K307" s="6">
        <f t="shared" si="44"/>
        <v>4482.3461417322833</v>
      </c>
      <c r="L307" s="4"/>
      <c r="M307" s="4"/>
      <c r="N307" s="4"/>
      <c r="O307" s="4"/>
      <c r="P307" s="7"/>
      <c r="Q307" s="6"/>
      <c r="R307" s="14"/>
      <c r="S307" s="4"/>
      <c r="T307" s="4"/>
      <c r="U307" s="4"/>
      <c r="V307" s="8"/>
      <c r="W307" s="8"/>
      <c r="X307" s="8"/>
      <c r="Y307" s="6"/>
      <c r="Z307" s="6"/>
      <c r="AA307" s="6"/>
      <c r="AB307" s="6"/>
      <c r="AC307" s="6"/>
      <c r="AD307" s="6"/>
      <c r="AE307" s="10"/>
      <c r="AF307" s="14"/>
      <c r="AG307" s="6"/>
      <c r="AH307" s="11"/>
      <c r="AI307" s="6"/>
      <c r="AJ307" s="6"/>
      <c r="AK307" s="6"/>
      <c r="AL307" s="6"/>
      <c r="AM307" s="6"/>
      <c r="AN307" s="16"/>
      <c r="AO307" s="12"/>
      <c r="AP307" s="7"/>
      <c r="AQ307" s="6"/>
      <c r="AV307" s="3"/>
      <c r="AW307" s="3"/>
      <c r="AX307" s="3"/>
      <c r="AY307" s="3"/>
      <c r="AZ307" s="4"/>
      <c r="BA307" s="4"/>
      <c r="BB307" s="4"/>
      <c r="BC307" s="4"/>
      <c r="BD307" s="4"/>
      <c r="BE307" s="3"/>
      <c r="BF307" s="3"/>
      <c r="BG307" s="4"/>
      <c r="BH307" s="4"/>
      <c r="BI307" s="4"/>
      <c r="BJ307" s="9"/>
      <c r="BK307" s="9"/>
      <c r="BL307" s="9"/>
      <c r="BM307" s="3"/>
      <c r="BN307" s="3"/>
      <c r="BO307" s="3"/>
      <c r="BP307" s="3"/>
      <c r="BQ307" s="3"/>
      <c r="BR307" s="3"/>
      <c r="BT307" s="15"/>
      <c r="BU307" s="3"/>
      <c r="BV307" s="13"/>
      <c r="BW307" s="3"/>
      <c r="BX307" s="3"/>
      <c r="BY307" s="3"/>
      <c r="BZ307" s="3"/>
      <c r="CA307" s="3"/>
      <c r="CB307" s="10"/>
      <c r="CC307" s="10"/>
      <c r="CD307" s="4"/>
      <c r="CE307" s="3"/>
    </row>
    <row r="308" spans="1:83" x14ac:dyDescent="0.25">
      <c r="A308" s="2">
        <f t="shared" si="50"/>
        <v>10</v>
      </c>
      <c r="B308" s="2">
        <v>2</v>
      </c>
      <c r="C308" t="s">
        <v>4</v>
      </c>
      <c r="D308" s="5" t="str">
        <f t="shared" si="41"/>
        <v>p10-2-NW</v>
      </c>
      <c r="E308" s="5" t="s">
        <v>468</v>
      </c>
      <c r="F308" s="17">
        <v>44881</v>
      </c>
      <c r="G308">
        <v>10</v>
      </c>
      <c r="H308" s="3">
        <v>25.4</v>
      </c>
      <c r="I308" s="3">
        <f t="shared" si="43"/>
        <v>24.939999999999998</v>
      </c>
      <c r="J308" s="3">
        <f>($A$60-$A$47)*$A$75</f>
        <v>0.84624999999999995</v>
      </c>
      <c r="K308" s="6">
        <f t="shared" si="44"/>
        <v>5756.1204281496057</v>
      </c>
      <c r="L308" s="4"/>
      <c r="M308" s="4"/>
      <c r="N308" s="4"/>
      <c r="O308" s="4"/>
      <c r="P308" s="7"/>
      <c r="Q308" s="6"/>
      <c r="R308" s="14"/>
      <c r="S308" s="4"/>
      <c r="T308" s="4"/>
      <c r="U308" s="4"/>
      <c r="V308" s="8"/>
      <c r="W308" s="8"/>
      <c r="X308" s="8"/>
      <c r="Y308" s="6"/>
      <c r="Z308" s="6"/>
      <c r="AA308" s="6"/>
      <c r="AB308" s="6"/>
      <c r="AC308" s="6"/>
      <c r="AD308" s="6"/>
      <c r="AE308" s="10"/>
      <c r="AF308" s="14"/>
      <c r="AG308" s="6"/>
      <c r="AH308" s="11"/>
      <c r="AI308" s="6"/>
      <c r="AJ308" s="6"/>
      <c r="AK308" s="6"/>
      <c r="AL308" s="6"/>
      <c r="AM308" s="6"/>
      <c r="AN308" s="16"/>
      <c r="AO308" s="12"/>
      <c r="AP308" s="7"/>
      <c r="AQ308" s="6"/>
      <c r="AS308" t="s">
        <v>123</v>
      </c>
      <c r="AT308" s="4" t="str">
        <f>E308</f>
        <v>Machine</v>
      </c>
      <c r="AU308" s="15">
        <f>F308</f>
        <v>44881</v>
      </c>
      <c r="AV308" s="3">
        <f>SUM(H308:H313)</f>
        <v>154.50000000000003</v>
      </c>
      <c r="AW308" s="3">
        <f>AV308-6*$A$47</f>
        <v>151.74000000000004</v>
      </c>
      <c r="AX308" s="3">
        <f>SUM(J308:J313)</f>
        <v>6.25875</v>
      </c>
      <c r="AY308" s="3">
        <f>(AW308+AX308)*$A$48/(6*$A$49)*$A$50</f>
        <v>5878.1962770669306</v>
      </c>
      <c r="AZ308" s="4">
        <f>SUM(L308:L313)</f>
        <v>17.310000000000002</v>
      </c>
      <c r="BA308" s="4">
        <f>SUM(M308:M313)</f>
        <v>332.15999999999997</v>
      </c>
      <c r="BB308" s="4">
        <f>BA308-AZ308</f>
        <v>314.84999999999997</v>
      </c>
      <c r="BC308" s="4">
        <f>SUM(O308:O313)</f>
        <v>297.06</v>
      </c>
      <c r="BD308" s="4">
        <f>(BB308-BC308)/BB308*100</f>
        <v>5.6503096712720229</v>
      </c>
      <c r="BE308" s="3">
        <f>AY308*(1-BD308/100)</f>
        <v>5546.0599843274658</v>
      </c>
      <c r="BF308" s="15">
        <f>R309</f>
        <v>44882</v>
      </c>
      <c r="BG308" s="4">
        <f>SUM(S308:S313)</f>
        <v>23.119999999999997</v>
      </c>
      <c r="BH308" s="4">
        <f>SUM(T308:T313)</f>
        <v>8.5799999999999983</v>
      </c>
      <c r="BI308" s="4">
        <f>SUM(U308:U313)</f>
        <v>14.739999999999998</v>
      </c>
      <c r="BJ308" s="9">
        <f>(BH308-2*$A$76)/(BG308-2*$A$47*$A$48)</f>
        <v>0.36207154567571137</v>
      </c>
      <c r="BK308" s="9">
        <f>(BI308-2*$A$77)/(BG308-2*$A$47*$A$48)</f>
        <v>0.49950016155262367</v>
      </c>
      <c r="BL308" s="9">
        <f>1-BJ308-BK308</f>
        <v>0.13842829277166502</v>
      </c>
      <c r="BM308" s="3">
        <f>AY308*BJ308</f>
        <v>2128.3276118228355</v>
      </c>
      <c r="BN308" s="3">
        <f>AY308*BK308</f>
        <v>2936.1599900329629</v>
      </c>
      <c r="BO308" s="3">
        <f>SUM(BM308:BN308)</f>
        <v>5064.4876018557989</v>
      </c>
      <c r="BP308" s="3">
        <f>BE308*BJ308</f>
        <v>2008.0705109356572</v>
      </c>
      <c r="BQ308" s="3">
        <f>BE308*BK308</f>
        <v>2770.2578581521107</v>
      </c>
      <c r="BR308" s="3">
        <f>SUM(BP308:BQ308)</f>
        <v>4778.3283690877679</v>
      </c>
      <c r="BS308" s="3"/>
      <c r="BT308" s="15">
        <f>AF309</f>
        <v>44980</v>
      </c>
      <c r="BU308" s="3">
        <f t="shared" ref="BU308:CA308" si="51">AVERAGE(AG308:AG313)</f>
        <v>46.7</v>
      </c>
      <c r="BV308" s="13">
        <f t="shared" si="51"/>
        <v>1.1125</v>
      </c>
      <c r="BW308" s="3">
        <f t="shared" si="51"/>
        <v>80.95</v>
      </c>
      <c r="BX308" s="3">
        <f t="shared" si="51"/>
        <v>29.85</v>
      </c>
      <c r="BY308" s="3">
        <f t="shared" si="51"/>
        <v>5.45</v>
      </c>
      <c r="BZ308" s="3">
        <f t="shared" si="51"/>
        <v>79.45</v>
      </c>
      <c r="CA308" s="3">
        <f t="shared" si="51"/>
        <v>8.35</v>
      </c>
      <c r="CB308" s="13"/>
      <c r="CC308" s="10">
        <f>AVERAGE(AO308:AO313)</f>
        <v>13</v>
      </c>
      <c r="CD308" s="4">
        <f>AVERAGE(AP308:AP313)</f>
        <v>0.18</v>
      </c>
      <c r="CE308" s="3">
        <f>AVERAGE(AQ308:AQ313)</f>
        <v>9.0500000000000007</v>
      </c>
    </row>
    <row r="309" spans="1:83" x14ac:dyDescent="0.25">
      <c r="A309" s="2">
        <f t="shared" si="50"/>
        <v>10</v>
      </c>
      <c r="B309" s="2">
        <v>2</v>
      </c>
      <c r="C309" t="s">
        <v>5</v>
      </c>
      <c r="D309" s="5" t="str">
        <f t="shared" si="41"/>
        <v>p10-2-MW</v>
      </c>
      <c r="E309" s="5" t="s">
        <v>468</v>
      </c>
      <c r="F309" s="17">
        <v>44881</v>
      </c>
      <c r="G309">
        <v>10</v>
      </c>
      <c r="H309" s="3">
        <v>24.5</v>
      </c>
      <c r="I309" s="3">
        <f t="shared" si="43"/>
        <v>24.04</v>
      </c>
      <c r="J309" s="3">
        <f>($A$60-$A$47)*$A$75</f>
        <v>0.84624999999999995</v>
      </c>
      <c r="K309" s="6">
        <f t="shared" si="44"/>
        <v>5555.2184596456691</v>
      </c>
      <c r="L309" s="4">
        <v>8.5500000000000007</v>
      </c>
      <c r="M309" s="4">
        <v>161.96</v>
      </c>
      <c r="N309" s="4">
        <f>M309-L309</f>
        <v>153.41</v>
      </c>
      <c r="O309" s="4">
        <v>144.76</v>
      </c>
      <c r="P309" s="7">
        <f>(N309-O309)/N309*100</f>
        <v>5.6384851052734541</v>
      </c>
      <c r="Q309" s="6">
        <f>K309*(1-P309/100)</f>
        <v>5241.9882942331469</v>
      </c>
      <c r="R309" s="14">
        <v>44882</v>
      </c>
      <c r="S309" s="4">
        <v>10.93</v>
      </c>
      <c r="T309" s="4">
        <v>4.0199999999999996</v>
      </c>
      <c r="U309" s="4">
        <v>7.18</v>
      </c>
      <c r="V309" s="8">
        <f>(T309-$A$76)/(S309-$A$47*$A$48)</f>
        <v>0.35816392813781034</v>
      </c>
      <c r="W309" s="8">
        <f>(U309-$A$77)/(S309-$A$47*$A$48)</f>
        <v>0.51112977244666691</v>
      </c>
      <c r="X309" s="8">
        <f>1-V309-W309</f>
        <v>0.1307062994155227</v>
      </c>
      <c r="Y309" s="6">
        <f>K309*V309</f>
        <v>1989.6788651703689</v>
      </c>
      <c r="Z309" s="6">
        <f>K309*W309</f>
        <v>2839.4375471702142</v>
      </c>
      <c r="AA309" s="6">
        <f>SUM(Y309:Z309)</f>
        <v>4829.1164123405833</v>
      </c>
      <c r="AB309" s="6">
        <f>Q309*V309</f>
        <v>1877.4911187149639</v>
      </c>
      <c r="AC309" s="6">
        <f>Q309*W309</f>
        <v>2679.3362839994802</v>
      </c>
      <c r="AD309" s="6">
        <f>SUM(AB309:AC309)</f>
        <v>4556.8274027144444</v>
      </c>
      <c r="AE309" s="10">
        <v>990131021038</v>
      </c>
      <c r="AF309" s="14">
        <v>44980</v>
      </c>
      <c r="AG309" s="6">
        <v>46.6</v>
      </c>
      <c r="AH309" s="11">
        <v>1.0960000000000001</v>
      </c>
      <c r="AI309" s="6">
        <v>81</v>
      </c>
      <c r="AJ309" s="6">
        <v>29.6</v>
      </c>
      <c r="AK309" s="6">
        <v>5.4</v>
      </c>
      <c r="AL309" s="6">
        <v>80</v>
      </c>
      <c r="AM309" s="6">
        <v>8.6999999999999993</v>
      </c>
      <c r="AN309" s="16" t="s">
        <v>148</v>
      </c>
      <c r="AO309" s="12">
        <v>9</v>
      </c>
      <c r="AP309" s="7">
        <v>0.1</v>
      </c>
      <c r="AQ309" s="6">
        <v>9.3000000000000007</v>
      </c>
      <c r="AV309" s="3"/>
      <c r="AW309" s="3"/>
      <c r="AX309" s="3"/>
      <c r="AY309" s="3"/>
      <c r="AZ309" s="4"/>
      <c r="BA309" s="4"/>
      <c r="BB309" s="4"/>
      <c r="BC309" s="4"/>
      <c r="BD309" s="4"/>
      <c r="BE309" s="3"/>
      <c r="BF309" s="3"/>
      <c r="BG309" s="4"/>
      <c r="BH309" s="4"/>
      <c r="BI309" s="4"/>
      <c r="BJ309" s="9"/>
      <c r="BK309" s="9"/>
      <c r="BL309" s="9"/>
      <c r="BM309" s="3"/>
      <c r="BN309" s="3"/>
      <c r="BO309" s="3"/>
      <c r="BP309" s="3"/>
      <c r="BQ309" s="3"/>
      <c r="BR309" s="3"/>
      <c r="BT309" s="15"/>
      <c r="BU309" s="3"/>
      <c r="BV309" s="13"/>
      <c r="BW309" s="3"/>
      <c r="BX309" s="3"/>
      <c r="BY309" s="3"/>
      <c r="BZ309" s="3"/>
      <c r="CA309" s="3"/>
      <c r="CB309" s="10"/>
      <c r="CC309" s="10"/>
      <c r="CD309" s="4"/>
      <c r="CE309" s="3"/>
    </row>
    <row r="310" spans="1:83" x14ac:dyDescent="0.25">
      <c r="A310" s="2">
        <f t="shared" si="50"/>
        <v>10</v>
      </c>
      <c r="B310" s="2">
        <v>2</v>
      </c>
      <c r="C310" t="s">
        <v>6</v>
      </c>
      <c r="D310" s="5" t="str">
        <f t="shared" si="41"/>
        <v>p10-2-SW</v>
      </c>
      <c r="E310" s="5" t="s">
        <v>468</v>
      </c>
      <c r="F310" s="17">
        <v>44881</v>
      </c>
      <c r="G310">
        <v>10</v>
      </c>
      <c r="H310" s="3">
        <v>24.5</v>
      </c>
      <c r="I310" s="3">
        <f t="shared" si="43"/>
        <v>24.04</v>
      </c>
      <c r="J310" s="3">
        <f>($A$60-$A$47)*$A$75</f>
        <v>0.84624999999999995</v>
      </c>
      <c r="K310" s="6">
        <f t="shared" si="44"/>
        <v>5555.2184596456691</v>
      </c>
      <c r="L310" s="4"/>
      <c r="M310" s="4"/>
      <c r="N310" s="4"/>
      <c r="O310" s="4"/>
      <c r="P310" s="7"/>
      <c r="Q310" s="6"/>
      <c r="R310" s="14"/>
      <c r="S310" s="4"/>
      <c r="T310" s="4"/>
      <c r="U310" s="4"/>
      <c r="V310" s="8"/>
      <c r="W310" s="8"/>
      <c r="X310" s="8"/>
      <c r="Y310" s="6"/>
      <c r="Z310" s="6"/>
      <c r="AA310" s="6"/>
      <c r="AB310" s="6"/>
      <c r="AC310" s="6"/>
      <c r="AD310" s="6"/>
      <c r="AE310" s="10"/>
      <c r="AF310" s="14"/>
      <c r="AG310" s="6"/>
      <c r="AH310" s="11"/>
      <c r="AI310" s="6"/>
      <c r="AJ310" s="6"/>
      <c r="AK310" s="6"/>
      <c r="AL310" s="6"/>
      <c r="AM310" s="6"/>
      <c r="AN310" s="16"/>
      <c r="AO310" s="12"/>
      <c r="AP310" s="7"/>
      <c r="AQ310" s="6"/>
      <c r="AV310" s="3"/>
      <c r="AW310" s="3"/>
      <c r="AX310" s="3"/>
      <c r="AY310" s="3"/>
      <c r="AZ310" s="4"/>
      <c r="BA310" s="4"/>
      <c r="BB310" s="4"/>
      <c r="BC310" s="4"/>
      <c r="BD310" s="4"/>
      <c r="BE310" s="3"/>
      <c r="BF310" s="3"/>
      <c r="BG310" s="4"/>
      <c r="BH310" s="4"/>
      <c r="BI310" s="4"/>
      <c r="BJ310" s="9"/>
      <c r="BK310" s="9"/>
      <c r="BL310" s="9"/>
      <c r="BM310" s="3"/>
      <c r="BN310" s="3"/>
      <c r="BO310" s="3"/>
      <c r="BP310" s="3"/>
      <c r="BQ310" s="3"/>
      <c r="BR310" s="3"/>
      <c r="BT310" s="15"/>
      <c r="BU310" s="3"/>
      <c r="BV310" s="13"/>
      <c r="BW310" s="3"/>
      <c r="BX310" s="3"/>
      <c r="BY310" s="3"/>
      <c r="BZ310" s="3"/>
      <c r="CA310" s="3"/>
      <c r="CB310" s="10"/>
      <c r="CC310" s="10"/>
      <c r="CD310" s="4"/>
      <c r="CE310" s="3"/>
    </row>
    <row r="311" spans="1:83" x14ac:dyDescent="0.25">
      <c r="A311" s="2">
        <f t="shared" si="50"/>
        <v>10</v>
      </c>
      <c r="B311" s="2">
        <v>2</v>
      </c>
      <c r="C311" t="s">
        <v>7</v>
      </c>
      <c r="D311" s="5" t="str">
        <f t="shared" si="41"/>
        <v>p10-2-NE</v>
      </c>
      <c r="E311" s="5" t="s">
        <v>468</v>
      </c>
      <c r="F311" s="17">
        <v>44881</v>
      </c>
      <c r="G311">
        <v>22</v>
      </c>
      <c r="H311" s="3">
        <v>26.5</v>
      </c>
      <c r="I311" s="3">
        <f t="shared" si="43"/>
        <v>26.04</v>
      </c>
      <c r="J311" s="3">
        <f>($A$72-$A$47)*$A$75</f>
        <v>1.24</v>
      </c>
      <c r="K311" s="6">
        <f t="shared" si="44"/>
        <v>6089.5618897637796</v>
      </c>
      <c r="L311" s="4"/>
      <c r="M311" s="4"/>
      <c r="N311" s="4"/>
      <c r="O311" s="4"/>
      <c r="P311" s="7"/>
      <c r="Q311" s="6"/>
      <c r="R311" s="14"/>
      <c r="S311" s="4"/>
      <c r="T311" s="4"/>
      <c r="U311" s="4"/>
      <c r="V311" s="8"/>
      <c r="W311" s="8"/>
      <c r="X311" s="8"/>
      <c r="Y311" s="6"/>
      <c r="Z311" s="6"/>
      <c r="AA311" s="6"/>
      <c r="AB311" s="6"/>
      <c r="AC311" s="6"/>
      <c r="AD311" s="6"/>
      <c r="AE311" s="10"/>
      <c r="AF311" s="14"/>
      <c r="AG311" s="6"/>
      <c r="AH311" s="11"/>
      <c r="AI311" s="6"/>
      <c r="AJ311" s="6"/>
      <c r="AK311" s="6"/>
      <c r="AL311" s="6"/>
      <c r="AM311" s="6"/>
      <c r="AN311" s="16"/>
      <c r="AO311" s="12"/>
      <c r="AP311" s="7"/>
      <c r="AQ311" s="6"/>
      <c r="AV311" s="3"/>
      <c r="AW311" s="3"/>
      <c r="AX311" s="3"/>
      <c r="AY311" s="3"/>
      <c r="AZ311" s="4"/>
      <c r="BA311" s="4"/>
      <c r="BB311" s="4"/>
      <c r="BC311" s="4"/>
      <c r="BD311" s="4"/>
      <c r="BE311" s="3"/>
      <c r="BF311" s="3"/>
      <c r="BG311" s="4"/>
      <c r="BH311" s="4"/>
      <c r="BI311" s="4"/>
      <c r="BJ311" s="9"/>
      <c r="BK311" s="9"/>
      <c r="BL311" s="9"/>
      <c r="BM311" s="3"/>
      <c r="BN311" s="3"/>
      <c r="BO311" s="3"/>
      <c r="BP311" s="3"/>
      <c r="BQ311" s="3"/>
      <c r="BR311" s="3"/>
      <c r="BT311" s="15"/>
      <c r="BU311" s="3"/>
      <c r="BV311" s="13"/>
      <c r="BW311" s="3"/>
      <c r="BX311" s="3"/>
      <c r="BY311" s="3"/>
      <c r="BZ311" s="3"/>
      <c r="CA311" s="3"/>
      <c r="CB311" s="10"/>
      <c r="CC311" s="10"/>
      <c r="CD311" s="4"/>
      <c r="CE311" s="3"/>
    </row>
    <row r="312" spans="1:83" x14ac:dyDescent="0.25">
      <c r="A312" s="2">
        <f t="shared" si="50"/>
        <v>10</v>
      </c>
      <c r="B312" s="2">
        <v>2</v>
      </c>
      <c r="C312" t="s">
        <v>18</v>
      </c>
      <c r="D312" s="5" t="str">
        <f t="shared" si="41"/>
        <v>p10-2-ME</v>
      </c>
      <c r="E312" s="5" t="s">
        <v>468</v>
      </c>
      <c r="F312" s="17">
        <v>44881</v>
      </c>
      <c r="G312">
        <v>22</v>
      </c>
      <c r="H312" s="3">
        <v>27.3</v>
      </c>
      <c r="I312" s="3">
        <f t="shared" si="43"/>
        <v>26.84</v>
      </c>
      <c r="J312" s="3">
        <f>($A$72-$A$47)*$A$75</f>
        <v>1.24</v>
      </c>
      <c r="K312" s="6">
        <f t="shared" si="44"/>
        <v>6268.1414173228341</v>
      </c>
      <c r="L312" s="4">
        <v>8.76</v>
      </c>
      <c r="M312" s="4">
        <v>170.2</v>
      </c>
      <c r="N312" s="4">
        <f>M312-L312</f>
        <v>161.44</v>
      </c>
      <c r="O312" s="4">
        <v>152.30000000000001</v>
      </c>
      <c r="P312" s="7">
        <f>(N312-O312)/N312*100</f>
        <v>5.6615460852328958</v>
      </c>
      <c r="Q312" s="6">
        <f>K312*(1-P312/100)</f>
        <v>5913.2677022935313</v>
      </c>
      <c r="R312" s="14">
        <v>44882</v>
      </c>
      <c r="S312" s="4">
        <v>12.19</v>
      </c>
      <c r="T312" s="4">
        <v>4.5599999999999996</v>
      </c>
      <c r="U312" s="4">
        <v>7.56</v>
      </c>
      <c r="V312" s="8">
        <f>(T312-$A$76)/(S312-$A$47*$A$48)</f>
        <v>0.3655682246256291</v>
      </c>
      <c r="W312" s="8">
        <f>(U312-$A$77)/(S312-$A$47*$A$48)</f>
        <v>0.48909356080049921</v>
      </c>
      <c r="X312" s="8">
        <f>1-V312-W312</f>
        <v>0.14533821457387169</v>
      </c>
      <c r="Y312" s="6">
        <f>K312*V312</f>
        <v>2291.4333296330828</v>
      </c>
      <c r="Z312" s="6">
        <f>K312*W312</f>
        <v>3065.7076053995129</v>
      </c>
      <c r="AA312" s="6">
        <f>SUM(Y312:Z312)</f>
        <v>5357.1409350325957</v>
      </c>
      <c r="AB312" s="6">
        <f>Q312*V312</f>
        <v>2161.7027756635193</v>
      </c>
      <c r="AC312" s="6">
        <f>Q312*W312</f>
        <v>2892.1411564813293</v>
      </c>
      <c r="AD312" s="6">
        <f>SUM(AB312:AC312)</f>
        <v>5053.8439321448486</v>
      </c>
      <c r="AE312" s="10">
        <v>990131022086</v>
      </c>
      <c r="AF312" s="14">
        <v>44980</v>
      </c>
      <c r="AG312" s="6">
        <v>46.8</v>
      </c>
      <c r="AH312" s="11">
        <v>1.129</v>
      </c>
      <c r="AI312" s="6">
        <v>80.900000000000006</v>
      </c>
      <c r="AJ312" s="6">
        <v>30.1</v>
      </c>
      <c r="AK312" s="6">
        <v>5.5</v>
      </c>
      <c r="AL312" s="6">
        <v>78.900000000000006</v>
      </c>
      <c r="AM312" s="6">
        <v>8</v>
      </c>
      <c r="AN312" s="16" t="s">
        <v>149</v>
      </c>
      <c r="AO312" s="12">
        <v>17</v>
      </c>
      <c r="AP312" s="7">
        <v>0.26</v>
      </c>
      <c r="AQ312" s="6">
        <v>8.8000000000000007</v>
      </c>
      <c r="AV312" s="3"/>
      <c r="AW312" s="3"/>
      <c r="AX312" s="3"/>
      <c r="AY312" s="3"/>
      <c r="AZ312" s="4"/>
      <c r="BA312" s="4"/>
      <c r="BB312" s="4"/>
      <c r="BC312" s="4"/>
      <c r="BD312" s="4"/>
      <c r="BE312" s="3"/>
      <c r="BF312" s="3"/>
      <c r="BG312" s="4"/>
      <c r="BH312" s="4"/>
      <c r="BI312" s="4"/>
      <c r="BJ312" s="9"/>
      <c r="BK312" s="9"/>
      <c r="BL312" s="9"/>
      <c r="BM312" s="3"/>
      <c r="BN312" s="3"/>
      <c r="BO312" s="3"/>
      <c r="BP312" s="3"/>
      <c r="BQ312" s="3"/>
      <c r="BR312" s="3"/>
      <c r="BT312" s="15"/>
      <c r="BU312" s="3"/>
      <c r="BV312" s="13"/>
      <c r="BW312" s="3"/>
      <c r="BX312" s="3"/>
      <c r="BY312" s="3"/>
      <c r="BZ312" s="3"/>
      <c r="CA312" s="3"/>
      <c r="CB312" s="10"/>
      <c r="CC312" s="10"/>
      <c r="CD312" s="4"/>
      <c r="CE312" s="3"/>
    </row>
    <row r="313" spans="1:83" x14ac:dyDescent="0.25">
      <c r="A313" s="2">
        <f t="shared" si="50"/>
        <v>10</v>
      </c>
      <c r="B313" s="2">
        <v>2</v>
      </c>
      <c r="C313" t="s">
        <v>8</v>
      </c>
      <c r="D313" s="5" t="str">
        <f t="shared" si="41"/>
        <v>p10-2-SE</v>
      </c>
      <c r="E313" s="5" t="s">
        <v>468</v>
      </c>
      <c r="F313" s="17">
        <v>44881</v>
      </c>
      <c r="G313">
        <v>22</v>
      </c>
      <c r="H313" s="3">
        <v>26.3</v>
      </c>
      <c r="I313" s="3">
        <f t="shared" si="43"/>
        <v>25.84</v>
      </c>
      <c r="J313" s="3">
        <f>($A$72-$A$47)*$A$75</f>
        <v>1.24</v>
      </c>
      <c r="K313" s="6">
        <f t="shared" si="44"/>
        <v>6044.9170078740153</v>
      </c>
      <c r="L313" s="4"/>
      <c r="M313" s="4"/>
      <c r="N313" s="4"/>
      <c r="O313" s="4"/>
      <c r="P313" s="7"/>
      <c r="Q313" s="6"/>
      <c r="R313" s="14"/>
      <c r="S313" s="4"/>
      <c r="T313" s="4"/>
      <c r="U313" s="4"/>
      <c r="V313" s="8"/>
      <c r="W313" s="8"/>
      <c r="X313" s="8"/>
      <c r="Y313" s="6"/>
      <c r="Z313" s="6"/>
      <c r="AA313" s="6"/>
      <c r="AB313" s="6"/>
      <c r="AC313" s="6"/>
      <c r="AD313" s="6"/>
      <c r="AE313" s="10"/>
      <c r="AF313" s="14"/>
      <c r="AG313" s="6"/>
      <c r="AH313" s="11"/>
      <c r="AI313" s="6"/>
      <c r="AJ313" s="6"/>
      <c r="AK313" s="6"/>
      <c r="AL313" s="6"/>
      <c r="AM313" s="6"/>
      <c r="AN313" s="16"/>
      <c r="AO313" s="12"/>
      <c r="AP313" s="7"/>
      <c r="AQ313" s="6"/>
      <c r="AV313" s="3"/>
      <c r="AW313" s="3"/>
      <c r="AX313" s="3"/>
      <c r="AY313" s="3"/>
      <c r="AZ313" s="4"/>
      <c r="BA313" s="4"/>
      <c r="BB313" s="4"/>
      <c r="BC313" s="4"/>
      <c r="BD313" s="4"/>
      <c r="BE313" s="3"/>
      <c r="BF313" s="3"/>
      <c r="BG313" s="4"/>
      <c r="BH313" s="4"/>
      <c r="BI313" s="4"/>
      <c r="BJ313" s="9"/>
      <c r="BK313" s="9"/>
      <c r="BL313" s="9"/>
      <c r="BM313" s="3"/>
      <c r="BN313" s="3"/>
      <c r="BO313" s="3"/>
      <c r="BP313" s="3"/>
      <c r="BQ313" s="3"/>
      <c r="BR313" s="3"/>
      <c r="BT313" s="15"/>
      <c r="BU313" s="3"/>
      <c r="BV313" s="13"/>
      <c r="BW313" s="3"/>
      <c r="BX313" s="3"/>
      <c r="BY313" s="3"/>
      <c r="BZ313" s="3"/>
      <c r="CA313" s="3"/>
      <c r="CB313" s="10"/>
      <c r="CC313" s="10"/>
      <c r="CD313" s="4"/>
      <c r="CE313" s="3"/>
    </row>
    <row r="314" spans="1:83" x14ac:dyDescent="0.25">
      <c r="A314" s="2">
        <f t="shared" si="50"/>
        <v>10</v>
      </c>
      <c r="B314" s="2">
        <v>3</v>
      </c>
      <c r="C314" t="s">
        <v>4</v>
      </c>
      <c r="D314" s="5" t="str">
        <f t="shared" si="41"/>
        <v>p10-3-NW</v>
      </c>
      <c r="E314" s="5" t="s">
        <v>468</v>
      </c>
      <c r="F314" s="17">
        <v>44881</v>
      </c>
      <c r="G314">
        <v>10</v>
      </c>
      <c r="H314" s="3">
        <v>23.2</v>
      </c>
      <c r="I314" s="3">
        <f t="shared" si="43"/>
        <v>22.74</v>
      </c>
      <c r="J314" s="3">
        <f>($A$60-$A$47)*$A$75</f>
        <v>0.84624999999999995</v>
      </c>
      <c r="K314" s="6">
        <f t="shared" si="44"/>
        <v>5265.0267273622039</v>
      </c>
      <c r="L314" s="4"/>
      <c r="M314" s="4"/>
      <c r="N314" s="4"/>
      <c r="O314" s="4"/>
      <c r="P314" s="7"/>
      <c r="Q314" s="6"/>
      <c r="R314" s="14"/>
      <c r="S314" s="4"/>
      <c r="T314" s="4"/>
      <c r="U314" s="4"/>
      <c r="V314" s="8"/>
      <c r="W314" s="8"/>
      <c r="X314" s="8"/>
      <c r="Y314" s="6"/>
      <c r="Z314" s="6"/>
      <c r="AA314" s="6"/>
      <c r="AB314" s="6"/>
      <c r="AC314" s="6"/>
      <c r="AD314" s="6"/>
      <c r="AE314" s="10"/>
      <c r="AF314" s="14"/>
      <c r="AG314" s="6"/>
      <c r="AH314" s="11"/>
      <c r="AI314" s="6"/>
      <c r="AJ314" s="6"/>
      <c r="AK314" s="6"/>
      <c r="AL314" s="6"/>
      <c r="AM314" s="6"/>
      <c r="AN314" s="16"/>
      <c r="AO314" s="12"/>
      <c r="AP314" s="7"/>
      <c r="AQ314" s="6"/>
      <c r="AS314" t="s">
        <v>124</v>
      </c>
      <c r="AT314" s="4" t="str">
        <f>E314</f>
        <v>Machine</v>
      </c>
      <c r="AU314" s="15">
        <f>F314</f>
        <v>44881</v>
      </c>
      <c r="AV314" s="3">
        <f>SUM(H314:H319)</f>
        <v>134.5</v>
      </c>
      <c r="AW314" s="3">
        <f>AV314-6*$A$47</f>
        <v>131.74</v>
      </c>
      <c r="AX314" s="3">
        <f>SUM(J314:J319)</f>
        <v>6.25875</v>
      </c>
      <c r="AY314" s="3">
        <f>(AW314+AX314)*$A$48/(6*$A$49)*$A$50</f>
        <v>5134.1149122375327</v>
      </c>
      <c r="AZ314" s="4">
        <f>SUM(L314:L319)</f>
        <v>17.23</v>
      </c>
      <c r="BA314" s="4">
        <f>SUM(M314:M319)</f>
        <v>325.27999999999997</v>
      </c>
      <c r="BB314" s="4">
        <f>BA314-AZ314</f>
        <v>308.04999999999995</v>
      </c>
      <c r="BC314" s="4">
        <f>SUM(O314:O319)</f>
        <v>294.62</v>
      </c>
      <c r="BD314" s="4">
        <f>(BB314-BC314)/BB314*100</f>
        <v>4.3596818698263116</v>
      </c>
      <c r="BE314" s="3">
        <f>AY314*(1-BD314/100)</f>
        <v>4910.2838352326635</v>
      </c>
      <c r="BF314" s="15">
        <f>R315</f>
        <v>44882</v>
      </c>
      <c r="BG314" s="4">
        <f>SUM(S314:S319)</f>
        <v>20.03</v>
      </c>
      <c r="BH314" s="4">
        <f>SUM(T314:T319)</f>
        <v>7.68</v>
      </c>
      <c r="BI314" s="4">
        <f>SUM(U314:U319)</f>
        <v>13.379999999999999</v>
      </c>
      <c r="BJ314" s="9">
        <f>(BH314-2*$A$76)/(BG314-2*$A$47*$A$48)</f>
        <v>0.37322763983420171</v>
      </c>
      <c r="BK314" s="9">
        <f>(BI314-2*$A$77)/(BG314-2*$A$47*$A$48)</f>
        <v>0.50885407726029142</v>
      </c>
      <c r="BL314" s="9">
        <f>1-BJ314-BK314</f>
        <v>0.11791828290550688</v>
      </c>
      <c r="BM314" s="3">
        <f>AY314*BJ314</f>
        <v>1916.193591331994</v>
      </c>
      <c r="BN314" s="3">
        <f>AY314*BK314</f>
        <v>2612.5153062149316</v>
      </c>
      <c r="BO314" s="3">
        <f>SUM(BM314:BN314)</f>
        <v>4528.7088975469251</v>
      </c>
      <c r="BP314" s="3">
        <f>BE314*BJ314</f>
        <v>1832.6536467399192</v>
      </c>
      <c r="BQ314" s="3">
        <f>BE314*BK314</f>
        <v>2498.6179500634416</v>
      </c>
      <c r="BR314" s="3">
        <f>SUM(BP314:BQ314)</f>
        <v>4331.2715968033608</v>
      </c>
      <c r="BS314" s="3"/>
      <c r="BT314" s="15">
        <f>AF315</f>
        <v>44980</v>
      </c>
      <c r="BU314" s="3">
        <f t="shared" ref="BU314:CA314" si="52">AVERAGE(AG314:AG319)</f>
        <v>47.55</v>
      </c>
      <c r="BV314" s="13">
        <f t="shared" si="52"/>
        <v>1.097</v>
      </c>
      <c r="BW314" s="3">
        <f t="shared" si="52"/>
        <v>80.5</v>
      </c>
      <c r="BX314" s="3">
        <f t="shared" si="52"/>
        <v>29.2</v>
      </c>
      <c r="BY314" s="3">
        <f t="shared" si="52"/>
        <v>5.4</v>
      </c>
      <c r="BZ314" s="3">
        <f t="shared" si="52"/>
        <v>79.099999999999994</v>
      </c>
      <c r="CA314" s="3">
        <f t="shared" si="52"/>
        <v>9.15</v>
      </c>
      <c r="CB314" s="13"/>
      <c r="CC314" s="10">
        <f>AVERAGE(AO314:AO319)</f>
        <v>12.5</v>
      </c>
      <c r="CD314" s="4">
        <f>AVERAGE(AP314:AP319)</f>
        <v>0.22499999999999998</v>
      </c>
      <c r="CE314" s="3">
        <f>AVERAGE(AQ314:AQ319)</f>
        <v>9.25</v>
      </c>
    </row>
    <row r="315" spans="1:83" x14ac:dyDescent="0.25">
      <c r="A315" s="2">
        <f t="shared" si="50"/>
        <v>10</v>
      </c>
      <c r="B315" s="2">
        <v>3</v>
      </c>
      <c r="C315" t="s">
        <v>5</v>
      </c>
      <c r="D315" s="5" t="str">
        <f t="shared" si="41"/>
        <v>p10-3-MW</v>
      </c>
      <c r="E315" s="5" t="s">
        <v>468</v>
      </c>
      <c r="F315" s="17">
        <v>44881</v>
      </c>
      <c r="G315">
        <v>10</v>
      </c>
      <c r="H315" s="3">
        <v>23.8</v>
      </c>
      <c r="I315" s="3">
        <f t="shared" si="43"/>
        <v>23.34</v>
      </c>
      <c r="J315" s="3">
        <f>($A$60-$A$47)*$A$75</f>
        <v>0.84624999999999995</v>
      </c>
      <c r="K315" s="6">
        <f t="shared" si="44"/>
        <v>5398.9613730314959</v>
      </c>
      <c r="L315" s="4">
        <v>8.49</v>
      </c>
      <c r="M315" s="4">
        <v>147.09</v>
      </c>
      <c r="N315" s="4">
        <f>M315-L315</f>
        <v>138.6</v>
      </c>
      <c r="O315" s="4">
        <v>131.81</v>
      </c>
      <c r="P315" s="7">
        <f>(N315-O315)/N315*100</f>
        <v>4.8989898989898935</v>
      </c>
      <c r="Q315" s="6">
        <f>K315*(1-P315/100)</f>
        <v>5134.4668007163173</v>
      </c>
      <c r="R315" s="14">
        <v>44882</v>
      </c>
      <c r="S315" s="4">
        <v>10.62</v>
      </c>
      <c r="T315" s="4">
        <v>4.0199999999999996</v>
      </c>
      <c r="U315" s="4">
        <v>7.06</v>
      </c>
      <c r="V315" s="8">
        <f>(T315-$A$76)/(S315-$A$47*$A$48)</f>
        <v>0.36882833212616334</v>
      </c>
      <c r="W315" s="8">
        <f>(U315-$A$77)/(S315-$A$47*$A$48)</f>
        <v>0.51482288025943634</v>
      </c>
      <c r="X315" s="8">
        <f>1-V315-W315</f>
        <v>0.11634878761440026</v>
      </c>
      <c r="Y315" s="6">
        <f>K315*V315</f>
        <v>1991.2899184287874</v>
      </c>
      <c r="Z315" s="6">
        <f>K315*W315</f>
        <v>2779.5088444735156</v>
      </c>
      <c r="AA315" s="6">
        <f>SUM(Y315:Z315)</f>
        <v>4770.7987629023028</v>
      </c>
      <c r="AB315" s="6">
        <f>Q315*V315</f>
        <v>1893.7368264653571</v>
      </c>
      <c r="AC315" s="6">
        <f>Q315*W315</f>
        <v>2643.340986941228</v>
      </c>
      <c r="AD315" s="6">
        <f>SUM(AB315:AC315)</f>
        <v>4537.0778134065849</v>
      </c>
      <c r="AE315" s="10">
        <v>990131031039</v>
      </c>
      <c r="AF315" s="14">
        <v>44980</v>
      </c>
      <c r="AG315" s="6">
        <v>48</v>
      </c>
      <c r="AH315" s="11">
        <v>1.1020000000000001</v>
      </c>
      <c r="AI315" s="6">
        <v>80.400000000000006</v>
      </c>
      <c r="AJ315" s="6">
        <v>28.9</v>
      </c>
      <c r="AK315" s="6">
        <v>5.5</v>
      </c>
      <c r="AL315" s="6">
        <v>78.7</v>
      </c>
      <c r="AM315" s="6">
        <v>9.4</v>
      </c>
      <c r="AN315" s="16" t="s">
        <v>165</v>
      </c>
      <c r="AO315" s="12">
        <v>15</v>
      </c>
      <c r="AP315" s="7">
        <v>0.3</v>
      </c>
      <c r="AQ315" s="6">
        <v>9.4</v>
      </c>
      <c r="AV315" s="3"/>
      <c r="AW315" s="3"/>
      <c r="AX315" s="3"/>
      <c r="AY315" s="3"/>
      <c r="AZ315" s="4"/>
      <c r="BA315" s="4"/>
      <c r="BB315" s="4"/>
      <c r="BC315" s="4"/>
      <c r="BD315" s="4"/>
      <c r="BE315" s="3"/>
      <c r="BF315" s="3"/>
      <c r="BG315" s="4"/>
      <c r="BH315" s="4"/>
      <c r="BI315" s="4"/>
      <c r="BJ315" s="9"/>
      <c r="BK315" s="9"/>
      <c r="BL315" s="9"/>
      <c r="BM315" s="3"/>
      <c r="BN315" s="3"/>
      <c r="BO315" s="3"/>
      <c r="BP315" s="3"/>
      <c r="BQ315" s="3"/>
      <c r="BR315" s="3"/>
      <c r="BT315" s="15"/>
      <c r="BU315" s="3"/>
      <c r="BV315" s="13"/>
      <c r="BW315" s="3"/>
      <c r="BX315" s="3"/>
      <c r="BY315" s="3"/>
      <c r="BZ315" s="3"/>
      <c r="CA315" s="3"/>
      <c r="CB315" s="10"/>
      <c r="CC315" s="10"/>
      <c r="CD315" s="4"/>
      <c r="CE315" s="3"/>
    </row>
    <row r="316" spans="1:83" x14ac:dyDescent="0.25">
      <c r="A316" s="2">
        <f t="shared" si="50"/>
        <v>10</v>
      </c>
      <c r="B316" s="2">
        <v>3</v>
      </c>
      <c r="C316" t="s">
        <v>6</v>
      </c>
      <c r="D316" s="5" t="str">
        <f t="shared" si="41"/>
        <v>p10-3-SW</v>
      </c>
      <c r="E316" s="5" t="s">
        <v>468</v>
      </c>
      <c r="F316" s="17">
        <v>44881</v>
      </c>
      <c r="G316">
        <v>10</v>
      </c>
      <c r="H316" s="3">
        <v>20</v>
      </c>
      <c r="I316" s="3">
        <f t="shared" si="43"/>
        <v>19.54</v>
      </c>
      <c r="J316" s="3">
        <f>($A$60-$A$47)*$A$75</f>
        <v>0.84624999999999995</v>
      </c>
      <c r="K316" s="6">
        <f t="shared" si="44"/>
        <v>4550.7086171259843</v>
      </c>
      <c r="L316" s="4"/>
      <c r="M316" s="4"/>
      <c r="N316" s="4"/>
      <c r="O316" s="4"/>
      <c r="P316" s="7"/>
      <c r="Q316" s="6"/>
      <c r="R316" s="14"/>
      <c r="S316" s="4"/>
      <c r="T316" s="4"/>
      <c r="U316" s="4"/>
      <c r="V316" s="8"/>
      <c r="W316" s="8"/>
      <c r="X316" s="8"/>
      <c r="Y316" s="6"/>
      <c r="Z316" s="6"/>
      <c r="AA316" s="6"/>
      <c r="AB316" s="6"/>
      <c r="AC316" s="6"/>
      <c r="AD316" s="6"/>
      <c r="AE316" s="10"/>
      <c r="AF316" s="14"/>
      <c r="AG316" s="6"/>
      <c r="AH316" s="11"/>
      <c r="AI316" s="6"/>
      <c r="AJ316" s="6"/>
      <c r="AK316" s="6"/>
      <c r="AL316" s="6"/>
      <c r="AM316" s="6"/>
      <c r="AN316" s="16"/>
      <c r="AO316" s="12"/>
      <c r="AP316" s="7"/>
      <c r="AQ316" s="6"/>
      <c r="AV316" s="3"/>
      <c r="AW316" s="3"/>
      <c r="AX316" s="3"/>
      <c r="AY316" s="3"/>
      <c r="AZ316" s="4"/>
      <c r="BA316" s="4"/>
      <c r="BB316" s="4"/>
      <c r="BC316" s="4"/>
      <c r="BD316" s="4"/>
      <c r="BE316" s="3"/>
      <c r="BF316" s="3"/>
      <c r="BG316" s="4"/>
      <c r="BH316" s="4"/>
      <c r="BI316" s="4"/>
      <c r="BJ316" s="9"/>
      <c r="BK316" s="9"/>
      <c r="BL316" s="9"/>
      <c r="BM316" s="3"/>
      <c r="BN316" s="3"/>
      <c r="BO316" s="3"/>
      <c r="BP316" s="3"/>
      <c r="BQ316" s="3"/>
      <c r="BR316" s="3"/>
      <c r="BT316" s="15"/>
      <c r="BU316" s="3"/>
      <c r="BV316" s="13"/>
      <c r="BW316" s="3"/>
      <c r="BX316" s="3"/>
      <c r="BY316" s="3"/>
      <c r="BZ316" s="3"/>
      <c r="CA316" s="3"/>
      <c r="CB316" s="10"/>
      <c r="CC316" s="10"/>
      <c r="CD316" s="4"/>
      <c r="CE316" s="3"/>
    </row>
    <row r="317" spans="1:83" x14ac:dyDescent="0.25">
      <c r="A317" s="2">
        <f t="shared" si="50"/>
        <v>10</v>
      </c>
      <c r="B317" s="2">
        <v>3</v>
      </c>
      <c r="C317" t="s">
        <v>7</v>
      </c>
      <c r="D317" s="5" t="str">
        <f t="shared" si="41"/>
        <v>p10-3-NE</v>
      </c>
      <c r="E317" s="5" t="s">
        <v>468</v>
      </c>
      <c r="F317" s="17">
        <v>44881</v>
      </c>
      <c r="G317">
        <v>22</v>
      </c>
      <c r="H317" s="3">
        <v>24</v>
      </c>
      <c r="I317" s="3">
        <f t="shared" si="43"/>
        <v>23.54</v>
      </c>
      <c r="J317" s="3">
        <f>($A$72-$A$47)*$A$75</f>
        <v>1.24</v>
      </c>
      <c r="K317" s="6">
        <f t="shared" si="44"/>
        <v>5531.5008661417323</v>
      </c>
      <c r="L317" s="4"/>
      <c r="M317" s="4"/>
      <c r="N317" s="4"/>
      <c r="O317" s="4"/>
      <c r="P317" s="7"/>
      <c r="Q317" s="6"/>
      <c r="R317" s="14"/>
      <c r="S317" s="4"/>
      <c r="T317" s="4"/>
      <c r="U317" s="4"/>
      <c r="V317" s="8"/>
      <c r="W317" s="8"/>
      <c r="X317" s="8"/>
      <c r="Y317" s="6"/>
      <c r="Z317" s="6"/>
      <c r="AA317" s="6"/>
      <c r="AB317" s="6"/>
      <c r="AC317" s="6"/>
      <c r="AD317" s="6"/>
      <c r="AE317" s="10"/>
      <c r="AF317" s="14"/>
      <c r="AG317" s="6"/>
      <c r="AH317" s="11"/>
      <c r="AI317" s="6"/>
      <c r="AJ317" s="6"/>
      <c r="AK317" s="6"/>
      <c r="AL317" s="6"/>
      <c r="AM317" s="6"/>
      <c r="AN317" s="16"/>
      <c r="AO317" s="12"/>
      <c r="AP317" s="7"/>
      <c r="AQ317" s="6"/>
      <c r="AV317" s="3"/>
      <c r="AW317" s="3"/>
      <c r="AX317" s="3"/>
      <c r="AY317" s="3"/>
      <c r="AZ317" s="4"/>
      <c r="BA317" s="4"/>
      <c r="BB317" s="4"/>
      <c r="BC317" s="4"/>
      <c r="BD317" s="4"/>
      <c r="BE317" s="3"/>
      <c r="BF317" s="3"/>
      <c r="BG317" s="4"/>
      <c r="BH317" s="4"/>
      <c r="BI317" s="4"/>
      <c r="BJ317" s="9"/>
      <c r="BK317" s="9"/>
      <c r="BL317" s="9"/>
      <c r="BM317" s="3"/>
      <c r="BN317" s="3"/>
      <c r="BO317" s="3"/>
      <c r="BP317" s="3"/>
      <c r="BQ317" s="3"/>
      <c r="BR317" s="3"/>
      <c r="BT317" s="15"/>
      <c r="BU317" s="3"/>
      <c r="BV317" s="13"/>
      <c r="BW317" s="3"/>
      <c r="BX317" s="3"/>
      <c r="BY317" s="3"/>
      <c r="BZ317" s="3"/>
      <c r="CA317" s="3"/>
      <c r="CB317" s="10"/>
      <c r="CC317" s="10"/>
      <c r="CD317" s="4"/>
      <c r="CE317" s="3"/>
    </row>
    <row r="318" spans="1:83" x14ac:dyDescent="0.25">
      <c r="A318" s="2">
        <f t="shared" si="50"/>
        <v>10</v>
      </c>
      <c r="B318" s="2">
        <v>3</v>
      </c>
      <c r="C318" t="s">
        <v>18</v>
      </c>
      <c r="D318" s="5" t="str">
        <f t="shared" si="41"/>
        <v>p10-3-ME</v>
      </c>
      <c r="E318" s="5" t="s">
        <v>468</v>
      </c>
      <c r="F318" s="17">
        <v>44881</v>
      </c>
      <c r="G318">
        <v>22</v>
      </c>
      <c r="H318" s="3">
        <v>21.1</v>
      </c>
      <c r="I318" s="3">
        <f t="shared" si="43"/>
        <v>20.64</v>
      </c>
      <c r="J318" s="3">
        <f>($A$72-$A$47)*$A$75</f>
        <v>1.24</v>
      </c>
      <c r="K318" s="6">
        <f t="shared" si="44"/>
        <v>4884.1500787401574</v>
      </c>
      <c r="L318" s="4">
        <v>8.74</v>
      </c>
      <c r="M318" s="4">
        <v>178.19</v>
      </c>
      <c r="N318" s="4">
        <f>M318-L318</f>
        <v>169.45</v>
      </c>
      <c r="O318" s="4">
        <v>162.81</v>
      </c>
      <c r="P318" s="7">
        <f>(N318-O318)/N318*100</f>
        <v>3.9185600472115589</v>
      </c>
      <c r="Q318" s="6">
        <f>K318*(1-P318/100)</f>
        <v>4692.7617251087931</v>
      </c>
      <c r="R318" s="14">
        <v>44882</v>
      </c>
      <c r="S318" s="4">
        <v>9.41</v>
      </c>
      <c r="T318" s="4">
        <v>3.66</v>
      </c>
      <c r="U318" s="4">
        <v>6.32</v>
      </c>
      <c r="V318" s="8">
        <f>(T318-$A$76)/(S318-$A$47*$A$48)</f>
        <v>0.3782054673973585</v>
      </c>
      <c r="W318" s="8">
        <f>(U318-$A$77)/(S318-$A$47*$A$48)</f>
        <v>0.50210036188959661</v>
      </c>
      <c r="X318" s="8">
        <f>1-V318-W318</f>
        <v>0.11969417071304489</v>
      </c>
      <c r="Y318" s="6">
        <f>K318*V318</f>
        <v>1847.2122633687666</v>
      </c>
      <c r="Z318" s="6">
        <f>K318*W318</f>
        <v>2452.333522058535</v>
      </c>
      <c r="AA318" s="6">
        <f>SUM(Y318:Z318)</f>
        <v>4299.5457854273018</v>
      </c>
      <c r="AB318" s="6">
        <f>Q318*V318</f>
        <v>1774.8281416292054</v>
      </c>
      <c r="AC318" s="6">
        <f>Q318*W318</f>
        <v>2356.2373604387726</v>
      </c>
      <c r="AD318" s="6">
        <f>SUM(AB318:AC318)</f>
        <v>4131.0655020679778</v>
      </c>
      <c r="AE318" s="10">
        <v>990131032087</v>
      </c>
      <c r="AF318" s="14">
        <v>44980</v>
      </c>
      <c r="AG318" s="6">
        <v>47.1</v>
      </c>
      <c r="AH318" s="11">
        <v>1.0920000000000001</v>
      </c>
      <c r="AI318" s="6">
        <v>80.599999999999994</v>
      </c>
      <c r="AJ318" s="6">
        <v>29.5</v>
      </c>
      <c r="AK318" s="6">
        <v>5.3</v>
      </c>
      <c r="AL318" s="6">
        <v>79.5</v>
      </c>
      <c r="AM318" s="6">
        <v>8.9</v>
      </c>
      <c r="AN318" s="16" t="s">
        <v>148</v>
      </c>
      <c r="AO318" s="12">
        <v>10</v>
      </c>
      <c r="AP318" s="7">
        <v>0.15</v>
      </c>
      <c r="AQ318" s="6">
        <v>9.1</v>
      </c>
      <c r="AV318" s="3"/>
      <c r="AW318" s="3"/>
      <c r="AX318" s="3"/>
      <c r="AY318" s="3"/>
      <c r="AZ318" s="4"/>
      <c r="BA318" s="4"/>
      <c r="BB318" s="4"/>
      <c r="BC318" s="4"/>
      <c r="BD318" s="4"/>
      <c r="BE318" s="3"/>
      <c r="BF318" s="3"/>
      <c r="BG318" s="4"/>
      <c r="BH318" s="4"/>
      <c r="BI318" s="4"/>
      <c r="BJ318" s="9"/>
      <c r="BK318" s="9"/>
      <c r="BL318" s="9"/>
      <c r="BM318" s="3"/>
      <c r="BN318" s="3"/>
      <c r="BO318" s="3"/>
      <c r="BP318" s="3"/>
      <c r="BQ318" s="3"/>
      <c r="BR318" s="3"/>
      <c r="BT318" s="15"/>
      <c r="BU318" s="3"/>
      <c r="BV318" s="13"/>
      <c r="BW318" s="3"/>
      <c r="BX318" s="3"/>
      <c r="BY318" s="3"/>
      <c r="BZ318" s="3"/>
      <c r="CA318" s="3"/>
      <c r="CB318" s="10"/>
      <c r="CC318" s="10"/>
      <c r="CD318" s="4"/>
      <c r="CE318" s="3"/>
    </row>
    <row r="319" spans="1:83" x14ac:dyDescent="0.25">
      <c r="A319" s="2">
        <f t="shared" si="50"/>
        <v>10</v>
      </c>
      <c r="B319" s="2">
        <v>3</v>
      </c>
      <c r="C319" t="s">
        <v>8</v>
      </c>
      <c r="D319" s="5" t="str">
        <f t="shared" si="41"/>
        <v>p10-3-SE</v>
      </c>
      <c r="E319" s="5" t="s">
        <v>468</v>
      </c>
      <c r="F319" s="17">
        <v>44881</v>
      </c>
      <c r="G319">
        <v>22</v>
      </c>
      <c r="H319" s="3">
        <v>22.4</v>
      </c>
      <c r="I319" s="3">
        <f t="shared" si="43"/>
        <v>21.939999999999998</v>
      </c>
      <c r="J319" s="3">
        <f>($A$72-$A$47)*$A$75</f>
        <v>1.24</v>
      </c>
      <c r="K319" s="6">
        <f t="shared" si="44"/>
        <v>5174.3418110236216</v>
      </c>
      <c r="L319" s="4"/>
      <c r="M319" s="4"/>
      <c r="N319" s="4"/>
      <c r="O319" s="4"/>
      <c r="P319" s="7"/>
      <c r="Q319" s="6"/>
      <c r="R319" s="14"/>
      <c r="S319" s="4"/>
      <c r="T319" s="4"/>
      <c r="U319" s="4"/>
      <c r="V319" s="8"/>
      <c r="W319" s="8"/>
      <c r="X319" s="8"/>
      <c r="Y319" s="6"/>
      <c r="Z319" s="6"/>
      <c r="AA319" s="6"/>
      <c r="AB319" s="6"/>
      <c r="AC319" s="6"/>
      <c r="AD319" s="6"/>
      <c r="AE319" s="10"/>
      <c r="AF319" s="14"/>
      <c r="AG319" s="6"/>
      <c r="AH319" s="11"/>
      <c r="AI319" s="6"/>
      <c r="AJ319" s="6"/>
      <c r="AK319" s="6"/>
      <c r="AL319" s="6"/>
      <c r="AM319" s="6"/>
      <c r="AN319" s="16"/>
      <c r="AO319" s="12"/>
      <c r="AP319" s="7"/>
      <c r="AQ319" s="6"/>
      <c r="AV319" s="3"/>
      <c r="AW319" s="3"/>
      <c r="AX319" s="3"/>
      <c r="AY319" s="3"/>
      <c r="AZ319" s="4"/>
      <c r="BA319" s="4"/>
      <c r="BB319" s="4"/>
      <c r="BC319" s="4"/>
      <c r="BD319" s="4"/>
      <c r="BE319" s="3"/>
      <c r="BF319" s="3"/>
      <c r="BG319" s="4"/>
      <c r="BH319" s="4"/>
      <c r="BI319" s="4"/>
      <c r="BJ319" s="9"/>
      <c r="BK319" s="9"/>
      <c r="BL319" s="9"/>
      <c r="BM319" s="3"/>
      <c r="BN319" s="3"/>
      <c r="BO319" s="3"/>
      <c r="BP319" s="3"/>
      <c r="BQ319" s="3"/>
      <c r="BR319" s="3"/>
      <c r="BT319" s="15"/>
      <c r="BU319" s="3"/>
      <c r="BV319" s="13"/>
      <c r="BW319" s="3"/>
      <c r="BX319" s="3"/>
      <c r="BY319" s="3"/>
      <c r="BZ319" s="3"/>
      <c r="CA319" s="3"/>
      <c r="CB319" s="10"/>
      <c r="CC319" s="10"/>
      <c r="CD319" s="4"/>
      <c r="CE319" s="3"/>
    </row>
    <row r="320" spans="1:83" x14ac:dyDescent="0.25">
      <c r="A320" s="2">
        <f t="shared" si="50"/>
        <v>10</v>
      </c>
      <c r="B320" s="2">
        <v>4</v>
      </c>
      <c r="C320" t="s">
        <v>4</v>
      </c>
      <c r="D320" s="5" t="str">
        <f t="shared" si="41"/>
        <v>p10-4-NW</v>
      </c>
      <c r="E320" s="5" t="s">
        <v>468</v>
      </c>
      <c r="F320" s="17">
        <v>44881</v>
      </c>
      <c r="G320">
        <v>10</v>
      </c>
      <c r="H320" s="3">
        <v>26.3</v>
      </c>
      <c r="I320" s="3">
        <f t="shared" si="43"/>
        <v>25.84</v>
      </c>
      <c r="J320" s="3">
        <f>($A$60-$A$47)*$A$75</f>
        <v>0.84624999999999995</v>
      </c>
      <c r="K320" s="6">
        <f t="shared" si="44"/>
        <v>5957.0223966535441</v>
      </c>
      <c r="L320" s="4"/>
      <c r="M320" s="4"/>
      <c r="N320" s="4"/>
      <c r="O320" s="4"/>
      <c r="P320" s="7"/>
      <c r="Q320" s="6"/>
      <c r="R320" s="14"/>
      <c r="S320" s="4"/>
      <c r="T320" s="4"/>
      <c r="U320" s="4"/>
      <c r="V320" s="8"/>
      <c r="W320" s="8"/>
      <c r="X320" s="8"/>
      <c r="Y320" s="6"/>
      <c r="Z320" s="6"/>
      <c r="AA320" s="6"/>
      <c r="AB320" s="6"/>
      <c r="AC320" s="6"/>
      <c r="AD320" s="6"/>
      <c r="AE320" s="10"/>
      <c r="AF320" s="14"/>
      <c r="AG320" s="6"/>
      <c r="AH320" s="11"/>
      <c r="AI320" s="6"/>
      <c r="AJ320" s="6"/>
      <c r="AK320" s="6"/>
      <c r="AL320" s="6"/>
      <c r="AM320" s="6"/>
      <c r="AN320" s="16"/>
      <c r="AO320" s="12"/>
      <c r="AP320" s="7"/>
      <c r="AQ320" s="6"/>
      <c r="AS320" t="s">
        <v>125</v>
      </c>
      <c r="AT320" s="4" t="str">
        <f>E320</f>
        <v>Machine</v>
      </c>
      <c r="AU320" s="15">
        <f>F320</f>
        <v>44881</v>
      </c>
      <c r="AV320" s="3">
        <f>SUM(H320:H325)</f>
        <v>130.30000000000001</v>
      </c>
      <c r="AW320" s="3">
        <f>AV320-6*$A$47</f>
        <v>127.54</v>
      </c>
      <c r="AX320" s="3">
        <f>SUM(J320:J325)</f>
        <v>6.25875</v>
      </c>
      <c r="AY320" s="3">
        <f>(AW320+AX320)*$A$48/(6*$A$49)*$A$50</f>
        <v>4977.8578256233604</v>
      </c>
      <c r="AZ320" s="4">
        <f>SUM(L320:L325)</f>
        <v>17.41</v>
      </c>
      <c r="BA320" s="4">
        <f>SUM(M320:M325)</f>
        <v>264.75</v>
      </c>
      <c r="BB320" s="4">
        <f>BA320-AZ320</f>
        <v>247.34</v>
      </c>
      <c r="BC320" s="4">
        <f>SUM(O320:O325)</f>
        <v>236.51</v>
      </c>
      <c r="BD320" s="4">
        <f>(BB320-BC320)/BB320*100</f>
        <v>4.3785881782162255</v>
      </c>
      <c r="BE320" s="3">
        <f>AY320*(1-BD320/100)</f>
        <v>4759.8979313422051</v>
      </c>
      <c r="BF320" s="15">
        <f>R321</f>
        <v>44882</v>
      </c>
      <c r="BG320" s="4">
        <f>SUM(S320:S325)</f>
        <v>18.32</v>
      </c>
      <c r="BH320" s="4">
        <f>SUM(T320:T325)</f>
        <v>7.1</v>
      </c>
      <c r="BI320" s="4">
        <f>SUM(U320:U325)</f>
        <v>12.32</v>
      </c>
      <c r="BJ320" s="9">
        <f>(BH320-2*$A$76)/(BG320-2*$A$47*$A$48)</f>
        <v>0.37647962301024152</v>
      </c>
      <c r="BK320" s="9">
        <f>(BI320-2*$A$77)/(BG320-2*$A$47*$A$48)</f>
        <v>0.49824899662483002</v>
      </c>
      <c r="BL320" s="9">
        <f>1-BJ320-BK320</f>
        <v>0.12527138036492846</v>
      </c>
      <c r="BM320" s="3">
        <f>AY320*BJ320</f>
        <v>1874.0620375892634</v>
      </c>
      <c r="BN320" s="3">
        <f>AY320*BK320</f>
        <v>2480.2126669578975</v>
      </c>
      <c r="BO320" s="3">
        <f>SUM(BM320:BN320)</f>
        <v>4354.2747045471606</v>
      </c>
      <c r="BP320" s="3">
        <f>BE320*BJ320</f>
        <v>1792.0045787589418</v>
      </c>
      <c r="BQ320" s="3">
        <f>BE320*BK320</f>
        <v>2371.6143683278578</v>
      </c>
      <c r="BR320" s="3">
        <f>SUM(BP320:BQ320)</f>
        <v>4163.6189470867994</v>
      </c>
      <c r="BS320" s="3"/>
      <c r="BT320" s="15">
        <f>AF321</f>
        <v>44980</v>
      </c>
      <c r="BU320" s="3">
        <f t="shared" ref="BU320:CA320" si="53">AVERAGE(AG320:AG325)</f>
        <v>48.85</v>
      </c>
      <c r="BV320" s="13">
        <f t="shared" si="53"/>
        <v>1.0649999999999999</v>
      </c>
      <c r="BW320" s="3">
        <f t="shared" si="53"/>
        <v>80.2</v>
      </c>
      <c r="BX320" s="3">
        <f t="shared" si="53"/>
        <v>29.85</v>
      </c>
      <c r="BY320" s="3">
        <f t="shared" si="53"/>
        <v>5.3</v>
      </c>
      <c r="BZ320" s="3">
        <f t="shared" si="53"/>
        <v>78.300000000000011</v>
      </c>
      <c r="CA320" s="3">
        <f t="shared" si="53"/>
        <v>9.6499999999999986</v>
      </c>
      <c r="CB320" s="13"/>
      <c r="CC320" s="10">
        <f>AVERAGE(AO320:AO325)</f>
        <v>6</v>
      </c>
      <c r="CD320" s="4">
        <f>AVERAGE(AP320:AP325)</f>
        <v>0.11000000000000001</v>
      </c>
      <c r="CE320" s="3">
        <f>AVERAGE(AQ320:AQ325)</f>
        <v>10.050000000000001</v>
      </c>
    </row>
    <row r="321" spans="1:83" x14ac:dyDescent="0.25">
      <c r="A321" s="2">
        <f t="shared" si="50"/>
        <v>10</v>
      </c>
      <c r="B321" s="2">
        <v>4</v>
      </c>
      <c r="C321" t="s">
        <v>5</v>
      </c>
      <c r="D321" s="5" t="str">
        <f t="shared" si="41"/>
        <v>p10-4-MW</v>
      </c>
      <c r="E321" s="5" t="s">
        <v>468</v>
      </c>
      <c r="F321" s="17">
        <v>44881</v>
      </c>
      <c r="G321">
        <v>10</v>
      </c>
      <c r="H321" s="3">
        <v>19.2</v>
      </c>
      <c r="I321" s="3">
        <f t="shared" si="43"/>
        <v>18.739999999999998</v>
      </c>
      <c r="J321" s="3">
        <f>($A$60-$A$47)*$A$75</f>
        <v>0.84624999999999995</v>
      </c>
      <c r="K321" s="6">
        <f t="shared" si="44"/>
        <v>4372.129089566929</v>
      </c>
      <c r="L321" s="4">
        <v>8.49</v>
      </c>
      <c r="M321" s="4">
        <v>142.38</v>
      </c>
      <c r="N321" s="4">
        <f>M321-L321</f>
        <v>133.88999999999999</v>
      </c>
      <c r="O321" s="4">
        <v>127.56</v>
      </c>
      <c r="P321" s="7">
        <f>(N321-O321)/N321*100</f>
        <v>4.7277615953394463</v>
      </c>
      <c r="Q321" s="6">
        <f>K321*(1-P321/100)</f>
        <v>4165.4252495717201</v>
      </c>
      <c r="R321" s="14">
        <v>44882</v>
      </c>
      <c r="S321" s="4">
        <v>8.56</v>
      </c>
      <c r="T321" s="4">
        <v>3.3</v>
      </c>
      <c r="U321" s="4">
        <v>5.96</v>
      </c>
      <c r="V321" s="8">
        <f>(T321-$A$76)/(S321-$A$47*$A$48)</f>
        <v>0.37359239724527904</v>
      </c>
      <c r="W321" s="8">
        <f>(U321-$A$77)/(S321-$A$47*$A$48)</f>
        <v>0.5100973116233618</v>
      </c>
      <c r="X321" s="8">
        <f>1-V321-W321</f>
        <v>0.11631029113135916</v>
      </c>
      <c r="Y321" s="6">
        <f>K321*V321</f>
        <v>1633.3941876371284</v>
      </c>
      <c r="Z321" s="6">
        <f>K321*W321</f>
        <v>2230.211294658387</v>
      </c>
      <c r="AA321" s="6">
        <f>SUM(Y321:Z321)</f>
        <v>3863.6054822955157</v>
      </c>
      <c r="AB321" s="6">
        <f>Q321*V321</f>
        <v>1556.1712045335137</v>
      </c>
      <c r="AC321" s="6">
        <f>Q321*W321</f>
        <v>2124.7722215746053</v>
      </c>
      <c r="AD321" s="6">
        <f>SUM(AB321:AC321)</f>
        <v>3680.9434261081187</v>
      </c>
      <c r="AE321" s="10">
        <v>990131041040</v>
      </c>
      <c r="AF321" s="14">
        <v>44980</v>
      </c>
      <c r="AG321" s="6">
        <v>48.2</v>
      </c>
      <c r="AH321" s="11">
        <v>1.0669999999999999</v>
      </c>
      <c r="AI321" s="6">
        <v>80.2</v>
      </c>
      <c r="AJ321" s="6">
        <v>31.1</v>
      </c>
      <c r="AK321" s="6">
        <v>5.0999999999999996</v>
      </c>
      <c r="AL321" s="6">
        <v>77.7</v>
      </c>
      <c r="AM321" s="6">
        <v>10.1</v>
      </c>
      <c r="AN321" s="16" t="s">
        <v>172</v>
      </c>
      <c r="AO321" s="12">
        <v>4</v>
      </c>
      <c r="AP321" s="7">
        <v>0.08</v>
      </c>
      <c r="AQ321" s="6">
        <v>10.1</v>
      </c>
      <c r="AV321" s="3"/>
      <c r="AW321" s="3"/>
      <c r="AX321" s="3"/>
      <c r="AY321" s="3"/>
      <c r="AZ321" s="4"/>
      <c r="BA321" s="4"/>
      <c r="BB321" s="4"/>
      <c r="BC321" s="4"/>
      <c r="BD321" s="4"/>
      <c r="BE321" s="3"/>
      <c r="BF321" s="3"/>
      <c r="BG321" s="4"/>
      <c r="BH321" s="4"/>
      <c r="BI321" s="4"/>
      <c r="BJ321" s="9"/>
      <c r="BK321" s="9"/>
      <c r="BL321" s="9"/>
      <c r="BM321" s="3"/>
      <c r="BN321" s="3"/>
      <c r="BO321" s="3"/>
      <c r="BP321" s="3"/>
      <c r="BQ321" s="3"/>
      <c r="BR321" s="3"/>
      <c r="BT321" s="15"/>
      <c r="BU321" s="3"/>
      <c r="BV321" s="13"/>
      <c r="BW321" s="3"/>
      <c r="BX321" s="3"/>
      <c r="BY321" s="3"/>
      <c r="BZ321" s="3"/>
      <c r="CA321" s="3"/>
      <c r="CB321" s="10"/>
      <c r="CC321" s="10"/>
      <c r="CD321" s="4"/>
      <c r="CE321" s="3"/>
    </row>
    <row r="322" spans="1:83" x14ac:dyDescent="0.25">
      <c r="A322" s="2">
        <f t="shared" si="50"/>
        <v>10</v>
      </c>
      <c r="B322" s="2">
        <v>4</v>
      </c>
      <c r="C322" t="s">
        <v>6</v>
      </c>
      <c r="D322" s="5" t="str">
        <f t="shared" si="41"/>
        <v>p10-4-SW</v>
      </c>
      <c r="E322" s="5" t="s">
        <v>468</v>
      </c>
      <c r="F322" s="17">
        <v>44881</v>
      </c>
      <c r="G322">
        <v>10</v>
      </c>
      <c r="H322" s="3">
        <v>15.9</v>
      </c>
      <c r="I322" s="3">
        <f t="shared" si="43"/>
        <v>15.44</v>
      </c>
      <c r="J322" s="3">
        <f>($A$60-$A$47)*$A$75</f>
        <v>0.84624999999999995</v>
      </c>
      <c r="K322" s="6">
        <f t="shared" si="44"/>
        <v>3635.4885383858264</v>
      </c>
      <c r="L322" s="4"/>
      <c r="M322" s="4"/>
      <c r="N322" s="4"/>
      <c r="O322" s="4"/>
      <c r="P322" s="7"/>
      <c r="Q322" s="6"/>
      <c r="R322" s="14"/>
      <c r="S322" s="4"/>
      <c r="T322" s="4"/>
      <c r="U322" s="4"/>
      <c r="V322" s="8"/>
      <c r="W322" s="8"/>
      <c r="X322" s="8"/>
      <c r="Y322" s="6"/>
      <c r="Z322" s="6"/>
      <c r="AA322" s="6"/>
      <c r="AB322" s="6"/>
      <c r="AC322" s="6"/>
      <c r="AD322" s="6"/>
      <c r="AE322" s="10"/>
      <c r="AF322" s="14"/>
      <c r="AG322" s="6"/>
      <c r="AH322" s="11"/>
      <c r="AI322" s="6"/>
      <c r="AJ322" s="6"/>
      <c r="AK322" s="6"/>
      <c r="AL322" s="6"/>
      <c r="AM322" s="6"/>
      <c r="AN322" s="16"/>
      <c r="AO322" s="12"/>
      <c r="AP322" s="7"/>
      <c r="AQ322" s="6"/>
      <c r="AV322" s="3"/>
      <c r="AW322" s="3"/>
      <c r="AX322" s="3"/>
      <c r="AY322" s="3"/>
      <c r="AZ322" s="4"/>
      <c r="BA322" s="4"/>
      <c r="BB322" s="4"/>
      <c r="BC322" s="4"/>
      <c r="BD322" s="4"/>
      <c r="BE322" s="3"/>
      <c r="BF322" s="3"/>
      <c r="BG322" s="4"/>
      <c r="BH322" s="4"/>
      <c r="BI322" s="4"/>
      <c r="BJ322" s="9"/>
      <c r="BK322" s="9"/>
      <c r="BL322" s="9"/>
      <c r="BM322" s="3"/>
      <c r="BN322" s="3"/>
      <c r="BO322" s="3"/>
      <c r="BP322" s="3"/>
      <c r="BQ322" s="3"/>
      <c r="BR322" s="3"/>
      <c r="BT322" s="15"/>
      <c r="BU322" s="3"/>
      <c r="BV322" s="13"/>
      <c r="BW322" s="3"/>
      <c r="BX322" s="3"/>
      <c r="BY322" s="3"/>
      <c r="BZ322" s="3"/>
      <c r="CA322" s="3"/>
      <c r="CB322" s="10"/>
      <c r="CC322" s="10"/>
      <c r="CD322" s="4"/>
      <c r="CE322" s="3"/>
    </row>
    <row r="323" spans="1:83" x14ac:dyDescent="0.25">
      <c r="A323" s="2">
        <f t="shared" si="50"/>
        <v>10</v>
      </c>
      <c r="B323" s="2">
        <v>4</v>
      </c>
      <c r="C323" t="s">
        <v>7</v>
      </c>
      <c r="D323" s="5" t="str">
        <f t="shared" si="41"/>
        <v>p10-4-NE</v>
      </c>
      <c r="E323" s="5" t="s">
        <v>468</v>
      </c>
      <c r="F323" s="17">
        <v>44881</v>
      </c>
      <c r="G323">
        <v>22</v>
      </c>
      <c r="H323" s="3">
        <v>26.5</v>
      </c>
      <c r="I323" s="3">
        <f t="shared" si="43"/>
        <v>26.04</v>
      </c>
      <c r="J323" s="3">
        <f>($A$72-$A$47)*$A$75</f>
        <v>1.24</v>
      </c>
      <c r="K323" s="6">
        <f t="shared" si="44"/>
        <v>6089.5618897637796</v>
      </c>
      <c r="L323" s="4"/>
      <c r="M323" s="4"/>
      <c r="N323" s="4"/>
      <c r="O323" s="4"/>
      <c r="P323" s="7"/>
      <c r="Q323" s="6"/>
      <c r="R323" s="14"/>
      <c r="S323" s="4"/>
      <c r="T323" s="4"/>
      <c r="U323" s="4"/>
      <c r="V323" s="8"/>
      <c r="W323" s="8"/>
      <c r="X323" s="8"/>
      <c r="Y323" s="6"/>
      <c r="Z323" s="6"/>
      <c r="AA323" s="6"/>
      <c r="AB323" s="6"/>
      <c r="AC323" s="6"/>
      <c r="AD323" s="6"/>
      <c r="AE323" s="10"/>
      <c r="AF323" s="14"/>
      <c r="AG323" s="6"/>
      <c r="AH323" s="11"/>
      <c r="AI323" s="6"/>
      <c r="AJ323" s="6"/>
      <c r="AK323" s="6"/>
      <c r="AL323" s="6"/>
      <c r="AM323" s="6"/>
      <c r="AN323" s="16"/>
      <c r="AO323" s="12"/>
      <c r="AP323" s="7"/>
      <c r="AQ323" s="6"/>
      <c r="AV323" s="3"/>
      <c r="AW323" s="3"/>
      <c r="AX323" s="3"/>
      <c r="AY323" s="3"/>
      <c r="AZ323" s="4"/>
      <c r="BA323" s="4"/>
      <c r="BB323" s="4"/>
      <c r="BC323" s="4"/>
      <c r="BD323" s="4"/>
      <c r="BE323" s="3"/>
      <c r="BF323" s="3"/>
      <c r="BG323" s="4"/>
      <c r="BH323" s="4"/>
      <c r="BI323" s="4"/>
      <c r="BJ323" s="9"/>
      <c r="BK323" s="9"/>
      <c r="BL323" s="9"/>
      <c r="BM323" s="3"/>
      <c r="BN323" s="3"/>
      <c r="BO323" s="3"/>
      <c r="BP323" s="3"/>
      <c r="BQ323" s="3"/>
      <c r="BR323" s="3"/>
      <c r="BT323" s="15"/>
      <c r="BU323" s="3"/>
      <c r="BV323" s="13"/>
      <c r="BW323" s="3"/>
      <c r="BX323" s="3"/>
      <c r="BY323" s="3"/>
      <c r="BZ323" s="3"/>
      <c r="CA323" s="3"/>
      <c r="CB323" s="10"/>
      <c r="CC323" s="10"/>
      <c r="CD323" s="4"/>
      <c r="CE323" s="3"/>
    </row>
    <row r="324" spans="1:83" x14ac:dyDescent="0.25">
      <c r="A324" s="2">
        <f t="shared" si="50"/>
        <v>10</v>
      </c>
      <c r="B324" s="2">
        <v>4</v>
      </c>
      <c r="C324" t="s">
        <v>18</v>
      </c>
      <c r="D324" s="5" t="str">
        <f t="shared" si="41"/>
        <v>p10-4-ME</v>
      </c>
      <c r="E324" s="5" t="s">
        <v>468</v>
      </c>
      <c r="F324" s="17">
        <v>44881</v>
      </c>
      <c r="G324">
        <v>22</v>
      </c>
      <c r="H324" s="3">
        <v>21.7</v>
      </c>
      <c r="I324" s="3">
        <f t="shared" si="43"/>
        <v>21.24</v>
      </c>
      <c r="J324" s="3">
        <f>($A$72-$A$47)*$A$75</f>
        <v>1.24</v>
      </c>
      <c r="K324" s="6">
        <f t="shared" si="44"/>
        <v>5018.0847244094484</v>
      </c>
      <c r="L324" s="4">
        <v>8.92</v>
      </c>
      <c r="M324" s="4">
        <v>122.37</v>
      </c>
      <c r="N324" s="4">
        <f>M324-L324</f>
        <v>113.45</v>
      </c>
      <c r="O324" s="4">
        <v>108.95</v>
      </c>
      <c r="P324" s="7">
        <f>(N324-O324)/N324*100</f>
        <v>3.9665050683120318</v>
      </c>
      <c r="Q324" s="6">
        <f>K324*(1-P324/100)</f>
        <v>4819.0421394835557</v>
      </c>
      <c r="R324" s="14">
        <v>44882</v>
      </c>
      <c r="S324" s="4">
        <v>9.76</v>
      </c>
      <c r="T324" s="4">
        <v>3.8</v>
      </c>
      <c r="U324" s="4">
        <v>6.36</v>
      </c>
      <c r="V324" s="8">
        <f>(T324-$A$76)/(S324-$A$47*$A$48)</f>
        <v>0.37900410719840949</v>
      </c>
      <c r="W324" s="8">
        <f>(U324-$A$77)/(S324-$A$47*$A$48)</f>
        <v>0.48788926506756591</v>
      </c>
      <c r="X324" s="8">
        <f>1-V324-W324</f>
        <v>0.1331066277340246</v>
      </c>
      <c r="Y324" s="6">
        <f>K324*V324</f>
        <v>1901.8747208207797</v>
      </c>
      <c r="Z324" s="6">
        <f>K324*W324</f>
        <v>2448.2696682389046</v>
      </c>
      <c r="AA324" s="6">
        <f>SUM(Y324:Z324)</f>
        <v>4350.1443890596838</v>
      </c>
      <c r="AB324" s="6">
        <f>Q324*V324</f>
        <v>1826.4367636264781</v>
      </c>
      <c r="AC324" s="6">
        <f>Q324*W324</f>
        <v>2351.1589277622625</v>
      </c>
      <c r="AD324" s="6">
        <f>SUM(AB324:AC324)</f>
        <v>4177.5956913887403</v>
      </c>
      <c r="AE324" s="10">
        <v>990131042088</v>
      </c>
      <c r="AF324" s="14">
        <v>44980</v>
      </c>
      <c r="AG324" s="6">
        <v>49.5</v>
      </c>
      <c r="AH324" s="11">
        <v>1.0629999999999999</v>
      </c>
      <c r="AI324" s="6">
        <v>80.2</v>
      </c>
      <c r="AJ324" s="6">
        <v>28.6</v>
      </c>
      <c r="AK324" s="6">
        <v>5.5</v>
      </c>
      <c r="AL324" s="6">
        <v>78.900000000000006</v>
      </c>
      <c r="AM324" s="6">
        <v>9.1999999999999993</v>
      </c>
      <c r="AN324" s="16" t="s">
        <v>148</v>
      </c>
      <c r="AO324" s="12">
        <v>8</v>
      </c>
      <c r="AP324" s="7">
        <v>0.14000000000000001</v>
      </c>
      <c r="AQ324" s="6">
        <v>10</v>
      </c>
      <c r="AV324" s="3"/>
      <c r="AW324" s="3"/>
      <c r="AX324" s="3"/>
      <c r="AY324" s="3"/>
      <c r="AZ324" s="4"/>
      <c r="BA324" s="4"/>
      <c r="BB324" s="4"/>
      <c r="BC324" s="4"/>
      <c r="BD324" s="4"/>
      <c r="BE324" s="3"/>
      <c r="BF324" s="3"/>
      <c r="BG324" s="4"/>
      <c r="BH324" s="4"/>
      <c r="BI324" s="4"/>
      <c r="BJ324" s="9"/>
      <c r="BK324" s="9"/>
      <c r="BL324" s="9"/>
      <c r="BM324" s="3"/>
      <c r="BN324" s="3"/>
      <c r="BO324" s="3"/>
      <c r="BP324" s="3"/>
      <c r="BQ324" s="3"/>
      <c r="BR324" s="3"/>
      <c r="BT324" s="15"/>
      <c r="BU324" s="3"/>
      <c r="BV324" s="13"/>
      <c r="BW324" s="3"/>
      <c r="BX324" s="3"/>
      <c r="BY324" s="3"/>
      <c r="BZ324" s="3"/>
      <c r="CA324" s="3"/>
      <c r="CB324" s="10"/>
      <c r="CC324" s="10"/>
      <c r="CD324" s="4"/>
      <c r="CE324" s="3"/>
    </row>
    <row r="325" spans="1:83" x14ac:dyDescent="0.25">
      <c r="A325" s="2">
        <f t="shared" si="50"/>
        <v>10</v>
      </c>
      <c r="B325" s="2">
        <v>4</v>
      </c>
      <c r="C325" t="s">
        <v>8</v>
      </c>
      <c r="D325" s="5" t="str">
        <f t="shared" si="41"/>
        <v>p10-4-SE</v>
      </c>
      <c r="E325" s="5" t="s">
        <v>468</v>
      </c>
      <c r="F325" s="17">
        <v>44881</v>
      </c>
      <c r="G325">
        <v>22</v>
      </c>
      <c r="H325" s="3">
        <v>20.7</v>
      </c>
      <c r="I325" s="3">
        <f t="shared" si="43"/>
        <v>20.239999999999998</v>
      </c>
      <c r="J325" s="3">
        <f>($A$72-$A$47)*$A$75</f>
        <v>1.24</v>
      </c>
      <c r="K325" s="6">
        <f t="shared" si="44"/>
        <v>4794.8603149606288</v>
      </c>
      <c r="L325" s="4"/>
      <c r="M325" s="4"/>
      <c r="N325" s="4"/>
      <c r="O325" s="4"/>
      <c r="P325" s="7"/>
      <c r="Q325" s="6"/>
      <c r="R325" s="14"/>
      <c r="S325" s="4"/>
      <c r="T325" s="4"/>
      <c r="U325" s="4"/>
      <c r="V325" s="8"/>
      <c r="W325" s="8"/>
      <c r="X325" s="8"/>
      <c r="Y325" s="6"/>
      <c r="Z325" s="6"/>
      <c r="AA325" s="6"/>
      <c r="AB325" s="6"/>
      <c r="AC325" s="6"/>
      <c r="AD325" s="6"/>
      <c r="AE325" s="10"/>
      <c r="AF325" s="14"/>
      <c r="AG325" s="6"/>
      <c r="AH325" s="11"/>
      <c r="AI325" s="6"/>
      <c r="AJ325" s="6"/>
      <c r="AK325" s="6"/>
      <c r="AL325" s="6"/>
      <c r="AM325" s="6"/>
      <c r="AN325" s="16"/>
      <c r="AO325" s="12"/>
      <c r="AP325" s="7"/>
      <c r="AQ325" s="6"/>
      <c r="AV325" s="3"/>
      <c r="AW325" s="3"/>
      <c r="AX325" s="3"/>
      <c r="AY325" s="3"/>
      <c r="AZ325" s="4"/>
      <c r="BA325" s="4"/>
      <c r="BB325" s="4"/>
      <c r="BC325" s="4"/>
      <c r="BD325" s="4"/>
      <c r="BE325" s="3"/>
      <c r="BF325" s="3"/>
      <c r="BG325" s="4"/>
      <c r="BH325" s="4"/>
      <c r="BI325" s="4"/>
      <c r="BJ325" s="9"/>
      <c r="BK325" s="9"/>
      <c r="BL325" s="9"/>
      <c r="BM325" s="3"/>
      <c r="BN325" s="3"/>
      <c r="BO325" s="3"/>
      <c r="BP325" s="3"/>
      <c r="BQ325" s="3"/>
      <c r="BR325" s="3"/>
      <c r="BT325" s="15"/>
      <c r="BU325" s="3"/>
      <c r="BV325" s="13"/>
      <c r="BW325" s="3"/>
      <c r="BX325" s="3"/>
      <c r="BY325" s="3"/>
      <c r="BZ325" s="3"/>
      <c r="CA325" s="3"/>
      <c r="CB325" s="10"/>
      <c r="CC325" s="10"/>
      <c r="CD325" s="4"/>
      <c r="CE325" s="3"/>
    </row>
    <row r="326" spans="1:83" x14ac:dyDescent="0.25">
      <c r="A326" s="2">
        <f t="shared" si="50"/>
        <v>11</v>
      </c>
      <c r="B326" s="2">
        <v>1</v>
      </c>
      <c r="C326" t="s">
        <v>4</v>
      </c>
      <c r="D326" s="5" t="str">
        <f t="shared" si="41"/>
        <v>p11-1-NW</v>
      </c>
      <c r="E326" s="5" t="s">
        <v>468</v>
      </c>
      <c r="F326" s="17">
        <v>44881</v>
      </c>
      <c r="G326">
        <v>11</v>
      </c>
      <c r="H326" s="3">
        <v>25.5</v>
      </c>
      <c r="I326" s="3">
        <f t="shared" si="43"/>
        <v>25.04</v>
      </c>
      <c r="J326" s="3">
        <f>($A$61-$A$47)*$A$75</f>
        <v>0.97750000000000004</v>
      </c>
      <c r="K326" s="6">
        <f t="shared" si="44"/>
        <v>5807.7410728346458</v>
      </c>
      <c r="L326" s="4"/>
      <c r="M326" s="4"/>
      <c r="N326" s="4"/>
      <c r="O326" s="4"/>
      <c r="P326" s="7"/>
      <c r="Q326" s="6"/>
      <c r="R326" s="14"/>
      <c r="S326" s="4"/>
      <c r="T326" s="4"/>
      <c r="U326" s="4"/>
      <c r="V326" s="8"/>
      <c r="W326" s="8"/>
      <c r="X326" s="8"/>
      <c r="Y326" s="6"/>
      <c r="Z326" s="6"/>
      <c r="AA326" s="6"/>
      <c r="AB326" s="6"/>
      <c r="AC326" s="6"/>
      <c r="AD326" s="6"/>
      <c r="AE326" s="10"/>
      <c r="AF326" s="14"/>
      <c r="AG326" s="6"/>
      <c r="AH326" s="11"/>
      <c r="AI326" s="6"/>
      <c r="AJ326" s="6"/>
      <c r="AK326" s="6"/>
      <c r="AL326" s="6"/>
      <c r="AM326" s="6"/>
      <c r="AN326" s="16"/>
      <c r="AO326" s="12"/>
      <c r="AP326" s="7"/>
      <c r="AQ326" s="6"/>
      <c r="AS326" s="4" t="s">
        <v>126</v>
      </c>
      <c r="AT326" s="4" t="str">
        <f>E326</f>
        <v>Machine</v>
      </c>
      <c r="AU326" s="15">
        <f>F326</f>
        <v>44881</v>
      </c>
      <c r="AV326" s="3">
        <f>SUM(H326:H331)</f>
        <v>135.6</v>
      </c>
      <c r="AW326" s="3">
        <f>AV326-6*$A$47</f>
        <v>132.84</v>
      </c>
      <c r="AX326" s="3">
        <f>SUM(J326:J331)</f>
        <v>5.7150000000000007</v>
      </c>
      <c r="AY326" s="3">
        <f>(AW326+AX326)*$A$48/(6*$A$49)*$A$50</f>
        <v>5154.8096751968505</v>
      </c>
      <c r="AZ326" s="4">
        <f>SUM(L326:L331)</f>
        <v>17.190000000000001</v>
      </c>
      <c r="BA326" s="4">
        <f>SUM(M326:M331)</f>
        <v>359.42</v>
      </c>
      <c r="BB326" s="4">
        <f>BA326-AZ326</f>
        <v>342.23</v>
      </c>
      <c r="BC326" s="4">
        <f>SUM(O326:O331)</f>
        <v>326.73</v>
      </c>
      <c r="BD326" s="4">
        <f>(BB326-BC326)/BB326*100</f>
        <v>4.5291178447243077</v>
      </c>
      <c r="BE326" s="3">
        <f>AY326*(1-BD326/100)</f>
        <v>4921.3422703359347</v>
      </c>
      <c r="BF326" s="15">
        <f>R327</f>
        <v>44882</v>
      </c>
      <c r="BG326" s="4">
        <f>SUM(S326:S331)</f>
        <v>20.149999999999999</v>
      </c>
      <c r="BH326" s="4">
        <f>SUM(T326:T331)</f>
        <v>7.32</v>
      </c>
      <c r="BI326" s="4">
        <f>SUM(U326:U331)</f>
        <v>13.120000000000001</v>
      </c>
      <c r="BJ326" s="9">
        <f>(BH326-2*$A$76)/(BG326-2*$A$47*$A$48)</f>
        <v>0.35271410585441687</v>
      </c>
      <c r="BK326" s="9">
        <f>(BI326-2*$A$77)/(BG326-2*$A$47*$A$48)</f>
        <v>0.49258349265875467</v>
      </c>
      <c r="BL326" s="9">
        <f>1-BJ326-BK326</f>
        <v>0.15470240148682846</v>
      </c>
      <c r="BM326" s="3">
        <f>AY326*BJ326</f>
        <v>1818.1740854367542</v>
      </c>
      <c r="BN326" s="3">
        <f>AY326*BK326</f>
        <v>2539.1741537996054</v>
      </c>
      <c r="BO326" s="3">
        <f>SUM(BM326:BN326)</f>
        <v>4357.3482392363594</v>
      </c>
      <c r="BP326" s="3">
        <f>BE326*BJ326</f>
        <v>1735.8268384850851</v>
      </c>
      <c r="BQ326" s="3">
        <f>BE326*BK326</f>
        <v>2424.1719640912402</v>
      </c>
      <c r="BR326" s="3">
        <f>SUM(BP326:BQ326)</f>
        <v>4159.998802576325</v>
      </c>
      <c r="BS326" s="3"/>
      <c r="BT326" s="15">
        <f>AF327</f>
        <v>44980</v>
      </c>
      <c r="BU326" s="3">
        <f t="shared" ref="BU326:CA326" si="54">AVERAGE(AG326:AG331)</f>
        <v>48.3</v>
      </c>
      <c r="BV326" s="13">
        <f t="shared" si="54"/>
        <v>1.0945</v>
      </c>
      <c r="BW326" s="3">
        <f t="shared" si="54"/>
        <v>80.5</v>
      </c>
      <c r="BX326" s="3">
        <f t="shared" si="54"/>
        <v>28.15</v>
      </c>
      <c r="BY326" s="3">
        <f t="shared" si="54"/>
        <v>5.5</v>
      </c>
      <c r="BZ326" s="3">
        <f t="shared" si="54"/>
        <v>79.099999999999994</v>
      </c>
      <c r="CA326" s="3">
        <f t="shared" si="54"/>
        <v>9.1</v>
      </c>
      <c r="CB326" s="13"/>
      <c r="CC326" s="10">
        <f>AVERAGE(AO326:AO331)</f>
        <v>13</v>
      </c>
      <c r="CD326" s="4">
        <f>AVERAGE(AP326:AP331)</f>
        <v>0.31</v>
      </c>
      <c r="CE326" s="3">
        <f>AVERAGE(AQ326:AQ331)</f>
        <v>9.25</v>
      </c>
    </row>
    <row r="327" spans="1:83" x14ac:dyDescent="0.25">
      <c r="A327" s="2">
        <f t="shared" si="50"/>
        <v>11</v>
      </c>
      <c r="B327" s="2">
        <v>1</v>
      </c>
      <c r="C327" t="s">
        <v>5</v>
      </c>
      <c r="D327" s="5" t="str">
        <f t="shared" si="41"/>
        <v>p11-1-MW</v>
      </c>
      <c r="E327" s="5" t="s">
        <v>468</v>
      </c>
      <c r="F327" s="17">
        <v>44881</v>
      </c>
      <c r="G327">
        <v>11</v>
      </c>
      <c r="H327" s="3">
        <v>26.5</v>
      </c>
      <c r="I327" s="3">
        <f t="shared" si="43"/>
        <v>26.04</v>
      </c>
      <c r="J327" s="3">
        <f>($A$61-$A$47)*$A$75</f>
        <v>0.97750000000000004</v>
      </c>
      <c r="K327" s="6">
        <f t="shared" si="44"/>
        <v>6030.9654822834646</v>
      </c>
      <c r="L327" s="4">
        <v>8.4600000000000009</v>
      </c>
      <c r="M327" s="4">
        <v>176.24</v>
      </c>
      <c r="N327" s="4">
        <f>M327-L327</f>
        <v>167.78</v>
      </c>
      <c r="O327" s="4">
        <v>159.19999999999999</v>
      </c>
      <c r="P327" s="7">
        <f>(N327-O327)/N327*100</f>
        <v>5.1138395517940234</v>
      </c>
      <c r="Q327" s="6">
        <f>K327*(1-P327/100)</f>
        <v>5722.5515840954076</v>
      </c>
      <c r="R327" s="14">
        <v>44882</v>
      </c>
      <c r="S327" s="4">
        <v>11.79</v>
      </c>
      <c r="T327" s="4">
        <v>4.46</v>
      </c>
      <c r="U327" s="4">
        <v>7.46</v>
      </c>
      <c r="V327" s="8">
        <f>(T327-$A$76)/(S327-$A$47*$A$48)</f>
        <v>0.36955975403373786</v>
      </c>
      <c r="W327" s="8">
        <f>(U327-$A$77)/(S327-$A$47*$A$48)</f>
        <v>0.49735144468091819</v>
      </c>
      <c r="X327" s="8">
        <f>1-V327-W327</f>
        <v>0.13308880128534395</v>
      </c>
      <c r="Y327" s="6">
        <f>K327*V327</f>
        <v>2228.8021202186405</v>
      </c>
      <c r="Z327" s="6">
        <f>K327*W327</f>
        <v>2999.5093954344316</v>
      </c>
      <c r="AA327" s="6">
        <f>SUM(Y327:Z327)</f>
        <v>5228.3115156530721</v>
      </c>
      <c r="AB327" s="6">
        <f>Q327*V327</f>
        <v>2114.8247558636758</v>
      </c>
      <c r="AC327" s="6">
        <f>Q327*W327</f>
        <v>2846.1192976109278</v>
      </c>
      <c r="AD327" s="6">
        <f>SUM(AB327:AC327)</f>
        <v>4960.9440534746036</v>
      </c>
      <c r="AE327" s="10">
        <v>990131111041</v>
      </c>
      <c r="AF327" s="14">
        <v>44980</v>
      </c>
      <c r="AG327" s="6">
        <v>49.1</v>
      </c>
      <c r="AH327" s="11">
        <v>1.091</v>
      </c>
      <c r="AI327" s="6">
        <v>81.099999999999994</v>
      </c>
      <c r="AJ327" s="6">
        <v>28.2</v>
      </c>
      <c r="AK327" s="6">
        <v>5.5</v>
      </c>
      <c r="AL327" s="6">
        <v>78.7</v>
      </c>
      <c r="AM327" s="6">
        <v>9.1999999999999993</v>
      </c>
      <c r="AN327" s="16" t="s">
        <v>148</v>
      </c>
      <c r="AO327" s="12">
        <v>13</v>
      </c>
      <c r="AP327" s="7">
        <v>0.32</v>
      </c>
      <c r="AQ327" s="6">
        <v>9.3000000000000007</v>
      </c>
      <c r="AV327" s="3"/>
      <c r="AW327" s="3"/>
      <c r="AX327" s="3"/>
      <c r="AY327" s="3"/>
      <c r="AZ327" s="4"/>
      <c r="BA327" s="4"/>
      <c r="BB327" s="4"/>
      <c r="BC327" s="4"/>
      <c r="BD327" s="4"/>
      <c r="BE327" s="3"/>
      <c r="BF327" s="3"/>
      <c r="BG327" s="4"/>
      <c r="BH327" s="4"/>
      <c r="BI327" s="4"/>
      <c r="BJ327" s="9"/>
      <c r="BK327" s="9"/>
      <c r="BL327" s="9"/>
      <c r="BM327" s="3"/>
      <c r="BN327" s="3"/>
      <c r="BO327" s="3"/>
      <c r="BP327" s="3"/>
      <c r="BQ327" s="3"/>
      <c r="BR327" s="3"/>
      <c r="BT327" s="15"/>
      <c r="BU327" s="3"/>
      <c r="BV327" s="13"/>
      <c r="BW327" s="3"/>
      <c r="BX327" s="3"/>
      <c r="BY327" s="3"/>
      <c r="BZ327" s="3"/>
      <c r="CA327" s="3"/>
      <c r="CB327" s="10"/>
      <c r="CC327" s="10"/>
      <c r="CD327" s="4"/>
      <c r="CE327" s="3"/>
    </row>
    <row r="328" spans="1:83" x14ac:dyDescent="0.25">
      <c r="A328" s="2">
        <f t="shared" si="50"/>
        <v>11</v>
      </c>
      <c r="B328" s="2">
        <v>1</v>
      </c>
      <c r="C328" t="s">
        <v>6</v>
      </c>
      <c r="D328" s="5" t="str">
        <f t="shared" si="41"/>
        <v>p11-1-SW</v>
      </c>
      <c r="E328" s="5" t="s">
        <v>468</v>
      </c>
      <c r="F328" s="17">
        <v>44881</v>
      </c>
      <c r="G328">
        <v>11</v>
      </c>
      <c r="H328" s="3">
        <v>24.6</v>
      </c>
      <c r="I328" s="3">
        <f t="shared" si="43"/>
        <v>24.14</v>
      </c>
      <c r="J328" s="3">
        <f>($A$61-$A$47)*$A$75</f>
        <v>0.97750000000000004</v>
      </c>
      <c r="K328" s="6">
        <f t="shared" si="44"/>
        <v>5606.8391043307083</v>
      </c>
      <c r="L328" s="4"/>
      <c r="M328" s="4"/>
      <c r="N328" s="4"/>
      <c r="O328" s="4"/>
      <c r="P328" s="7"/>
      <c r="Q328" s="6"/>
      <c r="R328" s="14"/>
      <c r="S328" s="4"/>
      <c r="T328" s="4"/>
      <c r="U328" s="4"/>
      <c r="V328" s="8"/>
      <c r="W328" s="8"/>
      <c r="X328" s="8"/>
      <c r="Y328" s="6"/>
      <c r="Z328" s="6"/>
      <c r="AA328" s="6"/>
      <c r="AB328" s="6"/>
      <c r="AC328" s="6"/>
      <c r="AD328" s="6"/>
      <c r="AE328" s="10"/>
      <c r="AF328" s="14"/>
      <c r="AG328" s="6"/>
      <c r="AH328" s="11"/>
      <c r="AI328" s="6"/>
      <c r="AJ328" s="6"/>
      <c r="AK328" s="6"/>
      <c r="AL328" s="6"/>
      <c r="AM328" s="6"/>
      <c r="AN328" s="16"/>
      <c r="AO328" s="12"/>
      <c r="AP328" s="7"/>
      <c r="AQ328" s="6"/>
      <c r="AV328" s="3"/>
      <c r="AW328" s="3"/>
      <c r="AX328" s="3"/>
      <c r="AY328" s="3"/>
      <c r="AZ328" s="4"/>
      <c r="BA328" s="4"/>
      <c r="BB328" s="4"/>
      <c r="BC328" s="4"/>
      <c r="BD328" s="4"/>
      <c r="BE328" s="3"/>
      <c r="BF328" s="3"/>
      <c r="BG328" s="4"/>
      <c r="BH328" s="4"/>
      <c r="BI328" s="4"/>
      <c r="BJ328" s="9"/>
      <c r="BK328" s="9"/>
      <c r="BL328" s="9"/>
      <c r="BM328" s="3"/>
      <c r="BN328" s="3"/>
      <c r="BO328" s="3"/>
      <c r="BP328" s="3"/>
      <c r="BQ328" s="3"/>
      <c r="BR328" s="3"/>
      <c r="BS328" s="4"/>
      <c r="BT328" s="15"/>
      <c r="BU328" s="3"/>
      <c r="BV328" s="13"/>
      <c r="BW328" s="3"/>
      <c r="BX328" s="3"/>
      <c r="BY328" s="3"/>
      <c r="BZ328" s="3"/>
      <c r="CA328" s="3"/>
      <c r="CB328" s="10"/>
      <c r="CC328" s="10"/>
      <c r="CD328" s="4"/>
      <c r="CE328" s="3"/>
    </row>
    <row r="329" spans="1:83" x14ac:dyDescent="0.25">
      <c r="A329" s="2">
        <f t="shared" si="50"/>
        <v>11</v>
      </c>
      <c r="B329" s="2">
        <v>1</v>
      </c>
      <c r="C329" t="s">
        <v>7</v>
      </c>
      <c r="D329" s="5" t="str">
        <f t="shared" si="41"/>
        <v>p11-1-NE</v>
      </c>
      <c r="E329" s="5" t="s">
        <v>468</v>
      </c>
      <c r="F329" s="17">
        <v>44881</v>
      </c>
      <c r="G329">
        <v>23</v>
      </c>
      <c r="H329" s="3">
        <v>19.899999999999999</v>
      </c>
      <c r="I329" s="3">
        <f t="shared" si="43"/>
        <v>19.439999999999998</v>
      </c>
      <c r="J329" s="3">
        <f>($A$73-$A$47)*$A$75</f>
        <v>0.92749999999999999</v>
      </c>
      <c r="K329" s="6">
        <f t="shared" si="44"/>
        <v>4546.5231594488178</v>
      </c>
      <c r="L329" s="4"/>
      <c r="M329" s="4"/>
      <c r="N329" s="4"/>
      <c r="O329" s="4"/>
      <c r="P329" s="7"/>
      <c r="Q329" s="6"/>
      <c r="R329" s="14"/>
      <c r="S329" s="4"/>
      <c r="T329" s="4"/>
      <c r="U329" s="4"/>
      <c r="V329" s="8"/>
      <c r="W329" s="8"/>
      <c r="X329" s="8"/>
      <c r="Y329" s="6"/>
      <c r="Z329" s="6"/>
      <c r="AA329" s="6"/>
      <c r="AB329" s="6"/>
      <c r="AC329" s="6"/>
      <c r="AD329" s="6"/>
      <c r="AE329" s="10"/>
      <c r="AF329" s="14"/>
      <c r="AG329" s="6"/>
      <c r="AH329" s="11"/>
      <c r="AI329" s="6"/>
      <c r="AJ329" s="6"/>
      <c r="AK329" s="6"/>
      <c r="AL329" s="6"/>
      <c r="AM329" s="6"/>
      <c r="AN329" s="16"/>
      <c r="AO329" s="12"/>
      <c r="AP329" s="7"/>
      <c r="AQ329" s="6"/>
      <c r="AV329" s="3"/>
      <c r="AW329" s="3"/>
      <c r="AX329" s="3"/>
      <c r="AY329" s="3"/>
      <c r="AZ329" s="4"/>
      <c r="BA329" s="4"/>
      <c r="BB329" s="4"/>
      <c r="BC329" s="4"/>
      <c r="BD329" s="4"/>
      <c r="BE329" s="3"/>
      <c r="BF329" s="3"/>
      <c r="BG329" s="4"/>
      <c r="BH329" s="4"/>
      <c r="BI329" s="4"/>
      <c r="BJ329" s="9"/>
      <c r="BK329" s="9"/>
      <c r="BL329" s="9"/>
      <c r="BM329" s="3"/>
      <c r="BN329" s="3"/>
      <c r="BO329" s="3"/>
      <c r="BP329" s="3"/>
      <c r="BQ329" s="3"/>
      <c r="BR329" s="3"/>
      <c r="BT329" s="15"/>
      <c r="BU329" s="3"/>
      <c r="BV329" s="13"/>
      <c r="BW329" s="3"/>
      <c r="BX329" s="3"/>
      <c r="BY329" s="3"/>
      <c r="BZ329" s="3"/>
      <c r="CA329" s="3"/>
      <c r="CB329" s="10"/>
      <c r="CC329" s="10"/>
      <c r="CD329" s="4"/>
      <c r="CE329" s="3"/>
    </row>
    <row r="330" spans="1:83" x14ac:dyDescent="0.25">
      <c r="A330" s="2">
        <f t="shared" si="50"/>
        <v>11</v>
      </c>
      <c r="B330" s="2">
        <v>1</v>
      </c>
      <c r="C330" t="s">
        <v>18</v>
      </c>
      <c r="D330" s="5" t="str">
        <f t="shared" si="41"/>
        <v>p11-1-ME</v>
      </c>
      <c r="E330" s="5" t="s">
        <v>468</v>
      </c>
      <c r="F330" s="17">
        <v>44881</v>
      </c>
      <c r="G330">
        <v>23</v>
      </c>
      <c r="H330" s="3">
        <v>18.899999999999999</v>
      </c>
      <c r="I330" s="3">
        <f t="shared" si="43"/>
        <v>18.439999999999998</v>
      </c>
      <c r="J330" s="3">
        <f>($A$73-$A$47)*$A$75</f>
        <v>0.92749999999999999</v>
      </c>
      <c r="K330" s="6">
        <f t="shared" si="44"/>
        <v>4323.298749999999</v>
      </c>
      <c r="L330" s="4">
        <v>8.73</v>
      </c>
      <c r="M330" s="4">
        <v>183.18</v>
      </c>
      <c r="N330" s="4">
        <f>M330-L330</f>
        <v>174.45000000000002</v>
      </c>
      <c r="O330" s="4">
        <v>167.53</v>
      </c>
      <c r="P330" s="7">
        <f>(N330-O330)/N330*100</f>
        <v>3.9667526511894611</v>
      </c>
      <c r="Q330" s="6">
        <f>K330*(1-P330/100)</f>
        <v>4151.8041822155328</v>
      </c>
      <c r="R330" s="14">
        <v>44882</v>
      </c>
      <c r="S330" s="4">
        <v>8.36</v>
      </c>
      <c r="T330" s="4">
        <v>2.86</v>
      </c>
      <c r="U330" s="4">
        <v>5.66</v>
      </c>
      <c r="V330" s="8">
        <f>(T330-$A$76)/(S330-$A$47*$A$48)</f>
        <v>0.32877998893061572</v>
      </c>
      <c r="W330" s="8">
        <f>(U330-$A$77)/(S330-$A$47*$A$48)</f>
        <v>0.48580923737508896</v>
      </c>
      <c r="X330" s="8">
        <f>1-V330-W330</f>
        <v>0.18541077369429526</v>
      </c>
      <c r="Y330" s="6">
        <f>K330*V330</f>
        <v>1421.4141151687445</v>
      </c>
      <c r="Z330" s="6">
        <f>K330*W330</f>
        <v>2100.2984686821751</v>
      </c>
      <c r="AA330" s="6">
        <f>SUM(Y330:Z330)</f>
        <v>3521.7125838509196</v>
      </c>
      <c r="AB330" s="6">
        <f>Q330*V330</f>
        <v>1365.0301330709069</v>
      </c>
      <c r="AC330" s="6">
        <f>Q330*W330</f>
        <v>2016.9848234928329</v>
      </c>
      <c r="AD330" s="6">
        <f>SUM(AB330:AC330)</f>
        <v>3382.0149565637398</v>
      </c>
      <c r="AE330" s="10">
        <v>990131112089</v>
      </c>
      <c r="AF330" s="14">
        <v>44980</v>
      </c>
      <c r="AG330" s="6">
        <v>47.5</v>
      </c>
      <c r="AH330" s="11">
        <v>1.0980000000000001</v>
      </c>
      <c r="AI330" s="6">
        <v>79.900000000000006</v>
      </c>
      <c r="AJ330" s="6">
        <v>28.1</v>
      </c>
      <c r="AK330" s="6">
        <v>5.5</v>
      </c>
      <c r="AL330" s="6">
        <v>79.5</v>
      </c>
      <c r="AM330" s="6">
        <v>9</v>
      </c>
      <c r="AN330" s="16" t="s">
        <v>148</v>
      </c>
      <c r="AO330" s="12">
        <v>13</v>
      </c>
      <c r="AP330" s="7">
        <v>0.3</v>
      </c>
      <c r="AQ330" s="6">
        <v>9.1999999999999993</v>
      </c>
      <c r="AV330" s="3"/>
      <c r="AW330" s="3"/>
      <c r="AX330" s="3"/>
      <c r="AY330" s="3"/>
      <c r="AZ330" s="4"/>
      <c r="BA330" s="4"/>
      <c r="BB330" s="4"/>
      <c r="BC330" s="4"/>
      <c r="BD330" s="4"/>
      <c r="BE330" s="3"/>
      <c r="BF330" s="3"/>
      <c r="BG330" s="4"/>
      <c r="BH330" s="4"/>
      <c r="BI330" s="4"/>
      <c r="BJ330" s="9"/>
      <c r="BK330" s="9"/>
      <c r="BL330" s="9"/>
      <c r="BM330" s="3"/>
      <c r="BN330" s="3"/>
      <c r="BO330" s="3"/>
      <c r="BP330" s="3"/>
      <c r="BQ330" s="3"/>
      <c r="BR330" s="3"/>
      <c r="BT330" s="15"/>
      <c r="BU330" s="3"/>
      <c r="BV330" s="13"/>
      <c r="BW330" s="3"/>
      <c r="BX330" s="3"/>
      <c r="BY330" s="3"/>
      <c r="BZ330" s="3"/>
      <c r="CA330" s="3"/>
      <c r="CB330" s="10"/>
      <c r="CC330" s="10"/>
      <c r="CD330" s="4"/>
      <c r="CE330" s="3"/>
    </row>
    <row r="331" spans="1:83" x14ac:dyDescent="0.25">
      <c r="A331" s="2">
        <f t="shared" si="50"/>
        <v>11</v>
      </c>
      <c r="B331" s="2">
        <v>1</v>
      </c>
      <c r="C331" t="s">
        <v>8</v>
      </c>
      <c r="D331" s="5" t="str">
        <f t="shared" si="41"/>
        <v>p11-1-SE</v>
      </c>
      <c r="E331" s="5" t="s">
        <v>468</v>
      </c>
      <c r="F331" s="17">
        <v>44881</v>
      </c>
      <c r="G331">
        <v>23</v>
      </c>
      <c r="H331" s="3">
        <v>20.2</v>
      </c>
      <c r="I331" s="3">
        <f t="shared" si="43"/>
        <v>19.739999999999998</v>
      </c>
      <c r="J331" s="3">
        <f>($A$73-$A$47)*$A$75</f>
        <v>0.92749999999999999</v>
      </c>
      <c r="K331" s="6">
        <f t="shared" si="44"/>
        <v>4613.4904822834642</v>
      </c>
      <c r="L331" s="4"/>
      <c r="M331" s="4"/>
      <c r="N331" s="4"/>
      <c r="O331" s="4"/>
      <c r="P331" s="7"/>
      <c r="Q331" s="6"/>
      <c r="R331" s="14"/>
      <c r="S331" s="4"/>
      <c r="T331" s="4"/>
      <c r="U331" s="4"/>
      <c r="V331" s="8"/>
      <c r="W331" s="8"/>
      <c r="X331" s="8"/>
      <c r="Y331" s="6"/>
      <c r="Z331" s="6"/>
      <c r="AA331" s="6"/>
      <c r="AB331" s="6"/>
      <c r="AC331" s="6"/>
      <c r="AD331" s="6"/>
      <c r="AE331" s="10"/>
      <c r="AF331" s="14"/>
      <c r="AG331" s="6"/>
      <c r="AH331" s="11"/>
      <c r="AI331" s="6"/>
      <c r="AJ331" s="6"/>
      <c r="AK331" s="6"/>
      <c r="AL331" s="6"/>
      <c r="AM331" s="6"/>
      <c r="AN331" s="16"/>
      <c r="AO331" s="12"/>
      <c r="AP331" s="7"/>
      <c r="AQ331" s="6"/>
      <c r="AV331" s="3"/>
      <c r="AW331" s="3"/>
      <c r="AX331" s="3"/>
      <c r="AY331" s="3"/>
      <c r="AZ331" s="4"/>
      <c r="BA331" s="4"/>
      <c r="BB331" s="4"/>
      <c r="BC331" s="4"/>
      <c r="BD331" s="4"/>
      <c r="BE331" s="3"/>
      <c r="BF331" s="3"/>
      <c r="BG331" s="4"/>
      <c r="BH331" s="4"/>
      <c r="BI331" s="4"/>
      <c r="BJ331" s="9"/>
      <c r="BK331" s="9"/>
      <c r="BL331" s="9"/>
      <c r="BM331" s="3"/>
      <c r="BN331" s="3"/>
      <c r="BO331" s="3"/>
      <c r="BP331" s="3"/>
      <c r="BQ331" s="3"/>
      <c r="BR331" s="3"/>
      <c r="BT331" s="15"/>
      <c r="BU331" s="3"/>
      <c r="BV331" s="13"/>
      <c r="BW331" s="3"/>
      <c r="BX331" s="3"/>
      <c r="BY331" s="3"/>
      <c r="BZ331" s="3"/>
      <c r="CA331" s="3"/>
      <c r="CB331" s="10"/>
      <c r="CC331" s="10"/>
      <c r="CD331" s="4"/>
      <c r="CE331" s="3"/>
    </row>
    <row r="332" spans="1:83" x14ac:dyDescent="0.25">
      <c r="A332" s="2">
        <f t="shared" si="50"/>
        <v>11</v>
      </c>
      <c r="B332" s="2">
        <v>2</v>
      </c>
      <c r="C332" t="s">
        <v>4</v>
      </c>
      <c r="D332" s="5" t="str">
        <f t="shared" si="41"/>
        <v>p11-2-NW</v>
      </c>
      <c r="E332" s="5" t="s">
        <v>468</v>
      </c>
      <c r="F332" s="17">
        <v>44881</v>
      </c>
      <c r="G332">
        <v>11</v>
      </c>
      <c r="H332" s="3">
        <v>21.5</v>
      </c>
      <c r="I332" s="3">
        <f t="shared" si="43"/>
        <v>21.04</v>
      </c>
      <c r="J332" s="3">
        <f>($A$61-$A$47)*$A$75</f>
        <v>0.97750000000000004</v>
      </c>
      <c r="K332" s="6">
        <f t="shared" si="44"/>
        <v>4914.8434350393691</v>
      </c>
      <c r="L332" s="4"/>
      <c r="M332" s="4"/>
      <c r="N332" s="4"/>
      <c r="O332" s="4"/>
      <c r="P332" s="7"/>
      <c r="Q332" s="6"/>
      <c r="R332" s="14"/>
      <c r="S332" s="4"/>
      <c r="T332" s="4"/>
      <c r="U332" s="4"/>
      <c r="V332" s="8"/>
      <c r="W332" s="8"/>
      <c r="X332" s="8"/>
      <c r="Y332" s="6"/>
      <c r="Z332" s="6"/>
      <c r="AA332" s="6"/>
      <c r="AB332" s="6"/>
      <c r="AC332" s="6"/>
      <c r="AD332" s="6"/>
      <c r="AE332" s="10"/>
      <c r="AF332" s="14"/>
      <c r="AG332" s="6"/>
      <c r="AH332" s="11"/>
      <c r="AI332" s="6"/>
      <c r="AJ332" s="6"/>
      <c r="AK332" s="6"/>
      <c r="AL332" s="6"/>
      <c r="AM332" s="6"/>
      <c r="AN332" s="16"/>
      <c r="AO332" s="12"/>
      <c r="AP332" s="7"/>
      <c r="AQ332" s="6"/>
      <c r="AS332" t="s">
        <v>127</v>
      </c>
      <c r="AT332" s="4" t="str">
        <f>E332</f>
        <v>Machine</v>
      </c>
      <c r="AU332" s="15">
        <f>F332</f>
        <v>44881</v>
      </c>
      <c r="AV332" s="3">
        <f>SUM(H332:H337)</f>
        <v>114.1</v>
      </c>
      <c r="AW332" s="3">
        <f>AV332-6*$A$47</f>
        <v>111.33999999999999</v>
      </c>
      <c r="AX332" s="3">
        <f>SUM(J332:J337)</f>
        <v>5.7150000000000007</v>
      </c>
      <c r="AY332" s="3">
        <f>(AW332+AX332)*$A$48/(6*$A$49)*$A$50</f>
        <v>4354.9222080052486</v>
      </c>
      <c r="AZ332" s="4">
        <f>SUM(L332:L337)</f>
        <v>17.16</v>
      </c>
      <c r="BA332" s="4">
        <f>SUM(M332:M337)</f>
        <v>329.29999999999995</v>
      </c>
      <c r="BB332" s="4">
        <f>BA332-AZ332</f>
        <v>312.13999999999993</v>
      </c>
      <c r="BC332" s="4">
        <f>SUM(O332:O337)</f>
        <v>298.69</v>
      </c>
      <c r="BD332" s="4">
        <f>(BB332-BC332)/BB332*100</f>
        <v>4.3089639264432416</v>
      </c>
      <c r="BE332" s="3">
        <f>AY332*(1-BD332/100)</f>
        <v>4167.2701810376366</v>
      </c>
      <c r="BF332" s="15">
        <f>R333</f>
        <v>44882</v>
      </c>
      <c r="BG332" s="4">
        <f>SUM(S332:S337)</f>
        <v>17.32</v>
      </c>
      <c r="BH332" s="4">
        <f>SUM(T332:T337)</f>
        <v>6.42</v>
      </c>
      <c r="BI332" s="4">
        <f>SUM(U332:U337)</f>
        <v>12</v>
      </c>
      <c r="BJ332" s="9">
        <f>(BH332-2*$A$76)/(BG332-2*$A$47*$A$48)</f>
        <v>0.3585227013166733</v>
      </c>
      <c r="BK332" s="9">
        <f>(BI332-2*$A$77)/(BG332-2*$A$47*$A$48)</f>
        <v>0.50879459262762217</v>
      </c>
      <c r="BL332" s="9">
        <f>1-BJ332-BK332</f>
        <v>0.13268270605570454</v>
      </c>
      <c r="BM332" s="3">
        <f>AY332*BJ332</f>
        <v>1561.3384740380131</v>
      </c>
      <c r="BN332" s="3">
        <f>AY332*BK332</f>
        <v>2215.7608707470154</v>
      </c>
      <c r="BO332" s="3">
        <f>SUM(BM332:BN332)</f>
        <v>3777.0993447850287</v>
      </c>
      <c r="BP332" s="3">
        <f>BE332*BJ332</f>
        <v>1494.0609624220356</v>
      </c>
      <c r="BQ332" s="3">
        <f>BE332*BK332</f>
        <v>2120.2845341302814</v>
      </c>
      <c r="BR332" s="3">
        <f>SUM(BP332:BQ332)</f>
        <v>3614.3454965523169</v>
      </c>
      <c r="BS332" s="3"/>
      <c r="BT332" s="15">
        <f>AF333</f>
        <v>44980</v>
      </c>
      <c r="BU332" s="3">
        <f t="shared" ref="BU332:CA332" si="55">AVERAGE(AG332:AG337)</f>
        <v>47.8</v>
      </c>
      <c r="BV332" s="13">
        <f t="shared" si="55"/>
        <v>1.0735000000000001</v>
      </c>
      <c r="BW332" s="3">
        <f t="shared" si="55"/>
        <v>79.75</v>
      </c>
      <c r="BX332" s="3">
        <f t="shared" si="55"/>
        <v>27.299999999999997</v>
      </c>
      <c r="BY332" s="3">
        <f t="shared" si="55"/>
        <v>5.5</v>
      </c>
      <c r="BZ332" s="3">
        <f t="shared" si="55"/>
        <v>78.55</v>
      </c>
      <c r="CA332" s="3">
        <f t="shared" si="55"/>
        <v>8.9499999999999993</v>
      </c>
      <c r="CB332" s="13"/>
      <c r="CC332" s="10">
        <f>AVERAGE(AO332:AO337)</f>
        <v>15</v>
      </c>
      <c r="CD332" s="4">
        <f>AVERAGE(AP332:AP337)</f>
        <v>0.245</v>
      </c>
      <c r="CE332" s="3">
        <f>AVERAGE(AQ332:AQ337)</f>
        <v>10</v>
      </c>
    </row>
    <row r="333" spans="1:83" x14ac:dyDescent="0.25">
      <c r="A333" s="2">
        <f t="shared" si="50"/>
        <v>11</v>
      </c>
      <c r="B333" s="2">
        <v>2</v>
      </c>
      <c r="C333" t="s">
        <v>5</v>
      </c>
      <c r="D333" s="5" t="str">
        <f t="shared" si="41"/>
        <v>p11-2-MW</v>
      </c>
      <c r="E333" s="5" t="s">
        <v>468</v>
      </c>
      <c r="F333" s="17">
        <v>44881</v>
      </c>
      <c r="G333">
        <v>11</v>
      </c>
      <c r="H333" s="3">
        <v>18.5</v>
      </c>
      <c r="I333" s="3">
        <f t="shared" si="43"/>
        <v>18.04</v>
      </c>
      <c r="J333" s="3">
        <f>($A$61-$A$47)*$A$75</f>
        <v>0.97750000000000004</v>
      </c>
      <c r="K333" s="6">
        <f t="shared" si="44"/>
        <v>4245.1702066929129</v>
      </c>
      <c r="L333" s="4">
        <v>8.4</v>
      </c>
      <c r="M333" s="4">
        <v>174.38</v>
      </c>
      <c r="N333" s="4">
        <f>M333-L333</f>
        <v>165.98</v>
      </c>
      <c r="O333" s="4">
        <v>158.46</v>
      </c>
      <c r="P333" s="7">
        <f>(N333-O333)/N333*100</f>
        <v>4.5306663453428015</v>
      </c>
      <c r="Q333" s="6">
        <f>K333*(1-P333/100)</f>
        <v>4052.8357088357575</v>
      </c>
      <c r="R333" s="14">
        <v>44882</v>
      </c>
      <c r="S333" s="4">
        <v>8.19</v>
      </c>
      <c r="T333" s="4">
        <v>3</v>
      </c>
      <c r="U333" s="4">
        <v>5.82</v>
      </c>
      <c r="V333" s="8">
        <f>(T333-$A$76)/(S333-$A$47*$A$48)</f>
        <v>0.35332378854594643</v>
      </c>
      <c r="W333" s="8">
        <f>(U333-$A$77)/(S333-$A$47*$A$48)</f>
        <v>0.51620354922315581</v>
      </c>
      <c r="X333" s="8">
        <f>1-V333-W333</f>
        <v>0.13047266223089782</v>
      </c>
      <c r="Y333" s="6">
        <f>K333*V333</f>
        <v>1499.9196204511184</v>
      </c>
      <c r="Z333" s="6">
        <f>K333*W333</f>
        <v>2191.3719277512796</v>
      </c>
      <c r="AA333" s="6">
        <f>SUM(Y333:Z333)</f>
        <v>3691.2915482023982</v>
      </c>
      <c r="AB333" s="6">
        <f>Q333*V333</f>
        <v>1431.9632670001461</v>
      </c>
      <c r="AC333" s="6">
        <f>Q333*W333</f>
        <v>2092.0881773193623</v>
      </c>
      <c r="AD333" s="6">
        <f>SUM(AB333:AC333)</f>
        <v>3524.0514443195084</v>
      </c>
      <c r="AE333" s="10">
        <v>990131121042</v>
      </c>
      <c r="AF333" s="14">
        <v>44980</v>
      </c>
      <c r="AG333" s="6">
        <v>48.5</v>
      </c>
      <c r="AH333" s="11">
        <v>1.101</v>
      </c>
      <c r="AI333" s="6">
        <v>80.8</v>
      </c>
      <c r="AJ333" s="6">
        <v>28.4</v>
      </c>
      <c r="AK333" s="6">
        <v>5.4</v>
      </c>
      <c r="AL333" s="6">
        <v>79</v>
      </c>
      <c r="AM333" s="6">
        <v>8.8000000000000007</v>
      </c>
      <c r="AN333" s="16" t="s">
        <v>150</v>
      </c>
      <c r="AO333" s="12">
        <v>8</v>
      </c>
      <c r="AP333" s="7">
        <v>0.16</v>
      </c>
      <c r="AQ333" s="6">
        <v>9.3000000000000007</v>
      </c>
      <c r="AV333" s="3"/>
      <c r="AW333" s="3"/>
      <c r="AX333" s="3"/>
      <c r="AY333" s="3"/>
      <c r="AZ333" s="4"/>
      <c r="BA333" s="4"/>
      <c r="BB333" s="4"/>
      <c r="BC333" s="4"/>
      <c r="BD333" s="4"/>
      <c r="BE333" s="3"/>
      <c r="BF333" s="3"/>
      <c r="BG333" s="4"/>
      <c r="BH333" s="4"/>
      <c r="BI333" s="4"/>
      <c r="BJ333" s="9"/>
      <c r="BK333" s="9"/>
      <c r="BL333" s="9"/>
      <c r="BM333" s="3"/>
      <c r="BN333" s="3"/>
      <c r="BO333" s="3"/>
      <c r="BP333" s="3"/>
      <c r="BQ333" s="3"/>
      <c r="BR333" s="3"/>
      <c r="BT333" s="15"/>
      <c r="BU333" s="3"/>
      <c r="BV333" s="13"/>
      <c r="BW333" s="3"/>
      <c r="BX333" s="3"/>
      <c r="BY333" s="3"/>
      <c r="BZ333" s="3"/>
      <c r="CA333" s="3"/>
      <c r="CB333" s="10"/>
      <c r="CC333" s="10"/>
      <c r="CD333" s="4"/>
      <c r="CE333" s="3"/>
    </row>
    <row r="334" spans="1:83" x14ac:dyDescent="0.25">
      <c r="A334" s="2">
        <f t="shared" si="50"/>
        <v>11</v>
      </c>
      <c r="B334" s="2">
        <v>2</v>
      </c>
      <c r="C334" t="s">
        <v>6</v>
      </c>
      <c r="D334" s="5" t="str">
        <f t="shared" si="41"/>
        <v>p11-2-SW</v>
      </c>
      <c r="E334" s="5" t="s">
        <v>468</v>
      </c>
      <c r="F334" s="17">
        <v>44881</v>
      </c>
      <c r="G334">
        <v>11</v>
      </c>
      <c r="H334" s="3">
        <v>16.399999999999999</v>
      </c>
      <c r="I334" s="3">
        <f t="shared" si="43"/>
        <v>15.939999999999998</v>
      </c>
      <c r="J334" s="3">
        <f>($A$61-$A$47)*$A$75</f>
        <v>0.97750000000000004</v>
      </c>
      <c r="K334" s="6">
        <f t="shared" si="44"/>
        <v>3776.3989468503928</v>
      </c>
      <c r="L334" s="4"/>
      <c r="M334" s="4"/>
      <c r="N334" s="4"/>
      <c r="O334" s="4"/>
      <c r="P334" s="7"/>
      <c r="Q334" s="6"/>
      <c r="R334" s="14"/>
      <c r="S334" s="4"/>
      <c r="T334" s="4"/>
      <c r="U334" s="4"/>
      <c r="V334" s="8"/>
      <c r="W334" s="8"/>
      <c r="X334" s="8"/>
      <c r="Y334" s="6"/>
      <c r="Z334" s="6"/>
      <c r="AA334" s="6"/>
      <c r="AB334" s="6"/>
      <c r="AC334" s="6"/>
      <c r="AD334" s="6"/>
      <c r="AE334" s="10"/>
      <c r="AF334" s="14"/>
      <c r="AG334" s="6"/>
      <c r="AH334" s="11"/>
      <c r="AI334" s="6"/>
      <c r="AJ334" s="6"/>
      <c r="AK334" s="6"/>
      <c r="AL334" s="6"/>
      <c r="AM334" s="6"/>
      <c r="AN334" s="16"/>
      <c r="AO334" s="12"/>
      <c r="AP334" s="7"/>
      <c r="AQ334" s="6"/>
      <c r="AV334" s="3"/>
      <c r="AW334" s="3"/>
      <c r="AX334" s="3"/>
      <c r="AY334" s="3"/>
      <c r="AZ334" s="4"/>
      <c r="BA334" s="4"/>
      <c r="BB334" s="4"/>
      <c r="BC334" s="4"/>
      <c r="BD334" s="4"/>
      <c r="BE334" s="3"/>
      <c r="BF334" s="3"/>
      <c r="BG334" s="4"/>
      <c r="BH334" s="4"/>
      <c r="BI334" s="4"/>
      <c r="BJ334" s="9"/>
      <c r="BK334" s="9"/>
      <c r="BL334" s="9"/>
      <c r="BM334" s="3"/>
      <c r="BN334" s="3"/>
      <c r="BO334" s="3"/>
      <c r="BP334" s="3"/>
      <c r="BQ334" s="3"/>
      <c r="BR334" s="3"/>
      <c r="BT334" s="15"/>
      <c r="BU334" s="3"/>
      <c r="BV334" s="13"/>
      <c r="BW334" s="3"/>
      <c r="BX334" s="3"/>
      <c r="BY334" s="3"/>
      <c r="BZ334" s="3"/>
      <c r="CA334" s="3"/>
      <c r="CB334" s="10"/>
      <c r="CC334" s="10"/>
      <c r="CD334" s="4"/>
      <c r="CE334" s="3"/>
    </row>
    <row r="335" spans="1:83" x14ac:dyDescent="0.25">
      <c r="A335" s="2">
        <f t="shared" si="50"/>
        <v>11</v>
      </c>
      <c r="B335" s="2">
        <v>2</v>
      </c>
      <c r="C335" t="s">
        <v>7</v>
      </c>
      <c r="D335" s="5" t="str">
        <f t="shared" si="41"/>
        <v>p11-2-NE</v>
      </c>
      <c r="E335" s="5" t="s">
        <v>468</v>
      </c>
      <c r="F335" s="17">
        <v>44881</v>
      </c>
      <c r="G335">
        <v>23</v>
      </c>
      <c r="H335" s="3">
        <v>22.1</v>
      </c>
      <c r="I335" s="3">
        <f t="shared" si="43"/>
        <v>21.64</v>
      </c>
      <c r="J335" s="3">
        <f>($A$73-$A$47)*$A$75</f>
        <v>0.92749999999999999</v>
      </c>
      <c r="K335" s="6">
        <f t="shared" si="44"/>
        <v>5037.6168602362204</v>
      </c>
      <c r="L335" s="4"/>
      <c r="M335" s="4"/>
      <c r="N335" s="4"/>
      <c r="O335" s="4"/>
      <c r="P335" s="7"/>
      <c r="Q335" s="6"/>
      <c r="R335" s="14"/>
      <c r="S335" s="4"/>
      <c r="T335" s="4"/>
      <c r="U335" s="4"/>
      <c r="V335" s="8"/>
      <c r="W335" s="8"/>
      <c r="X335" s="8"/>
      <c r="Y335" s="6"/>
      <c r="Z335" s="6"/>
      <c r="AA335" s="6"/>
      <c r="AB335" s="6"/>
      <c r="AC335" s="6"/>
      <c r="AD335" s="6"/>
      <c r="AE335" s="10"/>
      <c r="AF335" s="14"/>
      <c r="AG335" s="6"/>
      <c r="AH335" s="11"/>
      <c r="AI335" s="6"/>
      <c r="AJ335" s="6"/>
      <c r="AK335" s="6"/>
      <c r="AL335" s="6"/>
      <c r="AM335" s="6"/>
      <c r="AN335" s="16"/>
      <c r="AO335" s="12"/>
      <c r="AP335" s="7"/>
      <c r="AQ335" s="6"/>
      <c r="AV335" s="3"/>
      <c r="AW335" s="3"/>
      <c r="AX335" s="3"/>
      <c r="AY335" s="3"/>
      <c r="AZ335" s="4"/>
      <c r="BA335" s="4"/>
      <c r="BB335" s="4"/>
      <c r="BC335" s="4"/>
      <c r="BD335" s="4"/>
      <c r="BE335" s="3"/>
      <c r="BF335" s="3"/>
      <c r="BG335" s="4"/>
      <c r="BH335" s="4"/>
      <c r="BI335" s="4"/>
      <c r="BJ335" s="9"/>
      <c r="BK335" s="9"/>
      <c r="BL335" s="9"/>
      <c r="BM335" s="3"/>
      <c r="BN335" s="3"/>
      <c r="BO335" s="3"/>
      <c r="BP335" s="3"/>
      <c r="BQ335" s="3"/>
      <c r="BR335" s="3"/>
      <c r="BT335" s="15"/>
      <c r="BU335" s="3"/>
      <c r="BV335" s="13"/>
      <c r="BW335" s="3"/>
      <c r="BX335" s="3"/>
      <c r="BY335" s="3"/>
      <c r="BZ335" s="3"/>
      <c r="CA335" s="3"/>
      <c r="CB335" s="10"/>
      <c r="CC335" s="10"/>
      <c r="CD335" s="4"/>
      <c r="CE335" s="3"/>
    </row>
    <row r="336" spans="1:83" x14ac:dyDescent="0.25">
      <c r="A336" s="2">
        <f>A312+1</f>
        <v>11</v>
      </c>
      <c r="B336" s="2">
        <v>2</v>
      </c>
      <c r="C336" t="s">
        <v>18</v>
      </c>
      <c r="D336" s="5" t="str">
        <f t="shared" si="41"/>
        <v>p11-2-ME</v>
      </c>
      <c r="E336" s="5" t="s">
        <v>468</v>
      </c>
      <c r="F336" s="17">
        <v>44881</v>
      </c>
      <c r="G336">
        <v>23</v>
      </c>
      <c r="H336" s="3">
        <v>20.5</v>
      </c>
      <c r="I336" s="3">
        <f t="shared" si="43"/>
        <v>20.04</v>
      </c>
      <c r="J336" s="3">
        <f>($A$73-$A$47)*$A$75</f>
        <v>0.92749999999999999</v>
      </c>
      <c r="K336" s="6">
        <f t="shared" si="44"/>
        <v>4680.4578051181097</v>
      </c>
      <c r="L336" s="4">
        <v>8.76</v>
      </c>
      <c r="M336" s="4">
        <v>154.91999999999999</v>
      </c>
      <c r="N336" s="4">
        <f>M336-L336</f>
        <v>146.16</v>
      </c>
      <c r="O336" s="4">
        <v>140.22999999999999</v>
      </c>
      <c r="P336" s="7">
        <f>(N336-O336)/N336*100</f>
        <v>4.0571975916803549</v>
      </c>
      <c r="Q336" s="6">
        <f>K336*(1-P336/100)</f>
        <v>4490.5623837692428</v>
      </c>
      <c r="R336" s="14">
        <v>44882</v>
      </c>
      <c r="S336" s="4">
        <v>9.1300000000000008</v>
      </c>
      <c r="T336" s="4">
        <v>3.42</v>
      </c>
      <c r="U336" s="4">
        <v>6.18</v>
      </c>
      <c r="V336" s="8">
        <f>(T336-$A$76)/(S336-$A$47*$A$48)</f>
        <v>0.36317382936027437</v>
      </c>
      <c r="W336" s="8">
        <f>(U336-$A$77)/(S336-$A$47*$A$48)</f>
        <v>0.50216628257223117</v>
      </c>
      <c r="X336" s="8">
        <f>1-V336-W336</f>
        <v>0.1346598880674944</v>
      </c>
      <c r="Y336" s="6">
        <f>K336*V336</f>
        <v>1699.8197842439288</v>
      </c>
      <c r="Z336" s="6">
        <f>K336*W336</f>
        <v>2350.3680967323457</v>
      </c>
      <c r="AA336" s="6">
        <f>SUM(Y336:Z336)</f>
        <v>4050.1878809762748</v>
      </c>
      <c r="AB336" s="6">
        <f>Q336*V336</f>
        <v>1630.8547368946779</v>
      </c>
      <c r="AC336" s="6">
        <f>Q336*W336</f>
        <v>2255.0090189160974</v>
      </c>
      <c r="AD336" s="6">
        <f>SUM(AB336:AC336)</f>
        <v>3885.8637558107753</v>
      </c>
      <c r="AE336" s="10">
        <v>990131122090</v>
      </c>
      <c r="AF336" s="14">
        <v>44980</v>
      </c>
      <c r="AG336" s="6">
        <v>47.1</v>
      </c>
      <c r="AH336" s="11">
        <v>1.046</v>
      </c>
      <c r="AI336" s="6">
        <v>78.7</v>
      </c>
      <c r="AJ336" s="6">
        <v>26.2</v>
      </c>
      <c r="AK336" s="6">
        <v>5.6</v>
      </c>
      <c r="AL336" s="6">
        <v>78.099999999999994</v>
      </c>
      <c r="AM336" s="6">
        <v>9.1</v>
      </c>
      <c r="AN336" s="16" t="s">
        <v>150</v>
      </c>
      <c r="AO336" s="12">
        <v>22</v>
      </c>
      <c r="AP336" s="7">
        <v>0.33</v>
      </c>
      <c r="AQ336" s="6">
        <v>10.7</v>
      </c>
      <c r="AV336" s="3"/>
      <c r="AW336" s="3"/>
      <c r="AX336" s="3"/>
      <c r="AY336" s="3"/>
      <c r="AZ336" s="4"/>
      <c r="BA336" s="4"/>
      <c r="BB336" s="4"/>
      <c r="BC336" s="4"/>
      <c r="BD336" s="4"/>
      <c r="BE336" s="3"/>
      <c r="BF336" s="3"/>
      <c r="BG336" s="4"/>
      <c r="BH336" s="4"/>
      <c r="BI336" s="4"/>
      <c r="BJ336" s="9"/>
      <c r="BK336" s="9"/>
      <c r="BL336" s="9"/>
      <c r="BM336" s="3"/>
      <c r="BN336" s="3"/>
      <c r="BO336" s="3"/>
      <c r="BP336" s="3"/>
      <c r="BQ336" s="3"/>
      <c r="BR336" s="3"/>
      <c r="BT336" s="15"/>
      <c r="BU336" s="3"/>
      <c r="BV336" s="13"/>
      <c r="BW336" s="3"/>
      <c r="BX336" s="3"/>
      <c r="BY336" s="3"/>
      <c r="BZ336" s="3"/>
      <c r="CA336" s="3"/>
      <c r="CB336" s="10"/>
      <c r="CC336" s="10"/>
      <c r="CD336" s="4"/>
      <c r="CE336" s="3"/>
    </row>
    <row r="337" spans="1:83" x14ac:dyDescent="0.25">
      <c r="A337" s="2">
        <f t="shared" ref="A337:A351" si="56">A313+1</f>
        <v>11</v>
      </c>
      <c r="B337" s="2">
        <v>2</v>
      </c>
      <c r="C337" t="s">
        <v>8</v>
      </c>
      <c r="D337" s="5" t="str">
        <f t="shared" si="41"/>
        <v>p11-2-SE</v>
      </c>
      <c r="E337" s="5" t="s">
        <v>468</v>
      </c>
      <c r="F337" s="17">
        <v>44881</v>
      </c>
      <c r="G337">
        <v>23</v>
      </c>
      <c r="H337" s="3">
        <v>15.1</v>
      </c>
      <c r="I337" s="3">
        <f t="shared" si="43"/>
        <v>14.639999999999999</v>
      </c>
      <c r="J337" s="3">
        <f>($A$73-$A$47)*$A$75</f>
        <v>0.92749999999999999</v>
      </c>
      <c r="K337" s="6">
        <f t="shared" si="44"/>
        <v>3475.0459940944884</v>
      </c>
      <c r="L337" s="4"/>
      <c r="M337" s="4"/>
      <c r="N337" s="4"/>
      <c r="O337" s="4"/>
      <c r="P337" s="7"/>
      <c r="Q337" s="6"/>
      <c r="R337" s="14"/>
      <c r="S337" s="4"/>
      <c r="T337" s="4"/>
      <c r="U337" s="4"/>
      <c r="V337" s="8"/>
      <c r="W337" s="8"/>
      <c r="X337" s="8"/>
      <c r="Y337" s="6"/>
      <c r="Z337" s="6"/>
      <c r="AA337" s="6"/>
      <c r="AB337" s="6"/>
      <c r="AC337" s="6"/>
      <c r="AD337" s="6"/>
      <c r="AE337" s="10"/>
      <c r="AF337" s="14"/>
      <c r="AG337" s="6"/>
      <c r="AH337" s="11"/>
      <c r="AI337" s="6"/>
      <c r="AJ337" s="6"/>
      <c r="AK337" s="6"/>
      <c r="AL337" s="6"/>
      <c r="AM337" s="6"/>
      <c r="AN337" s="16"/>
      <c r="AO337" s="12"/>
      <c r="AP337" s="7"/>
      <c r="AQ337" s="6"/>
      <c r="AV337" s="3"/>
      <c r="AW337" s="3"/>
      <c r="AX337" s="3"/>
      <c r="AY337" s="3"/>
      <c r="AZ337" s="4"/>
      <c r="BA337" s="4"/>
      <c r="BB337" s="4"/>
      <c r="BC337" s="4"/>
      <c r="BD337" s="4"/>
      <c r="BE337" s="3"/>
      <c r="BF337" s="3"/>
      <c r="BG337" s="4"/>
      <c r="BH337" s="4"/>
      <c r="BI337" s="4"/>
      <c r="BJ337" s="9"/>
      <c r="BK337" s="9"/>
      <c r="BL337" s="9"/>
      <c r="BM337" s="3"/>
      <c r="BN337" s="3"/>
      <c r="BO337" s="3"/>
      <c r="BP337" s="3"/>
      <c r="BQ337" s="3"/>
      <c r="BR337" s="3"/>
      <c r="BT337" s="15"/>
      <c r="BU337" s="3"/>
      <c r="BV337" s="13"/>
      <c r="BW337" s="3"/>
      <c r="BX337" s="3"/>
      <c r="BY337" s="3"/>
      <c r="BZ337" s="3"/>
      <c r="CA337" s="3"/>
      <c r="CB337" s="10"/>
      <c r="CC337" s="10"/>
      <c r="CD337" s="4"/>
      <c r="CE337" s="3"/>
    </row>
    <row r="338" spans="1:83" x14ac:dyDescent="0.25">
      <c r="A338" s="2">
        <f t="shared" si="56"/>
        <v>11</v>
      </c>
      <c r="B338" s="2">
        <v>3</v>
      </c>
      <c r="C338" t="s">
        <v>4</v>
      </c>
      <c r="D338" s="5" t="str">
        <f t="shared" si="41"/>
        <v>p11-3-NW</v>
      </c>
      <c r="E338" s="5" t="s">
        <v>468</v>
      </c>
      <c r="F338" s="17">
        <v>44881</v>
      </c>
      <c r="G338">
        <v>11</v>
      </c>
      <c r="H338" s="3">
        <v>27.6</v>
      </c>
      <c r="I338" s="3">
        <f t="shared" si="43"/>
        <v>27.14</v>
      </c>
      <c r="J338" s="3">
        <f>($A$61-$A$47)*$A$75</f>
        <v>0.97750000000000004</v>
      </c>
      <c r="K338" s="6">
        <f t="shared" si="44"/>
        <v>6276.5123326771654</v>
      </c>
      <c r="L338" s="4"/>
      <c r="M338" s="4"/>
      <c r="N338" s="4"/>
      <c r="O338" s="4"/>
      <c r="P338" s="7"/>
      <c r="Q338" s="6"/>
      <c r="R338" s="14"/>
      <c r="S338" s="4"/>
      <c r="T338" s="4"/>
      <c r="U338" s="4"/>
      <c r="V338" s="8"/>
      <c r="W338" s="8"/>
      <c r="X338" s="8"/>
      <c r="Y338" s="6"/>
      <c r="Z338" s="6"/>
      <c r="AA338" s="6"/>
      <c r="AB338" s="6"/>
      <c r="AC338" s="6"/>
      <c r="AD338" s="6"/>
      <c r="AE338" s="10"/>
      <c r="AF338" s="14"/>
      <c r="AG338" s="6"/>
      <c r="AH338" s="11"/>
      <c r="AI338" s="6"/>
      <c r="AJ338" s="6"/>
      <c r="AK338" s="6"/>
      <c r="AL338" s="6"/>
      <c r="AM338" s="6"/>
      <c r="AN338" s="16"/>
      <c r="AO338" s="12"/>
      <c r="AP338" s="7"/>
      <c r="AQ338" s="6"/>
      <c r="AS338" t="s">
        <v>128</v>
      </c>
      <c r="AT338" s="4" t="str">
        <f>E338</f>
        <v>Machine</v>
      </c>
      <c r="AU338" s="15">
        <f>F338</f>
        <v>44881</v>
      </c>
      <c r="AV338" s="3">
        <f>SUM(H338:H343)</f>
        <v>149.1</v>
      </c>
      <c r="AW338" s="3">
        <f>AV338-6*$A$47</f>
        <v>146.34</v>
      </c>
      <c r="AX338" s="3">
        <f>SUM(J338:J343)</f>
        <v>5.7150000000000007</v>
      </c>
      <c r="AY338" s="3">
        <f>(AW338+AX338)*$A$48/(6*$A$49)*$A$50</f>
        <v>5657.064596456692</v>
      </c>
      <c r="AZ338" s="4">
        <f>SUM(L338:L343)</f>
        <v>17.100000000000001</v>
      </c>
      <c r="BA338" s="4">
        <f>SUM(M338:M343)</f>
        <v>330.81</v>
      </c>
      <c r="BB338" s="4">
        <f>BA338-AZ338</f>
        <v>313.70999999999998</v>
      </c>
      <c r="BC338" s="4">
        <f>SUM(O338:O343)</f>
        <v>299.73</v>
      </c>
      <c r="BD338" s="4">
        <f>(BB338-BC338)/BB338*100</f>
        <v>4.4563450320359443</v>
      </c>
      <c r="BE338" s="3">
        <f>AY338*(1-BD338/100)</f>
        <v>5404.9662793534299</v>
      </c>
      <c r="BF338" s="15">
        <f>R339</f>
        <v>44882</v>
      </c>
      <c r="BG338" s="4">
        <f>SUM(S338:S343)</f>
        <v>20.439999999999998</v>
      </c>
      <c r="BH338" s="4">
        <f>SUM(T338:T343)</f>
        <v>7.58</v>
      </c>
      <c r="BI338" s="4">
        <f>SUM(U338:U343)</f>
        <v>13.6</v>
      </c>
      <c r="BJ338" s="9">
        <f>(BH338-2*$A$76)/(BG338-2*$A$47*$A$48)</f>
        <v>0.36059081308421809</v>
      </c>
      <c r="BK338" s="9">
        <f>(BI338-2*$A$77)/(BG338-2*$A$47*$A$48)</f>
        <v>0.509421924301804</v>
      </c>
      <c r="BL338" s="9">
        <f>1-BJ338-BK338</f>
        <v>0.12998726261397786</v>
      </c>
      <c r="BM338" s="3">
        <f>AY338*BJ338</f>
        <v>2039.8855225062628</v>
      </c>
      <c r="BN338" s="3">
        <f>AY338*BK338</f>
        <v>2881.8327326265762</v>
      </c>
      <c r="BO338" s="3">
        <f>SUM(BM338:BN338)</f>
        <v>4921.7182551328387</v>
      </c>
      <c r="BP338" s="3">
        <f>BE338*BJ338</f>
        <v>1948.9811853648343</v>
      </c>
      <c r="BQ338" s="3">
        <f>BE338*BK338</f>
        <v>2753.408322814586</v>
      </c>
      <c r="BR338" s="3">
        <f>SUM(BP338:BQ338)</f>
        <v>4702.3895081794199</v>
      </c>
      <c r="BS338" s="3"/>
      <c r="BT338" s="15">
        <f>AF339</f>
        <v>44980</v>
      </c>
      <c r="BU338" s="3">
        <f t="shared" ref="BU338:CA338" si="57">AVERAGE(AG338:AG343)</f>
        <v>47.650000000000006</v>
      </c>
      <c r="BV338" s="13">
        <f t="shared" si="57"/>
        <v>1.127</v>
      </c>
      <c r="BW338" s="3">
        <f t="shared" si="57"/>
        <v>80.849999999999994</v>
      </c>
      <c r="BX338" s="3">
        <f t="shared" si="57"/>
        <v>29.75</v>
      </c>
      <c r="BY338" s="3">
        <f t="shared" si="57"/>
        <v>5.25</v>
      </c>
      <c r="BZ338" s="3">
        <f t="shared" si="57"/>
        <v>79.400000000000006</v>
      </c>
      <c r="CA338" s="3">
        <f t="shared" si="57"/>
        <v>9.0500000000000007</v>
      </c>
      <c r="CB338" s="13"/>
      <c r="CC338" s="10">
        <f>AVERAGE(AO338:AO343)</f>
        <v>7</v>
      </c>
      <c r="CD338" s="4">
        <f>AVERAGE(AP338:AP343)</f>
        <v>0.1</v>
      </c>
      <c r="CE338" s="3">
        <f>AVERAGE(AQ338:AQ343)</f>
        <v>8.8000000000000007</v>
      </c>
    </row>
    <row r="339" spans="1:83" x14ac:dyDescent="0.25">
      <c r="A339" s="2">
        <f t="shared" si="56"/>
        <v>11</v>
      </c>
      <c r="B339" s="2">
        <v>3</v>
      </c>
      <c r="C339" t="s">
        <v>5</v>
      </c>
      <c r="D339" s="5" t="str">
        <f t="shared" si="41"/>
        <v>p11-3-MW</v>
      </c>
      <c r="E339" s="5" t="s">
        <v>468</v>
      </c>
      <c r="F339" s="17">
        <v>44881</v>
      </c>
      <c r="G339">
        <v>11</v>
      </c>
      <c r="H339" s="3">
        <v>24.3</v>
      </c>
      <c r="I339" s="3">
        <f t="shared" si="43"/>
        <v>23.84</v>
      </c>
      <c r="J339" s="3">
        <f>($A$61-$A$47)*$A$75</f>
        <v>0.97750000000000004</v>
      </c>
      <c r="K339" s="6">
        <f t="shared" si="44"/>
        <v>5539.8717814960619</v>
      </c>
      <c r="L339" s="4">
        <v>8.34</v>
      </c>
      <c r="M339" s="4">
        <v>157.58000000000001</v>
      </c>
      <c r="N339" s="4">
        <f>M339-L339</f>
        <v>149.24</v>
      </c>
      <c r="O339" s="4">
        <v>141.75</v>
      </c>
      <c r="P339" s="7">
        <f>(N339-O339)/N339*100</f>
        <v>5.0187617260788047</v>
      </c>
      <c r="Q339" s="6">
        <f>K339*(1-P339/100)</f>
        <v>5261.838816852498</v>
      </c>
      <c r="R339" s="14">
        <v>44882</v>
      </c>
      <c r="S339" s="4">
        <v>10.86</v>
      </c>
      <c r="T339" s="4">
        <v>4</v>
      </c>
      <c r="U339" s="4">
        <v>7.14</v>
      </c>
      <c r="V339" s="8">
        <f>(T339-$A$76)/(S339-$A$47*$A$48)</f>
        <v>0.35864006271927462</v>
      </c>
      <c r="W339" s="8">
        <f>(U339-$A$77)/(S339-$A$47*$A$48)</f>
        <v>0.51073349245886224</v>
      </c>
      <c r="X339" s="8">
        <f>1-V339-W339</f>
        <v>0.13062644482186314</v>
      </c>
      <c r="Y339" s="6">
        <f>K339*V339</f>
        <v>1986.8199631724872</v>
      </c>
      <c r="Z339" s="6">
        <f>K339*W339</f>
        <v>2829.3980627377828</v>
      </c>
      <c r="AA339" s="6">
        <f>SUM(Y339:Z339)</f>
        <v>4816.2180259102697</v>
      </c>
      <c r="AB339" s="6">
        <f>Q339*V339</f>
        <v>1887.1062032946936</v>
      </c>
      <c r="AC339" s="6">
        <f>Q339*W339</f>
        <v>2687.3973156866837</v>
      </c>
      <c r="AD339" s="6">
        <f>SUM(AB339:AC339)</f>
        <v>4574.5035189813771</v>
      </c>
      <c r="AE339" s="10">
        <v>990131131043</v>
      </c>
      <c r="AF339" s="14">
        <v>44980</v>
      </c>
      <c r="AG339" s="6">
        <v>48.2</v>
      </c>
      <c r="AH339" s="11">
        <v>1.123</v>
      </c>
      <c r="AI339" s="6">
        <v>80.400000000000006</v>
      </c>
      <c r="AJ339" s="6">
        <v>29.7</v>
      </c>
      <c r="AK339" s="6">
        <v>5.4</v>
      </c>
      <c r="AL339" s="6">
        <v>79.099999999999994</v>
      </c>
      <c r="AM339" s="6">
        <v>9.4</v>
      </c>
      <c r="AN339" s="16" t="s">
        <v>165</v>
      </c>
      <c r="AO339" s="12">
        <v>9</v>
      </c>
      <c r="AP339" s="7">
        <v>0.13</v>
      </c>
      <c r="AQ339" s="6">
        <v>9.1</v>
      </c>
      <c r="AV339" s="3"/>
      <c r="AW339" s="3"/>
      <c r="AX339" s="3"/>
      <c r="AY339" s="3"/>
      <c r="AZ339" s="4"/>
      <c r="BA339" s="4"/>
      <c r="BB339" s="4"/>
      <c r="BC339" s="4"/>
      <c r="BD339" s="4"/>
      <c r="BE339" s="3"/>
      <c r="BF339" s="3"/>
      <c r="BG339" s="4"/>
      <c r="BH339" s="4"/>
      <c r="BI339" s="4"/>
      <c r="BJ339" s="9"/>
      <c r="BK339" s="9"/>
      <c r="BL339" s="9"/>
      <c r="BM339" s="3"/>
      <c r="BN339" s="3"/>
      <c r="BO339" s="3"/>
      <c r="BP339" s="3"/>
      <c r="BQ339" s="3"/>
      <c r="BR339" s="3"/>
      <c r="BT339" s="15"/>
      <c r="BU339" s="3"/>
      <c r="BV339" s="13"/>
      <c r="BW339" s="3"/>
      <c r="BX339" s="3"/>
      <c r="BY339" s="3"/>
      <c r="BZ339" s="3"/>
      <c r="CA339" s="3"/>
      <c r="CB339" s="10"/>
      <c r="CC339" s="10"/>
      <c r="CD339" s="4"/>
      <c r="CE339" s="3"/>
    </row>
    <row r="340" spans="1:83" x14ac:dyDescent="0.25">
      <c r="A340" s="2">
        <f t="shared" si="56"/>
        <v>11</v>
      </c>
      <c r="B340" s="2">
        <v>3</v>
      </c>
      <c r="C340" t="s">
        <v>6</v>
      </c>
      <c r="D340" s="5" t="str">
        <f t="shared" si="41"/>
        <v>p11-3-SW</v>
      </c>
      <c r="E340" s="5" t="s">
        <v>468</v>
      </c>
      <c r="F340" s="17">
        <v>44881</v>
      </c>
      <c r="G340">
        <v>11</v>
      </c>
      <c r="H340" s="3">
        <v>35.1</v>
      </c>
      <c r="I340" s="3">
        <f t="shared" si="43"/>
        <v>34.64</v>
      </c>
      <c r="J340" s="3">
        <f>($A$61-$A$47)*$A$75</f>
        <v>0.97750000000000004</v>
      </c>
      <c r="K340" s="6">
        <f t="shared" si="44"/>
        <v>7950.6954035433064</v>
      </c>
      <c r="L340" s="4"/>
      <c r="M340" s="4"/>
      <c r="N340" s="4"/>
      <c r="O340" s="4"/>
      <c r="P340" s="7"/>
      <c r="Q340" s="6"/>
      <c r="R340" s="14"/>
      <c r="S340" s="4"/>
      <c r="T340" s="4"/>
      <c r="U340" s="4"/>
      <c r="V340" s="8"/>
      <c r="W340" s="8"/>
      <c r="X340" s="8"/>
      <c r="Y340" s="6"/>
      <c r="Z340" s="6"/>
      <c r="AA340" s="6"/>
      <c r="AB340" s="6"/>
      <c r="AC340" s="6"/>
      <c r="AD340" s="6"/>
      <c r="AE340" s="10"/>
      <c r="AF340" s="14"/>
      <c r="AG340" s="6"/>
      <c r="AH340" s="11"/>
      <c r="AI340" s="6"/>
      <c r="AJ340" s="6"/>
      <c r="AK340" s="6"/>
      <c r="AL340" s="6"/>
      <c r="AM340" s="6"/>
      <c r="AN340" s="16"/>
      <c r="AO340" s="12"/>
      <c r="AP340" s="7"/>
      <c r="AQ340" s="6"/>
      <c r="AV340" s="3"/>
      <c r="AW340" s="3"/>
      <c r="AX340" s="3"/>
      <c r="AY340" s="3"/>
      <c r="AZ340" s="4"/>
      <c r="BA340" s="4"/>
      <c r="BB340" s="4"/>
      <c r="BC340" s="4"/>
      <c r="BD340" s="4"/>
      <c r="BE340" s="3"/>
      <c r="BF340" s="3"/>
      <c r="BG340" s="4"/>
      <c r="BH340" s="4"/>
      <c r="BI340" s="4"/>
      <c r="BJ340" s="9"/>
      <c r="BK340" s="9"/>
      <c r="BL340" s="9"/>
      <c r="BM340" s="3"/>
      <c r="BN340" s="3"/>
      <c r="BO340" s="3"/>
      <c r="BP340" s="3"/>
      <c r="BQ340" s="3"/>
      <c r="BR340" s="3"/>
      <c r="BT340" s="15"/>
      <c r="BU340" s="3"/>
      <c r="BV340" s="13"/>
      <c r="BW340" s="3"/>
      <c r="BX340" s="3"/>
      <c r="BY340" s="3"/>
      <c r="BZ340" s="3"/>
      <c r="CA340" s="3"/>
      <c r="CB340" s="10"/>
      <c r="CC340" s="10"/>
      <c r="CD340" s="4"/>
      <c r="CE340" s="3"/>
    </row>
    <row r="341" spans="1:83" x14ac:dyDescent="0.25">
      <c r="A341" s="2">
        <f t="shared" si="56"/>
        <v>11</v>
      </c>
      <c r="B341" s="2">
        <v>3</v>
      </c>
      <c r="C341" t="s">
        <v>7</v>
      </c>
      <c r="D341" s="5" t="str">
        <f t="shared" si="41"/>
        <v>p11-3-NE</v>
      </c>
      <c r="E341" s="5" t="s">
        <v>468</v>
      </c>
      <c r="F341" s="17">
        <v>44881</v>
      </c>
      <c r="G341">
        <v>23</v>
      </c>
      <c r="H341" s="3">
        <v>19.600000000000001</v>
      </c>
      <c r="I341" s="3">
        <f t="shared" si="43"/>
        <v>19.14</v>
      </c>
      <c r="J341" s="3">
        <f>($A$73-$A$47)*$A$75</f>
        <v>0.92749999999999999</v>
      </c>
      <c r="K341" s="6">
        <f t="shared" si="44"/>
        <v>4479.5558366141731</v>
      </c>
      <c r="L341" s="4"/>
      <c r="M341" s="4"/>
      <c r="N341" s="4"/>
      <c r="O341" s="4"/>
      <c r="P341" s="7"/>
      <c r="Q341" s="6"/>
      <c r="R341" s="14"/>
      <c r="S341" s="4"/>
      <c r="T341" s="4"/>
      <c r="U341" s="4"/>
      <c r="V341" s="8"/>
      <c r="W341" s="8"/>
      <c r="X341" s="8"/>
      <c r="Y341" s="6"/>
      <c r="Z341" s="6"/>
      <c r="AA341" s="6"/>
      <c r="AB341" s="6"/>
      <c r="AC341" s="6"/>
      <c r="AD341" s="6"/>
      <c r="AE341" s="10"/>
      <c r="AF341" s="14"/>
      <c r="AG341" s="6"/>
      <c r="AH341" s="11"/>
      <c r="AI341" s="6"/>
      <c r="AJ341" s="6"/>
      <c r="AK341" s="6"/>
      <c r="AL341" s="6"/>
      <c r="AM341" s="6"/>
      <c r="AN341" s="16"/>
      <c r="AO341" s="12"/>
      <c r="AP341" s="7"/>
      <c r="AQ341" s="6"/>
      <c r="AV341" s="3"/>
      <c r="AW341" s="3"/>
      <c r="AX341" s="3"/>
      <c r="AY341" s="3"/>
      <c r="AZ341" s="4"/>
      <c r="BA341" s="4"/>
      <c r="BB341" s="4"/>
      <c r="BC341" s="4"/>
      <c r="BD341" s="4"/>
      <c r="BE341" s="3"/>
      <c r="BF341" s="3"/>
      <c r="BG341" s="4"/>
      <c r="BH341" s="4"/>
      <c r="BI341" s="4"/>
      <c r="BJ341" s="9"/>
      <c r="BK341" s="9"/>
      <c r="BL341" s="9"/>
      <c r="BM341" s="3"/>
      <c r="BN341" s="3"/>
      <c r="BO341" s="3"/>
      <c r="BP341" s="3"/>
      <c r="BQ341" s="3"/>
      <c r="BR341" s="3"/>
      <c r="BT341" s="15"/>
      <c r="BU341" s="3"/>
      <c r="BV341" s="13"/>
      <c r="BW341" s="3"/>
      <c r="BX341" s="3"/>
      <c r="BY341" s="3"/>
      <c r="BZ341" s="3"/>
      <c r="CA341" s="3"/>
      <c r="CB341" s="10"/>
      <c r="CC341" s="10"/>
      <c r="CD341" s="4"/>
      <c r="CE341" s="3"/>
    </row>
    <row r="342" spans="1:83" x14ac:dyDescent="0.25">
      <c r="A342" s="2">
        <f t="shared" si="56"/>
        <v>11</v>
      </c>
      <c r="B342" s="2">
        <v>3</v>
      </c>
      <c r="C342" t="s">
        <v>18</v>
      </c>
      <c r="D342" s="5" t="str">
        <f t="shared" ref="D342:D373" si="58">CONCATENATE("p",A342,"-",B342,"-",C342)</f>
        <v>p11-3-ME</v>
      </c>
      <c r="E342" s="5" t="s">
        <v>468</v>
      </c>
      <c r="F342" s="17">
        <v>44881</v>
      </c>
      <c r="G342">
        <v>23</v>
      </c>
      <c r="H342" s="3">
        <v>21.5</v>
      </c>
      <c r="I342" s="3">
        <f t="shared" si="43"/>
        <v>21.04</v>
      </c>
      <c r="J342" s="3">
        <f>($A$73-$A$47)*$A$75</f>
        <v>0.92749999999999999</v>
      </c>
      <c r="K342" s="6">
        <f t="shared" si="44"/>
        <v>4903.6822145669285</v>
      </c>
      <c r="L342" s="4">
        <v>8.76</v>
      </c>
      <c r="M342" s="4">
        <v>173.23</v>
      </c>
      <c r="N342" s="4">
        <f>M342-L342</f>
        <v>164.47</v>
      </c>
      <c r="O342" s="4">
        <v>157.97999999999999</v>
      </c>
      <c r="P342" s="7">
        <f>(N342-O342)/N342*100</f>
        <v>3.9460083905879544</v>
      </c>
      <c r="Q342" s="6">
        <f>K342*(1-P342/100)</f>
        <v>4710.1825029323481</v>
      </c>
      <c r="R342" s="14">
        <v>44882</v>
      </c>
      <c r="S342" s="4">
        <v>9.58</v>
      </c>
      <c r="T342" s="4">
        <v>3.58</v>
      </c>
      <c r="U342" s="4">
        <v>6.46</v>
      </c>
      <c r="V342" s="8">
        <f>(T342-$A$76)/(S342-$A$47*$A$48)</f>
        <v>0.36280800970133253</v>
      </c>
      <c r="W342" s="8">
        <f>(U342-$A$77)/(S342-$A$47*$A$48)</f>
        <v>0.50793121358186555</v>
      </c>
      <c r="X342" s="8">
        <f>1-V342-W342</f>
        <v>0.12926077671680192</v>
      </c>
      <c r="Y342" s="6">
        <f>K342*V342</f>
        <v>1779.0951844748499</v>
      </c>
      <c r="Z342" s="6">
        <f>K342*W342</f>
        <v>2490.73325826479</v>
      </c>
      <c r="AA342" s="6">
        <f>SUM(Y342:Z342)</f>
        <v>4269.8284427396402</v>
      </c>
      <c r="AB342" s="6">
        <f>Q342*V342</f>
        <v>1708.8919392189262</v>
      </c>
      <c r="AC342" s="6">
        <f>Q342*W342</f>
        <v>2392.4487149064967</v>
      </c>
      <c r="AD342" s="6">
        <f>SUM(AB342:AC342)</f>
        <v>4101.3406541254226</v>
      </c>
      <c r="AE342" s="10">
        <v>990131132091</v>
      </c>
      <c r="AF342" s="14">
        <v>44980</v>
      </c>
      <c r="AG342" s="6">
        <v>47.1</v>
      </c>
      <c r="AH342" s="11">
        <v>1.131</v>
      </c>
      <c r="AI342" s="6">
        <v>81.3</v>
      </c>
      <c r="AJ342" s="6">
        <v>29.8</v>
      </c>
      <c r="AK342" s="6">
        <v>5.0999999999999996</v>
      </c>
      <c r="AL342" s="6">
        <v>79.7</v>
      </c>
      <c r="AM342" s="6">
        <v>8.6999999999999993</v>
      </c>
      <c r="AN342" s="16" t="s">
        <v>148</v>
      </c>
      <c r="AO342" s="12">
        <v>5</v>
      </c>
      <c r="AP342" s="7">
        <v>7.0000000000000007E-2</v>
      </c>
      <c r="AQ342" s="6">
        <v>8.5</v>
      </c>
      <c r="AV342" s="3"/>
      <c r="AW342" s="3"/>
      <c r="AX342" s="3"/>
      <c r="AY342" s="3"/>
      <c r="AZ342" s="4"/>
      <c r="BA342" s="4"/>
      <c r="BB342" s="4"/>
      <c r="BC342" s="4"/>
      <c r="BD342" s="4"/>
      <c r="BE342" s="3"/>
      <c r="BF342" s="3"/>
      <c r="BG342" s="4"/>
      <c r="BH342" s="4"/>
      <c r="BI342" s="4"/>
      <c r="BJ342" s="9"/>
      <c r="BK342" s="9"/>
      <c r="BL342" s="9"/>
      <c r="BM342" s="3"/>
      <c r="BN342" s="3"/>
      <c r="BO342" s="3"/>
      <c r="BP342" s="3"/>
      <c r="BQ342" s="3"/>
      <c r="BR342" s="3"/>
      <c r="BT342" s="15"/>
      <c r="BU342" s="3"/>
      <c r="BV342" s="13"/>
      <c r="BW342" s="3"/>
      <c r="BX342" s="3"/>
      <c r="BY342" s="3"/>
      <c r="BZ342" s="3"/>
      <c r="CA342" s="3"/>
      <c r="CB342" s="10"/>
      <c r="CC342" s="10"/>
      <c r="CD342" s="4"/>
      <c r="CE342" s="3"/>
    </row>
    <row r="343" spans="1:83" x14ac:dyDescent="0.25">
      <c r="A343" s="2">
        <f t="shared" si="56"/>
        <v>11</v>
      </c>
      <c r="B343" s="2">
        <v>3</v>
      </c>
      <c r="C343" t="s">
        <v>8</v>
      </c>
      <c r="D343" s="5" t="str">
        <f t="shared" si="58"/>
        <v>p11-3-SE</v>
      </c>
      <c r="E343" s="5" t="s">
        <v>468</v>
      </c>
      <c r="F343" s="17">
        <v>44881</v>
      </c>
      <c r="G343">
        <v>23</v>
      </c>
      <c r="H343" s="3">
        <v>21</v>
      </c>
      <c r="I343" s="3">
        <f t="shared" ref="I343:I373" si="59">H343-$A$47</f>
        <v>20.54</v>
      </c>
      <c r="J343" s="3">
        <f>($A$73-$A$47)*$A$75</f>
        <v>0.92749999999999999</v>
      </c>
      <c r="K343" s="6">
        <f t="shared" ref="K343:K373" si="60">(I343+J343)*$A$48/$A$49*$A$50</f>
        <v>4792.0700098425186</v>
      </c>
      <c r="L343" s="4"/>
      <c r="M343" s="4"/>
      <c r="N343" s="4"/>
      <c r="O343" s="4"/>
      <c r="P343" s="7"/>
      <c r="Q343" s="6"/>
      <c r="R343" s="14"/>
      <c r="S343" s="4"/>
      <c r="T343" s="4"/>
      <c r="U343" s="4"/>
      <c r="V343" s="8"/>
      <c r="W343" s="8"/>
      <c r="X343" s="8"/>
      <c r="Y343" s="6"/>
      <c r="Z343" s="6"/>
      <c r="AA343" s="6"/>
      <c r="AB343" s="6"/>
      <c r="AC343" s="6"/>
      <c r="AD343" s="6"/>
      <c r="AE343" s="10"/>
      <c r="AF343" s="14"/>
      <c r="AG343" s="6"/>
      <c r="AH343" s="11"/>
      <c r="AI343" s="6"/>
      <c r="AJ343" s="6"/>
      <c r="AK343" s="6"/>
      <c r="AL343" s="6"/>
      <c r="AM343" s="6"/>
      <c r="AN343" s="16"/>
      <c r="AO343" s="12"/>
      <c r="AP343" s="7"/>
      <c r="AQ343" s="6"/>
      <c r="AV343" s="3"/>
      <c r="AW343" s="3"/>
      <c r="AX343" s="3"/>
      <c r="AY343" s="3"/>
      <c r="AZ343" s="4"/>
      <c r="BA343" s="4"/>
      <c r="BB343" s="4"/>
      <c r="BC343" s="4"/>
      <c r="BD343" s="4"/>
      <c r="BE343" s="3"/>
      <c r="BF343" s="3"/>
      <c r="BG343" s="4"/>
      <c r="BH343" s="4"/>
      <c r="BI343" s="4"/>
      <c r="BJ343" s="9"/>
      <c r="BK343" s="9"/>
      <c r="BL343" s="9"/>
      <c r="BM343" s="3"/>
      <c r="BN343" s="3"/>
      <c r="BO343" s="3"/>
      <c r="BP343" s="3"/>
      <c r="BQ343" s="3"/>
      <c r="BR343" s="3"/>
      <c r="BT343" s="15"/>
      <c r="BU343" s="3"/>
      <c r="BV343" s="13"/>
      <c r="BW343" s="3"/>
      <c r="BX343" s="3"/>
      <c r="BY343" s="3"/>
      <c r="BZ343" s="3"/>
      <c r="CA343" s="3"/>
      <c r="CB343" s="10"/>
      <c r="CC343" s="10"/>
      <c r="CD343" s="4"/>
      <c r="CE343" s="3"/>
    </row>
    <row r="344" spans="1:83" x14ac:dyDescent="0.25">
      <c r="A344" s="2">
        <f t="shared" si="56"/>
        <v>11</v>
      </c>
      <c r="B344" s="2">
        <v>4</v>
      </c>
      <c r="C344" t="s">
        <v>4</v>
      </c>
      <c r="D344" s="5" t="str">
        <f t="shared" si="58"/>
        <v>p11-4-NW</v>
      </c>
      <c r="E344" s="5" t="s">
        <v>468</v>
      </c>
      <c r="F344" s="17">
        <v>44881</v>
      </c>
      <c r="G344">
        <v>11</v>
      </c>
      <c r="H344" s="3">
        <v>19.7</v>
      </c>
      <c r="I344" s="3">
        <f t="shared" si="59"/>
        <v>19.239999999999998</v>
      </c>
      <c r="J344" s="3">
        <f>($A$61-$A$47)*$A$75</f>
        <v>0.97750000000000004</v>
      </c>
      <c r="K344" s="6">
        <f t="shared" si="60"/>
        <v>4513.039498031495</v>
      </c>
      <c r="L344" s="4"/>
      <c r="M344" s="4"/>
      <c r="N344" s="4"/>
      <c r="O344" s="4"/>
      <c r="P344" s="7"/>
      <c r="Q344" s="6"/>
      <c r="R344" s="14"/>
      <c r="S344" s="4"/>
      <c r="T344" s="4"/>
      <c r="U344" s="4"/>
      <c r="V344" s="8"/>
      <c r="W344" s="8"/>
      <c r="X344" s="8"/>
      <c r="Y344" s="6"/>
      <c r="Z344" s="6"/>
      <c r="AA344" s="6"/>
      <c r="AB344" s="6"/>
      <c r="AC344" s="6"/>
      <c r="AD344" s="6"/>
      <c r="AE344" s="10"/>
      <c r="AF344" s="14"/>
      <c r="AG344" s="6"/>
      <c r="AH344" s="11"/>
      <c r="AI344" s="6"/>
      <c r="AJ344" s="6"/>
      <c r="AK344" s="6"/>
      <c r="AL344" s="6"/>
      <c r="AM344" s="6"/>
      <c r="AN344" s="16"/>
      <c r="AO344" s="12"/>
      <c r="AP344" s="7"/>
      <c r="AQ344" s="6"/>
      <c r="AS344" t="s">
        <v>129</v>
      </c>
      <c r="AT344" s="4" t="str">
        <f>E344</f>
        <v>Machine</v>
      </c>
      <c r="AU344" s="15">
        <f>F344</f>
        <v>44881</v>
      </c>
      <c r="AV344" s="3">
        <f>SUM(H344:H349)</f>
        <v>95.500000000000014</v>
      </c>
      <c r="AW344" s="3">
        <f>AV344-6*$A$47</f>
        <v>92.740000000000009</v>
      </c>
      <c r="AX344" s="3">
        <f>SUM(J344:J349)</f>
        <v>5.7150000000000007</v>
      </c>
      <c r="AY344" s="3">
        <f>(AW344+AX344)*$A$48/(6*$A$49)*$A$50</f>
        <v>3662.9265387139108</v>
      </c>
      <c r="AZ344" s="4">
        <f>SUM(L344:L349)</f>
        <v>17.13</v>
      </c>
      <c r="BA344" s="4">
        <f>SUM(M344:M349)</f>
        <v>343.27</v>
      </c>
      <c r="BB344" s="4">
        <f>BA344-AZ344</f>
        <v>326.14</v>
      </c>
      <c r="BC344" s="4">
        <f>SUM(O344:O349)</f>
        <v>311.01</v>
      </c>
      <c r="BD344" s="4">
        <f>(BB344-BC344)/BB344*100</f>
        <v>4.6391120377751873</v>
      </c>
      <c r="BE344" s="3">
        <f>AY344*(1-BD344/100)</f>
        <v>3492.9992727215717</v>
      </c>
      <c r="BF344" s="15">
        <f>R345</f>
        <v>44882</v>
      </c>
      <c r="BG344" s="4">
        <f>SUM(S344:S349)</f>
        <v>12.350000000000001</v>
      </c>
      <c r="BH344" s="4">
        <f>SUM(T344:T349)</f>
        <v>4.8599999999999994</v>
      </c>
      <c r="BI344" s="4">
        <f>SUM(U344:U349)</f>
        <v>9.34</v>
      </c>
      <c r="BJ344" s="9">
        <f>(BH344-2*$A$76)/(BG344-2*$A$47*$A$48)</f>
        <v>0.37711513318982431</v>
      </c>
      <c r="BK344" s="9">
        <f>(BI344-2*$A$77)/(BG344-2*$A$47*$A$48)</f>
        <v>0.49779197581056811</v>
      </c>
      <c r="BL344" s="9">
        <f>1-BJ344-BK344</f>
        <v>0.12509289099960752</v>
      </c>
      <c r="BM344" s="3">
        <f>AY344*BJ344</f>
        <v>1381.3450295116386</v>
      </c>
      <c r="BN344" s="3">
        <f>AY344*BK344</f>
        <v>1823.3754389553631</v>
      </c>
      <c r="BO344" s="3">
        <f>SUM(BM344:BN344)</f>
        <v>3204.7204684670014</v>
      </c>
      <c r="BP344" s="3">
        <f>BE344*BJ344</f>
        <v>1317.2628859643551</v>
      </c>
      <c r="BQ344" s="3">
        <f>BE344*BK344</f>
        <v>1738.7870094729487</v>
      </c>
      <c r="BR344" s="3">
        <f>SUM(BP344:BQ344)</f>
        <v>3056.0498954373038</v>
      </c>
      <c r="BS344" s="3"/>
      <c r="BT344" s="15">
        <f>AF345</f>
        <v>44980</v>
      </c>
      <c r="BU344" s="3">
        <f t="shared" ref="BU344:CA344" si="61">AVERAGE(AG344:AG349)</f>
        <v>51.400000000000006</v>
      </c>
      <c r="BV344" s="13">
        <f t="shared" si="61"/>
        <v>1.0445</v>
      </c>
      <c r="BW344" s="3">
        <f t="shared" si="61"/>
        <v>80.099999999999994</v>
      </c>
      <c r="BX344" s="3">
        <f t="shared" si="61"/>
        <v>27.9</v>
      </c>
      <c r="BY344" s="3">
        <f t="shared" si="61"/>
        <v>5.25</v>
      </c>
      <c r="BZ344" s="3">
        <f t="shared" si="61"/>
        <v>76.599999999999994</v>
      </c>
      <c r="CA344" s="3">
        <f t="shared" si="61"/>
        <v>9.4499999999999993</v>
      </c>
      <c r="CB344" s="13"/>
      <c r="CC344" s="10">
        <f>AVERAGE(AO344:AO349)</f>
        <v>5</v>
      </c>
      <c r="CD344" s="4">
        <f>AVERAGE(AP344:AP349)</f>
        <v>0.11</v>
      </c>
      <c r="CE344" s="3">
        <f>AVERAGE(AQ344:AQ349)</f>
        <v>9.65</v>
      </c>
    </row>
    <row r="345" spans="1:83" x14ac:dyDescent="0.25">
      <c r="A345" s="2">
        <f t="shared" si="56"/>
        <v>11</v>
      </c>
      <c r="B345" s="2">
        <v>4</v>
      </c>
      <c r="C345" t="s">
        <v>5</v>
      </c>
      <c r="D345" s="5" t="str">
        <f t="shared" si="58"/>
        <v>p11-4-MW</v>
      </c>
      <c r="E345" s="5" t="s">
        <v>468</v>
      </c>
      <c r="F345" s="17">
        <v>44881</v>
      </c>
      <c r="G345">
        <v>11</v>
      </c>
      <c r="H345" s="3">
        <v>14.5</v>
      </c>
      <c r="I345" s="3">
        <f t="shared" si="59"/>
        <v>14.04</v>
      </c>
      <c r="J345" s="3">
        <f>($A$61-$A$47)*$A$75</f>
        <v>0.97750000000000004</v>
      </c>
      <c r="K345" s="6">
        <f t="shared" si="60"/>
        <v>3352.2725688976375</v>
      </c>
      <c r="L345" s="4">
        <v>8.35</v>
      </c>
      <c r="M345" s="4">
        <v>190.03</v>
      </c>
      <c r="N345" s="4">
        <f>M345-L345</f>
        <v>181.68</v>
      </c>
      <c r="O345" s="4">
        <v>172.91</v>
      </c>
      <c r="P345" s="7">
        <f>(N345-O345)/N345*100</f>
        <v>4.8271686481726164</v>
      </c>
      <c r="Q345" s="6">
        <f>K345*(1-P345/100)</f>
        <v>3190.45271845052</v>
      </c>
      <c r="R345" s="14">
        <v>44882</v>
      </c>
      <c r="S345" s="4">
        <v>6.45</v>
      </c>
      <c r="T345" s="4">
        <v>2.56</v>
      </c>
      <c r="U345" s="4">
        <v>4.82</v>
      </c>
      <c r="V345" s="8">
        <f>(T345-$A$76)/(S345-$A$47*$A$48)</f>
        <v>0.38132789936163269</v>
      </c>
      <c r="W345" s="8">
        <f>(U345-$A$77)/(S345-$A$47*$A$48)</f>
        <v>0.4998920361379387</v>
      </c>
      <c r="X345" s="8">
        <f>1-V345-W345</f>
        <v>0.11878006450042861</v>
      </c>
      <c r="Y345" s="6">
        <f>K345*V345</f>
        <v>1278.3150567853602</v>
      </c>
      <c r="Z345" s="6">
        <f>K345*W345</f>
        <v>1675.7743601555983</v>
      </c>
      <c r="AA345" s="6">
        <f>SUM(Y345:Z345)</f>
        <v>2954.0894169409585</v>
      </c>
      <c r="AB345" s="6">
        <f>Q345*V345</f>
        <v>1216.6086331393474</v>
      </c>
      <c r="AC345" s="6">
        <f>Q345*W345</f>
        <v>1594.8819056280522</v>
      </c>
      <c r="AD345" s="6">
        <f>SUM(AB345:AC345)</f>
        <v>2811.4905387673998</v>
      </c>
      <c r="AE345" s="10">
        <v>990131141044</v>
      </c>
      <c r="AF345" s="14">
        <v>44980</v>
      </c>
      <c r="AG345" s="6">
        <v>53.2</v>
      </c>
      <c r="AH345" s="11">
        <v>1.0329999999999999</v>
      </c>
      <c r="AI345" s="6">
        <v>79.400000000000006</v>
      </c>
      <c r="AJ345" s="6">
        <v>27.6</v>
      </c>
      <c r="AK345" s="6">
        <v>5.4</v>
      </c>
      <c r="AL345" s="6">
        <v>76.900000000000006</v>
      </c>
      <c r="AM345" s="6">
        <v>9.6999999999999993</v>
      </c>
      <c r="AN345" s="16" t="s">
        <v>167</v>
      </c>
      <c r="AO345" s="12">
        <v>4</v>
      </c>
      <c r="AP345" s="7">
        <v>7.0000000000000007E-2</v>
      </c>
      <c r="AQ345" s="6">
        <v>10</v>
      </c>
      <c r="AV345" s="3"/>
      <c r="AW345" s="3"/>
      <c r="AX345" s="3"/>
      <c r="AY345" s="3"/>
      <c r="AZ345" s="4"/>
      <c r="BA345" s="4"/>
      <c r="BB345" s="4"/>
      <c r="BC345" s="4"/>
      <c r="BD345" s="4"/>
      <c r="BE345" s="3"/>
      <c r="BF345" s="3"/>
      <c r="BG345" s="4"/>
      <c r="BH345" s="4"/>
      <c r="BI345" s="4"/>
      <c r="BJ345" s="9"/>
      <c r="BK345" s="9"/>
      <c r="BL345" s="9"/>
      <c r="BM345" s="3"/>
      <c r="BN345" s="3"/>
      <c r="BO345" s="3"/>
      <c r="BP345" s="3"/>
      <c r="BQ345" s="3"/>
      <c r="BR345" s="3"/>
      <c r="BT345" s="15"/>
      <c r="BU345" s="3"/>
      <c r="BV345" s="13"/>
      <c r="BW345" s="3"/>
      <c r="BX345" s="3"/>
      <c r="BY345" s="3"/>
      <c r="BZ345" s="3"/>
      <c r="CA345" s="3"/>
      <c r="CB345" s="10"/>
      <c r="CC345" s="10"/>
      <c r="CD345" s="4"/>
      <c r="CE345" s="3"/>
    </row>
    <row r="346" spans="1:83" x14ac:dyDescent="0.25">
      <c r="A346" s="2">
        <f t="shared" si="56"/>
        <v>11</v>
      </c>
      <c r="B346" s="2">
        <v>4</v>
      </c>
      <c r="C346" t="s">
        <v>6</v>
      </c>
      <c r="D346" s="5" t="str">
        <f t="shared" si="58"/>
        <v>p11-4-SW</v>
      </c>
      <c r="E346" s="5" t="s">
        <v>468</v>
      </c>
      <c r="F346" s="17">
        <v>44881</v>
      </c>
      <c r="G346">
        <v>11</v>
      </c>
      <c r="H346" s="3">
        <v>18.2</v>
      </c>
      <c r="I346" s="3">
        <f t="shared" si="59"/>
        <v>17.739999999999998</v>
      </c>
      <c r="J346" s="3">
        <f>($A$61-$A$47)*$A$75</f>
        <v>0.97750000000000004</v>
      </c>
      <c r="K346" s="6">
        <f t="shared" si="60"/>
        <v>4178.2028838582673</v>
      </c>
      <c r="L346" s="4"/>
      <c r="M346" s="4"/>
      <c r="N346" s="4"/>
      <c r="O346" s="4"/>
      <c r="P346" s="7"/>
      <c r="Q346" s="6"/>
      <c r="R346" s="14"/>
      <c r="S346" s="4"/>
      <c r="T346" s="4"/>
      <c r="U346" s="4"/>
      <c r="V346" s="8"/>
      <c r="W346" s="8"/>
      <c r="X346" s="8"/>
      <c r="Y346" s="6"/>
      <c r="Z346" s="6"/>
      <c r="AA346" s="6"/>
      <c r="AB346" s="6"/>
      <c r="AC346" s="6"/>
      <c r="AD346" s="6"/>
      <c r="AE346" s="10"/>
      <c r="AF346" s="14"/>
      <c r="AG346" s="6"/>
      <c r="AH346" s="11"/>
      <c r="AI346" s="6"/>
      <c r="AJ346" s="6"/>
      <c r="AK346" s="6"/>
      <c r="AL346" s="6"/>
      <c r="AM346" s="6"/>
      <c r="AN346" s="16"/>
      <c r="AO346" s="12"/>
      <c r="AP346" s="7"/>
      <c r="AQ346" s="6"/>
      <c r="AV346" s="3"/>
      <c r="AW346" s="3"/>
      <c r="AX346" s="3"/>
      <c r="AY346" s="3"/>
      <c r="AZ346" s="4"/>
      <c r="BA346" s="4"/>
      <c r="BB346" s="4"/>
      <c r="BC346" s="4"/>
      <c r="BD346" s="4"/>
      <c r="BE346" s="3"/>
      <c r="BF346" s="3"/>
      <c r="BG346" s="4"/>
      <c r="BH346" s="4"/>
      <c r="BI346" s="4"/>
      <c r="BJ346" s="9"/>
      <c r="BK346" s="9"/>
      <c r="BL346" s="9"/>
      <c r="BM346" s="3"/>
      <c r="BN346" s="3"/>
      <c r="BO346" s="3"/>
      <c r="BP346" s="3"/>
      <c r="BQ346" s="3"/>
      <c r="BR346" s="3"/>
      <c r="BT346" s="15"/>
      <c r="BU346" s="3"/>
      <c r="BV346" s="13"/>
      <c r="BW346" s="3"/>
      <c r="BX346" s="3"/>
      <c r="BY346" s="3"/>
      <c r="BZ346" s="3"/>
      <c r="CA346" s="3"/>
      <c r="CB346" s="10"/>
      <c r="CC346" s="10"/>
      <c r="CD346" s="4"/>
      <c r="CE346" s="3"/>
    </row>
    <row r="347" spans="1:83" x14ac:dyDescent="0.25">
      <c r="A347" s="2">
        <f t="shared" si="56"/>
        <v>11</v>
      </c>
      <c r="B347" s="2">
        <v>4</v>
      </c>
      <c r="C347" t="s">
        <v>7</v>
      </c>
      <c r="D347" s="5" t="str">
        <f t="shared" si="58"/>
        <v>p11-4-NE</v>
      </c>
      <c r="E347" s="5" t="s">
        <v>468</v>
      </c>
      <c r="F347" s="17">
        <v>44881</v>
      </c>
      <c r="G347">
        <v>23</v>
      </c>
      <c r="H347" s="3">
        <v>16.899999999999999</v>
      </c>
      <c r="I347" s="3">
        <f t="shared" si="59"/>
        <v>16.439999999999998</v>
      </c>
      <c r="J347" s="3">
        <f>($A$73-$A$47)*$A$75</f>
        <v>0.92749999999999999</v>
      </c>
      <c r="K347" s="6">
        <f t="shared" si="60"/>
        <v>3876.8499311023611</v>
      </c>
      <c r="L347" s="4"/>
      <c r="M347" s="4"/>
      <c r="N347" s="4"/>
      <c r="O347" s="4"/>
      <c r="P347" s="7"/>
      <c r="Q347" s="6"/>
      <c r="R347" s="14"/>
      <c r="S347" s="4"/>
      <c r="T347" s="4"/>
      <c r="U347" s="4"/>
      <c r="V347" s="8"/>
      <c r="W347" s="8"/>
      <c r="X347" s="8"/>
      <c r="Y347" s="6"/>
      <c r="Z347" s="6"/>
      <c r="AA347" s="6"/>
      <c r="AB347" s="6"/>
      <c r="AC347" s="6"/>
      <c r="AD347" s="6"/>
      <c r="AE347" s="10"/>
      <c r="AF347" s="14"/>
      <c r="AG347" s="6"/>
      <c r="AH347" s="11"/>
      <c r="AI347" s="6"/>
      <c r="AJ347" s="6"/>
      <c r="AK347" s="6"/>
      <c r="AL347" s="6"/>
      <c r="AM347" s="6"/>
      <c r="AN347" s="16"/>
      <c r="AO347" s="12"/>
      <c r="AP347" s="7"/>
      <c r="AQ347" s="6"/>
      <c r="AV347" s="3"/>
      <c r="AW347" s="3"/>
      <c r="AX347" s="3"/>
      <c r="AY347" s="3"/>
      <c r="AZ347" s="4"/>
      <c r="BA347" s="4"/>
      <c r="BB347" s="4"/>
      <c r="BC347" s="4"/>
      <c r="BD347" s="4"/>
      <c r="BE347" s="3"/>
      <c r="BF347" s="3"/>
      <c r="BG347" s="4"/>
      <c r="BH347" s="4"/>
      <c r="BI347" s="4"/>
      <c r="BJ347" s="9"/>
      <c r="BK347" s="9"/>
      <c r="BL347" s="9"/>
      <c r="BM347" s="3"/>
      <c r="BN347" s="3"/>
      <c r="BO347" s="3"/>
      <c r="BP347" s="3"/>
      <c r="BQ347" s="3"/>
      <c r="BR347" s="3"/>
      <c r="BT347" s="15"/>
      <c r="BU347" s="3"/>
      <c r="BV347" s="13"/>
      <c r="BW347" s="3"/>
      <c r="BX347" s="3"/>
      <c r="BY347" s="3"/>
      <c r="BZ347" s="3"/>
      <c r="CA347" s="3"/>
      <c r="CB347" s="10"/>
      <c r="CC347" s="10"/>
      <c r="CD347" s="4"/>
      <c r="CE347" s="3"/>
    </row>
    <row r="348" spans="1:83" x14ac:dyDescent="0.25">
      <c r="A348" s="2">
        <f t="shared" si="56"/>
        <v>11</v>
      </c>
      <c r="B348" s="2">
        <v>4</v>
      </c>
      <c r="C348" t="s">
        <v>18</v>
      </c>
      <c r="D348" s="5" t="str">
        <f t="shared" si="58"/>
        <v>p11-4-ME</v>
      </c>
      <c r="E348" s="5" t="s">
        <v>468</v>
      </c>
      <c r="F348" s="17">
        <v>44881</v>
      </c>
      <c r="G348">
        <v>23</v>
      </c>
      <c r="H348" s="3">
        <v>13.3</v>
      </c>
      <c r="I348" s="3">
        <f t="shared" si="59"/>
        <v>12.84</v>
      </c>
      <c r="J348" s="3">
        <f>($A$73-$A$47)*$A$75</f>
        <v>0.92749999999999999</v>
      </c>
      <c r="K348" s="6">
        <f t="shared" si="60"/>
        <v>3073.2420570866143</v>
      </c>
      <c r="L348" s="4">
        <v>8.7799999999999994</v>
      </c>
      <c r="M348" s="4">
        <v>153.24</v>
      </c>
      <c r="N348" s="4">
        <f>M348-L348</f>
        <v>144.46</v>
      </c>
      <c r="O348" s="4">
        <v>138.1</v>
      </c>
      <c r="P348" s="7">
        <f>(N348-O348)/N348*100</f>
        <v>4.4026027966219115</v>
      </c>
      <c r="Q348" s="6">
        <f>K348*(1-P348/100)</f>
        <v>2937.9394163343582</v>
      </c>
      <c r="R348" s="14">
        <v>44882</v>
      </c>
      <c r="S348" s="4">
        <v>5.9</v>
      </c>
      <c r="T348" s="4">
        <v>2.2999999999999998</v>
      </c>
      <c r="U348" s="4">
        <v>4.5199999999999996</v>
      </c>
      <c r="V348" s="8">
        <f>(T348-$A$76)/(S348-$A$47*$A$48)</f>
        <v>0.37249525405905259</v>
      </c>
      <c r="W348" s="8">
        <f>(U348-$A$77)/(S348-$A$47*$A$48)</f>
        <v>0.49548897002194725</v>
      </c>
      <c r="X348" s="8">
        <f>1-V348-W348</f>
        <v>0.13201577591900016</v>
      </c>
      <c r="Y348" s="6">
        <f>K348*V348</f>
        <v>1144.7680808394439</v>
      </c>
      <c r="Z348" s="6">
        <f>K348*W348</f>
        <v>1522.757541493977</v>
      </c>
      <c r="AA348" s="6">
        <f>SUM(Y348:Z348)</f>
        <v>2667.5256223334209</v>
      </c>
      <c r="AB348" s="6">
        <f>Q348*V348</f>
        <v>1094.3684892975714</v>
      </c>
      <c r="AC348" s="6">
        <f>Q348*W348</f>
        <v>1455.7165753863919</v>
      </c>
      <c r="AD348" s="6">
        <f>SUM(AB348:AC348)</f>
        <v>2550.0850646839635</v>
      </c>
      <c r="AE348" s="10">
        <v>990131142092</v>
      </c>
      <c r="AF348" s="14">
        <v>44980</v>
      </c>
      <c r="AG348" s="6">
        <v>49.6</v>
      </c>
      <c r="AH348" s="11">
        <v>1.056</v>
      </c>
      <c r="AI348" s="6">
        <v>80.8</v>
      </c>
      <c r="AJ348" s="6">
        <v>28.2</v>
      </c>
      <c r="AK348" s="6">
        <v>5.0999999999999996</v>
      </c>
      <c r="AL348" s="6">
        <v>76.3</v>
      </c>
      <c r="AM348" s="6">
        <v>9.1999999999999993</v>
      </c>
      <c r="AN348" s="16" t="s">
        <v>169</v>
      </c>
      <c r="AO348" s="12">
        <v>6</v>
      </c>
      <c r="AP348" s="7">
        <v>0.15</v>
      </c>
      <c r="AQ348" s="6">
        <v>9.3000000000000007</v>
      </c>
      <c r="AV348" s="3"/>
      <c r="AW348" s="3"/>
      <c r="AX348" s="3"/>
      <c r="AY348" s="3"/>
      <c r="AZ348" s="4"/>
      <c r="BA348" s="4"/>
      <c r="BB348" s="4"/>
      <c r="BC348" s="4"/>
      <c r="BD348" s="4"/>
      <c r="BE348" s="3"/>
      <c r="BF348" s="3"/>
      <c r="BG348" s="4"/>
      <c r="BH348" s="4"/>
      <c r="BI348" s="4"/>
      <c r="BJ348" s="9"/>
      <c r="BK348" s="9"/>
      <c r="BL348" s="9"/>
      <c r="BM348" s="3"/>
      <c r="BN348" s="3"/>
      <c r="BO348" s="3"/>
      <c r="BP348" s="3"/>
      <c r="BQ348" s="3"/>
      <c r="BR348" s="3"/>
      <c r="BT348" s="15"/>
      <c r="BU348" s="3"/>
      <c r="BV348" s="13"/>
      <c r="BW348" s="3"/>
      <c r="BX348" s="3"/>
      <c r="BY348" s="3"/>
      <c r="BZ348" s="3"/>
      <c r="CA348" s="3"/>
      <c r="CB348" s="10"/>
      <c r="CC348" s="10"/>
      <c r="CD348" s="4"/>
      <c r="CE348" s="3"/>
    </row>
    <row r="349" spans="1:83" x14ac:dyDescent="0.25">
      <c r="A349" s="2">
        <f t="shared" si="56"/>
        <v>11</v>
      </c>
      <c r="B349" s="2">
        <v>4</v>
      </c>
      <c r="C349" t="s">
        <v>8</v>
      </c>
      <c r="D349" s="5" t="str">
        <f t="shared" si="58"/>
        <v>p11-4-SE</v>
      </c>
      <c r="E349" s="5" t="s">
        <v>468</v>
      </c>
      <c r="F349" s="17">
        <v>44881</v>
      </c>
      <c r="G349">
        <v>23</v>
      </c>
      <c r="H349" s="3">
        <v>12.9</v>
      </c>
      <c r="I349" s="3">
        <f t="shared" si="59"/>
        <v>12.44</v>
      </c>
      <c r="J349" s="3">
        <f>($A$73-$A$47)*$A$75</f>
        <v>0.92749999999999999</v>
      </c>
      <c r="K349" s="6">
        <f t="shared" si="60"/>
        <v>2983.9522933070866</v>
      </c>
      <c r="L349" s="4"/>
      <c r="M349" s="4"/>
      <c r="N349" s="4"/>
      <c r="O349" s="4"/>
      <c r="P349" s="7"/>
      <c r="Q349" s="6"/>
      <c r="R349" s="14"/>
      <c r="S349" s="4"/>
      <c r="T349" s="4"/>
      <c r="U349" s="4"/>
      <c r="V349" s="8"/>
      <c r="W349" s="8"/>
      <c r="X349" s="8"/>
      <c r="Y349" s="6"/>
      <c r="Z349" s="6"/>
      <c r="AA349" s="6"/>
      <c r="AB349" s="6"/>
      <c r="AC349" s="6"/>
      <c r="AD349" s="6"/>
      <c r="AE349" s="10"/>
      <c r="AF349" s="14"/>
      <c r="AG349" s="6"/>
      <c r="AH349" s="11"/>
      <c r="AI349" s="6"/>
      <c r="AJ349" s="6"/>
      <c r="AK349" s="6"/>
      <c r="AL349" s="6"/>
      <c r="AM349" s="6"/>
      <c r="AN349" s="16"/>
      <c r="AO349" s="12"/>
      <c r="AP349" s="7"/>
      <c r="AQ349" s="6"/>
      <c r="AV349" s="3"/>
      <c r="AW349" s="3"/>
      <c r="AX349" s="3"/>
      <c r="AY349" s="3"/>
      <c r="AZ349" s="4"/>
      <c r="BA349" s="4"/>
      <c r="BB349" s="4"/>
      <c r="BC349" s="4"/>
      <c r="BD349" s="4"/>
      <c r="BE349" s="3"/>
      <c r="BF349" s="3"/>
      <c r="BG349" s="4"/>
      <c r="BH349" s="4"/>
      <c r="BI349" s="4"/>
      <c r="BJ349" s="9"/>
      <c r="BK349" s="9"/>
      <c r="BL349" s="9"/>
      <c r="BM349" s="3"/>
      <c r="BN349" s="3"/>
      <c r="BO349" s="3"/>
      <c r="BP349" s="3"/>
      <c r="BQ349" s="3"/>
      <c r="BR349" s="3"/>
      <c r="BT349" s="15"/>
      <c r="BU349" s="3"/>
      <c r="BV349" s="13"/>
      <c r="BW349" s="3"/>
      <c r="BX349" s="3"/>
      <c r="BY349" s="3"/>
      <c r="BZ349" s="3"/>
      <c r="CA349" s="3"/>
      <c r="CB349" s="10"/>
      <c r="CC349" s="10"/>
      <c r="CD349" s="4"/>
      <c r="CE349" s="3"/>
    </row>
    <row r="350" spans="1:83" x14ac:dyDescent="0.25">
      <c r="A350" s="2">
        <f t="shared" si="56"/>
        <v>12</v>
      </c>
      <c r="B350" s="2">
        <v>1</v>
      </c>
      <c r="C350" t="s">
        <v>4</v>
      </c>
      <c r="D350" s="5" t="str">
        <f t="shared" si="58"/>
        <v>p12-1-NW</v>
      </c>
      <c r="E350" s="5" t="s">
        <v>468</v>
      </c>
      <c r="F350" s="17">
        <v>44881</v>
      </c>
      <c r="G350">
        <v>12</v>
      </c>
      <c r="H350" s="3">
        <v>19.7</v>
      </c>
      <c r="I350" s="3">
        <f t="shared" si="59"/>
        <v>19.239999999999998</v>
      </c>
      <c r="J350" s="3">
        <f>($A$62-$A$47)*$A$75</f>
        <v>0.70874999999999999</v>
      </c>
      <c r="K350" s="6">
        <f t="shared" si="60"/>
        <v>4453.0479379921253</v>
      </c>
      <c r="L350" s="4"/>
      <c r="M350" s="4"/>
      <c r="N350" s="4"/>
      <c r="O350" s="4"/>
      <c r="P350" s="7"/>
      <c r="Q350" s="6"/>
      <c r="R350" s="14"/>
      <c r="S350" s="4"/>
      <c r="T350" s="4"/>
      <c r="U350" s="4"/>
      <c r="V350" s="8"/>
      <c r="W350" s="8"/>
      <c r="X350" s="8"/>
      <c r="Y350" s="6"/>
      <c r="Z350" s="6"/>
      <c r="AA350" s="6"/>
      <c r="AB350" s="6"/>
      <c r="AC350" s="6"/>
      <c r="AD350" s="6"/>
      <c r="AE350" s="10"/>
      <c r="AF350" s="14"/>
      <c r="AG350" s="6"/>
      <c r="AH350" s="11"/>
      <c r="AI350" s="6"/>
      <c r="AJ350" s="6"/>
      <c r="AK350" s="6"/>
      <c r="AL350" s="6"/>
      <c r="AM350" s="6"/>
      <c r="AN350" s="16"/>
      <c r="AO350" s="12"/>
      <c r="AP350" s="7"/>
      <c r="AQ350" s="6"/>
      <c r="AS350" s="4" t="s">
        <v>130</v>
      </c>
      <c r="AT350" s="4" t="str">
        <f>E350</f>
        <v>Machine</v>
      </c>
      <c r="AU350" s="15">
        <f>F350</f>
        <v>44881</v>
      </c>
      <c r="AV350" s="3">
        <f>SUM(H350:H355)</f>
        <v>116.80000000000001</v>
      </c>
      <c r="AW350" s="3">
        <f>AV350-6*$A$47</f>
        <v>114.04</v>
      </c>
      <c r="AX350" s="3">
        <f>SUM(J350:J355)</f>
        <v>3.7274999999999996</v>
      </c>
      <c r="AY350" s="3">
        <f>(AW350+AX350)*$A$48/(6*$A$49)*$A$50</f>
        <v>4381.4301066272974</v>
      </c>
      <c r="AZ350" s="4">
        <f>SUM(L350:L355)</f>
        <v>17.57</v>
      </c>
      <c r="BA350" s="4">
        <f>SUM(M350:M355)</f>
        <v>410.48</v>
      </c>
      <c r="BB350" s="4">
        <f>BA350-AZ350</f>
        <v>392.91</v>
      </c>
      <c r="BC350" s="4">
        <f>SUM(O350:O355)</f>
        <v>373.29999999999995</v>
      </c>
      <c r="BD350" s="4">
        <f>(BB350-BC350)/BB350*100</f>
        <v>4.9909648520017482</v>
      </c>
      <c r="BE350" s="3">
        <f>AY350*(1-BD350/100)</f>
        <v>4162.7544699905065</v>
      </c>
      <c r="BF350" s="15">
        <f>R351</f>
        <v>44882</v>
      </c>
      <c r="BG350" s="4">
        <f>SUM(S350:S355)</f>
        <v>16.77</v>
      </c>
      <c r="BH350" s="4">
        <f>SUM(T350:T355)</f>
        <v>5.82</v>
      </c>
      <c r="BI350" s="4">
        <f>SUM(U350:U355)</f>
        <v>12.22</v>
      </c>
      <c r="BJ350" s="9">
        <f>(BH350-2*$A$76)/(BG350-2*$A$47*$A$48)</f>
        <v>0.33388991110025795</v>
      </c>
      <c r="BK350" s="9">
        <f>(BI350-2*$A$77)/(BG350-2*$A$47*$A$48)</f>
        <v>0.53936062562349363</v>
      </c>
      <c r="BL350" s="9">
        <f>1-BJ350-BK350</f>
        <v>0.12674946327624836</v>
      </c>
      <c r="BM350" s="3">
        <f>AY350*BJ350</f>
        <v>1462.9153087937821</v>
      </c>
      <c r="BN350" s="3">
        <f>AY350*BK350</f>
        <v>2363.1708834361093</v>
      </c>
      <c r="BO350" s="3">
        <f>SUM(BM350:BN350)</f>
        <v>3826.0861922298914</v>
      </c>
      <c r="BP350" s="3">
        <f>BE350*BJ350</f>
        <v>1389.9017199173315</v>
      </c>
      <c r="BQ350" s="3">
        <f>BE350*BK350</f>
        <v>2245.2258552510743</v>
      </c>
      <c r="BR350" s="3">
        <f>SUM(BP350:BQ350)</f>
        <v>3635.1275751684061</v>
      </c>
      <c r="BS350" s="3"/>
      <c r="BT350" s="15">
        <f>AF351</f>
        <v>44980</v>
      </c>
      <c r="BU350" s="3">
        <f t="shared" ref="BU350:CA350" si="62">AVERAGE(AG350:AG355)</f>
        <v>49.15</v>
      </c>
      <c r="BV350" s="13">
        <f t="shared" si="62"/>
        <v>1.123</v>
      </c>
      <c r="BW350" s="3">
        <f t="shared" si="62"/>
        <v>79.95</v>
      </c>
      <c r="BX350" s="3">
        <f t="shared" si="62"/>
        <v>27.5</v>
      </c>
      <c r="BY350" s="3">
        <f t="shared" si="62"/>
        <v>6.1</v>
      </c>
      <c r="BZ350" s="3">
        <f t="shared" si="62"/>
        <v>79.599999999999994</v>
      </c>
      <c r="CA350" s="3">
        <f t="shared" si="62"/>
        <v>8.5500000000000007</v>
      </c>
      <c r="CB350" s="13"/>
      <c r="CC350" s="10">
        <f>AVERAGE(AO350:AO355)</f>
        <v>7.5</v>
      </c>
      <c r="CD350" s="4">
        <f>AVERAGE(AP350:AP355)</f>
        <v>0.155</v>
      </c>
      <c r="CE350" s="3">
        <f>AVERAGE(AQ350:AQ355)</f>
        <v>9.8000000000000007</v>
      </c>
    </row>
    <row r="351" spans="1:83" x14ac:dyDescent="0.25">
      <c r="A351" s="2">
        <f t="shared" si="56"/>
        <v>12</v>
      </c>
      <c r="B351" s="2">
        <v>1</v>
      </c>
      <c r="C351" t="s">
        <v>5</v>
      </c>
      <c r="D351" s="5" t="str">
        <f t="shared" si="58"/>
        <v>p12-1-MW</v>
      </c>
      <c r="E351" s="5" t="s">
        <v>468</v>
      </c>
      <c r="F351" s="17">
        <v>44881</v>
      </c>
      <c r="G351">
        <v>12</v>
      </c>
      <c r="H351" s="3">
        <v>17.2</v>
      </c>
      <c r="I351" s="3">
        <f t="shared" si="59"/>
        <v>16.739999999999998</v>
      </c>
      <c r="J351" s="3">
        <f>($A$62-$A$47)*$A$75</f>
        <v>0.70874999999999999</v>
      </c>
      <c r="K351" s="6">
        <f t="shared" si="60"/>
        <v>3894.9869143700776</v>
      </c>
      <c r="L351" s="4">
        <v>8.7200000000000006</v>
      </c>
      <c r="M351" s="4">
        <v>148.03</v>
      </c>
      <c r="N351" s="4">
        <f>M351-L351</f>
        <v>139.31</v>
      </c>
      <c r="O351" s="4">
        <v>132.51</v>
      </c>
      <c r="P351" s="7">
        <f>(N351-O351)/N351*100</f>
        <v>4.8812002009906053</v>
      </c>
      <c r="Q351" s="6">
        <f>K351*(1-P351/100)</f>
        <v>3704.8648052772874</v>
      </c>
      <c r="R351" s="14">
        <v>44882</v>
      </c>
      <c r="S351" s="4">
        <v>7.64</v>
      </c>
      <c r="T351" s="4">
        <v>2.68</v>
      </c>
      <c r="U351" s="4">
        <v>5.74</v>
      </c>
      <c r="V351" s="8">
        <f>(T351-$A$76)/(S351-$A$47*$A$48)</f>
        <v>0.33641273530079269</v>
      </c>
      <c r="W351" s="8">
        <f>(U351-$A$77)/(S351-$A$47*$A$48)</f>
        <v>0.54364298024608104</v>
      </c>
      <c r="X351" s="8">
        <f>1-V351-W351</f>
        <v>0.11994428445312633</v>
      </c>
      <c r="Y351" s="6">
        <f>K351*V351</f>
        <v>1310.3232018240321</v>
      </c>
      <c r="Z351" s="6">
        <f>K351*W351</f>
        <v>2117.4822941476364</v>
      </c>
      <c r="AA351" s="6">
        <f>SUM(Y351:Z351)</f>
        <v>3427.8054959716683</v>
      </c>
      <c r="AB351" s="6">
        <f>Q351*V351</f>
        <v>1246.3637030629709</v>
      </c>
      <c r="AC351" s="6">
        <f>Q351*W351</f>
        <v>2014.1237441497613</v>
      </c>
      <c r="AD351" s="6">
        <f>SUM(AB351:AC351)</f>
        <v>3260.4874472127321</v>
      </c>
      <c r="AE351" s="10">
        <v>990131211045</v>
      </c>
      <c r="AF351" s="14">
        <v>44980</v>
      </c>
      <c r="AG351" s="6">
        <v>48.3</v>
      </c>
      <c r="AH351" s="11">
        <v>1.1339999999999999</v>
      </c>
      <c r="AI351" s="6">
        <v>79.900000000000006</v>
      </c>
      <c r="AJ351" s="6">
        <v>28</v>
      </c>
      <c r="AK351" s="6">
        <v>6.1</v>
      </c>
      <c r="AL351" s="6">
        <v>79.900000000000006</v>
      </c>
      <c r="AM351" s="6">
        <v>8.8000000000000007</v>
      </c>
      <c r="AN351" s="16" t="s">
        <v>148</v>
      </c>
      <c r="AO351" s="12">
        <v>8</v>
      </c>
      <c r="AP351" s="7">
        <v>0.15</v>
      </c>
      <c r="AQ351" s="6">
        <v>9.4</v>
      </c>
      <c r="AV351" s="3"/>
      <c r="AW351" s="3"/>
      <c r="AX351" s="3"/>
      <c r="AY351" s="3"/>
      <c r="AZ351" s="4"/>
      <c r="BA351" s="4"/>
      <c r="BB351" s="4"/>
      <c r="BC351" s="4"/>
      <c r="BD351" s="4"/>
      <c r="BE351" s="3"/>
      <c r="BF351" s="3"/>
      <c r="BG351" s="4"/>
      <c r="BH351" s="4"/>
      <c r="BI351" s="4"/>
      <c r="BJ351" s="9"/>
      <c r="BK351" s="9"/>
      <c r="BL351" s="9"/>
      <c r="BM351" s="3"/>
      <c r="BN351" s="3"/>
      <c r="BO351" s="3"/>
      <c r="BP351" s="3"/>
      <c r="BQ351" s="3"/>
      <c r="BR351" s="3"/>
      <c r="BT351" s="15"/>
      <c r="BU351" s="3"/>
      <c r="BV351" s="13"/>
      <c r="BW351" s="3"/>
      <c r="BX351" s="3"/>
      <c r="BY351" s="3"/>
      <c r="BZ351" s="3"/>
      <c r="CA351" s="3"/>
      <c r="CB351" s="10"/>
      <c r="CC351" s="10"/>
      <c r="CD351" s="4"/>
      <c r="CE351" s="3"/>
    </row>
    <row r="352" spans="1:83" x14ac:dyDescent="0.25">
      <c r="A352" s="2">
        <f>A328+1</f>
        <v>12</v>
      </c>
      <c r="B352" s="2">
        <v>1</v>
      </c>
      <c r="C352" t="s">
        <v>6</v>
      </c>
      <c r="D352" s="5" t="str">
        <f t="shared" si="58"/>
        <v>p12-1-SW</v>
      </c>
      <c r="E352" s="5" t="s">
        <v>468</v>
      </c>
      <c r="F352" s="17">
        <v>44881</v>
      </c>
      <c r="G352">
        <v>12</v>
      </c>
      <c r="H352" s="3">
        <v>16.600000000000001</v>
      </c>
      <c r="I352" s="3">
        <f t="shared" si="59"/>
        <v>16.14</v>
      </c>
      <c r="J352" s="3">
        <f>($A$62-$A$47)*$A$75</f>
        <v>0.70874999999999999</v>
      </c>
      <c r="K352" s="6">
        <f t="shared" si="60"/>
        <v>3761.052268700787</v>
      </c>
      <c r="L352" s="4"/>
      <c r="M352" s="4"/>
      <c r="N352" s="4"/>
      <c r="O352" s="4"/>
      <c r="P352" s="7"/>
      <c r="Q352" s="6"/>
      <c r="R352" s="14"/>
      <c r="S352" s="4"/>
      <c r="T352" s="4"/>
      <c r="U352" s="4"/>
      <c r="V352" s="8"/>
      <c r="W352" s="8"/>
      <c r="X352" s="8"/>
      <c r="Y352" s="6"/>
      <c r="Z352" s="6"/>
      <c r="AA352" s="6"/>
      <c r="AB352" s="6"/>
      <c r="AC352" s="6"/>
      <c r="AD352" s="6"/>
      <c r="AE352" s="10"/>
      <c r="AF352" s="14"/>
      <c r="AG352" s="6"/>
      <c r="AH352" s="11"/>
      <c r="AI352" s="6"/>
      <c r="AJ352" s="6"/>
      <c r="AK352" s="6"/>
      <c r="AL352" s="6"/>
      <c r="AM352" s="6"/>
      <c r="AN352" s="16"/>
      <c r="AO352" s="12"/>
      <c r="AP352" s="7"/>
      <c r="AQ352" s="6"/>
      <c r="AV352" s="3"/>
      <c r="AW352" s="3"/>
      <c r="AX352" s="3"/>
      <c r="AY352" s="3"/>
      <c r="AZ352" s="4"/>
      <c r="BA352" s="4"/>
      <c r="BB352" s="4"/>
      <c r="BC352" s="4"/>
      <c r="BD352" s="4"/>
      <c r="BE352" s="3"/>
      <c r="BF352" s="3"/>
      <c r="BG352" s="4"/>
      <c r="BH352" s="4"/>
      <c r="BI352" s="4"/>
      <c r="BJ352" s="9"/>
      <c r="BK352" s="9"/>
      <c r="BL352" s="9"/>
      <c r="BM352" s="3"/>
      <c r="BN352" s="3"/>
      <c r="BO352" s="3"/>
      <c r="BP352" s="3"/>
      <c r="BQ352" s="3"/>
      <c r="BR352" s="3"/>
      <c r="BS352" s="4"/>
      <c r="BT352" s="15"/>
      <c r="BU352" s="3"/>
      <c r="BV352" s="13"/>
      <c r="BW352" s="3"/>
      <c r="BX352" s="3"/>
      <c r="BY352" s="3"/>
      <c r="BZ352" s="3"/>
      <c r="CA352" s="3"/>
      <c r="CB352" s="10"/>
      <c r="CC352" s="10"/>
      <c r="CD352" s="4"/>
      <c r="CE352" s="3"/>
    </row>
    <row r="353" spans="1:83" x14ac:dyDescent="0.25">
      <c r="A353" s="2">
        <f t="shared" ref="A353:A373" si="63">A329+1</f>
        <v>12</v>
      </c>
      <c r="B353" s="2">
        <v>1</v>
      </c>
      <c r="C353" t="s">
        <v>7</v>
      </c>
      <c r="D353" s="5" t="str">
        <f t="shared" si="58"/>
        <v>p12-1-NE</v>
      </c>
      <c r="E353" s="5" t="s">
        <v>468</v>
      </c>
      <c r="F353" s="17">
        <v>44881</v>
      </c>
      <c r="G353">
        <v>24</v>
      </c>
      <c r="H353" s="3">
        <v>23</v>
      </c>
      <c r="I353" s="3">
        <f t="shared" si="59"/>
        <v>22.54</v>
      </c>
      <c r="J353" s="3">
        <f>($A$74-$A$47)*$A$75</f>
        <v>0.53374999999999995</v>
      </c>
      <c r="K353" s="6">
        <f t="shared" si="60"/>
        <v>5150.6242175196849</v>
      </c>
      <c r="L353" s="4"/>
      <c r="M353" s="4"/>
      <c r="N353" s="4"/>
      <c r="O353" s="4"/>
      <c r="P353" s="7"/>
      <c r="Q353" s="6"/>
      <c r="R353" s="14"/>
      <c r="S353" s="4"/>
      <c r="T353" s="4"/>
      <c r="U353" s="4"/>
      <c r="V353" s="8"/>
      <c r="W353" s="8"/>
      <c r="X353" s="8"/>
      <c r="Y353" s="6"/>
      <c r="Z353" s="6"/>
      <c r="AA353" s="6"/>
      <c r="AB353" s="6"/>
      <c r="AC353" s="6"/>
      <c r="AD353" s="6"/>
      <c r="AE353" s="10"/>
      <c r="AF353" s="14"/>
      <c r="AG353" s="6"/>
      <c r="AH353" s="11"/>
      <c r="AI353" s="6"/>
      <c r="AJ353" s="6"/>
      <c r="AK353" s="6"/>
      <c r="AL353" s="6"/>
      <c r="AM353" s="6"/>
      <c r="AN353" s="16"/>
      <c r="AO353" s="12"/>
      <c r="AP353" s="7"/>
      <c r="AQ353" s="6"/>
      <c r="AV353" s="3"/>
      <c r="AW353" s="3"/>
      <c r="AX353" s="3"/>
      <c r="AY353" s="3"/>
      <c r="AZ353" s="4"/>
      <c r="BA353" s="4"/>
      <c r="BB353" s="4"/>
      <c r="BC353" s="4"/>
      <c r="BD353" s="4"/>
      <c r="BE353" s="3"/>
      <c r="BF353" s="3"/>
      <c r="BG353" s="4"/>
      <c r="BH353" s="4"/>
      <c r="BI353" s="4"/>
      <c r="BJ353" s="9"/>
      <c r="BK353" s="9"/>
      <c r="BL353" s="9"/>
      <c r="BM353" s="3"/>
      <c r="BN353" s="3"/>
      <c r="BO353" s="3"/>
      <c r="BP353" s="3"/>
      <c r="BQ353" s="3"/>
      <c r="BR353" s="3"/>
      <c r="BT353" s="15"/>
      <c r="BU353" s="3"/>
      <c r="BV353" s="13"/>
      <c r="BW353" s="3"/>
      <c r="BX353" s="3"/>
      <c r="BY353" s="3"/>
      <c r="BZ353" s="3"/>
      <c r="CA353" s="3"/>
      <c r="CB353" s="10"/>
      <c r="CC353" s="10"/>
      <c r="CD353" s="4"/>
      <c r="CE353" s="3"/>
    </row>
    <row r="354" spans="1:83" x14ac:dyDescent="0.25">
      <c r="A354" s="2">
        <f t="shared" si="63"/>
        <v>12</v>
      </c>
      <c r="B354" s="2">
        <v>1</v>
      </c>
      <c r="C354" t="s">
        <v>18</v>
      </c>
      <c r="D354" s="5" t="str">
        <f t="shared" si="58"/>
        <v>p12-1-ME</v>
      </c>
      <c r="E354" s="5" t="s">
        <v>468</v>
      </c>
      <c r="F354" s="17">
        <v>44881</v>
      </c>
      <c r="G354">
        <v>24</v>
      </c>
      <c r="H354" s="3">
        <v>20.7</v>
      </c>
      <c r="I354" s="3">
        <f t="shared" si="59"/>
        <v>20.239999999999998</v>
      </c>
      <c r="J354" s="3">
        <f>($A$74-$A$47)*$A$75</f>
        <v>0.53374999999999995</v>
      </c>
      <c r="K354" s="6">
        <f t="shared" si="60"/>
        <v>4637.208075787401</v>
      </c>
      <c r="L354" s="4">
        <v>8.85</v>
      </c>
      <c r="M354" s="4">
        <v>262.45</v>
      </c>
      <c r="N354" s="4">
        <f>M354-L354</f>
        <v>253.6</v>
      </c>
      <c r="O354" s="4">
        <v>240.79</v>
      </c>
      <c r="P354" s="7">
        <f>(N354-O354)/N354*100</f>
        <v>5.0512618296529972</v>
      </c>
      <c r="Q354" s="6">
        <f>K354*(1-P354/100)</f>
        <v>4402.9705542935653</v>
      </c>
      <c r="R354" s="14">
        <v>44882</v>
      </c>
      <c r="S354" s="4">
        <v>9.1300000000000008</v>
      </c>
      <c r="T354" s="4">
        <v>3.14</v>
      </c>
      <c r="U354" s="4">
        <v>6.48</v>
      </c>
      <c r="V354" s="8">
        <f>(T354-$A$76)/(S354-$A$47*$A$48)</f>
        <v>0.33178843669950997</v>
      </c>
      <c r="W354" s="8">
        <f>(U354-$A$77)/(S354-$A$47*$A$48)</f>
        <v>0.53579348899447898</v>
      </c>
      <c r="X354" s="8">
        <f>1-V354-W354</f>
        <v>0.13241807430601105</v>
      </c>
      <c r="Y354" s="6">
        <f>K354*V354</f>
        <v>1538.5720181158445</v>
      </c>
      <c r="Z354" s="6">
        <f>K354*W354</f>
        <v>2484.5858941195061</v>
      </c>
      <c r="AA354" s="6">
        <f>SUM(Y354:Z354)</f>
        <v>4023.1579122353505</v>
      </c>
      <c r="AB354" s="6">
        <f>Q354*V354</f>
        <v>1460.854717043037</v>
      </c>
      <c r="AC354" s="6">
        <f>Q354*W354</f>
        <v>2359.0829552249043</v>
      </c>
      <c r="AD354" s="6">
        <f>SUM(AB354:AC354)</f>
        <v>3819.9376722679413</v>
      </c>
      <c r="AE354" s="10">
        <v>990131212093</v>
      </c>
      <c r="AF354" s="14">
        <v>44980</v>
      </c>
      <c r="AG354" s="6">
        <v>50</v>
      </c>
      <c r="AH354" s="11">
        <v>1.1120000000000001</v>
      </c>
      <c r="AI354" s="6">
        <v>80</v>
      </c>
      <c r="AJ354" s="6">
        <v>27</v>
      </c>
      <c r="AK354" s="6">
        <v>6.1</v>
      </c>
      <c r="AL354" s="6">
        <v>79.3</v>
      </c>
      <c r="AM354" s="6">
        <v>8.3000000000000007</v>
      </c>
      <c r="AN354" s="16" t="s">
        <v>149</v>
      </c>
      <c r="AO354" s="12">
        <v>7</v>
      </c>
      <c r="AP354" s="7">
        <v>0.16</v>
      </c>
      <c r="AQ354" s="6">
        <v>10.199999999999999</v>
      </c>
      <c r="AV354" s="3"/>
      <c r="AW354" s="3"/>
      <c r="AX354" s="3"/>
      <c r="AY354" s="3"/>
      <c r="AZ354" s="4"/>
      <c r="BA354" s="4"/>
      <c r="BB354" s="4"/>
      <c r="BC354" s="4"/>
      <c r="BD354" s="4"/>
      <c r="BE354" s="3"/>
      <c r="BF354" s="3"/>
      <c r="BG354" s="4"/>
      <c r="BH354" s="4"/>
      <c r="BI354" s="4"/>
      <c r="BJ354" s="9"/>
      <c r="BK354" s="9"/>
      <c r="BL354" s="9"/>
      <c r="BM354" s="3"/>
      <c r="BN354" s="3"/>
      <c r="BO354" s="3"/>
      <c r="BP354" s="3"/>
      <c r="BQ354" s="3"/>
      <c r="BR354" s="3"/>
      <c r="BT354" s="15"/>
      <c r="BU354" s="3"/>
      <c r="BV354" s="13"/>
      <c r="BW354" s="3"/>
      <c r="BX354" s="3"/>
      <c r="BY354" s="3"/>
      <c r="BZ354" s="3"/>
      <c r="CA354" s="3"/>
      <c r="CB354" s="10"/>
      <c r="CC354" s="10"/>
      <c r="CD354" s="4"/>
      <c r="CE354" s="3"/>
    </row>
    <row r="355" spans="1:83" x14ac:dyDescent="0.25">
      <c r="A355" s="2">
        <f t="shared" si="63"/>
        <v>12</v>
      </c>
      <c r="B355" s="2">
        <v>1</v>
      </c>
      <c r="C355" t="s">
        <v>8</v>
      </c>
      <c r="D355" s="5" t="str">
        <f t="shared" si="58"/>
        <v>p12-1-SE</v>
      </c>
      <c r="E355" s="5" t="s">
        <v>468</v>
      </c>
      <c r="F355" s="17">
        <v>44881</v>
      </c>
      <c r="G355">
        <v>24</v>
      </c>
      <c r="H355" s="3">
        <v>19.600000000000001</v>
      </c>
      <c r="I355" s="3">
        <f t="shared" si="59"/>
        <v>19.14</v>
      </c>
      <c r="J355" s="3">
        <f>($A$74-$A$47)*$A$75</f>
        <v>0.53374999999999995</v>
      </c>
      <c r="K355" s="6">
        <f t="shared" si="60"/>
        <v>4391.661225393701</v>
      </c>
      <c r="L355" s="4"/>
      <c r="M355" s="4"/>
      <c r="N355" s="4"/>
      <c r="O355" s="4"/>
      <c r="P355" s="7"/>
      <c r="Q355" s="6"/>
      <c r="R355" s="14"/>
      <c r="S355" s="4"/>
      <c r="T355" s="4"/>
      <c r="U355" s="4"/>
      <c r="V355" s="8"/>
      <c r="W355" s="8"/>
      <c r="X355" s="8"/>
      <c r="Y355" s="6"/>
      <c r="Z355" s="6"/>
      <c r="AA355" s="6"/>
      <c r="AB355" s="6"/>
      <c r="AC355" s="6"/>
      <c r="AD355" s="6"/>
      <c r="AE355" s="10"/>
      <c r="AF355" s="14"/>
      <c r="AG355" s="6"/>
      <c r="AH355" s="11"/>
      <c r="AI355" s="6"/>
      <c r="AJ355" s="6"/>
      <c r="AK355" s="6"/>
      <c r="AL355" s="6"/>
      <c r="AM355" s="6"/>
      <c r="AN355" s="16"/>
      <c r="AO355" s="12"/>
      <c r="AP355" s="7"/>
      <c r="AQ355" s="6"/>
      <c r="AV355" s="3"/>
      <c r="AW355" s="3"/>
      <c r="AX355" s="3"/>
      <c r="AY355" s="3"/>
      <c r="AZ355" s="4"/>
      <c r="BA355" s="4"/>
      <c r="BB355" s="4"/>
      <c r="BC355" s="4"/>
      <c r="BD355" s="4"/>
      <c r="BE355" s="3"/>
      <c r="BF355" s="3"/>
      <c r="BG355" s="4"/>
      <c r="BH355" s="4"/>
      <c r="BI355" s="4"/>
      <c r="BJ355" s="9"/>
      <c r="BK355" s="9"/>
      <c r="BL355" s="9"/>
      <c r="BM355" s="3"/>
      <c r="BN355" s="3"/>
      <c r="BO355" s="3"/>
      <c r="BP355" s="3"/>
      <c r="BQ355" s="3"/>
      <c r="BR355" s="3"/>
      <c r="BT355" s="15"/>
      <c r="BU355" s="3"/>
      <c r="BV355" s="13"/>
      <c r="BW355" s="3"/>
      <c r="BX355" s="3"/>
      <c r="BY355" s="3"/>
      <c r="BZ355" s="3"/>
      <c r="CA355" s="3"/>
      <c r="CB355" s="10"/>
      <c r="CC355" s="10"/>
      <c r="CD355" s="4"/>
      <c r="CE355" s="3"/>
    </row>
    <row r="356" spans="1:83" x14ac:dyDescent="0.25">
      <c r="A356" s="2">
        <f t="shared" si="63"/>
        <v>12</v>
      </c>
      <c r="B356" s="2">
        <v>2</v>
      </c>
      <c r="C356" t="s">
        <v>4</v>
      </c>
      <c r="D356" s="5" t="str">
        <f t="shared" si="58"/>
        <v>p12-2-NW</v>
      </c>
      <c r="E356" s="5" t="s">
        <v>468</v>
      </c>
      <c r="F356" s="17">
        <v>44881</v>
      </c>
      <c r="G356">
        <v>12</v>
      </c>
      <c r="H356" s="3">
        <v>16.2</v>
      </c>
      <c r="I356" s="3">
        <f t="shared" si="59"/>
        <v>15.739999999999998</v>
      </c>
      <c r="J356" s="3">
        <f>($A$62-$A$47)*$A$75</f>
        <v>0.70874999999999999</v>
      </c>
      <c r="K356" s="6">
        <f t="shared" si="60"/>
        <v>3671.7625049212588</v>
      </c>
      <c r="L356" s="4"/>
      <c r="M356" s="4"/>
      <c r="N356" s="4"/>
      <c r="O356" s="4"/>
      <c r="P356" s="7"/>
      <c r="Q356" s="6"/>
      <c r="R356" s="14"/>
      <c r="S356" s="4"/>
      <c r="T356" s="4"/>
      <c r="U356" s="4"/>
      <c r="V356" s="8"/>
      <c r="W356" s="8"/>
      <c r="X356" s="8"/>
      <c r="Y356" s="6"/>
      <c r="Z356" s="6"/>
      <c r="AA356" s="6"/>
      <c r="AB356" s="6"/>
      <c r="AC356" s="6"/>
      <c r="AD356" s="6"/>
      <c r="AE356" s="10"/>
      <c r="AF356" s="14"/>
      <c r="AG356" s="6"/>
      <c r="AH356" s="11"/>
      <c r="AI356" s="6"/>
      <c r="AJ356" s="6"/>
      <c r="AK356" s="6"/>
      <c r="AL356" s="6"/>
      <c r="AM356" s="6"/>
      <c r="AN356" s="16"/>
      <c r="AO356" s="12"/>
      <c r="AP356" s="7"/>
      <c r="AQ356" s="6"/>
      <c r="AS356" t="s">
        <v>131</v>
      </c>
      <c r="AT356" s="4" t="str">
        <f>E356</f>
        <v>Machine</v>
      </c>
      <c r="AU356" s="15">
        <f>F356</f>
        <v>44881</v>
      </c>
      <c r="AV356" s="3">
        <f>SUM(H356:H361)</f>
        <v>112.10000000000001</v>
      </c>
      <c r="AW356" s="3">
        <f>AV356-6*$A$47</f>
        <v>109.34</v>
      </c>
      <c r="AX356" s="3">
        <f>SUM(J356:J361)</f>
        <v>3.7274999999999996</v>
      </c>
      <c r="AY356" s="3">
        <f>(AW356+AX356)*$A$48/(6*$A$49)*$A$50</f>
        <v>4206.5709858923883</v>
      </c>
      <c r="AZ356" s="4">
        <f>SUM(L356:L361)</f>
        <v>17.549999999999997</v>
      </c>
      <c r="BA356" s="4">
        <f>SUM(M356:M361)</f>
        <v>327.78999999999996</v>
      </c>
      <c r="BB356" s="4">
        <f>BA356-AZ356</f>
        <v>310.23999999999995</v>
      </c>
      <c r="BC356" s="4">
        <f>SUM(O356:O361)</f>
        <v>295.62</v>
      </c>
      <c r="BD356" s="4">
        <f>(BB356-BC356)/BB356*100</f>
        <v>4.7124806601340739</v>
      </c>
      <c r="BE356" s="3">
        <f>AY356*(1-BD356/100)</f>
        <v>4008.3371417273979</v>
      </c>
      <c r="BF356" s="15">
        <f>R357</f>
        <v>44882</v>
      </c>
      <c r="BG356" s="4">
        <f>SUM(S356:S361)</f>
        <v>19.009999999999998</v>
      </c>
      <c r="BH356" s="4">
        <f>SUM(T356:T361)</f>
        <v>6.32</v>
      </c>
      <c r="BI356" s="4">
        <f>SUM(U356:U361)</f>
        <v>13.46</v>
      </c>
      <c r="BJ356" s="9">
        <f>(BH356-2*$A$76)/(BG356-2*$A$47*$A$48)</f>
        <v>0.32055599710530625</v>
      </c>
      <c r="BK356" s="9">
        <f>(BI356-2*$A$77)/(BG356-2*$A$47*$A$48)</f>
        <v>0.54107270652338613</v>
      </c>
      <c r="BL356" s="9">
        <f>1-BJ356-BK356</f>
        <v>0.13837129637130763</v>
      </c>
      <c r="BM356" s="3">
        <f>AY356*BJ356</f>
        <v>1348.4415567769856</v>
      </c>
      <c r="BN356" s="3">
        <f>AY356*BK356</f>
        <v>2276.0607485195433</v>
      </c>
      <c r="BO356" s="3">
        <f>SUM(BM356:BN356)</f>
        <v>3624.5023052965289</v>
      </c>
      <c r="BP356" s="3">
        <f>BE356*BJ356</f>
        <v>1284.8965092006592</v>
      </c>
      <c r="BQ356" s="3">
        <f>BE356*BK356</f>
        <v>2168.8018259326568</v>
      </c>
      <c r="BR356" s="3">
        <f>SUM(BP356:BQ356)</f>
        <v>3453.698335133316</v>
      </c>
      <c r="BS356" s="3"/>
      <c r="BT356" s="15">
        <f>AF357</f>
        <v>44980</v>
      </c>
      <c r="BU356" s="3">
        <f t="shared" ref="BU356:CA356" si="64">AVERAGE(AG356:AG361)</f>
        <v>47.95</v>
      </c>
      <c r="BV356" s="13">
        <f t="shared" si="64"/>
        <v>1.1379999999999999</v>
      </c>
      <c r="BW356" s="3">
        <f t="shared" si="64"/>
        <v>79.75</v>
      </c>
      <c r="BX356" s="3">
        <f t="shared" si="64"/>
        <v>28</v>
      </c>
      <c r="BY356" s="3">
        <f t="shared" si="64"/>
        <v>6.1</v>
      </c>
      <c r="BZ356" s="3">
        <f t="shared" si="64"/>
        <v>80.45</v>
      </c>
      <c r="CA356" s="3">
        <f t="shared" si="64"/>
        <v>8</v>
      </c>
      <c r="CB356" s="13"/>
      <c r="CC356" s="10">
        <f>AVERAGE(AO356:AO361)</f>
        <v>15.5</v>
      </c>
      <c r="CD356" s="4">
        <f>AVERAGE(AP356:AP361)</f>
        <v>0.18</v>
      </c>
      <c r="CE356" s="3">
        <f>AVERAGE(AQ356:AQ361)</f>
        <v>9.3500000000000014</v>
      </c>
    </row>
    <row r="357" spans="1:83" x14ac:dyDescent="0.25">
      <c r="A357" s="2">
        <f t="shared" si="63"/>
        <v>12</v>
      </c>
      <c r="B357" s="2">
        <v>2</v>
      </c>
      <c r="C357" t="s">
        <v>5</v>
      </c>
      <c r="D357" s="5" t="str">
        <f t="shared" si="58"/>
        <v>p12-2-MW</v>
      </c>
      <c r="E357" s="5" t="s">
        <v>468</v>
      </c>
      <c r="F357" s="17">
        <v>44881</v>
      </c>
      <c r="G357">
        <v>12</v>
      </c>
      <c r="H357" s="3">
        <v>20.7</v>
      </c>
      <c r="I357" s="3">
        <f t="shared" si="59"/>
        <v>20.239999999999998</v>
      </c>
      <c r="J357" s="3">
        <f>($A$62-$A$47)*$A$75</f>
        <v>0.70874999999999999</v>
      </c>
      <c r="K357" s="6">
        <f t="shared" si="60"/>
        <v>4676.2723474409449</v>
      </c>
      <c r="L357" s="4">
        <v>8.7899999999999991</v>
      </c>
      <c r="M357" s="4">
        <v>132.97</v>
      </c>
      <c r="N357" s="4">
        <f>M357-L357</f>
        <v>124.18</v>
      </c>
      <c r="O357" s="4">
        <v>117.69</v>
      </c>
      <c r="P357" s="7">
        <f>(N357-O357)/N357*100</f>
        <v>5.2262844258334749</v>
      </c>
      <c r="Q357" s="6">
        <f>K357*(1-P357/100)</f>
        <v>4431.8770540370815</v>
      </c>
      <c r="R357" s="14">
        <v>44882</v>
      </c>
      <c r="S357" s="4">
        <v>9.19</v>
      </c>
      <c r="T357" s="4">
        <v>3.14</v>
      </c>
      <c r="U357" s="4">
        <v>6.64</v>
      </c>
      <c r="V357" s="8">
        <f>(T357-$A$76)/(S357-$A$47*$A$48)</f>
        <v>0.32957192010186165</v>
      </c>
      <c r="W357" s="8">
        <f>(U357-$A$77)/(S357-$A$47*$A$48)</f>
        <v>0.55002881260243119</v>
      </c>
      <c r="X357" s="8">
        <f>1-V357-W357</f>
        <v>0.12039926729570716</v>
      </c>
      <c r="Y357" s="6">
        <f>K357*V357</f>
        <v>1541.168056465352</v>
      </c>
      <c r="Z357" s="6">
        <f>K357*W357</f>
        <v>2572.0845266685265</v>
      </c>
      <c r="AA357" s="6">
        <f>SUM(Y357:Z357)</f>
        <v>4113.2525831338789</v>
      </c>
      <c r="AB357" s="6">
        <f>Q357*V357</f>
        <v>1460.622230354383</v>
      </c>
      <c r="AC357" s="6">
        <f>Q357*W357</f>
        <v>2437.660073631977</v>
      </c>
      <c r="AD357" s="6">
        <f>SUM(AB357:AC357)</f>
        <v>3898.2823039863597</v>
      </c>
      <c r="AE357" s="10">
        <v>990131221046</v>
      </c>
      <c r="AF357" s="14">
        <v>44980</v>
      </c>
      <c r="AG357" s="6">
        <v>47.300000000000004</v>
      </c>
      <c r="AH357" s="11">
        <v>1.105</v>
      </c>
      <c r="AI357" s="6">
        <v>79.599999999999994</v>
      </c>
      <c r="AJ357" s="6">
        <v>27.8</v>
      </c>
      <c r="AK357" s="6">
        <v>6.1</v>
      </c>
      <c r="AL357" s="6">
        <v>80.5</v>
      </c>
      <c r="AM357" s="6">
        <v>8.3000000000000007</v>
      </c>
      <c r="AN357" s="16" t="s">
        <v>148</v>
      </c>
      <c r="AO357" s="12">
        <v>18</v>
      </c>
      <c r="AP357" s="7">
        <v>0.17</v>
      </c>
      <c r="AQ357" s="6">
        <v>9.8000000000000007</v>
      </c>
      <c r="AV357" s="3"/>
      <c r="AW357" s="3"/>
      <c r="AX357" s="3"/>
      <c r="AY357" s="3"/>
      <c r="AZ357" s="4"/>
      <c r="BA357" s="4"/>
      <c r="BB357" s="4"/>
      <c r="BC357" s="4"/>
      <c r="BD357" s="4"/>
      <c r="BE357" s="3"/>
      <c r="BF357" s="3"/>
      <c r="BG357" s="4"/>
      <c r="BH357" s="4"/>
      <c r="BI357" s="4"/>
      <c r="BJ357" s="9"/>
      <c r="BK357" s="9"/>
      <c r="BL357" s="9"/>
      <c r="BM357" s="3"/>
      <c r="BN357" s="3"/>
      <c r="BO357" s="3"/>
      <c r="BP357" s="3"/>
      <c r="BQ357" s="3"/>
      <c r="BR357" s="3"/>
      <c r="BT357" s="15"/>
      <c r="BU357" s="3"/>
      <c r="BV357" s="13"/>
      <c r="BW357" s="3"/>
      <c r="BX357" s="3"/>
      <c r="BY357" s="3"/>
      <c r="BZ357" s="3"/>
      <c r="CA357" s="3"/>
      <c r="CB357" s="10"/>
      <c r="CC357" s="10"/>
      <c r="CD357" s="4"/>
      <c r="CE357" s="3"/>
    </row>
    <row r="358" spans="1:83" x14ac:dyDescent="0.25">
      <c r="A358" s="2">
        <f t="shared" si="63"/>
        <v>12</v>
      </c>
      <c r="B358" s="2">
        <v>2</v>
      </c>
      <c r="C358" t="s">
        <v>6</v>
      </c>
      <c r="D358" s="5" t="str">
        <f t="shared" si="58"/>
        <v>p12-2-SW</v>
      </c>
      <c r="E358" s="5" t="s">
        <v>468</v>
      </c>
      <c r="F358" s="17">
        <v>44881</v>
      </c>
      <c r="G358">
        <v>12</v>
      </c>
      <c r="H358" s="3">
        <v>17.600000000000001</v>
      </c>
      <c r="I358" s="3">
        <f t="shared" si="59"/>
        <v>17.14</v>
      </c>
      <c r="J358" s="3">
        <f>($A$62-$A$47)*$A$75</f>
        <v>0.70874999999999999</v>
      </c>
      <c r="K358" s="6">
        <f t="shared" si="60"/>
        <v>3984.2766781496057</v>
      </c>
      <c r="L358" s="4"/>
      <c r="M358" s="4"/>
      <c r="N358" s="4"/>
      <c r="O358" s="4"/>
      <c r="P358" s="7"/>
      <c r="Q358" s="6"/>
      <c r="R358" s="14"/>
      <c r="S358" s="4"/>
      <c r="T358" s="4"/>
      <c r="U358" s="4"/>
      <c r="V358" s="8"/>
      <c r="W358" s="8"/>
      <c r="X358" s="8"/>
      <c r="Y358" s="6"/>
      <c r="Z358" s="6"/>
      <c r="AA358" s="6"/>
      <c r="AB358" s="6"/>
      <c r="AC358" s="6"/>
      <c r="AD358" s="6"/>
      <c r="AE358" s="10"/>
      <c r="AF358" s="14"/>
      <c r="AG358" s="6"/>
      <c r="AH358" s="11"/>
      <c r="AI358" s="6"/>
      <c r="AJ358" s="6"/>
      <c r="AK358" s="6"/>
      <c r="AL358" s="6"/>
      <c r="AM358" s="6"/>
      <c r="AN358" s="16"/>
      <c r="AO358" s="12"/>
      <c r="AP358" s="7"/>
      <c r="AQ358" s="6"/>
      <c r="AV358" s="3"/>
      <c r="AW358" s="3"/>
      <c r="AX358" s="3"/>
      <c r="AY358" s="3"/>
      <c r="AZ358" s="4"/>
      <c r="BA358" s="4"/>
      <c r="BB358" s="4"/>
      <c r="BC358" s="4"/>
      <c r="BD358" s="4"/>
      <c r="BE358" s="3"/>
      <c r="BF358" s="3"/>
      <c r="BG358" s="4"/>
      <c r="BH358" s="4"/>
      <c r="BI358" s="4"/>
      <c r="BJ358" s="9"/>
      <c r="BK358" s="9"/>
      <c r="BL358" s="9"/>
      <c r="BM358" s="3"/>
      <c r="BN358" s="3"/>
      <c r="BO358" s="3"/>
      <c r="BP358" s="3"/>
      <c r="BQ358" s="3"/>
      <c r="BR358" s="3"/>
      <c r="BT358" s="15"/>
      <c r="BU358" s="3"/>
      <c r="BV358" s="13"/>
      <c r="BW358" s="3"/>
      <c r="BX358" s="3"/>
      <c r="BY358" s="3"/>
      <c r="BZ358" s="3"/>
      <c r="CA358" s="3"/>
      <c r="CB358" s="10"/>
      <c r="CC358" s="10"/>
      <c r="CD358" s="4"/>
      <c r="CE358" s="3"/>
    </row>
    <row r="359" spans="1:83" x14ac:dyDescent="0.25">
      <c r="A359" s="2">
        <f t="shared" si="63"/>
        <v>12</v>
      </c>
      <c r="B359" s="2">
        <v>2</v>
      </c>
      <c r="C359" t="s">
        <v>7</v>
      </c>
      <c r="D359" s="5" t="str">
        <f t="shared" si="58"/>
        <v>p12-2-NE</v>
      </c>
      <c r="E359" s="5" t="s">
        <v>468</v>
      </c>
      <c r="F359" s="17">
        <v>44881</v>
      </c>
      <c r="G359">
        <v>24</v>
      </c>
      <c r="H359" s="3">
        <v>18.3</v>
      </c>
      <c r="I359" s="3">
        <f t="shared" si="59"/>
        <v>17.84</v>
      </c>
      <c r="J359" s="3">
        <f>($A$74-$A$47)*$A$75</f>
        <v>0.53374999999999995</v>
      </c>
      <c r="K359" s="6">
        <f t="shared" si="60"/>
        <v>4101.4694931102367</v>
      </c>
      <c r="L359" s="4"/>
      <c r="M359" s="4"/>
      <c r="N359" s="4"/>
      <c r="O359" s="4"/>
      <c r="P359" s="7"/>
      <c r="Q359" s="6"/>
      <c r="R359" s="14"/>
      <c r="S359" s="4"/>
      <c r="T359" s="4"/>
      <c r="U359" s="4"/>
      <c r="V359" s="8"/>
      <c r="W359" s="8"/>
      <c r="X359" s="8"/>
      <c r="Y359" s="6"/>
      <c r="Z359" s="6"/>
      <c r="AA359" s="6"/>
      <c r="AB359" s="6"/>
      <c r="AC359" s="6"/>
      <c r="AD359" s="6"/>
      <c r="AE359" s="10"/>
      <c r="AF359" s="14"/>
      <c r="AG359" s="6"/>
      <c r="AH359" s="11"/>
      <c r="AI359" s="6"/>
      <c r="AJ359" s="6"/>
      <c r="AK359" s="6"/>
      <c r="AL359" s="6"/>
      <c r="AM359" s="6"/>
      <c r="AN359" s="16"/>
      <c r="AO359" s="12"/>
      <c r="AP359" s="7"/>
      <c r="AQ359" s="6"/>
      <c r="AV359" s="3"/>
      <c r="AW359" s="3"/>
      <c r="AX359" s="3"/>
      <c r="AY359" s="3"/>
      <c r="AZ359" s="4"/>
      <c r="BA359" s="4"/>
      <c r="BB359" s="4"/>
      <c r="BC359" s="4"/>
      <c r="BD359" s="4"/>
      <c r="BE359" s="3"/>
      <c r="BF359" s="3"/>
      <c r="BG359" s="4"/>
      <c r="BH359" s="4"/>
      <c r="BI359" s="4"/>
      <c r="BJ359" s="9"/>
      <c r="BK359" s="9"/>
      <c r="BL359" s="9"/>
      <c r="BM359" s="3"/>
      <c r="BN359" s="3"/>
      <c r="BO359" s="3"/>
      <c r="BP359" s="3"/>
      <c r="BQ359" s="3"/>
      <c r="BR359" s="3"/>
      <c r="BT359" s="15"/>
      <c r="BU359" s="3"/>
      <c r="BV359" s="13"/>
      <c r="BW359" s="3"/>
      <c r="BX359" s="3"/>
      <c r="BY359" s="3"/>
      <c r="BZ359" s="3"/>
      <c r="CA359" s="3"/>
      <c r="CB359" s="10"/>
      <c r="CC359" s="10"/>
      <c r="CD359" s="4"/>
      <c r="CE359" s="3"/>
    </row>
    <row r="360" spans="1:83" x14ac:dyDescent="0.25">
      <c r="A360" s="2">
        <f t="shared" si="63"/>
        <v>12</v>
      </c>
      <c r="B360" s="2">
        <v>2</v>
      </c>
      <c r="C360" t="s">
        <v>18</v>
      </c>
      <c r="D360" s="5" t="str">
        <f t="shared" si="58"/>
        <v>p12-2-ME</v>
      </c>
      <c r="E360" s="5" t="s">
        <v>468</v>
      </c>
      <c r="F360" s="17">
        <v>44881</v>
      </c>
      <c r="G360">
        <v>24</v>
      </c>
      <c r="H360" s="3">
        <v>22.1</v>
      </c>
      <c r="I360" s="3">
        <f t="shared" si="59"/>
        <v>21.64</v>
      </c>
      <c r="J360" s="3">
        <f>($A$74-$A$47)*$A$75</f>
        <v>0.53374999999999995</v>
      </c>
      <c r="K360" s="6">
        <f t="shared" si="60"/>
        <v>4949.7222490157492</v>
      </c>
      <c r="L360" s="4">
        <v>8.76</v>
      </c>
      <c r="M360" s="4">
        <v>194.82</v>
      </c>
      <c r="N360" s="4">
        <f>M360-L360</f>
        <v>186.06</v>
      </c>
      <c r="O360" s="4">
        <v>177.93</v>
      </c>
      <c r="P360" s="7">
        <f>(N360-O360)/N360*100</f>
        <v>4.3695582070299883</v>
      </c>
      <c r="Q360" s="6">
        <f>K360*(1-P360/100)</f>
        <v>4733.4412542586924</v>
      </c>
      <c r="R360" s="14">
        <v>44882</v>
      </c>
      <c r="S360" s="4">
        <v>9.82</v>
      </c>
      <c r="T360" s="4">
        <v>3.18</v>
      </c>
      <c r="U360" s="4">
        <v>6.82</v>
      </c>
      <c r="V360" s="8">
        <f>(T360-$A$76)/(S360-$A$47*$A$48)</f>
        <v>0.31213104549766951</v>
      </c>
      <c r="W360" s="8">
        <f>(U360-$A$77)/(S360-$A$47*$A$48)</f>
        <v>0.53270365098268924</v>
      </c>
      <c r="X360" s="8">
        <f>1-V360-W360</f>
        <v>0.1551653035196412</v>
      </c>
      <c r="Y360" s="6">
        <f>K360*V360</f>
        <v>1544.9619805083619</v>
      </c>
      <c r="Z360" s="6">
        <f>K360*W360</f>
        <v>2636.7351134009373</v>
      </c>
      <c r="AA360" s="6">
        <f>SUM(Y360:Z360)</f>
        <v>4181.6970939092989</v>
      </c>
      <c r="AB360" s="6">
        <f>Q360*V360</f>
        <v>1477.4539674935659</v>
      </c>
      <c r="AC360" s="6">
        <f>Q360*W360</f>
        <v>2521.5214378556852</v>
      </c>
      <c r="AD360" s="6">
        <f>SUM(AB360:AC360)</f>
        <v>3998.9754053492511</v>
      </c>
      <c r="AE360" s="10">
        <v>990131222094</v>
      </c>
      <c r="AF360" s="14">
        <v>44980</v>
      </c>
      <c r="AG360" s="6">
        <v>48.6</v>
      </c>
      <c r="AH360" s="11">
        <v>1.171</v>
      </c>
      <c r="AI360" s="6">
        <v>79.900000000000006</v>
      </c>
      <c r="AJ360" s="6">
        <v>28.2</v>
      </c>
      <c r="AK360" s="6">
        <v>6.1</v>
      </c>
      <c r="AL360" s="6">
        <v>80.400000000000006</v>
      </c>
      <c r="AM360" s="6">
        <v>7.7</v>
      </c>
      <c r="AN360" s="16" t="s">
        <v>149</v>
      </c>
      <c r="AO360" s="12">
        <v>13</v>
      </c>
      <c r="AP360" s="7">
        <v>0.19</v>
      </c>
      <c r="AQ360" s="6">
        <v>8.9</v>
      </c>
      <c r="AV360" s="3"/>
      <c r="AW360" s="3"/>
      <c r="AX360" s="3"/>
      <c r="AY360" s="3"/>
      <c r="AZ360" s="4"/>
      <c r="BA360" s="4"/>
      <c r="BB360" s="4"/>
      <c r="BC360" s="4"/>
      <c r="BD360" s="4"/>
      <c r="BE360" s="3"/>
      <c r="BF360" s="3"/>
      <c r="BG360" s="4"/>
      <c r="BH360" s="4"/>
      <c r="BI360" s="4"/>
      <c r="BJ360" s="9"/>
      <c r="BK360" s="9"/>
      <c r="BL360" s="9"/>
      <c r="BM360" s="3"/>
      <c r="BN360" s="3"/>
      <c r="BO360" s="3"/>
      <c r="BP360" s="3"/>
      <c r="BQ360" s="3"/>
      <c r="BR360" s="3"/>
      <c r="BT360" s="15"/>
      <c r="BU360" s="3"/>
      <c r="BV360" s="13"/>
      <c r="BW360" s="3"/>
      <c r="BX360" s="3"/>
      <c r="BY360" s="3"/>
      <c r="BZ360" s="3"/>
      <c r="CA360" s="3"/>
      <c r="CB360" s="10"/>
      <c r="CC360" s="10"/>
      <c r="CD360" s="4"/>
      <c r="CE360" s="3"/>
    </row>
    <row r="361" spans="1:83" x14ac:dyDescent="0.25">
      <c r="A361" s="2">
        <f t="shared" si="63"/>
        <v>12</v>
      </c>
      <c r="B361" s="2">
        <v>2</v>
      </c>
      <c r="C361" t="s">
        <v>8</v>
      </c>
      <c r="D361" s="5" t="str">
        <f t="shared" si="58"/>
        <v>p12-2-SE</v>
      </c>
      <c r="E361" s="5" t="s">
        <v>468</v>
      </c>
      <c r="F361" s="17">
        <v>44881</v>
      </c>
      <c r="G361">
        <v>24</v>
      </c>
      <c r="H361" s="3">
        <v>17.2</v>
      </c>
      <c r="I361" s="3">
        <f t="shared" si="59"/>
        <v>16.739999999999998</v>
      </c>
      <c r="J361" s="3">
        <f>($A$74-$A$47)*$A$75</f>
        <v>0.53374999999999995</v>
      </c>
      <c r="K361" s="6">
        <f t="shared" si="60"/>
        <v>3855.9226427165354</v>
      </c>
      <c r="L361" s="4"/>
      <c r="M361" s="4"/>
      <c r="N361" s="4"/>
      <c r="O361" s="4"/>
      <c r="P361" s="7"/>
      <c r="Q361" s="6"/>
      <c r="R361" s="14"/>
      <c r="S361" s="4"/>
      <c r="T361" s="4"/>
      <c r="U361" s="4"/>
      <c r="V361" s="8"/>
      <c r="W361" s="8"/>
      <c r="X361" s="8"/>
      <c r="Y361" s="6"/>
      <c r="Z361" s="6"/>
      <c r="AA361" s="6"/>
      <c r="AB361" s="6"/>
      <c r="AC361" s="6"/>
      <c r="AD361" s="6"/>
      <c r="AE361" s="10"/>
      <c r="AF361" s="14"/>
      <c r="AG361" s="6"/>
      <c r="AH361" s="11"/>
      <c r="AI361" s="6"/>
      <c r="AJ361" s="6"/>
      <c r="AK361" s="6"/>
      <c r="AL361" s="6"/>
      <c r="AM361" s="6"/>
      <c r="AN361" s="16"/>
      <c r="AO361" s="12"/>
      <c r="AP361" s="7"/>
      <c r="AQ361" s="6"/>
      <c r="AV361" s="3"/>
      <c r="AW361" s="3"/>
      <c r="AX361" s="3"/>
      <c r="AY361" s="3"/>
      <c r="AZ361" s="4"/>
      <c r="BA361" s="4"/>
      <c r="BB361" s="4"/>
      <c r="BC361" s="4"/>
      <c r="BD361" s="4"/>
      <c r="BE361" s="3"/>
      <c r="BF361" s="3"/>
      <c r="BG361" s="4"/>
      <c r="BH361" s="4"/>
      <c r="BI361" s="4"/>
      <c r="BJ361" s="9"/>
      <c r="BK361" s="9"/>
      <c r="BL361" s="9"/>
      <c r="BM361" s="3"/>
      <c r="BN361" s="3"/>
      <c r="BO361" s="3"/>
      <c r="BP361" s="3"/>
      <c r="BQ361" s="3"/>
      <c r="BR361" s="3"/>
      <c r="BT361" s="15"/>
      <c r="BU361" s="3"/>
      <c r="BV361" s="13"/>
      <c r="BW361" s="3"/>
      <c r="BX361" s="3"/>
      <c r="BY361" s="3"/>
      <c r="BZ361" s="3"/>
      <c r="CA361" s="3"/>
      <c r="CB361" s="10"/>
      <c r="CC361" s="10"/>
      <c r="CD361" s="4"/>
      <c r="CE361" s="3"/>
    </row>
    <row r="362" spans="1:83" x14ac:dyDescent="0.25">
      <c r="A362" s="2">
        <f t="shared" si="63"/>
        <v>12</v>
      </c>
      <c r="B362" s="2">
        <v>3</v>
      </c>
      <c r="C362" t="s">
        <v>4</v>
      </c>
      <c r="D362" s="5" t="str">
        <f t="shared" si="58"/>
        <v>p12-3-NW</v>
      </c>
      <c r="E362" s="5" t="s">
        <v>468</v>
      </c>
      <c r="F362" s="17">
        <v>44881</v>
      </c>
      <c r="G362">
        <v>12</v>
      </c>
      <c r="H362" s="3">
        <v>22.7</v>
      </c>
      <c r="I362" s="3">
        <f t="shared" si="59"/>
        <v>22.24</v>
      </c>
      <c r="J362" s="3">
        <f>($A$62-$A$47)*$A$75</f>
        <v>0.70874999999999999</v>
      </c>
      <c r="K362" s="6">
        <f t="shared" si="60"/>
        <v>5122.7211663385815</v>
      </c>
      <c r="L362" s="4"/>
      <c r="M362" s="4"/>
      <c r="N362" s="4"/>
      <c r="O362" s="4"/>
      <c r="P362" s="7"/>
      <c r="Q362" s="6"/>
      <c r="R362" s="14"/>
      <c r="S362" s="4"/>
      <c r="T362" s="4"/>
      <c r="U362" s="4"/>
      <c r="V362" s="8"/>
      <c r="W362" s="8"/>
      <c r="X362" s="8"/>
      <c r="Y362" s="6"/>
      <c r="Z362" s="6"/>
      <c r="AA362" s="6"/>
      <c r="AB362" s="6"/>
      <c r="AC362" s="6"/>
      <c r="AD362" s="6"/>
      <c r="AE362" s="10"/>
      <c r="AF362" s="14"/>
      <c r="AG362" s="6"/>
      <c r="AH362" s="11"/>
      <c r="AI362" s="6"/>
      <c r="AJ362" s="6"/>
      <c r="AK362" s="6"/>
      <c r="AL362" s="6"/>
      <c r="AM362" s="6"/>
      <c r="AN362" s="16"/>
      <c r="AO362" s="12"/>
      <c r="AP362" s="7"/>
      <c r="AQ362" s="6"/>
      <c r="AS362" t="s">
        <v>132</v>
      </c>
      <c r="AT362" s="4" t="str">
        <f>E362</f>
        <v>Machine</v>
      </c>
      <c r="AU362" s="15">
        <f>F362</f>
        <v>44881</v>
      </c>
      <c r="AV362" s="3">
        <f>SUM(H362:H367)</f>
        <v>132.69999999999999</v>
      </c>
      <c r="AW362" s="3">
        <f>AV362-6*$A$47</f>
        <v>129.94</v>
      </c>
      <c r="AX362" s="3">
        <f>SUM(J362:J367)</f>
        <v>3.7274999999999996</v>
      </c>
      <c r="AY362" s="3">
        <f>(AW362+AX362)*$A$48/(6*$A$49)*$A$50</f>
        <v>4972.9747916666665</v>
      </c>
      <c r="AZ362" s="4">
        <f>SUM(L362:L367)</f>
        <v>17.329999999999998</v>
      </c>
      <c r="BA362" s="4">
        <f>SUM(M362:M367)</f>
        <v>419.51</v>
      </c>
      <c r="BB362" s="4">
        <f>BA362-AZ362</f>
        <v>402.18</v>
      </c>
      <c r="BC362" s="4">
        <f>SUM(O362:O367)</f>
        <v>384.13</v>
      </c>
      <c r="BD362" s="4">
        <f>(BB362-BC362)/BB362*100</f>
        <v>4.4880401810134796</v>
      </c>
      <c r="BE362" s="3">
        <f>AY362*(1-BD362/100)</f>
        <v>4749.7856848249958</v>
      </c>
      <c r="BF362" s="15">
        <f>R363</f>
        <v>44882</v>
      </c>
      <c r="BG362" s="4">
        <f>SUM(S362:S367)</f>
        <v>18.740000000000002</v>
      </c>
      <c r="BH362" s="4">
        <f>SUM(T362:T367)</f>
        <v>6.42</v>
      </c>
      <c r="BI362" s="4">
        <f>SUM(U362:U367)</f>
        <v>13.6</v>
      </c>
      <c r="BJ362" s="9">
        <f>(BH362-2*$A$76)/(BG362-2*$A$47*$A$48)</f>
        <v>0.33073736592431124</v>
      </c>
      <c r="BK362" s="9">
        <f>(BI362-2*$A$77)/(BG362-2*$A$47*$A$48)</f>
        <v>0.55668665551616736</v>
      </c>
      <c r="BL362" s="9">
        <f>1-BJ362-BK362</f>
        <v>0.11257597855952139</v>
      </c>
      <c r="BM362" s="3">
        <f>AY362*BJ362</f>
        <v>1644.7485834038337</v>
      </c>
      <c r="BN362" s="3">
        <f>AY362*BK362</f>
        <v>2768.3887047391258</v>
      </c>
      <c r="BO362" s="3">
        <f>SUM(BM362:BN362)</f>
        <v>4413.1372881429597</v>
      </c>
      <c r="BP362" s="3">
        <f>BE362*BJ362</f>
        <v>1570.9316061040199</v>
      </c>
      <c r="BQ362" s="3">
        <f>BE362*BK362</f>
        <v>2644.1423073037954</v>
      </c>
      <c r="BR362" s="3">
        <f>SUM(BP362:BQ362)</f>
        <v>4215.0739134078158</v>
      </c>
      <c r="BS362" s="3"/>
      <c r="BT362" s="15">
        <f>AF363</f>
        <v>44980</v>
      </c>
      <c r="BU362" s="3">
        <f t="shared" ref="BU362:CA362" si="65">AVERAGE(AG362:AG367)</f>
        <v>46.55</v>
      </c>
      <c r="BV362" s="13">
        <f t="shared" si="65"/>
        <v>1.1520000000000001</v>
      </c>
      <c r="BW362" s="3">
        <f t="shared" si="65"/>
        <v>80.599999999999994</v>
      </c>
      <c r="BX362" s="3">
        <f t="shared" si="65"/>
        <v>28.65</v>
      </c>
      <c r="BY362" s="3">
        <f t="shared" si="65"/>
        <v>6.3</v>
      </c>
      <c r="BZ362" s="3">
        <f t="shared" si="65"/>
        <v>81.550000000000011</v>
      </c>
      <c r="CA362" s="3">
        <f t="shared" si="65"/>
        <v>8.15</v>
      </c>
      <c r="CB362" s="13"/>
      <c r="CC362" s="10">
        <f>AVERAGE(AO362:AO367)</f>
        <v>8.5</v>
      </c>
      <c r="CD362" s="4">
        <f>AVERAGE(AP362:AP367)</f>
        <v>0.13500000000000001</v>
      </c>
      <c r="CE362" s="3">
        <f>AVERAGE(AQ362:AQ367)</f>
        <v>9.1499999999999986</v>
      </c>
    </row>
    <row r="363" spans="1:83" x14ac:dyDescent="0.25">
      <c r="A363" s="2">
        <f t="shared" si="63"/>
        <v>12</v>
      </c>
      <c r="B363" s="2">
        <v>3</v>
      </c>
      <c r="C363" t="s">
        <v>5</v>
      </c>
      <c r="D363" s="5" t="str">
        <f t="shared" si="58"/>
        <v>p12-3-MW</v>
      </c>
      <c r="E363" s="5" t="s">
        <v>468</v>
      </c>
      <c r="F363" s="17">
        <v>44881</v>
      </c>
      <c r="G363">
        <v>12</v>
      </c>
      <c r="H363" s="3">
        <v>24.9</v>
      </c>
      <c r="I363" s="3">
        <f t="shared" si="59"/>
        <v>24.439999999999998</v>
      </c>
      <c r="J363" s="3">
        <f>($A$62-$A$47)*$A$75</f>
        <v>0.70874999999999999</v>
      </c>
      <c r="K363" s="6">
        <f t="shared" si="60"/>
        <v>5613.8148671259823</v>
      </c>
      <c r="L363" s="4">
        <v>8.4700000000000006</v>
      </c>
      <c r="M363" s="4">
        <v>234.11</v>
      </c>
      <c r="N363" s="4">
        <f>M363-L363</f>
        <v>225.64000000000001</v>
      </c>
      <c r="O363" s="4">
        <v>215.92</v>
      </c>
      <c r="P363" s="7">
        <f>(N363-O363)/N363*100</f>
        <v>4.3077468533948</v>
      </c>
      <c r="Q363" s="6">
        <f>K363*(1-P363/100)</f>
        <v>5371.9859338319529</v>
      </c>
      <c r="R363" s="14">
        <v>44882</v>
      </c>
      <c r="S363" s="4">
        <v>11.01</v>
      </c>
      <c r="T363" s="4">
        <v>3.74</v>
      </c>
      <c r="U363" s="4">
        <v>7.76</v>
      </c>
      <c r="V363" s="8">
        <f>(T363-$A$76)/(S363-$A$47*$A$48)</f>
        <v>0.32958850186738925</v>
      </c>
      <c r="W363" s="8">
        <f>(U363-$A$77)/(S363-$A$47*$A$48)</f>
        <v>0.56104110149336472</v>
      </c>
      <c r="X363" s="8">
        <f>1-V363-W363</f>
        <v>0.10937039663924608</v>
      </c>
      <c r="Y363" s="6">
        <f>K363*V363</f>
        <v>1850.2488318169294</v>
      </c>
      <c r="Z363" s="6">
        <f>K363*W363</f>
        <v>3149.5808766321879</v>
      </c>
      <c r="AA363" s="6">
        <f>SUM(Y363:Z363)</f>
        <v>4999.8297084491169</v>
      </c>
      <c r="AB363" s="6">
        <f>Q363*V363</f>
        <v>1770.5447959843614</v>
      </c>
      <c r="AC363" s="6">
        <f>Q363*W363</f>
        <v>3013.9049055239402</v>
      </c>
      <c r="AD363" s="6">
        <f>SUM(AB363:AC363)</f>
        <v>4784.4497015083016</v>
      </c>
      <c r="AE363" s="10">
        <v>990131231047</v>
      </c>
      <c r="AF363" s="14">
        <v>44980</v>
      </c>
      <c r="AG363" s="6">
        <v>47.1</v>
      </c>
      <c r="AH363" s="11">
        <v>1.157</v>
      </c>
      <c r="AI363" s="6">
        <v>80.900000000000006</v>
      </c>
      <c r="AJ363" s="6">
        <v>28.9</v>
      </c>
      <c r="AK363" s="6">
        <v>6.3</v>
      </c>
      <c r="AL363" s="6">
        <v>81.7</v>
      </c>
      <c r="AM363" s="6">
        <v>8.4</v>
      </c>
      <c r="AN363" s="16" t="s">
        <v>171</v>
      </c>
      <c r="AO363" s="12">
        <v>10</v>
      </c>
      <c r="AP363" s="7">
        <v>0.2</v>
      </c>
      <c r="AQ363" s="6">
        <v>9.1</v>
      </c>
      <c r="AV363" s="3"/>
      <c r="AW363" s="3"/>
      <c r="AX363" s="3"/>
      <c r="AY363" s="3"/>
      <c r="AZ363" s="4"/>
      <c r="BA363" s="4"/>
      <c r="BB363" s="4"/>
      <c r="BC363" s="4"/>
      <c r="BD363" s="4"/>
      <c r="BE363" s="3"/>
      <c r="BF363" s="3"/>
      <c r="BG363" s="4"/>
      <c r="BH363" s="4"/>
      <c r="BI363" s="4"/>
      <c r="BJ363" s="9"/>
      <c r="BK363" s="9"/>
      <c r="BL363" s="9"/>
      <c r="BM363" s="3"/>
      <c r="BN363" s="3"/>
      <c r="BO363" s="3"/>
      <c r="BP363" s="3"/>
      <c r="BQ363" s="3"/>
      <c r="BR363" s="3"/>
      <c r="BT363" s="15"/>
      <c r="BU363" s="3"/>
      <c r="BV363" s="13"/>
      <c r="BW363" s="3"/>
      <c r="BX363" s="3"/>
      <c r="BY363" s="3"/>
      <c r="BZ363" s="3"/>
      <c r="CA363" s="3"/>
      <c r="CB363" s="10"/>
      <c r="CC363" s="10"/>
      <c r="CD363" s="4"/>
      <c r="CE363" s="3"/>
    </row>
    <row r="364" spans="1:83" x14ac:dyDescent="0.25">
      <c r="A364" s="2">
        <f t="shared" si="63"/>
        <v>12</v>
      </c>
      <c r="B364" s="2">
        <v>3</v>
      </c>
      <c r="C364" t="s">
        <v>6</v>
      </c>
      <c r="D364" s="5" t="str">
        <f t="shared" si="58"/>
        <v>p12-3-SW</v>
      </c>
      <c r="E364" s="5" t="s">
        <v>468</v>
      </c>
      <c r="F364" s="17">
        <v>44881</v>
      </c>
      <c r="G364">
        <v>12</v>
      </c>
      <c r="H364" s="3">
        <v>21.3</v>
      </c>
      <c r="I364" s="3">
        <f t="shared" si="59"/>
        <v>20.84</v>
      </c>
      <c r="J364" s="3">
        <f>($A$62-$A$47)*$A$75</f>
        <v>0.70874999999999999</v>
      </c>
      <c r="K364" s="6">
        <f t="shared" si="60"/>
        <v>4810.206993110236</v>
      </c>
      <c r="L364" s="4"/>
      <c r="M364" s="4"/>
      <c r="N364" s="4"/>
      <c r="O364" s="4"/>
      <c r="P364" s="7"/>
      <c r="Q364" s="6"/>
      <c r="R364" s="14"/>
      <c r="S364" s="4"/>
      <c r="T364" s="4"/>
      <c r="U364" s="4"/>
      <c r="V364" s="8"/>
      <c r="W364" s="8"/>
      <c r="X364" s="8"/>
      <c r="Y364" s="6"/>
      <c r="Z364" s="6"/>
      <c r="AA364" s="6"/>
      <c r="AB364" s="6"/>
      <c r="AC364" s="6"/>
      <c r="AD364" s="6"/>
      <c r="AE364" s="10"/>
      <c r="AF364" s="14"/>
      <c r="AG364" s="6"/>
      <c r="AH364" s="11"/>
      <c r="AI364" s="6"/>
      <c r="AJ364" s="6"/>
      <c r="AK364" s="6"/>
      <c r="AL364" s="6"/>
      <c r="AM364" s="6"/>
      <c r="AN364" s="16"/>
      <c r="AO364" s="12"/>
      <c r="AP364" s="7"/>
      <c r="AQ364" s="6"/>
      <c r="AV364" s="3"/>
      <c r="AW364" s="3"/>
      <c r="AX364" s="3"/>
      <c r="AY364" s="3"/>
      <c r="AZ364" s="4"/>
      <c r="BA364" s="4"/>
      <c r="BB364" s="4"/>
      <c r="BC364" s="4"/>
      <c r="BD364" s="4"/>
      <c r="BE364" s="3"/>
      <c r="BF364" s="3"/>
      <c r="BG364" s="4"/>
      <c r="BH364" s="4"/>
      <c r="BI364" s="4"/>
      <c r="BJ364" s="9"/>
      <c r="BK364" s="9"/>
      <c r="BL364" s="9"/>
      <c r="BM364" s="3"/>
      <c r="BN364" s="3"/>
      <c r="BO364" s="3"/>
      <c r="BP364" s="3"/>
      <c r="BQ364" s="3"/>
      <c r="BR364" s="3"/>
      <c r="BT364" s="15"/>
      <c r="BU364" s="3"/>
      <c r="BV364" s="13"/>
      <c r="BW364" s="3"/>
      <c r="BX364" s="3"/>
      <c r="BY364" s="3"/>
      <c r="BZ364" s="3"/>
      <c r="CA364" s="3"/>
      <c r="CB364" s="10"/>
      <c r="CC364" s="10"/>
      <c r="CD364" s="4"/>
      <c r="CE364" s="3"/>
    </row>
    <row r="365" spans="1:83" x14ac:dyDescent="0.25">
      <c r="A365" s="2">
        <f t="shared" si="63"/>
        <v>12</v>
      </c>
      <c r="B365" s="2">
        <v>3</v>
      </c>
      <c r="C365" t="s">
        <v>7</v>
      </c>
      <c r="D365" s="5" t="str">
        <f t="shared" si="58"/>
        <v>p12-3-NE</v>
      </c>
      <c r="E365" s="5" t="s">
        <v>468</v>
      </c>
      <c r="F365" s="17">
        <v>44881</v>
      </c>
      <c r="G365">
        <v>24</v>
      </c>
      <c r="H365" s="3">
        <v>28.9</v>
      </c>
      <c r="I365" s="3">
        <f t="shared" si="59"/>
        <v>28.439999999999998</v>
      </c>
      <c r="J365" s="3">
        <f>($A$74-$A$47)*$A$75</f>
        <v>0.53374999999999995</v>
      </c>
      <c r="K365" s="6">
        <f t="shared" si="60"/>
        <v>6467.6482332677169</v>
      </c>
      <c r="L365" s="4"/>
      <c r="M365" s="4"/>
      <c r="N365" s="4"/>
      <c r="O365" s="4"/>
      <c r="P365" s="7"/>
      <c r="Q365" s="6"/>
      <c r="R365" s="14"/>
      <c r="S365" s="4"/>
      <c r="T365" s="4"/>
      <c r="U365" s="4"/>
      <c r="V365" s="8"/>
      <c r="W365" s="8"/>
      <c r="X365" s="8"/>
      <c r="Y365" s="6"/>
      <c r="Z365" s="6"/>
      <c r="AA365" s="6"/>
      <c r="AB365" s="6"/>
      <c r="AC365" s="6"/>
      <c r="AD365" s="6"/>
      <c r="AE365" s="10"/>
      <c r="AF365" s="14"/>
      <c r="AG365" s="6"/>
      <c r="AH365" s="11"/>
      <c r="AI365" s="6"/>
      <c r="AJ365" s="6"/>
      <c r="AK365" s="6"/>
      <c r="AL365" s="6"/>
      <c r="AM365" s="6"/>
      <c r="AN365" s="16"/>
      <c r="AO365" s="12"/>
      <c r="AP365" s="7"/>
      <c r="AQ365" s="6"/>
      <c r="AV365" s="3"/>
      <c r="AW365" s="3"/>
      <c r="AX365" s="3"/>
      <c r="AY365" s="3"/>
      <c r="AZ365" s="4"/>
      <c r="BA365" s="4"/>
      <c r="BB365" s="4"/>
      <c r="BC365" s="4"/>
      <c r="BD365" s="4"/>
      <c r="BE365" s="3"/>
      <c r="BF365" s="3"/>
      <c r="BG365" s="4"/>
      <c r="BH365" s="4"/>
      <c r="BI365" s="4"/>
      <c r="BJ365" s="9"/>
      <c r="BK365" s="9"/>
      <c r="BL365" s="9"/>
      <c r="BM365" s="3"/>
      <c r="BN365" s="3"/>
      <c r="BO365" s="3"/>
      <c r="BP365" s="3"/>
      <c r="BQ365" s="3"/>
      <c r="BR365" s="3"/>
      <c r="BT365" s="15"/>
      <c r="BU365" s="3"/>
      <c r="BV365" s="13"/>
      <c r="BW365" s="3"/>
      <c r="BX365" s="3"/>
      <c r="BY365" s="3"/>
      <c r="BZ365" s="3"/>
      <c r="CA365" s="3"/>
      <c r="CB365" s="10"/>
      <c r="CC365" s="10"/>
      <c r="CD365" s="4"/>
      <c r="CE365" s="3"/>
    </row>
    <row r="366" spans="1:83" x14ac:dyDescent="0.25">
      <c r="A366" s="2">
        <f t="shared" si="63"/>
        <v>12</v>
      </c>
      <c r="B366" s="2">
        <v>3</v>
      </c>
      <c r="C366" t="s">
        <v>18</v>
      </c>
      <c r="D366" s="5" t="str">
        <f t="shared" si="58"/>
        <v>p12-3-ME</v>
      </c>
      <c r="E366" s="5" t="s">
        <v>468</v>
      </c>
      <c r="F366" s="17">
        <v>44881</v>
      </c>
      <c r="G366">
        <v>24</v>
      </c>
      <c r="H366" s="3">
        <v>17.5</v>
      </c>
      <c r="I366" s="3">
        <f t="shared" si="59"/>
        <v>17.04</v>
      </c>
      <c r="J366" s="3">
        <f>($A$74-$A$47)*$A$75</f>
        <v>0.53374999999999995</v>
      </c>
      <c r="K366" s="6">
        <f t="shared" si="60"/>
        <v>3922.8899655511814</v>
      </c>
      <c r="L366" s="4">
        <v>8.86</v>
      </c>
      <c r="M366" s="4">
        <v>185.4</v>
      </c>
      <c r="N366" s="4">
        <f>M366-L366</f>
        <v>176.54000000000002</v>
      </c>
      <c r="O366" s="4">
        <v>168.21</v>
      </c>
      <c r="P366" s="7">
        <f>(N366-O366)/N366*100</f>
        <v>4.7184773988897772</v>
      </c>
      <c r="Q366" s="6">
        <f>K366*(1-P366/100)</f>
        <v>3737.7892891433339</v>
      </c>
      <c r="R366" s="14">
        <v>44882</v>
      </c>
      <c r="S366" s="4">
        <v>7.73</v>
      </c>
      <c r="T366" s="4">
        <v>2.68</v>
      </c>
      <c r="U366" s="4">
        <v>5.84</v>
      </c>
      <c r="V366" s="8">
        <f>(T366-$A$76)/(S366-$A$47*$A$48)</f>
        <v>0.332387240473904</v>
      </c>
      <c r="W366" s="8">
        <f>(U366-$A$77)/(S366-$A$47*$A$48)</f>
        <v>0.55043327022478494</v>
      </c>
      <c r="X366" s="8">
        <f>1-V366-W366</f>
        <v>0.11717948930131106</v>
      </c>
      <c r="Y366" s="6">
        <f>K366*V366</f>
        <v>1303.9185703323255</v>
      </c>
      <c r="Z366" s="6">
        <f>K366*W366</f>
        <v>2159.2891524703309</v>
      </c>
      <c r="AA366" s="6">
        <f>SUM(Y366:Z366)</f>
        <v>3463.2077228026565</v>
      </c>
      <c r="AB366" s="6">
        <f>Q366*V366</f>
        <v>1242.3934672912681</v>
      </c>
      <c r="AC366" s="6">
        <f>Q366*W366</f>
        <v>2057.4035818343395</v>
      </c>
      <c r="AD366" s="6">
        <f>SUM(AB366:AC366)</f>
        <v>3299.7970491256074</v>
      </c>
      <c r="AE366" s="10">
        <v>990131232095</v>
      </c>
      <c r="AF366" s="14">
        <v>44980</v>
      </c>
      <c r="AG366" s="6">
        <v>46</v>
      </c>
      <c r="AH366" s="11">
        <v>1.147</v>
      </c>
      <c r="AI366" s="6">
        <v>80.3</v>
      </c>
      <c r="AJ366" s="6">
        <v>28.4</v>
      </c>
      <c r="AK366" s="6">
        <v>6.3</v>
      </c>
      <c r="AL366" s="6">
        <v>81.400000000000006</v>
      </c>
      <c r="AM366" s="6">
        <v>7.9</v>
      </c>
      <c r="AN366" s="16" t="s">
        <v>150</v>
      </c>
      <c r="AO366" s="12">
        <v>7</v>
      </c>
      <c r="AP366" s="7">
        <v>7.0000000000000007E-2</v>
      </c>
      <c r="AQ366" s="6">
        <v>9.1999999999999993</v>
      </c>
      <c r="AV366" s="3"/>
      <c r="AW366" s="3"/>
      <c r="AX366" s="3"/>
      <c r="AY366" s="3"/>
      <c r="AZ366" s="4"/>
      <c r="BA366" s="4"/>
      <c r="BB366" s="4"/>
      <c r="BC366" s="4"/>
      <c r="BD366" s="4"/>
      <c r="BE366" s="3"/>
      <c r="BF366" s="3"/>
      <c r="BG366" s="4"/>
      <c r="BH366" s="4"/>
      <c r="BI366" s="4"/>
      <c r="BJ366" s="9"/>
      <c r="BK366" s="9"/>
      <c r="BL366" s="9"/>
      <c r="BM366" s="3"/>
      <c r="BN366" s="3"/>
      <c r="BO366" s="3"/>
      <c r="BP366" s="3"/>
      <c r="BQ366" s="3"/>
      <c r="BR366" s="3"/>
      <c r="BT366" s="15"/>
      <c r="BU366" s="3"/>
      <c r="BV366" s="13"/>
      <c r="BW366" s="3"/>
      <c r="BX366" s="3"/>
      <c r="BY366" s="3"/>
      <c r="BZ366" s="3"/>
      <c r="CA366" s="3"/>
      <c r="CB366" s="10"/>
      <c r="CC366" s="10"/>
      <c r="CD366" s="4"/>
      <c r="CE366" s="3"/>
    </row>
    <row r="367" spans="1:83" x14ac:dyDescent="0.25">
      <c r="A367" s="2">
        <f t="shared" si="63"/>
        <v>12</v>
      </c>
      <c r="B367" s="2">
        <v>3</v>
      </c>
      <c r="C367" t="s">
        <v>8</v>
      </c>
      <c r="D367" s="5" t="str">
        <f t="shared" si="58"/>
        <v>p12-3-SE</v>
      </c>
      <c r="E367" s="5" t="s">
        <v>468</v>
      </c>
      <c r="F367" s="17">
        <v>44881</v>
      </c>
      <c r="G367">
        <v>24</v>
      </c>
      <c r="H367" s="3">
        <v>17.399999999999999</v>
      </c>
      <c r="I367" s="3">
        <f t="shared" si="59"/>
        <v>16.939999999999998</v>
      </c>
      <c r="J367" s="3">
        <f>($A$74-$A$47)*$A$75</f>
        <v>0.53374999999999995</v>
      </c>
      <c r="K367" s="6">
        <f t="shared" si="60"/>
        <v>3900.5675246062988</v>
      </c>
      <c r="L367" s="4"/>
      <c r="M367" s="4"/>
      <c r="N367" s="4"/>
      <c r="O367" s="4"/>
      <c r="P367" s="7"/>
      <c r="Q367" s="6"/>
      <c r="R367" s="14"/>
      <c r="S367" s="4"/>
      <c r="T367" s="4"/>
      <c r="U367" s="4"/>
      <c r="V367" s="8"/>
      <c r="W367" s="8"/>
      <c r="X367" s="8"/>
      <c r="Y367" s="6"/>
      <c r="Z367" s="6"/>
      <c r="AA367" s="6"/>
      <c r="AB367" s="6"/>
      <c r="AC367" s="6"/>
      <c r="AD367" s="6"/>
      <c r="AE367" s="10"/>
      <c r="AF367" s="14"/>
      <c r="AG367" s="6"/>
      <c r="AH367" s="11"/>
      <c r="AI367" s="6"/>
      <c r="AJ367" s="6"/>
      <c r="AK367" s="6"/>
      <c r="AL367" s="6"/>
      <c r="AM367" s="6"/>
      <c r="AN367" s="16"/>
      <c r="AO367" s="12"/>
      <c r="AP367" s="7"/>
      <c r="AQ367" s="6"/>
      <c r="AV367" s="3"/>
      <c r="AW367" s="3"/>
      <c r="AX367" s="3"/>
      <c r="AY367" s="3"/>
      <c r="AZ367" s="4"/>
      <c r="BA367" s="4"/>
      <c r="BB367" s="4"/>
      <c r="BC367" s="4"/>
      <c r="BD367" s="4"/>
      <c r="BE367" s="3"/>
      <c r="BF367" s="3"/>
      <c r="BG367" s="4"/>
      <c r="BH367" s="4"/>
      <c r="BI367" s="4"/>
      <c r="BJ367" s="9"/>
      <c r="BK367" s="9"/>
      <c r="BL367" s="9"/>
      <c r="BM367" s="3"/>
      <c r="BN367" s="3"/>
      <c r="BO367" s="3"/>
      <c r="BP367" s="3"/>
      <c r="BQ367" s="3"/>
      <c r="BR367" s="3"/>
      <c r="BT367" s="15"/>
      <c r="BU367" s="3"/>
      <c r="BV367" s="13"/>
      <c r="BW367" s="3"/>
      <c r="BX367" s="3"/>
      <c r="BY367" s="3"/>
      <c r="BZ367" s="3"/>
      <c r="CA367" s="3"/>
      <c r="CB367" s="10"/>
      <c r="CC367" s="10"/>
      <c r="CD367" s="4"/>
      <c r="CE367" s="3"/>
    </row>
    <row r="368" spans="1:83" x14ac:dyDescent="0.25">
      <c r="A368" s="2">
        <f t="shared" si="63"/>
        <v>12</v>
      </c>
      <c r="B368" s="2">
        <v>4</v>
      </c>
      <c r="C368" t="s">
        <v>4</v>
      </c>
      <c r="D368" s="5" t="str">
        <f t="shared" si="58"/>
        <v>p12-4-NW</v>
      </c>
      <c r="E368" s="5" t="s">
        <v>468</v>
      </c>
      <c r="F368" s="17">
        <v>44881</v>
      </c>
      <c r="G368">
        <v>12</v>
      </c>
      <c r="H368" s="3">
        <v>21.4</v>
      </c>
      <c r="I368" s="3">
        <f t="shared" si="59"/>
        <v>20.939999999999998</v>
      </c>
      <c r="J368" s="3">
        <f>($A$62-$A$47)*$A$75</f>
        <v>0.70874999999999999</v>
      </c>
      <c r="K368" s="6">
        <f t="shared" si="60"/>
        <v>4832.5294340551163</v>
      </c>
      <c r="L368" s="4"/>
      <c r="M368" s="4"/>
      <c r="N368" s="4"/>
      <c r="O368" s="4"/>
      <c r="P368" s="7"/>
      <c r="Q368" s="6"/>
      <c r="R368" s="14"/>
      <c r="S368" s="4"/>
      <c r="T368" s="4"/>
      <c r="U368" s="4"/>
      <c r="V368" s="8"/>
      <c r="W368" s="8"/>
      <c r="X368" s="8"/>
      <c r="Y368" s="6"/>
      <c r="Z368" s="6"/>
      <c r="AA368" s="6"/>
      <c r="AB368" s="6"/>
      <c r="AC368" s="6"/>
      <c r="AD368" s="6"/>
      <c r="AE368" s="10"/>
      <c r="AF368" s="14"/>
      <c r="AG368" s="6"/>
      <c r="AH368" s="11"/>
      <c r="AI368" s="6"/>
      <c r="AJ368" s="6"/>
      <c r="AK368" s="6"/>
      <c r="AL368" s="6"/>
      <c r="AM368" s="6"/>
      <c r="AN368" s="16"/>
      <c r="AO368" s="12"/>
      <c r="AP368" s="7"/>
      <c r="AQ368" s="6"/>
      <c r="AS368" t="s">
        <v>133</v>
      </c>
      <c r="AT368" s="4" t="str">
        <f>E368</f>
        <v>Machine</v>
      </c>
      <c r="AU368" s="15">
        <f>F368</f>
        <v>44881</v>
      </c>
      <c r="AV368" s="3">
        <f>SUM(H368:H373)</f>
        <v>124.00000000000001</v>
      </c>
      <c r="AW368" s="3">
        <f>AV368-6*$A$47</f>
        <v>121.24000000000001</v>
      </c>
      <c r="AX368" s="3">
        <f>SUM(J368:J373)</f>
        <v>3.7274999999999996</v>
      </c>
      <c r="AY368" s="3">
        <f>(AW368+AX368)*$A$48/(6*$A$49)*$A$50</f>
        <v>4649.2993979658795</v>
      </c>
      <c r="AZ368" s="4">
        <f>SUM(L368:L373)</f>
        <v>17.46</v>
      </c>
      <c r="BA368" s="4">
        <f>SUM(M368:M373)</f>
        <v>358.16999999999996</v>
      </c>
      <c r="BB368" s="4">
        <f>BA368-AZ368</f>
        <v>340.71</v>
      </c>
      <c r="BC368" s="4">
        <f>SUM(O368:O373)</f>
        <v>325</v>
      </c>
      <c r="BD368" s="4">
        <f>(BB368-BC368)/BB368*100</f>
        <v>4.6109594669953857</v>
      </c>
      <c r="BE368" s="3">
        <f>AY368*(1-BD368/100)</f>
        <v>4434.9220872264123</v>
      </c>
      <c r="BF368" s="15">
        <f>R369</f>
        <v>44882</v>
      </c>
      <c r="BG368" s="4">
        <f>SUM(S368:S373)</f>
        <v>16.880000000000003</v>
      </c>
      <c r="BH368" s="4">
        <f>SUM(T368:T373)</f>
        <v>5.8599999999999994</v>
      </c>
      <c r="BI368" s="4">
        <f>SUM(U368:U373)</f>
        <v>12.42</v>
      </c>
      <c r="BJ368" s="9">
        <f>(BH368-2*$A$76)/(BG368-2*$A$47*$A$48)</f>
        <v>0.33408867015565052</v>
      </c>
      <c r="BK368" s="9">
        <f>(BI368-2*$A$77)/(BG368-2*$A$47*$A$48)</f>
        <v>0.54790541905526691</v>
      </c>
      <c r="BL368" s="9">
        <f>1-BJ368-BK368</f>
        <v>0.11800591078908262</v>
      </c>
      <c r="BM368" s="3">
        <f>AY368*BJ368</f>
        <v>1553.2782530218872</v>
      </c>
      <c r="BN368" s="3">
        <f>AY368*BK368</f>
        <v>2547.3763349558953</v>
      </c>
      <c r="BO368" s="3">
        <f>SUM(BM368:BN368)</f>
        <v>4100.6545879777823</v>
      </c>
      <c r="BP368" s="3">
        <f>BE368*BJ368</f>
        <v>1481.6572223653941</v>
      </c>
      <c r="BQ368" s="3">
        <f>BE368*BK368</f>
        <v>2429.9178446792462</v>
      </c>
      <c r="BR368" s="3">
        <f>SUM(BP368:BQ368)</f>
        <v>3911.5750670446405</v>
      </c>
      <c r="BS368" s="3"/>
      <c r="BT368" s="15">
        <f>AF369</f>
        <v>44980</v>
      </c>
      <c r="BU368" s="3">
        <f t="shared" ref="BU368:CA368" si="66">AVERAGE(AG368:AG373)</f>
        <v>47.1</v>
      </c>
      <c r="BV368" s="13">
        <f t="shared" si="66"/>
        <v>1.125</v>
      </c>
      <c r="BW368" s="3">
        <f t="shared" si="66"/>
        <v>79.949999999999989</v>
      </c>
      <c r="BX368" s="3">
        <f t="shared" si="66"/>
        <v>28.5</v>
      </c>
      <c r="BY368" s="3">
        <f t="shared" si="66"/>
        <v>6.1</v>
      </c>
      <c r="BZ368" s="3">
        <f t="shared" si="66"/>
        <v>80.150000000000006</v>
      </c>
      <c r="CA368" s="3">
        <f t="shared" si="66"/>
        <v>8.25</v>
      </c>
      <c r="CB368" s="13"/>
      <c r="CC368" s="10">
        <f>AVERAGE(AO368:AO373)</f>
        <v>15</v>
      </c>
      <c r="CD368" s="4">
        <f>AVERAGE(AP368:AP373)</f>
        <v>0.16</v>
      </c>
      <c r="CE368" s="3">
        <f>AVERAGE(AQ368:AQ373)</f>
        <v>9.8000000000000007</v>
      </c>
    </row>
    <row r="369" spans="1:83" x14ac:dyDescent="0.25">
      <c r="A369" s="2">
        <f t="shared" si="63"/>
        <v>12</v>
      </c>
      <c r="B369" s="2">
        <v>4</v>
      </c>
      <c r="C369" t="s">
        <v>5</v>
      </c>
      <c r="D369" s="5" t="str">
        <f t="shared" si="58"/>
        <v>p12-4-MW</v>
      </c>
      <c r="E369" s="5" t="s">
        <v>468</v>
      </c>
      <c r="F369" s="17">
        <v>44881</v>
      </c>
      <c r="G369">
        <v>12</v>
      </c>
      <c r="H369" s="3">
        <v>19.100000000000001</v>
      </c>
      <c r="I369" s="3">
        <f t="shared" si="59"/>
        <v>18.64</v>
      </c>
      <c r="J369" s="3">
        <f>($A$62-$A$47)*$A$75</f>
        <v>0.70874999999999999</v>
      </c>
      <c r="K369" s="6">
        <f t="shared" si="60"/>
        <v>4319.1132923228352</v>
      </c>
      <c r="L369" s="4">
        <v>8.59</v>
      </c>
      <c r="M369" s="4">
        <v>193.98</v>
      </c>
      <c r="N369" s="4">
        <f>M369-L369</f>
        <v>185.39</v>
      </c>
      <c r="O369" s="4">
        <v>176.3</v>
      </c>
      <c r="P369" s="7">
        <f>(N369-O369)/N369*100</f>
        <v>4.9031770861427137</v>
      </c>
      <c r="Q369" s="6">
        <f>K369*(1-P369/100)</f>
        <v>4107.3395190491174</v>
      </c>
      <c r="R369" s="14">
        <v>44882</v>
      </c>
      <c r="S369" s="4">
        <v>8.41</v>
      </c>
      <c r="T369" s="4">
        <v>2.96</v>
      </c>
      <c r="U369" s="4">
        <v>6.2</v>
      </c>
      <c r="V369" s="8">
        <f>(T369-$A$76)/(S369-$A$47*$A$48)</f>
        <v>0.33896868032791411</v>
      </c>
      <c r="W369" s="8">
        <f>(U369-$A$77)/(S369-$A$47*$A$48)</f>
        <v>0.54869030988331424</v>
      </c>
      <c r="X369" s="8">
        <f>1-V369-W369</f>
        <v>0.1123410097887716</v>
      </c>
      <c r="Y369" s="6">
        <f>K369*V369</f>
        <v>1464.0441328854238</v>
      </c>
      <c r="Z369" s="6">
        <f>K369*W369</f>
        <v>2369.855610785758</v>
      </c>
      <c r="AA369" s="6">
        <f>SUM(Y369:Z369)</f>
        <v>3833.8997436711816</v>
      </c>
      <c r="AB369" s="6">
        <f>Q369*V369</f>
        <v>1392.2594564307688</v>
      </c>
      <c r="AC369" s="6">
        <f>Q369*W369</f>
        <v>2253.6573935030433</v>
      </c>
      <c r="AD369" s="6">
        <f>SUM(AB369:AC369)</f>
        <v>3645.916849933812</v>
      </c>
      <c r="AE369" s="10">
        <v>990131241048</v>
      </c>
      <c r="AF369" s="14">
        <v>44980</v>
      </c>
      <c r="AG369" s="6">
        <v>47.1</v>
      </c>
      <c r="AH369" s="11">
        <v>1.107</v>
      </c>
      <c r="AI369" s="6">
        <v>79.599999999999994</v>
      </c>
      <c r="AJ369" s="6">
        <v>28.6</v>
      </c>
      <c r="AK369" s="6">
        <v>6.1</v>
      </c>
      <c r="AL369" s="6">
        <v>80</v>
      </c>
      <c r="AM369" s="6">
        <v>8.6999999999999993</v>
      </c>
      <c r="AN369" s="16" t="s">
        <v>148</v>
      </c>
      <c r="AO369" s="12">
        <v>21</v>
      </c>
      <c r="AP369" s="7">
        <v>0.23</v>
      </c>
      <c r="AQ369" s="6">
        <v>10.4</v>
      </c>
      <c r="AV369" s="3"/>
      <c r="AW369" s="3"/>
      <c r="AX369" s="3"/>
      <c r="AY369" s="3"/>
      <c r="AZ369" s="4"/>
      <c r="BA369" s="4"/>
      <c r="BB369" s="4"/>
      <c r="BC369" s="4"/>
      <c r="BD369" s="4"/>
      <c r="BE369" s="3"/>
      <c r="BF369" s="3"/>
      <c r="BG369" s="4"/>
      <c r="BH369" s="4"/>
      <c r="BI369" s="4"/>
      <c r="BJ369" s="9"/>
      <c r="BK369" s="9"/>
      <c r="BL369" s="9"/>
      <c r="BM369" s="3"/>
      <c r="BN369" s="3"/>
      <c r="BO369" s="3"/>
      <c r="BP369" s="3"/>
      <c r="BQ369" s="3"/>
      <c r="BR369" s="3"/>
      <c r="BT369" s="15"/>
      <c r="BU369" s="3"/>
      <c r="BV369" s="13"/>
      <c r="BW369" s="3"/>
      <c r="BX369" s="3"/>
      <c r="BY369" s="3"/>
      <c r="BZ369" s="3"/>
      <c r="CA369" s="3"/>
      <c r="CB369" s="10"/>
      <c r="CC369" s="10"/>
      <c r="CD369" s="4"/>
      <c r="CE369" s="3"/>
    </row>
    <row r="370" spans="1:83" x14ac:dyDescent="0.25">
      <c r="A370" s="2">
        <f t="shared" si="63"/>
        <v>12</v>
      </c>
      <c r="B370" s="2">
        <v>4</v>
      </c>
      <c r="C370" t="s">
        <v>6</v>
      </c>
      <c r="D370" s="5" t="str">
        <f t="shared" si="58"/>
        <v>p12-4-SW</v>
      </c>
      <c r="E370" s="5" t="s">
        <v>468</v>
      </c>
      <c r="F370" s="17">
        <v>44881</v>
      </c>
      <c r="G370">
        <v>12</v>
      </c>
      <c r="H370" s="3">
        <v>22.2</v>
      </c>
      <c r="I370" s="3">
        <f t="shared" si="59"/>
        <v>21.74</v>
      </c>
      <c r="J370" s="3">
        <f>($A$62-$A$47)*$A$75</f>
        <v>0.70874999999999999</v>
      </c>
      <c r="K370" s="6">
        <f t="shared" si="60"/>
        <v>5011.1089616141726</v>
      </c>
      <c r="L370" s="4"/>
      <c r="M370" s="4"/>
      <c r="N370" s="4"/>
      <c r="O370" s="4"/>
      <c r="P370" s="7"/>
      <c r="Q370" s="6"/>
      <c r="R370" s="14"/>
      <c r="S370" s="4"/>
      <c r="T370" s="4"/>
      <c r="U370" s="4"/>
      <c r="V370" s="8"/>
      <c r="W370" s="8"/>
      <c r="X370" s="8"/>
      <c r="Y370" s="6"/>
      <c r="Z370" s="6"/>
      <c r="AA370" s="6"/>
      <c r="AB370" s="6"/>
      <c r="AC370" s="6"/>
      <c r="AD370" s="6"/>
      <c r="AE370" s="10"/>
      <c r="AF370" s="14"/>
      <c r="AG370" s="6"/>
      <c r="AH370" s="11"/>
      <c r="AI370" s="6"/>
      <c r="AJ370" s="6"/>
      <c r="AK370" s="6"/>
      <c r="AL370" s="6"/>
      <c r="AM370" s="6"/>
      <c r="AN370" s="16"/>
      <c r="AO370" s="12"/>
      <c r="AP370" s="7"/>
      <c r="AQ370" s="6"/>
      <c r="AV370" s="3"/>
      <c r="AW370" s="3"/>
      <c r="AX370" s="3"/>
      <c r="AY370" s="3"/>
      <c r="AZ370" s="4"/>
      <c r="BA370" s="4"/>
      <c r="BB370" s="4"/>
      <c r="BC370" s="4"/>
      <c r="BD370" s="4"/>
      <c r="BE370" s="3"/>
      <c r="BF370" s="3"/>
      <c r="BG370" s="4"/>
      <c r="BH370" s="4"/>
      <c r="BI370" s="4"/>
      <c r="BJ370" s="9"/>
      <c r="BK370" s="9"/>
      <c r="BL370" s="9"/>
      <c r="BM370" s="3"/>
      <c r="BN370" s="3"/>
      <c r="BO370" s="3"/>
      <c r="BP370" s="3"/>
      <c r="BQ370" s="3"/>
      <c r="BR370" s="3"/>
      <c r="BT370" s="15"/>
      <c r="BU370" s="3"/>
      <c r="BV370" s="13"/>
      <c r="BW370" s="3"/>
      <c r="BX370" s="3"/>
      <c r="BY370" s="3"/>
      <c r="BZ370" s="3"/>
      <c r="CA370" s="3"/>
      <c r="CB370" s="10"/>
      <c r="CC370" s="10"/>
      <c r="CD370" s="4"/>
      <c r="CE370" s="3"/>
    </row>
    <row r="371" spans="1:83" x14ac:dyDescent="0.25">
      <c r="A371" s="2">
        <f t="shared" si="63"/>
        <v>12</v>
      </c>
      <c r="B371" s="2">
        <v>4</v>
      </c>
      <c r="C371" t="s">
        <v>7</v>
      </c>
      <c r="D371" s="5" t="str">
        <f t="shared" si="58"/>
        <v>p12-4-NE</v>
      </c>
      <c r="E371" s="5" t="s">
        <v>468</v>
      </c>
      <c r="F371" s="17">
        <v>44881</v>
      </c>
      <c r="G371">
        <v>24</v>
      </c>
      <c r="H371" s="3">
        <v>21.5</v>
      </c>
      <c r="I371" s="3">
        <f t="shared" si="59"/>
        <v>21.04</v>
      </c>
      <c r="J371" s="3">
        <f>($A$74-$A$47)*$A$75</f>
        <v>0.53374999999999995</v>
      </c>
      <c r="K371" s="6">
        <f t="shared" si="60"/>
        <v>4815.7876033464563</v>
      </c>
      <c r="L371" s="4"/>
      <c r="M371" s="4"/>
      <c r="N371" s="4"/>
      <c r="O371" s="4"/>
      <c r="P371" s="7"/>
      <c r="Q371" s="6"/>
      <c r="R371" s="14"/>
      <c r="S371" s="4"/>
      <c r="T371" s="4"/>
      <c r="U371" s="4"/>
      <c r="V371" s="8"/>
      <c r="W371" s="8"/>
      <c r="X371" s="8"/>
      <c r="Y371" s="6"/>
      <c r="Z371" s="6"/>
      <c r="AA371" s="6"/>
      <c r="AB371" s="6"/>
      <c r="AC371" s="6"/>
      <c r="AD371" s="6"/>
      <c r="AE371" s="10"/>
      <c r="AF371" s="14"/>
      <c r="AG371" s="6"/>
      <c r="AH371" s="11"/>
      <c r="AI371" s="6"/>
      <c r="AJ371" s="6"/>
      <c r="AK371" s="6"/>
      <c r="AL371" s="6"/>
      <c r="AM371" s="6"/>
      <c r="AN371" s="16"/>
      <c r="AO371" s="12"/>
      <c r="AP371" s="7"/>
      <c r="AQ371" s="6"/>
      <c r="AV371" s="3"/>
      <c r="AW371" s="3"/>
      <c r="AX371" s="3"/>
      <c r="AY371" s="3"/>
      <c r="AZ371" s="4"/>
      <c r="BA371" s="4"/>
      <c r="BB371" s="4"/>
      <c r="BC371" s="4"/>
      <c r="BD371" s="4"/>
      <c r="BE371" s="3"/>
      <c r="BF371" s="3"/>
      <c r="BG371" s="4"/>
      <c r="BH371" s="4"/>
      <c r="BI371" s="4"/>
      <c r="BJ371" s="9"/>
      <c r="BK371" s="9"/>
      <c r="BL371" s="9"/>
      <c r="BM371" s="3"/>
      <c r="BN371" s="3"/>
      <c r="BO371" s="3"/>
      <c r="BP371" s="3"/>
      <c r="BQ371" s="3"/>
      <c r="BR371" s="3"/>
      <c r="BT371" s="15"/>
      <c r="BU371" s="3"/>
      <c r="BV371" s="13"/>
      <c r="BW371" s="3"/>
      <c r="BX371" s="3"/>
      <c r="BY371" s="3"/>
      <c r="BZ371" s="3"/>
      <c r="CA371" s="3"/>
      <c r="CB371" s="10"/>
      <c r="CC371" s="10"/>
      <c r="CD371" s="4"/>
      <c r="CE371" s="3"/>
    </row>
    <row r="372" spans="1:83" x14ac:dyDescent="0.25">
      <c r="A372" s="2">
        <f t="shared" si="63"/>
        <v>12</v>
      </c>
      <c r="B372" s="2">
        <v>4</v>
      </c>
      <c r="C372" t="s">
        <v>18</v>
      </c>
      <c r="D372" s="5" t="str">
        <f t="shared" si="58"/>
        <v>p12-4-ME</v>
      </c>
      <c r="E372" s="5" t="s">
        <v>468</v>
      </c>
      <c r="F372" s="17">
        <v>44881</v>
      </c>
      <c r="G372">
        <v>24</v>
      </c>
      <c r="H372" s="3">
        <v>19.100000000000001</v>
      </c>
      <c r="I372" s="3">
        <f t="shared" si="59"/>
        <v>18.64</v>
      </c>
      <c r="J372" s="3">
        <f>($A$74-$A$47)*$A$75</f>
        <v>0.53374999999999995</v>
      </c>
      <c r="K372" s="6">
        <f t="shared" si="60"/>
        <v>4280.0490206692912</v>
      </c>
      <c r="L372" s="4">
        <v>8.8699999999999992</v>
      </c>
      <c r="M372" s="4">
        <v>164.19</v>
      </c>
      <c r="N372" s="4">
        <f>M372-L372</f>
        <v>155.32</v>
      </c>
      <c r="O372" s="4">
        <v>148.69999999999999</v>
      </c>
      <c r="P372" s="7">
        <f>(N372-O372)/N372*100</f>
        <v>4.2621684264743793</v>
      </c>
      <c r="Q372" s="6">
        <f>K372*(1-P372/100)</f>
        <v>4097.6261226726992</v>
      </c>
      <c r="R372" s="14">
        <v>44882</v>
      </c>
      <c r="S372" s="4">
        <v>8.4700000000000006</v>
      </c>
      <c r="T372" s="4">
        <v>2.9</v>
      </c>
      <c r="U372" s="4">
        <v>6.22</v>
      </c>
      <c r="V372" s="8">
        <f>(T372-$A$76)/(S372-$A$47*$A$48)</f>
        <v>0.32924410221650419</v>
      </c>
      <c r="W372" s="8">
        <f>(U372-$A$77)/(S372-$A$47*$A$48)</f>
        <v>0.5471262286833084</v>
      </c>
      <c r="X372" s="8">
        <f>1-V372-W372</f>
        <v>0.12362966910018736</v>
      </c>
      <c r="Y372" s="6">
        <f>K372*V372</f>
        <v>1409.1808972528888</v>
      </c>
      <c r="Z372" s="6">
        <f>K372*W372</f>
        <v>2341.7270792584768</v>
      </c>
      <c r="AA372" s="6">
        <f>SUM(Y372:Z372)</f>
        <v>3750.9079765113656</v>
      </c>
      <c r="AB372" s="6">
        <f>Q372*V372</f>
        <v>1349.1192339782679</v>
      </c>
      <c r="AC372" s="6">
        <f>Q372*W372</f>
        <v>2241.9187270521215</v>
      </c>
      <c r="AD372" s="6">
        <f>SUM(AB372:AC372)</f>
        <v>3591.0379610303894</v>
      </c>
      <c r="AE372" s="10">
        <v>990131242096</v>
      </c>
      <c r="AF372" s="14">
        <v>44980</v>
      </c>
      <c r="AG372" s="6">
        <v>47.1</v>
      </c>
      <c r="AH372" s="11">
        <v>1.143</v>
      </c>
      <c r="AI372" s="6">
        <v>80.3</v>
      </c>
      <c r="AJ372" s="6">
        <v>28.4</v>
      </c>
      <c r="AK372" s="6">
        <v>6.1</v>
      </c>
      <c r="AL372" s="6">
        <v>80.3</v>
      </c>
      <c r="AM372" s="6">
        <v>7.8</v>
      </c>
      <c r="AN372" s="16" t="s">
        <v>149</v>
      </c>
      <c r="AO372" s="12">
        <v>9</v>
      </c>
      <c r="AP372" s="7">
        <v>0.09</v>
      </c>
      <c r="AQ372" s="6">
        <v>9.1999999999999993</v>
      </c>
      <c r="AV372" s="3"/>
      <c r="AW372" s="3"/>
      <c r="AX372" s="3"/>
      <c r="AY372" s="3"/>
      <c r="AZ372" s="4"/>
      <c r="BA372" s="4"/>
      <c r="BB372" s="4"/>
      <c r="BC372" s="4"/>
      <c r="BD372" s="4"/>
      <c r="BE372" s="3"/>
      <c r="BF372" s="3"/>
      <c r="BG372" s="4"/>
      <c r="BH372" s="4"/>
      <c r="BI372" s="4"/>
      <c r="BJ372" s="9"/>
      <c r="BK372" s="9"/>
      <c r="BL372" s="9"/>
      <c r="BM372" s="3"/>
      <c r="BN372" s="3"/>
      <c r="BO372" s="3"/>
      <c r="BP372" s="3"/>
      <c r="BQ372" s="3"/>
      <c r="BR372" s="3"/>
      <c r="BT372" s="15"/>
      <c r="BU372" s="3"/>
      <c r="BV372" s="13"/>
      <c r="BW372" s="3"/>
      <c r="BX372" s="3"/>
      <c r="BY372" s="3"/>
      <c r="BZ372" s="3"/>
      <c r="CA372" s="3"/>
      <c r="CB372" s="10"/>
      <c r="CC372" s="10"/>
      <c r="CD372" s="4"/>
      <c r="CE372" s="3"/>
    </row>
    <row r="373" spans="1:83" x14ac:dyDescent="0.25">
      <c r="A373" s="2">
        <f t="shared" si="63"/>
        <v>12</v>
      </c>
      <c r="B373" s="2">
        <v>4</v>
      </c>
      <c r="C373" t="s">
        <v>8</v>
      </c>
      <c r="D373" s="5" t="str">
        <f t="shared" si="58"/>
        <v>p12-4-SE</v>
      </c>
      <c r="E373" s="5" t="s">
        <v>468</v>
      </c>
      <c r="F373" s="17">
        <v>44881</v>
      </c>
      <c r="G373">
        <v>24</v>
      </c>
      <c r="H373" s="3">
        <v>20.7</v>
      </c>
      <c r="I373" s="3">
        <f t="shared" si="59"/>
        <v>20.239999999999998</v>
      </c>
      <c r="J373" s="3">
        <f>($A$74-$A$47)*$A$75</f>
        <v>0.53374999999999995</v>
      </c>
      <c r="K373" s="6">
        <f t="shared" si="60"/>
        <v>4637.208075787401</v>
      </c>
      <c r="L373" s="4"/>
      <c r="M373" s="4"/>
      <c r="N373" s="4"/>
      <c r="O373" s="4"/>
      <c r="P373" s="7"/>
      <c r="Q373" s="6"/>
      <c r="R373" s="14"/>
      <c r="S373" s="4"/>
      <c r="T373" s="4"/>
      <c r="U373" s="4"/>
      <c r="V373" s="8"/>
      <c r="W373" s="8"/>
      <c r="X373" s="8"/>
      <c r="Y373" s="6"/>
      <c r="Z373" s="6"/>
      <c r="AA373" s="6"/>
      <c r="AB373" s="6"/>
      <c r="AC373" s="6"/>
      <c r="AD373" s="6"/>
      <c r="AE373" s="10"/>
      <c r="AF373" s="14"/>
      <c r="AG373" s="6"/>
      <c r="AH373" s="11"/>
      <c r="AI373" s="6"/>
      <c r="AJ373" s="6"/>
      <c r="AK373" s="6"/>
      <c r="AL373" s="6"/>
      <c r="AM373" s="6"/>
      <c r="AN373" s="16"/>
      <c r="AO373" s="12"/>
      <c r="AP373" s="7"/>
      <c r="AQ373" s="6"/>
      <c r="AV373" s="3"/>
      <c r="AW373" s="3"/>
      <c r="AX373" s="3"/>
      <c r="AY373" s="3"/>
      <c r="AZ373" s="4"/>
      <c r="BA373" s="4"/>
      <c r="BB373" s="4"/>
      <c r="BC373" s="4"/>
      <c r="BD373" s="4"/>
      <c r="BE373" s="3"/>
      <c r="BF373" s="3"/>
      <c r="BG373" s="4"/>
      <c r="BH373" s="4"/>
      <c r="BI373" s="4"/>
      <c r="BJ373" s="9"/>
      <c r="BK373" s="9"/>
      <c r="BL373" s="9"/>
      <c r="BM373" s="3"/>
      <c r="BN373" s="3"/>
      <c r="BO373" s="3"/>
      <c r="BP373" s="3"/>
      <c r="BQ373" s="3"/>
      <c r="BR373" s="3"/>
      <c r="BT373" s="15"/>
      <c r="BU373" s="3"/>
      <c r="BV373" s="13"/>
      <c r="BW373" s="3"/>
      <c r="BX373" s="3"/>
      <c r="BY373" s="3"/>
      <c r="BZ373" s="3"/>
      <c r="CA373" s="3"/>
      <c r="CB373" s="10"/>
      <c r="CC373" s="10"/>
      <c r="CD373" s="4"/>
      <c r="CE373" s="3"/>
    </row>
    <row r="374" spans="1:83" x14ac:dyDescent="0.25">
      <c r="J374" s="3"/>
      <c r="K374" s="3"/>
      <c r="L374" s="3"/>
      <c r="M374" s="3"/>
      <c r="AC374" s="3"/>
      <c r="AD374" s="3"/>
      <c r="AE374" s="3"/>
      <c r="AF374" s="3"/>
      <c r="AG374" s="3"/>
      <c r="AH374" s="3"/>
      <c r="AI374" s="3"/>
      <c r="AJ374" s="3"/>
      <c r="AK374" s="3"/>
      <c r="AL374" s="3"/>
      <c r="AM374" s="3"/>
      <c r="AN374" s="3"/>
      <c r="AO374" s="3"/>
      <c r="BY374" s="10"/>
    </row>
    <row r="375" spans="1:83" x14ac:dyDescent="0.25">
      <c r="J375" s="3"/>
      <c r="K375" s="3"/>
      <c r="L375" s="3"/>
      <c r="M375" s="3"/>
      <c r="AC375" s="3"/>
      <c r="AD375" s="3"/>
      <c r="AE375" s="3"/>
      <c r="AF375" s="3"/>
      <c r="AG375" s="3"/>
      <c r="AH375" s="3"/>
      <c r="AI375" s="3"/>
      <c r="AJ375" s="3"/>
      <c r="AK375" s="3"/>
      <c r="AL375" s="3"/>
      <c r="AM375" s="3"/>
      <c r="AN375" s="3"/>
      <c r="AO375" s="3"/>
      <c r="BY375" s="10"/>
    </row>
    <row r="376" spans="1:83" x14ac:dyDescent="0.25">
      <c r="J376" s="3"/>
      <c r="K376" s="3"/>
      <c r="L376" s="3"/>
      <c r="M376" s="3"/>
      <c r="AC376" s="3"/>
      <c r="AD376" s="3"/>
      <c r="AE376" s="3"/>
      <c r="AF376" s="3"/>
      <c r="AG376" s="3"/>
      <c r="AH376" s="3"/>
      <c r="AI376" s="3"/>
      <c r="AJ376" s="3"/>
      <c r="AK376" s="3"/>
      <c r="AL376" s="3"/>
      <c r="AM376" s="3"/>
      <c r="AN376" s="3"/>
      <c r="AO376" s="3"/>
    </row>
    <row r="377" spans="1:83" x14ac:dyDescent="0.25">
      <c r="J377" s="3"/>
      <c r="K377" s="3"/>
      <c r="L377" s="3"/>
      <c r="M377" s="3"/>
      <c r="AC377" s="3"/>
      <c r="AD377" s="3"/>
      <c r="AE377" s="3"/>
      <c r="AF377" s="3"/>
      <c r="AG377" s="3"/>
      <c r="AH377" s="3"/>
      <c r="AI377" s="3"/>
      <c r="AJ377" s="3"/>
      <c r="AK377" s="3"/>
      <c r="AL377" s="3"/>
      <c r="AM377" s="3"/>
      <c r="AN377" s="3"/>
      <c r="AO377" s="3"/>
    </row>
    <row r="378" spans="1:83" x14ac:dyDescent="0.25">
      <c r="J378" s="3"/>
      <c r="K378" s="3"/>
      <c r="L378" s="3"/>
      <c r="M378" s="3"/>
      <c r="AC378" s="3"/>
      <c r="AD378" s="3"/>
      <c r="AE378" s="3"/>
      <c r="AF378" s="3"/>
      <c r="AG378" s="3"/>
      <c r="AH378" s="3"/>
      <c r="AI378" s="3"/>
      <c r="AJ378" s="3"/>
      <c r="AK378" s="3"/>
      <c r="AL378" s="3"/>
      <c r="AM378" s="3"/>
      <c r="AN378" s="3"/>
      <c r="AO378" s="3"/>
    </row>
    <row r="379" spans="1:83" x14ac:dyDescent="0.25">
      <c r="J379" s="3"/>
      <c r="K379" s="3"/>
      <c r="L379" s="3"/>
      <c r="M379" s="3"/>
      <c r="AC379" s="3"/>
      <c r="AD379" s="3"/>
      <c r="AE379" s="3"/>
      <c r="AF379" s="3"/>
      <c r="AG379" s="3"/>
      <c r="AH379" s="3"/>
      <c r="AI379" s="3"/>
      <c r="AJ379" s="3"/>
      <c r="AK379" s="3"/>
      <c r="AL379" s="3"/>
      <c r="AM379" s="3"/>
      <c r="AN379" s="3"/>
      <c r="AO379" s="3"/>
    </row>
    <row r="380" spans="1:83" x14ac:dyDescent="0.25">
      <c r="J380" s="3"/>
      <c r="K380" s="3"/>
      <c r="L380" s="3"/>
      <c r="M380" s="3"/>
      <c r="AC380" s="3"/>
      <c r="AD380" s="3"/>
      <c r="AE380" s="3"/>
      <c r="AF380" s="3"/>
      <c r="AG380" s="3"/>
      <c r="AH380" s="3"/>
      <c r="AI380" s="3"/>
      <c r="AJ380" s="3"/>
      <c r="AK380" s="3"/>
      <c r="AL380" s="3"/>
      <c r="AM380" s="3"/>
      <c r="AN380" s="3"/>
      <c r="AO380" s="3"/>
    </row>
    <row r="381" spans="1:83" x14ac:dyDescent="0.25">
      <c r="J381" s="3"/>
      <c r="K381" s="3"/>
      <c r="L381" s="3"/>
      <c r="M381" s="3"/>
      <c r="AC381" s="3"/>
      <c r="AD381" s="3"/>
      <c r="AE381" s="3"/>
      <c r="AF381" s="3"/>
      <c r="AG381" s="3"/>
      <c r="AH381" s="3"/>
      <c r="AI381" s="3"/>
      <c r="AJ381" s="3"/>
      <c r="AK381" s="3"/>
      <c r="AL381" s="3"/>
      <c r="AM381" s="3"/>
      <c r="AN381" s="3"/>
      <c r="AO381" s="3"/>
    </row>
    <row r="382" spans="1:83" x14ac:dyDescent="0.25">
      <c r="J382" s="3"/>
      <c r="K382" s="3"/>
      <c r="L382" s="3"/>
      <c r="M382" s="3"/>
      <c r="AC382" s="3"/>
      <c r="AD382" s="3"/>
      <c r="AE382" s="3"/>
      <c r="AF382" s="3"/>
      <c r="AG382" s="3"/>
      <c r="AH382" s="3"/>
      <c r="AI382" s="3"/>
      <c r="AJ382" s="3"/>
      <c r="AK382" s="3"/>
      <c r="AL382" s="3"/>
      <c r="AM382" s="3"/>
      <c r="AN382" s="3"/>
      <c r="AO382" s="3"/>
    </row>
    <row r="383" spans="1:83" x14ac:dyDescent="0.25">
      <c r="J383" s="3"/>
      <c r="K383" s="3"/>
      <c r="L383" s="3"/>
      <c r="M383" s="3"/>
      <c r="AC383" s="3"/>
      <c r="AD383" s="3"/>
      <c r="AE383" s="3"/>
      <c r="AF383" s="3"/>
      <c r="AG383" s="3"/>
      <c r="AH383" s="3"/>
      <c r="AI383" s="3"/>
      <c r="AJ383" s="3"/>
      <c r="AK383" s="3"/>
      <c r="AL383" s="3"/>
      <c r="AM383" s="3"/>
      <c r="AN383" s="3"/>
      <c r="AO383" s="3"/>
    </row>
    <row r="384" spans="1:83" x14ac:dyDescent="0.25">
      <c r="J384" s="3"/>
      <c r="K384" s="3"/>
      <c r="L384" s="3"/>
      <c r="M384" s="3"/>
      <c r="AC384" s="3"/>
      <c r="AD384" s="3"/>
      <c r="AE384" s="3"/>
      <c r="AF384" s="3"/>
      <c r="AG384" s="3"/>
      <c r="AH384" s="3"/>
      <c r="AI384" s="3"/>
      <c r="AJ384" s="3"/>
      <c r="AK384" s="3"/>
      <c r="AL384" s="3"/>
      <c r="AM384" s="3"/>
      <c r="AN384" s="3"/>
      <c r="AO384" s="3"/>
    </row>
    <row r="385" spans="10:41" x14ac:dyDescent="0.25">
      <c r="J385" s="3"/>
      <c r="K385" s="3"/>
      <c r="L385" s="3"/>
      <c r="M385" s="3"/>
      <c r="AC385" s="3"/>
      <c r="AD385" s="3"/>
      <c r="AE385" s="3"/>
      <c r="AF385" s="3"/>
      <c r="AG385" s="3"/>
      <c r="AH385" s="3"/>
      <c r="AI385" s="3"/>
      <c r="AJ385" s="3"/>
      <c r="AK385" s="3"/>
      <c r="AL385" s="3"/>
      <c r="AM385" s="3"/>
      <c r="AN385" s="3"/>
      <c r="AO385" s="3"/>
    </row>
    <row r="386" spans="10:41" x14ac:dyDescent="0.25">
      <c r="J386" s="3"/>
      <c r="K386" s="3"/>
      <c r="L386" s="3"/>
      <c r="M386" s="3"/>
      <c r="AC386" s="3"/>
      <c r="AD386" s="3"/>
      <c r="AE386" s="3"/>
      <c r="AF386" s="3"/>
      <c r="AG386" s="3"/>
      <c r="AH386" s="3"/>
      <c r="AI386" s="3"/>
      <c r="AJ386" s="3"/>
      <c r="AK386" s="3"/>
      <c r="AL386" s="3"/>
      <c r="AM386" s="3"/>
      <c r="AN386" s="3"/>
      <c r="AO386" s="3"/>
    </row>
    <row r="387" spans="10:41" x14ac:dyDescent="0.25">
      <c r="J387" s="3"/>
      <c r="K387" s="3"/>
      <c r="L387" s="3"/>
      <c r="M387" s="3"/>
      <c r="AC387" s="3"/>
      <c r="AD387" s="3"/>
      <c r="AE387" s="3"/>
      <c r="AF387" s="3"/>
      <c r="AG387" s="3"/>
      <c r="AH387" s="3"/>
      <c r="AI387" s="3"/>
      <c r="AJ387" s="3"/>
      <c r="AK387" s="3"/>
      <c r="AL387" s="3"/>
      <c r="AM387" s="3"/>
      <c r="AN387" s="3"/>
      <c r="AO387" s="3"/>
    </row>
    <row r="388" spans="10:41" x14ac:dyDescent="0.25">
      <c r="J388" s="3"/>
      <c r="K388" s="3"/>
      <c r="L388" s="3"/>
      <c r="M388" s="3"/>
      <c r="AC388" s="3"/>
      <c r="AD388" s="3"/>
      <c r="AE388" s="3"/>
      <c r="AF388" s="3"/>
      <c r="AG388" s="3"/>
      <c r="AH388" s="3"/>
      <c r="AI388" s="3"/>
      <c r="AJ388" s="3"/>
      <c r="AK388" s="3"/>
      <c r="AL388" s="3"/>
      <c r="AM388" s="3"/>
      <c r="AN388" s="3"/>
      <c r="AO388" s="3"/>
    </row>
    <row r="389" spans="10:41" x14ac:dyDescent="0.25">
      <c r="J389" s="3"/>
      <c r="K389" s="3"/>
      <c r="L389" s="3"/>
      <c r="M389" s="3"/>
      <c r="AC389" s="3"/>
      <c r="AD389" s="3"/>
      <c r="AE389" s="3"/>
      <c r="AF389" s="3"/>
      <c r="AG389" s="3"/>
      <c r="AH389" s="3"/>
      <c r="AI389" s="3"/>
      <c r="AJ389" s="3"/>
      <c r="AK389" s="3"/>
      <c r="AL389" s="3"/>
      <c r="AM389" s="3"/>
      <c r="AN389" s="3"/>
      <c r="AO389" s="3"/>
    </row>
    <row r="390" spans="10:41" x14ac:dyDescent="0.25">
      <c r="J390" s="3"/>
      <c r="K390" s="3"/>
      <c r="L390" s="3"/>
      <c r="M390" s="3"/>
      <c r="AC390" s="3"/>
      <c r="AD390" s="3"/>
      <c r="AE390" s="3"/>
      <c r="AF390" s="3"/>
      <c r="AG390" s="3"/>
      <c r="AH390" s="3"/>
      <c r="AI390" s="3"/>
      <c r="AJ390" s="3"/>
      <c r="AK390" s="3"/>
      <c r="AL390" s="3"/>
      <c r="AM390" s="3"/>
      <c r="AN390" s="3"/>
      <c r="AO390" s="3"/>
    </row>
    <row r="391" spans="10:41" x14ac:dyDescent="0.25">
      <c r="J391" s="3"/>
      <c r="K391" s="3"/>
      <c r="L391" s="3"/>
      <c r="M391" s="3"/>
      <c r="AC391" s="3"/>
      <c r="AD391" s="3"/>
      <c r="AE391" s="3"/>
      <c r="AF391" s="3"/>
      <c r="AG391" s="3"/>
      <c r="AH391" s="3"/>
      <c r="AI391" s="3"/>
      <c r="AJ391" s="3"/>
      <c r="AK391" s="3"/>
      <c r="AL391" s="3"/>
      <c r="AM391" s="3"/>
      <c r="AN391" s="3"/>
      <c r="AO391" s="3"/>
    </row>
    <row r="392" spans="10:41" x14ac:dyDescent="0.25">
      <c r="J392" s="3"/>
      <c r="K392" s="3"/>
      <c r="L392" s="3"/>
      <c r="M392" s="3"/>
      <c r="AC392" s="3"/>
      <c r="AD392" s="3"/>
      <c r="AE392" s="3"/>
      <c r="AF392" s="3"/>
      <c r="AG392" s="3"/>
      <c r="AH392" s="3"/>
      <c r="AI392" s="3"/>
      <c r="AJ392" s="3"/>
      <c r="AK392" s="3"/>
      <c r="AL392" s="3"/>
      <c r="AM392" s="3"/>
      <c r="AN392" s="3"/>
      <c r="AO392" s="3"/>
    </row>
    <row r="393" spans="10:41" x14ac:dyDescent="0.25">
      <c r="J393" s="3"/>
      <c r="K393" s="3"/>
      <c r="L393" s="3"/>
      <c r="M393" s="3"/>
      <c r="AC393" s="3"/>
      <c r="AD393" s="3"/>
      <c r="AE393" s="3"/>
      <c r="AF393" s="3"/>
      <c r="AG393" s="3"/>
      <c r="AH393" s="3"/>
      <c r="AI393" s="3"/>
      <c r="AJ393" s="3"/>
      <c r="AK393" s="3"/>
      <c r="AL393" s="3"/>
      <c r="AM393" s="3"/>
      <c r="AN393" s="3"/>
      <c r="AO393" s="3"/>
    </row>
    <row r="394" spans="10:41" x14ac:dyDescent="0.25">
      <c r="J394" s="3"/>
      <c r="K394" s="3"/>
      <c r="L394" s="3"/>
      <c r="M394" s="3"/>
      <c r="AC394" s="3"/>
      <c r="AD394" s="3"/>
      <c r="AE394" s="3"/>
      <c r="AF394" s="3"/>
      <c r="AG394" s="3"/>
      <c r="AH394" s="3"/>
      <c r="AI394" s="3"/>
      <c r="AJ394" s="3"/>
      <c r="AK394" s="3"/>
      <c r="AL394" s="3"/>
      <c r="AM394" s="3"/>
      <c r="AN394" s="3"/>
      <c r="AO394" s="3"/>
    </row>
    <row r="395" spans="10:41" x14ac:dyDescent="0.25">
      <c r="J395" s="3"/>
      <c r="K395" s="3"/>
      <c r="L395" s="3"/>
      <c r="M395" s="3"/>
      <c r="AC395" s="3"/>
      <c r="AD395" s="3"/>
      <c r="AE395" s="3"/>
      <c r="AF395" s="3"/>
      <c r="AG395" s="3"/>
      <c r="AH395" s="3"/>
      <c r="AI395" s="3"/>
      <c r="AJ395" s="3"/>
      <c r="AK395" s="3"/>
      <c r="AL395" s="3"/>
      <c r="AM395" s="3"/>
      <c r="AN395" s="3"/>
      <c r="AO395" s="3"/>
    </row>
    <row r="396" spans="10:41" x14ac:dyDescent="0.25">
      <c r="J396" s="3"/>
      <c r="K396" s="3"/>
      <c r="L396" s="3"/>
      <c r="M396" s="3"/>
      <c r="AC396" s="3"/>
      <c r="AD396" s="3"/>
      <c r="AE396" s="3"/>
      <c r="AF396" s="3"/>
      <c r="AG396" s="3"/>
      <c r="AH396" s="3"/>
      <c r="AI396" s="3"/>
      <c r="AJ396" s="3"/>
      <c r="AK396" s="3"/>
      <c r="AL396" s="3"/>
      <c r="AM396" s="3"/>
      <c r="AN396" s="3"/>
      <c r="AO396" s="3"/>
    </row>
    <row r="397" spans="10:41" x14ac:dyDescent="0.25">
      <c r="J397" s="3"/>
      <c r="K397" s="3"/>
      <c r="L397" s="3"/>
      <c r="M397" s="3"/>
      <c r="AC397" s="3"/>
      <c r="AD397" s="3"/>
      <c r="AE397" s="3"/>
      <c r="AF397" s="3"/>
      <c r="AG397" s="3"/>
      <c r="AH397" s="3"/>
      <c r="AI397" s="3"/>
      <c r="AJ397" s="3"/>
      <c r="AK397" s="3"/>
      <c r="AL397" s="3"/>
      <c r="AM397" s="3"/>
      <c r="AN397" s="3"/>
      <c r="AO397" s="3"/>
    </row>
    <row r="398" spans="10:41" x14ac:dyDescent="0.25">
      <c r="J398" s="3"/>
      <c r="K398" s="3"/>
      <c r="L398" s="3"/>
      <c r="M398" s="3"/>
      <c r="AC398" s="3"/>
      <c r="AD398" s="3"/>
      <c r="AE398" s="3"/>
      <c r="AF398" s="3"/>
      <c r="AG398" s="3"/>
      <c r="AH398" s="3"/>
      <c r="AI398" s="3"/>
      <c r="AJ398" s="3"/>
      <c r="AK398" s="3"/>
      <c r="AL398" s="3"/>
      <c r="AM398" s="3"/>
      <c r="AN398" s="3"/>
      <c r="AO398" s="3"/>
    </row>
    <row r="399" spans="10:41" x14ac:dyDescent="0.25">
      <c r="J399" s="3"/>
      <c r="K399" s="3"/>
      <c r="L399" s="3"/>
      <c r="M399" s="3"/>
      <c r="AC399" s="3"/>
      <c r="AD399" s="3"/>
      <c r="AE399" s="3"/>
      <c r="AF399" s="3"/>
      <c r="AG399" s="3"/>
      <c r="AH399" s="3"/>
      <c r="AI399" s="3"/>
      <c r="AJ399" s="3"/>
      <c r="AK399" s="3"/>
      <c r="AL399" s="3"/>
      <c r="AM399" s="3"/>
      <c r="AN399" s="3"/>
      <c r="AO399" s="3"/>
    </row>
    <row r="400" spans="10:41" x14ac:dyDescent="0.25">
      <c r="J400" s="3"/>
      <c r="K400" s="3"/>
      <c r="L400" s="3"/>
      <c r="M400" s="3"/>
      <c r="AC400" s="3"/>
      <c r="AD400" s="3"/>
      <c r="AE400" s="3"/>
      <c r="AF400" s="3"/>
      <c r="AG400" s="3"/>
      <c r="AH400" s="3"/>
      <c r="AI400" s="3"/>
      <c r="AJ400" s="3"/>
      <c r="AK400" s="3"/>
      <c r="AL400" s="3"/>
      <c r="AM400" s="3"/>
      <c r="AN400" s="3"/>
      <c r="AO400" s="3"/>
    </row>
    <row r="401" spans="10:41" x14ac:dyDescent="0.25">
      <c r="J401" s="3"/>
      <c r="K401" s="3"/>
      <c r="L401" s="3"/>
      <c r="M401" s="3"/>
      <c r="AC401" s="3"/>
      <c r="AD401" s="3"/>
      <c r="AE401" s="3"/>
      <c r="AF401" s="3"/>
      <c r="AG401" s="3"/>
      <c r="AH401" s="3"/>
      <c r="AI401" s="3"/>
      <c r="AJ401" s="3"/>
      <c r="AK401" s="3"/>
      <c r="AL401" s="3"/>
      <c r="AM401" s="3"/>
      <c r="AN401" s="3"/>
      <c r="AO401" s="3"/>
    </row>
    <row r="402" spans="10:41" x14ac:dyDescent="0.25">
      <c r="J402" s="3"/>
      <c r="K402" s="3"/>
      <c r="L402" s="3"/>
      <c r="M402" s="3"/>
      <c r="AC402" s="3"/>
      <c r="AD402" s="3"/>
      <c r="AE402" s="3"/>
      <c r="AF402" s="3"/>
      <c r="AG402" s="3"/>
      <c r="AH402" s="3"/>
      <c r="AI402" s="3"/>
      <c r="AJ402" s="3"/>
      <c r="AK402" s="3"/>
      <c r="AL402" s="3"/>
      <c r="AM402" s="3"/>
      <c r="AN402" s="3"/>
      <c r="AO402" s="3"/>
    </row>
    <row r="403" spans="10:41" x14ac:dyDescent="0.25">
      <c r="J403" s="3"/>
      <c r="K403" s="3"/>
      <c r="L403" s="3"/>
      <c r="M403" s="3"/>
      <c r="AC403" s="3"/>
      <c r="AD403" s="3"/>
      <c r="AE403" s="3"/>
      <c r="AF403" s="3"/>
      <c r="AG403" s="3"/>
      <c r="AH403" s="3"/>
      <c r="AI403" s="3"/>
      <c r="AJ403" s="3"/>
      <c r="AK403" s="3"/>
      <c r="AL403" s="3"/>
      <c r="AM403" s="3"/>
      <c r="AN403" s="3"/>
      <c r="AO403" s="3"/>
    </row>
    <row r="404" spans="10:41" x14ac:dyDescent="0.25">
      <c r="J404" s="3"/>
      <c r="K404" s="3"/>
      <c r="L404" s="3"/>
      <c r="M404" s="3"/>
      <c r="AC404" s="3"/>
      <c r="AD404" s="3"/>
      <c r="AE404" s="3"/>
      <c r="AF404" s="3"/>
      <c r="AG404" s="3"/>
      <c r="AH404" s="3"/>
      <c r="AI404" s="3"/>
      <c r="AJ404" s="3"/>
      <c r="AK404" s="3"/>
      <c r="AL404" s="3"/>
      <c r="AM404" s="3"/>
      <c r="AN404" s="3"/>
      <c r="AO404" s="3"/>
    </row>
    <row r="405" spans="10:41" x14ac:dyDescent="0.25">
      <c r="J405" s="3"/>
      <c r="K405" s="3"/>
      <c r="L405" s="3"/>
      <c r="M405" s="3"/>
      <c r="AC405" s="3"/>
      <c r="AD405" s="3"/>
      <c r="AE405" s="3"/>
      <c r="AF405" s="3"/>
      <c r="AG405" s="3"/>
      <c r="AH405" s="3"/>
      <c r="AI405" s="3"/>
      <c r="AJ405" s="3"/>
      <c r="AK405" s="3"/>
      <c r="AL405" s="3"/>
      <c r="AM405" s="3"/>
      <c r="AN405" s="3"/>
      <c r="AO405" s="3"/>
    </row>
    <row r="406" spans="10:41" x14ac:dyDescent="0.25">
      <c r="J406" s="3"/>
      <c r="K406" s="3"/>
      <c r="L406" s="3"/>
      <c r="M406" s="3"/>
      <c r="AC406" s="3"/>
      <c r="AD406" s="3"/>
      <c r="AE406" s="3"/>
      <c r="AF406" s="3"/>
      <c r="AG406" s="3"/>
      <c r="AH406" s="3"/>
      <c r="AI406" s="3"/>
      <c r="AJ406" s="3"/>
      <c r="AK406" s="3"/>
      <c r="AL406" s="3"/>
      <c r="AM406" s="3"/>
      <c r="AN406" s="3"/>
      <c r="AO406" s="3"/>
    </row>
    <row r="407" spans="10:41" x14ac:dyDescent="0.25">
      <c r="J407" s="3"/>
      <c r="K407" s="3"/>
      <c r="L407" s="3"/>
      <c r="M407" s="3"/>
      <c r="AC407" s="3"/>
      <c r="AD407" s="3"/>
      <c r="AE407" s="3"/>
      <c r="AF407" s="3"/>
      <c r="AG407" s="3"/>
      <c r="AH407" s="3"/>
      <c r="AI407" s="3"/>
      <c r="AJ407" s="3"/>
      <c r="AK407" s="3"/>
      <c r="AL407" s="3"/>
      <c r="AM407" s="3"/>
      <c r="AN407" s="3"/>
      <c r="AO407" s="3"/>
    </row>
    <row r="408" spans="10:41" x14ac:dyDescent="0.25">
      <c r="J408" s="3"/>
      <c r="K408" s="3"/>
      <c r="L408" s="3"/>
      <c r="M408" s="3"/>
      <c r="AC408" s="3"/>
      <c r="AD408" s="3"/>
      <c r="AE408" s="3"/>
      <c r="AF408" s="3"/>
      <c r="AG408" s="3"/>
      <c r="AH408" s="3"/>
      <c r="AI408" s="3"/>
      <c r="AJ408" s="3"/>
      <c r="AK408" s="3"/>
      <c r="AL408" s="3"/>
      <c r="AM408" s="3"/>
      <c r="AN408" s="3"/>
      <c r="AO408" s="3"/>
    </row>
    <row r="409" spans="10:41" x14ac:dyDescent="0.25">
      <c r="J409" s="3"/>
      <c r="K409" s="3"/>
      <c r="L409" s="3"/>
      <c r="M409" s="3"/>
      <c r="AC409" s="3"/>
      <c r="AD409" s="3"/>
      <c r="AE409" s="3"/>
      <c r="AF409" s="3"/>
      <c r="AG409" s="3"/>
      <c r="AH409" s="3"/>
      <c r="AI409" s="3"/>
      <c r="AJ409" s="3"/>
      <c r="AK409" s="3"/>
      <c r="AL409" s="3"/>
      <c r="AM409" s="3"/>
      <c r="AN409" s="3"/>
      <c r="AO409" s="3"/>
    </row>
    <row r="410" spans="10:41" x14ac:dyDescent="0.25">
      <c r="J410" s="3"/>
      <c r="K410" s="3"/>
      <c r="L410" s="3"/>
      <c r="M410" s="3"/>
      <c r="AC410" s="3"/>
      <c r="AD410" s="3"/>
      <c r="AE410" s="3"/>
      <c r="AF410" s="3"/>
      <c r="AG410" s="3"/>
      <c r="AH410" s="3"/>
      <c r="AI410" s="3"/>
      <c r="AJ410" s="3"/>
      <c r="AK410" s="3"/>
      <c r="AL410" s="3"/>
      <c r="AM410" s="3"/>
      <c r="AN410" s="3"/>
      <c r="AO410" s="3"/>
    </row>
    <row r="411" spans="10:41" x14ac:dyDescent="0.25">
      <c r="J411" s="3"/>
      <c r="K411" s="3"/>
      <c r="L411" s="3"/>
      <c r="M411" s="3"/>
      <c r="AC411" s="3"/>
      <c r="AD411" s="3"/>
      <c r="AE411" s="3"/>
      <c r="AF411" s="3"/>
      <c r="AG411" s="3"/>
      <c r="AH411" s="3"/>
      <c r="AI411" s="3"/>
      <c r="AJ411" s="3"/>
      <c r="AK411" s="3"/>
      <c r="AL411" s="3"/>
      <c r="AM411" s="3"/>
      <c r="AN411" s="3"/>
      <c r="AO411" s="3"/>
    </row>
    <row r="412" spans="10:41" x14ac:dyDescent="0.25">
      <c r="J412" s="3"/>
      <c r="K412" s="3"/>
      <c r="L412" s="3"/>
      <c r="M412" s="3"/>
      <c r="AC412" s="3"/>
      <c r="AD412" s="3"/>
      <c r="AE412" s="3"/>
      <c r="AF412" s="3"/>
      <c r="AG412" s="3"/>
      <c r="AH412" s="3"/>
      <c r="AI412" s="3"/>
      <c r="AJ412" s="3"/>
      <c r="AK412" s="3"/>
      <c r="AL412" s="3"/>
      <c r="AM412" s="3"/>
      <c r="AN412" s="3"/>
      <c r="AO412" s="3"/>
    </row>
    <row r="413" spans="10:41" x14ac:dyDescent="0.25">
      <c r="J413" s="3"/>
      <c r="K413" s="3"/>
      <c r="L413" s="3"/>
      <c r="M413" s="3"/>
      <c r="AC413" s="3"/>
      <c r="AD413" s="3"/>
      <c r="AE413" s="3"/>
      <c r="AF413" s="3"/>
      <c r="AG413" s="3"/>
      <c r="AH413" s="3"/>
      <c r="AI413" s="3"/>
      <c r="AJ413" s="3"/>
      <c r="AK413" s="3"/>
      <c r="AL413" s="3"/>
      <c r="AM413" s="3"/>
      <c r="AN413" s="3"/>
      <c r="AO413" s="3"/>
    </row>
    <row r="414" spans="10:41" x14ac:dyDescent="0.25">
      <c r="J414" s="3"/>
      <c r="K414" s="3"/>
      <c r="L414" s="3"/>
      <c r="M414" s="3"/>
      <c r="AC414" s="3"/>
      <c r="AD414" s="3"/>
      <c r="AE414" s="3"/>
      <c r="AF414" s="3"/>
      <c r="AG414" s="3"/>
      <c r="AH414" s="3"/>
      <c r="AI414" s="3"/>
      <c r="AJ414" s="3"/>
      <c r="AK414" s="3"/>
      <c r="AL414" s="3"/>
      <c r="AM414" s="3"/>
      <c r="AN414" s="3"/>
      <c r="AO414" s="3"/>
    </row>
    <row r="415" spans="10:41" x14ac:dyDescent="0.25">
      <c r="J415" s="3"/>
      <c r="K415" s="3"/>
      <c r="L415" s="3"/>
      <c r="M415" s="3"/>
      <c r="AC415" s="3"/>
      <c r="AD415" s="3"/>
      <c r="AE415" s="3"/>
      <c r="AF415" s="3"/>
      <c r="AG415" s="3"/>
      <c r="AH415" s="3"/>
      <c r="AI415" s="3"/>
      <c r="AJ415" s="3"/>
      <c r="AK415" s="3"/>
      <c r="AL415" s="3"/>
      <c r="AM415" s="3"/>
      <c r="AN415" s="3"/>
      <c r="AO415" s="3"/>
    </row>
    <row r="416" spans="10:41" x14ac:dyDescent="0.25">
      <c r="J416" s="3"/>
      <c r="K416" s="3"/>
      <c r="L416" s="3"/>
      <c r="M416" s="3"/>
      <c r="AC416" s="3"/>
      <c r="AD416" s="3"/>
      <c r="AE416" s="3"/>
      <c r="AF416" s="3"/>
      <c r="AG416" s="3"/>
      <c r="AH416" s="3"/>
      <c r="AI416" s="3"/>
      <c r="AJ416" s="3"/>
      <c r="AK416" s="3"/>
      <c r="AL416" s="3"/>
      <c r="AM416" s="3"/>
      <c r="AN416" s="3"/>
      <c r="AO416" s="3"/>
    </row>
    <row r="417" spans="10:41" x14ac:dyDescent="0.25">
      <c r="J417" s="3"/>
      <c r="K417" s="3"/>
      <c r="L417" s="3"/>
      <c r="M417" s="3"/>
      <c r="AC417" s="3"/>
      <c r="AD417" s="3"/>
      <c r="AE417" s="3"/>
      <c r="AF417" s="3"/>
      <c r="AG417" s="3"/>
      <c r="AH417" s="3"/>
      <c r="AI417" s="3"/>
      <c r="AJ417" s="3"/>
      <c r="AK417" s="3"/>
      <c r="AL417" s="3"/>
      <c r="AM417" s="3"/>
      <c r="AN417" s="3"/>
      <c r="AO417" s="3"/>
    </row>
    <row r="418" spans="10:41" x14ac:dyDescent="0.25">
      <c r="J418" s="3"/>
      <c r="K418" s="3"/>
      <c r="L418" s="3"/>
      <c r="M418" s="3"/>
      <c r="AC418" s="3"/>
      <c r="AD418" s="3"/>
      <c r="AE418" s="3"/>
      <c r="AF418" s="3"/>
      <c r="AG418" s="3"/>
      <c r="AH418" s="3"/>
      <c r="AI418" s="3"/>
      <c r="AJ418" s="3"/>
      <c r="AK418" s="3"/>
      <c r="AL418" s="3"/>
      <c r="AM418" s="3"/>
      <c r="AN418" s="3"/>
      <c r="AO418" s="3"/>
    </row>
    <row r="419" spans="10:41" x14ac:dyDescent="0.25">
      <c r="J419" s="3"/>
      <c r="K419" s="3"/>
      <c r="L419" s="3"/>
      <c r="M419" s="3"/>
      <c r="AC419" s="3"/>
      <c r="AD419" s="3"/>
      <c r="AE419" s="3"/>
      <c r="AF419" s="3"/>
      <c r="AG419" s="3"/>
      <c r="AH419" s="3"/>
      <c r="AI419" s="3"/>
      <c r="AJ419" s="3"/>
      <c r="AK419" s="3"/>
      <c r="AL419" s="3"/>
      <c r="AM419" s="3"/>
      <c r="AN419" s="3"/>
      <c r="AO419" s="3"/>
    </row>
    <row r="420" spans="10:41" x14ac:dyDescent="0.25">
      <c r="J420" s="3"/>
      <c r="K420" s="3"/>
      <c r="L420" s="3"/>
      <c r="M420" s="3"/>
      <c r="AC420" s="3"/>
      <c r="AD420" s="3"/>
      <c r="AE420" s="3"/>
      <c r="AF420" s="3"/>
      <c r="AG420" s="3"/>
      <c r="AH420" s="3"/>
      <c r="AI420" s="3"/>
      <c r="AJ420" s="3"/>
      <c r="AK420" s="3"/>
      <c r="AL420" s="3"/>
      <c r="AM420" s="3"/>
      <c r="AN420" s="3"/>
      <c r="AO420" s="3"/>
    </row>
    <row r="421" spans="10:41" x14ac:dyDescent="0.25">
      <c r="J421" s="3"/>
      <c r="K421" s="3"/>
      <c r="L421" s="3"/>
      <c r="M421" s="3"/>
      <c r="AC421" s="3"/>
      <c r="AD421" s="3"/>
      <c r="AE421" s="3"/>
      <c r="AF421" s="3"/>
      <c r="AG421" s="3"/>
      <c r="AH421" s="3"/>
      <c r="AI421" s="3"/>
      <c r="AJ421" s="3"/>
      <c r="AK421" s="3"/>
      <c r="AL421" s="3"/>
      <c r="AM421" s="3"/>
      <c r="AN421" s="3"/>
      <c r="AO421" s="3"/>
    </row>
    <row r="422" spans="10:41" x14ac:dyDescent="0.25">
      <c r="J422" s="3"/>
      <c r="K422" s="3"/>
      <c r="L422" s="3"/>
      <c r="M422" s="3"/>
      <c r="AC422" s="3"/>
      <c r="AD422" s="3"/>
      <c r="AE422" s="3"/>
      <c r="AF422" s="3"/>
      <c r="AG422" s="3"/>
      <c r="AH422" s="3"/>
      <c r="AI422" s="3"/>
      <c r="AJ422" s="3"/>
      <c r="AK422" s="3"/>
      <c r="AL422" s="3"/>
      <c r="AM422" s="3"/>
      <c r="AN422" s="3"/>
      <c r="AO422" s="3"/>
    </row>
    <row r="423" spans="10:41" x14ac:dyDescent="0.25">
      <c r="J423" s="3"/>
      <c r="K423" s="3"/>
      <c r="L423" s="3"/>
      <c r="M423" s="3"/>
      <c r="AC423" s="3"/>
      <c r="AD423" s="3"/>
      <c r="AE423" s="3"/>
      <c r="AF423" s="3"/>
      <c r="AG423" s="3"/>
      <c r="AH423" s="3"/>
      <c r="AI423" s="3"/>
      <c r="AJ423" s="3"/>
      <c r="AK423" s="3"/>
      <c r="AL423" s="3"/>
      <c r="AM423" s="3"/>
      <c r="AN423" s="3"/>
      <c r="AO423" s="3"/>
    </row>
    <row r="424" spans="10:41" x14ac:dyDescent="0.25">
      <c r="J424" s="3"/>
      <c r="K424" s="3"/>
      <c r="L424" s="3"/>
      <c r="M424" s="3"/>
      <c r="AC424" s="3"/>
      <c r="AD424" s="3"/>
      <c r="AE424" s="3"/>
      <c r="AF424" s="3"/>
      <c r="AG424" s="3"/>
      <c r="AH424" s="3"/>
      <c r="AI424" s="3"/>
      <c r="AJ424" s="3"/>
      <c r="AK424" s="3"/>
      <c r="AL424" s="3"/>
      <c r="AM424" s="3"/>
      <c r="AN424" s="3"/>
      <c r="AO424" s="3"/>
    </row>
    <row r="425" spans="10:41" x14ac:dyDescent="0.25">
      <c r="J425" s="3"/>
      <c r="K425" s="3"/>
      <c r="L425" s="3"/>
      <c r="M425" s="3"/>
      <c r="AC425" s="3"/>
      <c r="AD425" s="3"/>
      <c r="AE425" s="3"/>
      <c r="AF425" s="3"/>
      <c r="AG425" s="3"/>
      <c r="AH425" s="3"/>
      <c r="AI425" s="3"/>
      <c r="AJ425" s="3"/>
      <c r="AK425" s="3"/>
      <c r="AL425" s="3"/>
      <c r="AM425" s="3"/>
      <c r="AN425" s="3"/>
      <c r="AO425" s="3"/>
    </row>
    <row r="426" spans="10:41" x14ac:dyDescent="0.25">
      <c r="J426" s="3"/>
      <c r="K426" s="3"/>
      <c r="L426" s="3"/>
      <c r="M426" s="3"/>
      <c r="AC426" s="3"/>
      <c r="AD426" s="3"/>
      <c r="AE426" s="3"/>
      <c r="AF426" s="3"/>
      <c r="AG426" s="3"/>
      <c r="AH426" s="3"/>
      <c r="AI426" s="3"/>
      <c r="AJ426" s="3"/>
      <c r="AK426" s="3"/>
      <c r="AL426" s="3"/>
      <c r="AM426" s="3"/>
      <c r="AN426" s="3"/>
      <c r="AO426" s="3"/>
    </row>
    <row r="427" spans="10:41" x14ac:dyDescent="0.25">
      <c r="J427" s="3"/>
      <c r="K427" s="3"/>
      <c r="L427" s="3"/>
      <c r="M427" s="3"/>
      <c r="AC427" s="3"/>
      <c r="AD427" s="3"/>
      <c r="AE427" s="3"/>
      <c r="AF427" s="3"/>
      <c r="AG427" s="3"/>
      <c r="AH427" s="3"/>
      <c r="AI427" s="3"/>
      <c r="AJ427" s="3"/>
      <c r="AK427" s="3"/>
      <c r="AL427" s="3"/>
      <c r="AM427" s="3"/>
      <c r="AN427" s="3"/>
      <c r="AO427" s="3"/>
    </row>
    <row r="428" spans="10:41" x14ac:dyDescent="0.25">
      <c r="J428" s="3"/>
      <c r="K428" s="3"/>
      <c r="L428" s="3"/>
      <c r="M428" s="3"/>
      <c r="AC428" s="3"/>
      <c r="AD428" s="3"/>
      <c r="AE428" s="3"/>
      <c r="AF428" s="3"/>
      <c r="AG428" s="3"/>
      <c r="AH428" s="3"/>
      <c r="AI428" s="3"/>
      <c r="AJ428" s="3"/>
      <c r="AK428" s="3"/>
      <c r="AL428" s="3"/>
      <c r="AM428" s="3"/>
      <c r="AN428" s="3"/>
      <c r="AO428" s="3"/>
    </row>
    <row r="429" spans="10:41" x14ac:dyDescent="0.25">
      <c r="J429" s="3"/>
      <c r="K429" s="3"/>
      <c r="L429" s="3"/>
      <c r="M429" s="3"/>
      <c r="AC429" s="3"/>
      <c r="AD429" s="3"/>
      <c r="AE429" s="3"/>
      <c r="AF429" s="3"/>
      <c r="AG429" s="3"/>
      <c r="AH429" s="3"/>
      <c r="AI429" s="3"/>
      <c r="AJ429" s="3"/>
      <c r="AK429" s="3"/>
      <c r="AL429" s="3"/>
      <c r="AM429" s="3"/>
      <c r="AN429" s="3"/>
      <c r="AO429" s="3"/>
    </row>
    <row r="430" spans="10:41" x14ac:dyDescent="0.25">
      <c r="J430" s="3"/>
      <c r="K430" s="3"/>
      <c r="L430" s="3"/>
      <c r="M430" s="3"/>
      <c r="AC430" s="3"/>
      <c r="AD430" s="3"/>
      <c r="AE430" s="3"/>
      <c r="AF430" s="3"/>
      <c r="AG430" s="3"/>
      <c r="AH430" s="3"/>
      <c r="AI430" s="3"/>
      <c r="AJ430" s="3"/>
      <c r="AK430" s="3"/>
      <c r="AL430" s="3"/>
      <c r="AM430" s="3"/>
      <c r="AN430" s="3"/>
      <c r="AO430" s="3"/>
    </row>
    <row r="431" spans="10:41" x14ac:dyDescent="0.25">
      <c r="J431" s="3"/>
      <c r="K431" s="3"/>
      <c r="L431" s="3"/>
      <c r="M431" s="3"/>
      <c r="AC431" s="3"/>
      <c r="AD431" s="3"/>
      <c r="AE431" s="3"/>
      <c r="AF431" s="3"/>
      <c r="AG431" s="3"/>
      <c r="AH431" s="3"/>
      <c r="AI431" s="3"/>
      <c r="AJ431" s="3"/>
      <c r="AK431" s="3"/>
      <c r="AL431" s="3"/>
      <c r="AM431" s="3"/>
      <c r="AN431" s="3"/>
      <c r="AO431" s="3"/>
    </row>
    <row r="432" spans="10:41" x14ac:dyDescent="0.25">
      <c r="J432" s="3"/>
      <c r="K432" s="3"/>
      <c r="L432" s="3"/>
      <c r="M432" s="3"/>
      <c r="AC432" s="3"/>
      <c r="AD432" s="3"/>
      <c r="AE432" s="3"/>
      <c r="AF432" s="3"/>
      <c r="AG432" s="3"/>
      <c r="AH432" s="3"/>
      <c r="AI432" s="3"/>
      <c r="AJ432" s="3"/>
      <c r="AK432" s="3"/>
      <c r="AL432" s="3"/>
      <c r="AM432" s="3"/>
      <c r="AN432" s="3"/>
      <c r="AO432" s="3"/>
    </row>
    <row r="433" spans="10:41" x14ac:dyDescent="0.25">
      <c r="J433" s="3"/>
      <c r="K433" s="3"/>
      <c r="L433" s="3"/>
      <c r="M433" s="3"/>
      <c r="AC433" s="3"/>
      <c r="AD433" s="3"/>
      <c r="AE433" s="3"/>
      <c r="AF433" s="3"/>
      <c r="AG433" s="3"/>
      <c r="AH433" s="3"/>
      <c r="AI433" s="3"/>
      <c r="AJ433" s="3"/>
      <c r="AK433" s="3"/>
      <c r="AL433" s="3"/>
      <c r="AM433" s="3"/>
      <c r="AN433" s="3"/>
      <c r="AO433" s="3"/>
    </row>
    <row r="434" spans="10:41" x14ac:dyDescent="0.25">
      <c r="J434" s="3"/>
      <c r="K434" s="3"/>
      <c r="L434" s="3"/>
      <c r="M434" s="3"/>
      <c r="AC434" s="3"/>
      <c r="AD434" s="3"/>
      <c r="AE434" s="3"/>
      <c r="AF434" s="3"/>
      <c r="AG434" s="3"/>
      <c r="AH434" s="3"/>
      <c r="AI434" s="3"/>
      <c r="AJ434" s="3"/>
      <c r="AK434" s="3"/>
      <c r="AL434" s="3"/>
      <c r="AM434" s="3"/>
      <c r="AN434" s="3"/>
      <c r="AO434" s="3"/>
    </row>
    <row r="435" spans="10:41" x14ac:dyDescent="0.25">
      <c r="J435" s="3"/>
      <c r="K435" s="3"/>
      <c r="L435" s="3"/>
      <c r="M435" s="3"/>
      <c r="AC435" s="3"/>
      <c r="AD435" s="3"/>
      <c r="AE435" s="3"/>
      <c r="AF435" s="3"/>
      <c r="AG435" s="3"/>
      <c r="AH435" s="3"/>
      <c r="AI435" s="3"/>
      <c r="AJ435" s="3"/>
      <c r="AK435" s="3"/>
      <c r="AL435" s="3"/>
      <c r="AM435" s="3"/>
      <c r="AN435" s="3"/>
      <c r="AO435" s="3"/>
    </row>
    <row r="436" spans="10:41" x14ac:dyDescent="0.25">
      <c r="J436" s="3"/>
      <c r="K436" s="3"/>
      <c r="L436" s="3"/>
      <c r="M436" s="3"/>
      <c r="AC436" s="3"/>
      <c r="AD436" s="3"/>
      <c r="AE436" s="3"/>
      <c r="AF436" s="3"/>
      <c r="AG436" s="3"/>
      <c r="AH436" s="3"/>
      <c r="AI436" s="3"/>
      <c r="AJ436" s="3"/>
      <c r="AK436" s="3"/>
      <c r="AL436" s="3"/>
      <c r="AM436" s="3"/>
      <c r="AN436" s="3"/>
      <c r="AO436" s="3"/>
    </row>
    <row r="437" spans="10:41" x14ac:dyDescent="0.25">
      <c r="J437" s="3"/>
      <c r="K437" s="3"/>
      <c r="L437" s="3"/>
      <c r="M437" s="3"/>
      <c r="AC437" s="3"/>
      <c r="AD437" s="3"/>
      <c r="AE437" s="3"/>
      <c r="AF437" s="3"/>
      <c r="AG437" s="3"/>
      <c r="AH437" s="3"/>
      <c r="AI437" s="3"/>
      <c r="AJ437" s="3"/>
      <c r="AK437" s="3"/>
      <c r="AL437" s="3"/>
      <c r="AM437" s="3"/>
      <c r="AN437" s="3"/>
      <c r="AO437" s="3"/>
    </row>
    <row r="438" spans="10:41" x14ac:dyDescent="0.25">
      <c r="J438" s="3"/>
      <c r="K438" s="3"/>
      <c r="L438" s="3"/>
      <c r="M438" s="3"/>
      <c r="AC438" s="3"/>
      <c r="AD438" s="3"/>
      <c r="AE438" s="3"/>
      <c r="AF438" s="3"/>
      <c r="AG438" s="3"/>
      <c r="AH438" s="3"/>
      <c r="AI438" s="3"/>
      <c r="AJ438" s="3"/>
      <c r="AK438" s="3"/>
      <c r="AL438" s="3"/>
      <c r="AM438" s="3"/>
      <c r="AN438" s="3"/>
      <c r="AO438" s="3"/>
    </row>
    <row r="439" spans="10:41" x14ac:dyDescent="0.25">
      <c r="J439" s="3"/>
      <c r="K439" s="3"/>
      <c r="L439" s="3"/>
      <c r="M439" s="3"/>
      <c r="AC439" s="3"/>
      <c r="AD439" s="3"/>
      <c r="AE439" s="3"/>
      <c r="AF439" s="3"/>
      <c r="AG439" s="3"/>
      <c r="AH439" s="3"/>
      <c r="AI439" s="3"/>
      <c r="AJ439" s="3"/>
      <c r="AK439" s="3"/>
      <c r="AL439" s="3"/>
      <c r="AM439" s="3"/>
      <c r="AN439" s="3"/>
      <c r="AO439" s="3"/>
    </row>
    <row r="440" spans="10:41" x14ac:dyDescent="0.25">
      <c r="J440" s="3"/>
      <c r="K440" s="3"/>
      <c r="L440" s="3"/>
      <c r="M440" s="3"/>
      <c r="AC440" s="3"/>
      <c r="AD440" s="3"/>
      <c r="AE440" s="3"/>
      <c r="AF440" s="3"/>
      <c r="AG440" s="3"/>
      <c r="AH440" s="3"/>
      <c r="AI440" s="3"/>
      <c r="AJ440" s="3"/>
      <c r="AK440" s="3"/>
      <c r="AL440" s="3"/>
      <c r="AM440" s="3"/>
      <c r="AN440" s="3"/>
      <c r="AO440" s="3"/>
    </row>
    <row r="441" spans="10:41" x14ac:dyDescent="0.25">
      <c r="J441" s="3"/>
      <c r="K441" s="3"/>
      <c r="L441" s="3"/>
      <c r="M441" s="3"/>
      <c r="AC441" s="3"/>
      <c r="AD441" s="3"/>
      <c r="AE441" s="3"/>
      <c r="AF441" s="3"/>
      <c r="AG441" s="3"/>
      <c r="AH441" s="3"/>
      <c r="AI441" s="3"/>
      <c r="AJ441" s="3"/>
      <c r="AK441" s="3"/>
      <c r="AL441" s="3"/>
      <c r="AM441" s="3"/>
      <c r="AN441" s="3"/>
      <c r="AO441" s="3"/>
    </row>
    <row r="442" spans="10:41" x14ac:dyDescent="0.25">
      <c r="J442" s="3"/>
      <c r="K442" s="3"/>
      <c r="L442" s="3"/>
      <c r="M442" s="3"/>
      <c r="AC442" s="3"/>
      <c r="AD442" s="3"/>
      <c r="AE442" s="3"/>
      <c r="AF442" s="3"/>
      <c r="AG442" s="3"/>
      <c r="AH442" s="3"/>
      <c r="AI442" s="3"/>
      <c r="AJ442" s="3"/>
      <c r="AK442" s="3"/>
      <c r="AL442" s="3"/>
      <c r="AM442" s="3"/>
      <c r="AN442" s="3"/>
      <c r="AO442" s="3"/>
    </row>
    <row r="443" spans="10:41" x14ac:dyDescent="0.25">
      <c r="J443" s="3"/>
      <c r="K443" s="3"/>
      <c r="L443" s="3"/>
      <c r="M443" s="3"/>
      <c r="AC443" s="3"/>
      <c r="AD443" s="3"/>
      <c r="AE443" s="3"/>
      <c r="AF443" s="3"/>
      <c r="AG443" s="3"/>
      <c r="AH443" s="3"/>
      <c r="AI443" s="3"/>
      <c r="AJ443" s="3"/>
      <c r="AK443" s="3"/>
      <c r="AL443" s="3"/>
      <c r="AM443" s="3"/>
      <c r="AN443" s="3"/>
      <c r="AO443" s="3"/>
    </row>
    <row r="444" spans="10:41" x14ac:dyDescent="0.25">
      <c r="J444" s="3"/>
      <c r="K444" s="3"/>
      <c r="L444" s="3"/>
      <c r="M444" s="3"/>
      <c r="AC444" s="3"/>
      <c r="AD444" s="3"/>
      <c r="AE444" s="3"/>
      <c r="AF444" s="3"/>
      <c r="AG444" s="3"/>
      <c r="AH444" s="3"/>
      <c r="AI444" s="3"/>
      <c r="AJ444" s="3"/>
      <c r="AK444" s="3"/>
      <c r="AL444" s="3"/>
      <c r="AM444" s="3"/>
      <c r="AN444" s="3"/>
      <c r="AO444" s="3"/>
    </row>
    <row r="445" spans="10:41" x14ac:dyDescent="0.25">
      <c r="J445" s="3"/>
      <c r="K445" s="3"/>
      <c r="L445" s="3"/>
      <c r="M445" s="3"/>
      <c r="AC445" s="3"/>
      <c r="AD445" s="3"/>
      <c r="AE445" s="3"/>
      <c r="AF445" s="3"/>
      <c r="AG445" s="3"/>
      <c r="AH445" s="3"/>
      <c r="AI445" s="3"/>
      <c r="AJ445" s="3"/>
      <c r="AK445" s="3"/>
      <c r="AL445" s="3"/>
      <c r="AM445" s="3"/>
      <c r="AN445" s="3"/>
      <c r="AO445" s="3"/>
    </row>
    <row r="446" spans="10:41" x14ac:dyDescent="0.25">
      <c r="J446" s="3"/>
      <c r="K446" s="3"/>
      <c r="L446" s="3"/>
      <c r="M446" s="3"/>
      <c r="AC446" s="3"/>
      <c r="AD446" s="3"/>
      <c r="AE446" s="3"/>
      <c r="AF446" s="3"/>
      <c r="AG446" s="3"/>
      <c r="AH446" s="3"/>
      <c r="AI446" s="3"/>
      <c r="AJ446" s="3"/>
      <c r="AK446" s="3"/>
      <c r="AL446" s="3"/>
      <c r="AM446" s="3"/>
      <c r="AN446" s="3"/>
      <c r="AO446" s="3"/>
    </row>
    <row r="447" spans="10:41" x14ac:dyDescent="0.25">
      <c r="J447" s="3"/>
      <c r="K447" s="3"/>
      <c r="L447" s="3"/>
      <c r="M447" s="3"/>
      <c r="AC447" s="3"/>
      <c r="AD447" s="3"/>
      <c r="AE447" s="3"/>
      <c r="AF447" s="3"/>
      <c r="AG447" s="3"/>
      <c r="AH447" s="3"/>
      <c r="AI447" s="3"/>
      <c r="AJ447" s="3"/>
      <c r="AK447" s="3"/>
      <c r="AL447" s="3"/>
      <c r="AM447" s="3"/>
      <c r="AN447" s="3"/>
      <c r="AO447" s="3"/>
    </row>
    <row r="448" spans="10:41" x14ac:dyDescent="0.25">
      <c r="J448" s="3"/>
      <c r="K448" s="3"/>
      <c r="L448" s="3"/>
      <c r="M448" s="3"/>
      <c r="AC448" s="3"/>
      <c r="AD448" s="3"/>
      <c r="AE448" s="3"/>
      <c r="AF448" s="3"/>
      <c r="AG448" s="3"/>
      <c r="AH448" s="3"/>
      <c r="AI448" s="3"/>
      <c r="AJ448" s="3"/>
      <c r="AK448" s="3"/>
      <c r="AL448" s="3"/>
      <c r="AM448" s="3"/>
      <c r="AN448" s="3"/>
      <c r="AO448" s="3"/>
    </row>
    <row r="449" spans="10:41" x14ac:dyDescent="0.25">
      <c r="J449" s="3"/>
      <c r="K449" s="3"/>
      <c r="L449" s="3"/>
      <c r="M449" s="3"/>
      <c r="AC449" s="3"/>
      <c r="AD449" s="3"/>
      <c r="AE449" s="3"/>
      <c r="AF449" s="3"/>
      <c r="AG449" s="3"/>
      <c r="AH449" s="3"/>
      <c r="AI449" s="3"/>
      <c r="AJ449" s="3"/>
      <c r="AK449" s="3"/>
      <c r="AL449" s="3"/>
      <c r="AM449" s="3"/>
      <c r="AN449" s="3"/>
      <c r="AO449" s="3"/>
    </row>
    <row r="450" spans="10:41" x14ac:dyDescent="0.25">
      <c r="J450" s="3"/>
      <c r="K450" s="3"/>
      <c r="L450" s="3"/>
      <c r="M450" s="3"/>
      <c r="AC450" s="3"/>
      <c r="AD450" s="3"/>
      <c r="AE450" s="3"/>
      <c r="AF450" s="3"/>
      <c r="AG450" s="3"/>
      <c r="AH450" s="3"/>
      <c r="AI450" s="3"/>
      <c r="AJ450" s="3"/>
      <c r="AK450" s="3"/>
      <c r="AL450" s="3"/>
      <c r="AM450" s="3"/>
      <c r="AN450" s="3"/>
      <c r="AO450" s="3"/>
    </row>
    <row r="451" spans="10:41" x14ac:dyDescent="0.25">
      <c r="J451" s="3"/>
      <c r="K451" s="3"/>
      <c r="L451" s="3"/>
      <c r="M451" s="3"/>
      <c r="AC451" s="3"/>
      <c r="AD451" s="3"/>
      <c r="AE451" s="3"/>
      <c r="AF451" s="3"/>
      <c r="AG451" s="3"/>
      <c r="AH451" s="3"/>
      <c r="AI451" s="3"/>
      <c r="AJ451" s="3"/>
      <c r="AK451" s="3"/>
      <c r="AL451" s="3"/>
      <c r="AM451" s="3"/>
      <c r="AN451" s="3"/>
      <c r="AO451" s="3"/>
    </row>
    <row r="452" spans="10:41" x14ac:dyDescent="0.25">
      <c r="J452" s="3"/>
      <c r="K452" s="3"/>
      <c r="L452" s="3"/>
      <c r="M452" s="3"/>
      <c r="AC452" s="3"/>
      <c r="AD452" s="3"/>
      <c r="AE452" s="3"/>
      <c r="AF452" s="3"/>
      <c r="AG452" s="3"/>
      <c r="AH452" s="3"/>
      <c r="AI452" s="3"/>
      <c r="AJ452" s="3"/>
      <c r="AK452" s="3"/>
      <c r="AL452" s="3"/>
      <c r="AM452" s="3"/>
      <c r="AN452" s="3"/>
      <c r="AO452" s="3"/>
    </row>
    <row r="453" spans="10:41" x14ac:dyDescent="0.25">
      <c r="J453" s="3"/>
      <c r="K453" s="3"/>
      <c r="L453" s="3"/>
      <c r="M453" s="3"/>
      <c r="AC453" s="3"/>
      <c r="AD453" s="3"/>
      <c r="AE453" s="3"/>
      <c r="AF453" s="3"/>
      <c r="AG453" s="3"/>
      <c r="AH453" s="3"/>
      <c r="AI453" s="3"/>
      <c r="AJ453" s="3"/>
      <c r="AK453" s="3"/>
      <c r="AL453" s="3"/>
      <c r="AM453" s="3"/>
      <c r="AN453" s="3"/>
      <c r="AO453" s="3"/>
    </row>
    <row r="454" spans="10:41" x14ac:dyDescent="0.25">
      <c r="J454" s="3"/>
      <c r="K454" s="3"/>
      <c r="L454" s="3"/>
      <c r="M454" s="3"/>
      <c r="AC454" s="3"/>
      <c r="AD454" s="3"/>
      <c r="AE454" s="3"/>
      <c r="AF454" s="3"/>
      <c r="AG454" s="3"/>
      <c r="AH454" s="3"/>
      <c r="AI454" s="3"/>
      <c r="AJ454" s="3"/>
      <c r="AK454" s="3"/>
      <c r="AL454" s="3"/>
      <c r="AM454" s="3"/>
      <c r="AN454" s="3"/>
      <c r="AO454" s="3"/>
    </row>
    <row r="455" spans="10:41" x14ac:dyDescent="0.25">
      <c r="J455" s="3"/>
      <c r="K455" s="3"/>
      <c r="L455" s="3"/>
      <c r="M455" s="3"/>
      <c r="AC455" s="3"/>
      <c r="AD455" s="3"/>
      <c r="AE455" s="3"/>
      <c r="AF455" s="3"/>
      <c r="AG455" s="3"/>
      <c r="AH455" s="3"/>
      <c r="AI455" s="3"/>
      <c r="AJ455" s="3"/>
      <c r="AK455" s="3"/>
      <c r="AL455" s="3"/>
      <c r="AM455" s="3"/>
      <c r="AN455" s="3"/>
      <c r="AO455" s="3"/>
    </row>
    <row r="456" spans="10:41" x14ac:dyDescent="0.25">
      <c r="J456" s="3"/>
      <c r="K456" s="3"/>
      <c r="L456" s="3"/>
      <c r="M456" s="3"/>
      <c r="AC456" s="3"/>
      <c r="AD456" s="3"/>
      <c r="AE456" s="3"/>
      <c r="AF456" s="3"/>
      <c r="AG456" s="3"/>
      <c r="AH456" s="3"/>
      <c r="AI456" s="3"/>
      <c r="AJ456" s="3"/>
      <c r="AK456" s="3"/>
      <c r="AL456" s="3"/>
      <c r="AM456" s="3"/>
      <c r="AN456" s="3"/>
      <c r="AO456" s="3"/>
    </row>
    <row r="457" spans="10:41" x14ac:dyDescent="0.25">
      <c r="J457" s="3"/>
      <c r="K457" s="3"/>
      <c r="L457" s="3"/>
      <c r="M457" s="3"/>
      <c r="AC457" s="3"/>
      <c r="AD457" s="3"/>
      <c r="AE457" s="3"/>
      <c r="AF457" s="3"/>
      <c r="AG457" s="3"/>
      <c r="AH457" s="3"/>
      <c r="AI457" s="3"/>
      <c r="AJ457" s="3"/>
      <c r="AK457" s="3"/>
      <c r="AL457" s="3"/>
      <c r="AM457" s="3"/>
      <c r="AN457" s="3"/>
      <c r="AO457" s="3"/>
    </row>
    <row r="458" spans="10:41" x14ac:dyDescent="0.25">
      <c r="J458" s="3"/>
      <c r="K458" s="3"/>
      <c r="L458" s="3"/>
      <c r="M458" s="3"/>
      <c r="AC458" s="3"/>
      <c r="AD458" s="3"/>
      <c r="AE458" s="3"/>
      <c r="AF458" s="3"/>
      <c r="AG458" s="3"/>
      <c r="AH458" s="3"/>
      <c r="AI458" s="3"/>
      <c r="AJ458" s="3"/>
      <c r="AK458" s="3"/>
      <c r="AL458" s="3"/>
      <c r="AM458" s="3"/>
      <c r="AN458" s="3"/>
      <c r="AO458" s="3"/>
    </row>
    <row r="459" spans="10:41" x14ac:dyDescent="0.25">
      <c r="J459" s="3"/>
      <c r="K459" s="3"/>
      <c r="L459" s="3"/>
      <c r="M459" s="3"/>
      <c r="AC459" s="3"/>
      <c r="AD459" s="3"/>
      <c r="AE459" s="3"/>
      <c r="AF459" s="3"/>
      <c r="AG459" s="3"/>
      <c r="AH459" s="3"/>
      <c r="AI459" s="3"/>
      <c r="AJ459" s="3"/>
      <c r="AK459" s="3"/>
      <c r="AL459" s="3"/>
      <c r="AM459" s="3"/>
      <c r="AN459" s="3"/>
      <c r="AO459" s="3"/>
    </row>
    <row r="460" spans="10:41" x14ac:dyDescent="0.25">
      <c r="J460" s="3"/>
      <c r="K460" s="3"/>
      <c r="L460" s="3"/>
      <c r="M460" s="3"/>
      <c r="AC460" s="3"/>
      <c r="AD460" s="3"/>
      <c r="AE460" s="3"/>
      <c r="AF460" s="3"/>
      <c r="AG460" s="3"/>
      <c r="AH460" s="3"/>
      <c r="AI460" s="3"/>
      <c r="AJ460" s="3"/>
      <c r="AK460" s="3"/>
      <c r="AL460" s="3"/>
      <c r="AM460" s="3"/>
      <c r="AN460" s="3"/>
      <c r="AO460" s="3"/>
    </row>
    <row r="461" spans="10:41" x14ac:dyDescent="0.25">
      <c r="J461" s="3"/>
      <c r="K461" s="3"/>
      <c r="L461" s="3"/>
      <c r="M461" s="3"/>
      <c r="AC461" s="3"/>
      <c r="AD461" s="3"/>
      <c r="AE461" s="3"/>
      <c r="AF461" s="3"/>
      <c r="AG461" s="3"/>
      <c r="AH461" s="3"/>
      <c r="AI461" s="3"/>
      <c r="AJ461" s="3"/>
      <c r="AK461" s="3"/>
      <c r="AL461" s="3"/>
      <c r="AM461" s="3"/>
      <c r="AN461" s="3"/>
      <c r="AO461" s="3"/>
    </row>
    <row r="462" spans="10:41" x14ac:dyDescent="0.25">
      <c r="J462" s="3"/>
      <c r="K462" s="3"/>
      <c r="L462" s="3"/>
      <c r="M462" s="3"/>
      <c r="AC462" s="3"/>
      <c r="AD462" s="3"/>
      <c r="AE462" s="3"/>
      <c r="AF462" s="3"/>
      <c r="AG462" s="3"/>
      <c r="AH462" s="3"/>
      <c r="AI462" s="3"/>
      <c r="AJ462" s="3"/>
      <c r="AK462" s="3"/>
      <c r="AL462" s="3"/>
      <c r="AM462" s="3"/>
      <c r="AN462" s="3"/>
      <c r="AO462" s="3"/>
    </row>
    <row r="463" spans="10:41" x14ac:dyDescent="0.25">
      <c r="J463" s="3"/>
      <c r="K463" s="3"/>
      <c r="L463" s="3"/>
      <c r="M463" s="3"/>
      <c r="AC463" s="3"/>
      <c r="AD463" s="3"/>
      <c r="AE463" s="3"/>
      <c r="AF463" s="3"/>
      <c r="AG463" s="3"/>
      <c r="AH463" s="3"/>
      <c r="AI463" s="3"/>
      <c r="AJ463" s="3"/>
      <c r="AK463" s="3"/>
      <c r="AL463" s="3"/>
      <c r="AM463" s="3"/>
      <c r="AN463" s="3"/>
      <c r="AO463" s="3"/>
    </row>
    <row r="464" spans="10:41" x14ac:dyDescent="0.25">
      <c r="J464" s="3"/>
      <c r="K464" s="3"/>
      <c r="L464" s="3"/>
      <c r="M464" s="3"/>
      <c r="AC464" s="3"/>
      <c r="AD464" s="3"/>
      <c r="AE464" s="3"/>
      <c r="AF464" s="3"/>
      <c r="AG464" s="3"/>
      <c r="AH464" s="3"/>
      <c r="AI464" s="3"/>
      <c r="AJ464" s="3"/>
      <c r="AK464" s="3"/>
      <c r="AL464" s="3"/>
      <c r="AM464" s="3"/>
      <c r="AN464" s="3"/>
      <c r="AO464" s="3"/>
    </row>
    <row r="465" spans="10:41" x14ac:dyDescent="0.25">
      <c r="J465" s="3"/>
      <c r="K465" s="3"/>
      <c r="L465" s="3"/>
      <c r="M465" s="3"/>
      <c r="AC465" s="3"/>
      <c r="AD465" s="3"/>
      <c r="AE465" s="3"/>
      <c r="AF465" s="3"/>
      <c r="AG465" s="3"/>
      <c r="AH465" s="3"/>
      <c r="AI465" s="3"/>
      <c r="AJ465" s="3"/>
      <c r="AK465" s="3"/>
      <c r="AL465" s="3"/>
      <c r="AM465" s="3"/>
      <c r="AN465" s="3"/>
      <c r="AO465" s="3"/>
    </row>
    <row r="466" spans="10:41" x14ac:dyDescent="0.25">
      <c r="J466" s="3"/>
      <c r="K466" s="3"/>
      <c r="L466" s="3"/>
      <c r="M466" s="3"/>
      <c r="AC466" s="3"/>
      <c r="AD466" s="3"/>
      <c r="AE466" s="3"/>
      <c r="AF466" s="3"/>
      <c r="AG466" s="3"/>
      <c r="AH466" s="3"/>
      <c r="AI466" s="3"/>
      <c r="AJ466" s="3"/>
      <c r="AK466" s="3"/>
      <c r="AL466" s="3"/>
      <c r="AM466" s="3"/>
      <c r="AN466" s="3"/>
      <c r="AO466" s="3"/>
    </row>
    <row r="467" spans="10:41" x14ac:dyDescent="0.25">
      <c r="J467" s="3"/>
      <c r="K467" s="3"/>
      <c r="L467" s="3"/>
      <c r="M467" s="3"/>
      <c r="AC467" s="3"/>
      <c r="AD467" s="3"/>
      <c r="AE467" s="3"/>
      <c r="AF467" s="3"/>
      <c r="AG467" s="3"/>
      <c r="AH467" s="3"/>
      <c r="AI467" s="3"/>
      <c r="AJ467" s="3"/>
      <c r="AK467" s="3"/>
      <c r="AL467" s="3"/>
      <c r="AM467" s="3"/>
      <c r="AN467" s="3"/>
      <c r="AO467" s="3"/>
    </row>
    <row r="468" spans="10:41" x14ac:dyDescent="0.25">
      <c r="J468" s="3"/>
      <c r="K468" s="3"/>
      <c r="L468" s="3"/>
      <c r="M468" s="3"/>
      <c r="AC468" s="3"/>
      <c r="AD468" s="3"/>
      <c r="AE468" s="3"/>
      <c r="AF468" s="3"/>
      <c r="AG468" s="3"/>
      <c r="AH468" s="3"/>
      <c r="AI468" s="3"/>
      <c r="AJ468" s="3"/>
      <c r="AK468" s="3"/>
      <c r="AL468" s="3"/>
      <c r="AM468" s="3"/>
      <c r="AN468" s="3"/>
      <c r="AO468" s="3"/>
    </row>
    <row r="469" spans="10:41" x14ac:dyDescent="0.25">
      <c r="J469" s="3"/>
      <c r="K469" s="3"/>
      <c r="L469" s="3"/>
      <c r="M469" s="3"/>
      <c r="AC469" s="3"/>
      <c r="AD469" s="3"/>
      <c r="AE469" s="3"/>
      <c r="AF469" s="3"/>
      <c r="AG469" s="3"/>
      <c r="AH469" s="3"/>
      <c r="AI469" s="3"/>
      <c r="AJ469" s="3"/>
      <c r="AK469" s="3"/>
      <c r="AL469" s="3"/>
      <c r="AM469" s="3"/>
      <c r="AN469" s="3"/>
      <c r="AO469" s="3"/>
    </row>
    <row r="470" spans="10:41" x14ac:dyDescent="0.25">
      <c r="J470" s="3"/>
      <c r="K470" s="3"/>
      <c r="L470" s="3"/>
      <c r="M470" s="3"/>
      <c r="AC470" s="3"/>
      <c r="AD470" s="3"/>
      <c r="AE470" s="3"/>
      <c r="AF470" s="3"/>
      <c r="AG470" s="3"/>
      <c r="AH470" s="3"/>
      <c r="AI470" s="3"/>
      <c r="AJ470" s="3"/>
      <c r="AK470" s="3"/>
      <c r="AL470" s="3"/>
      <c r="AM470" s="3"/>
      <c r="AN470" s="3"/>
      <c r="AO470" s="3"/>
    </row>
    <row r="471" spans="10:41" x14ac:dyDescent="0.25">
      <c r="J471" s="3"/>
      <c r="K471" s="3"/>
      <c r="L471" s="3"/>
      <c r="M471" s="3"/>
      <c r="AC471" s="3"/>
      <c r="AD471" s="3"/>
      <c r="AE471" s="3"/>
      <c r="AF471" s="3"/>
      <c r="AG471" s="3"/>
      <c r="AH471" s="3"/>
      <c r="AI471" s="3"/>
      <c r="AJ471" s="3"/>
      <c r="AK471" s="3"/>
      <c r="AL471" s="3"/>
      <c r="AM471" s="3"/>
      <c r="AN471" s="3"/>
      <c r="AO471" s="3"/>
    </row>
    <row r="472" spans="10:41" x14ac:dyDescent="0.25">
      <c r="J472" s="3"/>
      <c r="K472" s="3"/>
      <c r="L472" s="3"/>
      <c r="M472" s="3"/>
      <c r="AC472" s="3"/>
      <c r="AD472" s="3"/>
      <c r="AE472" s="3"/>
      <c r="AF472" s="3"/>
      <c r="AG472" s="3"/>
      <c r="AH472" s="3"/>
      <c r="AI472" s="3"/>
      <c r="AJ472" s="3"/>
      <c r="AK472" s="3"/>
      <c r="AL472" s="3"/>
      <c r="AM472" s="3"/>
      <c r="AN472" s="3"/>
      <c r="AO472" s="3"/>
    </row>
    <row r="473" spans="10:41" x14ac:dyDescent="0.25">
      <c r="J473" s="3"/>
      <c r="K473" s="3"/>
      <c r="L473" s="3"/>
      <c r="M473" s="3"/>
      <c r="AC473" s="3"/>
      <c r="AD473" s="3"/>
      <c r="AE473" s="3"/>
      <c r="AF473" s="3"/>
      <c r="AG473" s="3"/>
      <c r="AH473" s="3"/>
      <c r="AI473" s="3"/>
      <c r="AJ473" s="3"/>
      <c r="AK473" s="3"/>
      <c r="AL473" s="3"/>
      <c r="AM473" s="3"/>
      <c r="AN473" s="3"/>
      <c r="AO473" s="3"/>
    </row>
    <row r="474" spans="10:41" x14ac:dyDescent="0.25">
      <c r="J474" s="3"/>
      <c r="K474" s="3"/>
      <c r="L474" s="3"/>
      <c r="M474" s="3"/>
      <c r="AC474" s="3"/>
      <c r="AD474" s="3"/>
      <c r="AE474" s="3"/>
      <c r="AF474" s="3"/>
      <c r="AG474" s="3"/>
      <c r="AH474" s="3"/>
      <c r="AI474" s="3"/>
      <c r="AJ474" s="3"/>
      <c r="AK474" s="3"/>
      <c r="AL474" s="3"/>
      <c r="AM474" s="3"/>
      <c r="AN474" s="3"/>
      <c r="AO474" s="3"/>
    </row>
    <row r="475" spans="10:41" x14ac:dyDescent="0.25">
      <c r="J475" s="3"/>
      <c r="K475" s="3"/>
      <c r="L475" s="3"/>
      <c r="M475" s="3"/>
      <c r="AC475" s="3"/>
      <c r="AD475" s="3"/>
      <c r="AE475" s="3"/>
      <c r="AF475" s="3"/>
      <c r="AG475" s="3"/>
      <c r="AH475" s="3"/>
      <c r="AI475" s="3"/>
      <c r="AJ475" s="3"/>
      <c r="AK475" s="3"/>
      <c r="AL475" s="3"/>
      <c r="AM475" s="3"/>
      <c r="AN475" s="3"/>
      <c r="AO475" s="3"/>
    </row>
    <row r="476" spans="10:41" x14ac:dyDescent="0.25">
      <c r="J476" s="3"/>
      <c r="K476" s="3"/>
      <c r="L476" s="3"/>
      <c r="M476" s="3"/>
      <c r="AC476" s="3"/>
      <c r="AD476" s="3"/>
      <c r="AE476" s="3"/>
      <c r="AF476" s="3"/>
      <c r="AG476" s="3"/>
      <c r="AH476" s="3"/>
      <c r="AI476" s="3"/>
      <c r="AJ476" s="3"/>
      <c r="AK476" s="3"/>
      <c r="AL476" s="3"/>
      <c r="AM476" s="3"/>
      <c r="AN476" s="3"/>
      <c r="AO476" s="3"/>
    </row>
    <row r="477" spans="10:41" x14ac:dyDescent="0.25">
      <c r="J477" s="3"/>
      <c r="K477" s="3"/>
      <c r="L477" s="3"/>
      <c r="M477" s="3"/>
      <c r="AC477" s="3"/>
      <c r="AD477" s="3"/>
      <c r="AE477" s="3"/>
      <c r="AF477" s="3"/>
      <c r="AG477" s="3"/>
      <c r="AH477" s="3"/>
      <c r="AI477" s="3"/>
      <c r="AJ477" s="3"/>
      <c r="AK477" s="3"/>
      <c r="AL477" s="3"/>
      <c r="AM477" s="3"/>
      <c r="AN477" s="3"/>
      <c r="AO477" s="3"/>
    </row>
    <row r="478" spans="10:41" x14ac:dyDescent="0.25">
      <c r="J478" s="3"/>
      <c r="K478" s="3"/>
      <c r="L478" s="3"/>
      <c r="M478" s="3"/>
      <c r="AC478" s="3"/>
      <c r="AD478" s="3"/>
      <c r="AE478" s="3"/>
      <c r="AF478" s="3"/>
      <c r="AG478" s="3"/>
      <c r="AH478" s="3"/>
      <c r="AI478" s="3"/>
      <c r="AJ478" s="3"/>
      <c r="AK478" s="3"/>
      <c r="AL478" s="3"/>
      <c r="AM478" s="3"/>
      <c r="AN478" s="3"/>
      <c r="AO478" s="3"/>
    </row>
    <row r="479" spans="10:41" x14ac:dyDescent="0.25">
      <c r="J479" s="3"/>
      <c r="K479" s="3"/>
      <c r="L479" s="3"/>
      <c r="M479" s="3"/>
      <c r="AC479" s="3"/>
      <c r="AD479" s="3"/>
      <c r="AE479" s="3"/>
      <c r="AF479" s="3"/>
      <c r="AG479" s="3"/>
      <c r="AH479" s="3"/>
      <c r="AI479" s="3"/>
      <c r="AJ479" s="3"/>
      <c r="AK479" s="3"/>
      <c r="AL479" s="3"/>
      <c r="AM479" s="3"/>
      <c r="AN479" s="3"/>
      <c r="AO479" s="3"/>
    </row>
    <row r="480" spans="10:41" x14ac:dyDescent="0.25">
      <c r="J480" s="3"/>
      <c r="K480" s="3"/>
      <c r="L480" s="3"/>
      <c r="M480" s="3"/>
      <c r="AC480" s="3"/>
      <c r="AD480" s="3"/>
      <c r="AE480" s="3"/>
      <c r="AF480" s="3"/>
      <c r="AG480" s="3"/>
      <c r="AH480" s="3"/>
      <c r="AI480" s="3"/>
      <c r="AJ480" s="3"/>
      <c r="AK480" s="3"/>
      <c r="AL480" s="3"/>
      <c r="AM480" s="3"/>
      <c r="AN480" s="3"/>
      <c r="AO480" s="3"/>
    </row>
    <row r="481" spans="10:41" x14ac:dyDescent="0.25">
      <c r="J481" s="3"/>
      <c r="K481" s="3"/>
      <c r="L481" s="3"/>
      <c r="M481" s="3"/>
      <c r="AC481" s="3"/>
      <c r="AD481" s="3"/>
      <c r="AE481" s="3"/>
      <c r="AF481" s="3"/>
      <c r="AG481" s="3"/>
      <c r="AH481" s="3"/>
      <c r="AI481" s="3"/>
      <c r="AJ481" s="3"/>
      <c r="AK481" s="3"/>
      <c r="AL481" s="3"/>
      <c r="AM481" s="3"/>
      <c r="AN481" s="3"/>
      <c r="AO481" s="3"/>
    </row>
    <row r="482" spans="10:41" x14ac:dyDescent="0.25">
      <c r="J482" s="3"/>
      <c r="K482" s="3"/>
      <c r="L482" s="3"/>
      <c r="M482" s="3"/>
      <c r="AC482" s="3"/>
      <c r="AD482" s="3"/>
      <c r="AE482" s="3"/>
      <c r="AF482" s="3"/>
      <c r="AG482" s="3"/>
      <c r="AH482" s="3"/>
      <c r="AI482" s="3"/>
      <c r="AJ482" s="3"/>
      <c r="AK482" s="3"/>
      <c r="AL482" s="3"/>
      <c r="AM482" s="3"/>
      <c r="AN482" s="3"/>
      <c r="AO482" s="3"/>
    </row>
    <row r="483" spans="10:41" x14ac:dyDescent="0.25">
      <c r="J483" s="3"/>
      <c r="K483" s="3"/>
      <c r="L483" s="3"/>
      <c r="M483" s="3"/>
    </row>
    <row r="484" spans="10:41" x14ac:dyDescent="0.25">
      <c r="J484" s="3"/>
      <c r="K484" s="3"/>
      <c r="L484" s="3"/>
      <c r="M484" s="3"/>
    </row>
    <row r="485" spans="10:41" x14ac:dyDescent="0.25">
      <c r="J485" s="3"/>
      <c r="K485" s="3"/>
      <c r="L485" s="3"/>
      <c r="M485" s="3"/>
    </row>
    <row r="486" spans="10:41" x14ac:dyDescent="0.25">
      <c r="J486" s="3"/>
      <c r="K486" s="3"/>
      <c r="L486" s="3"/>
      <c r="M486" s="3"/>
    </row>
    <row r="487" spans="10:41" x14ac:dyDescent="0.25">
      <c r="J487" s="3"/>
      <c r="K487" s="3"/>
      <c r="L487" s="3"/>
      <c r="M487" s="3"/>
    </row>
    <row r="488" spans="10:41" x14ac:dyDescent="0.25">
      <c r="J488" s="3"/>
      <c r="K488" s="3"/>
      <c r="L488" s="3"/>
      <c r="M488" s="3"/>
    </row>
    <row r="489" spans="10:41" x14ac:dyDescent="0.25">
      <c r="J489" s="3"/>
      <c r="K489" s="3"/>
      <c r="L489" s="3"/>
      <c r="M489" s="3"/>
    </row>
    <row r="490" spans="10:41" x14ac:dyDescent="0.25">
      <c r="J490" s="3"/>
      <c r="K490" s="3"/>
      <c r="L490" s="3"/>
      <c r="M490" s="3"/>
    </row>
    <row r="491" spans="10:41" x14ac:dyDescent="0.25">
      <c r="J491" s="3"/>
      <c r="K491" s="3"/>
      <c r="L491" s="3"/>
      <c r="M491" s="3"/>
    </row>
    <row r="492" spans="10:41" x14ac:dyDescent="0.25">
      <c r="J492" s="3"/>
      <c r="K492" s="3"/>
      <c r="L492" s="3"/>
      <c r="M492" s="3"/>
    </row>
    <row r="493" spans="10:41" x14ac:dyDescent="0.25">
      <c r="J493" s="3"/>
      <c r="K493" s="3"/>
      <c r="L493" s="3"/>
      <c r="M493" s="3"/>
    </row>
    <row r="494" spans="10:41" x14ac:dyDescent="0.25">
      <c r="J494" s="3"/>
      <c r="K494" s="3"/>
      <c r="L494" s="3"/>
      <c r="M494" s="3"/>
    </row>
    <row r="495" spans="10:41" x14ac:dyDescent="0.25">
      <c r="J495" s="3"/>
      <c r="K495" s="3"/>
      <c r="L495" s="3"/>
      <c r="M495" s="3"/>
    </row>
    <row r="496" spans="10:41" x14ac:dyDescent="0.25">
      <c r="J496" s="3"/>
      <c r="K496" s="3"/>
      <c r="L496" s="3"/>
      <c r="M496" s="3"/>
    </row>
    <row r="497" spans="10:13" x14ac:dyDescent="0.25">
      <c r="J497" s="3"/>
      <c r="K497" s="3"/>
      <c r="L497" s="3"/>
      <c r="M497" s="3"/>
    </row>
    <row r="498" spans="10:13" x14ac:dyDescent="0.25">
      <c r="J498" s="3"/>
      <c r="K498" s="3"/>
      <c r="L498" s="3"/>
      <c r="M498" s="3"/>
    </row>
    <row r="499" spans="10:13" x14ac:dyDescent="0.25">
      <c r="J499" s="3"/>
      <c r="K499" s="3"/>
      <c r="L499" s="3"/>
      <c r="M499" s="3"/>
    </row>
    <row r="500" spans="10:13" x14ac:dyDescent="0.25">
      <c r="J500" s="3"/>
      <c r="K500" s="3"/>
      <c r="L500" s="3"/>
      <c r="M500" s="3"/>
    </row>
    <row r="501" spans="10:13" x14ac:dyDescent="0.25">
      <c r="J501" s="3"/>
      <c r="K501" s="3"/>
      <c r="L501" s="3"/>
      <c r="M501" s="3"/>
    </row>
    <row r="502" spans="10:13" x14ac:dyDescent="0.25">
      <c r="J502" s="3"/>
      <c r="K502" s="3"/>
      <c r="L502" s="3"/>
      <c r="M502" s="3"/>
    </row>
    <row r="503" spans="10:13" x14ac:dyDescent="0.25">
      <c r="J503" s="3"/>
      <c r="K503" s="3"/>
      <c r="L503" s="3"/>
      <c r="M503" s="3"/>
    </row>
    <row r="504" spans="10:13" x14ac:dyDescent="0.25">
      <c r="J504" s="3"/>
      <c r="K504" s="3"/>
      <c r="L504" s="3"/>
      <c r="M504" s="3"/>
    </row>
    <row r="505" spans="10:13" x14ac:dyDescent="0.25">
      <c r="J505" s="3"/>
      <c r="K505" s="3"/>
      <c r="L505" s="3"/>
      <c r="M505" s="3"/>
    </row>
    <row r="506" spans="10:13" x14ac:dyDescent="0.25">
      <c r="J506" s="3"/>
      <c r="K506" s="3"/>
      <c r="L506" s="3"/>
      <c r="M506" s="3"/>
    </row>
    <row r="507" spans="10:13" x14ac:dyDescent="0.25">
      <c r="J507" s="3"/>
      <c r="K507" s="3"/>
      <c r="L507" s="3"/>
      <c r="M507" s="3"/>
    </row>
    <row r="508" spans="10:13" x14ac:dyDescent="0.25">
      <c r="J508" s="3"/>
      <c r="K508" s="3"/>
      <c r="L508" s="3"/>
      <c r="M508" s="3"/>
    </row>
    <row r="509" spans="10:13" x14ac:dyDescent="0.25">
      <c r="J509" s="3"/>
      <c r="K509" s="3"/>
      <c r="L509" s="3"/>
      <c r="M509" s="3"/>
    </row>
    <row r="510" spans="10:13" x14ac:dyDescent="0.25">
      <c r="J510" s="3"/>
      <c r="K510" s="3"/>
      <c r="L510" s="3"/>
      <c r="M510" s="3"/>
    </row>
    <row r="511" spans="10:13" x14ac:dyDescent="0.25">
      <c r="J511" s="3"/>
      <c r="K511" s="3"/>
      <c r="L511" s="3"/>
      <c r="M511" s="3"/>
    </row>
    <row r="512" spans="10:13" x14ac:dyDescent="0.25">
      <c r="J512" s="3"/>
      <c r="K512" s="3"/>
      <c r="L512" s="3"/>
      <c r="M512" s="3"/>
    </row>
    <row r="513" spans="10:13" x14ac:dyDescent="0.25">
      <c r="J513" s="3"/>
      <c r="K513" s="3"/>
      <c r="L513" s="3"/>
      <c r="M513" s="3"/>
    </row>
    <row r="514" spans="10:13" x14ac:dyDescent="0.25">
      <c r="J514" s="3"/>
      <c r="K514" s="3"/>
      <c r="L514" s="3"/>
      <c r="M514" s="3"/>
    </row>
    <row r="515" spans="10:13" x14ac:dyDescent="0.25">
      <c r="J515" s="3"/>
      <c r="K515" s="3"/>
      <c r="L515" s="3"/>
      <c r="M515" s="3"/>
    </row>
    <row r="516" spans="10:13" x14ac:dyDescent="0.25">
      <c r="J516" s="3"/>
      <c r="K516" s="3"/>
      <c r="L516" s="3"/>
      <c r="M516" s="3"/>
    </row>
    <row r="517" spans="10:13" x14ac:dyDescent="0.25">
      <c r="J517" s="3"/>
      <c r="K517" s="3"/>
      <c r="L517" s="3"/>
      <c r="M517" s="3"/>
    </row>
    <row r="518" spans="10:13" x14ac:dyDescent="0.25">
      <c r="J518" s="3"/>
      <c r="K518" s="3"/>
      <c r="L518" s="3"/>
      <c r="M518" s="3"/>
    </row>
    <row r="519" spans="10:13" x14ac:dyDescent="0.25">
      <c r="J519" s="3"/>
      <c r="K519" s="3"/>
      <c r="L519" s="3"/>
      <c r="M519" s="3"/>
    </row>
    <row r="520" spans="10:13" x14ac:dyDescent="0.25">
      <c r="J520" s="3"/>
      <c r="K520" s="3"/>
      <c r="L520" s="3"/>
      <c r="M520" s="3"/>
    </row>
    <row r="521" spans="10:13" x14ac:dyDescent="0.25">
      <c r="J521" s="3"/>
      <c r="K521" s="3"/>
      <c r="L521" s="3"/>
      <c r="M521" s="3"/>
    </row>
    <row r="522" spans="10:13" x14ac:dyDescent="0.25">
      <c r="J522" s="3"/>
      <c r="K522" s="3"/>
      <c r="L522" s="3"/>
      <c r="M522" s="3"/>
    </row>
    <row r="523" spans="10:13" x14ac:dyDescent="0.25">
      <c r="J523" s="3"/>
      <c r="K523" s="3"/>
      <c r="L523" s="3"/>
      <c r="M523" s="3"/>
    </row>
    <row r="524" spans="10:13" x14ac:dyDescent="0.25">
      <c r="J524" s="3"/>
      <c r="K524" s="3"/>
      <c r="L524" s="3"/>
      <c r="M524" s="3"/>
    </row>
    <row r="525" spans="10:13" x14ac:dyDescent="0.25">
      <c r="J525" s="3"/>
      <c r="K525" s="3"/>
      <c r="L525" s="3"/>
      <c r="M525" s="3"/>
    </row>
    <row r="526" spans="10:13" x14ac:dyDescent="0.25">
      <c r="J526" s="3"/>
      <c r="K526" s="3"/>
      <c r="L526" s="3"/>
      <c r="M526" s="3"/>
    </row>
    <row r="527" spans="10:13" x14ac:dyDescent="0.25">
      <c r="J527" s="3"/>
      <c r="K527" s="3"/>
      <c r="L527" s="3"/>
      <c r="M527" s="3"/>
    </row>
    <row r="528" spans="10:13" x14ac:dyDescent="0.25">
      <c r="J528" s="3"/>
      <c r="K528" s="3"/>
      <c r="L528" s="3"/>
      <c r="M528" s="3"/>
    </row>
    <row r="529" spans="10:13" x14ac:dyDescent="0.25">
      <c r="J529" s="3"/>
      <c r="K529" s="3"/>
      <c r="L529" s="3"/>
      <c r="M529" s="3"/>
    </row>
    <row r="530" spans="10:13" x14ac:dyDescent="0.25">
      <c r="J530" s="3"/>
      <c r="K530" s="3"/>
      <c r="L530" s="3"/>
      <c r="M530" s="3"/>
    </row>
    <row r="531" spans="10:13" x14ac:dyDescent="0.25">
      <c r="J531" s="3"/>
      <c r="K531" s="3"/>
      <c r="L531" s="3"/>
      <c r="M531" s="3"/>
    </row>
    <row r="532" spans="10:13" x14ac:dyDescent="0.25">
      <c r="J532" s="3"/>
      <c r="K532" s="3"/>
      <c r="L532" s="3"/>
      <c r="M532" s="3"/>
    </row>
    <row r="533" spans="10:13" x14ac:dyDescent="0.25">
      <c r="J533" s="3"/>
      <c r="K533" s="3"/>
      <c r="L533" s="3"/>
      <c r="M533" s="3"/>
    </row>
    <row r="534" spans="10:13" x14ac:dyDescent="0.25">
      <c r="J534" s="3"/>
      <c r="K534" s="3"/>
      <c r="L534" s="3"/>
      <c r="M534" s="3"/>
    </row>
    <row r="535" spans="10:13" x14ac:dyDescent="0.25">
      <c r="J535" s="3"/>
      <c r="K535" s="3"/>
      <c r="L535" s="3"/>
      <c r="M535" s="3"/>
    </row>
    <row r="536" spans="10:13" x14ac:dyDescent="0.25">
      <c r="J536" s="3"/>
      <c r="K536" s="3"/>
      <c r="L536" s="3"/>
      <c r="M536" s="3"/>
    </row>
    <row r="537" spans="10:13" x14ac:dyDescent="0.25">
      <c r="J537" s="3"/>
      <c r="K537" s="3"/>
      <c r="L537" s="3"/>
      <c r="M537" s="3"/>
    </row>
    <row r="538" spans="10:13" x14ac:dyDescent="0.25">
      <c r="J538" s="3"/>
      <c r="K538" s="3"/>
      <c r="L538" s="3"/>
      <c r="M538" s="3"/>
    </row>
    <row r="539" spans="10:13" x14ac:dyDescent="0.25">
      <c r="J539" s="3"/>
      <c r="K539" s="3"/>
      <c r="L539" s="3"/>
      <c r="M539" s="3"/>
    </row>
    <row r="540" spans="10:13" x14ac:dyDescent="0.25">
      <c r="J540" s="3"/>
      <c r="K540" s="3"/>
      <c r="L540" s="3"/>
      <c r="M540" s="3"/>
    </row>
    <row r="541" spans="10:13" x14ac:dyDescent="0.25">
      <c r="J541" s="3"/>
      <c r="K541" s="3"/>
      <c r="L541" s="3"/>
      <c r="M541" s="3"/>
    </row>
    <row r="542" spans="10:13" x14ac:dyDescent="0.25">
      <c r="J542" s="3"/>
      <c r="K542" s="3"/>
      <c r="L542" s="3"/>
      <c r="M542" s="3"/>
    </row>
    <row r="543" spans="10:13" x14ac:dyDescent="0.25">
      <c r="J543" s="3"/>
      <c r="K543" s="3"/>
      <c r="L543" s="3"/>
      <c r="M543" s="3"/>
    </row>
    <row r="544" spans="10:13" x14ac:dyDescent="0.25">
      <c r="J544" s="3"/>
      <c r="K544" s="3"/>
      <c r="L544" s="3"/>
      <c r="M544" s="3"/>
    </row>
    <row r="545" spans="10:13" x14ac:dyDescent="0.25">
      <c r="J545" s="3"/>
      <c r="K545" s="3"/>
      <c r="L545" s="3"/>
      <c r="M545" s="3"/>
    </row>
    <row r="546" spans="10:13" x14ac:dyDescent="0.25">
      <c r="J546" s="3"/>
      <c r="K546" s="3"/>
      <c r="L546" s="3"/>
      <c r="M546" s="3"/>
    </row>
    <row r="547" spans="10:13" x14ac:dyDescent="0.25">
      <c r="J547" s="3"/>
      <c r="K547" s="3"/>
      <c r="L547" s="3"/>
      <c r="M547" s="3"/>
    </row>
    <row r="548" spans="10:13" x14ac:dyDescent="0.25">
      <c r="J548" s="3"/>
      <c r="K548" s="3"/>
      <c r="L548" s="3"/>
      <c r="M548" s="3"/>
    </row>
    <row r="549" spans="10:13" x14ac:dyDescent="0.25">
      <c r="J549" s="3"/>
      <c r="K549" s="3"/>
      <c r="L549" s="3"/>
      <c r="M549" s="3"/>
    </row>
    <row r="550" spans="10:13" x14ac:dyDescent="0.25">
      <c r="J550" s="3"/>
      <c r="K550" s="3"/>
      <c r="L550" s="3"/>
      <c r="M550" s="3"/>
    </row>
    <row r="551" spans="10:13" x14ac:dyDescent="0.25">
      <c r="J551" s="3"/>
      <c r="K551" s="3"/>
      <c r="L551" s="3"/>
      <c r="M551" s="3"/>
    </row>
    <row r="552" spans="10:13" x14ac:dyDescent="0.25">
      <c r="J552" s="3"/>
      <c r="K552" s="3"/>
      <c r="L552" s="3"/>
      <c r="M552" s="3"/>
    </row>
    <row r="553" spans="10:13" x14ac:dyDescent="0.25">
      <c r="J553" s="3"/>
      <c r="K553" s="3"/>
      <c r="L553" s="3"/>
      <c r="M553" s="3"/>
    </row>
    <row r="554" spans="10:13" x14ac:dyDescent="0.25">
      <c r="J554" s="3"/>
      <c r="K554" s="3"/>
      <c r="L554" s="3"/>
      <c r="M554" s="3"/>
    </row>
    <row r="555" spans="10:13" x14ac:dyDescent="0.25">
      <c r="J555" s="3"/>
      <c r="K555" s="3"/>
      <c r="L555" s="3"/>
      <c r="M555" s="3"/>
    </row>
    <row r="556" spans="10:13" x14ac:dyDescent="0.25">
      <c r="J556" s="3"/>
      <c r="K556" s="3"/>
      <c r="L556" s="3"/>
      <c r="M556" s="3"/>
    </row>
    <row r="557" spans="10:13" x14ac:dyDescent="0.25">
      <c r="J557" s="3"/>
      <c r="K557" s="3"/>
      <c r="L557" s="3"/>
      <c r="M557" s="3"/>
    </row>
    <row r="558" spans="10:13" x14ac:dyDescent="0.25">
      <c r="J558" s="3"/>
      <c r="K558" s="3"/>
      <c r="L558" s="3"/>
      <c r="M558" s="3"/>
    </row>
    <row r="559" spans="10:13" x14ac:dyDescent="0.25">
      <c r="J559" s="3"/>
      <c r="K559" s="3"/>
      <c r="L559" s="3"/>
      <c r="M559" s="3"/>
    </row>
    <row r="560" spans="10:13" x14ac:dyDescent="0.25">
      <c r="J560" s="3"/>
      <c r="K560" s="3"/>
      <c r="L560" s="3"/>
      <c r="M560" s="3"/>
    </row>
    <row r="561" spans="10:13" x14ac:dyDescent="0.25">
      <c r="J561" s="3"/>
      <c r="K561" s="3"/>
      <c r="L561" s="3"/>
      <c r="M561" s="3"/>
    </row>
    <row r="562" spans="10:13" x14ac:dyDescent="0.25">
      <c r="J562" s="3"/>
      <c r="K562" s="3"/>
      <c r="L562" s="3"/>
      <c r="M562" s="3"/>
    </row>
    <row r="563" spans="10:13" x14ac:dyDescent="0.25">
      <c r="J563" s="3"/>
      <c r="K563" s="3"/>
      <c r="L563" s="3"/>
      <c r="M563" s="3"/>
    </row>
    <row r="564" spans="10:13" x14ac:dyDescent="0.25">
      <c r="J564" s="3"/>
      <c r="K564" s="3"/>
      <c r="L564" s="3"/>
      <c r="M564" s="3"/>
    </row>
    <row r="565" spans="10:13" x14ac:dyDescent="0.25">
      <c r="J565" s="3"/>
      <c r="K565" s="3"/>
      <c r="L565" s="3"/>
      <c r="M565" s="3"/>
    </row>
    <row r="566" spans="10:13" x14ac:dyDescent="0.25">
      <c r="J566" s="3"/>
      <c r="K566" s="3"/>
      <c r="L566" s="3"/>
      <c r="M566" s="3"/>
    </row>
    <row r="567" spans="10:13" x14ac:dyDescent="0.25">
      <c r="J567" s="3"/>
      <c r="K567" s="3"/>
      <c r="L567" s="3"/>
      <c r="M567" s="3"/>
    </row>
    <row r="568" spans="10:13" x14ac:dyDescent="0.25">
      <c r="J568" s="3"/>
      <c r="K568" s="3"/>
      <c r="L568" s="3"/>
      <c r="M568" s="3"/>
    </row>
    <row r="569" spans="10:13" x14ac:dyDescent="0.25">
      <c r="J569" s="3"/>
      <c r="K569" s="3"/>
      <c r="L569" s="3"/>
      <c r="M569" s="3"/>
    </row>
    <row r="570" spans="10:13" x14ac:dyDescent="0.25">
      <c r="J570" s="3"/>
      <c r="K570" s="3"/>
      <c r="L570" s="3"/>
      <c r="M570" s="3"/>
    </row>
    <row r="571" spans="10:13" x14ac:dyDescent="0.25">
      <c r="J571" s="3"/>
      <c r="K571" s="3"/>
      <c r="L571" s="3"/>
      <c r="M571" s="3"/>
    </row>
    <row r="572" spans="10:13" x14ac:dyDescent="0.25">
      <c r="J572" s="3"/>
      <c r="K572" s="3"/>
      <c r="L572" s="3"/>
      <c r="M572" s="3"/>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C0E53-2333-44F3-BC6F-75F93AB74A0A}">
  <dimension ref="A1:AM54"/>
  <sheetViews>
    <sheetView workbookViewId="0"/>
  </sheetViews>
  <sheetFormatPr defaultRowHeight="15" x14ac:dyDescent="0.25"/>
  <cols>
    <col min="3" max="3" width="10.5703125" bestFit="1" customWidth="1"/>
    <col min="12" max="12" width="8.85546875" customWidth="1"/>
    <col min="14" max="14" width="10.5703125" bestFit="1" customWidth="1"/>
    <col min="26" max="26" width="8.85546875" customWidth="1"/>
    <col min="28" max="28" width="10.5703125" bestFit="1" customWidth="1"/>
  </cols>
  <sheetData>
    <row r="1" spans="1:39" x14ac:dyDescent="0.25">
      <c r="A1" s="5"/>
      <c r="B1" s="5" t="s">
        <v>2</v>
      </c>
      <c r="C1" s="5" t="s">
        <v>2</v>
      </c>
      <c r="D1" t="s">
        <v>2</v>
      </c>
      <c r="E1" t="s">
        <v>2</v>
      </c>
      <c r="F1" t="s">
        <v>2</v>
      </c>
      <c r="G1" s="5" t="s">
        <v>2</v>
      </c>
      <c r="H1" t="s">
        <v>62</v>
      </c>
      <c r="I1" t="s">
        <v>62</v>
      </c>
      <c r="J1" t="s">
        <v>62</v>
      </c>
      <c r="K1" t="s">
        <v>62</v>
      </c>
      <c r="L1" s="5" t="s">
        <v>62</v>
      </c>
      <c r="M1" s="5" t="s">
        <v>62</v>
      </c>
      <c r="N1" s="5" t="s">
        <v>63</v>
      </c>
      <c r="O1" t="s">
        <v>63</v>
      </c>
      <c r="P1" t="s">
        <v>63</v>
      </c>
      <c r="Q1" t="s">
        <v>63</v>
      </c>
      <c r="R1" s="5" t="s">
        <v>63</v>
      </c>
      <c r="S1" s="5" t="s">
        <v>63</v>
      </c>
      <c r="T1" s="5" t="s">
        <v>63</v>
      </c>
      <c r="U1" s="5" t="s">
        <v>81</v>
      </c>
      <c r="V1" s="5" t="s">
        <v>81</v>
      </c>
      <c r="W1" s="5" t="s">
        <v>81</v>
      </c>
      <c r="X1" s="5" t="s">
        <v>81</v>
      </c>
      <c r="Y1" s="5" t="s">
        <v>81</v>
      </c>
      <c r="Z1" s="5" t="s">
        <v>81</v>
      </c>
      <c r="AB1" s="5" t="s">
        <v>154</v>
      </c>
      <c r="AC1" s="5" t="s">
        <v>154</v>
      </c>
      <c r="AD1" s="5" t="s">
        <v>154</v>
      </c>
      <c r="AE1" s="5" t="s">
        <v>154</v>
      </c>
      <c r="AF1" s="5" t="s">
        <v>154</v>
      </c>
      <c r="AG1" s="5" t="s">
        <v>154</v>
      </c>
      <c r="AH1" s="5" t="s">
        <v>154</v>
      </c>
      <c r="AI1" s="5" t="s">
        <v>154</v>
      </c>
      <c r="AJ1" t="s">
        <v>154</v>
      </c>
      <c r="AK1" s="5" t="s">
        <v>154</v>
      </c>
      <c r="AL1" s="5" t="s">
        <v>154</v>
      </c>
      <c r="AM1" s="5" t="s">
        <v>154</v>
      </c>
    </row>
    <row r="2" spans="1:39" x14ac:dyDescent="0.25">
      <c r="A2" s="5"/>
      <c r="B2" s="5"/>
      <c r="C2" s="5"/>
      <c r="G2" s="5"/>
      <c r="I2" t="s">
        <v>71</v>
      </c>
      <c r="J2" t="s">
        <v>74</v>
      </c>
      <c r="K2" t="s">
        <v>75</v>
      </c>
      <c r="L2" s="5"/>
      <c r="M2" s="5"/>
      <c r="N2" s="5"/>
      <c r="R2" s="5"/>
      <c r="S2" s="5"/>
      <c r="T2" s="5"/>
      <c r="U2" s="5"/>
      <c r="V2" s="5"/>
      <c r="W2" s="5"/>
      <c r="X2" s="5"/>
      <c r="Y2" s="5"/>
      <c r="Z2" s="5"/>
      <c r="AB2" s="5"/>
      <c r="AC2" s="5"/>
      <c r="AD2" s="5"/>
      <c r="AE2" s="5"/>
      <c r="AF2" s="5"/>
      <c r="AG2" s="5"/>
      <c r="AH2" s="5"/>
      <c r="AI2" s="5"/>
      <c r="AK2" s="5"/>
      <c r="AL2" s="5"/>
      <c r="AM2" s="5"/>
    </row>
    <row r="3" spans="1:39" x14ac:dyDescent="0.25">
      <c r="A3" s="5"/>
      <c r="B3" s="5"/>
      <c r="C3" s="5"/>
      <c r="D3" t="s">
        <v>19</v>
      </c>
      <c r="E3" t="s">
        <v>19</v>
      </c>
      <c r="F3" t="s">
        <v>157</v>
      </c>
      <c r="G3" s="5"/>
      <c r="H3" t="s">
        <v>77</v>
      </c>
      <c r="I3" t="s">
        <v>73</v>
      </c>
      <c r="J3" t="s">
        <v>72</v>
      </c>
      <c r="K3" t="s">
        <v>72</v>
      </c>
      <c r="L3" s="5"/>
      <c r="M3" s="5"/>
      <c r="N3" s="5" t="s">
        <v>160</v>
      </c>
      <c r="O3" t="s">
        <v>64</v>
      </c>
      <c r="P3" t="s">
        <v>67</v>
      </c>
      <c r="Q3" t="s">
        <v>66</v>
      </c>
      <c r="R3" s="5"/>
      <c r="S3" s="5"/>
      <c r="T3" s="5"/>
      <c r="U3" s="5"/>
      <c r="V3" s="5"/>
      <c r="W3" s="5"/>
      <c r="X3" s="5"/>
      <c r="Y3" s="5"/>
      <c r="Z3" s="5"/>
      <c r="AB3" s="5"/>
      <c r="AC3" s="5"/>
      <c r="AD3" s="5"/>
      <c r="AE3" s="5"/>
      <c r="AF3" s="5"/>
      <c r="AG3" s="5"/>
      <c r="AH3" s="5"/>
      <c r="AI3" s="5"/>
      <c r="AK3" s="5"/>
      <c r="AL3" s="5"/>
      <c r="AM3" s="5"/>
    </row>
    <row r="4" spans="1:39" x14ac:dyDescent="0.25">
      <c r="A4" s="5" t="s">
        <v>85</v>
      </c>
      <c r="B4" s="5" t="s">
        <v>466</v>
      </c>
      <c r="C4" s="5" t="s">
        <v>467</v>
      </c>
      <c r="D4" t="s">
        <v>20</v>
      </c>
      <c r="E4" t="s">
        <v>50</v>
      </c>
      <c r="F4" t="s">
        <v>50</v>
      </c>
      <c r="G4" s="5" t="s">
        <v>54</v>
      </c>
      <c r="H4" t="s">
        <v>73</v>
      </c>
      <c r="I4" t="s">
        <v>20</v>
      </c>
      <c r="J4" t="s">
        <v>76</v>
      </c>
      <c r="K4" t="s">
        <v>76</v>
      </c>
      <c r="L4" s="5" t="s">
        <v>56</v>
      </c>
      <c r="M4" s="5" t="s">
        <v>57</v>
      </c>
      <c r="N4" s="5" t="s">
        <v>159</v>
      </c>
      <c r="O4" t="s">
        <v>20</v>
      </c>
      <c r="P4" t="s">
        <v>20</v>
      </c>
      <c r="Q4" t="s">
        <v>163</v>
      </c>
      <c r="R4" s="5" t="s">
        <v>59</v>
      </c>
      <c r="S4" s="5" t="s">
        <v>60</v>
      </c>
      <c r="T4" s="5" t="s">
        <v>61</v>
      </c>
      <c r="U4" s="5" t="s">
        <v>78</v>
      </c>
      <c r="V4" s="5" t="s">
        <v>79</v>
      </c>
      <c r="W4" s="5" t="s">
        <v>80</v>
      </c>
      <c r="X4" s="5" t="s">
        <v>82</v>
      </c>
      <c r="Y4" s="5" t="s">
        <v>83</v>
      </c>
      <c r="Z4" s="5" t="s">
        <v>84</v>
      </c>
      <c r="AA4" t="s">
        <v>155</v>
      </c>
      <c r="AB4" s="5" t="s">
        <v>161</v>
      </c>
      <c r="AC4" s="5" t="s">
        <v>138</v>
      </c>
      <c r="AD4" s="5" t="s">
        <v>139</v>
      </c>
      <c r="AE4" s="5" t="s">
        <v>140</v>
      </c>
      <c r="AF4" s="5" t="s">
        <v>141</v>
      </c>
      <c r="AG4" s="5" t="s">
        <v>142</v>
      </c>
      <c r="AH4" s="5" t="s">
        <v>143</v>
      </c>
      <c r="AI4" s="5" t="s">
        <v>144</v>
      </c>
      <c r="AJ4" t="s">
        <v>151</v>
      </c>
      <c r="AK4" s="5" t="s">
        <v>145</v>
      </c>
      <c r="AL4" s="5" t="s">
        <v>146</v>
      </c>
      <c r="AM4" s="5" t="s">
        <v>147</v>
      </c>
    </row>
    <row r="5" spans="1:39" x14ac:dyDescent="0.25">
      <c r="A5" s="5"/>
      <c r="B5" s="5"/>
      <c r="C5" s="5"/>
      <c r="D5" t="s">
        <v>21</v>
      </c>
      <c r="E5" t="s">
        <v>21</v>
      </c>
      <c r="F5" t="s">
        <v>21</v>
      </c>
      <c r="G5" s="5" t="s">
        <v>55</v>
      </c>
      <c r="H5" t="s">
        <v>70</v>
      </c>
      <c r="I5" t="s">
        <v>70</v>
      </c>
      <c r="J5" t="s">
        <v>70</v>
      </c>
      <c r="K5" t="s">
        <v>70</v>
      </c>
      <c r="L5" s="5" t="s">
        <v>58</v>
      </c>
      <c r="M5" s="5" t="s">
        <v>55</v>
      </c>
      <c r="N5" s="5"/>
      <c r="O5" t="s">
        <v>65</v>
      </c>
      <c r="P5" t="s">
        <v>65</v>
      </c>
      <c r="Q5" t="s">
        <v>65</v>
      </c>
      <c r="R5" s="5" t="s">
        <v>68</v>
      </c>
      <c r="S5" s="5" t="s">
        <v>68</v>
      </c>
      <c r="T5" s="5" t="s">
        <v>68</v>
      </c>
      <c r="U5" s="5" t="s">
        <v>55</v>
      </c>
      <c r="V5" s="5" t="s">
        <v>55</v>
      </c>
      <c r="W5" s="5" t="s">
        <v>55</v>
      </c>
      <c r="X5" s="5" t="s">
        <v>55</v>
      </c>
      <c r="Y5" s="5" t="s">
        <v>55</v>
      </c>
      <c r="Z5" s="5" t="s">
        <v>55</v>
      </c>
      <c r="AB5" s="5"/>
      <c r="AC5" s="5"/>
      <c r="AD5" s="5" t="s">
        <v>156</v>
      </c>
      <c r="AE5" s="5" t="s">
        <v>58</v>
      </c>
      <c r="AF5" s="5" t="s">
        <v>152</v>
      </c>
      <c r="AG5" s="5" t="s">
        <v>58</v>
      </c>
      <c r="AH5" s="5" t="s">
        <v>153</v>
      </c>
      <c r="AI5" s="5"/>
      <c r="AK5" s="5"/>
      <c r="AL5" s="5" t="s">
        <v>58</v>
      </c>
      <c r="AM5" s="5" t="s">
        <v>58</v>
      </c>
    </row>
    <row r="6" spans="1:39" x14ac:dyDescent="0.25">
      <c r="A6" s="5" t="s">
        <v>85</v>
      </c>
      <c r="B6" s="5" t="s">
        <v>466</v>
      </c>
      <c r="C6" s="5" t="s">
        <v>467</v>
      </c>
      <c r="G6" s="5" t="s">
        <v>54</v>
      </c>
      <c r="L6" s="5" t="s">
        <v>56</v>
      </c>
      <c r="M6" s="5" t="s">
        <v>57</v>
      </c>
      <c r="N6" s="5" t="s">
        <v>159</v>
      </c>
      <c r="R6" s="5" t="s">
        <v>59</v>
      </c>
      <c r="S6" s="5" t="s">
        <v>60</v>
      </c>
      <c r="T6" s="5" t="s">
        <v>61</v>
      </c>
      <c r="U6" s="5" t="s">
        <v>78</v>
      </c>
      <c r="V6" s="5" t="s">
        <v>79</v>
      </c>
      <c r="W6" s="5" t="s">
        <v>80</v>
      </c>
      <c r="X6" s="5" t="s">
        <v>82</v>
      </c>
      <c r="Y6" s="5" t="s">
        <v>83</v>
      </c>
      <c r="Z6" s="5" t="s">
        <v>84</v>
      </c>
      <c r="AB6" s="5" t="s">
        <v>161</v>
      </c>
      <c r="AC6" s="5" t="s">
        <v>138</v>
      </c>
      <c r="AD6" s="5" t="s">
        <v>139</v>
      </c>
      <c r="AE6" s="5" t="s">
        <v>140</v>
      </c>
      <c r="AF6" s="5" t="s">
        <v>141</v>
      </c>
      <c r="AG6" s="5" t="s">
        <v>142</v>
      </c>
      <c r="AH6" s="5" t="s">
        <v>143</v>
      </c>
      <c r="AI6" s="5" t="s">
        <v>144</v>
      </c>
      <c r="AJ6" t="s">
        <v>151</v>
      </c>
      <c r="AK6" s="5" t="s">
        <v>145</v>
      </c>
      <c r="AL6" s="5" t="s">
        <v>146</v>
      </c>
      <c r="AM6" s="5" t="s">
        <v>147</v>
      </c>
    </row>
    <row r="7" spans="1:39" x14ac:dyDescent="0.25">
      <c r="A7" s="5" t="s">
        <v>86</v>
      </c>
      <c r="B7" s="5" t="s">
        <v>468</v>
      </c>
      <c r="C7" s="17">
        <v>44881</v>
      </c>
      <c r="D7" s="3">
        <v>115.79999999999998</v>
      </c>
      <c r="E7" s="3">
        <v>113.03999999999998</v>
      </c>
      <c r="F7" s="3">
        <v>3.2962499999999997</v>
      </c>
      <c r="G7" s="6">
        <v>4328.181783956692</v>
      </c>
      <c r="H7" s="4">
        <v>17.189999999999998</v>
      </c>
      <c r="I7" s="4">
        <v>355.42</v>
      </c>
      <c r="J7" s="4">
        <v>338.23</v>
      </c>
      <c r="K7" s="4">
        <v>316.21000000000004</v>
      </c>
      <c r="L7" s="7">
        <v>6.5103627708955392</v>
      </c>
      <c r="M7" s="6">
        <v>4046.4014484372933</v>
      </c>
      <c r="N7" s="14">
        <v>44882</v>
      </c>
      <c r="O7" s="4">
        <v>11.47</v>
      </c>
      <c r="P7" s="4">
        <v>3.9</v>
      </c>
      <c r="Q7" s="4">
        <v>7.96</v>
      </c>
      <c r="R7" s="8">
        <v>0.3303334650262747</v>
      </c>
      <c r="S7" s="8">
        <v>0.55588373415711823</v>
      </c>
      <c r="T7" s="8">
        <v>0.11378280081660708</v>
      </c>
      <c r="U7" s="6">
        <v>1429.7432859580172</v>
      </c>
      <c r="V7" s="6">
        <v>2405.9658521766637</v>
      </c>
      <c r="W7" s="6">
        <v>3835.7091381346809</v>
      </c>
      <c r="X7" s="6">
        <v>1336.6618113496279</v>
      </c>
      <c r="Y7" s="6">
        <v>2249.3287470560945</v>
      </c>
      <c r="Z7" s="6">
        <v>3585.9905584057224</v>
      </c>
      <c r="AA7" s="3"/>
      <c r="AB7" s="14">
        <v>44980</v>
      </c>
      <c r="AC7" s="6">
        <v>45.25</v>
      </c>
      <c r="AD7" s="11">
        <v>1.1840000000000002</v>
      </c>
      <c r="AE7" s="6">
        <v>80.650000000000006</v>
      </c>
      <c r="AF7" s="6">
        <v>29.05</v>
      </c>
      <c r="AG7" s="6">
        <v>6.3</v>
      </c>
      <c r="AH7" s="6">
        <v>80.7</v>
      </c>
      <c r="AI7" s="6">
        <v>8.1000000000000014</v>
      </c>
      <c r="AK7" s="12">
        <v>8.5</v>
      </c>
      <c r="AL7" s="7">
        <v>0.19500000000000001</v>
      </c>
      <c r="AM7" s="6">
        <v>8.9499999999999993</v>
      </c>
    </row>
    <row r="8" spans="1:39" x14ac:dyDescent="0.25">
      <c r="A8" s="5" t="s">
        <v>87</v>
      </c>
      <c r="B8" s="5" t="s">
        <v>468</v>
      </c>
      <c r="C8" s="17">
        <v>44881</v>
      </c>
      <c r="D8" s="3">
        <v>91.100000000000009</v>
      </c>
      <c r="E8" s="3">
        <v>88.34</v>
      </c>
      <c r="F8" s="3">
        <v>3.2962499999999997</v>
      </c>
      <c r="G8" s="6">
        <v>3409.2412983923887</v>
      </c>
      <c r="H8" s="4">
        <v>17.38</v>
      </c>
      <c r="I8" s="4">
        <v>378.24</v>
      </c>
      <c r="J8" s="4">
        <v>360.86</v>
      </c>
      <c r="K8" s="4">
        <v>342.7</v>
      </c>
      <c r="L8" s="7">
        <v>5.0324225461397836</v>
      </c>
      <c r="M8" s="6">
        <v>3237.6738706397814</v>
      </c>
      <c r="N8" s="14">
        <v>44882</v>
      </c>
      <c r="O8" s="4">
        <v>7.06</v>
      </c>
      <c r="P8" s="4">
        <v>2.44</v>
      </c>
      <c r="Q8" s="4">
        <v>5.58</v>
      </c>
      <c r="R8" s="8">
        <v>0.32986210969810248</v>
      </c>
      <c r="S8" s="8">
        <v>0.56631194054364498</v>
      </c>
      <c r="T8" s="8">
        <v>0.10382594975825254</v>
      </c>
      <c r="U8" s="6">
        <v>1124.5795271576114</v>
      </c>
      <c r="V8" s="6">
        <v>1930.6940554741295</v>
      </c>
      <c r="W8" s="6">
        <v>3055.2735826317412</v>
      </c>
      <c r="X8" s="6">
        <v>1067.9859334836597</v>
      </c>
      <c r="Y8" s="6">
        <v>1833.5333725294688</v>
      </c>
      <c r="Z8" s="6">
        <v>2901.5193060131287</v>
      </c>
      <c r="AA8" s="3"/>
      <c r="AB8" s="14">
        <v>44980</v>
      </c>
      <c r="AC8" s="6">
        <v>48.599999999999994</v>
      </c>
      <c r="AD8" s="11">
        <v>1.1299999999999999</v>
      </c>
      <c r="AE8" s="6">
        <v>80.55</v>
      </c>
      <c r="AF8" s="6">
        <v>29.45</v>
      </c>
      <c r="AG8" s="6">
        <v>6.05</v>
      </c>
      <c r="AH8" s="6">
        <v>79.300000000000011</v>
      </c>
      <c r="AI8" s="6">
        <v>8.8000000000000007</v>
      </c>
      <c r="AK8" s="12">
        <v>7</v>
      </c>
      <c r="AL8" s="7">
        <v>0.09</v>
      </c>
      <c r="AM8" s="6">
        <v>9.4</v>
      </c>
    </row>
    <row r="9" spans="1:39" x14ac:dyDescent="0.25">
      <c r="A9" s="5" t="s">
        <v>88</v>
      </c>
      <c r="B9" s="5" t="s">
        <v>468</v>
      </c>
      <c r="C9" s="17">
        <v>44881</v>
      </c>
      <c r="D9" s="3">
        <v>59.399999999999991</v>
      </c>
      <c r="E9" s="3">
        <v>56.639999999999993</v>
      </c>
      <c r="F9" s="3">
        <v>3.2962499999999997</v>
      </c>
      <c r="G9" s="6">
        <v>2229.8723351377948</v>
      </c>
      <c r="H9" s="4">
        <v>17.29</v>
      </c>
      <c r="I9" s="4">
        <v>405.65999999999997</v>
      </c>
      <c r="J9" s="4">
        <v>388.36999999999995</v>
      </c>
      <c r="K9" s="4">
        <v>361.77</v>
      </c>
      <c r="L9" s="7">
        <v>6.8491387079331485</v>
      </c>
      <c r="M9" s="6">
        <v>2077.1452858943794</v>
      </c>
      <c r="N9" s="14">
        <v>44882</v>
      </c>
      <c r="O9" s="4">
        <v>3.5</v>
      </c>
      <c r="P9" s="4">
        <v>1.22</v>
      </c>
      <c r="Q9" s="4">
        <v>3.5</v>
      </c>
      <c r="R9" s="8">
        <v>0.31597998786928522</v>
      </c>
      <c r="S9" s="8">
        <v>0.54688844054299368</v>
      </c>
      <c r="T9" s="8">
        <v>0.13713157158772105</v>
      </c>
      <c r="U9" s="6">
        <v>704.59503340689514</v>
      </c>
      <c r="V9" s="6">
        <v>1219.4914039734724</v>
      </c>
      <c r="W9" s="6">
        <v>1924.0864373803674</v>
      </c>
      <c r="X9" s="6">
        <v>656.33634223964896</v>
      </c>
      <c r="Y9" s="6">
        <v>1135.9667461840079</v>
      </c>
      <c r="Z9" s="6">
        <v>1792.3030884236568</v>
      </c>
      <c r="AB9" s="14">
        <v>44980</v>
      </c>
      <c r="AC9" s="6">
        <v>45.5</v>
      </c>
      <c r="AD9" s="11">
        <v>1.0760000000000001</v>
      </c>
      <c r="AE9" s="6">
        <v>79.5</v>
      </c>
      <c r="AF9" s="6">
        <v>27.2</v>
      </c>
      <c r="AG9" s="6">
        <v>5.9</v>
      </c>
      <c r="AH9" s="6">
        <v>78.099999999999994</v>
      </c>
      <c r="AI9" s="6">
        <v>8.6999999999999993</v>
      </c>
      <c r="AK9" s="12">
        <v>14</v>
      </c>
      <c r="AL9" s="7">
        <v>0.16</v>
      </c>
      <c r="AM9" s="6">
        <v>10.4</v>
      </c>
    </row>
    <row r="10" spans="1:39" x14ac:dyDescent="0.25">
      <c r="A10" s="5" t="s">
        <v>89</v>
      </c>
      <c r="B10" s="5" t="s">
        <v>468</v>
      </c>
      <c r="C10" s="17">
        <v>44881</v>
      </c>
      <c r="D10" s="3">
        <v>117.5</v>
      </c>
      <c r="E10" s="3">
        <v>114.74</v>
      </c>
      <c r="F10" s="3">
        <v>3.2962499999999997</v>
      </c>
      <c r="G10" s="6">
        <v>4391.4286999671913</v>
      </c>
      <c r="H10" s="4">
        <v>17.36</v>
      </c>
      <c r="I10" s="4">
        <v>448.93</v>
      </c>
      <c r="J10" s="4">
        <v>431.57</v>
      </c>
      <c r="K10" s="4">
        <v>404.47</v>
      </c>
      <c r="L10" s="7">
        <v>6.2793984753342373</v>
      </c>
      <c r="M10" s="6">
        <v>4115.6733931360613</v>
      </c>
      <c r="N10" s="14">
        <v>44882</v>
      </c>
      <c r="O10" s="4">
        <v>19.59</v>
      </c>
      <c r="P10" s="4">
        <v>6.5600000000000005</v>
      </c>
      <c r="Q10" s="4">
        <v>14.26</v>
      </c>
      <c r="R10" s="8">
        <v>0.32337654584211789</v>
      </c>
      <c r="S10" s="8">
        <v>0.56643053029764512</v>
      </c>
      <c r="T10" s="8">
        <v>0.11019292386023705</v>
      </c>
      <c r="U10" s="6">
        <v>1420.0850443073325</v>
      </c>
      <c r="V10" s="6">
        <v>2487.4392872867143</v>
      </c>
      <c r="W10" s="6">
        <v>3907.524331594047</v>
      </c>
      <c r="X10" s="6">
        <v>1330.9122456866485</v>
      </c>
      <c r="Y10" s="6">
        <v>2331.2430626059677</v>
      </c>
      <c r="Z10" s="6">
        <v>3662.1553082926162</v>
      </c>
      <c r="AB10" s="14">
        <v>44980</v>
      </c>
      <c r="AC10" s="6">
        <v>45.35</v>
      </c>
      <c r="AD10" s="11">
        <v>1.181</v>
      </c>
      <c r="AE10" s="6">
        <v>80.25</v>
      </c>
      <c r="AF10" s="6">
        <v>29.6</v>
      </c>
      <c r="AG10" s="6">
        <v>6.35</v>
      </c>
      <c r="AH10" s="6">
        <v>80.400000000000006</v>
      </c>
      <c r="AI10" s="6">
        <v>8</v>
      </c>
      <c r="AK10" s="12">
        <v>12.5</v>
      </c>
      <c r="AL10" s="7">
        <v>0.13500000000000001</v>
      </c>
      <c r="AM10" s="6">
        <v>9</v>
      </c>
    </row>
    <row r="11" spans="1:39" x14ac:dyDescent="0.25">
      <c r="A11" s="5" t="s">
        <v>90</v>
      </c>
      <c r="B11" s="5" t="s">
        <v>468</v>
      </c>
      <c r="C11" s="17">
        <v>44881</v>
      </c>
      <c r="D11" s="3">
        <v>147.9</v>
      </c>
      <c r="E11" s="3">
        <v>145.14000000000001</v>
      </c>
      <c r="F11" s="3">
        <v>5.8275000000000006</v>
      </c>
      <c r="G11" s="6">
        <v>5616.6051722440961</v>
      </c>
      <c r="H11" s="4">
        <v>17.25</v>
      </c>
      <c r="I11" s="4">
        <v>409.28</v>
      </c>
      <c r="J11" s="4">
        <v>392.03</v>
      </c>
      <c r="K11" s="4">
        <v>368.69</v>
      </c>
      <c r="L11" s="7">
        <v>5.9536259980103505</v>
      </c>
      <c r="M11" s="6">
        <v>5282.2135065037774</v>
      </c>
      <c r="N11" s="14">
        <v>44882</v>
      </c>
      <c r="O11" s="4">
        <v>23.48</v>
      </c>
      <c r="P11" s="4">
        <v>8.68</v>
      </c>
      <c r="Q11" s="4">
        <v>14.48</v>
      </c>
      <c r="R11" s="8">
        <v>0.36075575166423224</v>
      </c>
      <c r="S11" s="8">
        <v>0.48042953466823229</v>
      </c>
      <c r="T11" s="8">
        <v>0.15881471366753547</v>
      </c>
      <c r="U11" s="6">
        <v>2026.2226207141334</v>
      </c>
      <c r="V11" s="6">
        <v>2698.3830093164179</v>
      </c>
      <c r="W11" s="6">
        <v>4724.6056300305518</v>
      </c>
      <c r="X11" s="6">
        <v>1905.5889039897302</v>
      </c>
      <c r="Y11" s="6">
        <v>2537.7313769478615</v>
      </c>
      <c r="Z11" s="6">
        <v>4443.3202809375916</v>
      </c>
      <c r="AB11" s="14">
        <v>44980</v>
      </c>
      <c r="AC11" s="6">
        <v>46.2</v>
      </c>
      <c r="AD11" s="11">
        <v>1.1385000000000001</v>
      </c>
      <c r="AE11" s="6">
        <v>81.5</v>
      </c>
      <c r="AF11" s="6">
        <v>30.549999999999997</v>
      </c>
      <c r="AG11" s="6">
        <v>5.5</v>
      </c>
      <c r="AH11" s="6">
        <v>79.099999999999994</v>
      </c>
      <c r="AI11" s="6">
        <v>8.6999999999999993</v>
      </c>
      <c r="AK11" s="12">
        <v>12</v>
      </c>
      <c r="AL11" s="7">
        <v>0.21</v>
      </c>
      <c r="AM11" s="6">
        <v>8.5500000000000007</v>
      </c>
    </row>
    <row r="12" spans="1:39" x14ac:dyDescent="0.25">
      <c r="A12" s="5" t="s">
        <v>91</v>
      </c>
      <c r="B12" s="5" t="s">
        <v>468</v>
      </c>
      <c r="C12" s="17">
        <v>44881</v>
      </c>
      <c r="D12" s="3">
        <v>97.399999999999991</v>
      </c>
      <c r="E12" s="3">
        <v>94.639999999999986</v>
      </c>
      <c r="F12" s="3">
        <v>5.8275000000000006</v>
      </c>
      <c r="G12" s="6">
        <v>3737.7997260498687</v>
      </c>
      <c r="H12" s="4">
        <v>17.310000000000002</v>
      </c>
      <c r="I12" s="4">
        <v>427.49</v>
      </c>
      <c r="J12" s="4">
        <v>410.18</v>
      </c>
      <c r="K12" s="4">
        <v>386.59000000000003</v>
      </c>
      <c r="L12" s="7">
        <v>5.7511336486420532</v>
      </c>
      <c r="M12" s="6">
        <v>3522.8338682861645</v>
      </c>
      <c r="N12" s="14">
        <v>44882</v>
      </c>
      <c r="O12" s="4">
        <v>15.21</v>
      </c>
      <c r="P12" s="4">
        <v>5.98</v>
      </c>
      <c r="Q12" s="4">
        <v>10.98</v>
      </c>
      <c r="R12" s="8">
        <v>0.37991724045076253</v>
      </c>
      <c r="S12" s="8">
        <v>0.51241506808127757</v>
      </c>
      <c r="T12" s="8">
        <v>0.10766769146795996</v>
      </c>
      <c r="U12" s="6">
        <v>1420.0545572784822</v>
      </c>
      <c r="V12" s="6">
        <v>1915.3049010980242</v>
      </c>
      <c r="W12" s="6">
        <v>3335.3594583765062</v>
      </c>
      <c r="X12" s="6">
        <v>1338.3853218057645</v>
      </c>
      <c r="Y12" s="6">
        <v>1805.1531564568854</v>
      </c>
      <c r="Z12" s="6">
        <v>3143.5384782626497</v>
      </c>
      <c r="AB12" s="14">
        <v>44980</v>
      </c>
      <c r="AC12" s="6">
        <v>48.25</v>
      </c>
      <c r="AD12" s="11">
        <v>1.087</v>
      </c>
      <c r="AE12" s="6">
        <v>80.599999999999994</v>
      </c>
      <c r="AF12" s="6">
        <v>29.1</v>
      </c>
      <c r="AG12" s="6">
        <v>5.45</v>
      </c>
      <c r="AH12" s="6">
        <v>78.099999999999994</v>
      </c>
      <c r="AI12" s="6">
        <v>9.75</v>
      </c>
      <c r="AK12" s="12">
        <v>13</v>
      </c>
      <c r="AL12" s="7">
        <v>0.16500000000000001</v>
      </c>
      <c r="AM12" s="6">
        <v>9.1000000000000014</v>
      </c>
    </row>
    <row r="13" spans="1:39" x14ac:dyDescent="0.25">
      <c r="A13" s="5" t="s">
        <v>92</v>
      </c>
      <c r="B13" s="5" t="s">
        <v>468</v>
      </c>
      <c r="C13" s="17">
        <v>44881</v>
      </c>
      <c r="D13" s="3">
        <v>78.5</v>
      </c>
      <c r="E13" s="3">
        <v>75.739999999999995</v>
      </c>
      <c r="F13" s="3">
        <v>5.8275000000000006</v>
      </c>
      <c r="G13" s="6">
        <v>3034.6428362860888</v>
      </c>
      <c r="H13" s="4">
        <v>17.41</v>
      </c>
      <c r="I13" s="4">
        <v>314.63</v>
      </c>
      <c r="J13" s="4">
        <v>297.21999999999997</v>
      </c>
      <c r="K13" s="4">
        <v>280.75</v>
      </c>
      <c r="L13" s="7">
        <v>5.5413498418679676</v>
      </c>
      <c r="M13" s="6">
        <v>2866.4826602762919</v>
      </c>
      <c r="N13" s="14">
        <v>44882</v>
      </c>
      <c r="O13" s="4">
        <v>11.56</v>
      </c>
      <c r="P13" s="4">
        <v>4.5199999999999996</v>
      </c>
      <c r="Q13" s="4">
        <v>9</v>
      </c>
      <c r="R13" s="8">
        <v>0.37333875382912729</v>
      </c>
      <c r="S13" s="8">
        <v>0.50257139938536366</v>
      </c>
      <c r="T13" s="8">
        <v>0.12408984678550905</v>
      </c>
      <c r="U13" s="6">
        <v>1132.9497748155368</v>
      </c>
      <c r="V13" s="6">
        <v>1525.1246968670687</v>
      </c>
      <c r="W13" s="6">
        <v>2658.0744716826057</v>
      </c>
      <c r="X13" s="6">
        <v>1070.1690642603523</v>
      </c>
      <c r="Y13" s="6">
        <v>1440.6122018889359</v>
      </c>
      <c r="Z13" s="6">
        <v>2510.7812661492881</v>
      </c>
      <c r="AB13" s="14">
        <v>44980</v>
      </c>
      <c r="AC13" s="6">
        <v>50.8</v>
      </c>
      <c r="AD13" s="11">
        <v>1.02</v>
      </c>
      <c r="AE13" s="6">
        <v>79.099999999999994</v>
      </c>
      <c r="AF13" s="6">
        <v>26.6</v>
      </c>
      <c r="AG13" s="6">
        <v>5.4499999999999993</v>
      </c>
      <c r="AH13" s="6">
        <v>77.199999999999989</v>
      </c>
      <c r="AI13" s="6">
        <v>9.5</v>
      </c>
      <c r="AK13" s="12">
        <v>12.5</v>
      </c>
      <c r="AL13" s="7">
        <v>0.22999999999999998</v>
      </c>
      <c r="AM13" s="6">
        <v>10.85</v>
      </c>
    </row>
    <row r="14" spans="1:39" x14ac:dyDescent="0.25">
      <c r="A14" s="5" t="s">
        <v>93</v>
      </c>
      <c r="B14" s="5" t="s">
        <v>468</v>
      </c>
      <c r="C14" s="17">
        <v>44881</v>
      </c>
      <c r="D14" s="3">
        <v>128.6</v>
      </c>
      <c r="E14" s="3">
        <v>125.83999999999999</v>
      </c>
      <c r="F14" s="3">
        <v>5.8275000000000006</v>
      </c>
      <c r="G14" s="6">
        <v>4898.5666551837267</v>
      </c>
      <c r="H14" s="4">
        <v>17.240000000000002</v>
      </c>
      <c r="I14" s="4">
        <v>402.31</v>
      </c>
      <c r="J14" s="4">
        <v>385.07</v>
      </c>
      <c r="K14" s="4">
        <v>361.89</v>
      </c>
      <c r="L14" s="7">
        <v>6.0196847326460139</v>
      </c>
      <c r="M14" s="6">
        <v>4603.6883861231436</v>
      </c>
      <c r="N14" s="14">
        <v>44882</v>
      </c>
      <c r="O14" s="4">
        <v>19.829999999999998</v>
      </c>
      <c r="P14" s="4">
        <v>7.52</v>
      </c>
      <c r="Q14" s="4">
        <v>13.239999999999998</v>
      </c>
      <c r="R14" s="8">
        <v>0.36883080207157798</v>
      </c>
      <c r="S14" s="8">
        <v>0.50688478943915183</v>
      </c>
      <c r="T14" s="8">
        <v>0.12428440848927014</v>
      </c>
      <c r="U14" s="6">
        <v>1806.7422684325009</v>
      </c>
      <c r="V14" s="6">
        <v>2483.0089275664536</v>
      </c>
      <c r="W14" s="6">
        <v>4289.7511959989542</v>
      </c>
      <c r="X14" s="6">
        <v>1697.9820799414074</v>
      </c>
      <c r="Y14" s="6">
        <v>2333.5396182434984</v>
      </c>
      <c r="Z14" s="6">
        <v>4031.5216981849057</v>
      </c>
      <c r="AB14" s="14">
        <v>44980</v>
      </c>
      <c r="AC14" s="6">
        <v>46.9</v>
      </c>
      <c r="AD14" s="11">
        <v>1.095</v>
      </c>
      <c r="AE14" s="6">
        <v>80.300000000000011</v>
      </c>
      <c r="AF14" s="6">
        <v>30.8</v>
      </c>
      <c r="AG14" s="6">
        <v>5.4</v>
      </c>
      <c r="AH14" s="6">
        <v>79.150000000000006</v>
      </c>
      <c r="AI14" s="6">
        <v>9.1499999999999986</v>
      </c>
      <c r="AK14" s="12">
        <v>14</v>
      </c>
      <c r="AL14" s="7">
        <v>0.17</v>
      </c>
      <c r="AM14" s="6">
        <v>9.6499999999999986</v>
      </c>
    </row>
    <row r="15" spans="1:39" x14ac:dyDescent="0.25">
      <c r="A15" s="5" t="s">
        <v>94</v>
      </c>
      <c r="B15" s="5" t="s">
        <v>468</v>
      </c>
      <c r="C15" s="17">
        <v>44881</v>
      </c>
      <c r="D15" s="3">
        <v>158.20000000000002</v>
      </c>
      <c r="E15" s="3">
        <v>155.44000000000003</v>
      </c>
      <c r="F15" s="3">
        <v>4.4587499999999993</v>
      </c>
      <c r="G15" s="6">
        <v>5948.8840067257224</v>
      </c>
      <c r="H15" s="4">
        <v>17.439999999999998</v>
      </c>
      <c r="I15" s="4">
        <v>395.2</v>
      </c>
      <c r="J15" s="4">
        <v>377.76</v>
      </c>
      <c r="K15" s="4">
        <v>355.02</v>
      </c>
      <c r="L15" s="7">
        <v>6.0196950444726838</v>
      </c>
      <c r="M15" s="6">
        <v>5590.7793309714261</v>
      </c>
      <c r="N15" s="14">
        <v>44882</v>
      </c>
      <c r="O15" s="4">
        <v>21.799999999999997</v>
      </c>
      <c r="P15" s="4">
        <v>7.34</v>
      </c>
      <c r="Q15" s="4">
        <v>15.120000000000001</v>
      </c>
      <c r="R15" s="8">
        <v>0.3264321865173877</v>
      </c>
      <c r="S15" s="8">
        <v>0.54810676590025564</v>
      </c>
      <c r="T15" s="8">
        <v>0.12546104758235666</v>
      </c>
      <c r="U15" s="6">
        <v>1941.9072136537957</v>
      </c>
      <c r="V15" s="6">
        <v>3260.6235736421904</v>
      </c>
      <c r="W15" s="6">
        <v>5202.5307872959856</v>
      </c>
      <c r="X15" s="6">
        <v>1825.0103213452205</v>
      </c>
      <c r="Y15" s="6">
        <v>3064.3439779607434</v>
      </c>
      <c r="Z15" s="6">
        <v>4889.3542993059637</v>
      </c>
      <c r="AB15" s="14">
        <v>44980</v>
      </c>
      <c r="AC15" s="6">
        <v>44.75</v>
      </c>
      <c r="AD15" s="11">
        <v>1.1635</v>
      </c>
      <c r="AE15" s="6">
        <v>81</v>
      </c>
      <c r="AF15" s="6">
        <v>29.450000000000003</v>
      </c>
      <c r="AG15" s="6">
        <v>6.2</v>
      </c>
      <c r="AH15" s="6">
        <v>80.5</v>
      </c>
      <c r="AI15" s="6">
        <v>8.35</v>
      </c>
      <c r="AK15" s="12">
        <v>11.5</v>
      </c>
      <c r="AL15" s="7">
        <v>0.13500000000000001</v>
      </c>
      <c r="AM15" s="6">
        <v>9</v>
      </c>
    </row>
    <row r="16" spans="1:39" x14ac:dyDescent="0.25">
      <c r="A16" s="5" t="s">
        <v>95</v>
      </c>
      <c r="B16" s="5" t="s">
        <v>468</v>
      </c>
      <c r="C16" s="17">
        <v>44881</v>
      </c>
      <c r="D16" s="3">
        <v>140.70000000000002</v>
      </c>
      <c r="E16" s="3">
        <v>137.94000000000003</v>
      </c>
      <c r="F16" s="3">
        <v>4.4587499999999993</v>
      </c>
      <c r="G16" s="6">
        <v>5297.8128125000012</v>
      </c>
      <c r="H16" s="4">
        <v>17.32</v>
      </c>
      <c r="I16" s="4">
        <v>355.98</v>
      </c>
      <c r="J16" s="4">
        <v>338.66</v>
      </c>
      <c r="K16" s="4">
        <v>319.76</v>
      </c>
      <c r="L16" s="7">
        <v>5.5808185200496174</v>
      </c>
      <c r="M16" s="6">
        <v>5002.1514939024401</v>
      </c>
      <c r="N16" s="14">
        <v>44882</v>
      </c>
      <c r="O16" s="4">
        <v>22.240000000000002</v>
      </c>
      <c r="P16" s="4">
        <v>7.68</v>
      </c>
      <c r="Q16" s="4">
        <v>15.440000000000001</v>
      </c>
      <c r="R16" s="8">
        <v>0.33543060924624479</v>
      </c>
      <c r="S16" s="8">
        <v>0.55171919881486176</v>
      </c>
      <c r="T16" s="8">
        <v>0.11285019193889345</v>
      </c>
      <c r="U16" s="6">
        <v>1777.048579369437</v>
      </c>
      <c r="V16" s="6">
        <v>2922.90504038361</v>
      </c>
      <c r="W16" s="6">
        <v>4699.953619753047</v>
      </c>
      <c r="X16" s="6">
        <v>1677.874723141709</v>
      </c>
      <c r="Y16" s="6">
        <v>2759.7830145664179</v>
      </c>
      <c r="Z16" s="6">
        <v>4437.6577377081267</v>
      </c>
      <c r="AB16" s="14">
        <v>44980</v>
      </c>
      <c r="AC16" s="6">
        <v>44.8</v>
      </c>
      <c r="AD16" s="11">
        <v>1.1665000000000001</v>
      </c>
      <c r="AE16" s="6">
        <v>80.25</v>
      </c>
      <c r="AF16" s="6">
        <v>28.85</v>
      </c>
      <c r="AG16" s="6">
        <v>6.4</v>
      </c>
      <c r="AH16" s="6">
        <v>81.300000000000011</v>
      </c>
      <c r="AI16" s="6">
        <v>8.4</v>
      </c>
      <c r="AK16" s="12">
        <v>9</v>
      </c>
      <c r="AL16" s="7">
        <v>0.08</v>
      </c>
      <c r="AM16" s="6">
        <v>9.3000000000000007</v>
      </c>
    </row>
    <row r="17" spans="1:39" x14ac:dyDescent="0.25">
      <c r="A17" s="5" t="s">
        <v>96</v>
      </c>
      <c r="B17" s="5" t="s">
        <v>468</v>
      </c>
      <c r="C17" s="17">
        <v>44881</v>
      </c>
      <c r="D17" s="3">
        <v>111.5</v>
      </c>
      <c r="E17" s="3">
        <v>108.74</v>
      </c>
      <c r="F17" s="3">
        <v>4.4587499999999993</v>
      </c>
      <c r="G17" s="6">
        <v>4211.4540198490813</v>
      </c>
      <c r="H17" s="4">
        <v>17.350000000000001</v>
      </c>
      <c r="I17" s="4">
        <v>324.51</v>
      </c>
      <c r="J17" s="4">
        <v>307.15999999999997</v>
      </c>
      <c r="K17" s="4">
        <v>289.52</v>
      </c>
      <c r="L17" s="7">
        <v>5.7429352780309895</v>
      </c>
      <c r="M17" s="6">
        <v>3969.5929412251139</v>
      </c>
      <c r="N17" s="14">
        <v>44882</v>
      </c>
      <c r="O17" s="4">
        <v>9.0299999999999994</v>
      </c>
      <c r="P17" s="4">
        <v>3.08</v>
      </c>
      <c r="Q17" s="4">
        <v>6.56</v>
      </c>
      <c r="R17" s="8">
        <v>0.328747953850063</v>
      </c>
      <c r="S17" s="8">
        <v>0.55093622610734694</v>
      </c>
      <c r="T17" s="8">
        <v>0.12031582004259</v>
      </c>
      <c r="U17" s="6">
        <v>1384.5068917590081</v>
      </c>
      <c r="V17" s="6">
        <v>2320.2425841202685</v>
      </c>
      <c r="W17" s="6">
        <v>3704.7494758792764</v>
      </c>
      <c r="X17" s="6">
        <v>1304.9955570454097</v>
      </c>
      <c r="Y17" s="6">
        <v>2186.9925542209276</v>
      </c>
      <c r="Z17" s="6">
        <v>3491.988111266337</v>
      </c>
      <c r="AB17" s="14">
        <v>44980</v>
      </c>
      <c r="AC17" s="6">
        <v>46.45</v>
      </c>
      <c r="AD17" s="11">
        <v>1.1280000000000001</v>
      </c>
      <c r="AE17" s="6">
        <v>80.199999999999989</v>
      </c>
      <c r="AF17" s="6">
        <v>29.25</v>
      </c>
      <c r="AG17" s="6">
        <v>5.95</v>
      </c>
      <c r="AH17" s="6">
        <v>80.300000000000011</v>
      </c>
      <c r="AI17" s="6">
        <v>8.4499999999999993</v>
      </c>
      <c r="AK17" s="12">
        <v>12.5</v>
      </c>
      <c r="AL17" s="7">
        <v>0.12000000000000001</v>
      </c>
      <c r="AM17" s="6">
        <v>9.9499999999999993</v>
      </c>
    </row>
    <row r="18" spans="1:39" x14ac:dyDescent="0.25">
      <c r="A18" s="5" t="s">
        <v>97</v>
      </c>
      <c r="B18" s="5" t="s">
        <v>468</v>
      </c>
      <c r="C18" s="17">
        <v>44881</v>
      </c>
      <c r="D18" s="3">
        <v>148.10000000000002</v>
      </c>
      <c r="E18" s="3">
        <v>145.34000000000003</v>
      </c>
      <c r="F18" s="3">
        <v>4.4587499999999993</v>
      </c>
      <c r="G18" s="6">
        <v>5573.1229174868777</v>
      </c>
      <c r="H18" s="4">
        <v>17.520000000000003</v>
      </c>
      <c r="I18" s="4">
        <v>337.55999999999995</v>
      </c>
      <c r="J18" s="4">
        <v>320.03999999999996</v>
      </c>
      <c r="K18" s="4">
        <v>301.02999999999997</v>
      </c>
      <c r="L18" s="7">
        <v>5.939882514685662</v>
      </c>
      <c r="M18" s="6">
        <v>5242.0859637891353</v>
      </c>
      <c r="N18" s="14">
        <v>44882</v>
      </c>
      <c r="O18" s="4">
        <v>21.27</v>
      </c>
      <c r="P18" s="4">
        <v>7.26</v>
      </c>
      <c r="Q18" s="4">
        <v>14.86</v>
      </c>
      <c r="R18" s="8">
        <v>0.3308924760506356</v>
      </c>
      <c r="S18" s="8">
        <v>0.54956924283192521</v>
      </c>
      <c r="T18" s="8">
        <v>0.11953828111743925</v>
      </c>
      <c r="U18" s="6">
        <v>1844.104441501775</v>
      </c>
      <c r="V18" s="6">
        <v>3062.8169419725132</v>
      </c>
      <c r="W18" s="6">
        <v>4906.9213834742877</v>
      </c>
      <c r="X18" s="6">
        <v>1734.5668042284694</v>
      </c>
      <c r="Y18" s="6">
        <v>2880.889213979458</v>
      </c>
      <c r="Z18" s="6">
        <v>4615.4560182079276</v>
      </c>
      <c r="AB18" s="14">
        <v>44980</v>
      </c>
      <c r="AC18" s="6">
        <v>43.6</v>
      </c>
      <c r="AD18" s="11">
        <v>1.1825000000000001</v>
      </c>
      <c r="AE18" s="6">
        <v>80.599999999999994</v>
      </c>
      <c r="AF18" s="6">
        <v>30.1</v>
      </c>
      <c r="AG18" s="6">
        <v>6.25</v>
      </c>
      <c r="AH18" s="6">
        <v>80.75</v>
      </c>
      <c r="AI18" s="6">
        <v>8.1999999999999993</v>
      </c>
      <c r="AK18" s="12">
        <v>20</v>
      </c>
      <c r="AL18" s="7">
        <v>0.24</v>
      </c>
      <c r="AM18" s="6">
        <v>9.1499999999999986</v>
      </c>
    </row>
    <row r="19" spans="1:39" x14ac:dyDescent="0.25">
      <c r="A19" s="5" t="s">
        <v>98</v>
      </c>
      <c r="B19" s="5" t="s">
        <v>468</v>
      </c>
      <c r="C19" s="17">
        <v>44881</v>
      </c>
      <c r="D19" s="3">
        <v>154</v>
      </c>
      <c r="E19" s="3">
        <v>151.24</v>
      </c>
      <c r="F19" s="3">
        <v>5.9587500000000002</v>
      </c>
      <c r="G19" s="6">
        <v>5848.4330224737532</v>
      </c>
      <c r="H19" s="4">
        <v>17.53</v>
      </c>
      <c r="I19" s="4">
        <v>317.37</v>
      </c>
      <c r="J19" s="4">
        <v>299.84000000000003</v>
      </c>
      <c r="K19" s="4">
        <v>284.49</v>
      </c>
      <c r="L19" s="7">
        <v>5.1193970117396015</v>
      </c>
      <c r="M19" s="6">
        <v>5549.0285170876396</v>
      </c>
      <c r="N19" s="14">
        <v>44882</v>
      </c>
      <c r="O19" s="4">
        <v>21.65</v>
      </c>
      <c r="P19" s="4">
        <v>7.92</v>
      </c>
      <c r="Q19" s="4">
        <v>14.219999999999999</v>
      </c>
      <c r="R19" s="8">
        <v>0.35605465400507685</v>
      </c>
      <c r="S19" s="8">
        <v>0.50959144925065225</v>
      </c>
      <c r="T19" s="8">
        <v>0.1343538967442709</v>
      </c>
      <c r="U19" s="6">
        <v>2082.3617962887579</v>
      </c>
      <c r="V19" s="6">
        <v>2980.3114597677722</v>
      </c>
      <c r="W19" s="6">
        <v>5062.6732560565306</v>
      </c>
      <c r="X19" s="6">
        <v>1975.7574287159441</v>
      </c>
      <c r="Y19" s="6">
        <v>2827.7374839558879</v>
      </c>
      <c r="Z19" s="6">
        <v>4803.494912671832</v>
      </c>
      <c r="AB19" s="14">
        <v>44980</v>
      </c>
      <c r="AC19" s="6">
        <v>47.9</v>
      </c>
      <c r="AD19" s="11">
        <v>1.133</v>
      </c>
      <c r="AE19" s="6">
        <v>81.25</v>
      </c>
      <c r="AF19" s="6">
        <v>30.85</v>
      </c>
      <c r="AG19" s="6">
        <v>5.45</v>
      </c>
      <c r="AH19" s="6">
        <v>79.650000000000006</v>
      </c>
      <c r="AI19" s="6">
        <v>8.9499999999999993</v>
      </c>
      <c r="AK19" s="12">
        <v>14</v>
      </c>
      <c r="AL19" s="7">
        <v>0.15000000000000002</v>
      </c>
      <c r="AM19" s="6">
        <v>8.5</v>
      </c>
    </row>
    <row r="20" spans="1:39" x14ac:dyDescent="0.25">
      <c r="A20" s="5" t="s">
        <v>99</v>
      </c>
      <c r="B20" s="5" t="s">
        <v>468</v>
      </c>
      <c r="C20" s="17">
        <v>44881</v>
      </c>
      <c r="D20" s="3">
        <v>116.50000000000001</v>
      </c>
      <c r="E20" s="3">
        <v>113.74000000000001</v>
      </c>
      <c r="F20" s="3">
        <v>5.9587500000000002</v>
      </c>
      <c r="G20" s="6">
        <v>4453.280463418635</v>
      </c>
      <c r="H20" s="4">
        <v>17.489999999999998</v>
      </c>
      <c r="I20" s="4">
        <v>321.87</v>
      </c>
      <c r="J20" s="4">
        <v>304.38</v>
      </c>
      <c r="K20" s="4">
        <v>288.10000000000002</v>
      </c>
      <c r="L20" s="7">
        <v>5.3485774360996032</v>
      </c>
      <c r="M20" s="6">
        <v>4215.093309385994</v>
      </c>
      <c r="N20" s="14">
        <v>44882</v>
      </c>
      <c r="O20" s="4">
        <v>16.73</v>
      </c>
      <c r="P20" s="4">
        <v>6.26</v>
      </c>
      <c r="Q20" s="4">
        <v>11.84</v>
      </c>
      <c r="R20" s="8">
        <v>0.36168149222398033</v>
      </c>
      <c r="S20" s="8">
        <v>0.51738843972379556</v>
      </c>
      <c r="T20" s="8">
        <v>0.12093006805222406</v>
      </c>
      <c r="U20" s="6">
        <v>1610.6691233011506</v>
      </c>
      <c r="V20" s="6">
        <v>2304.0758306206289</v>
      </c>
      <c r="W20" s="6">
        <v>3914.7449539217796</v>
      </c>
      <c r="X20" s="6">
        <v>1524.5212380020419</v>
      </c>
      <c r="Y20" s="6">
        <v>2180.8405506334293</v>
      </c>
      <c r="Z20" s="6">
        <v>3705.3617886354714</v>
      </c>
      <c r="AB20" s="14">
        <v>44980</v>
      </c>
      <c r="AC20" s="6">
        <v>48.75</v>
      </c>
      <c r="AD20" s="11">
        <v>1.099</v>
      </c>
      <c r="AE20" s="6">
        <v>81.099999999999994</v>
      </c>
      <c r="AF20" s="6">
        <v>30.2</v>
      </c>
      <c r="AG20" s="6">
        <v>5.25</v>
      </c>
      <c r="AH20" s="6">
        <v>78.55</v>
      </c>
      <c r="AI20" s="6">
        <v>9.1999999999999993</v>
      </c>
      <c r="AK20" s="12">
        <v>10.5</v>
      </c>
      <c r="AL20" s="7">
        <v>0.11</v>
      </c>
      <c r="AM20" s="6">
        <v>8.75</v>
      </c>
    </row>
    <row r="21" spans="1:39" x14ac:dyDescent="0.25">
      <c r="A21" s="5" t="s">
        <v>100</v>
      </c>
      <c r="B21" s="5" t="s">
        <v>468</v>
      </c>
      <c r="C21" s="17">
        <v>44881</v>
      </c>
      <c r="D21" s="3">
        <v>123.6</v>
      </c>
      <c r="E21" s="3">
        <v>120.83999999999999</v>
      </c>
      <c r="F21" s="3">
        <v>5.9587500000000002</v>
      </c>
      <c r="G21" s="6">
        <v>4717.4293479330699</v>
      </c>
      <c r="H21" s="4">
        <v>17.53</v>
      </c>
      <c r="I21" s="4">
        <v>349.25</v>
      </c>
      <c r="J21" s="4">
        <v>331.72</v>
      </c>
      <c r="K21" s="4">
        <v>312.96000000000004</v>
      </c>
      <c r="L21" s="7">
        <v>5.6553720004823314</v>
      </c>
      <c r="M21" s="6">
        <v>4450.6411694475273</v>
      </c>
      <c r="N21" s="14">
        <v>44882</v>
      </c>
      <c r="O21" s="4">
        <v>16.54</v>
      </c>
      <c r="P21" s="4">
        <v>6.1</v>
      </c>
      <c r="Q21" s="4">
        <v>11.76</v>
      </c>
      <c r="R21" s="8">
        <v>0.35601987582304601</v>
      </c>
      <c r="S21" s="8">
        <v>0.51852372158199733</v>
      </c>
      <c r="T21" s="8">
        <v>0.12545640259495672</v>
      </c>
      <c r="U21" s="6">
        <v>1679.4986106551244</v>
      </c>
      <c r="V21" s="6">
        <v>2446.0990217903905</v>
      </c>
      <c r="W21" s="6">
        <v>4125.597632445515</v>
      </c>
      <c r="X21" s="6">
        <v>1584.5167164796449</v>
      </c>
      <c r="Y21" s="6">
        <v>2307.7630226079846</v>
      </c>
      <c r="Z21" s="6">
        <v>3892.2797390876294</v>
      </c>
      <c r="AB21" s="14">
        <v>44980</v>
      </c>
      <c r="AC21" s="6">
        <v>47.5</v>
      </c>
      <c r="AD21" s="11">
        <v>1.0794999999999999</v>
      </c>
      <c r="AE21" s="6">
        <v>80.199999999999989</v>
      </c>
      <c r="AF21" s="6">
        <v>29.95</v>
      </c>
      <c r="AG21" s="6">
        <v>5.15</v>
      </c>
      <c r="AH21" s="6">
        <v>78.349999999999994</v>
      </c>
      <c r="AI21" s="6">
        <v>9</v>
      </c>
      <c r="AK21" s="12">
        <v>14.5</v>
      </c>
      <c r="AL21" s="7">
        <v>0.21</v>
      </c>
      <c r="AM21" s="6">
        <v>9.75</v>
      </c>
    </row>
    <row r="22" spans="1:39" x14ac:dyDescent="0.25">
      <c r="A22" s="5" t="s">
        <v>101</v>
      </c>
      <c r="B22" s="5" t="s">
        <v>468</v>
      </c>
      <c r="C22" s="17">
        <v>44881</v>
      </c>
      <c r="D22" s="3">
        <v>149.1</v>
      </c>
      <c r="E22" s="3">
        <v>146.34</v>
      </c>
      <c r="F22" s="3">
        <v>5.9587500000000002</v>
      </c>
      <c r="G22" s="6">
        <v>5666.1330880905516</v>
      </c>
      <c r="H22" s="4">
        <v>17.490000000000002</v>
      </c>
      <c r="I22" s="4">
        <v>434.58000000000004</v>
      </c>
      <c r="J22" s="4">
        <v>417.09000000000003</v>
      </c>
      <c r="K22" s="4">
        <v>394.64</v>
      </c>
      <c r="L22" s="7">
        <v>5.3825313481502901</v>
      </c>
      <c r="M22" s="6">
        <v>5361.1516983961619</v>
      </c>
      <c r="N22" s="14">
        <v>44882</v>
      </c>
      <c r="O22" s="4">
        <v>22.68</v>
      </c>
      <c r="P22" s="4">
        <v>8.379999999999999</v>
      </c>
      <c r="Q22" s="4">
        <v>14.7</v>
      </c>
      <c r="R22" s="8">
        <v>0.36024389097151982</v>
      </c>
      <c r="S22" s="8">
        <v>0.50757555710451041</v>
      </c>
      <c r="T22" s="8">
        <v>0.13218055192396982</v>
      </c>
      <c r="U22" s="6">
        <v>2041.1898304162137</v>
      </c>
      <c r="V22" s="6">
        <v>2875.9906588158615</v>
      </c>
      <c r="W22" s="6">
        <v>4917.1804892320752</v>
      </c>
      <c r="X22" s="6">
        <v>1931.3221479188053</v>
      </c>
      <c r="Y22" s="6">
        <v>2721.1895600352241</v>
      </c>
      <c r="Z22" s="6">
        <v>4652.5117079540296</v>
      </c>
      <c r="AB22" s="14">
        <v>44980</v>
      </c>
      <c r="AC22" s="6">
        <v>46.349999999999994</v>
      </c>
      <c r="AD22" s="11">
        <v>1.111</v>
      </c>
      <c r="AE22" s="6">
        <v>80.849999999999994</v>
      </c>
      <c r="AF22" s="6">
        <v>30.6</v>
      </c>
      <c r="AG22" s="6">
        <v>5.45</v>
      </c>
      <c r="AH22" s="6">
        <v>79.599999999999994</v>
      </c>
      <c r="AI22" s="6">
        <v>8.85</v>
      </c>
      <c r="AK22" s="12">
        <v>19</v>
      </c>
      <c r="AL22" s="7">
        <v>0.33499999999999996</v>
      </c>
      <c r="AM22" s="6">
        <v>9.1000000000000014</v>
      </c>
    </row>
    <row r="23" spans="1:39" x14ac:dyDescent="0.25">
      <c r="A23" s="5" t="s">
        <v>102</v>
      </c>
      <c r="B23" s="5" t="s">
        <v>468</v>
      </c>
      <c r="C23" s="17">
        <v>44881</v>
      </c>
      <c r="D23" s="3">
        <v>124.00000000000001</v>
      </c>
      <c r="E23" s="3">
        <v>121.24000000000001</v>
      </c>
      <c r="F23" s="3">
        <v>4.1962499999999991</v>
      </c>
      <c r="G23" s="6">
        <v>4666.7388049540677</v>
      </c>
      <c r="H23" s="4">
        <v>17.310000000000002</v>
      </c>
      <c r="I23" s="4">
        <v>334.03999999999996</v>
      </c>
      <c r="J23" s="4">
        <v>316.72999999999996</v>
      </c>
      <c r="K23" s="4">
        <v>300.02999999999997</v>
      </c>
      <c r="L23" s="7">
        <v>5.2726296845893952</v>
      </c>
      <c r="M23" s="6">
        <v>4420.6789494218074</v>
      </c>
      <c r="N23" s="14">
        <v>44882</v>
      </c>
      <c r="O23" s="4">
        <v>17.57</v>
      </c>
      <c r="P23" s="4">
        <v>6.3599999999999994</v>
      </c>
      <c r="Q23" s="4">
        <v>12.3</v>
      </c>
      <c r="R23" s="8">
        <v>0.34979925160869874</v>
      </c>
      <c r="S23" s="8">
        <v>0.51886888988623658</v>
      </c>
      <c r="T23" s="8">
        <v>0.13133185850506468</v>
      </c>
      <c r="U23" s="6">
        <v>1632.4217414262059</v>
      </c>
      <c r="V23" s="6">
        <v>2421.4255831155397</v>
      </c>
      <c r="W23" s="6">
        <v>4053.8473245417454</v>
      </c>
      <c r="X23" s="6">
        <v>1546.3501881100767</v>
      </c>
      <c r="Y23" s="6">
        <v>2293.7527790299478</v>
      </c>
      <c r="Z23" s="6">
        <v>3840.1029671400247</v>
      </c>
      <c r="AB23" s="14">
        <v>44980</v>
      </c>
      <c r="AC23" s="6">
        <v>47.150000000000006</v>
      </c>
      <c r="AD23" s="11">
        <v>1.0775000000000001</v>
      </c>
      <c r="AE23" s="6">
        <v>79.45</v>
      </c>
      <c r="AF23" s="6">
        <v>28.85</v>
      </c>
      <c r="AG23" s="6">
        <v>5.35</v>
      </c>
      <c r="AH23" s="6">
        <v>78.900000000000006</v>
      </c>
      <c r="AI23" s="6">
        <v>9.0500000000000007</v>
      </c>
      <c r="AK23" s="12">
        <v>13.5</v>
      </c>
      <c r="AL23" s="7">
        <v>0.23499999999999999</v>
      </c>
      <c r="AM23" s="6">
        <v>9.75</v>
      </c>
    </row>
    <row r="24" spans="1:39" x14ac:dyDescent="0.25">
      <c r="A24" s="5" t="s">
        <v>103</v>
      </c>
      <c r="B24" s="5" t="s">
        <v>468</v>
      </c>
      <c r="C24" s="17">
        <v>44881</v>
      </c>
      <c r="D24" s="3">
        <v>112.69999999999999</v>
      </c>
      <c r="E24" s="3">
        <v>109.93999999999998</v>
      </c>
      <c r="F24" s="3">
        <v>4.1962499999999991</v>
      </c>
      <c r="G24" s="6">
        <v>4246.3328338254587</v>
      </c>
      <c r="H24" s="4">
        <v>17.32</v>
      </c>
      <c r="I24" s="4">
        <v>376.86</v>
      </c>
      <c r="J24" s="4">
        <v>359.54</v>
      </c>
      <c r="K24" s="4">
        <v>341.1</v>
      </c>
      <c r="L24" s="7">
        <v>5.1287756577849466</v>
      </c>
      <c r="M24" s="6">
        <v>4028.5479490956891</v>
      </c>
      <c r="N24" s="14">
        <v>44882</v>
      </c>
      <c r="O24" s="4">
        <v>19.21</v>
      </c>
      <c r="P24" s="4">
        <v>7.2</v>
      </c>
      <c r="Q24" s="4">
        <v>13</v>
      </c>
      <c r="R24" s="8">
        <v>0.36397120631023733</v>
      </c>
      <c r="S24" s="8">
        <v>0.51083678078629802</v>
      </c>
      <c r="T24" s="8">
        <v>0.1251920129034646</v>
      </c>
      <c r="U24" s="6">
        <v>1545.5428839222207</v>
      </c>
      <c r="V24" s="6">
        <v>2169.1829949785556</v>
      </c>
      <c r="W24" s="6">
        <v>3714.7258789007765</v>
      </c>
      <c r="X24" s="6">
        <v>1466.2754567109905</v>
      </c>
      <c r="Y24" s="6">
        <v>2057.930465559285</v>
      </c>
      <c r="Z24" s="6">
        <v>3524.2059222702756</v>
      </c>
      <c r="AB24" s="14">
        <v>44980</v>
      </c>
      <c r="AC24" s="6">
        <v>49.149999999999991</v>
      </c>
      <c r="AD24" s="11">
        <v>1.0685</v>
      </c>
      <c r="AE24" s="6">
        <v>80.150000000000006</v>
      </c>
      <c r="AF24" s="6">
        <v>28.55</v>
      </c>
      <c r="AG24" s="6">
        <v>5.5</v>
      </c>
      <c r="AH24" s="6">
        <v>79.05</v>
      </c>
      <c r="AI24" s="6">
        <v>9.4</v>
      </c>
      <c r="AK24" s="12">
        <v>11.5</v>
      </c>
      <c r="AL24" s="7">
        <v>0.13</v>
      </c>
      <c r="AM24" s="6">
        <v>10.15</v>
      </c>
    </row>
    <row r="25" spans="1:39" x14ac:dyDescent="0.25">
      <c r="A25" s="5" t="s">
        <v>104</v>
      </c>
      <c r="B25" s="5" t="s">
        <v>468</v>
      </c>
      <c r="C25" s="17">
        <v>44881</v>
      </c>
      <c r="D25" s="3">
        <v>89.7</v>
      </c>
      <c r="E25" s="3">
        <v>86.94</v>
      </c>
      <c r="F25" s="3">
        <v>4.1962499999999991</v>
      </c>
      <c r="G25" s="6">
        <v>3390.6392642716532</v>
      </c>
      <c r="H25" s="4">
        <v>17.490000000000002</v>
      </c>
      <c r="I25" s="4">
        <v>314.89999999999998</v>
      </c>
      <c r="J25" s="4">
        <v>297.40999999999997</v>
      </c>
      <c r="K25" s="4">
        <v>281.01</v>
      </c>
      <c r="L25" s="7">
        <v>5.5142732255135938</v>
      </c>
      <c r="M25" s="6">
        <v>3203.6701511481706</v>
      </c>
      <c r="N25" s="14">
        <v>44882</v>
      </c>
      <c r="O25" s="4">
        <v>15.12</v>
      </c>
      <c r="P25" s="4">
        <v>5.74</v>
      </c>
      <c r="Q25" s="4">
        <v>10.92</v>
      </c>
      <c r="R25" s="8">
        <v>0.36591930039146237</v>
      </c>
      <c r="S25" s="8">
        <v>0.51147084366985074</v>
      </c>
      <c r="T25" s="8">
        <v>0.1226098559386869</v>
      </c>
      <c r="U25" s="6">
        <v>1240.700347462106</v>
      </c>
      <c r="V25" s="6">
        <v>1734.2131250771445</v>
      </c>
      <c r="W25" s="6">
        <v>2974.9134725392505</v>
      </c>
      <c r="X25" s="6">
        <v>1172.2847403931491</v>
      </c>
      <c r="Y25" s="6">
        <v>1638.583875047673</v>
      </c>
      <c r="Z25" s="6">
        <v>2810.8686154408224</v>
      </c>
      <c r="AB25" s="14">
        <v>44980</v>
      </c>
      <c r="AC25" s="6">
        <v>48.6</v>
      </c>
      <c r="AD25" s="11">
        <v>1.097</v>
      </c>
      <c r="AE25" s="6">
        <v>81.25</v>
      </c>
      <c r="AF25" s="6">
        <v>29.75</v>
      </c>
      <c r="AG25" s="6">
        <v>5.1999999999999993</v>
      </c>
      <c r="AH25" s="6">
        <v>78.699999999999989</v>
      </c>
      <c r="AI25" s="6">
        <v>9.5</v>
      </c>
      <c r="AK25" s="12">
        <v>11</v>
      </c>
      <c r="AL25" s="7">
        <v>0.155</v>
      </c>
      <c r="AM25" s="6">
        <v>8.8500000000000014</v>
      </c>
    </row>
    <row r="26" spans="1:39" x14ac:dyDescent="0.25">
      <c r="A26" s="5" t="s">
        <v>105</v>
      </c>
      <c r="B26" s="5" t="s">
        <v>468</v>
      </c>
      <c r="C26" s="17">
        <v>44881</v>
      </c>
      <c r="D26" s="3">
        <v>88.9</v>
      </c>
      <c r="E26" s="3">
        <v>86.14</v>
      </c>
      <c r="F26" s="3">
        <v>4.1962499999999991</v>
      </c>
      <c r="G26" s="6">
        <v>3360.8760096784777</v>
      </c>
      <c r="H26" s="4">
        <v>17.440000000000001</v>
      </c>
      <c r="I26" s="4">
        <v>344.96</v>
      </c>
      <c r="J26" s="4">
        <v>327.52</v>
      </c>
      <c r="K26" s="4">
        <v>308.15999999999997</v>
      </c>
      <c r="L26" s="7">
        <v>5.9110893991206694</v>
      </c>
      <c r="M26" s="6">
        <v>3162.2116241527833</v>
      </c>
      <c r="N26" s="14">
        <v>44882</v>
      </c>
      <c r="O26" s="4">
        <v>12.7</v>
      </c>
      <c r="P26" s="4">
        <v>4.88</v>
      </c>
      <c r="Q26" s="4">
        <v>9.620000000000001</v>
      </c>
      <c r="R26" s="8">
        <v>0.36799740346242699</v>
      </c>
      <c r="S26" s="8">
        <v>0.50640350653457877</v>
      </c>
      <c r="T26" s="8">
        <v>0.1255990900029943</v>
      </c>
      <c r="U26" s="6">
        <v>1236.7936449208423</v>
      </c>
      <c r="V26" s="6">
        <v>1701.959396329124</v>
      </c>
      <c r="W26" s="6">
        <v>2938.7530412499664</v>
      </c>
      <c r="X26" s="6">
        <v>1163.6856668869284</v>
      </c>
      <c r="Y26" s="6">
        <v>1601.3550548753749</v>
      </c>
      <c r="Z26" s="6">
        <v>2765.0407217623033</v>
      </c>
      <c r="AB26" s="14">
        <v>44980</v>
      </c>
      <c r="AC26" s="6">
        <v>49.3</v>
      </c>
      <c r="AD26" s="11">
        <v>1.0455000000000001</v>
      </c>
      <c r="AE26" s="6">
        <v>80.7</v>
      </c>
      <c r="AF26" s="6">
        <v>28.95</v>
      </c>
      <c r="AG26" s="6">
        <v>5.25</v>
      </c>
      <c r="AH26" s="6">
        <v>77.400000000000006</v>
      </c>
      <c r="AI26" s="6">
        <v>9.75</v>
      </c>
      <c r="AK26" s="12">
        <v>8.5</v>
      </c>
      <c r="AL26" s="7">
        <v>7.0000000000000007E-2</v>
      </c>
      <c r="AM26" s="6">
        <v>9.65</v>
      </c>
    </row>
    <row r="27" spans="1:39" x14ac:dyDescent="0.25">
      <c r="A27" s="5" t="s">
        <v>106</v>
      </c>
      <c r="B27" s="5" t="s">
        <v>468</v>
      </c>
      <c r="C27" s="17">
        <v>44881</v>
      </c>
      <c r="D27" s="3">
        <v>114.2</v>
      </c>
      <c r="E27" s="3">
        <v>111.44</v>
      </c>
      <c r="F27" s="3">
        <v>3.1087499999999992</v>
      </c>
      <c r="G27" s="6">
        <v>4261.6795119750659</v>
      </c>
      <c r="H27" s="4">
        <v>17.509999999999998</v>
      </c>
      <c r="I27" s="4">
        <v>478.13</v>
      </c>
      <c r="J27" s="4">
        <v>460.62</v>
      </c>
      <c r="K27" s="4">
        <v>435.98</v>
      </c>
      <c r="L27" s="7">
        <v>5.3493117971429784</v>
      </c>
      <c r="M27" s="6">
        <v>4033.7089870845584</v>
      </c>
      <c r="N27" s="14">
        <v>44882</v>
      </c>
      <c r="O27" s="4">
        <v>16.759999999999998</v>
      </c>
      <c r="P27" s="4">
        <v>5.7200000000000006</v>
      </c>
      <c r="Q27" s="4">
        <v>12.36</v>
      </c>
      <c r="R27" s="8">
        <v>0.32797527469789423</v>
      </c>
      <c r="S27" s="8">
        <v>0.54825717561439025</v>
      </c>
      <c r="T27" s="8">
        <v>0.12376754968771553</v>
      </c>
      <c r="U27" s="6">
        <v>1397.72550861441</v>
      </c>
      <c r="V27" s="6">
        <v>2336.4963726091628</v>
      </c>
      <c r="W27" s="6">
        <v>3734.2218812235728</v>
      </c>
      <c r="X27" s="6">
        <v>1322.9568130904227</v>
      </c>
      <c r="Y27" s="6">
        <v>2211.509896509363</v>
      </c>
      <c r="Z27" s="6">
        <v>3534.4667095997856</v>
      </c>
      <c r="AB27" s="14">
        <v>44980</v>
      </c>
      <c r="AC27" s="6">
        <v>45.9</v>
      </c>
      <c r="AD27" s="11">
        <v>1.1425000000000001</v>
      </c>
      <c r="AE27" s="6">
        <v>79.400000000000006</v>
      </c>
      <c r="AF27" s="6">
        <v>28.5</v>
      </c>
      <c r="AG27" s="6">
        <v>6.0500000000000007</v>
      </c>
      <c r="AH27" s="6">
        <v>79.199999999999989</v>
      </c>
      <c r="AI27" s="6">
        <v>8.15</v>
      </c>
      <c r="AK27" s="12">
        <v>9</v>
      </c>
      <c r="AL27" s="7">
        <v>0.12</v>
      </c>
      <c r="AM27" s="6">
        <v>10</v>
      </c>
    </row>
    <row r="28" spans="1:39" x14ac:dyDescent="0.25">
      <c r="A28" s="5" t="s">
        <v>107</v>
      </c>
      <c r="B28" s="5" t="s">
        <v>468</v>
      </c>
      <c r="C28" s="17">
        <v>44881</v>
      </c>
      <c r="D28" s="3">
        <v>89.2</v>
      </c>
      <c r="E28" s="3">
        <v>86.44</v>
      </c>
      <c r="F28" s="3">
        <v>3.1087499999999992</v>
      </c>
      <c r="G28" s="6">
        <v>3331.5778059383201</v>
      </c>
      <c r="H28" s="4">
        <v>17.48</v>
      </c>
      <c r="I28" s="4">
        <v>312.39</v>
      </c>
      <c r="J28" s="4">
        <v>294.90999999999997</v>
      </c>
      <c r="K28" s="4">
        <v>278.2</v>
      </c>
      <c r="L28" s="7">
        <v>5.6661354311484793</v>
      </c>
      <c r="M28" s="6">
        <v>3142.8060954597699</v>
      </c>
      <c r="N28" s="14">
        <v>44882</v>
      </c>
      <c r="O28" s="4">
        <v>12.29</v>
      </c>
      <c r="P28" s="4">
        <v>4.42</v>
      </c>
      <c r="Q28" s="4">
        <v>9.84</v>
      </c>
      <c r="R28" s="8">
        <v>0.34196110292515747</v>
      </c>
      <c r="S28" s="8">
        <v>0.54242105981231881</v>
      </c>
      <c r="T28" s="8">
        <v>0.11561783726252373</v>
      </c>
      <c r="U28" s="6">
        <v>1139.2700209996442</v>
      </c>
      <c r="V28" s="6">
        <v>1807.1179643442633</v>
      </c>
      <c r="W28" s="6">
        <v>2946.3879853439075</v>
      </c>
      <c r="X28" s="6">
        <v>1074.7174386833306</v>
      </c>
      <c r="Y28" s="6">
        <v>1704.724213083904</v>
      </c>
      <c r="Z28" s="6">
        <v>2779.4416517672344</v>
      </c>
      <c r="AB28" s="14">
        <v>44980</v>
      </c>
      <c r="AC28" s="6">
        <v>49.95</v>
      </c>
      <c r="AD28" s="11">
        <v>1.1095000000000002</v>
      </c>
      <c r="AE28" s="6">
        <v>79.800000000000011</v>
      </c>
      <c r="AF28" s="6">
        <v>27.75</v>
      </c>
      <c r="AG28" s="6">
        <v>6</v>
      </c>
      <c r="AH28" s="6">
        <v>79.150000000000006</v>
      </c>
      <c r="AI28" s="6">
        <v>8.5</v>
      </c>
      <c r="AK28" s="12">
        <v>9.5</v>
      </c>
      <c r="AL28" s="7">
        <v>0.13500000000000001</v>
      </c>
      <c r="AM28" s="6">
        <v>9.8000000000000007</v>
      </c>
    </row>
    <row r="29" spans="1:39" x14ac:dyDescent="0.25">
      <c r="A29" s="5" t="s">
        <v>108</v>
      </c>
      <c r="B29" s="5" t="s">
        <v>468</v>
      </c>
      <c r="C29" s="17">
        <v>44881</v>
      </c>
      <c r="D29" s="3">
        <v>109.39999999999998</v>
      </c>
      <c r="E29" s="3">
        <v>106.63999999999997</v>
      </c>
      <c r="F29" s="3">
        <v>3.1087499999999992</v>
      </c>
      <c r="G29" s="6">
        <v>4083.0999844160092</v>
      </c>
      <c r="H29" s="4">
        <v>17.329999999999998</v>
      </c>
      <c r="I29" s="4">
        <v>369.89</v>
      </c>
      <c r="J29" s="4">
        <v>352.56</v>
      </c>
      <c r="K29" s="4">
        <v>335.65</v>
      </c>
      <c r="L29" s="7">
        <v>4.7963467211254889</v>
      </c>
      <c r="M29" s="6">
        <v>3887.2603521931965</v>
      </c>
      <c r="N29" s="14">
        <v>44882</v>
      </c>
      <c r="O29" s="4">
        <v>19.39</v>
      </c>
      <c r="P29" s="4">
        <v>6.82</v>
      </c>
      <c r="Q29" s="4">
        <v>13.8</v>
      </c>
      <c r="R29" s="8">
        <v>0.34048931253171189</v>
      </c>
      <c r="S29" s="8">
        <v>0.54815616878170337</v>
      </c>
      <c r="T29" s="8">
        <v>0.11135451868658475</v>
      </c>
      <c r="U29" s="6">
        <v>1390.2519066920504</v>
      </c>
      <c r="V29" s="6">
        <v>2238.1764442101125</v>
      </c>
      <c r="W29" s="6">
        <v>3628.4283509021629</v>
      </c>
      <c r="X29" s="6">
        <v>1323.5706049500418</v>
      </c>
      <c r="Y29" s="6">
        <v>2130.8257417152377</v>
      </c>
      <c r="Z29" s="6">
        <v>3454.3963466652795</v>
      </c>
      <c r="AB29" s="14">
        <v>44980</v>
      </c>
      <c r="AC29" s="6">
        <v>46.75</v>
      </c>
      <c r="AD29" s="11">
        <v>1.149</v>
      </c>
      <c r="AE29" s="6">
        <v>80.400000000000006</v>
      </c>
      <c r="AF29" s="6">
        <v>29.15</v>
      </c>
      <c r="AG29" s="6">
        <v>6.35</v>
      </c>
      <c r="AH29" s="6">
        <v>79.900000000000006</v>
      </c>
      <c r="AI29" s="6">
        <v>8.5500000000000007</v>
      </c>
      <c r="AK29" s="12">
        <v>14</v>
      </c>
      <c r="AL29" s="7">
        <v>0.21500000000000002</v>
      </c>
      <c r="AM29" s="6">
        <v>9.3000000000000007</v>
      </c>
    </row>
    <row r="30" spans="1:39" x14ac:dyDescent="0.25">
      <c r="A30" s="5" t="s">
        <v>109</v>
      </c>
      <c r="B30" s="5" t="s">
        <v>468</v>
      </c>
      <c r="C30" s="17">
        <v>44881</v>
      </c>
      <c r="D30" s="3">
        <v>95.9</v>
      </c>
      <c r="E30" s="3">
        <v>93.14</v>
      </c>
      <c r="F30" s="3">
        <v>3.1087499999999992</v>
      </c>
      <c r="G30" s="6">
        <v>3580.8450631561677</v>
      </c>
      <c r="H30" s="4">
        <v>17.229999999999997</v>
      </c>
      <c r="I30" s="4">
        <v>311.81</v>
      </c>
      <c r="J30" s="4">
        <v>294.58</v>
      </c>
      <c r="K30" s="4">
        <v>279.94</v>
      </c>
      <c r="L30" s="7">
        <v>4.9697874940593341</v>
      </c>
      <c r="M30" s="6">
        <v>3402.8846730257915</v>
      </c>
      <c r="N30" s="14">
        <v>44882</v>
      </c>
      <c r="O30" s="4">
        <v>12.45</v>
      </c>
      <c r="P30" s="4">
        <v>4.4800000000000004</v>
      </c>
      <c r="Q30" s="4">
        <v>10.02</v>
      </c>
      <c r="R30" s="8">
        <v>0.34240042457120762</v>
      </c>
      <c r="S30" s="8">
        <v>0.5501676724906297</v>
      </c>
      <c r="T30" s="8">
        <v>0.10743190293816274</v>
      </c>
      <c r="U30" s="6">
        <v>1226.0828699483845</v>
      </c>
      <c r="V30" s="6">
        <v>1970.0651939461907</v>
      </c>
      <c r="W30" s="6">
        <v>3196.148063894575</v>
      </c>
      <c r="X30" s="6">
        <v>1165.1491568108861</v>
      </c>
      <c r="Y30" s="6">
        <v>1872.1571403126372</v>
      </c>
      <c r="Z30" s="6">
        <v>3037.3062971235231</v>
      </c>
      <c r="AB30" s="14">
        <v>44980</v>
      </c>
      <c r="AC30" s="6">
        <v>46.75</v>
      </c>
      <c r="AD30" s="11">
        <v>1.1535</v>
      </c>
      <c r="AE30" s="6">
        <v>80.7</v>
      </c>
      <c r="AF30" s="6">
        <v>29.65</v>
      </c>
      <c r="AG30" s="6">
        <v>6.1999999999999993</v>
      </c>
      <c r="AH30" s="6">
        <v>79.599999999999994</v>
      </c>
      <c r="AI30" s="6">
        <v>8.85</v>
      </c>
      <c r="AK30" s="12">
        <v>10.5</v>
      </c>
      <c r="AL30" s="7">
        <v>0.115</v>
      </c>
      <c r="AM30" s="6">
        <v>9.25</v>
      </c>
    </row>
    <row r="31" spans="1:39" x14ac:dyDescent="0.25">
      <c r="A31" s="5" t="s">
        <v>110</v>
      </c>
      <c r="B31" s="5" t="s">
        <v>468</v>
      </c>
      <c r="C31" s="17">
        <v>44881</v>
      </c>
      <c r="D31" s="3">
        <v>102.2</v>
      </c>
      <c r="E31" s="3">
        <v>99.44</v>
      </c>
      <c r="F31" s="3">
        <v>5.7712500000000002</v>
      </c>
      <c r="G31" s="6">
        <v>3914.2865247703407</v>
      </c>
      <c r="H31" s="4">
        <v>17.32</v>
      </c>
      <c r="I31" s="4">
        <v>330.26</v>
      </c>
      <c r="J31" s="4">
        <v>312.94</v>
      </c>
      <c r="K31" s="4">
        <v>297.29999999999995</v>
      </c>
      <c r="L31" s="7">
        <v>4.9977631494855377</v>
      </c>
      <c r="M31" s="6">
        <v>3718.6597552700905</v>
      </c>
      <c r="N31" s="14">
        <v>44882</v>
      </c>
      <c r="O31" s="4">
        <v>13.52</v>
      </c>
      <c r="P31" s="4">
        <v>5.22</v>
      </c>
      <c r="Q31" s="4">
        <v>9.98</v>
      </c>
      <c r="R31" s="8">
        <v>0.37091604944404349</v>
      </c>
      <c r="S31" s="8">
        <v>0.50218675007033053</v>
      </c>
      <c r="T31" s="8">
        <v>0.12689720048562592</v>
      </c>
      <c r="U31" s="6">
        <v>1451.8716941598689</v>
      </c>
      <c r="V31" s="6">
        <v>1965.7028287185058</v>
      </c>
      <c r="W31" s="6">
        <v>3417.5745228783744</v>
      </c>
      <c r="X31" s="6">
        <v>1379.3105856513355</v>
      </c>
      <c r="Y31" s="6">
        <v>1867.4616571164174</v>
      </c>
      <c r="Z31" s="6">
        <v>3246.7722427677527</v>
      </c>
      <c r="AB31" s="14">
        <v>44980</v>
      </c>
      <c r="AC31" s="6">
        <v>49.400000000000006</v>
      </c>
      <c r="AD31" s="11">
        <v>1.1034999999999999</v>
      </c>
      <c r="AE31" s="6">
        <v>81.650000000000006</v>
      </c>
      <c r="AF31" s="6">
        <v>30.5</v>
      </c>
      <c r="AG31" s="6">
        <v>5.25</v>
      </c>
      <c r="AH31" s="6">
        <v>77.349999999999994</v>
      </c>
      <c r="AI31" s="6">
        <v>9.5500000000000007</v>
      </c>
      <c r="AK31" s="12">
        <v>15</v>
      </c>
      <c r="AL31" s="7">
        <v>0.185</v>
      </c>
      <c r="AM31" s="6">
        <v>8.75</v>
      </c>
    </row>
    <row r="32" spans="1:39" x14ac:dyDescent="0.25">
      <c r="A32" s="5" t="s">
        <v>111</v>
      </c>
      <c r="B32" s="5" t="s">
        <v>468</v>
      </c>
      <c r="C32" s="17">
        <v>44881</v>
      </c>
      <c r="D32" s="3">
        <v>126.6</v>
      </c>
      <c r="E32" s="3">
        <v>123.83999999999999</v>
      </c>
      <c r="F32" s="3">
        <v>5.7712500000000002</v>
      </c>
      <c r="G32" s="6">
        <v>4822.0657898622039</v>
      </c>
      <c r="H32" s="4">
        <v>17.12</v>
      </c>
      <c r="I32" s="4">
        <v>331.05</v>
      </c>
      <c r="J32" s="4">
        <v>313.93</v>
      </c>
      <c r="K32" s="4">
        <v>298.36</v>
      </c>
      <c r="L32" s="7">
        <v>4.959704392699007</v>
      </c>
      <c r="M32" s="6">
        <v>4582.9055810635718</v>
      </c>
      <c r="N32" s="14">
        <v>44882</v>
      </c>
      <c r="O32" s="4">
        <v>11.76</v>
      </c>
      <c r="P32" s="4">
        <v>4.26</v>
      </c>
      <c r="Q32" s="4">
        <v>7.64</v>
      </c>
      <c r="R32" s="8">
        <v>0.35320554042920127</v>
      </c>
      <c r="S32" s="8">
        <v>0.51422571327192534</v>
      </c>
      <c r="T32" s="8">
        <v>0.13256874629887339</v>
      </c>
      <c r="U32" s="6">
        <v>1703.180353293443</v>
      </c>
      <c r="V32" s="6">
        <v>2479.6302202360421</v>
      </c>
      <c r="W32" s="6">
        <v>4182.8105735294848</v>
      </c>
      <c r="X32" s="6">
        <v>1618.7076424955615</v>
      </c>
      <c r="Y32" s="6">
        <v>2356.6478912803027</v>
      </c>
      <c r="Z32" s="6">
        <v>3975.3555337758644</v>
      </c>
      <c r="AB32" s="14">
        <v>44980</v>
      </c>
      <c r="AC32" s="6">
        <v>47</v>
      </c>
      <c r="AD32" s="11">
        <v>1.1215000000000002</v>
      </c>
      <c r="AE32" s="6">
        <v>80.650000000000006</v>
      </c>
      <c r="AF32" s="6">
        <v>29.35</v>
      </c>
      <c r="AG32" s="6">
        <v>5.4</v>
      </c>
      <c r="AH32" s="6">
        <v>79.199999999999989</v>
      </c>
      <c r="AI32" s="6">
        <v>8.8000000000000007</v>
      </c>
      <c r="AK32" s="12">
        <v>12.5</v>
      </c>
      <c r="AL32" s="7">
        <v>0.16499999999999998</v>
      </c>
      <c r="AM32" s="6">
        <v>9.15</v>
      </c>
    </row>
    <row r="33" spans="1:39" x14ac:dyDescent="0.25">
      <c r="A33" s="5" t="s">
        <v>112</v>
      </c>
      <c r="B33" s="5" t="s">
        <v>468</v>
      </c>
      <c r="C33" s="17">
        <v>44881</v>
      </c>
      <c r="D33" s="3">
        <v>132.1</v>
      </c>
      <c r="E33" s="3">
        <v>129.34</v>
      </c>
      <c r="F33" s="3">
        <v>5.7712500000000002</v>
      </c>
      <c r="G33" s="6">
        <v>5026.6881651902895</v>
      </c>
      <c r="H33" s="4">
        <v>17.420000000000002</v>
      </c>
      <c r="I33" s="4">
        <v>512.91</v>
      </c>
      <c r="J33" s="4">
        <v>495.48999999999995</v>
      </c>
      <c r="K33" s="4">
        <v>469.77</v>
      </c>
      <c r="L33" s="7">
        <v>5.1908212072897486</v>
      </c>
      <c r="M33" s="6">
        <v>4765.7617698872682</v>
      </c>
      <c r="N33" s="14">
        <v>44882</v>
      </c>
      <c r="O33" s="4">
        <v>9.91</v>
      </c>
      <c r="P33" s="4">
        <v>3.64</v>
      </c>
      <c r="Q33" s="4">
        <v>6.62</v>
      </c>
      <c r="R33" s="8">
        <v>0.35665147916851075</v>
      </c>
      <c r="S33" s="8">
        <v>0.50714603396215985</v>
      </c>
      <c r="T33" s="8">
        <v>0.13620248686932945</v>
      </c>
      <c r="U33" s="6">
        <v>1792.7757694339641</v>
      </c>
      <c r="V33" s="6">
        <v>2549.2649669407815</v>
      </c>
      <c r="W33" s="6">
        <v>4342.0407363747454</v>
      </c>
      <c r="X33" s="6">
        <v>1699.7159845950339</v>
      </c>
      <c r="Y33" s="6">
        <v>2416.9371804068114</v>
      </c>
      <c r="Z33" s="6">
        <v>4116.6531650018451</v>
      </c>
      <c r="AB33" s="14">
        <v>44980</v>
      </c>
      <c r="AC33" s="6">
        <v>45.1</v>
      </c>
      <c r="AD33" s="11">
        <v>1.1375</v>
      </c>
      <c r="AE33" s="6">
        <v>80.449999999999989</v>
      </c>
      <c r="AF33" s="6">
        <v>30.049999999999997</v>
      </c>
      <c r="AG33" s="6">
        <v>5.5500000000000007</v>
      </c>
      <c r="AH33" s="6">
        <v>79</v>
      </c>
      <c r="AI33" s="6">
        <v>8.8000000000000007</v>
      </c>
      <c r="AK33" s="12">
        <v>12.5</v>
      </c>
      <c r="AL33" s="7">
        <v>0.23</v>
      </c>
      <c r="AM33" s="6">
        <v>8.8000000000000007</v>
      </c>
    </row>
    <row r="34" spans="1:39" x14ac:dyDescent="0.25">
      <c r="A34" s="5" t="s">
        <v>113</v>
      </c>
      <c r="B34" s="5" t="s">
        <v>468</v>
      </c>
      <c r="C34" s="17">
        <v>44881</v>
      </c>
      <c r="D34" s="3">
        <v>99.399999999999991</v>
      </c>
      <c r="E34" s="3">
        <v>96.639999999999986</v>
      </c>
      <c r="F34" s="3">
        <v>5.7712500000000002</v>
      </c>
      <c r="G34" s="6">
        <v>3810.1151336942253</v>
      </c>
      <c r="H34" s="4">
        <v>17.36</v>
      </c>
      <c r="I34" s="4">
        <v>324.97000000000003</v>
      </c>
      <c r="J34" s="4">
        <v>307.61</v>
      </c>
      <c r="K34" s="4">
        <v>293.45000000000005</v>
      </c>
      <c r="L34" s="7">
        <v>4.6032313643899636</v>
      </c>
      <c r="M34" s="6">
        <v>3634.7267188406445</v>
      </c>
      <c r="N34" s="14">
        <v>44882</v>
      </c>
      <c r="O34" s="4">
        <v>7.84</v>
      </c>
      <c r="P34" s="4">
        <v>2.92</v>
      </c>
      <c r="Q34" s="4">
        <v>5.6</v>
      </c>
      <c r="R34" s="8">
        <v>0.35904536326930914</v>
      </c>
      <c r="S34" s="8">
        <v>0.51104996961689986</v>
      </c>
      <c r="T34" s="8">
        <v>0.12990466711379101</v>
      </c>
      <c r="U34" s="6">
        <v>1368.0041722751355</v>
      </c>
      <c r="V34" s="6">
        <v>1947.1592233113242</v>
      </c>
      <c r="W34" s="6">
        <v>3315.16339558646</v>
      </c>
      <c r="X34" s="6">
        <v>1305.0317751508032</v>
      </c>
      <c r="Y34" s="6">
        <v>1857.5269792292454</v>
      </c>
      <c r="Z34" s="6">
        <v>3162.5587543800484</v>
      </c>
      <c r="AB34" s="14">
        <v>44980</v>
      </c>
      <c r="AC34" s="6">
        <v>50.3</v>
      </c>
      <c r="AD34" s="11">
        <v>1.1065</v>
      </c>
      <c r="AE34" s="6">
        <v>80.800000000000011</v>
      </c>
      <c r="AF34" s="6">
        <v>28.85</v>
      </c>
      <c r="AG34" s="6">
        <v>5.3</v>
      </c>
      <c r="AH34" s="6">
        <v>76.599999999999994</v>
      </c>
      <c r="AI34" s="6">
        <v>8.8000000000000007</v>
      </c>
      <c r="AK34" s="12">
        <v>21.5</v>
      </c>
      <c r="AL34" s="7">
        <v>0.21500000000000002</v>
      </c>
      <c r="AM34" s="6">
        <v>9.3500000000000014</v>
      </c>
    </row>
    <row r="35" spans="1:39" x14ac:dyDescent="0.25">
      <c r="A35" s="5" t="s">
        <v>114</v>
      </c>
      <c r="B35" s="5" t="s">
        <v>468</v>
      </c>
      <c r="C35" s="17">
        <v>44881</v>
      </c>
      <c r="D35" s="3">
        <v>109.7</v>
      </c>
      <c r="E35" s="3">
        <v>106.94</v>
      </c>
      <c r="F35" s="3">
        <v>3.277499999999999</v>
      </c>
      <c r="G35" s="6">
        <v>4100.5393914041997</v>
      </c>
      <c r="H35" s="4">
        <v>17.34</v>
      </c>
      <c r="I35" s="4">
        <v>315.37</v>
      </c>
      <c r="J35" s="4">
        <v>298.03000000000003</v>
      </c>
      <c r="K35" s="4">
        <v>283.37</v>
      </c>
      <c r="L35" s="7">
        <v>4.9189678891386857</v>
      </c>
      <c r="M35" s="6">
        <v>3898.8351754595446</v>
      </c>
      <c r="N35" s="14">
        <v>44882</v>
      </c>
      <c r="O35" s="4">
        <v>8.18</v>
      </c>
      <c r="P35" s="4">
        <v>2.8</v>
      </c>
      <c r="Q35" s="4">
        <v>5.98</v>
      </c>
      <c r="R35" s="8">
        <v>0.32867717043299255</v>
      </c>
      <c r="S35" s="8">
        <v>0.53692301124168251</v>
      </c>
      <c r="T35" s="8">
        <v>0.13439981832532499</v>
      </c>
      <c r="U35" s="6">
        <v>1347.7536844157578</v>
      </c>
      <c r="V35" s="6">
        <v>2201.6739577478793</v>
      </c>
      <c r="W35" s="6">
        <v>3549.4276421636368</v>
      </c>
      <c r="X35" s="6">
        <v>1281.4581134546631</v>
      </c>
      <c r="Y35" s="6">
        <v>2093.3743227427321</v>
      </c>
      <c r="Z35" s="6">
        <v>3374.8324361973955</v>
      </c>
      <c r="AB35" s="14">
        <v>44980</v>
      </c>
      <c r="AC35" s="6">
        <v>50.349999999999994</v>
      </c>
      <c r="AD35" s="11">
        <v>1.0845</v>
      </c>
      <c r="AE35" s="6">
        <v>79.7</v>
      </c>
      <c r="AF35" s="6">
        <v>27.2</v>
      </c>
      <c r="AG35" s="6">
        <v>5.8</v>
      </c>
      <c r="AH35" s="6">
        <v>78.650000000000006</v>
      </c>
      <c r="AI35" s="6">
        <v>8.8000000000000007</v>
      </c>
      <c r="AK35" s="12">
        <v>14</v>
      </c>
      <c r="AL35" s="7">
        <v>0.18</v>
      </c>
      <c r="AM35" s="6">
        <v>10.35</v>
      </c>
    </row>
    <row r="36" spans="1:39" x14ac:dyDescent="0.25">
      <c r="A36" s="5" t="s">
        <v>115</v>
      </c>
      <c r="B36" s="5" t="s">
        <v>468</v>
      </c>
      <c r="C36" s="17">
        <v>44881</v>
      </c>
      <c r="D36" s="3">
        <v>130.69999999999999</v>
      </c>
      <c r="E36" s="3">
        <v>127.93999999999998</v>
      </c>
      <c r="F36" s="3">
        <v>3.277499999999999</v>
      </c>
      <c r="G36" s="6">
        <v>4881.8248244750648</v>
      </c>
      <c r="H36" s="4">
        <v>17.369999999999997</v>
      </c>
      <c r="I36" s="4">
        <v>347.57</v>
      </c>
      <c r="J36" s="4">
        <v>330.2</v>
      </c>
      <c r="K36" s="4">
        <v>313.94</v>
      </c>
      <c r="L36" s="7">
        <v>4.9242883101150792</v>
      </c>
      <c r="M36" s="6">
        <v>4641.4296953231433</v>
      </c>
      <c r="N36" s="14">
        <v>44882</v>
      </c>
      <c r="O36" s="4">
        <v>19.05</v>
      </c>
      <c r="P36" s="4">
        <v>6.34</v>
      </c>
      <c r="Q36" s="4">
        <v>13.54</v>
      </c>
      <c r="R36" s="8">
        <v>0.32094122103437855</v>
      </c>
      <c r="S36" s="8">
        <v>0.54420467914525061</v>
      </c>
      <c r="T36" s="8">
        <v>0.13485409982037089</v>
      </c>
      <c r="U36" s="6">
        <v>1566.7788200429682</v>
      </c>
      <c r="V36" s="6">
        <v>2656.711912246772</v>
      </c>
      <c r="W36" s="6">
        <v>4223.4907322897398</v>
      </c>
      <c r="X36" s="6">
        <v>1489.6261137622332</v>
      </c>
      <c r="Y36" s="6">
        <v>2525.8877581185693</v>
      </c>
      <c r="Z36" s="6">
        <v>4015.5138718808025</v>
      </c>
      <c r="AB36" s="14">
        <v>44980</v>
      </c>
      <c r="AC36" s="6">
        <v>44.15</v>
      </c>
      <c r="AD36" s="11">
        <v>1.1825000000000001</v>
      </c>
      <c r="AE36" s="6">
        <v>81.150000000000006</v>
      </c>
      <c r="AF36" s="6">
        <v>29.95</v>
      </c>
      <c r="AG36" s="6">
        <v>6.15</v>
      </c>
      <c r="AH36" s="6">
        <v>81.5</v>
      </c>
      <c r="AI36" s="6">
        <v>8</v>
      </c>
      <c r="AK36" s="12">
        <v>14</v>
      </c>
      <c r="AL36" s="7">
        <v>0.17499999999999999</v>
      </c>
      <c r="AM36" s="6">
        <v>9</v>
      </c>
    </row>
    <row r="37" spans="1:39" x14ac:dyDescent="0.25">
      <c r="A37" s="5" t="s">
        <v>116</v>
      </c>
      <c r="B37" s="5" t="s">
        <v>468</v>
      </c>
      <c r="C37" s="17">
        <v>44881</v>
      </c>
      <c r="D37" s="3">
        <v>124</v>
      </c>
      <c r="E37" s="3">
        <v>121.24</v>
      </c>
      <c r="F37" s="3">
        <v>3.277499999999999</v>
      </c>
      <c r="G37" s="6">
        <v>4632.5575672572177</v>
      </c>
      <c r="H37" s="4">
        <v>17.28</v>
      </c>
      <c r="I37" s="4">
        <v>468.58</v>
      </c>
      <c r="J37" s="4">
        <v>451.29999999999995</v>
      </c>
      <c r="K37" s="4">
        <v>428.82000000000005</v>
      </c>
      <c r="L37" s="7">
        <v>4.9811655218258162</v>
      </c>
      <c r="M37" s="6">
        <v>4401.8022069382687</v>
      </c>
      <c r="N37" s="14">
        <v>44882</v>
      </c>
      <c r="O37" s="4">
        <v>16.330000000000002</v>
      </c>
      <c r="P37" s="4">
        <v>5.6</v>
      </c>
      <c r="Q37" s="4">
        <v>12.16</v>
      </c>
      <c r="R37" s="8">
        <v>0.32929682127717164</v>
      </c>
      <c r="S37" s="8">
        <v>0.55050384625725646</v>
      </c>
      <c r="T37" s="8">
        <v>0.12019933246557191</v>
      </c>
      <c r="U37" s="6">
        <v>1525.4864812813091</v>
      </c>
      <c r="V37" s="6">
        <v>2550.2407587832572</v>
      </c>
      <c r="W37" s="6">
        <v>4075.7272400645661</v>
      </c>
      <c r="X37" s="6">
        <v>1449.4994746356108</v>
      </c>
      <c r="Y37" s="6">
        <v>2423.209045383197</v>
      </c>
      <c r="Z37" s="6">
        <v>3872.7085200188076</v>
      </c>
      <c r="AB37" s="14">
        <v>44980</v>
      </c>
      <c r="AC37" s="6">
        <v>43.45</v>
      </c>
      <c r="AD37" s="11">
        <v>1.1930000000000001</v>
      </c>
      <c r="AE37" s="6">
        <v>80.8</v>
      </c>
      <c r="AF37" s="6">
        <v>30.35</v>
      </c>
      <c r="AG37" s="6">
        <v>6.15</v>
      </c>
      <c r="AH37" s="6">
        <v>81.349999999999994</v>
      </c>
      <c r="AI37" s="6">
        <v>8.15</v>
      </c>
      <c r="AK37" s="12">
        <v>13.5</v>
      </c>
      <c r="AL37" s="7">
        <v>0.14000000000000001</v>
      </c>
      <c r="AM37" s="6">
        <v>8.8000000000000007</v>
      </c>
    </row>
    <row r="38" spans="1:39" x14ac:dyDescent="0.25">
      <c r="A38" s="5" t="s">
        <v>117</v>
      </c>
      <c r="B38" s="5" t="s">
        <v>468</v>
      </c>
      <c r="C38" s="17">
        <v>44881</v>
      </c>
      <c r="D38" s="3">
        <v>97.600000000000009</v>
      </c>
      <c r="E38" s="3">
        <v>94.84</v>
      </c>
      <c r="F38" s="3">
        <v>3.277499999999999</v>
      </c>
      <c r="G38" s="6">
        <v>3650.3701656824151</v>
      </c>
      <c r="H38" s="4">
        <v>17.29</v>
      </c>
      <c r="I38" s="4">
        <v>360.88</v>
      </c>
      <c r="J38" s="4">
        <v>343.59</v>
      </c>
      <c r="K38" s="4">
        <v>327.59000000000003</v>
      </c>
      <c r="L38" s="7">
        <v>4.6567129427515193</v>
      </c>
      <c r="M38" s="6">
        <v>3480.3829057187422</v>
      </c>
      <c r="N38" s="14">
        <v>44882</v>
      </c>
      <c r="O38" s="4">
        <v>13.06</v>
      </c>
      <c r="P38" s="4">
        <v>4.4399999999999995</v>
      </c>
      <c r="Q38" s="4">
        <v>10.36</v>
      </c>
      <c r="R38" s="8">
        <v>0.32271599400462014</v>
      </c>
      <c r="S38" s="8">
        <v>0.55051551918435204</v>
      </c>
      <c r="T38" s="8">
        <v>0.12676848681102781</v>
      </c>
      <c r="U38" s="6">
        <v>1178.0328365030105</v>
      </c>
      <c r="V38" s="6">
        <v>2009.585426975724</v>
      </c>
      <c r="W38" s="6">
        <v>3187.6182634787347</v>
      </c>
      <c r="X38" s="6">
        <v>1123.1752289357121</v>
      </c>
      <c r="Y38" s="6">
        <v>1916.0048023020972</v>
      </c>
      <c r="Z38" s="6">
        <v>3039.1800312378091</v>
      </c>
      <c r="AB38" s="14">
        <v>44980</v>
      </c>
      <c r="AC38" s="6">
        <v>45.15</v>
      </c>
      <c r="AD38" s="11">
        <v>1.111</v>
      </c>
      <c r="AE38" s="6">
        <v>79.95</v>
      </c>
      <c r="AF38" s="6">
        <v>27.85</v>
      </c>
      <c r="AG38" s="6">
        <v>6.05</v>
      </c>
      <c r="AH38" s="6">
        <v>78.3</v>
      </c>
      <c r="AI38" s="6">
        <v>8.5</v>
      </c>
      <c r="AK38" s="12">
        <v>13</v>
      </c>
      <c r="AL38" s="7">
        <v>0.125</v>
      </c>
      <c r="AM38" s="6">
        <v>9.8000000000000007</v>
      </c>
    </row>
    <row r="39" spans="1:39" x14ac:dyDescent="0.25">
      <c r="A39" s="5" t="s">
        <v>118</v>
      </c>
      <c r="B39" s="5" t="s">
        <v>468</v>
      </c>
      <c r="C39" s="17">
        <v>44881</v>
      </c>
      <c r="D39" s="3">
        <v>71.199999999999989</v>
      </c>
      <c r="E39" s="3">
        <v>68.439999999999984</v>
      </c>
      <c r="F39" s="3">
        <v>2.7524999999999999</v>
      </c>
      <c r="G39" s="6">
        <v>2648.6506282808391</v>
      </c>
      <c r="H39" s="4">
        <v>17.34</v>
      </c>
      <c r="I39" s="4">
        <v>349.40999999999997</v>
      </c>
      <c r="J39" s="4">
        <v>332.07</v>
      </c>
      <c r="K39" s="4">
        <v>314.27999999999997</v>
      </c>
      <c r="L39" s="7">
        <v>5.357304182853019</v>
      </c>
      <c r="M39" s="6">
        <v>2506.754357382787</v>
      </c>
      <c r="N39" s="14">
        <v>44882</v>
      </c>
      <c r="O39" s="4">
        <v>11.06</v>
      </c>
      <c r="P39" s="4">
        <v>3.7800000000000002</v>
      </c>
      <c r="Q39" s="4">
        <v>9.18</v>
      </c>
      <c r="R39" s="8">
        <v>0.32134716670119928</v>
      </c>
      <c r="S39" s="8">
        <v>0.54309550395699746</v>
      </c>
      <c r="T39" s="8">
        <v>0.1355573293418032</v>
      </c>
      <c r="U39" s="6">
        <v>851.13637497939897</v>
      </c>
      <c r="V39" s="6">
        <v>1438.4702477722003</v>
      </c>
      <c r="W39" s="6">
        <v>2289.6066227515994</v>
      </c>
      <c r="X39" s="6">
        <v>805.53841036084418</v>
      </c>
      <c r="Y39" s="6">
        <v>1361.407021019204</v>
      </c>
      <c r="Z39" s="6">
        <v>2166.9454313800479</v>
      </c>
      <c r="AB39" s="14">
        <v>44980</v>
      </c>
      <c r="AC39" s="6">
        <v>48.2</v>
      </c>
      <c r="AD39" s="11">
        <v>1.095</v>
      </c>
      <c r="AE39" s="6">
        <v>77.599999999999994</v>
      </c>
      <c r="AF39" s="6">
        <v>26.3</v>
      </c>
      <c r="AG39" s="6">
        <v>6.15</v>
      </c>
      <c r="AH39" s="6">
        <v>78.25</v>
      </c>
      <c r="AI39" s="6">
        <v>8.5500000000000007</v>
      </c>
      <c r="AK39" s="12">
        <v>12.5</v>
      </c>
      <c r="AL39" s="7">
        <v>0.19</v>
      </c>
      <c r="AM39" s="6">
        <v>11.899999999999999</v>
      </c>
    </row>
    <row r="40" spans="1:39" x14ac:dyDescent="0.25">
      <c r="A40" s="5" t="s">
        <v>119</v>
      </c>
      <c r="B40" s="5" t="s">
        <v>468</v>
      </c>
      <c r="C40" s="17">
        <v>44881</v>
      </c>
      <c r="D40" s="3">
        <v>136.5</v>
      </c>
      <c r="E40" s="3">
        <v>133.74</v>
      </c>
      <c r="F40" s="3">
        <v>2.7524999999999999</v>
      </c>
      <c r="G40" s="6">
        <v>5078.076284448819</v>
      </c>
      <c r="H40" s="4">
        <v>17.579999999999998</v>
      </c>
      <c r="I40" s="4">
        <v>336.77</v>
      </c>
      <c r="J40" s="4">
        <v>319.19</v>
      </c>
      <c r="K40" s="4">
        <v>303.63</v>
      </c>
      <c r="L40" s="7">
        <v>4.8748394373257318</v>
      </c>
      <c r="M40" s="6">
        <v>4830.5282190770231</v>
      </c>
      <c r="N40" s="14">
        <v>44882</v>
      </c>
      <c r="O40" s="4">
        <v>18.509999999999998</v>
      </c>
      <c r="P40" s="4">
        <v>6.1999999999999993</v>
      </c>
      <c r="Q40" s="4">
        <v>13.42</v>
      </c>
      <c r="R40" s="8">
        <v>0.32278219932400387</v>
      </c>
      <c r="S40" s="8">
        <v>0.55381466390865053</v>
      </c>
      <c r="T40" s="8">
        <v>0.1234031367673456</v>
      </c>
      <c r="U40" s="6">
        <v>1639.1126314294556</v>
      </c>
      <c r="V40" s="6">
        <v>2812.3131107745116</v>
      </c>
      <c r="W40" s="6">
        <v>4451.4257422039673</v>
      </c>
      <c r="X40" s="6">
        <v>1559.2085224503451</v>
      </c>
      <c r="Y40" s="6">
        <v>2675.2173621493939</v>
      </c>
      <c r="Z40" s="6">
        <v>4234.4258845997392</v>
      </c>
      <c r="AB40" s="14">
        <v>44980</v>
      </c>
      <c r="AC40" s="6">
        <v>43.6</v>
      </c>
      <c r="AD40" s="11">
        <v>1.1665000000000001</v>
      </c>
      <c r="AE40" s="6">
        <v>80.150000000000006</v>
      </c>
      <c r="AF40" s="6">
        <v>28.950000000000003</v>
      </c>
      <c r="AG40" s="6">
        <v>6.25</v>
      </c>
      <c r="AH40" s="6">
        <v>81.7</v>
      </c>
      <c r="AI40" s="6">
        <v>8.15</v>
      </c>
      <c r="AK40" s="12">
        <v>7.5</v>
      </c>
      <c r="AL40" s="7">
        <v>9.5000000000000001E-2</v>
      </c>
      <c r="AM40" s="6">
        <v>9.35</v>
      </c>
    </row>
    <row r="41" spans="1:39" x14ac:dyDescent="0.25">
      <c r="A41" s="5" t="s">
        <v>120</v>
      </c>
      <c r="B41" s="5" t="s">
        <v>468</v>
      </c>
      <c r="C41" s="17">
        <v>44881</v>
      </c>
      <c r="D41" s="3">
        <v>122.29999999999998</v>
      </c>
      <c r="E41" s="3">
        <v>119.53999999999998</v>
      </c>
      <c r="F41" s="3">
        <v>2.7524999999999999</v>
      </c>
      <c r="G41" s="6">
        <v>4549.7785154199464</v>
      </c>
      <c r="H41" s="4">
        <v>17.34</v>
      </c>
      <c r="I41" s="4">
        <v>346.19</v>
      </c>
      <c r="J41" s="4">
        <v>328.85</v>
      </c>
      <c r="K41" s="4">
        <v>315.12</v>
      </c>
      <c r="L41" s="7">
        <v>4.1751558461304601</v>
      </c>
      <c r="M41" s="6">
        <v>4359.8181717474026</v>
      </c>
      <c r="N41" s="14">
        <v>44882</v>
      </c>
      <c r="O41" s="4">
        <v>7.92</v>
      </c>
      <c r="P41" s="4">
        <v>2.74</v>
      </c>
      <c r="Q41" s="4">
        <v>6</v>
      </c>
      <c r="R41" s="8">
        <v>0.33197828787302197</v>
      </c>
      <c r="S41" s="8">
        <v>0.55761978041171656</v>
      </c>
      <c r="T41" s="8">
        <v>0.11040193171526147</v>
      </c>
      <c r="U41" s="6">
        <v>1510.4276817505736</v>
      </c>
      <c r="V41" s="6">
        <v>2537.0464966904165</v>
      </c>
      <c r="W41" s="6">
        <v>4047.4741784409898</v>
      </c>
      <c r="X41" s="6">
        <v>1447.3649720943915</v>
      </c>
      <c r="Y41" s="6">
        <v>2431.1208515647982</v>
      </c>
      <c r="Z41" s="6">
        <v>3878.4858236591899</v>
      </c>
      <c r="AB41" s="14">
        <v>44980</v>
      </c>
      <c r="AC41" s="6">
        <v>47.650000000000006</v>
      </c>
      <c r="AD41" s="11">
        <v>1.147</v>
      </c>
      <c r="AE41" s="6">
        <v>80.45</v>
      </c>
      <c r="AF41" s="6">
        <v>29.299999999999997</v>
      </c>
      <c r="AG41" s="6">
        <v>6.1</v>
      </c>
      <c r="AH41" s="6">
        <v>80.3</v>
      </c>
      <c r="AI41" s="6">
        <v>8.6</v>
      </c>
      <c r="AK41" s="12">
        <v>9.5</v>
      </c>
      <c r="AL41" s="7">
        <v>9.5000000000000001E-2</v>
      </c>
      <c r="AM41" s="6">
        <v>9.0500000000000007</v>
      </c>
    </row>
    <row r="42" spans="1:39" x14ac:dyDescent="0.25">
      <c r="A42" s="5" t="s">
        <v>121</v>
      </c>
      <c r="B42" s="5" t="s">
        <v>468</v>
      </c>
      <c r="C42" s="17">
        <v>44881</v>
      </c>
      <c r="D42" s="3">
        <v>90.6</v>
      </c>
      <c r="E42" s="3">
        <v>87.839999999999989</v>
      </c>
      <c r="F42" s="3">
        <v>2.7524999999999999</v>
      </c>
      <c r="G42" s="6">
        <v>3370.4095521653539</v>
      </c>
      <c r="H42" s="4">
        <v>17.34</v>
      </c>
      <c r="I42" s="4">
        <v>357.78</v>
      </c>
      <c r="J42" s="4">
        <v>340.44</v>
      </c>
      <c r="K42" s="4">
        <v>324.26</v>
      </c>
      <c r="L42" s="7">
        <v>4.7526730113970173</v>
      </c>
      <c r="M42" s="6">
        <v>3210.2250070060441</v>
      </c>
      <c r="N42" s="14">
        <v>44882</v>
      </c>
      <c r="O42" s="4">
        <v>5.68</v>
      </c>
      <c r="P42" s="4">
        <v>1.96</v>
      </c>
      <c r="Q42" s="4">
        <v>4.74</v>
      </c>
      <c r="R42" s="8">
        <v>0.32533118056208044</v>
      </c>
      <c r="S42" s="8">
        <v>0.55562179152175539</v>
      </c>
      <c r="T42" s="8">
        <v>0.11904702791616417</v>
      </c>
      <c r="U42" s="6">
        <v>1096.4993185836674</v>
      </c>
      <c r="V42" s="6">
        <v>1872.6729935361514</v>
      </c>
      <c r="W42" s="6">
        <v>2969.1723121198188</v>
      </c>
      <c r="X42" s="6">
        <v>1044.3862913991893</v>
      </c>
      <c r="Y42" s="6">
        <v>1783.670969580638</v>
      </c>
      <c r="Z42" s="6">
        <v>2828.0572609798273</v>
      </c>
      <c r="AB42" s="14">
        <v>44980</v>
      </c>
      <c r="AC42" s="6">
        <v>49.1</v>
      </c>
      <c r="AD42" s="11">
        <v>1.1234999999999999</v>
      </c>
      <c r="AE42" s="6">
        <v>80.150000000000006</v>
      </c>
      <c r="AF42" s="6">
        <v>28.15</v>
      </c>
      <c r="AG42" s="6">
        <v>6</v>
      </c>
      <c r="AH42" s="6">
        <v>79.099999999999994</v>
      </c>
      <c r="AI42" s="6">
        <v>8.5500000000000007</v>
      </c>
      <c r="AK42" s="12">
        <v>7</v>
      </c>
      <c r="AL42" s="7">
        <v>7.5000000000000011E-2</v>
      </c>
      <c r="AM42" s="6">
        <v>9.4499999999999993</v>
      </c>
    </row>
    <row r="43" spans="1:39" x14ac:dyDescent="0.25">
      <c r="A43" s="5" t="s">
        <v>122</v>
      </c>
      <c r="B43" s="5" t="s">
        <v>468</v>
      </c>
      <c r="C43" s="17">
        <v>44881</v>
      </c>
      <c r="D43" s="3">
        <v>103.3</v>
      </c>
      <c r="E43" s="3">
        <v>100.53999999999999</v>
      </c>
      <c r="F43" s="3">
        <v>6.25875</v>
      </c>
      <c r="G43" s="6">
        <v>3973.3479831036743</v>
      </c>
      <c r="H43" s="4">
        <v>17.45</v>
      </c>
      <c r="I43" s="4">
        <v>435.76</v>
      </c>
      <c r="J43" s="4">
        <v>418.31</v>
      </c>
      <c r="K43" s="4">
        <v>399.26</v>
      </c>
      <c r="L43" s="7">
        <v>4.5540388706939856</v>
      </c>
      <c r="M43" s="6">
        <v>3792.4001714851975</v>
      </c>
      <c r="N43" s="14">
        <v>44882</v>
      </c>
      <c r="O43" s="4">
        <v>16.71</v>
      </c>
      <c r="P43" s="4">
        <v>6.26</v>
      </c>
      <c r="Q43" s="4">
        <v>11.3</v>
      </c>
      <c r="R43" s="8">
        <v>0.3621254721600588</v>
      </c>
      <c r="S43" s="8">
        <v>0.48487986950245171</v>
      </c>
      <c r="T43" s="8">
        <v>0.15299465833748943</v>
      </c>
      <c r="U43" s="6">
        <v>1438.8505144376354</v>
      </c>
      <c r="V43" s="6">
        <v>1926.5964515351393</v>
      </c>
      <c r="W43" s="6">
        <v>3365.4469659727747</v>
      </c>
      <c r="X43" s="6">
        <v>1373.324702718965</v>
      </c>
      <c r="Y43" s="6">
        <v>1838.858500250818</v>
      </c>
      <c r="Z43" s="6">
        <v>3212.183202969783</v>
      </c>
      <c r="AB43" s="14">
        <v>44980</v>
      </c>
      <c r="AC43" s="6">
        <v>49.95</v>
      </c>
      <c r="AD43" s="11">
        <v>1.0405</v>
      </c>
      <c r="AE43" s="6">
        <v>79.099999999999994</v>
      </c>
      <c r="AF43" s="6">
        <v>27.4</v>
      </c>
      <c r="AG43" s="6">
        <v>5.35</v>
      </c>
      <c r="AH43" s="6">
        <v>77.949999999999989</v>
      </c>
      <c r="AI43" s="6">
        <v>9.25</v>
      </c>
      <c r="AK43" s="12">
        <v>12.5</v>
      </c>
      <c r="AL43" s="7">
        <v>0.13500000000000001</v>
      </c>
      <c r="AM43" s="6">
        <v>10.75</v>
      </c>
    </row>
    <row r="44" spans="1:39" x14ac:dyDescent="0.25">
      <c r="A44" s="5" t="s">
        <v>123</v>
      </c>
      <c r="B44" s="5" t="s">
        <v>468</v>
      </c>
      <c r="C44" s="17">
        <v>44881</v>
      </c>
      <c r="D44" s="3">
        <v>154.50000000000003</v>
      </c>
      <c r="E44" s="3">
        <v>151.74000000000004</v>
      </c>
      <c r="F44" s="3">
        <v>6.25875</v>
      </c>
      <c r="G44" s="6">
        <v>5878.1962770669306</v>
      </c>
      <c r="H44" s="4">
        <v>17.310000000000002</v>
      </c>
      <c r="I44" s="4">
        <v>332.15999999999997</v>
      </c>
      <c r="J44" s="4">
        <v>314.84999999999997</v>
      </c>
      <c r="K44" s="4">
        <v>297.06</v>
      </c>
      <c r="L44" s="7">
        <v>5.6503096712720229</v>
      </c>
      <c r="M44" s="6">
        <v>5546.0599843274658</v>
      </c>
      <c r="N44" s="14">
        <v>44882</v>
      </c>
      <c r="O44" s="4">
        <v>23.119999999999997</v>
      </c>
      <c r="P44" s="4">
        <v>8.5799999999999983</v>
      </c>
      <c r="Q44" s="4">
        <v>14.739999999999998</v>
      </c>
      <c r="R44" s="8">
        <v>0.36207154567571137</v>
      </c>
      <c r="S44" s="8">
        <v>0.49950016155262367</v>
      </c>
      <c r="T44" s="8">
        <v>0.13842829277166502</v>
      </c>
      <c r="U44" s="6">
        <v>2128.3276118228355</v>
      </c>
      <c r="V44" s="6">
        <v>2936.1599900329629</v>
      </c>
      <c r="W44" s="6">
        <v>5064.4876018557989</v>
      </c>
      <c r="X44" s="6">
        <v>2008.0705109356572</v>
      </c>
      <c r="Y44" s="6">
        <v>2770.2578581521107</v>
      </c>
      <c r="Z44" s="6">
        <v>4778.3283690877679</v>
      </c>
      <c r="AB44" s="14">
        <v>44980</v>
      </c>
      <c r="AC44" s="6">
        <v>46.7</v>
      </c>
      <c r="AD44" s="11">
        <v>1.1125</v>
      </c>
      <c r="AE44" s="6">
        <v>80.95</v>
      </c>
      <c r="AF44" s="6">
        <v>29.85</v>
      </c>
      <c r="AG44" s="6">
        <v>5.45</v>
      </c>
      <c r="AH44" s="6">
        <v>79.45</v>
      </c>
      <c r="AI44" s="6">
        <v>8.35</v>
      </c>
      <c r="AK44" s="12">
        <v>13</v>
      </c>
      <c r="AL44" s="7">
        <v>0.18</v>
      </c>
      <c r="AM44" s="6">
        <v>9.0500000000000007</v>
      </c>
    </row>
    <row r="45" spans="1:39" x14ac:dyDescent="0.25">
      <c r="A45" s="5" t="s">
        <v>124</v>
      </c>
      <c r="B45" s="5" t="s">
        <v>468</v>
      </c>
      <c r="C45" s="17">
        <v>44881</v>
      </c>
      <c r="D45" s="3">
        <v>134.5</v>
      </c>
      <c r="E45" s="3">
        <v>131.74</v>
      </c>
      <c r="F45" s="3">
        <v>6.25875</v>
      </c>
      <c r="G45" s="6">
        <v>5134.1149122375327</v>
      </c>
      <c r="H45" s="4">
        <v>17.23</v>
      </c>
      <c r="I45" s="4">
        <v>325.27999999999997</v>
      </c>
      <c r="J45" s="4">
        <v>308.04999999999995</v>
      </c>
      <c r="K45" s="4">
        <v>294.62</v>
      </c>
      <c r="L45" s="7">
        <v>4.3596818698263116</v>
      </c>
      <c r="M45" s="6">
        <v>4910.2838352326635</v>
      </c>
      <c r="N45" s="14">
        <v>44882</v>
      </c>
      <c r="O45" s="4">
        <v>20.03</v>
      </c>
      <c r="P45" s="4">
        <v>7.68</v>
      </c>
      <c r="Q45" s="4">
        <v>13.379999999999999</v>
      </c>
      <c r="R45" s="8">
        <v>0.37322763983420171</v>
      </c>
      <c r="S45" s="8">
        <v>0.50885407726029142</v>
      </c>
      <c r="T45" s="8">
        <v>0.11791828290550688</v>
      </c>
      <c r="U45" s="6">
        <v>1916.193591331994</v>
      </c>
      <c r="V45" s="6">
        <v>2612.5153062149316</v>
      </c>
      <c r="W45" s="6">
        <v>4528.7088975469251</v>
      </c>
      <c r="X45" s="6">
        <v>1832.6536467399192</v>
      </c>
      <c r="Y45" s="6">
        <v>2498.6179500634416</v>
      </c>
      <c r="Z45" s="6">
        <v>4331.2715968033608</v>
      </c>
      <c r="AB45" s="14">
        <v>44980</v>
      </c>
      <c r="AC45" s="6">
        <v>47.55</v>
      </c>
      <c r="AD45" s="11">
        <v>1.097</v>
      </c>
      <c r="AE45" s="6">
        <v>80.5</v>
      </c>
      <c r="AF45" s="6">
        <v>29.2</v>
      </c>
      <c r="AG45" s="6">
        <v>5.4</v>
      </c>
      <c r="AH45" s="6">
        <v>79.099999999999994</v>
      </c>
      <c r="AI45" s="6">
        <v>9.15</v>
      </c>
      <c r="AK45" s="12">
        <v>12.5</v>
      </c>
      <c r="AL45" s="7">
        <v>0.22499999999999998</v>
      </c>
      <c r="AM45" s="6">
        <v>9.25</v>
      </c>
    </row>
    <row r="46" spans="1:39" x14ac:dyDescent="0.25">
      <c r="A46" s="5" t="s">
        <v>125</v>
      </c>
      <c r="B46" s="5" t="s">
        <v>468</v>
      </c>
      <c r="C46" s="17">
        <v>44881</v>
      </c>
      <c r="D46" s="3">
        <v>130.30000000000001</v>
      </c>
      <c r="E46" s="3">
        <v>127.54</v>
      </c>
      <c r="F46" s="3">
        <v>6.25875</v>
      </c>
      <c r="G46" s="6">
        <v>4977.8578256233604</v>
      </c>
      <c r="H46" s="4">
        <v>17.41</v>
      </c>
      <c r="I46" s="4">
        <v>264.75</v>
      </c>
      <c r="J46" s="4">
        <v>247.34</v>
      </c>
      <c r="K46" s="4">
        <v>236.51</v>
      </c>
      <c r="L46" s="7">
        <v>4.3785881782162255</v>
      </c>
      <c r="M46" s="6">
        <v>4759.8979313422051</v>
      </c>
      <c r="N46" s="14">
        <v>44882</v>
      </c>
      <c r="O46" s="4">
        <v>18.32</v>
      </c>
      <c r="P46" s="4">
        <v>7.1</v>
      </c>
      <c r="Q46" s="4">
        <v>12.32</v>
      </c>
      <c r="R46" s="8">
        <v>0.37647962301024152</v>
      </c>
      <c r="S46" s="8">
        <v>0.49824899662483002</v>
      </c>
      <c r="T46" s="8">
        <v>0.12527138036492846</v>
      </c>
      <c r="U46" s="6">
        <v>1874.0620375892634</v>
      </c>
      <c r="V46" s="6">
        <v>2480.2126669578975</v>
      </c>
      <c r="W46" s="6">
        <v>4354.2747045471606</v>
      </c>
      <c r="X46" s="6">
        <v>1792.0045787589418</v>
      </c>
      <c r="Y46" s="6">
        <v>2371.6143683278578</v>
      </c>
      <c r="Z46" s="6">
        <v>4163.6189470867994</v>
      </c>
      <c r="AB46" s="14">
        <v>44980</v>
      </c>
      <c r="AC46" s="6">
        <v>48.85</v>
      </c>
      <c r="AD46" s="11">
        <v>1.0649999999999999</v>
      </c>
      <c r="AE46" s="6">
        <v>80.2</v>
      </c>
      <c r="AF46" s="6">
        <v>29.85</v>
      </c>
      <c r="AG46" s="6">
        <v>5.3</v>
      </c>
      <c r="AH46" s="6">
        <v>78.300000000000011</v>
      </c>
      <c r="AI46" s="6">
        <v>9.6499999999999986</v>
      </c>
      <c r="AK46" s="12">
        <v>6</v>
      </c>
      <c r="AL46" s="7">
        <v>0.11000000000000001</v>
      </c>
      <c r="AM46" s="6">
        <v>10.050000000000001</v>
      </c>
    </row>
    <row r="47" spans="1:39" x14ac:dyDescent="0.25">
      <c r="A47" s="5" t="s">
        <v>126</v>
      </c>
      <c r="B47" s="5" t="s">
        <v>468</v>
      </c>
      <c r="C47" s="17">
        <v>44881</v>
      </c>
      <c r="D47" s="3">
        <v>135.6</v>
      </c>
      <c r="E47" s="3">
        <v>132.84</v>
      </c>
      <c r="F47" s="3">
        <v>5.7150000000000007</v>
      </c>
      <c r="G47" s="6">
        <v>5154.8096751968505</v>
      </c>
      <c r="H47" s="4">
        <v>17.190000000000001</v>
      </c>
      <c r="I47" s="4">
        <v>359.42</v>
      </c>
      <c r="J47" s="4">
        <v>342.23</v>
      </c>
      <c r="K47" s="4">
        <v>326.73</v>
      </c>
      <c r="L47" s="7">
        <v>4.5291178447243077</v>
      </c>
      <c r="M47" s="6">
        <v>4921.3422703359347</v>
      </c>
      <c r="N47" s="14">
        <v>44882</v>
      </c>
      <c r="O47" s="4">
        <v>20.149999999999999</v>
      </c>
      <c r="P47" s="4">
        <v>7.32</v>
      </c>
      <c r="Q47" s="4">
        <v>13.120000000000001</v>
      </c>
      <c r="R47" s="8">
        <v>0.35271410585441687</v>
      </c>
      <c r="S47" s="8">
        <v>0.49258349265875467</v>
      </c>
      <c r="T47" s="8">
        <v>0.15470240148682846</v>
      </c>
      <c r="U47" s="6">
        <v>1818.1740854367542</v>
      </c>
      <c r="V47" s="6">
        <v>2539.1741537996054</v>
      </c>
      <c r="W47" s="6">
        <v>4357.3482392363594</v>
      </c>
      <c r="X47" s="6">
        <v>1735.8268384850851</v>
      </c>
      <c r="Y47" s="6">
        <v>2424.1719640912402</v>
      </c>
      <c r="Z47" s="6">
        <v>4159.998802576325</v>
      </c>
      <c r="AB47" s="14">
        <v>44980</v>
      </c>
      <c r="AC47" s="6">
        <v>48.3</v>
      </c>
      <c r="AD47" s="11">
        <v>1.0945</v>
      </c>
      <c r="AE47" s="6">
        <v>80.5</v>
      </c>
      <c r="AF47" s="6">
        <v>28.15</v>
      </c>
      <c r="AG47" s="6">
        <v>5.5</v>
      </c>
      <c r="AH47" s="6">
        <v>79.099999999999994</v>
      </c>
      <c r="AI47" s="6">
        <v>9.1</v>
      </c>
      <c r="AK47" s="12">
        <v>13</v>
      </c>
      <c r="AL47" s="7">
        <v>0.31</v>
      </c>
      <c r="AM47" s="6">
        <v>9.25</v>
      </c>
    </row>
    <row r="48" spans="1:39" x14ac:dyDescent="0.25">
      <c r="A48" s="5" t="s">
        <v>127</v>
      </c>
      <c r="B48" s="5" t="s">
        <v>468</v>
      </c>
      <c r="C48" s="17">
        <v>44881</v>
      </c>
      <c r="D48" s="3">
        <v>114.1</v>
      </c>
      <c r="E48" s="3">
        <v>111.33999999999999</v>
      </c>
      <c r="F48" s="3">
        <v>5.7150000000000007</v>
      </c>
      <c r="G48" s="6">
        <v>4354.9222080052486</v>
      </c>
      <c r="H48" s="4">
        <v>17.16</v>
      </c>
      <c r="I48" s="4">
        <v>329.29999999999995</v>
      </c>
      <c r="J48" s="4">
        <v>312.13999999999993</v>
      </c>
      <c r="K48" s="4">
        <v>298.69</v>
      </c>
      <c r="L48" s="7">
        <v>4.3089639264432416</v>
      </c>
      <c r="M48" s="6">
        <v>4167.2701810376366</v>
      </c>
      <c r="N48" s="14">
        <v>44882</v>
      </c>
      <c r="O48" s="4">
        <v>17.32</v>
      </c>
      <c r="P48" s="4">
        <v>6.42</v>
      </c>
      <c r="Q48" s="4">
        <v>12</v>
      </c>
      <c r="R48" s="8">
        <v>0.3585227013166733</v>
      </c>
      <c r="S48" s="8">
        <v>0.50879459262762217</v>
      </c>
      <c r="T48" s="8">
        <v>0.13268270605570454</v>
      </c>
      <c r="U48" s="6">
        <v>1561.3384740380131</v>
      </c>
      <c r="V48" s="6">
        <v>2215.7608707470154</v>
      </c>
      <c r="W48" s="6">
        <v>3777.0993447850287</v>
      </c>
      <c r="X48" s="6">
        <v>1494.0609624220356</v>
      </c>
      <c r="Y48" s="6">
        <v>2120.2845341302814</v>
      </c>
      <c r="Z48" s="6">
        <v>3614.3454965523169</v>
      </c>
      <c r="AB48" s="14">
        <v>44980</v>
      </c>
      <c r="AC48" s="6">
        <v>47.8</v>
      </c>
      <c r="AD48" s="11">
        <v>1.0735000000000001</v>
      </c>
      <c r="AE48" s="6">
        <v>79.75</v>
      </c>
      <c r="AF48" s="6">
        <v>27.299999999999997</v>
      </c>
      <c r="AG48" s="6">
        <v>5.5</v>
      </c>
      <c r="AH48" s="6">
        <v>78.55</v>
      </c>
      <c r="AI48" s="6">
        <v>8.9499999999999993</v>
      </c>
      <c r="AK48" s="12">
        <v>15</v>
      </c>
      <c r="AL48" s="7">
        <v>0.245</v>
      </c>
      <c r="AM48" s="6">
        <v>10</v>
      </c>
    </row>
    <row r="49" spans="1:39" x14ac:dyDescent="0.25">
      <c r="A49" s="5" t="s">
        <v>128</v>
      </c>
      <c r="B49" s="5" t="s">
        <v>468</v>
      </c>
      <c r="C49" s="17">
        <v>44881</v>
      </c>
      <c r="D49" s="3">
        <v>149.1</v>
      </c>
      <c r="E49" s="3">
        <v>146.34</v>
      </c>
      <c r="F49" s="3">
        <v>5.7150000000000007</v>
      </c>
      <c r="G49" s="6">
        <v>5657.064596456692</v>
      </c>
      <c r="H49" s="4">
        <v>17.100000000000001</v>
      </c>
      <c r="I49" s="4">
        <v>330.81</v>
      </c>
      <c r="J49" s="4">
        <v>313.70999999999998</v>
      </c>
      <c r="K49" s="4">
        <v>299.73</v>
      </c>
      <c r="L49" s="7">
        <v>4.4563450320359443</v>
      </c>
      <c r="M49" s="6">
        <v>5404.9662793534299</v>
      </c>
      <c r="N49" s="14">
        <v>44882</v>
      </c>
      <c r="O49" s="4">
        <v>20.439999999999998</v>
      </c>
      <c r="P49" s="4">
        <v>7.58</v>
      </c>
      <c r="Q49" s="4">
        <v>13.6</v>
      </c>
      <c r="R49" s="8">
        <v>0.36059081308421809</v>
      </c>
      <c r="S49" s="8">
        <v>0.509421924301804</v>
      </c>
      <c r="T49" s="8">
        <v>0.12998726261397786</v>
      </c>
      <c r="U49" s="6">
        <v>2039.8855225062628</v>
      </c>
      <c r="V49" s="6">
        <v>2881.8327326265762</v>
      </c>
      <c r="W49" s="6">
        <v>4921.7182551328387</v>
      </c>
      <c r="X49" s="6">
        <v>1948.9811853648343</v>
      </c>
      <c r="Y49" s="6">
        <v>2753.408322814586</v>
      </c>
      <c r="Z49" s="6">
        <v>4702.3895081794199</v>
      </c>
      <c r="AB49" s="14">
        <v>44980</v>
      </c>
      <c r="AC49" s="6">
        <v>47.650000000000006</v>
      </c>
      <c r="AD49" s="11">
        <v>1.127</v>
      </c>
      <c r="AE49" s="6">
        <v>80.849999999999994</v>
      </c>
      <c r="AF49" s="6">
        <v>29.75</v>
      </c>
      <c r="AG49" s="6">
        <v>5.25</v>
      </c>
      <c r="AH49" s="6">
        <v>79.400000000000006</v>
      </c>
      <c r="AI49" s="6">
        <v>9.0500000000000007</v>
      </c>
      <c r="AK49" s="12">
        <v>7</v>
      </c>
      <c r="AL49" s="7">
        <v>0.1</v>
      </c>
      <c r="AM49" s="6">
        <v>8.8000000000000007</v>
      </c>
    </row>
    <row r="50" spans="1:39" x14ac:dyDescent="0.25">
      <c r="A50" s="5" t="s">
        <v>129</v>
      </c>
      <c r="B50" s="5" t="s">
        <v>468</v>
      </c>
      <c r="C50" s="17">
        <v>44881</v>
      </c>
      <c r="D50" s="3">
        <v>95.500000000000014</v>
      </c>
      <c r="E50" s="3">
        <v>92.740000000000009</v>
      </c>
      <c r="F50" s="3">
        <v>5.7150000000000007</v>
      </c>
      <c r="G50" s="6">
        <v>3662.9265387139108</v>
      </c>
      <c r="H50" s="4">
        <v>17.13</v>
      </c>
      <c r="I50" s="4">
        <v>343.27</v>
      </c>
      <c r="J50" s="4">
        <v>326.14</v>
      </c>
      <c r="K50" s="4">
        <v>311.01</v>
      </c>
      <c r="L50" s="7">
        <v>4.6391120377751873</v>
      </c>
      <c r="M50" s="6">
        <v>3492.9992727215717</v>
      </c>
      <c r="N50" s="14">
        <v>44882</v>
      </c>
      <c r="O50" s="4">
        <v>12.350000000000001</v>
      </c>
      <c r="P50" s="4">
        <v>4.8599999999999994</v>
      </c>
      <c r="Q50" s="4">
        <v>9.34</v>
      </c>
      <c r="R50" s="8">
        <v>0.37711513318982431</v>
      </c>
      <c r="S50" s="8">
        <v>0.49779197581056811</v>
      </c>
      <c r="T50" s="8">
        <v>0.12509289099960752</v>
      </c>
      <c r="U50" s="6">
        <v>1381.3450295116386</v>
      </c>
      <c r="V50" s="6">
        <v>1823.3754389553631</v>
      </c>
      <c r="W50" s="6">
        <v>3204.7204684670014</v>
      </c>
      <c r="X50" s="6">
        <v>1317.2628859643551</v>
      </c>
      <c r="Y50" s="6">
        <v>1738.7870094729487</v>
      </c>
      <c r="Z50" s="6">
        <v>3056.0498954373038</v>
      </c>
      <c r="AB50" s="14">
        <v>44980</v>
      </c>
      <c r="AC50" s="6">
        <v>51.400000000000006</v>
      </c>
      <c r="AD50" s="11">
        <v>1.0445</v>
      </c>
      <c r="AE50" s="6">
        <v>80.099999999999994</v>
      </c>
      <c r="AF50" s="6">
        <v>27.9</v>
      </c>
      <c r="AG50" s="6">
        <v>5.25</v>
      </c>
      <c r="AH50" s="6">
        <v>76.599999999999994</v>
      </c>
      <c r="AI50" s="6">
        <v>9.4499999999999993</v>
      </c>
      <c r="AK50" s="12">
        <v>5</v>
      </c>
      <c r="AL50" s="7">
        <v>0.11</v>
      </c>
      <c r="AM50" s="6">
        <v>9.65</v>
      </c>
    </row>
    <row r="51" spans="1:39" x14ac:dyDescent="0.25">
      <c r="A51" s="5" t="s">
        <v>130</v>
      </c>
      <c r="B51" s="5" t="s">
        <v>468</v>
      </c>
      <c r="C51" s="17">
        <v>44881</v>
      </c>
      <c r="D51" s="3">
        <v>116.80000000000001</v>
      </c>
      <c r="E51" s="3">
        <v>114.04</v>
      </c>
      <c r="F51" s="3">
        <v>3.7274999999999996</v>
      </c>
      <c r="G51" s="6">
        <v>4381.4301066272974</v>
      </c>
      <c r="H51" s="4">
        <v>17.57</v>
      </c>
      <c r="I51" s="4">
        <v>410.48</v>
      </c>
      <c r="J51" s="4">
        <v>392.91</v>
      </c>
      <c r="K51" s="4">
        <v>373.29999999999995</v>
      </c>
      <c r="L51" s="7">
        <v>4.9909648520017482</v>
      </c>
      <c r="M51" s="6">
        <v>4162.7544699905065</v>
      </c>
      <c r="N51" s="14">
        <v>44882</v>
      </c>
      <c r="O51" s="4">
        <v>16.77</v>
      </c>
      <c r="P51" s="4">
        <v>5.82</v>
      </c>
      <c r="Q51" s="4">
        <v>12.22</v>
      </c>
      <c r="R51" s="8">
        <v>0.33388991110025795</v>
      </c>
      <c r="S51" s="8">
        <v>0.53936062562349363</v>
      </c>
      <c r="T51" s="8">
        <v>0.12674946327624836</v>
      </c>
      <c r="U51" s="6">
        <v>1462.9153087937821</v>
      </c>
      <c r="V51" s="6">
        <v>2363.1708834361093</v>
      </c>
      <c r="W51" s="6">
        <v>3826.0861922298914</v>
      </c>
      <c r="X51" s="6">
        <v>1389.9017199173315</v>
      </c>
      <c r="Y51" s="6">
        <v>2245.2258552510743</v>
      </c>
      <c r="Z51" s="6">
        <v>3635.1275751684061</v>
      </c>
      <c r="AB51" s="14">
        <v>44980</v>
      </c>
      <c r="AC51" s="6">
        <v>49.15</v>
      </c>
      <c r="AD51" s="11">
        <v>1.123</v>
      </c>
      <c r="AE51" s="6">
        <v>79.95</v>
      </c>
      <c r="AF51" s="6">
        <v>27.5</v>
      </c>
      <c r="AG51" s="6">
        <v>6.1</v>
      </c>
      <c r="AH51" s="6">
        <v>79.599999999999994</v>
      </c>
      <c r="AI51" s="6">
        <v>8.5500000000000007</v>
      </c>
      <c r="AK51" s="12">
        <v>7.5</v>
      </c>
      <c r="AL51" s="7">
        <v>0.155</v>
      </c>
      <c r="AM51" s="6">
        <v>9.8000000000000007</v>
      </c>
    </row>
    <row r="52" spans="1:39" x14ac:dyDescent="0.25">
      <c r="A52" s="5" t="s">
        <v>131</v>
      </c>
      <c r="B52" s="5" t="s">
        <v>468</v>
      </c>
      <c r="C52" s="17">
        <v>44881</v>
      </c>
      <c r="D52" s="3">
        <v>112.10000000000001</v>
      </c>
      <c r="E52" s="3">
        <v>109.34</v>
      </c>
      <c r="F52" s="3">
        <v>3.7274999999999996</v>
      </c>
      <c r="G52" s="6">
        <v>4206.5709858923883</v>
      </c>
      <c r="H52" s="4">
        <v>17.549999999999997</v>
      </c>
      <c r="I52" s="4">
        <v>327.78999999999996</v>
      </c>
      <c r="J52" s="4">
        <v>310.23999999999995</v>
      </c>
      <c r="K52" s="4">
        <v>295.62</v>
      </c>
      <c r="L52" s="7">
        <v>4.7124806601340739</v>
      </c>
      <c r="M52" s="6">
        <v>4008.3371417273979</v>
      </c>
      <c r="N52" s="14">
        <v>44882</v>
      </c>
      <c r="O52" s="4">
        <v>19.009999999999998</v>
      </c>
      <c r="P52" s="4">
        <v>6.32</v>
      </c>
      <c r="Q52" s="4">
        <v>13.46</v>
      </c>
      <c r="R52" s="8">
        <v>0.32055599710530625</v>
      </c>
      <c r="S52" s="8">
        <v>0.54107270652338613</v>
      </c>
      <c r="T52" s="8">
        <v>0.13837129637130763</v>
      </c>
      <c r="U52" s="6">
        <v>1348.4415567769856</v>
      </c>
      <c r="V52" s="6">
        <v>2276.0607485195433</v>
      </c>
      <c r="W52" s="6">
        <v>3624.5023052965289</v>
      </c>
      <c r="X52" s="6">
        <v>1284.8965092006592</v>
      </c>
      <c r="Y52" s="6">
        <v>2168.8018259326568</v>
      </c>
      <c r="Z52" s="6">
        <v>3453.698335133316</v>
      </c>
      <c r="AB52" s="14">
        <v>44980</v>
      </c>
      <c r="AC52" s="6">
        <v>47.95</v>
      </c>
      <c r="AD52" s="11">
        <v>1.1379999999999999</v>
      </c>
      <c r="AE52" s="6">
        <v>79.75</v>
      </c>
      <c r="AF52" s="6">
        <v>28</v>
      </c>
      <c r="AG52" s="6">
        <v>6.1</v>
      </c>
      <c r="AH52" s="6">
        <v>80.45</v>
      </c>
      <c r="AI52" s="6">
        <v>8</v>
      </c>
      <c r="AK52" s="12">
        <v>15.5</v>
      </c>
      <c r="AL52" s="7">
        <v>0.18</v>
      </c>
      <c r="AM52" s="6">
        <v>9.3500000000000014</v>
      </c>
    </row>
    <row r="53" spans="1:39" x14ac:dyDescent="0.25">
      <c r="A53" s="5" t="s">
        <v>132</v>
      </c>
      <c r="B53" s="5" t="s">
        <v>468</v>
      </c>
      <c r="C53" s="17">
        <v>44881</v>
      </c>
      <c r="D53" s="3">
        <v>132.69999999999999</v>
      </c>
      <c r="E53" s="3">
        <v>129.94</v>
      </c>
      <c r="F53" s="3">
        <v>3.7274999999999996</v>
      </c>
      <c r="G53" s="6">
        <v>4972.9747916666665</v>
      </c>
      <c r="H53" s="4">
        <v>17.329999999999998</v>
      </c>
      <c r="I53" s="4">
        <v>419.51</v>
      </c>
      <c r="J53" s="4">
        <v>402.18</v>
      </c>
      <c r="K53" s="4">
        <v>384.13</v>
      </c>
      <c r="L53" s="7">
        <v>4.4880401810134796</v>
      </c>
      <c r="M53" s="6">
        <v>4749.7856848249958</v>
      </c>
      <c r="N53" s="14">
        <v>44882</v>
      </c>
      <c r="O53" s="4">
        <v>18.740000000000002</v>
      </c>
      <c r="P53" s="4">
        <v>6.42</v>
      </c>
      <c r="Q53" s="4">
        <v>13.6</v>
      </c>
      <c r="R53" s="8">
        <v>0.33073736592431124</v>
      </c>
      <c r="S53" s="8">
        <v>0.55668665551616736</v>
      </c>
      <c r="T53" s="8">
        <v>0.11257597855952139</v>
      </c>
      <c r="U53" s="6">
        <v>1644.7485834038337</v>
      </c>
      <c r="V53" s="6">
        <v>2768.3887047391258</v>
      </c>
      <c r="W53" s="6">
        <v>4413.1372881429597</v>
      </c>
      <c r="X53" s="6">
        <v>1570.9316061040199</v>
      </c>
      <c r="Y53" s="6">
        <v>2644.1423073037954</v>
      </c>
      <c r="Z53" s="6">
        <v>4215.0739134078158</v>
      </c>
      <c r="AB53" s="14">
        <v>44980</v>
      </c>
      <c r="AC53" s="6">
        <v>46.55</v>
      </c>
      <c r="AD53" s="11">
        <v>1.1520000000000001</v>
      </c>
      <c r="AE53" s="6">
        <v>80.599999999999994</v>
      </c>
      <c r="AF53" s="6">
        <v>28.65</v>
      </c>
      <c r="AG53" s="6">
        <v>6.3</v>
      </c>
      <c r="AH53" s="6">
        <v>81.550000000000011</v>
      </c>
      <c r="AI53" s="6">
        <v>8.15</v>
      </c>
      <c r="AK53" s="12">
        <v>8.5</v>
      </c>
      <c r="AL53" s="7">
        <v>0.13500000000000001</v>
      </c>
      <c r="AM53" s="6">
        <v>9.1499999999999986</v>
      </c>
    </row>
    <row r="54" spans="1:39" x14ac:dyDescent="0.25">
      <c r="A54" s="5" t="s">
        <v>133</v>
      </c>
      <c r="B54" s="5" t="s">
        <v>468</v>
      </c>
      <c r="C54" s="17">
        <v>44881</v>
      </c>
      <c r="D54" s="3">
        <v>124.00000000000001</v>
      </c>
      <c r="E54" s="3">
        <v>121.24000000000001</v>
      </c>
      <c r="F54" s="3">
        <v>3.7274999999999996</v>
      </c>
      <c r="G54" s="6">
        <v>4649.2993979658795</v>
      </c>
      <c r="H54" s="4">
        <v>17.46</v>
      </c>
      <c r="I54" s="4">
        <v>358.16999999999996</v>
      </c>
      <c r="J54" s="4">
        <v>340.71</v>
      </c>
      <c r="K54" s="4">
        <v>325</v>
      </c>
      <c r="L54" s="7">
        <v>4.6109594669953857</v>
      </c>
      <c r="M54" s="6">
        <v>4434.9220872264123</v>
      </c>
      <c r="N54" s="14">
        <v>44882</v>
      </c>
      <c r="O54" s="4">
        <v>16.880000000000003</v>
      </c>
      <c r="P54" s="4">
        <v>5.8599999999999994</v>
      </c>
      <c r="Q54" s="4">
        <v>12.42</v>
      </c>
      <c r="R54" s="8">
        <v>0.33408867015565052</v>
      </c>
      <c r="S54" s="8">
        <v>0.54790541905526691</v>
      </c>
      <c r="T54" s="8">
        <v>0.11800591078908262</v>
      </c>
      <c r="U54" s="6">
        <v>1553.2782530218872</v>
      </c>
      <c r="V54" s="6">
        <v>2547.3763349558953</v>
      </c>
      <c r="W54" s="6">
        <v>4100.6545879777823</v>
      </c>
      <c r="X54" s="6">
        <v>1481.6572223653941</v>
      </c>
      <c r="Y54" s="6">
        <v>2429.9178446792462</v>
      </c>
      <c r="Z54" s="6">
        <v>3911.5750670446405</v>
      </c>
      <c r="AB54" s="14">
        <v>44980</v>
      </c>
      <c r="AC54" s="6">
        <v>47.1</v>
      </c>
      <c r="AD54" s="11">
        <v>1.125</v>
      </c>
      <c r="AE54" s="6">
        <v>79.949999999999989</v>
      </c>
      <c r="AF54" s="6">
        <v>28.5</v>
      </c>
      <c r="AG54" s="6">
        <v>6.1</v>
      </c>
      <c r="AH54" s="6">
        <v>80.150000000000006</v>
      </c>
      <c r="AI54" s="6">
        <v>8.25</v>
      </c>
      <c r="AK54" s="12">
        <v>15</v>
      </c>
      <c r="AL54" s="7">
        <v>0.16</v>
      </c>
      <c r="AM54" s="6">
        <v>9.8000000000000007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E5B7D-92B8-4D11-9F53-24431941E6FC}">
  <dimension ref="A1:AC292"/>
  <sheetViews>
    <sheetView workbookViewId="0"/>
  </sheetViews>
  <sheetFormatPr defaultRowHeight="15" x14ac:dyDescent="0.25"/>
  <cols>
    <col min="1" max="1" width="9.85546875" bestFit="1" customWidth="1"/>
  </cols>
  <sheetData>
    <row r="1" spans="1:29" x14ac:dyDescent="0.25">
      <c r="B1" t="s">
        <v>173</v>
      </c>
      <c r="C1" t="s">
        <v>173</v>
      </c>
      <c r="Q1" t="s">
        <v>173</v>
      </c>
      <c r="R1" t="s">
        <v>173</v>
      </c>
    </row>
    <row r="2" spans="1:29" x14ac:dyDescent="0.25">
      <c r="B2" t="s">
        <v>174</v>
      </c>
      <c r="C2" t="s">
        <v>174</v>
      </c>
      <c r="Q2" t="s">
        <v>174</v>
      </c>
      <c r="R2" t="s">
        <v>174</v>
      </c>
    </row>
    <row r="4" spans="1:29" x14ac:dyDescent="0.25">
      <c r="A4" t="s">
        <v>158</v>
      </c>
      <c r="B4" t="s">
        <v>82</v>
      </c>
      <c r="C4" t="s">
        <v>83</v>
      </c>
      <c r="P4" t="s">
        <v>175</v>
      </c>
      <c r="Q4" t="s">
        <v>82</v>
      </c>
      <c r="R4" t="s">
        <v>83</v>
      </c>
      <c r="AC4">
        <v>0</v>
      </c>
    </row>
    <row r="5" spans="1:29" x14ac:dyDescent="0.25">
      <c r="A5" t="s">
        <v>176</v>
      </c>
      <c r="B5">
        <v>0</v>
      </c>
      <c r="C5">
        <v>0</v>
      </c>
      <c r="P5" t="s">
        <v>86</v>
      </c>
      <c r="Q5">
        <v>1336.6618109999999</v>
      </c>
      <c r="R5">
        <v>2249.328747</v>
      </c>
      <c r="AC5">
        <v>4000</v>
      </c>
    </row>
    <row r="6" spans="1:29" x14ac:dyDescent="0.25">
      <c r="A6" t="s">
        <v>177</v>
      </c>
      <c r="B6">
        <v>0</v>
      </c>
      <c r="C6">
        <v>0</v>
      </c>
      <c r="P6" t="s">
        <v>87</v>
      </c>
      <c r="Q6">
        <v>1067.9859329999999</v>
      </c>
      <c r="R6">
        <v>1833.533373</v>
      </c>
    </row>
    <row r="7" spans="1:29" x14ac:dyDescent="0.25">
      <c r="A7" t="s">
        <v>178</v>
      </c>
      <c r="B7">
        <v>0</v>
      </c>
      <c r="C7">
        <v>0</v>
      </c>
      <c r="P7" t="s">
        <v>88</v>
      </c>
      <c r="Q7">
        <v>656.33634219999999</v>
      </c>
      <c r="R7">
        <v>1135.9667460000001</v>
      </c>
    </row>
    <row r="8" spans="1:29" x14ac:dyDescent="0.25">
      <c r="A8" t="s">
        <v>179</v>
      </c>
      <c r="B8">
        <v>0</v>
      </c>
      <c r="C8">
        <v>0</v>
      </c>
      <c r="P8" t="s">
        <v>89</v>
      </c>
      <c r="Q8">
        <v>1330.9122460000001</v>
      </c>
      <c r="R8">
        <v>2331.2430629999999</v>
      </c>
    </row>
    <row r="9" spans="1:29" x14ac:dyDescent="0.25">
      <c r="A9" t="s">
        <v>180</v>
      </c>
      <c r="B9">
        <v>1823.8247181721358</v>
      </c>
      <c r="C9">
        <v>3069.1243913326807</v>
      </c>
      <c r="P9" t="s">
        <v>90</v>
      </c>
      <c r="Q9">
        <v>1905.588904</v>
      </c>
      <c r="R9">
        <v>2537.7313770000001</v>
      </c>
    </row>
    <row r="10" spans="1:29" x14ac:dyDescent="0.25">
      <c r="A10" t="s">
        <v>181</v>
      </c>
      <c r="B10">
        <v>0</v>
      </c>
      <c r="C10">
        <v>0</v>
      </c>
      <c r="P10" t="s">
        <v>91</v>
      </c>
      <c r="Q10">
        <v>1338.3853220000001</v>
      </c>
      <c r="R10">
        <v>1805.1531560000001</v>
      </c>
    </row>
    <row r="11" spans="1:29" x14ac:dyDescent="0.25">
      <c r="A11" t="s">
        <v>182</v>
      </c>
      <c r="B11">
        <v>0</v>
      </c>
      <c r="C11">
        <v>0</v>
      </c>
      <c r="P11" t="s">
        <v>92</v>
      </c>
      <c r="Q11">
        <v>1070.1690639999999</v>
      </c>
      <c r="R11">
        <v>1440.612202</v>
      </c>
    </row>
    <row r="12" spans="1:29" x14ac:dyDescent="0.25">
      <c r="A12" t="s">
        <v>183</v>
      </c>
      <c r="B12">
        <v>0</v>
      </c>
      <c r="C12">
        <v>0</v>
      </c>
      <c r="P12" t="s">
        <v>93</v>
      </c>
      <c r="Q12">
        <v>1697.98208</v>
      </c>
      <c r="R12">
        <v>2333.5396179999998</v>
      </c>
    </row>
    <row r="13" spans="1:29" x14ac:dyDescent="0.25">
      <c r="A13" t="s">
        <v>184</v>
      </c>
      <c r="B13">
        <v>0</v>
      </c>
      <c r="C13">
        <v>0</v>
      </c>
      <c r="P13" t="s">
        <v>94</v>
      </c>
      <c r="Q13">
        <v>1825.010321</v>
      </c>
      <c r="R13">
        <v>3064.3439779999999</v>
      </c>
    </row>
    <row r="14" spans="1:29" x14ac:dyDescent="0.25">
      <c r="A14" t="s">
        <v>185</v>
      </c>
      <c r="B14">
        <v>0</v>
      </c>
      <c r="C14">
        <v>0</v>
      </c>
      <c r="P14" t="s">
        <v>95</v>
      </c>
      <c r="Q14">
        <v>1677.8747229999999</v>
      </c>
      <c r="R14">
        <v>2759.783015</v>
      </c>
    </row>
    <row r="15" spans="1:29" x14ac:dyDescent="0.25">
      <c r="A15" t="s">
        <v>186</v>
      </c>
      <c r="B15">
        <v>1138.658089110161</v>
      </c>
      <c r="C15">
        <v>1954.8643299767366</v>
      </c>
      <c r="P15" t="s">
        <v>96</v>
      </c>
      <c r="Q15">
        <v>1304.995557</v>
      </c>
      <c r="R15">
        <v>2186.9925539999999</v>
      </c>
    </row>
    <row r="16" spans="1:29" x14ac:dyDescent="0.25">
      <c r="A16" t="s">
        <v>187</v>
      </c>
      <c r="B16">
        <v>0</v>
      </c>
      <c r="C16">
        <v>0</v>
      </c>
      <c r="P16" t="s">
        <v>97</v>
      </c>
      <c r="Q16">
        <v>1734.566804</v>
      </c>
      <c r="R16">
        <v>2880.8892139999998</v>
      </c>
    </row>
    <row r="17" spans="1:18" x14ac:dyDescent="0.25">
      <c r="A17" t="s">
        <v>188</v>
      </c>
      <c r="B17">
        <v>0</v>
      </c>
      <c r="C17">
        <v>0</v>
      </c>
      <c r="P17" t="s">
        <v>98</v>
      </c>
      <c r="Q17">
        <v>1975.757429</v>
      </c>
      <c r="R17">
        <v>2827.7374840000002</v>
      </c>
    </row>
    <row r="18" spans="1:18" x14ac:dyDescent="0.25">
      <c r="A18" t="s">
        <v>189</v>
      </c>
      <c r="B18">
        <v>0</v>
      </c>
      <c r="C18">
        <v>0</v>
      </c>
      <c r="P18" t="s">
        <v>99</v>
      </c>
      <c r="Q18">
        <v>1524.521238</v>
      </c>
      <c r="R18">
        <v>2180.8405509999998</v>
      </c>
    </row>
    <row r="19" spans="1:18" x14ac:dyDescent="0.25">
      <c r="A19" t="s">
        <v>190</v>
      </c>
      <c r="B19">
        <v>0</v>
      </c>
      <c r="C19">
        <v>0</v>
      </c>
      <c r="P19" t="s">
        <v>100</v>
      </c>
      <c r="Q19">
        <v>1584.5167160000001</v>
      </c>
      <c r="R19">
        <v>2307.763023</v>
      </c>
    </row>
    <row r="20" spans="1:18" x14ac:dyDescent="0.25">
      <c r="A20" t="s">
        <v>191</v>
      </c>
      <c r="B20">
        <v>0</v>
      </c>
      <c r="C20">
        <v>0</v>
      </c>
      <c r="P20" t="s">
        <v>101</v>
      </c>
      <c r="Q20">
        <v>1931.322148</v>
      </c>
      <c r="R20">
        <v>2721.1895599999998</v>
      </c>
    </row>
    <row r="21" spans="1:18" x14ac:dyDescent="0.25">
      <c r="A21" t="s">
        <v>192</v>
      </c>
      <c r="B21">
        <v>560.50251007137774</v>
      </c>
      <c r="C21">
        <v>970.10049820046152</v>
      </c>
      <c r="P21" t="s">
        <v>102</v>
      </c>
      <c r="Q21">
        <v>1546.3501879999999</v>
      </c>
      <c r="R21">
        <v>2293.7527789999999</v>
      </c>
    </row>
    <row r="22" spans="1:18" x14ac:dyDescent="0.25">
      <c r="A22" t="s">
        <v>193</v>
      </c>
      <c r="B22">
        <v>0</v>
      </c>
      <c r="C22">
        <v>0</v>
      </c>
      <c r="P22" t="s">
        <v>103</v>
      </c>
      <c r="Q22">
        <v>1466.275457</v>
      </c>
      <c r="R22">
        <v>2057.9304659999998</v>
      </c>
    </row>
    <row r="23" spans="1:18" x14ac:dyDescent="0.25">
      <c r="A23" t="s">
        <v>194</v>
      </c>
      <c r="B23">
        <v>0</v>
      </c>
      <c r="C23">
        <v>0</v>
      </c>
      <c r="P23" t="s">
        <v>104</v>
      </c>
      <c r="Q23">
        <v>1172.2847400000001</v>
      </c>
      <c r="R23">
        <v>1638.583875</v>
      </c>
    </row>
    <row r="24" spans="1:18" x14ac:dyDescent="0.25">
      <c r="A24" t="s">
        <v>195</v>
      </c>
      <c r="B24">
        <v>1430.5553239726678</v>
      </c>
      <c r="C24">
        <v>2432.9172176405914</v>
      </c>
      <c r="P24" t="s">
        <v>105</v>
      </c>
      <c r="Q24">
        <v>1163.685667</v>
      </c>
      <c r="R24">
        <v>1601.355055</v>
      </c>
    </row>
    <row r="25" spans="1:18" x14ac:dyDescent="0.25">
      <c r="A25" t="s">
        <v>196</v>
      </c>
      <c r="B25">
        <v>0</v>
      </c>
      <c r="C25">
        <v>0</v>
      </c>
      <c r="P25" t="s">
        <v>106</v>
      </c>
      <c r="Q25">
        <v>1322.956813</v>
      </c>
      <c r="R25">
        <v>2211.5098969999999</v>
      </c>
    </row>
    <row r="26" spans="1:18" x14ac:dyDescent="0.25">
      <c r="A26" t="s">
        <v>197</v>
      </c>
      <c r="B26">
        <v>0</v>
      </c>
      <c r="C26">
        <v>0</v>
      </c>
      <c r="P26" t="s">
        <v>107</v>
      </c>
      <c r="Q26">
        <v>1074.717439</v>
      </c>
      <c r="R26">
        <v>1704.724213</v>
      </c>
    </row>
    <row r="27" spans="1:18" x14ac:dyDescent="0.25">
      <c r="A27" t="s">
        <v>198</v>
      </c>
      <c r="B27">
        <v>1604.6610947642816</v>
      </c>
      <c r="C27">
        <v>2884.4521519382483</v>
      </c>
      <c r="P27" t="s">
        <v>108</v>
      </c>
      <c r="Q27">
        <v>1323.5706049999999</v>
      </c>
      <c r="R27">
        <v>2130.825742</v>
      </c>
    </row>
    <row r="28" spans="1:18" x14ac:dyDescent="0.25">
      <c r="A28" t="s">
        <v>199</v>
      </c>
      <c r="B28">
        <v>0</v>
      </c>
      <c r="C28">
        <v>0</v>
      </c>
      <c r="P28" t="s">
        <v>109</v>
      </c>
      <c r="Q28">
        <v>1165.1491570000001</v>
      </c>
      <c r="R28">
        <v>1872.15714</v>
      </c>
    </row>
    <row r="29" spans="1:18" x14ac:dyDescent="0.25">
      <c r="A29" t="s">
        <v>200</v>
      </c>
      <c r="B29">
        <v>0</v>
      </c>
      <c r="C29">
        <v>0</v>
      </c>
      <c r="P29" t="s">
        <v>110</v>
      </c>
      <c r="Q29">
        <v>1379.3105860000001</v>
      </c>
      <c r="R29">
        <v>1867.4616570000001</v>
      </c>
    </row>
    <row r="30" spans="1:18" x14ac:dyDescent="0.25">
      <c r="A30" t="s">
        <v>201</v>
      </c>
      <c r="B30">
        <v>2124.1582355218193</v>
      </c>
      <c r="C30">
        <v>2740.8493361571859</v>
      </c>
      <c r="P30" t="s">
        <v>111</v>
      </c>
      <c r="Q30">
        <v>1618.7076420000001</v>
      </c>
      <c r="R30">
        <v>2356.6478910000001</v>
      </c>
    </row>
    <row r="31" spans="1:18" x14ac:dyDescent="0.25">
      <c r="A31" t="s">
        <v>202</v>
      </c>
      <c r="B31">
        <v>0</v>
      </c>
      <c r="C31">
        <v>0</v>
      </c>
      <c r="P31" t="s">
        <v>112</v>
      </c>
      <c r="Q31">
        <v>1699.715985</v>
      </c>
      <c r="R31">
        <v>2416.9371799999999</v>
      </c>
    </row>
    <row r="32" spans="1:18" x14ac:dyDescent="0.25">
      <c r="A32" t="s">
        <v>203</v>
      </c>
      <c r="B32">
        <v>0</v>
      </c>
      <c r="C32">
        <v>0</v>
      </c>
      <c r="P32" t="s">
        <v>113</v>
      </c>
      <c r="Q32">
        <v>1305.0317749999999</v>
      </c>
      <c r="R32">
        <v>1857.526979</v>
      </c>
    </row>
    <row r="33" spans="1:18" x14ac:dyDescent="0.25">
      <c r="A33" t="s">
        <v>204</v>
      </c>
      <c r="B33">
        <v>1961.3369144807284</v>
      </c>
      <c r="C33">
        <v>2700.5342440588925</v>
      </c>
      <c r="P33" t="s">
        <v>114</v>
      </c>
      <c r="Q33">
        <v>1281.4581129999999</v>
      </c>
      <c r="R33">
        <v>2093.374323</v>
      </c>
    </row>
    <row r="34" spans="1:18" x14ac:dyDescent="0.25">
      <c r="A34" t="s">
        <v>205</v>
      </c>
      <c r="B34">
        <v>0</v>
      </c>
      <c r="C34">
        <v>0</v>
      </c>
      <c r="P34" t="s">
        <v>115</v>
      </c>
      <c r="Q34">
        <v>1489.6261139999999</v>
      </c>
      <c r="R34">
        <v>2525.8877579999998</v>
      </c>
    </row>
    <row r="35" spans="1:18" x14ac:dyDescent="0.25">
      <c r="A35" t="s">
        <v>206</v>
      </c>
      <c r="B35">
        <v>0</v>
      </c>
      <c r="C35">
        <v>0</v>
      </c>
      <c r="P35" t="s">
        <v>116</v>
      </c>
      <c r="Q35">
        <v>1449.4994750000001</v>
      </c>
      <c r="R35">
        <v>2423.2090450000001</v>
      </c>
    </row>
    <row r="36" spans="1:18" x14ac:dyDescent="0.25">
      <c r="A36" t="s">
        <v>207</v>
      </c>
      <c r="B36">
        <v>1627.7027233849458</v>
      </c>
      <c r="C36">
        <v>2166.8792505062088</v>
      </c>
      <c r="P36" t="s">
        <v>117</v>
      </c>
      <c r="Q36">
        <v>1123.1752289999999</v>
      </c>
      <c r="R36">
        <v>1916.0048019999999</v>
      </c>
    </row>
    <row r="37" spans="1:18" x14ac:dyDescent="0.25">
      <c r="A37" t="s">
        <v>208</v>
      </c>
      <c r="B37">
        <v>0</v>
      </c>
      <c r="C37">
        <v>0</v>
      </c>
      <c r="P37" t="s">
        <v>118</v>
      </c>
      <c r="Q37">
        <v>805.53841039999998</v>
      </c>
      <c r="R37">
        <v>1361.407021</v>
      </c>
    </row>
    <row r="38" spans="1:18" x14ac:dyDescent="0.25">
      <c r="A38" t="s">
        <v>209</v>
      </c>
      <c r="B38">
        <v>0</v>
      </c>
      <c r="C38">
        <v>0</v>
      </c>
      <c r="P38" t="s">
        <v>119</v>
      </c>
      <c r="Q38">
        <v>1559.2085219999999</v>
      </c>
      <c r="R38">
        <v>2675.2173619999999</v>
      </c>
    </row>
    <row r="39" spans="1:18" x14ac:dyDescent="0.25">
      <c r="A39" t="s">
        <v>210</v>
      </c>
      <c r="B39">
        <v>1214.7521115705274</v>
      </c>
      <c r="C39">
        <v>1666.5194257909711</v>
      </c>
      <c r="P39" t="s">
        <v>120</v>
      </c>
      <c r="Q39">
        <v>1447.3649720000001</v>
      </c>
      <c r="R39">
        <v>2431.120852</v>
      </c>
    </row>
    <row r="40" spans="1:18" x14ac:dyDescent="0.25">
      <c r="A40" t="s">
        <v>211</v>
      </c>
      <c r="B40">
        <v>0</v>
      </c>
      <c r="C40">
        <v>0</v>
      </c>
      <c r="P40" t="s">
        <v>121</v>
      </c>
      <c r="Q40">
        <v>1044.386291</v>
      </c>
      <c r="R40">
        <v>1783.6709699999999</v>
      </c>
    </row>
    <row r="41" spans="1:18" x14ac:dyDescent="0.25">
      <c r="A41" t="s">
        <v>212</v>
      </c>
      <c r="B41">
        <v>0</v>
      </c>
      <c r="C41">
        <v>0</v>
      </c>
      <c r="P41" t="s">
        <v>122</v>
      </c>
      <c r="Q41">
        <v>1373.324703</v>
      </c>
      <c r="R41">
        <v>1838.8585</v>
      </c>
    </row>
    <row r="42" spans="1:18" x14ac:dyDescent="0.25">
      <c r="A42" t="s">
        <v>213</v>
      </c>
      <c r="B42">
        <v>1163.8448626052084</v>
      </c>
      <c r="C42">
        <v>1537.9378541568826</v>
      </c>
      <c r="P42" t="s">
        <v>123</v>
      </c>
      <c r="Q42">
        <v>2008.0705109999999</v>
      </c>
      <c r="R42">
        <v>2770.2578579999999</v>
      </c>
    </row>
    <row r="43" spans="1:18" x14ac:dyDescent="0.25">
      <c r="A43" t="s">
        <v>214</v>
      </c>
      <c r="B43">
        <v>0</v>
      </c>
      <c r="C43">
        <v>0</v>
      </c>
      <c r="P43" t="s">
        <v>124</v>
      </c>
      <c r="Q43">
        <v>1832.6536470000001</v>
      </c>
      <c r="R43">
        <v>2498.6179499999998</v>
      </c>
    </row>
    <row r="44" spans="1:18" x14ac:dyDescent="0.25">
      <c r="A44" t="s">
        <v>215</v>
      </c>
      <c r="B44">
        <v>0</v>
      </c>
      <c r="C44">
        <v>0</v>
      </c>
      <c r="P44" t="s">
        <v>125</v>
      </c>
      <c r="Q44">
        <v>1792.0045789999999</v>
      </c>
      <c r="R44">
        <v>2371.614368</v>
      </c>
    </row>
    <row r="45" spans="1:18" x14ac:dyDescent="0.25">
      <c r="A45" t="s">
        <v>216</v>
      </c>
      <c r="B45">
        <v>987.06107069883717</v>
      </c>
      <c r="C45">
        <v>1357.2089722109008</v>
      </c>
      <c r="P45" t="s">
        <v>126</v>
      </c>
      <c r="Q45">
        <v>1735.826838</v>
      </c>
      <c r="R45">
        <v>2424.1719640000001</v>
      </c>
    </row>
    <row r="46" spans="1:18" x14ac:dyDescent="0.25">
      <c r="A46" t="s">
        <v>217</v>
      </c>
      <c r="B46">
        <v>0</v>
      </c>
      <c r="C46">
        <v>0</v>
      </c>
      <c r="P46" t="s">
        <v>127</v>
      </c>
      <c r="Q46">
        <v>1494.060962</v>
      </c>
      <c r="R46">
        <v>2120.2845339999999</v>
      </c>
    </row>
    <row r="47" spans="1:18" x14ac:dyDescent="0.25">
      <c r="A47" t="s">
        <v>218</v>
      </c>
      <c r="B47">
        <v>0</v>
      </c>
      <c r="C47">
        <v>0</v>
      </c>
      <c r="P47" t="s">
        <v>128</v>
      </c>
      <c r="Q47">
        <v>1948.9811850000001</v>
      </c>
      <c r="R47">
        <v>2753.4083230000001</v>
      </c>
    </row>
    <row r="48" spans="1:18" x14ac:dyDescent="0.25">
      <c r="A48" t="s">
        <v>219</v>
      </c>
      <c r="B48">
        <v>1911.6159343244904</v>
      </c>
      <c r="C48">
        <v>2654.471867352142</v>
      </c>
      <c r="P48" t="s">
        <v>129</v>
      </c>
      <c r="Q48">
        <v>1317.262886</v>
      </c>
      <c r="R48">
        <v>1738.7870089999999</v>
      </c>
    </row>
    <row r="49" spans="1:18" x14ac:dyDescent="0.25">
      <c r="A49" t="s">
        <v>220</v>
      </c>
      <c r="B49">
        <v>0</v>
      </c>
      <c r="C49">
        <v>0</v>
      </c>
      <c r="P49" t="s">
        <v>130</v>
      </c>
      <c r="Q49">
        <v>1389.9017200000001</v>
      </c>
      <c r="R49">
        <v>2245.2258550000001</v>
      </c>
    </row>
    <row r="50" spans="1:18" x14ac:dyDescent="0.25">
      <c r="A50" t="s">
        <v>221</v>
      </c>
      <c r="B50">
        <v>0</v>
      </c>
      <c r="C50">
        <v>0</v>
      </c>
      <c r="P50" t="s">
        <v>131</v>
      </c>
      <c r="Q50">
        <v>1284.8965089999999</v>
      </c>
      <c r="R50">
        <v>2168.8018259999999</v>
      </c>
    </row>
    <row r="51" spans="1:18" x14ac:dyDescent="0.25">
      <c r="A51" t="s">
        <v>222</v>
      </c>
      <c r="B51">
        <v>1633.4324587976587</v>
      </c>
      <c r="C51">
        <v>2217.508307701064</v>
      </c>
      <c r="P51" t="s">
        <v>132</v>
      </c>
      <c r="Q51">
        <v>1570.9316060000001</v>
      </c>
      <c r="R51">
        <v>2644.1423070000001</v>
      </c>
    </row>
    <row r="52" spans="1:18" x14ac:dyDescent="0.25">
      <c r="A52" t="s">
        <v>223</v>
      </c>
      <c r="B52">
        <v>0</v>
      </c>
      <c r="C52">
        <v>0</v>
      </c>
      <c r="P52" t="s">
        <v>133</v>
      </c>
      <c r="Q52">
        <v>1481.657222</v>
      </c>
      <c r="R52">
        <v>2429.9178449999999</v>
      </c>
    </row>
    <row r="53" spans="1:18" x14ac:dyDescent="0.25">
      <c r="A53" t="s">
        <v>224</v>
      </c>
      <c r="B53">
        <v>0</v>
      </c>
      <c r="C53">
        <v>0</v>
      </c>
    </row>
    <row r="54" spans="1:18" x14ac:dyDescent="0.25">
      <c r="A54" t="s">
        <v>225</v>
      </c>
      <c r="B54">
        <v>1559.2433626650488</v>
      </c>
      <c r="C54">
        <v>2650.7137165305826</v>
      </c>
    </row>
    <row r="55" spans="1:18" x14ac:dyDescent="0.25">
      <c r="A55" t="s">
        <v>226</v>
      </c>
      <c r="B55">
        <v>0</v>
      </c>
      <c r="C55">
        <v>0</v>
      </c>
    </row>
    <row r="56" spans="1:18" x14ac:dyDescent="0.25">
      <c r="A56" t="s">
        <v>227</v>
      </c>
      <c r="B56">
        <v>0</v>
      </c>
      <c r="C56">
        <v>0</v>
      </c>
    </row>
    <row r="57" spans="1:18" x14ac:dyDescent="0.25">
      <c r="A57" t="s">
        <v>228</v>
      </c>
      <c r="B57">
        <v>1854.5052629987329</v>
      </c>
      <c r="C57">
        <v>3081.0299078391645</v>
      </c>
    </row>
    <row r="58" spans="1:18" x14ac:dyDescent="0.25">
      <c r="A58" t="s">
        <v>229</v>
      </c>
      <c r="B58">
        <v>0</v>
      </c>
      <c r="C58">
        <v>0</v>
      </c>
    </row>
    <row r="59" spans="1:18" x14ac:dyDescent="0.25">
      <c r="A59" t="s">
        <v>230</v>
      </c>
      <c r="B59">
        <v>0</v>
      </c>
      <c r="C59">
        <v>0</v>
      </c>
    </row>
    <row r="60" spans="1:18" x14ac:dyDescent="0.25">
      <c r="A60" t="s">
        <v>231</v>
      </c>
      <c r="B60">
        <v>1853.8022350733791</v>
      </c>
      <c r="C60">
        <v>3017.3589570875215</v>
      </c>
    </row>
    <row r="61" spans="1:18" x14ac:dyDescent="0.25">
      <c r="A61" t="s">
        <v>232</v>
      </c>
      <c r="B61">
        <v>0</v>
      </c>
      <c r="C61">
        <v>0</v>
      </c>
    </row>
    <row r="62" spans="1:18" x14ac:dyDescent="0.25">
      <c r="A62" t="s">
        <v>233</v>
      </c>
      <c r="B62">
        <v>0</v>
      </c>
      <c r="C62">
        <v>0</v>
      </c>
    </row>
    <row r="63" spans="1:18" x14ac:dyDescent="0.25">
      <c r="A63" t="s">
        <v>234</v>
      </c>
      <c r="B63">
        <v>1728.1274035881177</v>
      </c>
      <c r="C63">
        <v>2873.7399520341737</v>
      </c>
    </row>
    <row r="64" spans="1:18" x14ac:dyDescent="0.25">
      <c r="A64" t="s">
        <v>235</v>
      </c>
      <c r="B64">
        <v>0</v>
      </c>
      <c r="C64">
        <v>0</v>
      </c>
    </row>
    <row r="65" spans="1:3" x14ac:dyDescent="0.25">
      <c r="A65" t="s">
        <v>236</v>
      </c>
      <c r="B65">
        <v>0</v>
      </c>
      <c r="C65">
        <v>0</v>
      </c>
    </row>
    <row r="66" spans="1:3" x14ac:dyDescent="0.25">
      <c r="A66" t="s">
        <v>237</v>
      </c>
      <c r="B66">
        <v>1415.2103755661224</v>
      </c>
      <c r="C66">
        <v>2371.6973880177084</v>
      </c>
    </row>
    <row r="67" spans="1:3" x14ac:dyDescent="0.25">
      <c r="A67" t="s">
        <v>238</v>
      </c>
      <c r="B67">
        <v>0</v>
      </c>
      <c r="C67">
        <v>0</v>
      </c>
    </row>
    <row r="68" spans="1:3" x14ac:dyDescent="0.25">
      <c r="A68" t="s">
        <v>239</v>
      </c>
      <c r="B68">
        <v>0</v>
      </c>
      <c r="C68">
        <v>0</v>
      </c>
    </row>
    <row r="69" spans="1:3" x14ac:dyDescent="0.25">
      <c r="A69" t="s">
        <v>240</v>
      </c>
      <c r="B69">
        <v>0</v>
      </c>
      <c r="C69">
        <v>0</v>
      </c>
    </row>
    <row r="70" spans="1:3" x14ac:dyDescent="0.25">
      <c r="A70" t="s">
        <v>241</v>
      </c>
      <c r="B70">
        <v>0</v>
      </c>
      <c r="C70">
        <v>0</v>
      </c>
    </row>
    <row r="71" spans="1:3" x14ac:dyDescent="0.25">
      <c r="A71" t="s">
        <v>242</v>
      </c>
      <c r="B71">
        <v>0</v>
      </c>
      <c r="C71">
        <v>0</v>
      </c>
    </row>
    <row r="72" spans="1:3" x14ac:dyDescent="0.25">
      <c r="A72" t="s">
        <v>243</v>
      </c>
      <c r="B72">
        <v>1644.7575618821988</v>
      </c>
      <c r="C72">
        <v>2763.9712874233396</v>
      </c>
    </row>
    <row r="73" spans="1:3" x14ac:dyDescent="0.25">
      <c r="A73" t="s">
        <v>244</v>
      </c>
      <c r="B73">
        <v>0</v>
      </c>
      <c r="C73">
        <v>0</v>
      </c>
    </row>
    <row r="74" spans="1:3" x14ac:dyDescent="0.25">
      <c r="A74" t="s">
        <v>245</v>
      </c>
      <c r="B74">
        <v>0</v>
      </c>
      <c r="C74">
        <v>0</v>
      </c>
    </row>
    <row r="75" spans="1:3" x14ac:dyDescent="0.25">
      <c r="A75" t="s">
        <v>246</v>
      </c>
      <c r="B75">
        <v>1727.2967569180323</v>
      </c>
      <c r="C75">
        <v>2836.2997883483599</v>
      </c>
    </row>
    <row r="76" spans="1:3" x14ac:dyDescent="0.25">
      <c r="A76" t="s">
        <v>247</v>
      </c>
      <c r="B76">
        <v>0</v>
      </c>
      <c r="C76">
        <v>0</v>
      </c>
    </row>
    <row r="77" spans="1:3" x14ac:dyDescent="0.25">
      <c r="A77" t="s">
        <v>248</v>
      </c>
      <c r="B77">
        <v>0</v>
      </c>
      <c r="C77">
        <v>0</v>
      </c>
    </row>
    <row r="78" spans="1:3" x14ac:dyDescent="0.25">
      <c r="A78" t="s">
        <v>249</v>
      </c>
      <c r="B78">
        <v>2136.9210067895037</v>
      </c>
      <c r="C78">
        <v>3059.6823506304254</v>
      </c>
    </row>
    <row r="79" spans="1:3" x14ac:dyDescent="0.25">
      <c r="A79" t="s">
        <v>250</v>
      </c>
      <c r="B79">
        <v>0</v>
      </c>
      <c r="C79">
        <v>0</v>
      </c>
    </row>
    <row r="80" spans="1:3" x14ac:dyDescent="0.25">
      <c r="A80" t="s">
        <v>251</v>
      </c>
      <c r="B80">
        <v>0</v>
      </c>
      <c r="C80">
        <v>0</v>
      </c>
    </row>
    <row r="81" spans="1:3" x14ac:dyDescent="0.25">
      <c r="A81" t="s">
        <v>252</v>
      </c>
      <c r="B81">
        <v>1618.6278310060677</v>
      </c>
      <c r="C81">
        <v>2315.2524671352612</v>
      </c>
    </row>
    <row r="82" spans="1:3" x14ac:dyDescent="0.25">
      <c r="A82" t="s">
        <v>253</v>
      </c>
      <c r="B82">
        <v>0</v>
      </c>
      <c r="C82">
        <v>0</v>
      </c>
    </row>
    <row r="83" spans="1:3" x14ac:dyDescent="0.25">
      <c r="A83" t="s">
        <v>254</v>
      </c>
      <c r="B83">
        <v>0</v>
      </c>
      <c r="C83">
        <v>0</v>
      </c>
    </row>
    <row r="84" spans="1:3" x14ac:dyDescent="0.25">
      <c r="A84" t="s">
        <v>255</v>
      </c>
      <c r="B84">
        <v>1683.1519056448819</v>
      </c>
      <c r="C84">
        <v>2336.6108807776004</v>
      </c>
    </row>
    <row r="85" spans="1:3" x14ac:dyDescent="0.25">
      <c r="A85" t="s">
        <v>256</v>
      </c>
      <c r="B85">
        <v>0</v>
      </c>
      <c r="C85">
        <v>0</v>
      </c>
    </row>
    <row r="86" spans="1:3" x14ac:dyDescent="0.25">
      <c r="A86" t="s">
        <v>257</v>
      </c>
      <c r="B86">
        <v>0</v>
      </c>
      <c r="C86">
        <v>0</v>
      </c>
    </row>
    <row r="87" spans="1:3" x14ac:dyDescent="0.25">
      <c r="A87" t="s">
        <v>258</v>
      </c>
      <c r="B87">
        <v>1284.7836616128109</v>
      </c>
      <c r="C87">
        <v>1911.7580884798622</v>
      </c>
    </row>
    <row r="88" spans="1:3" x14ac:dyDescent="0.25">
      <c r="A88" t="s">
        <v>259</v>
      </c>
      <c r="B88">
        <v>0</v>
      </c>
      <c r="C88">
        <v>0</v>
      </c>
    </row>
    <row r="89" spans="1:3" x14ac:dyDescent="0.25">
      <c r="A89" t="s">
        <v>260</v>
      </c>
      <c r="B89">
        <v>0</v>
      </c>
      <c r="C89">
        <v>0</v>
      </c>
    </row>
    <row r="90" spans="1:3" x14ac:dyDescent="0.25">
      <c r="A90" t="s">
        <v>261</v>
      </c>
      <c r="B90">
        <v>1793.1428632720667</v>
      </c>
      <c r="C90">
        <v>2571.4850951319204</v>
      </c>
    </row>
    <row r="91" spans="1:3" x14ac:dyDescent="0.25">
      <c r="A91" t="s">
        <v>262</v>
      </c>
      <c r="B91">
        <v>0</v>
      </c>
      <c r="C91">
        <v>0</v>
      </c>
    </row>
    <row r="92" spans="1:3" x14ac:dyDescent="0.25">
      <c r="A92" t="s">
        <v>263</v>
      </c>
      <c r="B92">
        <v>0</v>
      </c>
      <c r="C92">
        <v>0</v>
      </c>
    </row>
    <row r="93" spans="1:3" x14ac:dyDescent="0.25">
      <c r="A93" t="s">
        <v>264</v>
      </c>
      <c r="B93">
        <v>1087.6731703628943</v>
      </c>
      <c r="C93">
        <v>1626.3303594949941</v>
      </c>
    </row>
    <row r="94" spans="1:3" x14ac:dyDescent="0.25">
      <c r="A94" t="s">
        <v>265</v>
      </c>
      <c r="B94">
        <v>0</v>
      </c>
      <c r="C94">
        <v>0</v>
      </c>
    </row>
    <row r="95" spans="1:3" x14ac:dyDescent="0.25">
      <c r="A95" t="s">
        <v>266</v>
      </c>
      <c r="B95">
        <v>0</v>
      </c>
      <c r="C95">
        <v>0</v>
      </c>
    </row>
    <row r="96" spans="1:3" x14ac:dyDescent="0.25">
      <c r="A96" t="s">
        <v>267</v>
      </c>
      <c r="B96">
        <v>2089.6118355202775</v>
      </c>
      <c r="C96">
        <v>2907.7145824456688</v>
      </c>
    </row>
    <row r="97" spans="1:3" x14ac:dyDescent="0.25">
      <c r="A97" t="s">
        <v>268</v>
      </c>
      <c r="B97">
        <v>0</v>
      </c>
      <c r="C97">
        <v>0</v>
      </c>
    </row>
    <row r="98" spans="1:3" x14ac:dyDescent="0.25">
      <c r="A98" t="s">
        <v>269</v>
      </c>
      <c r="B98">
        <v>0</v>
      </c>
      <c r="C98">
        <v>0</v>
      </c>
    </row>
    <row r="99" spans="1:3" x14ac:dyDescent="0.25">
      <c r="A99" t="s">
        <v>270</v>
      </c>
      <c r="B99">
        <v>1900.0722517105696</v>
      </c>
      <c r="C99">
        <v>2714.3889310150994</v>
      </c>
    </row>
    <row r="100" spans="1:3" x14ac:dyDescent="0.25">
      <c r="A100" t="s">
        <v>271</v>
      </c>
      <c r="B100">
        <v>0</v>
      </c>
      <c r="C100">
        <v>0</v>
      </c>
    </row>
    <row r="101" spans="1:3" x14ac:dyDescent="0.25">
      <c r="A101" t="s">
        <v>272</v>
      </c>
      <c r="B101">
        <v>0</v>
      </c>
      <c r="C101">
        <v>0</v>
      </c>
    </row>
    <row r="102" spans="1:3" x14ac:dyDescent="0.25">
      <c r="A102" t="s">
        <v>273</v>
      </c>
      <c r="B102">
        <v>1600.7667179060629</v>
      </c>
      <c r="C102">
        <v>2313.3031228276645</v>
      </c>
    </row>
    <row r="103" spans="1:3" x14ac:dyDescent="0.25">
      <c r="A103" t="s">
        <v>274</v>
      </c>
      <c r="B103">
        <v>0</v>
      </c>
      <c r="C103">
        <v>0</v>
      </c>
    </row>
    <row r="104" spans="1:3" x14ac:dyDescent="0.25">
      <c r="A104" t="s">
        <v>275</v>
      </c>
      <c r="B104">
        <v>0</v>
      </c>
      <c r="C104">
        <v>0</v>
      </c>
    </row>
    <row r="105" spans="1:3" x14ac:dyDescent="0.25">
      <c r="A105" t="s">
        <v>276</v>
      </c>
      <c r="B105">
        <v>1362.8252425613148</v>
      </c>
      <c r="C105">
        <v>2084.3209592114226</v>
      </c>
    </row>
    <row r="106" spans="1:3" x14ac:dyDescent="0.25">
      <c r="A106" t="s">
        <v>277</v>
      </c>
      <c r="B106">
        <v>0</v>
      </c>
      <c r="C106">
        <v>0</v>
      </c>
    </row>
    <row r="107" spans="1:3" x14ac:dyDescent="0.25">
      <c r="A107" t="s">
        <v>278</v>
      </c>
      <c r="B107">
        <v>0</v>
      </c>
      <c r="C107">
        <v>0</v>
      </c>
    </row>
    <row r="108" spans="1:3" x14ac:dyDescent="0.25">
      <c r="A108" t="s">
        <v>279</v>
      </c>
      <c r="B108">
        <v>1625.1028666993309</v>
      </c>
      <c r="C108">
        <v>2290.8076554677318</v>
      </c>
    </row>
    <row r="109" spans="1:3" x14ac:dyDescent="0.25">
      <c r="A109" t="s">
        <v>280</v>
      </c>
      <c r="B109">
        <v>0</v>
      </c>
      <c r="C109">
        <v>0</v>
      </c>
    </row>
    <row r="110" spans="1:3" x14ac:dyDescent="0.25">
      <c r="A110" t="s">
        <v>281</v>
      </c>
      <c r="B110">
        <v>0</v>
      </c>
      <c r="C110">
        <v>0</v>
      </c>
    </row>
    <row r="111" spans="1:3" x14ac:dyDescent="0.25">
      <c r="A111" t="s">
        <v>282</v>
      </c>
      <c r="B111">
        <v>1745.9280089899632</v>
      </c>
      <c r="C111">
        <v>2440.3311943836984</v>
      </c>
    </row>
    <row r="112" spans="1:3" x14ac:dyDescent="0.25">
      <c r="A112" t="s">
        <v>283</v>
      </c>
      <c r="B112">
        <v>0</v>
      </c>
      <c r="C112">
        <v>0</v>
      </c>
    </row>
    <row r="113" spans="1:3" x14ac:dyDescent="0.25">
      <c r="A113" t="s">
        <v>284</v>
      </c>
      <c r="B113">
        <v>0</v>
      </c>
      <c r="C113">
        <v>0</v>
      </c>
    </row>
    <row r="114" spans="1:3" x14ac:dyDescent="0.25">
      <c r="A114" t="s">
        <v>285</v>
      </c>
      <c r="B114">
        <v>1230.4631221670015</v>
      </c>
      <c r="C114">
        <v>1756.3868759964455</v>
      </c>
    </row>
    <row r="115" spans="1:3" x14ac:dyDescent="0.25">
      <c r="A115" t="s">
        <v>286</v>
      </c>
      <c r="B115">
        <v>0</v>
      </c>
      <c r="C115">
        <v>0</v>
      </c>
    </row>
    <row r="116" spans="1:3" x14ac:dyDescent="0.25">
      <c r="A116" t="s">
        <v>287</v>
      </c>
      <c r="B116">
        <v>0</v>
      </c>
      <c r="C116">
        <v>0</v>
      </c>
    </row>
    <row r="117" spans="1:3" x14ac:dyDescent="0.25">
      <c r="A117" t="s">
        <v>288</v>
      </c>
      <c r="B117">
        <v>1448.6762069425938</v>
      </c>
      <c r="C117">
        <v>1988.1832081488005</v>
      </c>
    </row>
    <row r="118" spans="1:3" x14ac:dyDescent="0.25">
      <c r="A118" t="s">
        <v>289</v>
      </c>
      <c r="B118">
        <v>0</v>
      </c>
      <c r="C118">
        <v>0</v>
      </c>
    </row>
    <row r="119" spans="1:3" x14ac:dyDescent="0.25">
      <c r="A119" t="s">
        <v>290</v>
      </c>
      <c r="B119">
        <v>0</v>
      </c>
      <c r="C119">
        <v>0</v>
      </c>
    </row>
    <row r="120" spans="1:3" x14ac:dyDescent="0.25">
      <c r="A120" t="s">
        <v>291</v>
      </c>
      <c r="B120">
        <v>1052.2246185828251</v>
      </c>
      <c r="C120">
        <v>1493.156839703247</v>
      </c>
    </row>
    <row r="121" spans="1:3" x14ac:dyDescent="0.25">
      <c r="A121" t="s">
        <v>292</v>
      </c>
      <c r="B121">
        <v>0</v>
      </c>
      <c r="C121">
        <v>0</v>
      </c>
    </row>
    <row r="122" spans="1:3" x14ac:dyDescent="0.25">
      <c r="A122" t="s">
        <v>293</v>
      </c>
      <c r="B122">
        <v>0</v>
      </c>
      <c r="C122">
        <v>0</v>
      </c>
    </row>
    <row r="123" spans="1:3" x14ac:dyDescent="0.25">
      <c r="A123" t="s">
        <v>294</v>
      </c>
      <c r="B123">
        <v>1226.7602941711505</v>
      </c>
      <c r="C123">
        <v>1642.439402113441</v>
      </c>
    </row>
    <row r="124" spans="1:3" x14ac:dyDescent="0.25">
      <c r="A124" t="s">
        <v>295</v>
      </c>
      <c r="B124">
        <v>0</v>
      </c>
      <c r="C124">
        <v>0</v>
      </c>
    </row>
    <row r="125" spans="1:3" x14ac:dyDescent="0.25">
      <c r="A125" t="s">
        <v>296</v>
      </c>
      <c r="B125">
        <v>0</v>
      </c>
      <c r="C125">
        <v>0</v>
      </c>
    </row>
    <row r="126" spans="1:3" x14ac:dyDescent="0.25">
      <c r="A126" t="s">
        <v>297</v>
      </c>
      <c r="B126">
        <v>1255.9942751292149</v>
      </c>
      <c r="C126">
        <v>2163.1012516114256</v>
      </c>
    </row>
    <row r="127" spans="1:3" x14ac:dyDescent="0.25">
      <c r="A127" t="s">
        <v>298</v>
      </c>
      <c r="B127">
        <v>0</v>
      </c>
      <c r="C127">
        <v>0</v>
      </c>
    </row>
    <row r="128" spans="1:3" x14ac:dyDescent="0.25">
      <c r="A128" t="s">
        <v>299</v>
      </c>
      <c r="B128">
        <v>0</v>
      </c>
      <c r="C128">
        <v>0</v>
      </c>
    </row>
    <row r="129" spans="1:3" x14ac:dyDescent="0.25">
      <c r="A129" t="s">
        <v>300</v>
      </c>
      <c r="B129">
        <v>1405.0540669947397</v>
      </c>
      <c r="C129">
        <v>2285.6865456041191</v>
      </c>
    </row>
    <row r="130" spans="1:3" x14ac:dyDescent="0.25">
      <c r="A130" t="s">
        <v>301</v>
      </c>
      <c r="B130">
        <v>0</v>
      </c>
      <c r="C130">
        <v>0</v>
      </c>
    </row>
    <row r="131" spans="1:3" x14ac:dyDescent="0.25">
      <c r="A131" t="s">
        <v>302</v>
      </c>
      <c r="B131">
        <v>0</v>
      </c>
      <c r="C131">
        <v>0</v>
      </c>
    </row>
    <row r="132" spans="1:3" x14ac:dyDescent="0.25">
      <c r="A132" t="s">
        <v>303</v>
      </c>
      <c r="B132">
        <v>1015.6244153959386</v>
      </c>
      <c r="C132">
        <v>1642.9218484346065</v>
      </c>
    </row>
    <row r="133" spans="1:3" x14ac:dyDescent="0.25">
      <c r="A133" t="s">
        <v>304</v>
      </c>
      <c r="B133">
        <v>0</v>
      </c>
      <c r="C133">
        <v>0</v>
      </c>
    </row>
    <row r="134" spans="1:3" x14ac:dyDescent="0.25">
      <c r="A134" t="s">
        <v>305</v>
      </c>
      <c r="B134">
        <v>0</v>
      </c>
      <c r="C134">
        <v>0</v>
      </c>
    </row>
    <row r="135" spans="1:3" x14ac:dyDescent="0.25">
      <c r="A135" t="s">
        <v>306</v>
      </c>
      <c r="B135">
        <v>1002.354896498054</v>
      </c>
      <c r="C135">
        <v>1558.1160272296481</v>
      </c>
    </row>
    <row r="136" spans="1:3" x14ac:dyDescent="0.25">
      <c r="A136" t="s">
        <v>307</v>
      </c>
      <c r="B136">
        <v>0</v>
      </c>
      <c r="C136">
        <v>0</v>
      </c>
    </row>
    <row r="137" spans="1:3" x14ac:dyDescent="0.25">
      <c r="A137" t="s">
        <v>308</v>
      </c>
      <c r="B137">
        <v>0</v>
      </c>
      <c r="C137">
        <v>0</v>
      </c>
    </row>
    <row r="138" spans="1:3" x14ac:dyDescent="0.25">
      <c r="A138" t="s">
        <v>309</v>
      </c>
      <c r="B138">
        <v>1570.2764284458767</v>
      </c>
      <c r="C138">
        <v>2649.2393731448842</v>
      </c>
    </row>
    <row r="139" spans="1:3" x14ac:dyDescent="0.25">
      <c r="A139" t="s">
        <v>310</v>
      </c>
      <c r="B139">
        <v>0</v>
      </c>
      <c r="C139">
        <v>0</v>
      </c>
    </row>
    <row r="140" spans="1:3" x14ac:dyDescent="0.25">
      <c r="A140" t="s">
        <v>311</v>
      </c>
      <c r="B140">
        <v>0</v>
      </c>
      <c r="C140">
        <v>0</v>
      </c>
    </row>
    <row r="141" spans="1:3" x14ac:dyDescent="0.25">
      <c r="A141" t="s">
        <v>312</v>
      </c>
      <c r="B141">
        <v>1575.3341462568817</v>
      </c>
      <c r="C141">
        <v>2412.2304114558497</v>
      </c>
    </row>
    <row r="142" spans="1:3" x14ac:dyDescent="0.25">
      <c r="A142" t="s">
        <v>313</v>
      </c>
      <c r="B142">
        <v>0</v>
      </c>
      <c r="C142">
        <v>0</v>
      </c>
    </row>
    <row r="143" spans="1:3" x14ac:dyDescent="0.25">
      <c r="A143" t="s">
        <v>314</v>
      </c>
      <c r="B143">
        <v>0</v>
      </c>
      <c r="C143">
        <v>0</v>
      </c>
    </row>
    <row r="144" spans="1:3" x14ac:dyDescent="0.25">
      <c r="A144" t="s">
        <v>315</v>
      </c>
      <c r="B144">
        <v>1173.0559281913954</v>
      </c>
      <c r="C144">
        <v>1908.7011712944741</v>
      </c>
    </row>
    <row r="145" spans="1:3" x14ac:dyDescent="0.25">
      <c r="A145" t="s">
        <v>316</v>
      </c>
      <c r="B145">
        <v>0</v>
      </c>
      <c r="C145">
        <v>0</v>
      </c>
    </row>
    <row r="146" spans="1:3" x14ac:dyDescent="0.25">
      <c r="A146" t="s">
        <v>317</v>
      </c>
      <c r="B146">
        <v>0</v>
      </c>
      <c r="C146">
        <v>0</v>
      </c>
    </row>
    <row r="147" spans="1:3" x14ac:dyDescent="0.25">
      <c r="A147" t="s">
        <v>318</v>
      </c>
      <c r="B147">
        <v>888.75195772867903</v>
      </c>
      <c r="C147">
        <v>1403.824115048709</v>
      </c>
    </row>
    <row r="148" spans="1:3" x14ac:dyDescent="0.25">
      <c r="A148" t="s">
        <v>319</v>
      </c>
      <c r="B148">
        <v>0</v>
      </c>
      <c r="C148">
        <v>0</v>
      </c>
    </row>
    <row r="149" spans="1:3" x14ac:dyDescent="0.25">
      <c r="A149" t="s">
        <v>320</v>
      </c>
      <c r="B149">
        <v>0</v>
      </c>
      <c r="C149">
        <v>0</v>
      </c>
    </row>
    <row r="150" spans="1:3" x14ac:dyDescent="0.25">
      <c r="A150" t="s">
        <v>321</v>
      </c>
      <c r="B150">
        <v>1580.5168800130389</v>
      </c>
      <c r="C150">
        <v>2164.4020968331424</v>
      </c>
    </row>
    <row r="151" spans="1:3" x14ac:dyDescent="0.25">
      <c r="A151" t="s">
        <v>322</v>
      </c>
      <c r="B151">
        <v>0</v>
      </c>
      <c r="C151">
        <v>0</v>
      </c>
    </row>
    <row r="152" spans="1:3" x14ac:dyDescent="0.25">
      <c r="A152" t="s">
        <v>323</v>
      </c>
      <c r="B152">
        <v>0</v>
      </c>
      <c r="C152">
        <v>0</v>
      </c>
    </row>
    <row r="153" spans="1:3" x14ac:dyDescent="0.25">
      <c r="A153" t="s">
        <v>324</v>
      </c>
      <c r="B153">
        <v>902.26073469479218</v>
      </c>
      <c r="C153">
        <v>1196.0200436651896</v>
      </c>
    </row>
    <row r="154" spans="1:3" x14ac:dyDescent="0.25">
      <c r="A154" t="s">
        <v>325</v>
      </c>
      <c r="B154">
        <v>0</v>
      </c>
      <c r="C154">
        <v>0</v>
      </c>
    </row>
    <row r="155" spans="1:3" x14ac:dyDescent="0.25">
      <c r="A155" t="s">
        <v>326</v>
      </c>
      <c r="B155">
        <v>0</v>
      </c>
      <c r="C155">
        <v>0</v>
      </c>
    </row>
    <row r="156" spans="1:3" x14ac:dyDescent="0.25">
      <c r="A156" t="s">
        <v>327</v>
      </c>
      <c r="B156">
        <v>2011.6576378386269</v>
      </c>
      <c r="C156">
        <v>2928.736855088589</v>
      </c>
    </row>
    <row r="157" spans="1:3" x14ac:dyDescent="0.25">
      <c r="A157" t="s">
        <v>328</v>
      </c>
      <c r="B157">
        <v>0</v>
      </c>
      <c r="C157">
        <v>0</v>
      </c>
    </row>
    <row r="158" spans="1:3" x14ac:dyDescent="0.25">
      <c r="A158" t="s">
        <v>329</v>
      </c>
      <c r="B158">
        <v>0</v>
      </c>
      <c r="C158">
        <v>0</v>
      </c>
    </row>
    <row r="159" spans="1:3" x14ac:dyDescent="0.25">
      <c r="A159" t="s">
        <v>330</v>
      </c>
      <c r="B159">
        <v>0</v>
      </c>
      <c r="C159">
        <v>0</v>
      </c>
    </row>
    <row r="160" spans="1:3" x14ac:dyDescent="0.25">
      <c r="A160" t="s">
        <v>331</v>
      </c>
      <c r="B160">
        <v>0</v>
      </c>
      <c r="C160">
        <v>0</v>
      </c>
    </row>
    <row r="161" spans="1:3" x14ac:dyDescent="0.25">
      <c r="A161" t="s">
        <v>332</v>
      </c>
      <c r="B161">
        <v>0</v>
      </c>
      <c r="C161">
        <v>0</v>
      </c>
    </row>
    <row r="162" spans="1:3" x14ac:dyDescent="0.25">
      <c r="A162" t="s">
        <v>333</v>
      </c>
      <c r="B162">
        <v>1746.0933538486008</v>
      </c>
      <c r="C162">
        <v>2482.8841910217102</v>
      </c>
    </row>
    <row r="163" spans="1:3" x14ac:dyDescent="0.25">
      <c r="A163" t="s">
        <v>334</v>
      </c>
      <c r="B163">
        <v>0</v>
      </c>
      <c r="C163">
        <v>0</v>
      </c>
    </row>
    <row r="164" spans="1:3" x14ac:dyDescent="0.25">
      <c r="A164" t="s">
        <v>335</v>
      </c>
      <c r="B164">
        <v>0</v>
      </c>
      <c r="C164">
        <v>0</v>
      </c>
    </row>
    <row r="165" spans="1:3" x14ac:dyDescent="0.25">
      <c r="A165" t="s">
        <v>336</v>
      </c>
      <c r="B165">
        <v>0</v>
      </c>
      <c r="C165">
        <v>0</v>
      </c>
    </row>
    <row r="166" spans="1:3" x14ac:dyDescent="0.25">
      <c r="A166" t="s">
        <v>337</v>
      </c>
      <c r="B166">
        <v>0</v>
      </c>
      <c r="C166">
        <v>0</v>
      </c>
    </row>
    <row r="167" spans="1:3" x14ac:dyDescent="0.25">
      <c r="A167" t="s">
        <v>338</v>
      </c>
      <c r="B167">
        <v>0</v>
      </c>
      <c r="C167">
        <v>0</v>
      </c>
    </row>
    <row r="168" spans="1:3" x14ac:dyDescent="0.25">
      <c r="A168" t="s">
        <v>339</v>
      </c>
      <c r="B168">
        <v>1406.8896528094938</v>
      </c>
      <c r="C168">
        <v>2002.5071700573085</v>
      </c>
    </row>
    <row r="169" spans="1:3" x14ac:dyDescent="0.25">
      <c r="A169" t="s">
        <v>340</v>
      </c>
      <c r="B169">
        <v>0</v>
      </c>
      <c r="C169">
        <v>0</v>
      </c>
    </row>
    <row r="170" spans="1:3" x14ac:dyDescent="0.25">
      <c r="A170" t="s">
        <v>341</v>
      </c>
      <c r="B170">
        <v>0</v>
      </c>
      <c r="C170">
        <v>0</v>
      </c>
    </row>
    <row r="171" spans="1:3" x14ac:dyDescent="0.25">
      <c r="A171" t="s">
        <v>342</v>
      </c>
      <c r="B171">
        <v>0</v>
      </c>
      <c r="C171">
        <v>0</v>
      </c>
    </row>
    <row r="172" spans="1:3" x14ac:dyDescent="0.25">
      <c r="A172" t="s">
        <v>343</v>
      </c>
      <c r="B172">
        <v>0</v>
      </c>
      <c r="C172">
        <v>0</v>
      </c>
    </row>
    <row r="173" spans="1:3" x14ac:dyDescent="0.25">
      <c r="A173" t="s">
        <v>344</v>
      </c>
      <c r="B173">
        <v>0</v>
      </c>
      <c r="C173">
        <v>0</v>
      </c>
    </row>
    <row r="174" spans="1:3" x14ac:dyDescent="0.25">
      <c r="A174" t="s">
        <v>345</v>
      </c>
      <c r="B174">
        <v>1272.4723837330187</v>
      </c>
      <c r="C174">
        <v>2078.6953444188243</v>
      </c>
    </row>
    <row r="175" spans="1:3" x14ac:dyDescent="0.25">
      <c r="A175" t="s">
        <v>346</v>
      </c>
      <c r="B175">
        <v>0</v>
      </c>
      <c r="C175">
        <v>0</v>
      </c>
    </row>
    <row r="176" spans="1:3" x14ac:dyDescent="0.25">
      <c r="A176" t="s">
        <v>347</v>
      </c>
      <c r="B176">
        <v>0</v>
      </c>
      <c r="C176">
        <v>0</v>
      </c>
    </row>
    <row r="177" spans="1:3" x14ac:dyDescent="0.25">
      <c r="A177" t="s">
        <v>348</v>
      </c>
      <c r="B177">
        <v>0</v>
      </c>
      <c r="C177">
        <v>0</v>
      </c>
    </row>
    <row r="178" spans="1:3" x14ac:dyDescent="0.25">
      <c r="A178" t="s">
        <v>349</v>
      </c>
      <c r="B178">
        <v>0</v>
      </c>
      <c r="C178">
        <v>0</v>
      </c>
    </row>
    <row r="179" spans="1:3" x14ac:dyDescent="0.25">
      <c r="A179" t="s">
        <v>350</v>
      </c>
      <c r="B179">
        <v>0</v>
      </c>
      <c r="C179">
        <v>0</v>
      </c>
    </row>
    <row r="180" spans="1:3" x14ac:dyDescent="0.25">
      <c r="A180" t="s">
        <v>351</v>
      </c>
      <c r="B180">
        <v>1335.2498841406145</v>
      </c>
      <c r="C180">
        <v>2329.3775351066201</v>
      </c>
    </row>
    <row r="181" spans="1:3" x14ac:dyDescent="0.25">
      <c r="A181" t="s">
        <v>352</v>
      </c>
      <c r="B181">
        <v>0</v>
      </c>
      <c r="C181">
        <v>0</v>
      </c>
    </row>
    <row r="182" spans="1:3" x14ac:dyDescent="0.25">
      <c r="A182" t="s">
        <v>353</v>
      </c>
      <c r="B182">
        <v>0</v>
      </c>
      <c r="C182">
        <v>0</v>
      </c>
    </row>
    <row r="183" spans="1:3" x14ac:dyDescent="0.25">
      <c r="A183" t="s">
        <v>354</v>
      </c>
      <c r="B183">
        <v>1605.9294436162875</v>
      </c>
      <c r="C183">
        <v>2656.7227832664507</v>
      </c>
    </row>
    <row r="184" spans="1:3" x14ac:dyDescent="0.25">
      <c r="A184" t="s">
        <v>355</v>
      </c>
      <c r="B184">
        <v>0</v>
      </c>
      <c r="C184">
        <v>0</v>
      </c>
    </row>
    <row r="185" spans="1:3" x14ac:dyDescent="0.25">
      <c r="A185" t="s">
        <v>356</v>
      </c>
      <c r="B185">
        <v>0</v>
      </c>
      <c r="C185">
        <v>0</v>
      </c>
    </row>
    <row r="186" spans="1:3" x14ac:dyDescent="0.25">
      <c r="A186" t="s">
        <v>357</v>
      </c>
      <c r="B186">
        <v>1085.4282477838465</v>
      </c>
      <c r="C186">
        <v>1872.1147759941573</v>
      </c>
    </row>
    <row r="187" spans="1:3" x14ac:dyDescent="0.25">
      <c r="A187" t="s">
        <v>358</v>
      </c>
      <c r="B187">
        <v>0</v>
      </c>
      <c r="C187">
        <v>0</v>
      </c>
    </row>
    <row r="188" spans="1:3" x14ac:dyDescent="0.25">
      <c r="A188" t="s">
        <v>359</v>
      </c>
      <c r="B188">
        <v>0</v>
      </c>
      <c r="C188">
        <v>0</v>
      </c>
    </row>
    <row r="189" spans="1:3" x14ac:dyDescent="0.25">
      <c r="A189" t="s">
        <v>360</v>
      </c>
      <c r="B189">
        <v>1512.6014854567009</v>
      </c>
      <c r="C189">
        <v>2471.5710546678119</v>
      </c>
    </row>
    <row r="190" spans="1:3" x14ac:dyDescent="0.25">
      <c r="A190" t="s">
        <v>361</v>
      </c>
      <c r="B190">
        <v>0</v>
      </c>
      <c r="C190">
        <v>0</v>
      </c>
    </row>
    <row r="191" spans="1:3" x14ac:dyDescent="0.25">
      <c r="A191" t="s">
        <v>362</v>
      </c>
      <c r="B191">
        <v>0</v>
      </c>
      <c r="C191">
        <v>0</v>
      </c>
    </row>
    <row r="192" spans="1:3" x14ac:dyDescent="0.25">
      <c r="A192" t="s">
        <v>363</v>
      </c>
      <c r="B192">
        <v>1048.8054597462994</v>
      </c>
      <c r="C192">
        <v>1840.3567501208654</v>
      </c>
    </row>
    <row r="193" spans="1:3" x14ac:dyDescent="0.25">
      <c r="A193" t="s">
        <v>364</v>
      </c>
      <c r="B193">
        <v>0</v>
      </c>
      <c r="C193">
        <v>0</v>
      </c>
    </row>
    <row r="194" spans="1:3" x14ac:dyDescent="0.25">
      <c r="A194" t="s">
        <v>365</v>
      </c>
      <c r="B194">
        <v>0</v>
      </c>
      <c r="C194">
        <v>0</v>
      </c>
    </row>
    <row r="195" spans="1:3" x14ac:dyDescent="0.25">
      <c r="A195" t="s">
        <v>366</v>
      </c>
      <c r="B195">
        <v>1002.9434944746232</v>
      </c>
      <c r="C195">
        <v>1657.9270010702955</v>
      </c>
    </row>
    <row r="196" spans="1:3" x14ac:dyDescent="0.25">
      <c r="A196" t="s">
        <v>367</v>
      </c>
      <c r="B196">
        <v>0</v>
      </c>
      <c r="C196">
        <v>0</v>
      </c>
    </row>
    <row r="197" spans="1:3" x14ac:dyDescent="0.25">
      <c r="A197" t="s">
        <v>368</v>
      </c>
      <c r="B197">
        <v>0</v>
      </c>
      <c r="C197">
        <v>0</v>
      </c>
    </row>
    <row r="198" spans="1:3" x14ac:dyDescent="0.25">
      <c r="A198" t="s">
        <v>369</v>
      </c>
      <c r="B198">
        <v>810.30308916252534</v>
      </c>
      <c r="C198">
        <v>1425.7231568808988</v>
      </c>
    </row>
    <row r="199" spans="1:3" x14ac:dyDescent="0.25">
      <c r="A199" t="s">
        <v>370</v>
      </c>
      <c r="B199">
        <v>0</v>
      </c>
      <c r="C199">
        <v>0</v>
      </c>
    </row>
    <row r="200" spans="1:3" x14ac:dyDescent="0.25">
      <c r="A200" t="s">
        <v>371</v>
      </c>
      <c r="B200">
        <v>0</v>
      </c>
      <c r="C200">
        <v>0</v>
      </c>
    </row>
    <row r="201" spans="1:3" x14ac:dyDescent="0.25">
      <c r="A201" t="s">
        <v>372</v>
      </c>
      <c r="B201">
        <v>928.14128187198924</v>
      </c>
      <c r="C201">
        <v>1513.2738291391129</v>
      </c>
    </row>
    <row r="202" spans="1:3" x14ac:dyDescent="0.25">
      <c r="A202" t="s">
        <v>373</v>
      </c>
      <c r="B202">
        <v>0</v>
      </c>
      <c r="C202">
        <v>0</v>
      </c>
    </row>
    <row r="203" spans="1:3" x14ac:dyDescent="0.25">
      <c r="A203" t="s">
        <v>374</v>
      </c>
      <c r="B203">
        <v>0</v>
      </c>
      <c r="C203">
        <v>0</v>
      </c>
    </row>
    <row r="204" spans="1:3" x14ac:dyDescent="0.25">
      <c r="A204" t="s">
        <v>375</v>
      </c>
      <c r="B204">
        <v>1351.553670125375</v>
      </c>
      <c r="C204">
        <v>2377.550616789893</v>
      </c>
    </row>
    <row r="205" spans="1:3" x14ac:dyDescent="0.25">
      <c r="A205" t="s">
        <v>376</v>
      </c>
      <c r="B205">
        <v>0</v>
      </c>
      <c r="C205">
        <v>0</v>
      </c>
    </row>
    <row r="206" spans="1:3" x14ac:dyDescent="0.25">
      <c r="A206" t="s">
        <v>377</v>
      </c>
      <c r="B206">
        <v>0</v>
      </c>
      <c r="C206">
        <v>0</v>
      </c>
    </row>
    <row r="207" spans="1:3" x14ac:dyDescent="0.25">
      <c r="A207" t="s">
        <v>378</v>
      </c>
      <c r="B207">
        <v>1515.291573779595</v>
      </c>
      <c r="C207">
        <v>2541.7794140819015</v>
      </c>
    </row>
    <row r="208" spans="1:3" x14ac:dyDescent="0.25">
      <c r="A208" t="s">
        <v>379</v>
      </c>
      <c r="B208">
        <v>0</v>
      </c>
      <c r="C208">
        <v>0</v>
      </c>
    </row>
    <row r="209" spans="1:3" x14ac:dyDescent="0.25">
      <c r="A209" t="s">
        <v>380</v>
      </c>
      <c r="B209">
        <v>0</v>
      </c>
      <c r="C209">
        <v>0</v>
      </c>
    </row>
    <row r="210" spans="1:3" x14ac:dyDescent="0.25">
      <c r="A210" t="s">
        <v>381</v>
      </c>
      <c r="B210">
        <v>1289.6195010677166</v>
      </c>
      <c r="C210">
        <v>2166.1577556996799</v>
      </c>
    </row>
    <row r="211" spans="1:3" x14ac:dyDescent="0.25">
      <c r="A211" t="s">
        <v>382</v>
      </c>
      <c r="B211">
        <v>0</v>
      </c>
      <c r="C211">
        <v>0</v>
      </c>
    </row>
    <row r="212" spans="1:3" x14ac:dyDescent="0.25">
      <c r="A212" t="s">
        <v>383</v>
      </c>
      <c r="B212">
        <v>0</v>
      </c>
      <c r="C212">
        <v>0</v>
      </c>
    </row>
    <row r="213" spans="1:3" x14ac:dyDescent="0.25">
      <c r="A213" t="s">
        <v>384</v>
      </c>
      <c r="B213">
        <v>0</v>
      </c>
      <c r="C213">
        <v>0</v>
      </c>
    </row>
    <row r="214" spans="1:3" x14ac:dyDescent="0.25">
      <c r="A214" t="s">
        <v>385</v>
      </c>
      <c r="B214">
        <v>0</v>
      </c>
      <c r="C214">
        <v>0</v>
      </c>
    </row>
    <row r="215" spans="1:3" x14ac:dyDescent="0.25">
      <c r="A215" t="s">
        <v>386</v>
      </c>
      <c r="B215">
        <v>0</v>
      </c>
      <c r="C215">
        <v>0</v>
      </c>
    </row>
    <row r="216" spans="1:3" x14ac:dyDescent="0.25">
      <c r="A216" t="s">
        <v>387</v>
      </c>
      <c r="B216">
        <v>902.28239411227707</v>
      </c>
      <c r="C216">
        <v>1540.9766730906306</v>
      </c>
    </row>
    <row r="217" spans="1:3" x14ac:dyDescent="0.25">
      <c r="A217" t="s">
        <v>388</v>
      </c>
      <c r="B217">
        <v>0</v>
      </c>
      <c r="C217">
        <v>0</v>
      </c>
    </row>
    <row r="218" spans="1:3" x14ac:dyDescent="0.25">
      <c r="A218" t="s">
        <v>389</v>
      </c>
      <c r="B218">
        <v>0</v>
      </c>
      <c r="C218">
        <v>0</v>
      </c>
    </row>
    <row r="219" spans="1:3" x14ac:dyDescent="0.25">
      <c r="A219" t="s">
        <v>390</v>
      </c>
      <c r="B219">
        <v>0</v>
      </c>
      <c r="C219">
        <v>0</v>
      </c>
    </row>
    <row r="220" spans="1:3" x14ac:dyDescent="0.25">
      <c r="A220" t="s">
        <v>391</v>
      </c>
      <c r="B220">
        <v>0</v>
      </c>
      <c r="C220">
        <v>0</v>
      </c>
    </row>
    <row r="221" spans="1:3" x14ac:dyDescent="0.25">
      <c r="A221" t="s">
        <v>392</v>
      </c>
      <c r="B221">
        <v>0</v>
      </c>
      <c r="C221">
        <v>0</v>
      </c>
    </row>
    <row r="222" spans="1:3" x14ac:dyDescent="0.25">
      <c r="A222" t="s">
        <v>393</v>
      </c>
      <c r="B222">
        <v>1541.2458255493582</v>
      </c>
      <c r="C222">
        <v>2145.655953215773</v>
      </c>
    </row>
    <row r="223" spans="1:3" x14ac:dyDescent="0.25">
      <c r="A223" t="s">
        <v>394</v>
      </c>
      <c r="B223">
        <v>0</v>
      </c>
      <c r="C223">
        <v>0</v>
      </c>
    </row>
    <row r="224" spans="1:3" x14ac:dyDescent="0.25">
      <c r="A224" t="s">
        <v>395</v>
      </c>
      <c r="B224">
        <v>0</v>
      </c>
      <c r="C224">
        <v>0</v>
      </c>
    </row>
    <row r="225" spans="1:3" x14ac:dyDescent="0.25">
      <c r="A225" t="s">
        <v>396</v>
      </c>
      <c r="B225">
        <v>1480.9168051217362</v>
      </c>
      <c r="C225">
        <v>1898.0764685363097</v>
      </c>
    </row>
    <row r="226" spans="1:3" x14ac:dyDescent="0.25">
      <c r="A226" t="s">
        <v>397</v>
      </c>
      <c r="B226">
        <v>0</v>
      </c>
      <c r="C226">
        <v>0</v>
      </c>
    </row>
    <row r="227" spans="1:3" x14ac:dyDescent="0.25">
      <c r="A227" t="s">
        <v>398</v>
      </c>
      <c r="B227">
        <v>0</v>
      </c>
      <c r="C227">
        <v>0</v>
      </c>
    </row>
    <row r="228" spans="1:3" x14ac:dyDescent="0.25">
      <c r="A228" t="s">
        <v>399</v>
      </c>
      <c r="B228">
        <v>1877.4911187149639</v>
      </c>
      <c r="C228">
        <v>2679.3362839994802</v>
      </c>
    </row>
    <row r="229" spans="1:3" x14ac:dyDescent="0.25">
      <c r="A229" t="s">
        <v>400</v>
      </c>
      <c r="B229">
        <v>0</v>
      </c>
      <c r="C229">
        <v>0</v>
      </c>
    </row>
    <row r="230" spans="1:3" x14ac:dyDescent="0.25">
      <c r="A230" t="s">
        <v>401</v>
      </c>
      <c r="B230">
        <v>0</v>
      </c>
      <c r="C230">
        <v>0</v>
      </c>
    </row>
    <row r="231" spans="1:3" x14ac:dyDescent="0.25">
      <c r="A231" t="s">
        <v>402</v>
      </c>
      <c r="B231">
        <v>2161.7027756635193</v>
      </c>
      <c r="C231">
        <v>2892.1411564813293</v>
      </c>
    </row>
    <row r="232" spans="1:3" x14ac:dyDescent="0.25">
      <c r="A232" t="s">
        <v>403</v>
      </c>
      <c r="B232">
        <v>0</v>
      </c>
      <c r="C232">
        <v>0</v>
      </c>
    </row>
    <row r="233" spans="1:3" x14ac:dyDescent="0.25">
      <c r="A233" t="s">
        <v>404</v>
      </c>
      <c r="B233">
        <v>0</v>
      </c>
      <c r="C233">
        <v>0</v>
      </c>
    </row>
    <row r="234" spans="1:3" x14ac:dyDescent="0.25">
      <c r="A234" t="s">
        <v>405</v>
      </c>
      <c r="B234">
        <v>1893.7368264653571</v>
      </c>
      <c r="C234">
        <v>2643.340986941228</v>
      </c>
    </row>
    <row r="235" spans="1:3" x14ac:dyDescent="0.25">
      <c r="A235" t="s">
        <v>406</v>
      </c>
      <c r="B235">
        <v>0</v>
      </c>
      <c r="C235">
        <v>0</v>
      </c>
    </row>
    <row r="236" spans="1:3" x14ac:dyDescent="0.25">
      <c r="A236" t="s">
        <v>407</v>
      </c>
      <c r="B236">
        <v>0</v>
      </c>
      <c r="C236">
        <v>0</v>
      </c>
    </row>
    <row r="237" spans="1:3" x14ac:dyDescent="0.25">
      <c r="A237" t="s">
        <v>408</v>
      </c>
      <c r="B237">
        <v>1774.8281416292054</v>
      </c>
      <c r="C237">
        <v>2356.2373604387726</v>
      </c>
    </row>
    <row r="238" spans="1:3" x14ac:dyDescent="0.25">
      <c r="A238" t="s">
        <v>409</v>
      </c>
      <c r="B238">
        <v>0</v>
      </c>
      <c r="C238">
        <v>0</v>
      </c>
    </row>
    <row r="239" spans="1:3" x14ac:dyDescent="0.25">
      <c r="A239" t="s">
        <v>410</v>
      </c>
      <c r="B239">
        <v>0</v>
      </c>
      <c r="C239">
        <v>0</v>
      </c>
    </row>
    <row r="240" spans="1:3" x14ac:dyDescent="0.25">
      <c r="A240" t="s">
        <v>411</v>
      </c>
      <c r="B240">
        <v>1556.1712045335137</v>
      </c>
      <c r="C240">
        <v>2124.7722215746053</v>
      </c>
    </row>
    <row r="241" spans="1:3" x14ac:dyDescent="0.25">
      <c r="A241" t="s">
        <v>412</v>
      </c>
      <c r="B241">
        <v>0</v>
      </c>
      <c r="C241">
        <v>0</v>
      </c>
    </row>
    <row r="242" spans="1:3" x14ac:dyDescent="0.25">
      <c r="A242" t="s">
        <v>413</v>
      </c>
      <c r="B242">
        <v>0</v>
      </c>
      <c r="C242">
        <v>0</v>
      </c>
    </row>
    <row r="243" spans="1:3" x14ac:dyDescent="0.25">
      <c r="A243" t="s">
        <v>414</v>
      </c>
      <c r="B243">
        <v>1826.4367636264781</v>
      </c>
      <c r="C243">
        <v>2351.1589277622625</v>
      </c>
    </row>
    <row r="244" spans="1:3" x14ac:dyDescent="0.25">
      <c r="A244" t="s">
        <v>415</v>
      </c>
      <c r="B244">
        <v>0</v>
      </c>
      <c r="C244">
        <v>0</v>
      </c>
    </row>
    <row r="245" spans="1:3" x14ac:dyDescent="0.25">
      <c r="A245" t="s">
        <v>416</v>
      </c>
      <c r="B245">
        <v>0</v>
      </c>
      <c r="C245">
        <v>0</v>
      </c>
    </row>
    <row r="246" spans="1:3" x14ac:dyDescent="0.25">
      <c r="A246" t="s">
        <v>417</v>
      </c>
      <c r="B246">
        <v>2114.8247558636758</v>
      </c>
      <c r="C246">
        <v>2846.1192976109278</v>
      </c>
    </row>
    <row r="247" spans="1:3" x14ac:dyDescent="0.25">
      <c r="A247" t="s">
        <v>418</v>
      </c>
      <c r="B247">
        <v>0</v>
      </c>
      <c r="C247">
        <v>0</v>
      </c>
    </row>
    <row r="248" spans="1:3" x14ac:dyDescent="0.25">
      <c r="A248" t="s">
        <v>419</v>
      </c>
      <c r="B248">
        <v>0</v>
      </c>
      <c r="C248">
        <v>0</v>
      </c>
    </row>
    <row r="249" spans="1:3" x14ac:dyDescent="0.25">
      <c r="A249" t="s">
        <v>420</v>
      </c>
      <c r="B249">
        <v>1365.0301330709069</v>
      </c>
      <c r="C249">
        <v>2016.9848234928329</v>
      </c>
    </row>
    <row r="250" spans="1:3" x14ac:dyDescent="0.25">
      <c r="A250" t="s">
        <v>421</v>
      </c>
      <c r="B250">
        <v>0</v>
      </c>
      <c r="C250">
        <v>0</v>
      </c>
    </row>
    <row r="251" spans="1:3" x14ac:dyDescent="0.25">
      <c r="A251" t="s">
        <v>422</v>
      </c>
      <c r="B251">
        <v>0</v>
      </c>
      <c r="C251">
        <v>0</v>
      </c>
    </row>
    <row r="252" spans="1:3" x14ac:dyDescent="0.25">
      <c r="A252" t="s">
        <v>423</v>
      </c>
      <c r="B252">
        <v>1431.9632670001461</v>
      </c>
      <c r="C252">
        <v>2092.0881773193623</v>
      </c>
    </row>
    <row r="253" spans="1:3" x14ac:dyDescent="0.25">
      <c r="A253" t="s">
        <v>424</v>
      </c>
      <c r="B253">
        <v>0</v>
      </c>
      <c r="C253">
        <v>0</v>
      </c>
    </row>
    <row r="254" spans="1:3" x14ac:dyDescent="0.25">
      <c r="A254" t="s">
        <v>425</v>
      </c>
      <c r="B254">
        <v>0</v>
      </c>
      <c r="C254">
        <v>0</v>
      </c>
    </row>
    <row r="255" spans="1:3" x14ac:dyDescent="0.25">
      <c r="A255" t="s">
        <v>426</v>
      </c>
      <c r="B255">
        <v>1630.8547368946779</v>
      </c>
      <c r="C255">
        <v>2255.0090189160974</v>
      </c>
    </row>
    <row r="256" spans="1:3" x14ac:dyDescent="0.25">
      <c r="A256" t="s">
        <v>427</v>
      </c>
      <c r="B256">
        <v>0</v>
      </c>
      <c r="C256">
        <v>0</v>
      </c>
    </row>
    <row r="257" spans="1:3" x14ac:dyDescent="0.25">
      <c r="A257" t="s">
        <v>428</v>
      </c>
      <c r="B257">
        <v>0</v>
      </c>
      <c r="C257">
        <v>0</v>
      </c>
    </row>
    <row r="258" spans="1:3" x14ac:dyDescent="0.25">
      <c r="A258" t="s">
        <v>429</v>
      </c>
      <c r="B258">
        <v>1887.1062032946936</v>
      </c>
      <c r="C258">
        <v>2687.3973156866837</v>
      </c>
    </row>
    <row r="259" spans="1:3" x14ac:dyDescent="0.25">
      <c r="A259" t="s">
        <v>430</v>
      </c>
      <c r="B259">
        <v>0</v>
      </c>
      <c r="C259">
        <v>0</v>
      </c>
    </row>
    <row r="260" spans="1:3" x14ac:dyDescent="0.25">
      <c r="A260" t="s">
        <v>431</v>
      </c>
      <c r="B260">
        <v>0</v>
      </c>
      <c r="C260">
        <v>0</v>
      </c>
    </row>
    <row r="261" spans="1:3" x14ac:dyDescent="0.25">
      <c r="A261" t="s">
        <v>432</v>
      </c>
      <c r="B261">
        <v>1708.8919392189262</v>
      </c>
      <c r="C261">
        <v>2392.4487149064967</v>
      </c>
    </row>
    <row r="262" spans="1:3" x14ac:dyDescent="0.25">
      <c r="A262" t="s">
        <v>433</v>
      </c>
      <c r="B262">
        <v>0</v>
      </c>
      <c r="C262">
        <v>0</v>
      </c>
    </row>
    <row r="263" spans="1:3" x14ac:dyDescent="0.25">
      <c r="A263" t="s">
        <v>434</v>
      </c>
      <c r="B263">
        <v>0</v>
      </c>
      <c r="C263">
        <v>0</v>
      </c>
    </row>
    <row r="264" spans="1:3" x14ac:dyDescent="0.25">
      <c r="A264" t="s">
        <v>435</v>
      </c>
      <c r="B264">
        <v>1216.6086331393474</v>
      </c>
      <c r="C264">
        <v>1594.8819056280522</v>
      </c>
    </row>
    <row r="265" spans="1:3" x14ac:dyDescent="0.25">
      <c r="A265" t="s">
        <v>436</v>
      </c>
      <c r="B265">
        <v>0</v>
      </c>
      <c r="C265">
        <v>0</v>
      </c>
    </row>
    <row r="266" spans="1:3" x14ac:dyDescent="0.25">
      <c r="A266" t="s">
        <v>437</v>
      </c>
      <c r="B266">
        <v>0</v>
      </c>
      <c r="C266">
        <v>0</v>
      </c>
    </row>
    <row r="267" spans="1:3" x14ac:dyDescent="0.25">
      <c r="A267" t="s">
        <v>438</v>
      </c>
      <c r="B267">
        <v>1094.3684892975714</v>
      </c>
      <c r="C267">
        <v>1455.7165753863919</v>
      </c>
    </row>
    <row r="268" spans="1:3" x14ac:dyDescent="0.25">
      <c r="A268" t="s">
        <v>439</v>
      </c>
      <c r="B268">
        <v>0</v>
      </c>
      <c r="C268">
        <v>0</v>
      </c>
    </row>
    <row r="269" spans="1:3" x14ac:dyDescent="0.25">
      <c r="A269" t="s">
        <v>440</v>
      </c>
      <c r="B269">
        <v>0</v>
      </c>
      <c r="C269">
        <v>0</v>
      </c>
    </row>
    <row r="270" spans="1:3" x14ac:dyDescent="0.25">
      <c r="A270" t="s">
        <v>441</v>
      </c>
      <c r="B270">
        <v>1246.3637030629709</v>
      </c>
      <c r="C270">
        <v>2014.1237441497613</v>
      </c>
    </row>
    <row r="271" spans="1:3" x14ac:dyDescent="0.25">
      <c r="A271" t="s">
        <v>442</v>
      </c>
      <c r="B271">
        <v>0</v>
      </c>
      <c r="C271">
        <v>0</v>
      </c>
    </row>
    <row r="272" spans="1:3" x14ac:dyDescent="0.25">
      <c r="A272" t="s">
        <v>443</v>
      </c>
      <c r="B272">
        <v>0</v>
      </c>
      <c r="C272">
        <v>0</v>
      </c>
    </row>
    <row r="273" spans="1:3" x14ac:dyDescent="0.25">
      <c r="A273" t="s">
        <v>444</v>
      </c>
      <c r="B273">
        <v>1460.854717043037</v>
      </c>
      <c r="C273">
        <v>2359.0829552249043</v>
      </c>
    </row>
    <row r="274" spans="1:3" x14ac:dyDescent="0.25">
      <c r="A274" t="s">
        <v>445</v>
      </c>
      <c r="B274">
        <v>0</v>
      </c>
      <c r="C274">
        <v>0</v>
      </c>
    </row>
    <row r="275" spans="1:3" x14ac:dyDescent="0.25">
      <c r="A275" t="s">
        <v>446</v>
      </c>
      <c r="B275">
        <v>0</v>
      </c>
      <c r="C275">
        <v>0</v>
      </c>
    </row>
    <row r="276" spans="1:3" x14ac:dyDescent="0.25">
      <c r="A276" t="s">
        <v>447</v>
      </c>
      <c r="B276">
        <v>1460.622230354383</v>
      </c>
      <c r="C276">
        <v>2437.660073631977</v>
      </c>
    </row>
    <row r="277" spans="1:3" x14ac:dyDescent="0.25">
      <c r="A277" t="s">
        <v>448</v>
      </c>
      <c r="B277">
        <v>0</v>
      </c>
      <c r="C277">
        <v>0</v>
      </c>
    </row>
    <row r="278" spans="1:3" x14ac:dyDescent="0.25">
      <c r="A278" t="s">
        <v>449</v>
      </c>
      <c r="B278">
        <v>0</v>
      </c>
      <c r="C278">
        <v>0</v>
      </c>
    </row>
    <row r="279" spans="1:3" x14ac:dyDescent="0.25">
      <c r="A279" t="s">
        <v>450</v>
      </c>
      <c r="B279">
        <v>1477.4539674935659</v>
      </c>
      <c r="C279">
        <v>2521.5214378556852</v>
      </c>
    </row>
    <row r="280" spans="1:3" x14ac:dyDescent="0.25">
      <c r="A280" t="s">
        <v>451</v>
      </c>
      <c r="B280">
        <v>0</v>
      </c>
      <c r="C280">
        <v>0</v>
      </c>
    </row>
    <row r="281" spans="1:3" x14ac:dyDescent="0.25">
      <c r="A281" t="s">
        <v>452</v>
      </c>
      <c r="B281">
        <v>0</v>
      </c>
      <c r="C281">
        <v>0</v>
      </c>
    </row>
    <row r="282" spans="1:3" x14ac:dyDescent="0.25">
      <c r="A282" t="s">
        <v>453</v>
      </c>
      <c r="B282">
        <v>1770.5447959843614</v>
      </c>
      <c r="C282">
        <v>3013.9049055239402</v>
      </c>
    </row>
    <row r="283" spans="1:3" x14ac:dyDescent="0.25">
      <c r="A283" t="s">
        <v>454</v>
      </c>
      <c r="B283">
        <v>0</v>
      </c>
      <c r="C283">
        <v>0</v>
      </c>
    </row>
    <row r="284" spans="1:3" x14ac:dyDescent="0.25">
      <c r="A284" t="s">
        <v>455</v>
      </c>
      <c r="B284">
        <v>0</v>
      </c>
      <c r="C284">
        <v>0</v>
      </c>
    </row>
    <row r="285" spans="1:3" x14ac:dyDescent="0.25">
      <c r="A285" t="s">
        <v>456</v>
      </c>
      <c r="B285">
        <v>1242.3934672912681</v>
      </c>
      <c r="C285">
        <v>2057.4035818343395</v>
      </c>
    </row>
    <row r="286" spans="1:3" x14ac:dyDescent="0.25">
      <c r="A286" t="s">
        <v>457</v>
      </c>
      <c r="B286">
        <v>0</v>
      </c>
      <c r="C286">
        <v>0</v>
      </c>
    </row>
    <row r="287" spans="1:3" x14ac:dyDescent="0.25">
      <c r="A287" t="s">
        <v>458</v>
      </c>
      <c r="B287">
        <v>0</v>
      </c>
      <c r="C287">
        <v>0</v>
      </c>
    </row>
    <row r="288" spans="1:3" x14ac:dyDescent="0.25">
      <c r="A288" t="s">
        <v>459</v>
      </c>
      <c r="B288">
        <v>1392.2594564307688</v>
      </c>
      <c r="C288">
        <v>2253.6573935030433</v>
      </c>
    </row>
    <row r="289" spans="1:3" x14ac:dyDescent="0.25">
      <c r="A289" t="s">
        <v>460</v>
      </c>
      <c r="B289">
        <v>0</v>
      </c>
      <c r="C289">
        <v>0</v>
      </c>
    </row>
    <row r="290" spans="1:3" x14ac:dyDescent="0.25">
      <c r="A290" t="s">
        <v>461</v>
      </c>
      <c r="B290">
        <v>0</v>
      </c>
      <c r="C290">
        <v>0</v>
      </c>
    </row>
    <row r="291" spans="1:3" x14ac:dyDescent="0.25">
      <c r="A291" t="s">
        <v>462</v>
      </c>
      <c r="B291">
        <v>1349.1192339782679</v>
      </c>
      <c r="C291">
        <v>2241.9187270521215</v>
      </c>
    </row>
    <row r="292" spans="1:3" x14ac:dyDescent="0.25">
      <c r="A292" t="s">
        <v>463</v>
      </c>
      <c r="B292">
        <v>0</v>
      </c>
      <c r="C292">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C2B8F-7407-4740-AF9F-62E978986ECE}">
  <dimension ref="A1:AC205"/>
  <sheetViews>
    <sheetView zoomScale="130" zoomScaleNormal="130" workbookViewId="0">
      <selection activeCell="A2" sqref="A2"/>
    </sheetView>
  </sheetViews>
  <sheetFormatPr defaultColWidth="10.28515625" defaultRowHeight="14.25" x14ac:dyDescent="0.2"/>
  <cols>
    <col min="1" max="1" width="10.28515625" style="18"/>
    <col min="2" max="2" width="5.42578125" style="18" customWidth="1"/>
    <col min="3" max="3" width="4.7109375" style="18" customWidth="1"/>
    <col min="4" max="4" width="10.7109375" style="22" bestFit="1" customWidth="1"/>
    <col min="5" max="5" width="10.28515625" style="22" customWidth="1"/>
    <col min="6" max="6" width="8" style="21" customWidth="1"/>
    <col min="7" max="7" width="12.140625" style="18" customWidth="1"/>
    <col min="8" max="8" width="18.85546875" style="18" hidden="1" customWidth="1"/>
    <col min="9" max="9" width="15.7109375" style="20" customWidth="1"/>
    <col min="10" max="10" width="10.28515625" style="18"/>
    <col min="11" max="13" width="0" style="18" hidden="1" customWidth="1"/>
    <col min="14" max="14" width="10.28515625" style="18"/>
    <col min="15" max="15" width="5.42578125" style="18" customWidth="1"/>
    <col min="16" max="16" width="4.7109375" style="18" customWidth="1"/>
    <col min="17" max="19" width="10.28515625" style="18" customWidth="1"/>
    <col min="20" max="20" width="12.5703125" style="18" customWidth="1"/>
    <col min="21" max="21" width="18.85546875" style="18" hidden="1" customWidth="1"/>
    <col min="22" max="22" width="15.7109375" style="19" customWidth="1"/>
    <col min="23" max="26" width="10.28515625" style="18"/>
    <col min="27" max="27" width="12.5703125" style="18" customWidth="1"/>
    <col min="28" max="28" width="10.28515625" style="18" hidden="1" customWidth="1"/>
    <col min="29" max="29" width="15.42578125" style="18" customWidth="1"/>
    <col min="30" max="16384" width="10.28515625" style="18"/>
  </cols>
  <sheetData>
    <row r="1" spans="1:29" ht="15.75" x14ac:dyDescent="0.25">
      <c r="A1" s="163" t="s">
        <v>581</v>
      </c>
      <c r="B1" s="160" t="s">
        <v>580</v>
      </c>
      <c r="C1" s="89"/>
      <c r="G1" s="136" t="s">
        <v>579</v>
      </c>
      <c r="J1" s="23"/>
      <c r="N1" s="163" t="s">
        <v>581</v>
      </c>
      <c r="O1" s="160" t="s">
        <v>580</v>
      </c>
      <c r="P1" s="89"/>
      <c r="Q1" s="22"/>
      <c r="R1" s="22"/>
      <c r="T1" s="136" t="s">
        <v>579</v>
      </c>
      <c r="X1" s="163" t="s">
        <v>581</v>
      </c>
      <c r="Y1" s="160" t="s">
        <v>580</v>
      </c>
      <c r="Z1" s="89"/>
      <c r="AA1" s="136" t="s">
        <v>579</v>
      </c>
    </row>
    <row r="2" spans="1:29" ht="15.75" x14ac:dyDescent="0.25">
      <c r="A2" s="163"/>
      <c r="B2" s="160"/>
      <c r="C2" s="89"/>
      <c r="G2" s="135" t="s">
        <v>578</v>
      </c>
      <c r="H2" s="135"/>
      <c r="I2" s="164"/>
      <c r="J2" s="23"/>
      <c r="N2" s="163"/>
      <c r="O2" s="160"/>
      <c r="P2" s="89"/>
      <c r="Q2" s="22"/>
      <c r="R2" s="22"/>
      <c r="T2" s="135" t="s">
        <v>578</v>
      </c>
      <c r="U2" s="135"/>
      <c r="X2" s="163"/>
      <c r="Y2" s="160"/>
      <c r="Z2" s="89"/>
      <c r="AA2" s="135" t="s">
        <v>578</v>
      </c>
      <c r="AB2" s="135"/>
      <c r="AC2" s="19"/>
    </row>
    <row r="3" spans="1:29" ht="18" customHeight="1" x14ac:dyDescent="0.25">
      <c r="A3" s="160"/>
      <c r="B3" s="136" t="s">
        <v>577</v>
      </c>
      <c r="C3" s="112"/>
      <c r="D3" s="136"/>
      <c r="E3" s="136"/>
      <c r="F3" s="162"/>
      <c r="G3" s="159"/>
      <c r="J3" s="25"/>
      <c r="K3" s="25"/>
      <c r="L3" s="24"/>
      <c r="M3" s="23"/>
      <c r="N3" s="160"/>
      <c r="O3" s="136" t="s">
        <v>576</v>
      </c>
      <c r="P3" s="112"/>
      <c r="Q3" s="136"/>
      <c r="R3" s="136"/>
      <c r="S3" s="161"/>
      <c r="T3" s="159"/>
      <c r="X3" s="160"/>
      <c r="Y3" s="136" t="s">
        <v>575</v>
      </c>
      <c r="Z3" s="112"/>
      <c r="AA3" s="159"/>
      <c r="AC3" s="19"/>
    </row>
    <row r="4" spans="1:29" ht="18" customHeight="1" x14ac:dyDescent="0.25">
      <c r="A4" s="160"/>
      <c r="B4" s="31" t="s">
        <v>574</v>
      </c>
      <c r="C4" s="112"/>
      <c r="D4" s="136"/>
      <c r="E4" s="136"/>
      <c r="F4" s="162"/>
      <c r="G4" s="159"/>
      <c r="J4" s="25"/>
      <c r="K4" s="25"/>
      <c r="L4" s="24"/>
      <c r="M4" s="23"/>
      <c r="N4" s="160"/>
      <c r="O4" s="31" t="s">
        <v>573</v>
      </c>
      <c r="P4" s="112"/>
      <c r="Q4" s="136"/>
      <c r="R4" s="136"/>
      <c r="S4" s="161"/>
      <c r="T4" s="159"/>
      <c r="X4" s="160"/>
      <c r="Y4" s="31" t="s">
        <v>573</v>
      </c>
      <c r="Z4" s="112"/>
      <c r="AA4" s="159"/>
      <c r="AC4" s="19"/>
    </row>
    <row r="5" spans="1:29" ht="18" customHeight="1" x14ac:dyDescent="0.25">
      <c r="A5" s="158"/>
      <c r="B5" s="157" t="s">
        <v>572</v>
      </c>
      <c r="C5" s="156"/>
      <c r="D5" s="155"/>
      <c r="E5" s="155"/>
      <c r="F5" s="154"/>
      <c r="G5" s="153"/>
      <c r="H5" s="152"/>
      <c r="I5" s="151"/>
      <c r="J5" s="25"/>
      <c r="K5" s="25"/>
      <c r="L5" s="24"/>
      <c r="M5" s="23"/>
      <c r="N5" s="150"/>
      <c r="O5" s="149" t="s">
        <v>571</v>
      </c>
      <c r="P5" s="148"/>
      <c r="Q5" s="147"/>
      <c r="R5" s="147"/>
      <c r="S5" s="146"/>
      <c r="T5" s="145"/>
      <c r="U5" s="140"/>
      <c r="X5" s="144" t="s">
        <v>570</v>
      </c>
      <c r="Y5" s="143"/>
      <c r="Z5" s="142"/>
      <c r="AA5" s="141"/>
      <c r="AB5" s="140"/>
      <c r="AC5" s="19"/>
    </row>
    <row r="6" spans="1:29" ht="9.75" customHeight="1" x14ac:dyDescent="0.2">
      <c r="D6" s="18"/>
      <c r="E6" s="18"/>
      <c r="AC6" s="19"/>
    </row>
    <row r="7" spans="1:29" ht="15.75" x14ac:dyDescent="0.25">
      <c r="B7" s="122" t="s">
        <v>567</v>
      </c>
      <c r="D7" s="137" t="s">
        <v>569</v>
      </c>
      <c r="E7" s="135"/>
      <c r="F7" s="139"/>
      <c r="G7" s="135"/>
      <c r="H7" s="23"/>
      <c r="I7" s="138"/>
      <c r="K7" s="25"/>
      <c r="L7" s="25"/>
      <c r="M7" s="24"/>
      <c r="O7" s="122" t="s">
        <v>567</v>
      </c>
      <c r="Q7" s="137" t="s">
        <v>568</v>
      </c>
      <c r="R7" s="135"/>
      <c r="S7" s="136"/>
      <c r="T7" s="135"/>
      <c r="U7" s="23"/>
      <c r="Y7" s="122" t="s">
        <v>567</v>
      </c>
      <c r="Z7" s="18" t="s">
        <v>566</v>
      </c>
      <c r="AA7" s="135"/>
      <c r="AB7" s="23"/>
      <c r="AC7" s="19"/>
    </row>
    <row r="8" spans="1:29" ht="9" customHeight="1" x14ac:dyDescent="0.2">
      <c r="B8" s="132"/>
      <c r="C8" s="131"/>
      <c r="D8" s="131"/>
      <c r="E8" s="131"/>
      <c r="F8" s="134"/>
      <c r="G8" s="131"/>
      <c r="J8" s="25"/>
      <c r="K8" s="25"/>
      <c r="L8" s="24"/>
      <c r="M8" s="23"/>
      <c r="O8" s="132"/>
      <c r="P8" s="131"/>
      <c r="Q8" s="131"/>
      <c r="R8" s="131"/>
      <c r="S8" s="133"/>
      <c r="T8" s="131"/>
      <c r="Y8" s="132"/>
      <c r="Z8" s="131"/>
      <c r="AA8" s="131"/>
      <c r="AC8" s="19"/>
    </row>
    <row r="9" spans="1:29" x14ac:dyDescent="0.2">
      <c r="B9" s="130" t="s">
        <v>565</v>
      </c>
      <c r="G9" s="129"/>
      <c r="J9" s="25"/>
      <c r="K9" s="25"/>
      <c r="L9" s="24"/>
      <c r="M9" s="23"/>
      <c r="O9" s="130" t="s">
        <v>565</v>
      </c>
      <c r="Q9" s="22"/>
      <c r="R9" s="22"/>
      <c r="S9" s="89"/>
      <c r="T9" s="129"/>
      <c r="Y9" s="130" t="s">
        <v>565</v>
      </c>
      <c r="AA9" s="129"/>
      <c r="AC9" s="19"/>
    </row>
    <row r="10" spans="1:29" x14ac:dyDescent="0.2">
      <c r="B10" s="127" t="s">
        <v>564</v>
      </c>
      <c r="C10" s="89"/>
      <c r="G10" s="126"/>
      <c r="H10" s="125"/>
      <c r="I10" s="128"/>
      <c r="K10" s="25"/>
      <c r="L10" s="24"/>
      <c r="M10" s="23"/>
      <c r="O10" s="127" t="s">
        <v>563</v>
      </c>
      <c r="P10" s="89"/>
      <c r="Q10" s="22"/>
      <c r="R10" s="22"/>
      <c r="S10" s="89"/>
      <c r="T10" s="126"/>
      <c r="U10" s="125"/>
      <c r="Y10" s="127" t="s">
        <v>562</v>
      </c>
      <c r="Z10" s="89"/>
      <c r="AA10" s="126"/>
      <c r="AB10" s="125"/>
      <c r="AC10" s="19"/>
    </row>
    <row r="11" spans="1:29" ht="16.5" customHeight="1" x14ac:dyDescent="0.25">
      <c r="B11" s="122"/>
      <c r="C11" s="89"/>
      <c r="G11" s="121"/>
      <c r="H11" s="120"/>
      <c r="I11" s="124"/>
      <c r="J11" s="25"/>
      <c r="K11" s="25"/>
      <c r="L11" s="24"/>
      <c r="M11" s="123"/>
      <c r="O11" s="122"/>
      <c r="P11" s="89"/>
      <c r="Q11" s="22"/>
      <c r="R11" s="22"/>
      <c r="S11" s="89"/>
      <c r="T11" s="121"/>
      <c r="U11" s="120"/>
      <c r="Y11" s="122"/>
      <c r="Z11" s="89"/>
      <c r="AA11" s="121"/>
      <c r="AB11" s="120"/>
      <c r="AC11" s="19"/>
    </row>
    <row r="12" spans="1:29" ht="46.5" customHeight="1" thickBot="1" x14ac:dyDescent="0.4">
      <c r="B12" s="112" t="s">
        <v>175</v>
      </c>
      <c r="C12" s="112"/>
      <c r="D12" s="114" t="s">
        <v>560</v>
      </c>
      <c r="E12" s="114" t="s">
        <v>559</v>
      </c>
      <c r="F12" s="113" t="s">
        <v>558</v>
      </c>
      <c r="G12" s="111"/>
      <c r="H12" s="110" t="s">
        <v>556</v>
      </c>
      <c r="I12" s="109" t="s">
        <v>555</v>
      </c>
      <c r="J12" s="119"/>
      <c r="K12" s="118" t="s">
        <v>561</v>
      </c>
      <c r="L12" s="117"/>
      <c r="M12" s="116"/>
      <c r="O12" s="112" t="s">
        <v>175</v>
      </c>
      <c r="P12" s="112"/>
      <c r="Q12" s="115" t="s">
        <v>560</v>
      </c>
      <c r="R12" s="114" t="s">
        <v>559</v>
      </c>
      <c r="S12" s="113" t="s">
        <v>558</v>
      </c>
      <c r="T12" s="111" t="s">
        <v>557</v>
      </c>
      <c r="U12" s="110" t="s">
        <v>556</v>
      </c>
      <c r="V12" s="109" t="s">
        <v>555</v>
      </c>
      <c r="Y12" s="112" t="s">
        <v>175</v>
      </c>
      <c r="Z12" s="112"/>
      <c r="AA12" s="111" t="s">
        <v>557</v>
      </c>
      <c r="AB12" s="110" t="s">
        <v>556</v>
      </c>
      <c r="AC12" s="109" t="s">
        <v>555</v>
      </c>
    </row>
    <row r="13" spans="1:29" ht="18.600000000000001" customHeight="1" x14ac:dyDescent="0.2">
      <c r="A13" s="26"/>
      <c r="B13" s="51" t="s">
        <v>549</v>
      </c>
      <c r="C13" s="50">
        <v>1</v>
      </c>
      <c r="D13" s="49" t="s">
        <v>512</v>
      </c>
      <c r="E13" s="48" t="s">
        <v>509</v>
      </c>
      <c r="F13" s="47" t="s">
        <v>520</v>
      </c>
      <c r="G13" s="46">
        <v>14.4</v>
      </c>
      <c r="H13" s="46"/>
      <c r="I13" s="45"/>
      <c r="J13" s="25"/>
      <c r="K13" s="25" t="s">
        <v>554</v>
      </c>
      <c r="L13" s="89">
        <v>60</v>
      </c>
      <c r="M13" s="88" t="e">
        <f>AVERAGEIFS(G$13:G$157,$F$13:$F$157, "60-60")</f>
        <v>#DIV/0!</v>
      </c>
      <c r="N13" s="26"/>
      <c r="O13" s="51" t="s">
        <v>549</v>
      </c>
      <c r="P13" s="50">
        <v>1</v>
      </c>
      <c r="Q13" s="49" t="s">
        <v>512</v>
      </c>
      <c r="R13" s="48" t="s">
        <v>509</v>
      </c>
      <c r="S13" s="47" t="s">
        <v>520</v>
      </c>
      <c r="T13" s="46">
        <v>11.8</v>
      </c>
      <c r="U13" s="385"/>
      <c r="X13" s="26"/>
      <c r="Y13" s="106" t="s">
        <v>538</v>
      </c>
      <c r="Z13" s="105" t="s">
        <v>550</v>
      </c>
      <c r="AA13" s="85">
        <v>5.3</v>
      </c>
      <c r="AB13" s="388"/>
      <c r="AC13" s="83"/>
    </row>
    <row r="14" spans="1:29" ht="18.600000000000001" customHeight="1" x14ac:dyDescent="0.25">
      <c r="A14" s="26"/>
      <c r="B14" s="56"/>
      <c r="C14" s="40"/>
      <c r="D14" s="44" t="s">
        <v>511</v>
      </c>
      <c r="E14" s="43" t="s">
        <v>509</v>
      </c>
      <c r="F14" s="42" t="s">
        <v>520</v>
      </c>
      <c r="G14" s="41">
        <v>21.4</v>
      </c>
      <c r="H14" s="41"/>
      <c r="I14" s="45"/>
      <c r="J14" s="25"/>
      <c r="K14" s="25" t="s">
        <v>554</v>
      </c>
      <c r="L14" s="89">
        <v>80</v>
      </c>
      <c r="M14" s="88" t="e">
        <f>AVERAGEIFS(G$13:G$157,$F$13:$F$157, "60-80")</f>
        <v>#DIV/0!</v>
      </c>
      <c r="N14" s="26"/>
      <c r="O14" s="56"/>
      <c r="P14" s="40"/>
      <c r="Q14" s="44" t="s">
        <v>511</v>
      </c>
      <c r="R14" s="43" t="s">
        <v>509</v>
      </c>
      <c r="S14" s="42" t="s">
        <v>520</v>
      </c>
      <c r="T14" s="41">
        <v>25.9</v>
      </c>
      <c r="U14" s="386"/>
      <c r="X14" s="26"/>
      <c r="Y14" s="96" t="s">
        <v>538</v>
      </c>
      <c r="Z14" s="94" t="s">
        <v>548</v>
      </c>
      <c r="AA14" s="73">
        <v>13.7</v>
      </c>
      <c r="AB14" s="389"/>
      <c r="AC14" s="68"/>
    </row>
    <row r="15" spans="1:29" ht="18.600000000000001" customHeight="1" thickBot="1" x14ac:dyDescent="0.25">
      <c r="A15" s="26"/>
      <c r="B15" s="55"/>
      <c r="C15" s="54"/>
      <c r="D15" s="53" t="s">
        <v>510</v>
      </c>
      <c r="E15" s="36" t="s">
        <v>509</v>
      </c>
      <c r="F15" s="35" t="s">
        <v>520</v>
      </c>
      <c r="G15" s="52">
        <v>21.8</v>
      </c>
      <c r="H15" s="52"/>
      <c r="I15" s="45"/>
      <c r="J15" s="25"/>
      <c r="K15" s="25" t="s">
        <v>554</v>
      </c>
      <c r="L15" s="89">
        <v>100</v>
      </c>
      <c r="M15" s="88" t="e">
        <f>AVERAGEIFS(G$13:G$157,$F$13:$F$157, "60-100")</f>
        <v>#DIV/0!</v>
      </c>
      <c r="N15" s="26"/>
      <c r="O15" s="55"/>
      <c r="P15" s="54"/>
      <c r="Q15" s="53" t="s">
        <v>510</v>
      </c>
      <c r="R15" s="36" t="s">
        <v>509</v>
      </c>
      <c r="S15" s="35" t="s">
        <v>520</v>
      </c>
      <c r="T15" s="52">
        <v>20.5</v>
      </c>
      <c r="U15" s="387"/>
      <c r="X15" s="26"/>
      <c r="Y15" s="95" t="s">
        <v>538</v>
      </c>
      <c r="Z15" s="94" t="s">
        <v>547</v>
      </c>
      <c r="AA15" s="73">
        <v>16.5</v>
      </c>
      <c r="AB15" s="389"/>
      <c r="AC15" s="68"/>
    </row>
    <row r="16" spans="1:29" ht="18.600000000000001" customHeight="1" thickBot="1" x14ac:dyDescent="0.25">
      <c r="A16" s="26"/>
      <c r="B16" s="51" t="s">
        <v>549</v>
      </c>
      <c r="C16" s="50">
        <v>2</v>
      </c>
      <c r="D16" s="49" t="s">
        <v>512</v>
      </c>
      <c r="E16" s="48" t="s">
        <v>509</v>
      </c>
      <c r="F16" s="47" t="s">
        <v>508</v>
      </c>
      <c r="G16" s="46">
        <v>14.6</v>
      </c>
      <c r="H16" s="46"/>
      <c r="I16" s="45"/>
      <c r="J16" s="25"/>
      <c r="K16" s="25" t="s">
        <v>554</v>
      </c>
      <c r="L16" s="89">
        <v>120</v>
      </c>
      <c r="M16" s="88" t="e">
        <f>AVERAGEIFS(G$13:G$157,$F$13:$F$157, "60-120")</f>
        <v>#DIV/0!</v>
      </c>
      <c r="N16" s="26"/>
      <c r="O16" s="51" t="s">
        <v>549</v>
      </c>
      <c r="P16" s="50">
        <v>2</v>
      </c>
      <c r="Q16" s="49" t="s">
        <v>512</v>
      </c>
      <c r="R16" s="48" t="s">
        <v>509</v>
      </c>
      <c r="S16" s="47" t="s">
        <v>508</v>
      </c>
      <c r="T16" s="46">
        <v>15.4</v>
      </c>
      <c r="U16" s="46"/>
      <c r="X16" s="26"/>
      <c r="Y16" s="95" t="s">
        <v>538</v>
      </c>
      <c r="Z16" s="94" t="s">
        <v>546</v>
      </c>
      <c r="AA16" s="73">
        <v>10.8</v>
      </c>
      <c r="AB16" s="80"/>
      <c r="AC16" s="68"/>
    </row>
    <row r="17" spans="1:29" ht="18.600000000000001" customHeight="1" x14ac:dyDescent="0.2">
      <c r="A17" s="26"/>
      <c r="B17" s="32"/>
      <c r="C17" s="40"/>
      <c r="D17" s="44" t="s">
        <v>511</v>
      </c>
      <c r="E17" s="43" t="s">
        <v>509</v>
      </c>
      <c r="F17" s="42" t="s">
        <v>508</v>
      </c>
      <c r="G17" s="41">
        <v>15.5</v>
      </c>
      <c r="H17" s="41"/>
      <c r="I17" s="108" t="s">
        <v>553</v>
      </c>
      <c r="J17" s="25"/>
      <c r="K17" s="25"/>
      <c r="L17" s="24"/>
      <c r="M17" s="23"/>
      <c r="N17" s="26"/>
      <c r="O17" s="32"/>
      <c r="P17" s="40"/>
      <c r="Q17" s="44" t="s">
        <v>511</v>
      </c>
      <c r="R17" s="43" t="s">
        <v>509</v>
      </c>
      <c r="S17" s="42" t="s">
        <v>508</v>
      </c>
      <c r="T17" s="41">
        <v>16.100000000000001</v>
      </c>
      <c r="U17" s="41"/>
      <c r="X17" s="26"/>
      <c r="Y17" s="98" t="s">
        <v>538</v>
      </c>
      <c r="Z17" s="97" t="s">
        <v>545</v>
      </c>
      <c r="AA17" s="77">
        <v>5.0999999999999996</v>
      </c>
      <c r="AB17" s="77"/>
      <c r="AC17" s="68"/>
    </row>
    <row r="18" spans="1:29" ht="18.600000000000001" customHeight="1" thickBot="1" x14ac:dyDescent="0.3">
      <c r="A18" s="26"/>
      <c r="B18" s="55"/>
      <c r="C18" s="54"/>
      <c r="D18" s="53" t="s">
        <v>510</v>
      </c>
      <c r="E18" s="36" t="s">
        <v>509</v>
      </c>
      <c r="F18" s="35" t="s">
        <v>508</v>
      </c>
      <c r="G18" s="52">
        <v>14.6</v>
      </c>
      <c r="H18" s="52"/>
      <c r="I18" s="45"/>
      <c r="J18" s="25"/>
      <c r="K18" s="25" t="s">
        <v>551</v>
      </c>
      <c r="L18" s="89">
        <v>60</v>
      </c>
      <c r="M18" s="88" t="e">
        <f>AVERAGEIFS(G$13:G$157,$F$13:$F$157, "80-60")</f>
        <v>#DIV/0!</v>
      </c>
      <c r="N18" s="26"/>
      <c r="O18" s="55"/>
      <c r="P18" s="54"/>
      <c r="Q18" s="53" t="s">
        <v>510</v>
      </c>
      <c r="R18" s="36" t="s">
        <v>509</v>
      </c>
      <c r="S18" s="35" t="s">
        <v>508</v>
      </c>
      <c r="T18" s="52">
        <v>14.9</v>
      </c>
      <c r="U18" s="52"/>
      <c r="V18" s="107" t="s">
        <v>552</v>
      </c>
      <c r="X18" s="26"/>
      <c r="Y18" s="96" t="s">
        <v>538</v>
      </c>
      <c r="Z18" s="94" t="s">
        <v>543</v>
      </c>
      <c r="AA18" s="73">
        <v>9.3000000000000007</v>
      </c>
      <c r="AB18" s="73"/>
      <c r="AC18" s="68"/>
    </row>
    <row r="19" spans="1:29" ht="18.600000000000001" customHeight="1" x14ac:dyDescent="0.2">
      <c r="A19" s="26"/>
      <c r="B19" s="51" t="s">
        <v>549</v>
      </c>
      <c r="C19" s="50">
        <v>3</v>
      </c>
      <c r="D19" s="49" t="s">
        <v>512</v>
      </c>
      <c r="E19" s="48" t="s">
        <v>509</v>
      </c>
      <c r="F19" s="47" t="s">
        <v>516</v>
      </c>
      <c r="G19" s="46">
        <v>9</v>
      </c>
      <c r="H19" s="46"/>
      <c r="I19" s="45"/>
      <c r="J19" s="25"/>
      <c r="K19" s="25" t="s">
        <v>551</v>
      </c>
      <c r="L19" s="89">
        <v>80</v>
      </c>
      <c r="M19" s="88" t="e">
        <f>AVERAGEIFS(G$13:G$157,$F$13:$F$157, "80-80")</f>
        <v>#DIV/0!</v>
      </c>
      <c r="N19" s="26"/>
      <c r="O19" s="51" t="s">
        <v>549</v>
      </c>
      <c r="P19" s="50">
        <v>3</v>
      </c>
      <c r="Q19" s="49" t="s">
        <v>512</v>
      </c>
      <c r="R19" s="48" t="s">
        <v>509</v>
      </c>
      <c r="S19" s="47" t="s">
        <v>516</v>
      </c>
      <c r="T19" s="46">
        <v>10.7</v>
      </c>
      <c r="U19" s="46"/>
      <c r="X19" s="26"/>
      <c r="Y19" s="95" t="s">
        <v>538</v>
      </c>
      <c r="Z19" s="94" t="s">
        <v>542</v>
      </c>
      <c r="AA19" s="73">
        <v>21.8</v>
      </c>
      <c r="AB19" s="73"/>
      <c r="AC19" s="68"/>
    </row>
    <row r="20" spans="1:29" ht="18.600000000000001" customHeight="1" thickBot="1" x14ac:dyDescent="0.25">
      <c r="A20" s="26"/>
      <c r="B20" s="32"/>
      <c r="C20" s="40"/>
      <c r="D20" s="44" t="s">
        <v>511</v>
      </c>
      <c r="E20" s="43" t="s">
        <v>509</v>
      </c>
      <c r="F20" s="42" t="s">
        <v>516</v>
      </c>
      <c r="G20" s="41">
        <v>9.9</v>
      </c>
      <c r="H20" s="41"/>
      <c r="I20" s="45"/>
      <c r="J20" s="25"/>
      <c r="K20" s="25" t="s">
        <v>551</v>
      </c>
      <c r="L20" s="89">
        <v>100</v>
      </c>
      <c r="M20" s="88" t="e">
        <f>AVERAGEIFS(G$13:G$157,$F$13:$F$157, "80-100")</f>
        <v>#DIV/0!</v>
      </c>
      <c r="N20" s="26"/>
      <c r="O20" s="32"/>
      <c r="P20" s="40"/>
      <c r="Q20" s="44" t="s">
        <v>511</v>
      </c>
      <c r="R20" s="43" t="s">
        <v>509</v>
      </c>
      <c r="S20" s="42" t="s">
        <v>516</v>
      </c>
      <c r="T20" s="41">
        <v>8.3000000000000007</v>
      </c>
      <c r="U20" s="104"/>
      <c r="X20" s="26"/>
      <c r="Y20" s="92" t="s">
        <v>538</v>
      </c>
      <c r="Z20" s="91" t="s">
        <v>541</v>
      </c>
      <c r="AA20" s="70">
        <v>7.6</v>
      </c>
      <c r="AB20" s="69"/>
      <c r="AC20" s="68">
        <v>13.4</v>
      </c>
    </row>
    <row r="21" spans="1:29" ht="18.600000000000001" customHeight="1" thickTop="1" thickBot="1" x14ac:dyDescent="0.25">
      <c r="A21" s="26"/>
      <c r="B21" s="55"/>
      <c r="C21" s="54"/>
      <c r="D21" s="53" t="s">
        <v>510</v>
      </c>
      <c r="E21" s="36" t="s">
        <v>509</v>
      </c>
      <c r="F21" s="35" t="s">
        <v>516</v>
      </c>
      <c r="G21" s="52">
        <v>9.1999999999999993</v>
      </c>
      <c r="H21" s="52"/>
      <c r="I21" s="45"/>
      <c r="J21" s="25"/>
      <c r="K21" s="25" t="s">
        <v>551</v>
      </c>
      <c r="L21" s="89">
        <v>120</v>
      </c>
      <c r="M21" s="88" t="e">
        <f>AVERAGEIFS(G$13:G$157,$F$13:$F$157, "80-120")</f>
        <v>#DIV/0!</v>
      </c>
      <c r="N21" s="26"/>
      <c r="O21" s="55"/>
      <c r="P21" s="54"/>
      <c r="Q21" s="53" t="s">
        <v>510</v>
      </c>
      <c r="R21" s="36" t="s">
        <v>509</v>
      </c>
      <c r="S21" s="35" t="s">
        <v>516</v>
      </c>
      <c r="T21" s="52">
        <v>12.3</v>
      </c>
      <c r="U21" s="52"/>
      <c r="X21" s="26"/>
      <c r="Y21" s="106" t="s">
        <v>530</v>
      </c>
      <c r="Z21" s="105" t="s">
        <v>550</v>
      </c>
      <c r="AA21" s="85">
        <v>15.6</v>
      </c>
      <c r="AB21" s="388"/>
      <c r="AC21" s="83"/>
    </row>
    <row r="22" spans="1:29" ht="18.600000000000001" customHeight="1" x14ac:dyDescent="0.25">
      <c r="A22" s="26"/>
      <c r="B22" s="51" t="s">
        <v>549</v>
      </c>
      <c r="C22" s="50">
        <v>4</v>
      </c>
      <c r="D22" s="49" t="s">
        <v>512</v>
      </c>
      <c r="E22" s="48" t="s">
        <v>509</v>
      </c>
      <c r="F22" s="47" t="s">
        <v>515</v>
      </c>
      <c r="G22" s="46">
        <v>16.399999999999999</v>
      </c>
      <c r="H22" s="46"/>
      <c r="I22" s="45"/>
      <c r="J22" s="25"/>
      <c r="K22" s="25"/>
      <c r="L22" s="24"/>
      <c r="M22" s="23"/>
      <c r="N22" s="26"/>
      <c r="O22" s="51" t="s">
        <v>549</v>
      </c>
      <c r="P22" s="50">
        <v>4</v>
      </c>
      <c r="Q22" s="49" t="s">
        <v>512</v>
      </c>
      <c r="R22" s="48" t="s">
        <v>509</v>
      </c>
      <c r="S22" s="47" t="s">
        <v>515</v>
      </c>
      <c r="T22" s="46">
        <v>17.899999999999999</v>
      </c>
      <c r="U22" s="46"/>
      <c r="X22" s="26"/>
      <c r="Y22" s="96" t="s">
        <v>530</v>
      </c>
      <c r="Z22" s="94" t="s">
        <v>548</v>
      </c>
      <c r="AA22" s="73">
        <v>16.7</v>
      </c>
      <c r="AB22" s="389"/>
      <c r="AC22" s="68"/>
    </row>
    <row r="23" spans="1:29" ht="18.600000000000001" customHeight="1" x14ac:dyDescent="0.2">
      <c r="A23" s="26"/>
      <c r="B23" s="32"/>
      <c r="C23" s="40"/>
      <c r="D23" s="44" t="s">
        <v>511</v>
      </c>
      <c r="E23" s="43" t="s">
        <v>509</v>
      </c>
      <c r="F23" s="42" t="s">
        <v>515</v>
      </c>
      <c r="G23" s="41">
        <v>20.9</v>
      </c>
      <c r="H23" s="41"/>
      <c r="I23" s="45"/>
      <c r="J23" s="25"/>
      <c r="K23" s="25" t="s">
        <v>544</v>
      </c>
      <c r="L23" s="89">
        <v>60</v>
      </c>
      <c r="M23" s="88" t="e">
        <f>AVERAGEIFS(G$13:G$157,$F$13:$F$157, "100-60")</f>
        <v>#DIV/0!</v>
      </c>
      <c r="N23" s="26"/>
      <c r="O23" s="32"/>
      <c r="P23" s="40"/>
      <c r="Q23" s="44" t="s">
        <v>511</v>
      </c>
      <c r="R23" s="43" t="s">
        <v>509</v>
      </c>
      <c r="S23" s="42" t="s">
        <v>515</v>
      </c>
      <c r="T23" s="41">
        <v>23.7</v>
      </c>
      <c r="U23" s="104"/>
      <c r="X23" s="26"/>
      <c r="Y23" s="95" t="s">
        <v>530</v>
      </c>
      <c r="Z23" s="94" t="s">
        <v>547</v>
      </c>
      <c r="AA23" s="73">
        <v>10.8</v>
      </c>
      <c r="AB23" s="389"/>
      <c r="AC23" s="68"/>
    </row>
    <row r="24" spans="1:29" ht="18.600000000000001" customHeight="1" thickBot="1" x14ac:dyDescent="0.25">
      <c r="A24" s="26"/>
      <c r="B24" s="103"/>
      <c r="C24" s="102"/>
      <c r="D24" s="101" t="s">
        <v>510</v>
      </c>
      <c r="E24" s="36" t="s">
        <v>509</v>
      </c>
      <c r="F24" s="35" t="s">
        <v>515</v>
      </c>
      <c r="G24" s="100">
        <v>21.6</v>
      </c>
      <c r="H24" s="100"/>
      <c r="I24" s="99">
        <v>9</v>
      </c>
      <c r="J24" s="25"/>
      <c r="K24" s="25" t="s">
        <v>544</v>
      </c>
      <c r="L24" s="89">
        <v>80</v>
      </c>
      <c r="M24" s="88" t="e">
        <f>AVERAGEIFS(G$13:G$157,$F$13:$F$157, "100-80")</f>
        <v>#DIV/0!</v>
      </c>
      <c r="N24" s="26"/>
      <c r="O24" s="39"/>
      <c r="P24" s="38"/>
      <c r="Q24" s="37" t="s">
        <v>510</v>
      </c>
      <c r="R24" s="36" t="s">
        <v>509</v>
      </c>
      <c r="S24" s="35" t="s">
        <v>515</v>
      </c>
      <c r="T24" s="34">
        <v>17</v>
      </c>
      <c r="U24" s="34"/>
      <c r="V24" s="59">
        <v>9.5</v>
      </c>
      <c r="X24" s="26"/>
      <c r="Y24" s="95" t="s">
        <v>530</v>
      </c>
      <c r="Z24" s="94" t="s">
        <v>546</v>
      </c>
      <c r="AA24" s="73">
        <v>22</v>
      </c>
      <c r="AB24" s="80"/>
      <c r="AC24" s="68"/>
    </row>
    <row r="25" spans="1:29" ht="18.600000000000001" customHeight="1" thickTop="1" x14ac:dyDescent="0.2">
      <c r="A25" s="26"/>
      <c r="B25" s="32" t="s">
        <v>539</v>
      </c>
      <c r="C25" s="31">
        <v>1</v>
      </c>
      <c r="D25" s="58" t="s">
        <v>512</v>
      </c>
      <c r="E25" s="62" t="s">
        <v>517</v>
      </c>
      <c r="F25" s="47" t="s">
        <v>515</v>
      </c>
      <c r="G25" s="57">
        <v>27.8</v>
      </c>
      <c r="H25" s="57"/>
      <c r="I25" s="45"/>
      <c r="J25" s="25"/>
      <c r="K25" s="25" t="s">
        <v>544</v>
      </c>
      <c r="L25" s="89">
        <v>100</v>
      </c>
      <c r="M25" s="88" t="e">
        <f>AVERAGEIFS(G$13:G$157,$F$13:$F$157, "100-100")</f>
        <v>#DIV/0!</v>
      </c>
      <c r="N25" s="26"/>
      <c r="O25" s="32" t="s">
        <v>539</v>
      </c>
      <c r="P25" s="31">
        <v>1</v>
      </c>
      <c r="Q25" s="58" t="s">
        <v>512</v>
      </c>
      <c r="R25" s="62" t="s">
        <v>517</v>
      </c>
      <c r="S25" s="47" t="s">
        <v>515</v>
      </c>
      <c r="T25" s="57">
        <v>24.1</v>
      </c>
      <c r="U25" s="57"/>
      <c r="X25" s="26"/>
      <c r="Y25" s="98" t="s">
        <v>530</v>
      </c>
      <c r="Z25" s="97" t="s">
        <v>545</v>
      </c>
      <c r="AA25" s="77">
        <v>11.7</v>
      </c>
      <c r="AB25" s="77"/>
      <c r="AC25" s="68"/>
    </row>
    <row r="26" spans="1:29" ht="18.600000000000001" customHeight="1" x14ac:dyDescent="0.25">
      <c r="A26" s="26"/>
      <c r="B26" s="56"/>
      <c r="C26" s="40"/>
      <c r="D26" s="44" t="s">
        <v>511</v>
      </c>
      <c r="E26" s="61" t="s">
        <v>517</v>
      </c>
      <c r="F26" s="42" t="s">
        <v>515</v>
      </c>
      <c r="G26" s="41">
        <v>28.1</v>
      </c>
      <c r="H26" s="41"/>
      <c r="I26" s="45"/>
      <c r="J26" s="25"/>
      <c r="K26" s="25" t="s">
        <v>544</v>
      </c>
      <c r="L26" s="89">
        <v>120</v>
      </c>
      <c r="M26" s="88" t="e">
        <f>AVERAGEIFS(G$13:G$157,$F$13:$F$157, "100-120")</f>
        <v>#DIV/0!</v>
      </c>
      <c r="N26" s="26"/>
      <c r="O26" s="56"/>
      <c r="P26" s="40"/>
      <c r="Q26" s="44" t="s">
        <v>511</v>
      </c>
      <c r="R26" s="61" t="s">
        <v>517</v>
      </c>
      <c r="S26" s="42" t="s">
        <v>515</v>
      </c>
      <c r="T26" s="41">
        <v>24.9</v>
      </c>
      <c r="U26" s="41"/>
      <c r="X26" s="26"/>
      <c r="Y26" s="96" t="s">
        <v>530</v>
      </c>
      <c r="Z26" s="94" t="s">
        <v>543</v>
      </c>
      <c r="AA26" s="73">
        <v>20</v>
      </c>
      <c r="AB26" s="73"/>
      <c r="AC26" s="68"/>
    </row>
    <row r="27" spans="1:29" ht="18.600000000000001" customHeight="1" thickBot="1" x14ac:dyDescent="0.25">
      <c r="A27" s="26"/>
      <c r="B27" s="55"/>
      <c r="C27" s="54"/>
      <c r="D27" s="53" t="s">
        <v>510</v>
      </c>
      <c r="E27" s="60" t="s">
        <v>517</v>
      </c>
      <c r="F27" s="35" t="s">
        <v>515</v>
      </c>
      <c r="G27" s="52">
        <v>24.4</v>
      </c>
      <c r="H27" s="52"/>
      <c r="I27" s="45"/>
      <c r="J27" s="25"/>
      <c r="K27" s="25"/>
      <c r="L27" s="24"/>
      <c r="M27" s="23"/>
      <c r="N27" s="26"/>
      <c r="O27" s="55"/>
      <c r="P27" s="54"/>
      <c r="Q27" s="53" t="s">
        <v>510</v>
      </c>
      <c r="R27" s="60" t="s">
        <v>517</v>
      </c>
      <c r="S27" s="35" t="s">
        <v>515</v>
      </c>
      <c r="T27" s="52">
        <v>18.600000000000001</v>
      </c>
      <c r="U27" s="52"/>
      <c r="X27" s="26"/>
      <c r="Y27" s="95" t="s">
        <v>530</v>
      </c>
      <c r="Z27" s="94" t="s">
        <v>542</v>
      </c>
      <c r="AA27" s="73">
        <v>21.2</v>
      </c>
      <c r="AB27" s="73"/>
      <c r="AC27" s="68"/>
    </row>
    <row r="28" spans="1:29" ht="18.600000000000001" customHeight="1" thickBot="1" x14ac:dyDescent="0.25">
      <c r="A28" s="26"/>
      <c r="B28" s="51" t="s">
        <v>539</v>
      </c>
      <c r="C28" s="50">
        <v>2</v>
      </c>
      <c r="D28" s="49" t="s">
        <v>512</v>
      </c>
      <c r="E28" s="62" t="s">
        <v>517</v>
      </c>
      <c r="F28" s="47" t="s">
        <v>516</v>
      </c>
      <c r="G28" s="46">
        <v>18</v>
      </c>
      <c r="H28" s="46"/>
      <c r="I28" s="45"/>
      <c r="J28" s="25"/>
      <c r="K28" s="25" t="s">
        <v>540</v>
      </c>
      <c r="L28" s="89">
        <v>60</v>
      </c>
      <c r="M28" s="93" t="e">
        <f>AVERAGEIFS(G$13:G$157,$F$13:$F$157, "120-60")</f>
        <v>#DIV/0!</v>
      </c>
      <c r="N28" s="26"/>
      <c r="O28" s="51" t="s">
        <v>539</v>
      </c>
      <c r="P28" s="50">
        <v>2</v>
      </c>
      <c r="Q28" s="49" t="s">
        <v>512</v>
      </c>
      <c r="R28" s="62" t="s">
        <v>517</v>
      </c>
      <c r="S28" s="47" t="s">
        <v>516</v>
      </c>
      <c r="T28" s="46">
        <v>19.899999999999999</v>
      </c>
      <c r="U28" s="46"/>
      <c r="X28" s="26"/>
      <c r="Y28" s="92" t="s">
        <v>530</v>
      </c>
      <c r="Z28" s="91" t="s">
        <v>541</v>
      </c>
      <c r="AA28" s="70">
        <v>6.1</v>
      </c>
      <c r="AB28" s="69"/>
      <c r="AC28" s="90">
        <v>15.2</v>
      </c>
    </row>
    <row r="29" spans="1:29" ht="18.600000000000001" customHeight="1" thickTop="1" x14ac:dyDescent="0.2">
      <c r="A29" s="26"/>
      <c r="B29" s="32"/>
      <c r="C29" s="40"/>
      <c r="D29" s="44" t="s">
        <v>511</v>
      </c>
      <c r="E29" s="61" t="s">
        <v>517</v>
      </c>
      <c r="F29" s="42" t="s">
        <v>516</v>
      </c>
      <c r="G29" s="41">
        <v>19.7</v>
      </c>
      <c r="H29" s="41"/>
      <c r="I29" s="45"/>
      <c r="J29" s="25"/>
      <c r="K29" s="25" t="s">
        <v>540</v>
      </c>
      <c r="L29" s="89">
        <v>80</v>
      </c>
      <c r="M29" s="88" t="e">
        <f>AVERAGEIFS(G$13:G$157,$F$13:$F$157, "120-80")</f>
        <v>#DIV/0!</v>
      </c>
      <c r="N29" s="26"/>
      <c r="O29" s="32"/>
      <c r="P29" s="40"/>
      <c r="Q29" s="44" t="s">
        <v>511</v>
      </c>
      <c r="R29" s="61" t="s">
        <v>517</v>
      </c>
      <c r="S29" s="42" t="s">
        <v>516</v>
      </c>
      <c r="T29" s="41">
        <v>14.8</v>
      </c>
      <c r="U29" s="41"/>
      <c r="X29" s="26"/>
      <c r="Y29" s="87" t="s">
        <v>538</v>
      </c>
      <c r="Z29" s="86" t="s">
        <v>537</v>
      </c>
      <c r="AA29" s="85">
        <v>9.1999999999999993</v>
      </c>
      <c r="AB29" s="84"/>
      <c r="AC29" s="83"/>
    </row>
    <row r="30" spans="1:29" ht="18.600000000000001" customHeight="1" thickBot="1" x14ac:dyDescent="0.3">
      <c r="A30" s="26"/>
      <c r="B30" s="55"/>
      <c r="C30" s="54"/>
      <c r="D30" s="53" t="s">
        <v>510</v>
      </c>
      <c r="E30" s="60" t="s">
        <v>517</v>
      </c>
      <c r="F30" s="35" t="s">
        <v>516</v>
      </c>
      <c r="G30" s="52">
        <v>10</v>
      </c>
      <c r="H30" s="52"/>
      <c r="I30" s="45"/>
      <c r="J30" s="25"/>
      <c r="K30" s="25" t="s">
        <v>540</v>
      </c>
      <c r="L30" s="89">
        <v>100</v>
      </c>
      <c r="M30" s="88" t="e">
        <f>AVERAGEIFS(G$13:G$157,$F$13:$F$157, "120-100")</f>
        <v>#DIV/0!</v>
      </c>
      <c r="N30" s="26"/>
      <c r="O30" s="55"/>
      <c r="P30" s="54"/>
      <c r="Q30" s="53" t="s">
        <v>510</v>
      </c>
      <c r="R30" s="60" t="s">
        <v>517</v>
      </c>
      <c r="S30" s="35" t="s">
        <v>516</v>
      </c>
      <c r="T30" s="52">
        <v>15</v>
      </c>
      <c r="U30" s="52"/>
      <c r="X30" s="26"/>
      <c r="Y30" s="76" t="s">
        <v>538</v>
      </c>
      <c r="Z30" s="74" t="s">
        <v>536</v>
      </c>
      <c r="AA30" s="73">
        <v>18.5</v>
      </c>
      <c r="AB30" s="81"/>
      <c r="AC30" s="68"/>
    </row>
    <row r="31" spans="1:29" ht="18.600000000000001" customHeight="1" x14ac:dyDescent="0.2">
      <c r="A31" s="26"/>
      <c r="B31" s="51" t="s">
        <v>539</v>
      </c>
      <c r="C31" s="50">
        <v>3</v>
      </c>
      <c r="D31" s="49" t="s">
        <v>512</v>
      </c>
      <c r="E31" s="62" t="s">
        <v>517</v>
      </c>
      <c r="F31" s="47" t="s">
        <v>508</v>
      </c>
      <c r="G31" s="46">
        <v>13.2</v>
      </c>
      <c r="H31" s="46"/>
      <c r="I31" s="45"/>
      <c r="J31" s="25"/>
      <c r="K31" s="25" t="s">
        <v>540</v>
      </c>
      <c r="L31" s="89">
        <v>120</v>
      </c>
      <c r="M31" s="88" t="e">
        <f>AVERAGEIFS(G$13:G$157,$F$13:$F$157, "120-120")</f>
        <v>#DIV/0!</v>
      </c>
      <c r="N31" s="26"/>
      <c r="O31" s="51" t="s">
        <v>539</v>
      </c>
      <c r="P31" s="50">
        <v>3</v>
      </c>
      <c r="Q31" s="49" t="s">
        <v>512</v>
      </c>
      <c r="R31" s="62" t="s">
        <v>517</v>
      </c>
      <c r="S31" s="47" t="s">
        <v>508</v>
      </c>
      <c r="T31" s="46">
        <v>11.6</v>
      </c>
      <c r="U31" s="46"/>
      <c r="X31" s="26"/>
      <c r="Y31" s="75" t="s">
        <v>538</v>
      </c>
      <c r="Z31" s="74" t="s">
        <v>535</v>
      </c>
      <c r="AA31" s="73">
        <v>21.1</v>
      </c>
      <c r="AB31" s="81"/>
      <c r="AC31" s="68"/>
    </row>
    <row r="32" spans="1:29" ht="18.600000000000001" customHeight="1" thickBot="1" x14ac:dyDescent="0.25">
      <c r="A32" s="26"/>
      <c r="B32" s="32"/>
      <c r="C32" s="40"/>
      <c r="D32" s="44" t="s">
        <v>511</v>
      </c>
      <c r="E32" s="61" t="s">
        <v>517</v>
      </c>
      <c r="F32" s="42" t="s">
        <v>508</v>
      </c>
      <c r="G32" s="41">
        <v>14</v>
      </c>
      <c r="H32" s="41"/>
      <c r="I32" s="45"/>
      <c r="J32" s="25"/>
      <c r="K32" s="25"/>
      <c r="L32" s="24"/>
      <c r="M32" s="23"/>
      <c r="N32" s="26"/>
      <c r="O32" s="32"/>
      <c r="P32" s="40"/>
      <c r="Q32" s="44" t="s">
        <v>511</v>
      </c>
      <c r="R32" s="61" t="s">
        <v>517</v>
      </c>
      <c r="S32" s="42" t="s">
        <v>508</v>
      </c>
      <c r="T32" s="41">
        <v>12.3</v>
      </c>
      <c r="U32" s="41"/>
      <c r="X32" s="26"/>
      <c r="Y32" s="75" t="s">
        <v>538</v>
      </c>
      <c r="Z32" s="74" t="s">
        <v>534</v>
      </c>
      <c r="AA32" s="73">
        <v>9.9</v>
      </c>
      <c r="AB32" s="80"/>
      <c r="AC32" s="68"/>
    </row>
    <row r="33" spans="1:29" ht="18.600000000000001" customHeight="1" thickBot="1" x14ac:dyDescent="0.25">
      <c r="A33" s="26"/>
      <c r="B33" s="55"/>
      <c r="C33" s="54"/>
      <c r="D33" s="53" t="s">
        <v>510</v>
      </c>
      <c r="E33" s="60" t="s">
        <v>517</v>
      </c>
      <c r="F33" s="35" t="s">
        <v>508</v>
      </c>
      <c r="G33" s="52">
        <v>15.3</v>
      </c>
      <c r="H33" s="52"/>
      <c r="I33" s="45"/>
      <c r="J33" s="25"/>
      <c r="K33" s="25"/>
      <c r="L33" s="24"/>
      <c r="M33" s="23"/>
      <c r="N33" s="26"/>
      <c r="O33" s="55"/>
      <c r="P33" s="54"/>
      <c r="Q33" s="53" t="s">
        <v>510</v>
      </c>
      <c r="R33" s="60" t="s">
        <v>517</v>
      </c>
      <c r="S33" s="35" t="s">
        <v>508</v>
      </c>
      <c r="T33" s="52">
        <v>12.1</v>
      </c>
      <c r="U33" s="52"/>
      <c r="X33" s="26"/>
      <c r="Y33" s="79" t="s">
        <v>538</v>
      </c>
      <c r="Z33" s="78" t="s">
        <v>533</v>
      </c>
      <c r="AA33" s="77">
        <v>5.9</v>
      </c>
      <c r="AB33" s="77"/>
      <c r="AC33" s="68"/>
    </row>
    <row r="34" spans="1:29" ht="18.600000000000001" customHeight="1" x14ac:dyDescent="0.25">
      <c r="A34" s="26"/>
      <c r="B34" s="51" t="s">
        <v>539</v>
      </c>
      <c r="C34" s="50">
        <v>4</v>
      </c>
      <c r="D34" s="49" t="s">
        <v>512</v>
      </c>
      <c r="E34" s="62" t="s">
        <v>517</v>
      </c>
      <c r="F34" s="47" t="s">
        <v>520</v>
      </c>
      <c r="G34" s="46">
        <v>22.6</v>
      </c>
      <c r="H34" s="46"/>
      <c r="I34" s="45"/>
      <c r="J34" s="25"/>
      <c r="K34" s="25"/>
      <c r="L34" s="24"/>
      <c r="M34" s="23"/>
      <c r="N34" s="26"/>
      <c r="O34" s="51" t="s">
        <v>539</v>
      </c>
      <c r="P34" s="50">
        <v>4</v>
      </c>
      <c r="Q34" s="49" t="s">
        <v>512</v>
      </c>
      <c r="R34" s="62" t="s">
        <v>517</v>
      </c>
      <c r="S34" s="47" t="s">
        <v>520</v>
      </c>
      <c r="T34" s="46">
        <v>18.899999999999999</v>
      </c>
      <c r="U34" s="46"/>
      <c r="X34" s="26"/>
      <c r="Y34" s="76" t="s">
        <v>538</v>
      </c>
      <c r="Z34" s="74" t="s">
        <v>532</v>
      </c>
      <c r="AA34" s="73">
        <v>17.100000000000001</v>
      </c>
      <c r="AB34" s="73"/>
      <c r="AC34" s="68"/>
    </row>
    <row r="35" spans="1:29" ht="18.600000000000001" customHeight="1" x14ac:dyDescent="0.2">
      <c r="A35" s="26"/>
      <c r="B35" s="32"/>
      <c r="C35" s="40"/>
      <c r="D35" s="44" t="s">
        <v>511</v>
      </c>
      <c r="E35" s="61" t="s">
        <v>517</v>
      </c>
      <c r="F35" s="42" t="s">
        <v>520</v>
      </c>
      <c r="G35" s="41">
        <v>24.4</v>
      </c>
      <c r="H35" s="41"/>
      <c r="I35" s="45"/>
      <c r="J35" s="25"/>
      <c r="K35" s="25"/>
      <c r="L35" s="24"/>
      <c r="M35" s="23"/>
      <c r="N35" s="26"/>
      <c r="O35" s="32"/>
      <c r="P35" s="40"/>
      <c r="Q35" s="44" t="s">
        <v>511</v>
      </c>
      <c r="R35" s="61" t="s">
        <v>517</v>
      </c>
      <c r="S35" s="42" t="s">
        <v>520</v>
      </c>
      <c r="T35" s="41">
        <v>20.399999999999999</v>
      </c>
      <c r="U35" s="41"/>
      <c r="X35" s="26"/>
      <c r="Y35" s="75" t="s">
        <v>538</v>
      </c>
      <c r="Z35" s="74" t="s">
        <v>531</v>
      </c>
      <c r="AA35" s="73">
        <v>24.7</v>
      </c>
      <c r="AB35" s="73"/>
      <c r="AC35" s="68"/>
    </row>
    <row r="36" spans="1:29" ht="18.600000000000001" customHeight="1" thickBot="1" x14ac:dyDescent="0.25">
      <c r="A36" s="26"/>
      <c r="B36" s="39"/>
      <c r="C36" s="38"/>
      <c r="D36" s="37" t="s">
        <v>510</v>
      </c>
      <c r="E36" s="60" t="s">
        <v>517</v>
      </c>
      <c r="F36" s="35" t="s">
        <v>520</v>
      </c>
      <c r="G36" s="34">
        <v>22.6</v>
      </c>
      <c r="H36" s="34"/>
      <c r="I36" s="33">
        <v>19.7</v>
      </c>
      <c r="J36" s="25"/>
      <c r="K36" s="25"/>
      <c r="L36" s="24"/>
      <c r="M36" s="23"/>
      <c r="N36" s="26"/>
      <c r="O36" s="39"/>
      <c r="P36" s="38"/>
      <c r="Q36" s="37" t="s">
        <v>510</v>
      </c>
      <c r="R36" s="60" t="s">
        <v>517</v>
      </c>
      <c r="S36" s="35" t="s">
        <v>520</v>
      </c>
      <c r="T36" s="34">
        <v>19.7</v>
      </c>
      <c r="U36" s="34"/>
      <c r="V36" s="59">
        <v>12.3</v>
      </c>
      <c r="X36" s="26"/>
      <c r="Y36" s="72" t="s">
        <v>538</v>
      </c>
      <c r="Z36" s="71" t="s">
        <v>529</v>
      </c>
      <c r="AA36" s="70">
        <v>9.4</v>
      </c>
      <c r="AB36" s="69"/>
      <c r="AC36" s="68">
        <v>15.2</v>
      </c>
    </row>
    <row r="37" spans="1:29" ht="18.600000000000001" customHeight="1" thickTop="1" x14ac:dyDescent="0.2">
      <c r="A37" s="26"/>
      <c r="B37" s="32" t="s">
        <v>528</v>
      </c>
      <c r="C37" s="31">
        <v>1</v>
      </c>
      <c r="D37" s="58" t="s">
        <v>512</v>
      </c>
      <c r="E37" s="48" t="s">
        <v>509</v>
      </c>
      <c r="F37" s="47" t="s">
        <v>515</v>
      </c>
      <c r="G37" s="57">
        <v>26.5</v>
      </c>
      <c r="H37" s="57"/>
      <c r="I37" s="45"/>
      <c r="J37" s="30"/>
      <c r="K37" s="29"/>
      <c r="L37" s="28"/>
      <c r="M37" s="27"/>
      <c r="N37" s="26"/>
      <c r="O37" s="32" t="s">
        <v>528</v>
      </c>
      <c r="P37" s="31">
        <v>1</v>
      </c>
      <c r="Q37" s="58" t="s">
        <v>512</v>
      </c>
      <c r="R37" s="48" t="s">
        <v>509</v>
      </c>
      <c r="S37" s="47" t="s">
        <v>515</v>
      </c>
      <c r="T37" s="57">
        <v>26.7</v>
      </c>
      <c r="U37" s="57"/>
      <c r="X37" s="26"/>
      <c r="Y37" s="87" t="s">
        <v>530</v>
      </c>
      <c r="Z37" s="86" t="s">
        <v>537</v>
      </c>
      <c r="AA37" s="85">
        <v>9.6999999999999993</v>
      </c>
      <c r="AB37" s="84"/>
      <c r="AC37" s="83"/>
    </row>
    <row r="38" spans="1:29" ht="18.600000000000001" customHeight="1" x14ac:dyDescent="0.25">
      <c r="A38" s="26"/>
      <c r="B38" s="56"/>
      <c r="C38" s="40"/>
      <c r="D38" s="44" t="s">
        <v>511</v>
      </c>
      <c r="E38" s="43" t="s">
        <v>509</v>
      </c>
      <c r="F38" s="42" t="s">
        <v>515</v>
      </c>
      <c r="G38" s="41">
        <v>22.7</v>
      </c>
      <c r="H38" s="41"/>
      <c r="I38" s="45"/>
      <c r="J38" s="30"/>
      <c r="K38" s="29"/>
      <c r="L38" s="28"/>
      <c r="M38" s="27"/>
      <c r="N38" s="26"/>
      <c r="O38" s="56"/>
      <c r="P38" s="40"/>
      <c r="Q38" s="44" t="s">
        <v>511</v>
      </c>
      <c r="R38" s="43" t="s">
        <v>509</v>
      </c>
      <c r="S38" s="42" t="s">
        <v>515</v>
      </c>
      <c r="T38" s="41">
        <v>26.5</v>
      </c>
      <c r="U38" s="41"/>
      <c r="X38" s="26"/>
      <c r="Y38" s="76" t="s">
        <v>530</v>
      </c>
      <c r="Z38" s="74" t="s">
        <v>536</v>
      </c>
      <c r="AA38" s="73">
        <v>14.6</v>
      </c>
      <c r="AB38" s="81"/>
      <c r="AC38" s="68"/>
    </row>
    <row r="39" spans="1:29" ht="18.600000000000001" customHeight="1" thickBot="1" x14ac:dyDescent="0.25">
      <c r="A39" s="26"/>
      <c r="B39" s="55"/>
      <c r="C39" s="54"/>
      <c r="D39" s="53" t="s">
        <v>510</v>
      </c>
      <c r="E39" s="36" t="s">
        <v>509</v>
      </c>
      <c r="F39" s="35" t="s">
        <v>515</v>
      </c>
      <c r="G39" s="52">
        <v>26.2</v>
      </c>
      <c r="H39" s="52"/>
      <c r="I39" s="45"/>
      <c r="J39" s="30"/>
      <c r="K39" s="29"/>
      <c r="L39" s="28"/>
      <c r="M39" s="27"/>
      <c r="N39" s="26"/>
      <c r="O39" s="55"/>
      <c r="P39" s="54"/>
      <c r="Q39" s="53" t="s">
        <v>510</v>
      </c>
      <c r="R39" s="36" t="s">
        <v>509</v>
      </c>
      <c r="S39" s="35" t="s">
        <v>515</v>
      </c>
      <c r="T39" s="82">
        <v>29.6</v>
      </c>
      <c r="U39" s="52"/>
      <c r="X39" s="26"/>
      <c r="Y39" s="75" t="s">
        <v>530</v>
      </c>
      <c r="Z39" s="74" t="s">
        <v>535</v>
      </c>
      <c r="AA39" s="73">
        <v>8.6</v>
      </c>
      <c r="AB39" s="81"/>
      <c r="AC39" s="68"/>
    </row>
    <row r="40" spans="1:29" ht="18.600000000000001" customHeight="1" thickBot="1" x14ac:dyDescent="0.25">
      <c r="A40" s="26"/>
      <c r="B40" s="51" t="s">
        <v>528</v>
      </c>
      <c r="C40" s="50">
        <v>2</v>
      </c>
      <c r="D40" s="49" t="s">
        <v>512</v>
      </c>
      <c r="E40" s="48" t="s">
        <v>509</v>
      </c>
      <c r="F40" s="47" t="s">
        <v>521</v>
      </c>
      <c r="G40" s="46">
        <v>24.2</v>
      </c>
      <c r="H40" s="46"/>
      <c r="I40" s="45"/>
      <c r="J40" s="30"/>
      <c r="K40" s="29"/>
      <c r="L40" s="28"/>
      <c r="M40" s="27"/>
      <c r="N40" s="26"/>
      <c r="O40" s="51" t="s">
        <v>528</v>
      </c>
      <c r="P40" s="50">
        <v>2</v>
      </c>
      <c r="Q40" s="49" t="s">
        <v>512</v>
      </c>
      <c r="R40" s="48" t="s">
        <v>509</v>
      </c>
      <c r="S40" s="47" t="s">
        <v>521</v>
      </c>
      <c r="T40" s="46">
        <v>25</v>
      </c>
      <c r="U40" s="46"/>
      <c r="X40" s="26"/>
      <c r="Y40" s="75" t="s">
        <v>530</v>
      </c>
      <c r="Z40" s="74" t="s">
        <v>534</v>
      </c>
      <c r="AA40" s="73">
        <v>18.600000000000001</v>
      </c>
      <c r="AB40" s="80"/>
      <c r="AC40" s="68"/>
    </row>
    <row r="41" spans="1:29" ht="18.600000000000001" customHeight="1" x14ac:dyDescent="0.2">
      <c r="A41" s="26"/>
      <c r="B41" s="32"/>
      <c r="C41" s="40"/>
      <c r="D41" s="44" t="s">
        <v>511</v>
      </c>
      <c r="E41" s="43" t="s">
        <v>509</v>
      </c>
      <c r="F41" s="42" t="s">
        <v>521</v>
      </c>
      <c r="G41" s="41">
        <v>25.6</v>
      </c>
      <c r="H41" s="41"/>
      <c r="I41" s="45"/>
      <c r="J41" s="30"/>
      <c r="K41" s="29"/>
      <c r="L41" s="28"/>
      <c r="M41" s="27"/>
      <c r="N41" s="26"/>
      <c r="O41" s="32"/>
      <c r="P41" s="40"/>
      <c r="Q41" s="44" t="s">
        <v>511</v>
      </c>
      <c r="R41" s="43" t="s">
        <v>509</v>
      </c>
      <c r="S41" s="42" t="s">
        <v>521</v>
      </c>
      <c r="T41" s="41">
        <v>24.5</v>
      </c>
      <c r="U41" s="41"/>
      <c r="X41" s="26"/>
      <c r="Y41" s="79" t="s">
        <v>530</v>
      </c>
      <c r="Z41" s="78" t="s">
        <v>533</v>
      </c>
      <c r="AA41" s="77">
        <v>9.8000000000000007</v>
      </c>
      <c r="AB41" s="77"/>
      <c r="AC41" s="68"/>
    </row>
    <row r="42" spans="1:29" ht="18.600000000000001" customHeight="1" thickBot="1" x14ac:dyDescent="0.3">
      <c r="A42" s="26"/>
      <c r="B42" s="55"/>
      <c r="C42" s="54"/>
      <c r="D42" s="53" t="s">
        <v>510</v>
      </c>
      <c r="E42" s="36" t="s">
        <v>509</v>
      </c>
      <c r="F42" s="35" t="s">
        <v>521</v>
      </c>
      <c r="G42" s="52">
        <v>19.100000000000001</v>
      </c>
      <c r="H42" s="52"/>
      <c r="I42" s="45"/>
      <c r="J42" s="30"/>
      <c r="K42" s="29"/>
      <c r="L42" s="28"/>
      <c r="M42" s="27"/>
      <c r="N42" s="26"/>
      <c r="O42" s="55"/>
      <c r="P42" s="54"/>
      <c r="Q42" s="53" t="s">
        <v>510</v>
      </c>
      <c r="R42" s="36" t="s">
        <v>509</v>
      </c>
      <c r="S42" s="35" t="s">
        <v>521</v>
      </c>
      <c r="T42" s="52">
        <v>22.3</v>
      </c>
      <c r="U42" s="52"/>
      <c r="X42" s="26"/>
      <c r="Y42" s="76" t="s">
        <v>530</v>
      </c>
      <c r="Z42" s="74" t="s">
        <v>532</v>
      </c>
      <c r="AA42" s="73">
        <v>20.2</v>
      </c>
      <c r="AB42" s="73"/>
      <c r="AC42" s="68"/>
    </row>
    <row r="43" spans="1:29" ht="18.600000000000001" customHeight="1" x14ac:dyDescent="0.2">
      <c r="A43" s="26"/>
      <c r="B43" s="51" t="s">
        <v>528</v>
      </c>
      <c r="C43" s="50">
        <v>3</v>
      </c>
      <c r="D43" s="49" t="s">
        <v>512</v>
      </c>
      <c r="E43" s="48" t="s">
        <v>509</v>
      </c>
      <c r="F43" s="47" t="s">
        <v>514</v>
      </c>
      <c r="G43" s="46">
        <v>18.399999999999999</v>
      </c>
      <c r="H43" s="46"/>
      <c r="I43" s="45"/>
      <c r="J43" s="30"/>
      <c r="K43" s="29"/>
      <c r="L43" s="28"/>
      <c r="M43" s="27"/>
      <c r="N43" s="26"/>
      <c r="O43" s="51" t="s">
        <v>528</v>
      </c>
      <c r="P43" s="50">
        <v>3</v>
      </c>
      <c r="Q43" s="49" t="s">
        <v>512</v>
      </c>
      <c r="R43" s="48" t="s">
        <v>509</v>
      </c>
      <c r="S43" s="47" t="s">
        <v>514</v>
      </c>
      <c r="T43" s="46">
        <v>16.899999999999999</v>
      </c>
      <c r="U43" s="46"/>
      <c r="X43" s="26"/>
      <c r="Y43" s="75" t="s">
        <v>530</v>
      </c>
      <c r="Z43" s="74" t="s">
        <v>531</v>
      </c>
      <c r="AA43" s="73">
        <v>17.8</v>
      </c>
      <c r="AB43" s="73"/>
      <c r="AC43" s="68"/>
    </row>
    <row r="44" spans="1:29" ht="18.600000000000001" customHeight="1" thickBot="1" x14ac:dyDescent="0.25">
      <c r="A44" s="26"/>
      <c r="B44" s="32"/>
      <c r="C44" s="40"/>
      <c r="D44" s="44" t="s">
        <v>511</v>
      </c>
      <c r="E44" s="43" t="s">
        <v>509</v>
      </c>
      <c r="F44" s="42" t="s">
        <v>514</v>
      </c>
      <c r="G44" s="41">
        <v>20.399999999999999</v>
      </c>
      <c r="H44" s="41"/>
      <c r="I44" s="45"/>
      <c r="J44" s="30"/>
      <c r="K44" s="29"/>
      <c r="L44" s="28"/>
      <c r="M44" s="27"/>
      <c r="N44" s="26"/>
      <c r="O44" s="32"/>
      <c r="P44" s="40"/>
      <c r="Q44" s="44" t="s">
        <v>511</v>
      </c>
      <c r="R44" s="43" t="s">
        <v>509</v>
      </c>
      <c r="S44" s="42" t="s">
        <v>514</v>
      </c>
      <c r="T44" s="41">
        <v>19.8</v>
      </c>
      <c r="U44" s="41"/>
      <c r="X44" s="26"/>
      <c r="Y44" s="72" t="s">
        <v>530</v>
      </c>
      <c r="Z44" s="71" t="s">
        <v>529</v>
      </c>
      <c r="AA44" s="70">
        <v>5.2</v>
      </c>
      <c r="AB44" s="69"/>
      <c r="AC44" s="68">
        <v>14.5</v>
      </c>
    </row>
    <row r="45" spans="1:29" ht="18.600000000000001" customHeight="1" thickTop="1" thickBot="1" x14ac:dyDescent="0.25">
      <c r="A45" s="26"/>
      <c r="B45" s="55"/>
      <c r="C45" s="54"/>
      <c r="D45" s="53" t="s">
        <v>510</v>
      </c>
      <c r="E45" s="36" t="s">
        <v>509</v>
      </c>
      <c r="F45" s="35" t="s">
        <v>514</v>
      </c>
      <c r="G45" s="52">
        <v>15.6</v>
      </c>
      <c r="H45" s="52"/>
      <c r="I45" s="45"/>
      <c r="J45" s="30"/>
      <c r="K45" s="29"/>
      <c r="L45" s="28"/>
      <c r="M45" s="27"/>
      <c r="N45" s="26"/>
      <c r="O45" s="55"/>
      <c r="P45" s="54"/>
      <c r="Q45" s="53" t="s">
        <v>510</v>
      </c>
      <c r="R45" s="36" t="s">
        <v>509</v>
      </c>
      <c r="S45" s="35" t="s">
        <v>514</v>
      </c>
      <c r="T45" s="52">
        <v>20.399999999999999</v>
      </c>
      <c r="U45" s="52"/>
      <c r="X45" s="26"/>
      <c r="Y45" s="32"/>
      <c r="Z45" s="31"/>
      <c r="AA45" s="27"/>
      <c r="AB45" s="27"/>
      <c r="AC45" s="19"/>
    </row>
    <row r="46" spans="1:29" ht="18.600000000000001" customHeight="1" x14ac:dyDescent="0.2">
      <c r="A46" s="26"/>
      <c r="B46" s="51" t="s">
        <v>528</v>
      </c>
      <c r="C46" s="50">
        <v>4</v>
      </c>
      <c r="D46" s="49" t="s">
        <v>512</v>
      </c>
      <c r="E46" s="48" t="s">
        <v>509</v>
      </c>
      <c r="F46" s="47" t="s">
        <v>520</v>
      </c>
      <c r="G46" s="46">
        <v>23.4</v>
      </c>
      <c r="H46" s="46"/>
      <c r="I46" s="45"/>
      <c r="J46" s="30"/>
      <c r="K46" s="29"/>
      <c r="L46" s="28"/>
      <c r="M46" s="27"/>
      <c r="N46" s="26"/>
      <c r="O46" s="51" t="s">
        <v>528</v>
      </c>
      <c r="P46" s="50">
        <v>4</v>
      </c>
      <c r="Q46" s="49" t="s">
        <v>512</v>
      </c>
      <c r="R46" s="48" t="s">
        <v>509</v>
      </c>
      <c r="S46" s="47" t="s">
        <v>520</v>
      </c>
      <c r="T46" s="46">
        <v>24.3</v>
      </c>
      <c r="U46" s="46"/>
      <c r="X46" s="26"/>
      <c r="Y46" s="32"/>
      <c r="Z46" s="31"/>
      <c r="AA46" s="27"/>
      <c r="AB46" s="27"/>
      <c r="AC46" s="19"/>
    </row>
    <row r="47" spans="1:29" ht="18.600000000000001" customHeight="1" x14ac:dyDescent="0.2">
      <c r="A47" s="26"/>
      <c r="B47" s="32"/>
      <c r="C47" s="40"/>
      <c r="D47" s="44" t="s">
        <v>511</v>
      </c>
      <c r="E47" s="43" t="s">
        <v>509</v>
      </c>
      <c r="F47" s="42" t="s">
        <v>520</v>
      </c>
      <c r="G47" s="41">
        <v>23.8</v>
      </c>
      <c r="H47" s="41"/>
      <c r="I47" s="45"/>
      <c r="J47" s="30"/>
      <c r="K47" s="29"/>
      <c r="L47" s="28"/>
      <c r="M47" s="27"/>
      <c r="N47" s="26"/>
      <c r="O47" s="32"/>
      <c r="P47" s="40"/>
      <c r="Q47" s="44" t="s">
        <v>511</v>
      </c>
      <c r="R47" s="43" t="s">
        <v>509</v>
      </c>
      <c r="S47" s="42" t="s">
        <v>520</v>
      </c>
      <c r="T47" s="41">
        <v>24.2</v>
      </c>
      <c r="U47" s="41"/>
      <c r="X47" s="26"/>
      <c r="Y47" s="32"/>
      <c r="Z47" s="63"/>
      <c r="AA47" s="27"/>
      <c r="AB47" s="27"/>
      <c r="AC47" s="19"/>
    </row>
    <row r="48" spans="1:29" ht="18.600000000000001" customHeight="1" thickBot="1" x14ac:dyDescent="0.25">
      <c r="A48" s="26"/>
      <c r="B48" s="39"/>
      <c r="C48" s="38"/>
      <c r="D48" s="37" t="s">
        <v>510</v>
      </c>
      <c r="E48" s="36" t="s">
        <v>509</v>
      </c>
      <c r="F48" s="35" t="s">
        <v>520</v>
      </c>
      <c r="G48" s="67">
        <v>28.1</v>
      </c>
      <c r="H48" s="67"/>
      <c r="I48" s="33">
        <v>13.6</v>
      </c>
      <c r="J48" s="65"/>
      <c r="K48" s="65"/>
      <c r="L48" s="65"/>
      <c r="M48" s="65"/>
      <c r="N48" s="26"/>
      <c r="O48" s="39"/>
      <c r="P48" s="38"/>
      <c r="Q48" s="37" t="s">
        <v>510</v>
      </c>
      <c r="R48" s="36" t="s">
        <v>509</v>
      </c>
      <c r="S48" s="35" t="s">
        <v>520</v>
      </c>
      <c r="T48" s="67">
        <v>24.3</v>
      </c>
      <c r="U48" s="67"/>
      <c r="V48" s="59">
        <v>11.1</v>
      </c>
      <c r="X48" s="26"/>
      <c r="Y48" s="32"/>
      <c r="Z48" s="31"/>
      <c r="AA48" s="66"/>
      <c r="AB48" s="66"/>
      <c r="AC48" s="19"/>
    </row>
    <row r="49" spans="1:29" ht="18.600000000000001" customHeight="1" thickTop="1" x14ac:dyDescent="0.2">
      <c r="A49" s="26"/>
      <c r="B49" s="32" t="s">
        <v>527</v>
      </c>
      <c r="C49" s="31">
        <v>1</v>
      </c>
      <c r="D49" s="58" t="s">
        <v>512</v>
      </c>
      <c r="E49" s="62" t="s">
        <v>517</v>
      </c>
      <c r="F49" s="47" t="s">
        <v>520</v>
      </c>
      <c r="G49" s="57">
        <v>30.8</v>
      </c>
      <c r="H49" s="57"/>
      <c r="I49" s="45"/>
      <c r="J49" s="65"/>
      <c r="K49" s="65"/>
      <c r="L49" s="65"/>
      <c r="M49" s="65"/>
      <c r="N49" s="26"/>
      <c r="O49" s="32" t="s">
        <v>527</v>
      </c>
      <c r="P49" s="31">
        <v>1</v>
      </c>
      <c r="Q49" s="58" t="s">
        <v>512</v>
      </c>
      <c r="R49" s="62" t="s">
        <v>517</v>
      </c>
      <c r="S49" s="47" t="s">
        <v>520</v>
      </c>
      <c r="T49" s="57">
        <v>28.5</v>
      </c>
      <c r="U49" s="57"/>
      <c r="X49" s="26"/>
      <c r="Y49" s="32"/>
      <c r="Z49" s="31"/>
      <c r="AA49" s="27"/>
      <c r="AB49" s="27"/>
      <c r="AC49" s="19"/>
    </row>
    <row r="50" spans="1:29" ht="18.600000000000001" customHeight="1" x14ac:dyDescent="0.25">
      <c r="A50" s="26"/>
      <c r="B50" s="56"/>
      <c r="C50" s="40"/>
      <c r="D50" s="44" t="s">
        <v>511</v>
      </c>
      <c r="E50" s="61" t="s">
        <v>517</v>
      </c>
      <c r="F50" s="42" t="s">
        <v>520</v>
      </c>
      <c r="G50" s="41">
        <v>28.5</v>
      </c>
      <c r="H50" s="41"/>
      <c r="I50" s="45"/>
      <c r="J50" s="30"/>
      <c r="K50" s="29"/>
      <c r="L50" s="28"/>
      <c r="M50" s="27"/>
      <c r="N50" s="26"/>
      <c r="O50" s="56"/>
      <c r="P50" s="40"/>
      <c r="Q50" s="44" t="s">
        <v>511</v>
      </c>
      <c r="R50" s="61" t="s">
        <v>517</v>
      </c>
      <c r="S50" s="42" t="s">
        <v>520</v>
      </c>
      <c r="T50" s="41">
        <v>20.3</v>
      </c>
      <c r="U50" s="41"/>
      <c r="X50" s="26"/>
      <c r="Y50" s="64"/>
      <c r="Z50" s="63"/>
      <c r="AA50" s="27"/>
      <c r="AB50" s="27"/>
      <c r="AC50" s="19"/>
    </row>
    <row r="51" spans="1:29" ht="18.600000000000001" customHeight="1" thickBot="1" x14ac:dyDescent="0.25">
      <c r="A51" s="26"/>
      <c r="B51" s="55"/>
      <c r="C51" s="54"/>
      <c r="D51" s="53" t="s">
        <v>510</v>
      </c>
      <c r="E51" s="60" t="s">
        <v>517</v>
      </c>
      <c r="F51" s="35" t="s">
        <v>520</v>
      </c>
      <c r="G51" s="52">
        <v>25.5</v>
      </c>
      <c r="H51" s="52"/>
      <c r="I51" s="45"/>
      <c r="J51" s="30"/>
      <c r="K51" s="29"/>
      <c r="L51" s="28"/>
      <c r="M51" s="27"/>
      <c r="N51" s="26"/>
      <c r="O51" s="55"/>
      <c r="P51" s="54"/>
      <c r="Q51" s="53" t="s">
        <v>510</v>
      </c>
      <c r="R51" s="60" t="s">
        <v>517</v>
      </c>
      <c r="S51" s="35" t="s">
        <v>520</v>
      </c>
      <c r="T51" s="52">
        <v>20.399999999999999</v>
      </c>
      <c r="U51" s="52"/>
      <c r="X51" s="26"/>
      <c r="Y51" s="32"/>
      <c r="Z51" s="31"/>
      <c r="AA51" s="27"/>
      <c r="AB51" s="27"/>
      <c r="AC51" s="19"/>
    </row>
    <row r="52" spans="1:29" ht="18.600000000000001" customHeight="1" x14ac:dyDescent="0.2">
      <c r="A52" s="26"/>
      <c r="B52" s="51" t="s">
        <v>527</v>
      </c>
      <c r="C52" s="50">
        <v>2</v>
      </c>
      <c r="D52" s="49" t="s">
        <v>512</v>
      </c>
      <c r="E52" s="62" t="s">
        <v>517</v>
      </c>
      <c r="F52" s="47" t="s">
        <v>514</v>
      </c>
      <c r="G52" s="46">
        <v>24.9</v>
      </c>
      <c r="H52" s="46"/>
      <c r="I52" s="45"/>
      <c r="J52" s="30"/>
      <c r="K52" s="29"/>
      <c r="L52" s="28"/>
      <c r="M52" s="27"/>
      <c r="N52" s="26"/>
      <c r="O52" s="51" t="s">
        <v>527</v>
      </c>
      <c r="P52" s="50">
        <v>2</v>
      </c>
      <c r="Q52" s="49" t="s">
        <v>512</v>
      </c>
      <c r="R52" s="62" t="s">
        <v>517</v>
      </c>
      <c r="S52" s="47" t="s">
        <v>514</v>
      </c>
      <c r="T52" s="46">
        <v>16.100000000000001</v>
      </c>
      <c r="U52" s="46"/>
      <c r="X52" s="26"/>
      <c r="Y52" s="32"/>
      <c r="Z52" s="31"/>
      <c r="AA52" s="27"/>
      <c r="AB52" s="27"/>
      <c r="AC52" s="19"/>
    </row>
    <row r="53" spans="1:29" ht="18.600000000000001" customHeight="1" x14ac:dyDescent="0.2">
      <c r="A53" s="26"/>
      <c r="B53" s="32"/>
      <c r="C53" s="40"/>
      <c r="D53" s="44" t="s">
        <v>511</v>
      </c>
      <c r="E53" s="61" t="s">
        <v>517</v>
      </c>
      <c r="F53" s="42" t="s">
        <v>514</v>
      </c>
      <c r="G53" s="41">
        <v>21.6</v>
      </c>
      <c r="H53" s="41"/>
      <c r="I53" s="45"/>
      <c r="J53" s="30"/>
      <c r="K53" s="29"/>
      <c r="L53" s="28"/>
      <c r="M53" s="27"/>
      <c r="N53" s="26"/>
      <c r="O53" s="32"/>
      <c r="P53" s="40"/>
      <c r="Q53" s="44" t="s">
        <v>511</v>
      </c>
      <c r="R53" s="61" t="s">
        <v>517</v>
      </c>
      <c r="S53" s="42" t="s">
        <v>514</v>
      </c>
      <c r="T53" s="41">
        <v>16.2</v>
      </c>
      <c r="U53" s="41"/>
      <c r="X53" s="26"/>
      <c r="Y53" s="32"/>
      <c r="Z53" s="63"/>
      <c r="AA53" s="27"/>
      <c r="AB53" s="27"/>
      <c r="AC53" s="19"/>
    </row>
    <row r="54" spans="1:29" ht="18.600000000000001" customHeight="1" thickBot="1" x14ac:dyDescent="0.25">
      <c r="A54" s="26"/>
      <c r="B54" s="55"/>
      <c r="C54" s="54"/>
      <c r="D54" s="53" t="s">
        <v>510</v>
      </c>
      <c r="E54" s="60" t="s">
        <v>517</v>
      </c>
      <c r="F54" s="35" t="s">
        <v>514</v>
      </c>
      <c r="G54" s="52">
        <v>22.8</v>
      </c>
      <c r="H54" s="52"/>
      <c r="I54" s="45"/>
      <c r="J54" s="30"/>
      <c r="K54" s="29"/>
      <c r="L54" s="28"/>
      <c r="M54" s="27"/>
      <c r="N54" s="26"/>
      <c r="O54" s="55"/>
      <c r="P54" s="54"/>
      <c r="Q54" s="53" t="s">
        <v>510</v>
      </c>
      <c r="R54" s="60" t="s">
        <v>517</v>
      </c>
      <c r="S54" s="35" t="s">
        <v>514</v>
      </c>
      <c r="T54" s="52">
        <v>14.9</v>
      </c>
      <c r="U54" s="52"/>
      <c r="X54" s="26"/>
      <c r="Y54" s="32"/>
      <c r="Z54" s="31"/>
      <c r="AA54" s="27"/>
      <c r="AB54" s="27"/>
      <c r="AC54" s="19"/>
    </row>
    <row r="55" spans="1:29" ht="18.600000000000001" customHeight="1" x14ac:dyDescent="0.2">
      <c r="A55" s="26"/>
      <c r="B55" s="51" t="s">
        <v>527</v>
      </c>
      <c r="C55" s="50">
        <v>3</v>
      </c>
      <c r="D55" s="49" t="s">
        <v>512</v>
      </c>
      <c r="E55" s="62" t="s">
        <v>517</v>
      </c>
      <c r="F55" s="47" t="s">
        <v>521</v>
      </c>
      <c r="G55" s="46">
        <v>23.9</v>
      </c>
      <c r="H55" s="46"/>
      <c r="I55" s="45"/>
      <c r="J55" s="30"/>
      <c r="K55" s="29"/>
      <c r="L55" s="28"/>
      <c r="M55" s="27"/>
      <c r="N55" s="26"/>
      <c r="O55" s="51" t="s">
        <v>527</v>
      </c>
      <c r="P55" s="50">
        <v>3</v>
      </c>
      <c r="Q55" s="49" t="s">
        <v>512</v>
      </c>
      <c r="R55" s="62" t="s">
        <v>517</v>
      </c>
      <c r="S55" s="47" t="s">
        <v>521</v>
      </c>
      <c r="T55" s="46">
        <v>18.3</v>
      </c>
      <c r="U55" s="46"/>
      <c r="X55" s="26"/>
      <c r="Y55" s="32"/>
      <c r="Z55" s="31"/>
      <c r="AA55" s="27"/>
      <c r="AB55" s="27"/>
      <c r="AC55" s="19"/>
    </row>
    <row r="56" spans="1:29" ht="18.600000000000001" customHeight="1" x14ac:dyDescent="0.2">
      <c r="A56" s="26"/>
      <c r="B56" s="32"/>
      <c r="C56" s="40"/>
      <c r="D56" s="44" t="s">
        <v>511</v>
      </c>
      <c r="E56" s="61" t="s">
        <v>517</v>
      </c>
      <c r="F56" s="42" t="s">
        <v>521</v>
      </c>
      <c r="G56" s="41">
        <v>23.4</v>
      </c>
      <c r="H56" s="41"/>
      <c r="I56" s="45"/>
      <c r="J56" s="30"/>
      <c r="K56" s="29"/>
      <c r="L56" s="28"/>
      <c r="M56" s="27"/>
      <c r="N56" s="26"/>
      <c r="O56" s="32"/>
      <c r="P56" s="40"/>
      <c r="Q56" s="44" t="s">
        <v>511</v>
      </c>
      <c r="R56" s="61" t="s">
        <v>517</v>
      </c>
      <c r="S56" s="42" t="s">
        <v>521</v>
      </c>
      <c r="T56" s="41">
        <v>14</v>
      </c>
      <c r="U56" s="41"/>
      <c r="X56" s="26"/>
      <c r="Y56" s="32"/>
      <c r="Z56" s="63"/>
      <c r="AA56" s="27"/>
      <c r="AB56" s="27"/>
      <c r="AC56" s="19"/>
    </row>
    <row r="57" spans="1:29" ht="18.600000000000001" customHeight="1" thickBot="1" x14ac:dyDescent="0.25">
      <c r="A57" s="26"/>
      <c r="B57" s="55"/>
      <c r="C57" s="54"/>
      <c r="D57" s="53" t="s">
        <v>510</v>
      </c>
      <c r="E57" s="60" t="s">
        <v>517</v>
      </c>
      <c r="F57" s="35" t="s">
        <v>521</v>
      </c>
      <c r="G57" s="52">
        <v>22.1</v>
      </c>
      <c r="H57" s="52"/>
      <c r="I57" s="45"/>
      <c r="J57" s="30"/>
      <c r="K57" s="29"/>
      <c r="L57" s="28"/>
      <c r="M57" s="27"/>
      <c r="N57" s="26"/>
      <c r="O57" s="55"/>
      <c r="P57" s="54"/>
      <c r="Q57" s="53" t="s">
        <v>510</v>
      </c>
      <c r="R57" s="60" t="s">
        <v>517</v>
      </c>
      <c r="S57" s="35" t="s">
        <v>521</v>
      </c>
      <c r="T57" s="52">
        <v>21.9</v>
      </c>
      <c r="U57" s="52"/>
      <c r="X57" s="26"/>
      <c r="Y57" s="32"/>
      <c r="Z57" s="31"/>
      <c r="AA57" s="27"/>
      <c r="AB57" s="27"/>
      <c r="AC57" s="19"/>
    </row>
    <row r="58" spans="1:29" ht="18.600000000000001" customHeight="1" x14ac:dyDescent="0.2">
      <c r="A58" s="26"/>
      <c r="B58" s="51" t="s">
        <v>527</v>
      </c>
      <c r="C58" s="50">
        <v>4</v>
      </c>
      <c r="D58" s="49" t="s">
        <v>512</v>
      </c>
      <c r="E58" s="62" t="s">
        <v>517</v>
      </c>
      <c r="F58" s="47" t="s">
        <v>515</v>
      </c>
      <c r="G58" s="46">
        <v>27.1</v>
      </c>
      <c r="H58" s="46"/>
      <c r="I58" s="45"/>
      <c r="J58" s="30"/>
      <c r="K58" s="29"/>
      <c r="L58" s="28"/>
      <c r="M58" s="27"/>
      <c r="N58" s="26"/>
      <c r="O58" s="51" t="s">
        <v>527</v>
      </c>
      <c r="P58" s="50">
        <v>4</v>
      </c>
      <c r="Q58" s="49" t="s">
        <v>512</v>
      </c>
      <c r="R58" s="62" t="s">
        <v>517</v>
      </c>
      <c r="S58" s="47" t="s">
        <v>515</v>
      </c>
      <c r="T58" s="46">
        <v>28.2</v>
      </c>
      <c r="U58" s="46"/>
      <c r="X58" s="26"/>
      <c r="Y58" s="32"/>
      <c r="Z58" s="31"/>
      <c r="AA58" s="27"/>
      <c r="AB58" s="27"/>
      <c r="AC58" s="19"/>
    </row>
    <row r="59" spans="1:29" ht="18.600000000000001" customHeight="1" x14ac:dyDescent="0.2">
      <c r="A59" s="26"/>
      <c r="B59" s="32"/>
      <c r="C59" s="40"/>
      <c r="D59" s="44" t="s">
        <v>511</v>
      </c>
      <c r="E59" s="61" t="s">
        <v>517</v>
      </c>
      <c r="F59" s="42" t="s">
        <v>515</v>
      </c>
      <c r="G59" s="41">
        <v>27.2</v>
      </c>
      <c r="H59" s="41"/>
      <c r="I59" s="45"/>
      <c r="J59" s="30"/>
      <c r="K59" s="29"/>
      <c r="L59" s="28"/>
      <c r="M59" s="27"/>
      <c r="N59" s="26"/>
      <c r="O59" s="32"/>
      <c r="P59" s="40"/>
      <c r="Q59" s="44" t="s">
        <v>511</v>
      </c>
      <c r="R59" s="61" t="s">
        <v>517</v>
      </c>
      <c r="S59" s="42" t="s">
        <v>515</v>
      </c>
      <c r="T59" s="41">
        <v>24</v>
      </c>
      <c r="U59" s="41"/>
      <c r="X59" s="26"/>
      <c r="Y59" s="32"/>
      <c r="Z59" s="63"/>
      <c r="AA59" s="27"/>
      <c r="AB59" s="27"/>
      <c r="AC59" s="19"/>
    </row>
    <row r="60" spans="1:29" ht="18.600000000000001" customHeight="1" thickBot="1" x14ac:dyDescent="0.25">
      <c r="A60" s="26"/>
      <c r="B60" s="39"/>
      <c r="C60" s="38"/>
      <c r="D60" s="37" t="s">
        <v>510</v>
      </c>
      <c r="E60" s="60" t="s">
        <v>517</v>
      </c>
      <c r="F60" s="35" t="s">
        <v>515</v>
      </c>
      <c r="G60" s="34">
        <v>22.5</v>
      </c>
      <c r="H60" s="34"/>
      <c r="I60" s="33">
        <v>15.9</v>
      </c>
      <c r="J60" s="30"/>
      <c r="K60" s="29"/>
      <c r="L60" s="28"/>
      <c r="M60" s="27"/>
      <c r="N60" s="26"/>
      <c r="O60" s="39"/>
      <c r="P60" s="38"/>
      <c r="Q60" s="37" t="s">
        <v>510</v>
      </c>
      <c r="R60" s="60" t="s">
        <v>517</v>
      </c>
      <c r="S60" s="35" t="s">
        <v>515</v>
      </c>
      <c r="T60" s="34">
        <v>20.100000000000001</v>
      </c>
      <c r="U60" s="34"/>
      <c r="V60" s="59">
        <v>16.8</v>
      </c>
      <c r="X60" s="26"/>
      <c r="Y60" s="32"/>
      <c r="Z60" s="31"/>
      <c r="AA60" s="27"/>
      <c r="AB60" s="27"/>
      <c r="AC60" s="19"/>
    </row>
    <row r="61" spans="1:29" ht="18.600000000000001" customHeight="1" thickTop="1" x14ac:dyDescent="0.2">
      <c r="A61" s="26"/>
      <c r="B61" s="32" t="s">
        <v>526</v>
      </c>
      <c r="C61" s="31">
        <v>1</v>
      </c>
      <c r="D61" s="58" t="s">
        <v>512</v>
      </c>
      <c r="E61" s="62" t="s">
        <v>517</v>
      </c>
      <c r="F61" s="47" t="s">
        <v>514</v>
      </c>
      <c r="G61" s="57">
        <v>22.7</v>
      </c>
      <c r="H61" s="57"/>
      <c r="I61" s="45"/>
      <c r="J61" s="30"/>
      <c r="K61" s="29"/>
      <c r="L61" s="28"/>
      <c r="M61" s="27"/>
      <c r="N61" s="26"/>
      <c r="O61" s="32" t="s">
        <v>526</v>
      </c>
      <c r="P61" s="31">
        <v>1</v>
      </c>
      <c r="Q61" s="58" t="s">
        <v>512</v>
      </c>
      <c r="R61" s="62" t="s">
        <v>517</v>
      </c>
      <c r="S61" s="47" t="s">
        <v>514</v>
      </c>
      <c r="T61" s="57">
        <v>28.3</v>
      </c>
      <c r="U61" s="57"/>
      <c r="X61" s="26"/>
      <c r="Y61" s="32"/>
      <c r="Z61" s="31"/>
      <c r="AA61" s="27"/>
      <c r="AB61" s="27"/>
      <c r="AC61" s="19"/>
    </row>
    <row r="62" spans="1:29" ht="18.600000000000001" customHeight="1" x14ac:dyDescent="0.25">
      <c r="A62" s="26"/>
      <c r="B62" s="56"/>
      <c r="C62" s="40"/>
      <c r="D62" s="44" t="s">
        <v>511</v>
      </c>
      <c r="E62" s="61" t="s">
        <v>517</v>
      </c>
      <c r="F62" s="42" t="s">
        <v>514</v>
      </c>
      <c r="G62" s="41">
        <v>21.5</v>
      </c>
      <c r="H62" s="41"/>
      <c r="I62" s="45"/>
      <c r="J62" s="25"/>
      <c r="K62" s="25"/>
      <c r="L62" s="24"/>
      <c r="M62" s="23"/>
      <c r="N62" s="26"/>
      <c r="O62" s="56"/>
      <c r="P62" s="40"/>
      <c r="Q62" s="44" t="s">
        <v>511</v>
      </c>
      <c r="R62" s="61" t="s">
        <v>517</v>
      </c>
      <c r="S62" s="42" t="s">
        <v>514</v>
      </c>
      <c r="T62" s="41">
        <v>18.100000000000001</v>
      </c>
      <c r="U62" s="41"/>
      <c r="X62" s="26"/>
      <c r="Y62" s="64"/>
      <c r="Z62" s="63"/>
      <c r="AA62" s="27"/>
      <c r="AB62" s="27"/>
      <c r="AC62" s="19"/>
    </row>
    <row r="63" spans="1:29" ht="18.600000000000001" customHeight="1" thickBot="1" x14ac:dyDescent="0.25">
      <c r="A63" s="26"/>
      <c r="B63" s="55"/>
      <c r="C63" s="54"/>
      <c r="D63" s="53" t="s">
        <v>510</v>
      </c>
      <c r="E63" s="60" t="s">
        <v>517</v>
      </c>
      <c r="F63" s="35" t="s">
        <v>514</v>
      </c>
      <c r="G63" s="52">
        <v>17.100000000000001</v>
      </c>
      <c r="H63" s="52"/>
      <c r="I63" s="45"/>
      <c r="J63" s="25"/>
      <c r="K63" s="25"/>
      <c r="L63" s="24"/>
      <c r="M63" s="23"/>
      <c r="N63" s="26"/>
      <c r="O63" s="55"/>
      <c r="P63" s="54"/>
      <c r="Q63" s="53" t="s">
        <v>510</v>
      </c>
      <c r="R63" s="60" t="s">
        <v>517</v>
      </c>
      <c r="S63" s="35" t="s">
        <v>514</v>
      </c>
      <c r="T63" s="52">
        <v>16.3</v>
      </c>
      <c r="U63" s="52"/>
      <c r="X63" s="26"/>
      <c r="Y63" s="32"/>
      <c r="Z63" s="31"/>
      <c r="AA63" s="27"/>
      <c r="AB63" s="27"/>
      <c r="AC63" s="19"/>
    </row>
    <row r="64" spans="1:29" ht="18.600000000000001" customHeight="1" x14ac:dyDescent="0.2">
      <c r="A64" s="26"/>
      <c r="B64" s="51" t="s">
        <v>526</v>
      </c>
      <c r="C64" s="50">
        <v>2</v>
      </c>
      <c r="D64" s="49" t="s">
        <v>512</v>
      </c>
      <c r="E64" s="62" t="s">
        <v>517</v>
      </c>
      <c r="F64" s="47" t="s">
        <v>516</v>
      </c>
      <c r="G64" s="46">
        <v>18.5</v>
      </c>
      <c r="H64" s="46"/>
      <c r="I64" s="45"/>
      <c r="J64" s="25"/>
      <c r="K64" s="25"/>
      <c r="L64" s="24"/>
      <c r="M64" s="23"/>
      <c r="N64" s="26"/>
      <c r="O64" s="51" t="s">
        <v>526</v>
      </c>
      <c r="P64" s="50">
        <v>2</v>
      </c>
      <c r="Q64" s="49" t="s">
        <v>512</v>
      </c>
      <c r="R64" s="62" t="s">
        <v>517</v>
      </c>
      <c r="S64" s="47" t="s">
        <v>516</v>
      </c>
      <c r="T64" s="46">
        <v>20.399999999999999</v>
      </c>
      <c r="U64" s="46"/>
      <c r="X64" s="26"/>
      <c r="Y64" s="32"/>
      <c r="Z64" s="31"/>
      <c r="AA64" s="27"/>
      <c r="AB64" s="27"/>
      <c r="AC64" s="19"/>
    </row>
    <row r="65" spans="1:29" ht="18.600000000000001" customHeight="1" x14ac:dyDescent="0.2">
      <c r="A65" s="26"/>
      <c r="B65" s="32"/>
      <c r="C65" s="40"/>
      <c r="D65" s="44" t="s">
        <v>511</v>
      </c>
      <c r="E65" s="61" t="s">
        <v>517</v>
      </c>
      <c r="F65" s="42" t="s">
        <v>516</v>
      </c>
      <c r="G65" s="41">
        <v>21</v>
      </c>
      <c r="H65" s="41"/>
      <c r="I65" s="45"/>
      <c r="J65" s="25"/>
      <c r="K65" s="25"/>
      <c r="L65" s="24"/>
      <c r="M65" s="23"/>
      <c r="N65" s="26"/>
      <c r="O65" s="32"/>
      <c r="P65" s="40"/>
      <c r="Q65" s="44" t="s">
        <v>511</v>
      </c>
      <c r="R65" s="61" t="s">
        <v>517</v>
      </c>
      <c r="S65" s="42" t="s">
        <v>516</v>
      </c>
      <c r="T65" s="41">
        <v>22.3</v>
      </c>
      <c r="U65" s="41"/>
      <c r="X65" s="26"/>
      <c r="Y65" s="32"/>
      <c r="Z65" s="40"/>
      <c r="AA65" s="27"/>
      <c r="AB65" s="27"/>
      <c r="AC65" s="19"/>
    </row>
    <row r="66" spans="1:29" ht="18.600000000000001" customHeight="1" thickBot="1" x14ac:dyDescent="0.25">
      <c r="A66" s="26"/>
      <c r="B66" s="55"/>
      <c r="C66" s="54"/>
      <c r="D66" s="53" t="s">
        <v>510</v>
      </c>
      <c r="E66" s="60" t="s">
        <v>517</v>
      </c>
      <c r="F66" s="35" t="s">
        <v>516</v>
      </c>
      <c r="G66" s="52">
        <v>11.1</v>
      </c>
      <c r="H66" s="52"/>
      <c r="I66" s="45"/>
      <c r="J66" s="25"/>
      <c r="K66" s="25"/>
      <c r="L66" s="24"/>
      <c r="M66" s="23"/>
      <c r="N66" s="26"/>
      <c r="O66" s="55"/>
      <c r="P66" s="54"/>
      <c r="Q66" s="53" t="s">
        <v>510</v>
      </c>
      <c r="R66" s="60" t="s">
        <v>517</v>
      </c>
      <c r="S66" s="35" t="s">
        <v>516</v>
      </c>
      <c r="T66" s="52">
        <v>19.399999999999999</v>
      </c>
      <c r="U66" s="52"/>
      <c r="X66" s="26"/>
      <c r="Y66" s="32"/>
      <c r="Z66" s="31"/>
      <c r="AA66" s="27"/>
      <c r="AB66" s="27"/>
      <c r="AC66" s="19"/>
    </row>
    <row r="67" spans="1:29" ht="18.600000000000001" customHeight="1" x14ac:dyDescent="0.2">
      <c r="A67" s="26"/>
      <c r="B67" s="51" t="s">
        <v>526</v>
      </c>
      <c r="C67" s="50">
        <v>3</v>
      </c>
      <c r="D67" s="49" t="s">
        <v>512</v>
      </c>
      <c r="E67" s="62" t="s">
        <v>517</v>
      </c>
      <c r="F67" s="47" t="s">
        <v>508</v>
      </c>
      <c r="G67" s="46">
        <v>11.1</v>
      </c>
      <c r="H67" s="46"/>
      <c r="I67" s="45"/>
      <c r="J67" s="25"/>
      <c r="K67" s="25"/>
      <c r="L67" s="24"/>
      <c r="M67" s="23"/>
      <c r="N67" s="26"/>
      <c r="O67" s="51" t="s">
        <v>526</v>
      </c>
      <c r="P67" s="50">
        <v>3</v>
      </c>
      <c r="Q67" s="49" t="s">
        <v>512</v>
      </c>
      <c r="R67" s="62" t="s">
        <v>517</v>
      </c>
      <c r="S67" s="47" t="s">
        <v>508</v>
      </c>
      <c r="T67" s="46">
        <v>15.4</v>
      </c>
      <c r="U67" s="46"/>
      <c r="X67" s="26"/>
      <c r="Y67" s="32"/>
      <c r="Z67" s="31"/>
      <c r="AA67" s="27"/>
      <c r="AB67" s="27"/>
      <c r="AC67" s="19"/>
    </row>
    <row r="68" spans="1:29" ht="18.600000000000001" customHeight="1" x14ac:dyDescent="0.2">
      <c r="A68" s="26"/>
      <c r="B68" s="32"/>
      <c r="C68" s="40"/>
      <c r="D68" s="44" t="s">
        <v>511</v>
      </c>
      <c r="E68" s="61" t="s">
        <v>517</v>
      </c>
      <c r="F68" s="42" t="s">
        <v>508</v>
      </c>
      <c r="G68" s="41">
        <v>15.9</v>
      </c>
      <c r="H68" s="41"/>
      <c r="I68" s="45"/>
      <c r="J68" s="25"/>
      <c r="K68" s="25"/>
      <c r="L68" s="24"/>
      <c r="M68" s="23"/>
      <c r="N68" s="26"/>
      <c r="O68" s="32"/>
      <c r="P68" s="40"/>
      <c r="Q68" s="44" t="s">
        <v>511</v>
      </c>
      <c r="R68" s="61" t="s">
        <v>517</v>
      </c>
      <c r="S68" s="42" t="s">
        <v>508</v>
      </c>
      <c r="T68" s="41">
        <v>18.3</v>
      </c>
      <c r="U68" s="41"/>
      <c r="X68" s="26"/>
      <c r="Y68" s="32"/>
      <c r="Z68" s="40"/>
      <c r="AA68" s="27"/>
      <c r="AB68" s="27"/>
      <c r="AC68" s="19"/>
    </row>
    <row r="69" spans="1:29" ht="18.600000000000001" customHeight="1" thickBot="1" x14ac:dyDescent="0.25">
      <c r="A69" s="26"/>
      <c r="B69" s="55"/>
      <c r="C69" s="54"/>
      <c r="D69" s="53" t="s">
        <v>510</v>
      </c>
      <c r="E69" s="60" t="s">
        <v>517</v>
      </c>
      <c r="F69" s="35" t="s">
        <v>508</v>
      </c>
      <c r="G69" s="52">
        <v>14</v>
      </c>
      <c r="H69" s="52"/>
      <c r="I69" s="45"/>
      <c r="J69" s="25"/>
      <c r="K69" s="25"/>
      <c r="L69" s="24"/>
      <c r="M69" s="23"/>
      <c r="N69" s="26"/>
      <c r="O69" s="55"/>
      <c r="P69" s="54"/>
      <c r="Q69" s="53" t="s">
        <v>510</v>
      </c>
      <c r="R69" s="60" t="s">
        <v>517</v>
      </c>
      <c r="S69" s="35" t="s">
        <v>508</v>
      </c>
      <c r="T69" s="52">
        <v>15</v>
      </c>
      <c r="U69" s="52"/>
      <c r="X69" s="26"/>
      <c r="Y69" s="32"/>
      <c r="Z69" s="31"/>
      <c r="AA69" s="27"/>
      <c r="AB69" s="27"/>
      <c r="AC69" s="19"/>
    </row>
    <row r="70" spans="1:29" ht="18.600000000000001" customHeight="1" x14ac:dyDescent="0.2">
      <c r="A70" s="26"/>
      <c r="B70" s="51" t="s">
        <v>526</v>
      </c>
      <c r="C70" s="50">
        <v>4</v>
      </c>
      <c r="D70" s="49" t="s">
        <v>512</v>
      </c>
      <c r="E70" s="62" t="s">
        <v>517</v>
      </c>
      <c r="F70" s="47" t="s">
        <v>521</v>
      </c>
      <c r="G70" s="46">
        <v>16.600000000000001</v>
      </c>
      <c r="H70" s="46"/>
      <c r="I70" s="45"/>
      <c r="J70" s="25"/>
      <c r="K70" s="25"/>
      <c r="L70" s="24"/>
      <c r="M70" s="23"/>
      <c r="N70" s="26"/>
      <c r="O70" s="51" t="s">
        <v>526</v>
      </c>
      <c r="P70" s="50">
        <v>4</v>
      </c>
      <c r="Q70" s="49" t="s">
        <v>512</v>
      </c>
      <c r="R70" s="62" t="s">
        <v>517</v>
      </c>
      <c r="S70" s="47" t="s">
        <v>521</v>
      </c>
      <c r="T70" s="46">
        <v>14.6</v>
      </c>
      <c r="U70" s="46"/>
      <c r="X70" s="26"/>
      <c r="Y70" s="32"/>
      <c r="Z70" s="31"/>
      <c r="AA70" s="27"/>
      <c r="AB70" s="27"/>
      <c r="AC70" s="19"/>
    </row>
    <row r="71" spans="1:29" ht="18.600000000000001" customHeight="1" x14ac:dyDescent="0.2">
      <c r="A71" s="26"/>
      <c r="B71" s="32"/>
      <c r="C71" s="40"/>
      <c r="D71" s="44" t="s">
        <v>511</v>
      </c>
      <c r="E71" s="61" t="s">
        <v>517</v>
      </c>
      <c r="F71" s="42" t="s">
        <v>521</v>
      </c>
      <c r="G71" s="41">
        <v>13.7</v>
      </c>
      <c r="H71" s="41"/>
      <c r="I71" s="45"/>
      <c r="J71" s="25"/>
      <c r="K71" s="25"/>
      <c r="L71" s="24"/>
      <c r="M71" s="23"/>
      <c r="N71" s="26"/>
      <c r="O71" s="32"/>
      <c r="P71" s="40"/>
      <c r="Q71" s="44" t="s">
        <v>511</v>
      </c>
      <c r="R71" s="61" t="s">
        <v>517</v>
      </c>
      <c r="S71" s="42" t="s">
        <v>521</v>
      </c>
      <c r="T71" s="41">
        <v>15.3</v>
      </c>
      <c r="U71" s="41"/>
      <c r="X71" s="26"/>
      <c r="Y71" s="32"/>
      <c r="Z71" s="40"/>
      <c r="AA71" s="27"/>
      <c r="AB71" s="27"/>
      <c r="AC71" s="19"/>
    </row>
    <row r="72" spans="1:29" ht="18.600000000000001" customHeight="1" thickBot="1" x14ac:dyDescent="0.25">
      <c r="A72" s="26"/>
      <c r="B72" s="39"/>
      <c r="C72" s="38"/>
      <c r="D72" s="37" t="s">
        <v>510</v>
      </c>
      <c r="E72" s="60" t="s">
        <v>517</v>
      </c>
      <c r="F72" s="35" t="s">
        <v>521</v>
      </c>
      <c r="G72" s="34">
        <v>16</v>
      </c>
      <c r="H72" s="34"/>
      <c r="I72" s="33">
        <v>10.7</v>
      </c>
      <c r="J72" s="25"/>
      <c r="K72" s="25"/>
      <c r="L72" s="24"/>
      <c r="M72" s="23"/>
      <c r="N72" s="26"/>
      <c r="O72" s="39"/>
      <c r="P72" s="38"/>
      <c r="Q72" s="37" t="s">
        <v>510</v>
      </c>
      <c r="R72" s="60" t="s">
        <v>517</v>
      </c>
      <c r="S72" s="35" t="s">
        <v>521</v>
      </c>
      <c r="T72" s="34">
        <v>12.7</v>
      </c>
      <c r="U72" s="34"/>
      <c r="V72" s="59">
        <v>12.6</v>
      </c>
      <c r="X72" s="26"/>
      <c r="Y72" s="32"/>
      <c r="Z72" s="31"/>
      <c r="AA72" s="27"/>
      <c r="AB72" s="27"/>
      <c r="AC72" s="19"/>
    </row>
    <row r="73" spans="1:29" ht="18.600000000000001" customHeight="1" thickTop="1" x14ac:dyDescent="0.2">
      <c r="A73" s="26"/>
      <c r="B73" s="32" t="s">
        <v>525</v>
      </c>
      <c r="C73" s="31">
        <v>1</v>
      </c>
      <c r="D73" s="58" t="s">
        <v>512</v>
      </c>
      <c r="E73" s="48" t="s">
        <v>509</v>
      </c>
      <c r="F73" s="47" t="s">
        <v>521</v>
      </c>
      <c r="G73" s="57">
        <v>21.3</v>
      </c>
      <c r="H73" s="57"/>
      <c r="I73" s="45"/>
      <c r="J73" s="25"/>
      <c r="K73" s="25"/>
      <c r="L73" s="24"/>
      <c r="M73" s="23"/>
      <c r="N73" s="26"/>
      <c r="O73" s="32" t="s">
        <v>525</v>
      </c>
      <c r="P73" s="31">
        <v>1</v>
      </c>
      <c r="Q73" s="58" t="s">
        <v>512</v>
      </c>
      <c r="R73" s="48" t="s">
        <v>509</v>
      </c>
      <c r="S73" s="47" t="s">
        <v>521</v>
      </c>
      <c r="T73" s="57">
        <v>17.2</v>
      </c>
      <c r="U73" s="57"/>
      <c r="X73" s="26"/>
      <c r="Y73" s="32"/>
      <c r="Z73" s="31"/>
      <c r="AA73" s="27"/>
      <c r="AB73" s="27"/>
      <c r="AC73" s="19"/>
    </row>
    <row r="74" spans="1:29" ht="18.600000000000001" customHeight="1" x14ac:dyDescent="0.2">
      <c r="A74" s="26"/>
      <c r="B74" s="56"/>
      <c r="C74" s="40"/>
      <c r="D74" s="44" t="s">
        <v>511</v>
      </c>
      <c r="E74" s="43" t="s">
        <v>509</v>
      </c>
      <c r="F74" s="42" t="s">
        <v>521</v>
      </c>
      <c r="G74" s="41">
        <v>18.399999999999999</v>
      </c>
      <c r="H74" s="41"/>
      <c r="I74" s="45"/>
      <c r="J74" s="25"/>
      <c r="K74" s="25"/>
      <c r="L74" s="24"/>
      <c r="M74" s="23"/>
      <c r="N74" s="26"/>
      <c r="O74" s="56"/>
      <c r="P74" s="40"/>
      <c r="Q74" s="44" t="s">
        <v>511</v>
      </c>
      <c r="R74" s="43" t="s">
        <v>509</v>
      </c>
      <c r="S74" s="42" t="s">
        <v>521</v>
      </c>
      <c r="T74" s="41">
        <v>19.8</v>
      </c>
      <c r="U74" s="41"/>
      <c r="X74" s="26"/>
      <c r="Y74" s="56"/>
      <c r="Z74" s="40"/>
      <c r="AA74" s="27"/>
      <c r="AB74" s="27"/>
      <c r="AC74" s="19"/>
    </row>
    <row r="75" spans="1:29" ht="18.600000000000001" customHeight="1" thickBot="1" x14ac:dyDescent="0.25">
      <c r="A75" s="26"/>
      <c r="B75" s="55"/>
      <c r="C75" s="54"/>
      <c r="D75" s="53" t="s">
        <v>510</v>
      </c>
      <c r="E75" s="36" t="s">
        <v>509</v>
      </c>
      <c r="F75" s="35" t="s">
        <v>521</v>
      </c>
      <c r="G75" s="52">
        <v>20.7</v>
      </c>
      <c r="H75" s="52"/>
      <c r="I75" s="45"/>
      <c r="J75" s="25"/>
      <c r="K75" s="25"/>
      <c r="L75" s="24"/>
      <c r="M75" s="23"/>
      <c r="N75" s="26"/>
      <c r="O75" s="55"/>
      <c r="P75" s="54"/>
      <c r="Q75" s="53" t="s">
        <v>510</v>
      </c>
      <c r="R75" s="36" t="s">
        <v>509</v>
      </c>
      <c r="S75" s="35" t="s">
        <v>521</v>
      </c>
      <c r="T75" s="52">
        <v>16.8</v>
      </c>
      <c r="U75" s="52"/>
      <c r="X75" s="26"/>
      <c r="Y75" s="32"/>
      <c r="Z75" s="31"/>
      <c r="AA75" s="27"/>
      <c r="AB75" s="27"/>
      <c r="AC75" s="19"/>
    </row>
    <row r="76" spans="1:29" ht="18.600000000000001" customHeight="1" x14ac:dyDescent="0.2">
      <c r="A76" s="26"/>
      <c r="B76" s="51" t="s">
        <v>525</v>
      </c>
      <c r="C76" s="50">
        <v>2</v>
      </c>
      <c r="D76" s="49" t="s">
        <v>512</v>
      </c>
      <c r="E76" s="48" t="s">
        <v>509</v>
      </c>
      <c r="F76" s="47" t="s">
        <v>508</v>
      </c>
      <c r="G76" s="46">
        <v>13.5</v>
      </c>
      <c r="H76" s="46"/>
      <c r="I76" s="45"/>
      <c r="J76" s="25"/>
      <c r="K76" s="25"/>
      <c r="L76" s="24"/>
      <c r="M76" s="23"/>
      <c r="N76" s="26"/>
      <c r="O76" s="51" t="s">
        <v>525</v>
      </c>
      <c r="P76" s="50">
        <v>2</v>
      </c>
      <c r="Q76" s="49" t="s">
        <v>512</v>
      </c>
      <c r="R76" s="48" t="s">
        <v>509</v>
      </c>
      <c r="S76" s="47" t="s">
        <v>508</v>
      </c>
      <c r="T76" s="46">
        <v>15.7</v>
      </c>
      <c r="U76" s="46"/>
      <c r="X76" s="26"/>
      <c r="Y76" s="32"/>
      <c r="Z76" s="31"/>
      <c r="AA76" s="27"/>
      <c r="AB76" s="27"/>
      <c r="AC76" s="19"/>
    </row>
    <row r="77" spans="1:29" ht="18.600000000000001" customHeight="1" x14ac:dyDescent="0.2">
      <c r="A77" s="26"/>
      <c r="B77" s="32"/>
      <c r="C77" s="40"/>
      <c r="D77" s="44" t="s">
        <v>511</v>
      </c>
      <c r="E77" s="43" t="s">
        <v>509</v>
      </c>
      <c r="F77" s="42" t="s">
        <v>508</v>
      </c>
      <c r="G77" s="41">
        <v>14.4</v>
      </c>
      <c r="H77" s="41"/>
      <c r="I77" s="45"/>
      <c r="J77" s="25"/>
      <c r="K77" s="25"/>
      <c r="L77" s="24"/>
      <c r="M77" s="23"/>
      <c r="N77" s="26"/>
      <c r="O77" s="32"/>
      <c r="P77" s="40"/>
      <c r="Q77" s="44" t="s">
        <v>511</v>
      </c>
      <c r="R77" s="43" t="s">
        <v>509</v>
      </c>
      <c r="S77" s="42" t="s">
        <v>508</v>
      </c>
      <c r="T77" s="41">
        <v>13.5</v>
      </c>
      <c r="U77" s="41"/>
      <c r="X77" s="26"/>
      <c r="Y77" s="32"/>
      <c r="Z77" s="40"/>
      <c r="AA77" s="27"/>
      <c r="AB77" s="27"/>
      <c r="AC77" s="19"/>
    </row>
    <row r="78" spans="1:29" ht="18.600000000000001" customHeight="1" thickBot="1" x14ac:dyDescent="0.25">
      <c r="A78" s="26"/>
      <c r="B78" s="55"/>
      <c r="C78" s="54"/>
      <c r="D78" s="53" t="s">
        <v>510</v>
      </c>
      <c r="E78" s="36" t="s">
        <v>509</v>
      </c>
      <c r="F78" s="35" t="s">
        <v>508</v>
      </c>
      <c r="G78" s="52">
        <v>14.9</v>
      </c>
      <c r="H78" s="52"/>
      <c r="I78" s="45"/>
      <c r="J78" s="25"/>
      <c r="K78" s="25"/>
      <c r="L78" s="24"/>
      <c r="M78" s="23"/>
      <c r="N78" s="26"/>
      <c r="O78" s="55"/>
      <c r="P78" s="54"/>
      <c r="Q78" s="53" t="s">
        <v>510</v>
      </c>
      <c r="R78" s="36" t="s">
        <v>509</v>
      </c>
      <c r="S78" s="35" t="s">
        <v>508</v>
      </c>
      <c r="T78" s="52">
        <v>17.2</v>
      </c>
      <c r="U78" s="52"/>
      <c r="X78" s="26"/>
      <c r="Y78" s="32"/>
      <c r="Z78" s="31"/>
      <c r="AA78" s="27"/>
      <c r="AB78" s="27"/>
      <c r="AC78" s="19"/>
    </row>
    <row r="79" spans="1:29" ht="18.600000000000001" customHeight="1" x14ac:dyDescent="0.2">
      <c r="A79" s="26"/>
      <c r="B79" s="51" t="s">
        <v>525</v>
      </c>
      <c r="C79" s="50">
        <v>3</v>
      </c>
      <c r="D79" s="49" t="s">
        <v>512</v>
      </c>
      <c r="E79" s="48" t="s">
        <v>509</v>
      </c>
      <c r="F79" s="47" t="s">
        <v>516</v>
      </c>
      <c r="G79" s="46">
        <v>18.8</v>
      </c>
      <c r="H79" s="46"/>
      <c r="I79" s="45"/>
      <c r="J79" s="25"/>
      <c r="K79" s="25"/>
      <c r="L79" s="24"/>
      <c r="M79" s="23"/>
      <c r="N79" s="26"/>
      <c r="O79" s="51" t="s">
        <v>525</v>
      </c>
      <c r="P79" s="50">
        <v>3</v>
      </c>
      <c r="Q79" s="49" t="s">
        <v>512</v>
      </c>
      <c r="R79" s="48" t="s">
        <v>509</v>
      </c>
      <c r="S79" s="47" t="s">
        <v>516</v>
      </c>
      <c r="T79" s="46">
        <v>19.399999999999999</v>
      </c>
      <c r="U79" s="46"/>
      <c r="X79" s="26"/>
      <c r="Y79" s="32"/>
      <c r="Z79" s="31"/>
      <c r="AA79" s="27"/>
      <c r="AB79" s="27"/>
      <c r="AC79" s="19"/>
    </row>
    <row r="80" spans="1:29" ht="18.600000000000001" customHeight="1" x14ac:dyDescent="0.2">
      <c r="A80" s="26"/>
      <c r="B80" s="32"/>
      <c r="C80" s="40"/>
      <c r="D80" s="44" t="s">
        <v>511</v>
      </c>
      <c r="E80" s="43" t="s">
        <v>509</v>
      </c>
      <c r="F80" s="42" t="s">
        <v>516</v>
      </c>
      <c r="G80" s="41">
        <v>22.3</v>
      </c>
      <c r="H80" s="41"/>
      <c r="I80" s="45"/>
      <c r="J80" s="25"/>
      <c r="K80" s="25"/>
      <c r="L80" s="24"/>
      <c r="M80" s="23"/>
      <c r="N80" s="26"/>
      <c r="O80" s="32"/>
      <c r="P80" s="40"/>
      <c r="Q80" s="44" t="s">
        <v>511</v>
      </c>
      <c r="R80" s="43" t="s">
        <v>509</v>
      </c>
      <c r="S80" s="42" t="s">
        <v>516</v>
      </c>
      <c r="T80" s="41">
        <v>21.1</v>
      </c>
      <c r="U80" s="41"/>
      <c r="X80" s="26"/>
      <c r="Y80" s="32"/>
      <c r="Z80" s="40"/>
      <c r="AA80" s="27"/>
      <c r="AB80" s="27"/>
      <c r="AC80" s="19"/>
    </row>
    <row r="81" spans="1:29" ht="18.600000000000001" customHeight="1" thickBot="1" x14ac:dyDescent="0.25">
      <c r="A81" s="26"/>
      <c r="B81" s="55"/>
      <c r="C81" s="54"/>
      <c r="D81" s="53" t="s">
        <v>510</v>
      </c>
      <c r="E81" s="36" t="s">
        <v>509</v>
      </c>
      <c r="F81" s="35" t="s">
        <v>516</v>
      </c>
      <c r="G81" s="52">
        <v>14.7</v>
      </c>
      <c r="H81" s="52"/>
      <c r="I81" s="45"/>
      <c r="J81" s="25"/>
      <c r="K81" s="25"/>
      <c r="L81" s="24"/>
      <c r="M81" s="23"/>
      <c r="N81" s="26"/>
      <c r="O81" s="55"/>
      <c r="P81" s="54"/>
      <c r="Q81" s="53" t="s">
        <v>510</v>
      </c>
      <c r="R81" s="36" t="s">
        <v>509</v>
      </c>
      <c r="S81" s="35" t="s">
        <v>516</v>
      </c>
      <c r="T81" s="52">
        <v>13.1</v>
      </c>
      <c r="U81" s="52"/>
      <c r="X81" s="26"/>
      <c r="Y81" s="32"/>
      <c r="Z81" s="31"/>
      <c r="AA81" s="27"/>
      <c r="AB81" s="27"/>
      <c r="AC81" s="19"/>
    </row>
    <row r="82" spans="1:29" ht="18.600000000000001" customHeight="1" x14ac:dyDescent="0.2">
      <c r="A82" s="26"/>
      <c r="B82" s="51" t="s">
        <v>525</v>
      </c>
      <c r="C82" s="50">
        <v>4</v>
      </c>
      <c r="D82" s="49" t="s">
        <v>512</v>
      </c>
      <c r="E82" s="48" t="s">
        <v>509</v>
      </c>
      <c r="F82" s="47" t="s">
        <v>514</v>
      </c>
      <c r="G82" s="46">
        <v>19.399999999999999</v>
      </c>
      <c r="H82" s="46"/>
      <c r="I82" s="45"/>
      <c r="J82" s="25"/>
      <c r="K82" s="25"/>
      <c r="L82" s="24"/>
      <c r="M82" s="23"/>
      <c r="N82" s="26"/>
      <c r="O82" s="51" t="s">
        <v>525</v>
      </c>
      <c r="P82" s="50">
        <v>4</v>
      </c>
      <c r="Q82" s="49" t="s">
        <v>512</v>
      </c>
      <c r="R82" s="48" t="s">
        <v>509</v>
      </c>
      <c r="S82" s="47" t="s">
        <v>514</v>
      </c>
      <c r="T82" s="46">
        <v>21.1</v>
      </c>
      <c r="U82" s="46"/>
      <c r="X82" s="26"/>
      <c r="Y82" s="32"/>
      <c r="Z82" s="31"/>
      <c r="AA82" s="27"/>
      <c r="AB82" s="27"/>
      <c r="AC82" s="19"/>
    </row>
    <row r="83" spans="1:29" ht="18.600000000000001" customHeight="1" x14ac:dyDescent="0.2">
      <c r="A83" s="26"/>
      <c r="B83" s="32"/>
      <c r="C83" s="40"/>
      <c r="D83" s="44" t="s">
        <v>511</v>
      </c>
      <c r="E83" s="43" t="s">
        <v>509</v>
      </c>
      <c r="F83" s="42" t="s">
        <v>514</v>
      </c>
      <c r="G83" s="41">
        <v>16.2</v>
      </c>
      <c r="H83" s="41"/>
      <c r="I83" s="45"/>
      <c r="J83" s="25"/>
      <c r="K83" s="25"/>
      <c r="L83" s="24"/>
      <c r="M83" s="23"/>
      <c r="N83" s="26"/>
      <c r="O83" s="32"/>
      <c r="P83" s="40"/>
      <c r="Q83" s="44" t="s">
        <v>511</v>
      </c>
      <c r="R83" s="43" t="s">
        <v>509</v>
      </c>
      <c r="S83" s="42" t="s">
        <v>514</v>
      </c>
      <c r="T83" s="41">
        <v>12.1</v>
      </c>
      <c r="U83" s="41"/>
      <c r="X83" s="26"/>
      <c r="Y83" s="32"/>
      <c r="Z83" s="40"/>
      <c r="AA83" s="27"/>
      <c r="AB83" s="27"/>
      <c r="AC83" s="19"/>
    </row>
    <row r="84" spans="1:29" ht="18.600000000000001" customHeight="1" thickBot="1" x14ac:dyDescent="0.25">
      <c r="A84" s="26"/>
      <c r="B84" s="39"/>
      <c r="C84" s="38"/>
      <c r="D84" s="37" t="s">
        <v>510</v>
      </c>
      <c r="E84" s="36" t="s">
        <v>509</v>
      </c>
      <c r="F84" s="35" t="s">
        <v>514</v>
      </c>
      <c r="G84" s="34">
        <v>14.7</v>
      </c>
      <c r="H84" s="34"/>
      <c r="I84" s="33">
        <v>9.6</v>
      </c>
      <c r="J84" s="25"/>
      <c r="K84" s="25"/>
      <c r="L84" s="24"/>
      <c r="M84" s="23"/>
      <c r="N84" s="26"/>
      <c r="O84" s="39"/>
      <c r="P84" s="38"/>
      <c r="Q84" s="37" t="s">
        <v>510</v>
      </c>
      <c r="R84" s="36" t="s">
        <v>509</v>
      </c>
      <c r="S84" s="35" t="s">
        <v>514</v>
      </c>
      <c r="T84" s="34">
        <v>12.4</v>
      </c>
      <c r="U84" s="34"/>
      <c r="V84" s="59">
        <v>7.9</v>
      </c>
      <c r="X84" s="26"/>
      <c r="Y84" s="32"/>
      <c r="Z84" s="31"/>
      <c r="AA84" s="27"/>
      <c r="AB84" s="27"/>
      <c r="AC84" s="19"/>
    </row>
    <row r="85" spans="1:29" ht="18.600000000000001" customHeight="1" thickTop="1" x14ac:dyDescent="0.2">
      <c r="A85" s="26"/>
      <c r="B85" s="32" t="s">
        <v>524</v>
      </c>
      <c r="C85" s="31">
        <v>1</v>
      </c>
      <c r="D85" s="58" t="s">
        <v>512</v>
      </c>
      <c r="E85" s="62" t="s">
        <v>517</v>
      </c>
      <c r="F85" s="47" t="s">
        <v>521</v>
      </c>
      <c r="G85" s="57">
        <v>22.4</v>
      </c>
      <c r="H85" s="57"/>
      <c r="I85" s="45"/>
      <c r="J85" s="25"/>
      <c r="K85" s="25"/>
      <c r="L85" s="24"/>
      <c r="M85" s="23"/>
      <c r="N85" s="26"/>
      <c r="O85" s="32" t="s">
        <v>524</v>
      </c>
      <c r="P85" s="31">
        <v>1</v>
      </c>
      <c r="Q85" s="58" t="s">
        <v>512</v>
      </c>
      <c r="R85" s="62" t="s">
        <v>517</v>
      </c>
      <c r="S85" s="47" t="s">
        <v>521</v>
      </c>
      <c r="T85" s="57">
        <v>13.7</v>
      </c>
      <c r="U85" s="57"/>
      <c r="X85" s="26"/>
      <c r="Y85" s="32"/>
      <c r="Z85" s="31"/>
      <c r="AA85" s="27"/>
      <c r="AB85" s="27"/>
      <c r="AC85" s="19"/>
    </row>
    <row r="86" spans="1:29" ht="18.600000000000001" customHeight="1" x14ac:dyDescent="0.2">
      <c r="A86" s="26"/>
      <c r="B86" s="56"/>
      <c r="C86" s="40"/>
      <c r="D86" s="44" t="s">
        <v>511</v>
      </c>
      <c r="E86" s="61" t="s">
        <v>517</v>
      </c>
      <c r="F86" s="42" t="s">
        <v>521</v>
      </c>
      <c r="G86" s="41">
        <v>19.7</v>
      </c>
      <c r="H86" s="41"/>
      <c r="I86" s="45"/>
      <c r="J86" s="30"/>
      <c r="K86" s="29"/>
      <c r="L86" s="28"/>
      <c r="M86" s="27"/>
      <c r="N86" s="26"/>
      <c r="O86" s="56"/>
      <c r="P86" s="40"/>
      <c r="Q86" s="44" t="s">
        <v>511</v>
      </c>
      <c r="R86" s="61" t="s">
        <v>517</v>
      </c>
      <c r="S86" s="42" t="s">
        <v>521</v>
      </c>
      <c r="T86" s="41">
        <v>10.9</v>
      </c>
      <c r="U86" s="41"/>
      <c r="X86" s="26"/>
      <c r="Y86" s="56"/>
      <c r="Z86" s="40"/>
      <c r="AA86" s="27"/>
      <c r="AB86" s="27"/>
      <c r="AC86" s="19"/>
    </row>
    <row r="87" spans="1:29" ht="18.600000000000001" customHeight="1" thickBot="1" x14ac:dyDescent="0.25">
      <c r="A87" s="26"/>
      <c r="B87" s="55"/>
      <c r="C87" s="54"/>
      <c r="D87" s="53" t="s">
        <v>510</v>
      </c>
      <c r="E87" s="60" t="s">
        <v>517</v>
      </c>
      <c r="F87" s="35" t="s">
        <v>521</v>
      </c>
      <c r="G87" s="52">
        <v>21.3</v>
      </c>
      <c r="H87" s="52"/>
      <c r="I87" s="45"/>
      <c r="J87" s="30"/>
      <c r="K87" s="29"/>
      <c r="L87" s="28"/>
      <c r="M87" s="27"/>
      <c r="N87" s="26"/>
      <c r="O87" s="55"/>
      <c r="P87" s="54"/>
      <c r="Q87" s="53" t="s">
        <v>510</v>
      </c>
      <c r="R87" s="60" t="s">
        <v>517</v>
      </c>
      <c r="S87" s="35" t="s">
        <v>521</v>
      </c>
      <c r="T87" s="52">
        <v>14.2</v>
      </c>
      <c r="U87" s="52"/>
      <c r="X87" s="26"/>
      <c r="Y87" s="32"/>
      <c r="Z87" s="31"/>
      <c r="AA87" s="27"/>
      <c r="AB87" s="27"/>
      <c r="AC87" s="19"/>
    </row>
    <row r="88" spans="1:29" ht="18.600000000000001" customHeight="1" x14ac:dyDescent="0.2">
      <c r="A88" s="26"/>
      <c r="B88" s="51" t="s">
        <v>524</v>
      </c>
      <c r="C88" s="50">
        <v>2</v>
      </c>
      <c r="D88" s="49" t="s">
        <v>512</v>
      </c>
      <c r="E88" s="62" t="s">
        <v>517</v>
      </c>
      <c r="F88" s="47" t="s">
        <v>515</v>
      </c>
      <c r="G88" s="46">
        <v>22.2</v>
      </c>
      <c r="H88" s="46"/>
      <c r="I88" s="45"/>
      <c r="J88" s="30"/>
      <c r="K88" s="29"/>
      <c r="L88" s="28"/>
      <c r="M88" s="27"/>
      <c r="N88" s="26"/>
      <c r="O88" s="51" t="s">
        <v>524</v>
      </c>
      <c r="P88" s="50">
        <v>2</v>
      </c>
      <c r="Q88" s="49" t="s">
        <v>512</v>
      </c>
      <c r="R88" s="62" t="s">
        <v>517</v>
      </c>
      <c r="S88" s="47" t="s">
        <v>515</v>
      </c>
      <c r="T88" s="46">
        <v>21.6</v>
      </c>
      <c r="U88" s="46"/>
      <c r="X88" s="26"/>
      <c r="Y88" s="32"/>
      <c r="Z88" s="31"/>
      <c r="AA88" s="27"/>
      <c r="AB88" s="27"/>
      <c r="AC88" s="19"/>
    </row>
    <row r="89" spans="1:29" ht="18.600000000000001" customHeight="1" x14ac:dyDescent="0.2">
      <c r="A89" s="26"/>
      <c r="B89" s="32"/>
      <c r="C89" s="40"/>
      <c r="D89" s="44" t="s">
        <v>511</v>
      </c>
      <c r="E89" s="61" t="s">
        <v>517</v>
      </c>
      <c r="F89" s="42" t="s">
        <v>515</v>
      </c>
      <c r="G89" s="41">
        <v>26.3</v>
      </c>
      <c r="H89" s="41"/>
      <c r="I89" s="45"/>
      <c r="J89" s="30"/>
      <c r="K89" s="29"/>
      <c r="L89" s="28"/>
      <c r="M89" s="27"/>
      <c r="N89" s="26"/>
      <c r="O89" s="32"/>
      <c r="P89" s="40"/>
      <c r="Q89" s="44" t="s">
        <v>511</v>
      </c>
      <c r="R89" s="61" t="s">
        <v>517</v>
      </c>
      <c r="S89" s="42" t="s">
        <v>515</v>
      </c>
      <c r="T89" s="41">
        <v>19.600000000000001</v>
      </c>
      <c r="U89" s="41"/>
      <c r="X89" s="26"/>
      <c r="Y89" s="32"/>
      <c r="Z89" s="40"/>
      <c r="AA89" s="27"/>
      <c r="AB89" s="27"/>
      <c r="AC89" s="19"/>
    </row>
    <row r="90" spans="1:29" ht="18.600000000000001" customHeight="1" thickBot="1" x14ac:dyDescent="0.25">
      <c r="A90" s="26"/>
      <c r="B90" s="55"/>
      <c r="C90" s="54"/>
      <c r="D90" s="53" t="s">
        <v>510</v>
      </c>
      <c r="E90" s="60" t="s">
        <v>517</v>
      </c>
      <c r="F90" s="35" t="s">
        <v>515</v>
      </c>
      <c r="G90" s="52">
        <v>22.4</v>
      </c>
      <c r="H90" s="52"/>
      <c r="I90" s="45"/>
      <c r="J90" s="30"/>
      <c r="K90" s="29"/>
      <c r="L90" s="28"/>
      <c r="M90" s="27"/>
      <c r="N90" s="26"/>
      <c r="O90" s="55"/>
      <c r="P90" s="54"/>
      <c r="Q90" s="53" t="s">
        <v>510</v>
      </c>
      <c r="R90" s="60" t="s">
        <v>517</v>
      </c>
      <c r="S90" s="35" t="s">
        <v>515</v>
      </c>
      <c r="T90" s="52">
        <v>14.5</v>
      </c>
      <c r="U90" s="52"/>
      <c r="X90" s="26"/>
      <c r="Y90" s="32"/>
      <c r="Z90" s="31"/>
      <c r="AA90" s="27"/>
      <c r="AB90" s="27"/>
      <c r="AC90" s="19"/>
    </row>
    <row r="91" spans="1:29" ht="18.600000000000001" customHeight="1" x14ac:dyDescent="0.2">
      <c r="A91" s="26"/>
      <c r="B91" s="51" t="s">
        <v>524</v>
      </c>
      <c r="C91" s="50">
        <v>3</v>
      </c>
      <c r="D91" s="49" t="s">
        <v>512</v>
      </c>
      <c r="E91" s="62" t="s">
        <v>517</v>
      </c>
      <c r="F91" s="47" t="s">
        <v>520</v>
      </c>
      <c r="G91" s="46">
        <v>26.6</v>
      </c>
      <c r="H91" s="46"/>
      <c r="I91" s="45"/>
      <c r="J91" s="30"/>
      <c r="K91" s="29"/>
      <c r="L91" s="28"/>
      <c r="M91" s="27"/>
      <c r="N91" s="26"/>
      <c r="O91" s="51" t="s">
        <v>524</v>
      </c>
      <c r="P91" s="50">
        <v>3</v>
      </c>
      <c r="Q91" s="49" t="s">
        <v>512</v>
      </c>
      <c r="R91" s="62" t="s">
        <v>517</v>
      </c>
      <c r="S91" s="47" t="s">
        <v>520</v>
      </c>
      <c r="T91" s="46">
        <v>20.7</v>
      </c>
      <c r="U91" s="46"/>
      <c r="X91" s="26"/>
      <c r="Y91" s="32"/>
      <c r="Z91" s="31"/>
      <c r="AA91" s="27"/>
      <c r="AB91" s="27"/>
      <c r="AC91" s="19"/>
    </row>
    <row r="92" spans="1:29" ht="18.600000000000001" customHeight="1" x14ac:dyDescent="0.2">
      <c r="A92" s="26"/>
      <c r="B92" s="32"/>
      <c r="C92" s="40"/>
      <c r="D92" s="44" t="s">
        <v>511</v>
      </c>
      <c r="E92" s="61" t="s">
        <v>517</v>
      </c>
      <c r="F92" s="42" t="s">
        <v>520</v>
      </c>
      <c r="G92" s="41">
        <v>22.6</v>
      </c>
      <c r="H92" s="41"/>
      <c r="I92" s="45"/>
      <c r="J92" s="30"/>
      <c r="K92" s="29"/>
      <c r="L92" s="28"/>
      <c r="M92" s="27"/>
      <c r="N92" s="26"/>
      <c r="O92" s="32"/>
      <c r="P92" s="40"/>
      <c r="Q92" s="44" t="s">
        <v>511</v>
      </c>
      <c r="R92" s="61" t="s">
        <v>517</v>
      </c>
      <c r="S92" s="42" t="s">
        <v>520</v>
      </c>
      <c r="T92" s="41">
        <v>18</v>
      </c>
      <c r="U92" s="41"/>
      <c r="X92" s="26"/>
      <c r="Y92" s="32"/>
      <c r="Z92" s="40"/>
      <c r="AA92" s="27"/>
      <c r="AB92" s="27"/>
      <c r="AC92" s="19"/>
    </row>
    <row r="93" spans="1:29" ht="18.600000000000001" customHeight="1" thickBot="1" x14ac:dyDescent="0.25">
      <c r="A93" s="26"/>
      <c r="B93" s="55"/>
      <c r="C93" s="54"/>
      <c r="D93" s="53" t="s">
        <v>510</v>
      </c>
      <c r="E93" s="60" t="s">
        <v>517</v>
      </c>
      <c r="F93" s="35" t="s">
        <v>520</v>
      </c>
      <c r="G93" s="52">
        <v>23.5</v>
      </c>
      <c r="H93" s="52"/>
      <c r="I93" s="45"/>
      <c r="J93" s="30"/>
      <c r="K93" s="29"/>
      <c r="L93" s="28"/>
      <c r="M93" s="27"/>
      <c r="N93" s="26"/>
      <c r="O93" s="55"/>
      <c r="P93" s="54"/>
      <c r="Q93" s="53" t="s">
        <v>510</v>
      </c>
      <c r="R93" s="60" t="s">
        <v>517</v>
      </c>
      <c r="S93" s="35" t="s">
        <v>520</v>
      </c>
      <c r="T93" s="52">
        <v>20.7</v>
      </c>
      <c r="U93" s="52"/>
      <c r="X93" s="26"/>
      <c r="Y93" s="32"/>
      <c r="Z93" s="31"/>
      <c r="AA93" s="27"/>
      <c r="AB93" s="27"/>
      <c r="AC93" s="19"/>
    </row>
    <row r="94" spans="1:29" ht="18.600000000000001" customHeight="1" x14ac:dyDescent="0.2">
      <c r="A94" s="26"/>
      <c r="B94" s="51" t="s">
        <v>524</v>
      </c>
      <c r="C94" s="50">
        <v>4</v>
      </c>
      <c r="D94" s="49" t="s">
        <v>512</v>
      </c>
      <c r="E94" s="62" t="s">
        <v>517</v>
      </c>
      <c r="F94" s="47" t="s">
        <v>514</v>
      </c>
      <c r="G94" s="46">
        <v>23.4</v>
      </c>
      <c r="H94" s="46"/>
      <c r="I94" s="45"/>
      <c r="J94" s="30"/>
      <c r="K94" s="29"/>
      <c r="L94" s="28"/>
      <c r="M94" s="27"/>
      <c r="N94" s="26"/>
      <c r="O94" s="51" t="s">
        <v>524</v>
      </c>
      <c r="P94" s="50">
        <v>4</v>
      </c>
      <c r="Q94" s="49" t="s">
        <v>512</v>
      </c>
      <c r="R94" s="62" t="s">
        <v>517</v>
      </c>
      <c r="S94" s="47" t="s">
        <v>514</v>
      </c>
      <c r="T94" s="46">
        <v>12.9</v>
      </c>
      <c r="U94" s="46"/>
      <c r="X94" s="26"/>
      <c r="Y94" s="32"/>
      <c r="Z94" s="31"/>
      <c r="AA94" s="27"/>
      <c r="AB94" s="27"/>
      <c r="AC94" s="19"/>
    </row>
    <row r="95" spans="1:29" ht="18.600000000000001" customHeight="1" x14ac:dyDescent="0.2">
      <c r="A95" s="26"/>
      <c r="B95" s="32"/>
      <c r="C95" s="40"/>
      <c r="D95" s="44" t="s">
        <v>511</v>
      </c>
      <c r="E95" s="61" t="s">
        <v>517</v>
      </c>
      <c r="F95" s="42" t="s">
        <v>514</v>
      </c>
      <c r="G95" s="41">
        <v>17.899999999999999</v>
      </c>
      <c r="H95" s="41"/>
      <c r="I95" s="45"/>
      <c r="J95" s="30"/>
      <c r="K95" s="29"/>
      <c r="L95" s="28"/>
      <c r="M95" s="27"/>
      <c r="N95" s="26"/>
      <c r="O95" s="32"/>
      <c r="P95" s="40"/>
      <c r="Q95" s="44" t="s">
        <v>511</v>
      </c>
      <c r="R95" s="61" t="s">
        <v>517</v>
      </c>
      <c r="S95" s="42" t="s">
        <v>514</v>
      </c>
      <c r="T95" s="41">
        <v>8.6</v>
      </c>
      <c r="U95" s="41"/>
      <c r="X95" s="26"/>
      <c r="Y95" s="32"/>
      <c r="Z95" s="40"/>
      <c r="AA95" s="27"/>
      <c r="AB95" s="27"/>
      <c r="AC95" s="19"/>
    </row>
    <row r="96" spans="1:29" ht="18.600000000000001" customHeight="1" thickBot="1" x14ac:dyDescent="0.25">
      <c r="A96" s="26"/>
      <c r="B96" s="39"/>
      <c r="C96" s="38"/>
      <c r="D96" s="37" t="s">
        <v>510</v>
      </c>
      <c r="E96" s="60" t="s">
        <v>517</v>
      </c>
      <c r="F96" s="35" t="s">
        <v>514</v>
      </c>
      <c r="G96" s="34">
        <v>21.5</v>
      </c>
      <c r="H96" s="34"/>
      <c r="I96" s="33">
        <v>18.899999999999999</v>
      </c>
      <c r="J96" s="30"/>
      <c r="K96" s="29"/>
      <c r="L96" s="28"/>
      <c r="M96" s="27"/>
      <c r="N96" s="26"/>
      <c r="O96" s="39"/>
      <c r="P96" s="38"/>
      <c r="Q96" s="37" t="s">
        <v>510</v>
      </c>
      <c r="R96" s="60" t="s">
        <v>517</v>
      </c>
      <c r="S96" s="35" t="s">
        <v>514</v>
      </c>
      <c r="T96" s="34">
        <v>15.1</v>
      </c>
      <c r="U96" s="34"/>
      <c r="V96" s="59">
        <v>12.8</v>
      </c>
      <c r="X96" s="26"/>
      <c r="Y96" s="32"/>
      <c r="Z96" s="31"/>
      <c r="AA96" s="27"/>
      <c r="AB96" s="27"/>
      <c r="AC96" s="19"/>
    </row>
    <row r="97" spans="1:29" ht="18.600000000000001" customHeight="1" thickTop="1" x14ac:dyDescent="0.2">
      <c r="A97" s="26"/>
      <c r="B97" s="32" t="s">
        <v>523</v>
      </c>
      <c r="C97" s="31">
        <v>1</v>
      </c>
      <c r="D97" s="58" t="s">
        <v>512</v>
      </c>
      <c r="E97" s="48" t="s">
        <v>509</v>
      </c>
      <c r="F97" s="47" t="s">
        <v>514</v>
      </c>
      <c r="G97" s="57">
        <v>19.8</v>
      </c>
      <c r="H97" s="57"/>
      <c r="I97" s="45"/>
      <c r="J97" s="30"/>
      <c r="K97" s="29"/>
      <c r="L97" s="28"/>
      <c r="M97" s="27"/>
      <c r="N97" s="26"/>
      <c r="O97" s="32" t="s">
        <v>523</v>
      </c>
      <c r="P97" s="31">
        <v>1</v>
      </c>
      <c r="Q97" s="58" t="s">
        <v>512</v>
      </c>
      <c r="R97" s="48" t="s">
        <v>509</v>
      </c>
      <c r="S97" s="47" t="s">
        <v>514</v>
      </c>
      <c r="T97" s="57">
        <v>18.100000000000001</v>
      </c>
      <c r="U97" s="57"/>
      <c r="X97" s="26"/>
      <c r="Y97" s="32"/>
      <c r="Z97" s="31"/>
      <c r="AA97" s="27"/>
      <c r="AB97" s="27"/>
      <c r="AC97" s="19"/>
    </row>
    <row r="98" spans="1:29" ht="18.600000000000001" customHeight="1" x14ac:dyDescent="0.2">
      <c r="A98" s="26"/>
      <c r="B98" s="56"/>
      <c r="C98" s="40"/>
      <c r="D98" s="44" t="s">
        <v>511</v>
      </c>
      <c r="E98" s="43" t="s">
        <v>509</v>
      </c>
      <c r="F98" s="42" t="s">
        <v>514</v>
      </c>
      <c r="G98" s="41">
        <v>18.3</v>
      </c>
      <c r="H98" s="41"/>
      <c r="I98" s="45"/>
      <c r="J98" s="30"/>
      <c r="K98" s="29"/>
      <c r="L98" s="28"/>
      <c r="M98" s="27"/>
      <c r="N98" s="26"/>
      <c r="O98" s="56"/>
      <c r="P98" s="40"/>
      <c r="Q98" s="44" t="s">
        <v>511</v>
      </c>
      <c r="R98" s="43" t="s">
        <v>509</v>
      </c>
      <c r="S98" s="42" t="s">
        <v>514</v>
      </c>
      <c r="T98" s="41">
        <v>16.5</v>
      </c>
      <c r="U98" s="41"/>
      <c r="X98" s="26"/>
      <c r="Y98" s="56"/>
      <c r="Z98" s="40"/>
      <c r="AA98" s="27"/>
      <c r="AB98" s="27"/>
      <c r="AC98" s="19"/>
    </row>
    <row r="99" spans="1:29" ht="18.600000000000001" customHeight="1" thickBot="1" x14ac:dyDescent="0.25">
      <c r="A99" s="26"/>
      <c r="B99" s="55"/>
      <c r="C99" s="54"/>
      <c r="D99" s="53" t="s">
        <v>510</v>
      </c>
      <c r="E99" s="36" t="s">
        <v>509</v>
      </c>
      <c r="F99" s="35" t="s">
        <v>514</v>
      </c>
      <c r="G99" s="52">
        <v>16.3</v>
      </c>
      <c r="H99" s="52"/>
      <c r="I99" s="45"/>
      <c r="J99" s="30"/>
      <c r="K99" s="29"/>
      <c r="L99" s="28"/>
      <c r="M99" s="27"/>
      <c r="N99" s="26"/>
      <c r="O99" s="55"/>
      <c r="P99" s="54"/>
      <c r="Q99" s="53" t="s">
        <v>510</v>
      </c>
      <c r="R99" s="36" t="s">
        <v>509</v>
      </c>
      <c r="S99" s="35" t="s">
        <v>514</v>
      </c>
      <c r="T99" s="52">
        <v>20.7</v>
      </c>
      <c r="U99" s="52"/>
      <c r="X99" s="26"/>
      <c r="Y99" s="32"/>
      <c r="Z99" s="31"/>
      <c r="AA99" s="27"/>
      <c r="AB99" s="27"/>
      <c r="AC99" s="19"/>
    </row>
    <row r="100" spans="1:29" ht="18.600000000000001" customHeight="1" x14ac:dyDescent="0.2">
      <c r="A100" s="26"/>
      <c r="B100" s="51" t="s">
        <v>523</v>
      </c>
      <c r="C100" s="50">
        <v>2</v>
      </c>
      <c r="D100" s="49" t="s">
        <v>512</v>
      </c>
      <c r="E100" s="48" t="s">
        <v>509</v>
      </c>
      <c r="F100" s="47" t="s">
        <v>520</v>
      </c>
      <c r="G100" s="46">
        <v>24.7</v>
      </c>
      <c r="H100" s="46"/>
      <c r="I100" s="45"/>
      <c r="J100" s="30"/>
      <c r="K100" s="29"/>
      <c r="L100" s="28"/>
      <c r="M100" s="27"/>
      <c r="N100" s="26"/>
      <c r="O100" s="51" t="s">
        <v>523</v>
      </c>
      <c r="P100" s="50">
        <v>2</v>
      </c>
      <c r="Q100" s="49" t="s">
        <v>512</v>
      </c>
      <c r="R100" s="48" t="s">
        <v>509</v>
      </c>
      <c r="S100" s="47" t="s">
        <v>520</v>
      </c>
      <c r="T100" s="46">
        <v>24.8</v>
      </c>
      <c r="U100" s="46"/>
      <c r="X100" s="26"/>
      <c r="Y100" s="32"/>
      <c r="Z100" s="31"/>
      <c r="AA100" s="27"/>
      <c r="AB100" s="27"/>
      <c r="AC100" s="19"/>
    </row>
    <row r="101" spans="1:29" ht="18.600000000000001" customHeight="1" x14ac:dyDescent="0.2">
      <c r="A101" s="26"/>
      <c r="B101" s="32"/>
      <c r="C101" s="40"/>
      <c r="D101" s="44" t="s">
        <v>511</v>
      </c>
      <c r="E101" s="43" t="s">
        <v>509</v>
      </c>
      <c r="F101" s="42" t="s">
        <v>520</v>
      </c>
      <c r="G101" s="41">
        <v>19.899999999999999</v>
      </c>
      <c r="H101" s="41"/>
      <c r="I101" s="45"/>
      <c r="J101" s="30"/>
      <c r="K101" s="29"/>
      <c r="L101" s="28"/>
      <c r="M101" s="27"/>
      <c r="N101" s="26"/>
      <c r="O101" s="32"/>
      <c r="P101" s="40"/>
      <c r="Q101" s="44" t="s">
        <v>511</v>
      </c>
      <c r="R101" s="43" t="s">
        <v>509</v>
      </c>
      <c r="S101" s="42" t="s">
        <v>520</v>
      </c>
      <c r="T101" s="41">
        <v>23.1</v>
      </c>
      <c r="U101" s="41"/>
      <c r="X101" s="26"/>
      <c r="Y101" s="32"/>
      <c r="Z101" s="40"/>
      <c r="AA101" s="27"/>
      <c r="AB101" s="27"/>
      <c r="AC101" s="19"/>
    </row>
    <row r="102" spans="1:29" ht="18.600000000000001" customHeight="1" thickBot="1" x14ac:dyDescent="0.25">
      <c r="A102" s="26"/>
      <c r="B102" s="55"/>
      <c r="C102" s="54"/>
      <c r="D102" s="53" t="s">
        <v>510</v>
      </c>
      <c r="E102" s="36" t="s">
        <v>509</v>
      </c>
      <c r="F102" s="35" t="s">
        <v>520</v>
      </c>
      <c r="G102" s="52">
        <v>18.2</v>
      </c>
      <c r="H102" s="52"/>
      <c r="I102" s="45"/>
      <c r="J102" s="30"/>
      <c r="K102" s="29"/>
      <c r="L102" s="28"/>
      <c r="M102" s="27"/>
      <c r="N102" s="26"/>
      <c r="O102" s="55"/>
      <c r="P102" s="54"/>
      <c r="Q102" s="53" t="s">
        <v>510</v>
      </c>
      <c r="R102" s="36" t="s">
        <v>509</v>
      </c>
      <c r="S102" s="35" t="s">
        <v>520</v>
      </c>
      <c r="T102" s="52">
        <v>20</v>
      </c>
      <c r="U102" s="52"/>
      <c r="X102" s="26"/>
      <c r="Y102" s="32"/>
      <c r="Z102" s="31"/>
      <c r="AA102" s="27"/>
      <c r="AB102" s="27"/>
      <c r="AC102" s="19"/>
    </row>
    <row r="103" spans="1:29" ht="18.600000000000001" customHeight="1" x14ac:dyDescent="0.2">
      <c r="A103" s="26"/>
      <c r="B103" s="51" t="s">
        <v>523</v>
      </c>
      <c r="C103" s="50">
        <v>3</v>
      </c>
      <c r="D103" s="49" t="s">
        <v>512</v>
      </c>
      <c r="E103" s="48" t="s">
        <v>509</v>
      </c>
      <c r="F103" s="47" t="s">
        <v>515</v>
      </c>
      <c r="G103" s="46">
        <v>20.8</v>
      </c>
      <c r="H103" s="46"/>
      <c r="I103" s="45"/>
      <c r="J103" s="30"/>
      <c r="K103" s="29"/>
      <c r="L103" s="28"/>
      <c r="M103" s="27"/>
      <c r="N103" s="26"/>
      <c r="O103" s="51" t="s">
        <v>523</v>
      </c>
      <c r="P103" s="50">
        <v>3</v>
      </c>
      <c r="Q103" s="49" t="s">
        <v>512</v>
      </c>
      <c r="R103" s="48" t="s">
        <v>509</v>
      </c>
      <c r="S103" s="47" t="s">
        <v>515</v>
      </c>
      <c r="T103" s="46">
        <v>23.4</v>
      </c>
      <c r="U103" s="46"/>
      <c r="X103" s="26"/>
      <c r="Y103" s="32"/>
      <c r="Z103" s="31"/>
      <c r="AA103" s="27"/>
      <c r="AB103" s="27"/>
      <c r="AC103" s="19"/>
    </row>
    <row r="104" spans="1:29" ht="18.600000000000001" customHeight="1" x14ac:dyDescent="0.2">
      <c r="A104" s="26"/>
      <c r="B104" s="32"/>
      <c r="C104" s="40"/>
      <c r="D104" s="44" t="s">
        <v>511</v>
      </c>
      <c r="E104" s="43" t="s">
        <v>509</v>
      </c>
      <c r="F104" s="42" t="s">
        <v>515</v>
      </c>
      <c r="G104" s="41">
        <v>15.8</v>
      </c>
      <c r="H104" s="41"/>
      <c r="I104" s="45"/>
      <c r="J104" s="30"/>
      <c r="K104" s="29"/>
      <c r="L104" s="28"/>
      <c r="M104" s="27"/>
      <c r="N104" s="26"/>
      <c r="O104" s="32"/>
      <c r="P104" s="40"/>
      <c r="Q104" s="44" t="s">
        <v>511</v>
      </c>
      <c r="R104" s="43" t="s">
        <v>509</v>
      </c>
      <c r="S104" s="42" t="s">
        <v>515</v>
      </c>
      <c r="T104" s="41">
        <v>21.2</v>
      </c>
      <c r="U104" s="41"/>
      <c r="X104" s="26"/>
      <c r="Y104" s="32"/>
      <c r="Z104" s="40"/>
      <c r="AA104" s="27"/>
      <c r="AB104" s="27"/>
      <c r="AC104" s="19"/>
    </row>
    <row r="105" spans="1:29" ht="18.600000000000001" customHeight="1" thickBot="1" x14ac:dyDescent="0.25">
      <c r="A105" s="26"/>
      <c r="B105" s="55"/>
      <c r="C105" s="54"/>
      <c r="D105" s="53" t="s">
        <v>510</v>
      </c>
      <c r="E105" s="36" t="s">
        <v>509</v>
      </c>
      <c r="F105" s="35" t="s">
        <v>515</v>
      </c>
      <c r="G105" s="52">
        <v>23.9</v>
      </c>
      <c r="H105" s="52"/>
      <c r="I105" s="45"/>
      <c r="J105" s="30"/>
      <c r="K105" s="29"/>
      <c r="L105" s="28"/>
      <c r="M105" s="27"/>
      <c r="N105" s="26"/>
      <c r="O105" s="55"/>
      <c r="P105" s="54"/>
      <c r="Q105" s="53" t="s">
        <v>510</v>
      </c>
      <c r="R105" s="36" t="s">
        <v>509</v>
      </c>
      <c r="S105" s="35" t="s">
        <v>515</v>
      </c>
      <c r="T105" s="52">
        <v>18.899999999999999</v>
      </c>
      <c r="U105" s="52"/>
      <c r="X105" s="26"/>
      <c r="Y105" s="32"/>
      <c r="Z105" s="31"/>
      <c r="AA105" s="27"/>
      <c r="AB105" s="27"/>
      <c r="AC105" s="19"/>
    </row>
    <row r="106" spans="1:29" ht="18.600000000000001" customHeight="1" x14ac:dyDescent="0.2">
      <c r="A106" s="26"/>
      <c r="B106" s="51" t="s">
        <v>523</v>
      </c>
      <c r="C106" s="50">
        <v>4</v>
      </c>
      <c r="D106" s="49" t="s">
        <v>512</v>
      </c>
      <c r="E106" s="48" t="s">
        <v>509</v>
      </c>
      <c r="F106" s="47" t="s">
        <v>521</v>
      </c>
      <c r="G106" s="46">
        <v>17.5</v>
      </c>
      <c r="H106" s="46"/>
      <c r="I106" s="45"/>
      <c r="J106" s="30"/>
      <c r="K106" s="29"/>
      <c r="L106" s="28"/>
      <c r="M106" s="27"/>
      <c r="N106" s="26"/>
      <c r="O106" s="51" t="s">
        <v>523</v>
      </c>
      <c r="P106" s="50">
        <v>4</v>
      </c>
      <c r="Q106" s="49" t="s">
        <v>512</v>
      </c>
      <c r="R106" s="48" t="s">
        <v>509</v>
      </c>
      <c r="S106" s="47" t="s">
        <v>521</v>
      </c>
      <c r="T106" s="46">
        <v>15.3</v>
      </c>
      <c r="U106" s="46"/>
      <c r="X106" s="26"/>
      <c r="Y106" s="32"/>
      <c r="Z106" s="31"/>
      <c r="AA106" s="27"/>
      <c r="AB106" s="27"/>
      <c r="AC106" s="19"/>
    </row>
    <row r="107" spans="1:29" ht="18.600000000000001" customHeight="1" x14ac:dyDescent="0.2">
      <c r="A107" s="26"/>
      <c r="B107" s="32"/>
      <c r="C107" s="40"/>
      <c r="D107" s="44" t="s">
        <v>511</v>
      </c>
      <c r="E107" s="43" t="s">
        <v>509</v>
      </c>
      <c r="F107" s="42" t="s">
        <v>521</v>
      </c>
      <c r="G107" s="41">
        <v>15.5</v>
      </c>
      <c r="H107" s="41"/>
      <c r="I107" s="45"/>
      <c r="J107" s="30"/>
      <c r="K107" s="29"/>
      <c r="L107" s="28"/>
      <c r="M107" s="27"/>
      <c r="N107" s="26"/>
      <c r="O107" s="32"/>
      <c r="P107" s="40"/>
      <c r="Q107" s="44" t="s">
        <v>511</v>
      </c>
      <c r="R107" s="43" t="s">
        <v>509</v>
      </c>
      <c r="S107" s="42" t="s">
        <v>521</v>
      </c>
      <c r="T107" s="41">
        <v>14.2</v>
      </c>
      <c r="U107" s="41"/>
      <c r="X107" s="26"/>
      <c r="Y107" s="32"/>
      <c r="Z107" s="40"/>
      <c r="AA107" s="27"/>
      <c r="AB107" s="27"/>
      <c r="AC107" s="19"/>
    </row>
    <row r="108" spans="1:29" ht="18.600000000000001" customHeight="1" thickBot="1" x14ac:dyDescent="0.25">
      <c r="A108" s="26"/>
      <c r="B108" s="39"/>
      <c r="C108" s="38"/>
      <c r="D108" s="37" t="s">
        <v>510</v>
      </c>
      <c r="E108" s="36" t="s">
        <v>509</v>
      </c>
      <c r="F108" s="35" t="s">
        <v>521</v>
      </c>
      <c r="G108" s="34">
        <v>17.600000000000001</v>
      </c>
      <c r="H108" s="34"/>
      <c r="I108" s="33">
        <v>8.6999999999999993</v>
      </c>
      <c r="J108" s="30"/>
      <c r="K108" s="29"/>
      <c r="L108" s="28"/>
      <c r="M108" s="27"/>
      <c r="N108" s="26"/>
      <c r="O108" s="39"/>
      <c r="P108" s="38"/>
      <c r="Q108" s="37" t="s">
        <v>510</v>
      </c>
      <c r="R108" s="36" t="s">
        <v>509</v>
      </c>
      <c r="S108" s="35" t="s">
        <v>521</v>
      </c>
      <c r="T108" s="34">
        <v>17.5</v>
      </c>
      <c r="U108" s="34"/>
      <c r="V108" s="59">
        <v>9.6999999999999993</v>
      </c>
      <c r="X108" s="26"/>
      <c r="Y108" s="32"/>
      <c r="Z108" s="31"/>
      <c r="AA108" s="27"/>
      <c r="AB108" s="27"/>
      <c r="AC108" s="19"/>
    </row>
    <row r="109" spans="1:29" ht="18.600000000000001" customHeight="1" thickTop="1" x14ac:dyDescent="0.2">
      <c r="A109" s="26"/>
      <c r="B109" s="32" t="s">
        <v>522</v>
      </c>
      <c r="C109" s="31">
        <v>1</v>
      </c>
      <c r="D109" s="58" t="s">
        <v>512</v>
      </c>
      <c r="E109" s="48" t="s">
        <v>509</v>
      </c>
      <c r="F109" s="47" t="s">
        <v>516</v>
      </c>
      <c r="G109" s="57">
        <v>9.8000000000000007</v>
      </c>
      <c r="H109" s="57"/>
      <c r="I109" s="45"/>
      <c r="J109" s="30"/>
      <c r="K109" s="29"/>
      <c r="L109" s="28"/>
      <c r="M109" s="27"/>
      <c r="N109" s="26"/>
      <c r="O109" s="32" t="s">
        <v>522</v>
      </c>
      <c r="P109" s="31">
        <v>1</v>
      </c>
      <c r="Q109" s="58" t="s">
        <v>512</v>
      </c>
      <c r="R109" s="48" t="s">
        <v>509</v>
      </c>
      <c r="S109" s="47" t="s">
        <v>516</v>
      </c>
      <c r="T109" s="57">
        <v>7.5</v>
      </c>
      <c r="U109" s="57"/>
      <c r="X109" s="26"/>
      <c r="Y109" s="32"/>
      <c r="Z109" s="31"/>
      <c r="AA109" s="27"/>
      <c r="AB109" s="27"/>
      <c r="AC109" s="19"/>
    </row>
    <row r="110" spans="1:29" ht="18.600000000000001" customHeight="1" x14ac:dyDescent="0.2">
      <c r="A110" s="26"/>
      <c r="B110" s="56"/>
      <c r="C110" s="40"/>
      <c r="D110" s="44" t="s">
        <v>511</v>
      </c>
      <c r="E110" s="43" t="s">
        <v>509</v>
      </c>
      <c r="F110" s="42" t="s">
        <v>516</v>
      </c>
      <c r="G110" s="41">
        <v>12.3</v>
      </c>
      <c r="H110" s="41"/>
      <c r="I110" s="45"/>
      <c r="J110" s="25"/>
      <c r="K110" s="25"/>
      <c r="L110" s="24"/>
      <c r="M110" s="23"/>
      <c r="N110" s="26"/>
      <c r="O110" s="56"/>
      <c r="P110" s="40"/>
      <c r="Q110" s="44" t="s">
        <v>511</v>
      </c>
      <c r="R110" s="43" t="s">
        <v>509</v>
      </c>
      <c r="S110" s="42" t="s">
        <v>516</v>
      </c>
      <c r="T110" s="41">
        <v>13.3</v>
      </c>
      <c r="U110" s="41"/>
      <c r="X110" s="26"/>
      <c r="Y110" s="56"/>
      <c r="Z110" s="40"/>
      <c r="AA110" s="27"/>
      <c r="AB110" s="27"/>
      <c r="AC110" s="19"/>
    </row>
    <row r="111" spans="1:29" ht="18.600000000000001" customHeight="1" thickBot="1" x14ac:dyDescent="0.25">
      <c r="A111" s="26"/>
      <c r="B111" s="55"/>
      <c r="C111" s="54"/>
      <c r="D111" s="53" t="s">
        <v>510</v>
      </c>
      <c r="E111" s="36" t="s">
        <v>509</v>
      </c>
      <c r="F111" s="35" t="s">
        <v>516</v>
      </c>
      <c r="G111" s="52">
        <v>14.2</v>
      </c>
      <c r="H111" s="52"/>
      <c r="I111" s="45"/>
      <c r="J111" s="25"/>
      <c r="K111" s="25"/>
      <c r="L111" s="24"/>
      <c r="M111" s="23"/>
      <c r="N111" s="26"/>
      <c r="O111" s="55"/>
      <c r="P111" s="54"/>
      <c r="Q111" s="53" t="s">
        <v>510</v>
      </c>
      <c r="R111" s="36" t="s">
        <v>509</v>
      </c>
      <c r="S111" s="35" t="s">
        <v>516</v>
      </c>
      <c r="T111" s="52">
        <v>14.1</v>
      </c>
      <c r="U111" s="52"/>
      <c r="X111" s="26"/>
      <c r="Y111" s="32"/>
      <c r="Z111" s="31"/>
      <c r="AA111" s="27"/>
      <c r="AB111" s="27"/>
      <c r="AC111" s="19"/>
    </row>
    <row r="112" spans="1:29" ht="18.600000000000001" customHeight="1" x14ac:dyDescent="0.2">
      <c r="A112" s="26"/>
      <c r="B112" s="51" t="s">
        <v>522</v>
      </c>
      <c r="C112" s="50">
        <v>2</v>
      </c>
      <c r="D112" s="49" t="s">
        <v>512</v>
      </c>
      <c r="E112" s="48" t="s">
        <v>509</v>
      </c>
      <c r="F112" s="47" t="s">
        <v>520</v>
      </c>
      <c r="G112" s="46">
        <v>22.8</v>
      </c>
      <c r="H112" s="46"/>
      <c r="I112" s="45"/>
      <c r="J112" s="25"/>
      <c r="K112" s="25"/>
      <c r="L112" s="24"/>
      <c r="M112" s="23"/>
      <c r="N112" s="26"/>
      <c r="O112" s="51" t="s">
        <v>522</v>
      </c>
      <c r="P112" s="50">
        <v>2</v>
      </c>
      <c r="Q112" s="49" t="s">
        <v>512</v>
      </c>
      <c r="R112" s="48" t="s">
        <v>509</v>
      </c>
      <c r="S112" s="47" t="s">
        <v>520</v>
      </c>
      <c r="T112" s="46">
        <v>25.3</v>
      </c>
      <c r="U112" s="46"/>
      <c r="X112" s="26"/>
      <c r="Y112" s="32"/>
      <c r="Z112" s="31"/>
      <c r="AA112" s="27"/>
      <c r="AB112" s="27"/>
      <c r="AC112" s="19"/>
    </row>
    <row r="113" spans="1:29" ht="18.600000000000001" customHeight="1" x14ac:dyDescent="0.2">
      <c r="A113" s="26"/>
      <c r="B113" s="32"/>
      <c r="C113" s="40"/>
      <c r="D113" s="44" t="s">
        <v>511</v>
      </c>
      <c r="E113" s="43" t="s">
        <v>509</v>
      </c>
      <c r="F113" s="42" t="s">
        <v>520</v>
      </c>
      <c r="G113" s="41">
        <v>19.899999999999999</v>
      </c>
      <c r="H113" s="41"/>
      <c r="I113" s="45"/>
      <c r="J113" s="25"/>
      <c r="K113" s="25"/>
      <c r="L113" s="24"/>
      <c r="M113" s="23"/>
      <c r="N113" s="26"/>
      <c r="O113" s="32"/>
      <c r="P113" s="40"/>
      <c r="Q113" s="44" t="s">
        <v>511</v>
      </c>
      <c r="R113" s="43" t="s">
        <v>509</v>
      </c>
      <c r="S113" s="42" t="s">
        <v>520</v>
      </c>
      <c r="T113" s="41">
        <v>21.9</v>
      </c>
      <c r="U113" s="41"/>
      <c r="X113" s="26"/>
      <c r="Y113" s="32"/>
      <c r="Z113" s="40"/>
      <c r="AA113" s="27"/>
      <c r="AB113" s="27"/>
      <c r="AC113" s="19"/>
    </row>
    <row r="114" spans="1:29" ht="18.600000000000001" customHeight="1" thickBot="1" x14ac:dyDescent="0.25">
      <c r="A114" s="26"/>
      <c r="B114" s="55"/>
      <c r="C114" s="54"/>
      <c r="D114" s="53" t="s">
        <v>510</v>
      </c>
      <c r="E114" s="36" t="s">
        <v>509</v>
      </c>
      <c r="F114" s="35" t="s">
        <v>520</v>
      </c>
      <c r="G114" s="52">
        <v>24</v>
      </c>
      <c r="H114" s="52"/>
      <c r="I114" s="45"/>
      <c r="J114" s="25"/>
      <c r="K114" s="25"/>
      <c r="L114" s="24"/>
      <c r="M114" s="23"/>
      <c r="N114" s="26"/>
      <c r="O114" s="55"/>
      <c r="P114" s="54"/>
      <c r="Q114" s="53" t="s">
        <v>510</v>
      </c>
      <c r="R114" s="36" t="s">
        <v>509</v>
      </c>
      <c r="S114" s="35" t="s">
        <v>520</v>
      </c>
      <c r="T114" s="52">
        <v>22.6</v>
      </c>
      <c r="U114" s="52"/>
      <c r="X114" s="26"/>
      <c r="Y114" s="32"/>
      <c r="Z114" s="31"/>
      <c r="AA114" s="27"/>
      <c r="AB114" s="27"/>
      <c r="AC114" s="19"/>
    </row>
    <row r="115" spans="1:29" ht="18.600000000000001" customHeight="1" x14ac:dyDescent="0.2">
      <c r="A115" s="26"/>
      <c r="B115" s="51" t="s">
        <v>522</v>
      </c>
      <c r="C115" s="50">
        <v>3</v>
      </c>
      <c r="D115" s="49" t="s">
        <v>512</v>
      </c>
      <c r="E115" s="48" t="s">
        <v>509</v>
      </c>
      <c r="F115" s="47" t="s">
        <v>521</v>
      </c>
      <c r="G115" s="46">
        <v>20.7</v>
      </c>
      <c r="H115" s="46"/>
      <c r="I115" s="45"/>
      <c r="J115" s="25"/>
      <c r="K115" s="25"/>
      <c r="L115" s="24"/>
      <c r="M115" s="23"/>
      <c r="N115" s="26"/>
      <c r="O115" s="51" t="s">
        <v>522</v>
      </c>
      <c r="P115" s="50">
        <v>3</v>
      </c>
      <c r="Q115" s="49" t="s">
        <v>512</v>
      </c>
      <c r="R115" s="48" t="s">
        <v>509</v>
      </c>
      <c r="S115" s="47" t="s">
        <v>521</v>
      </c>
      <c r="T115" s="46">
        <v>21.2</v>
      </c>
      <c r="U115" s="46"/>
      <c r="X115" s="26"/>
      <c r="Y115" s="32"/>
      <c r="Z115" s="31"/>
      <c r="AA115" s="27"/>
      <c r="AB115" s="27"/>
      <c r="AC115" s="19"/>
    </row>
    <row r="116" spans="1:29" ht="18.600000000000001" customHeight="1" x14ac:dyDescent="0.2">
      <c r="A116" s="26"/>
      <c r="B116" s="32"/>
      <c r="C116" s="40"/>
      <c r="D116" s="44" t="s">
        <v>511</v>
      </c>
      <c r="E116" s="43" t="s">
        <v>509</v>
      </c>
      <c r="F116" s="42" t="s">
        <v>521</v>
      </c>
      <c r="G116" s="41">
        <v>18.100000000000001</v>
      </c>
      <c r="H116" s="41"/>
      <c r="I116" s="45"/>
      <c r="J116" s="25"/>
      <c r="K116" s="25"/>
      <c r="L116" s="24"/>
      <c r="M116" s="23"/>
      <c r="N116" s="26"/>
      <c r="O116" s="32"/>
      <c r="P116" s="40"/>
      <c r="Q116" s="44" t="s">
        <v>511</v>
      </c>
      <c r="R116" s="43" t="s">
        <v>509</v>
      </c>
      <c r="S116" s="42" t="s">
        <v>521</v>
      </c>
      <c r="T116" s="41">
        <v>21.9</v>
      </c>
      <c r="U116" s="41"/>
      <c r="X116" s="26"/>
      <c r="Y116" s="32"/>
      <c r="Z116" s="40"/>
      <c r="AA116" s="27"/>
      <c r="AB116" s="27"/>
      <c r="AC116" s="19"/>
    </row>
    <row r="117" spans="1:29" ht="18.600000000000001" customHeight="1" thickBot="1" x14ac:dyDescent="0.25">
      <c r="A117" s="26"/>
      <c r="B117" s="55"/>
      <c r="C117" s="54"/>
      <c r="D117" s="53" t="s">
        <v>510</v>
      </c>
      <c r="E117" s="36" t="s">
        <v>509</v>
      </c>
      <c r="F117" s="35" t="s">
        <v>521</v>
      </c>
      <c r="G117" s="52">
        <v>19.3</v>
      </c>
      <c r="H117" s="52"/>
      <c r="I117" s="45"/>
      <c r="J117" s="25"/>
      <c r="K117" s="25"/>
      <c r="L117" s="24"/>
      <c r="M117" s="23"/>
      <c r="N117" s="26"/>
      <c r="O117" s="55"/>
      <c r="P117" s="54"/>
      <c r="Q117" s="53" t="s">
        <v>510</v>
      </c>
      <c r="R117" s="36" t="s">
        <v>509</v>
      </c>
      <c r="S117" s="35" t="s">
        <v>521</v>
      </c>
      <c r="T117" s="52">
        <v>21.1</v>
      </c>
      <c r="U117" s="52"/>
      <c r="X117" s="26"/>
      <c r="Y117" s="32"/>
      <c r="Z117" s="31"/>
      <c r="AA117" s="27"/>
      <c r="AB117" s="27"/>
      <c r="AC117" s="19"/>
    </row>
    <row r="118" spans="1:29" ht="18.600000000000001" customHeight="1" x14ac:dyDescent="0.2">
      <c r="A118" s="26"/>
      <c r="B118" s="51" t="s">
        <v>522</v>
      </c>
      <c r="C118" s="50">
        <v>4</v>
      </c>
      <c r="D118" s="49" t="s">
        <v>512</v>
      </c>
      <c r="E118" s="48" t="s">
        <v>509</v>
      </c>
      <c r="F118" s="47" t="s">
        <v>508</v>
      </c>
      <c r="G118" s="46">
        <v>15.9</v>
      </c>
      <c r="H118" s="46"/>
      <c r="I118" s="45"/>
      <c r="J118" s="25"/>
      <c r="K118" s="25"/>
      <c r="L118" s="24"/>
      <c r="M118" s="23"/>
      <c r="N118" s="26"/>
      <c r="O118" s="51" t="s">
        <v>522</v>
      </c>
      <c r="P118" s="50">
        <v>4</v>
      </c>
      <c r="Q118" s="49" t="s">
        <v>512</v>
      </c>
      <c r="R118" s="48" t="s">
        <v>509</v>
      </c>
      <c r="S118" s="47" t="s">
        <v>508</v>
      </c>
      <c r="T118" s="46">
        <v>17</v>
      </c>
      <c r="U118" s="46"/>
      <c r="X118" s="26"/>
      <c r="Y118" s="32"/>
      <c r="Z118" s="31"/>
      <c r="AA118" s="27"/>
      <c r="AB118" s="27"/>
      <c r="AC118" s="19"/>
    </row>
    <row r="119" spans="1:29" ht="18.600000000000001" customHeight="1" x14ac:dyDescent="0.2">
      <c r="A119" s="26"/>
      <c r="B119" s="32"/>
      <c r="C119" s="40"/>
      <c r="D119" s="44" t="s">
        <v>511</v>
      </c>
      <c r="E119" s="43" t="s">
        <v>509</v>
      </c>
      <c r="F119" s="42" t="s">
        <v>508</v>
      </c>
      <c r="G119" s="41">
        <v>13.1</v>
      </c>
      <c r="H119" s="41"/>
      <c r="I119" s="45"/>
      <c r="J119" s="25"/>
      <c r="K119" s="25"/>
      <c r="L119" s="24"/>
      <c r="M119" s="23"/>
      <c r="N119" s="26"/>
      <c r="O119" s="32"/>
      <c r="P119" s="40"/>
      <c r="Q119" s="44" t="s">
        <v>511</v>
      </c>
      <c r="R119" s="43" t="s">
        <v>509</v>
      </c>
      <c r="S119" s="42" t="s">
        <v>508</v>
      </c>
      <c r="T119" s="41">
        <v>12.5</v>
      </c>
      <c r="U119" s="41"/>
      <c r="X119" s="26"/>
      <c r="Y119" s="32"/>
      <c r="Z119" s="40"/>
      <c r="AA119" s="27"/>
      <c r="AB119" s="27"/>
      <c r="AC119" s="19"/>
    </row>
    <row r="120" spans="1:29" ht="18.600000000000001" customHeight="1" thickBot="1" x14ac:dyDescent="0.25">
      <c r="A120" s="26"/>
      <c r="B120" s="39"/>
      <c r="C120" s="38"/>
      <c r="D120" s="37" t="s">
        <v>510</v>
      </c>
      <c r="E120" s="36" t="s">
        <v>509</v>
      </c>
      <c r="F120" s="35" t="s">
        <v>508</v>
      </c>
      <c r="G120" s="34">
        <v>17.100000000000001</v>
      </c>
      <c r="H120" s="34"/>
      <c r="I120" s="33">
        <v>7.7</v>
      </c>
      <c r="J120" s="25"/>
      <c r="K120" s="25"/>
      <c r="L120" s="24"/>
      <c r="M120" s="23"/>
      <c r="N120" s="26"/>
      <c r="O120" s="39"/>
      <c r="P120" s="38"/>
      <c r="Q120" s="37" t="s">
        <v>510</v>
      </c>
      <c r="R120" s="36" t="s">
        <v>509</v>
      </c>
      <c r="S120" s="35" t="s">
        <v>508</v>
      </c>
      <c r="T120" s="34">
        <v>15</v>
      </c>
      <c r="U120" s="34"/>
      <c r="V120" s="59">
        <v>7.9</v>
      </c>
      <c r="X120" s="26"/>
      <c r="Y120" s="32"/>
      <c r="Z120" s="31"/>
      <c r="AA120" s="27"/>
      <c r="AB120" s="27"/>
      <c r="AC120" s="19"/>
    </row>
    <row r="121" spans="1:29" ht="18.600000000000001" customHeight="1" thickTop="1" x14ac:dyDescent="0.2">
      <c r="A121" s="26"/>
      <c r="B121" s="32" t="s">
        <v>519</v>
      </c>
      <c r="C121" s="31">
        <v>1</v>
      </c>
      <c r="D121" s="58" t="s">
        <v>512</v>
      </c>
      <c r="E121" s="62" t="s">
        <v>517</v>
      </c>
      <c r="F121" s="47" t="s">
        <v>508</v>
      </c>
      <c r="G121" s="57">
        <v>13.1</v>
      </c>
      <c r="H121" s="57"/>
      <c r="I121" s="45"/>
      <c r="J121" s="25"/>
      <c r="K121" s="25"/>
      <c r="L121" s="24"/>
      <c r="M121" s="23"/>
      <c r="N121" s="26"/>
      <c r="O121" s="32" t="s">
        <v>519</v>
      </c>
      <c r="P121" s="31">
        <v>1</v>
      </c>
      <c r="Q121" s="58" t="s">
        <v>512</v>
      </c>
      <c r="R121" s="62" t="s">
        <v>517</v>
      </c>
      <c r="S121" s="47" t="s">
        <v>508</v>
      </c>
      <c r="T121" s="57">
        <v>18</v>
      </c>
      <c r="U121" s="57"/>
      <c r="X121" s="26"/>
      <c r="Y121" s="32"/>
      <c r="Z121" s="31"/>
      <c r="AA121" s="27"/>
      <c r="AB121" s="27"/>
      <c r="AC121" s="19"/>
    </row>
    <row r="122" spans="1:29" ht="18.600000000000001" customHeight="1" x14ac:dyDescent="0.2">
      <c r="A122" s="26"/>
      <c r="B122" s="56"/>
      <c r="C122" s="40"/>
      <c r="D122" s="44" t="s">
        <v>511</v>
      </c>
      <c r="E122" s="61" t="s">
        <v>517</v>
      </c>
      <c r="F122" s="42" t="s">
        <v>508</v>
      </c>
      <c r="G122" s="41">
        <v>20</v>
      </c>
      <c r="H122" s="41"/>
      <c r="I122" s="45"/>
      <c r="J122" s="25"/>
      <c r="K122" s="25"/>
      <c r="L122" s="24"/>
      <c r="M122" s="23"/>
      <c r="N122" s="26"/>
      <c r="O122" s="56"/>
      <c r="P122" s="40"/>
      <c r="Q122" s="44" t="s">
        <v>511</v>
      </c>
      <c r="R122" s="61" t="s">
        <v>517</v>
      </c>
      <c r="S122" s="42" t="s">
        <v>508</v>
      </c>
      <c r="T122" s="41">
        <v>18</v>
      </c>
      <c r="U122" s="41"/>
      <c r="X122" s="26"/>
      <c r="Y122" s="56"/>
      <c r="Z122" s="40"/>
      <c r="AA122" s="27"/>
      <c r="AB122" s="27"/>
      <c r="AC122" s="19"/>
    </row>
    <row r="123" spans="1:29" ht="18.600000000000001" customHeight="1" thickBot="1" x14ac:dyDescent="0.25">
      <c r="A123" s="26"/>
      <c r="B123" s="55"/>
      <c r="C123" s="54"/>
      <c r="D123" s="53" t="s">
        <v>510</v>
      </c>
      <c r="E123" s="60" t="s">
        <v>517</v>
      </c>
      <c r="F123" s="35" t="s">
        <v>508</v>
      </c>
      <c r="G123" s="52">
        <v>14.9</v>
      </c>
      <c r="H123" s="52"/>
      <c r="I123" s="45"/>
      <c r="J123" s="25"/>
      <c r="K123" s="25"/>
      <c r="L123" s="24"/>
      <c r="M123" s="23"/>
      <c r="N123" s="26"/>
      <c r="O123" s="55"/>
      <c r="P123" s="54"/>
      <c r="Q123" s="53" t="s">
        <v>510</v>
      </c>
      <c r="R123" s="60" t="s">
        <v>517</v>
      </c>
      <c r="S123" s="35" t="s">
        <v>508</v>
      </c>
      <c r="T123" s="52">
        <v>19.3</v>
      </c>
      <c r="U123" s="52"/>
      <c r="X123" s="26"/>
      <c r="Y123" s="32"/>
      <c r="Z123" s="31"/>
      <c r="AA123" s="27"/>
      <c r="AB123" s="27"/>
      <c r="AC123" s="19"/>
    </row>
    <row r="124" spans="1:29" ht="18.600000000000001" customHeight="1" x14ac:dyDescent="0.2">
      <c r="A124" s="26"/>
      <c r="B124" s="51" t="s">
        <v>519</v>
      </c>
      <c r="C124" s="50">
        <v>2</v>
      </c>
      <c r="D124" s="49" t="s">
        <v>512</v>
      </c>
      <c r="E124" s="62" t="s">
        <v>517</v>
      </c>
      <c r="F124" s="47" t="s">
        <v>521</v>
      </c>
      <c r="G124" s="46">
        <v>25.4</v>
      </c>
      <c r="H124" s="46"/>
      <c r="I124" s="45"/>
      <c r="J124" s="25"/>
      <c r="K124" s="25"/>
      <c r="L124" s="24"/>
      <c r="M124" s="23"/>
      <c r="N124" s="26"/>
      <c r="O124" s="51" t="s">
        <v>519</v>
      </c>
      <c r="P124" s="50">
        <v>2</v>
      </c>
      <c r="Q124" s="49" t="s">
        <v>512</v>
      </c>
      <c r="R124" s="62" t="s">
        <v>517</v>
      </c>
      <c r="S124" s="47" t="s">
        <v>521</v>
      </c>
      <c r="T124" s="46">
        <v>26.5</v>
      </c>
      <c r="U124" s="46"/>
      <c r="X124" s="26"/>
      <c r="Y124" s="32"/>
      <c r="Z124" s="31"/>
      <c r="AA124" s="27"/>
      <c r="AB124" s="27"/>
      <c r="AC124" s="19"/>
    </row>
    <row r="125" spans="1:29" ht="18.600000000000001" customHeight="1" x14ac:dyDescent="0.2">
      <c r="A125" s="26"/>
      <c r="B125" s="32"/>
      <c r="C125" s="40"/>
      <c r="D125" s="44" t="s">
        <v>511</v>
      </c>
      <c r="E125" s="61" t="s">
        <v>517</v>
      </c>
      <c r="F125" s="42" t="s">
        <v>521</v>
      </c>
      <c r="G125" s="41">
        <v>24.5</v>
      </c>
      <c r="H125" s="41"/>
      <c r="I125" s="45"/>
      <c r="J125" s="25"/>
      <c r="K125" s="25"/>
      <c r="L125" s="24"/>
      <c r="M125" s="23"/>
      <c r="N125" s="26"/>
      <c r="O125" s="32"/>
      <c r="P125" s="40"/>
      <c r="Q125" s="44" t="s">
        <v>511</v>
      </c>
      <c r="R125" s="61" t="s">
        <v>517</v>
      </c>
      <c r="S125" s="42" t="s">
        <v>521</v>
      </c>
      <c r="T125" s="41">
        <v>27.3</v>
      </c>
      <c r="U125" s="41"/>
      <c r="X125" s="26"/>
      <c r="Y125" s="32"/>
      <c r="Z125" s="40"/>
      <c r="AA125" s="27"/>
      <c r="AB125" s="27"/>
      <c r="AC125" s="19"/>
    </row>
    <row r="126" spans="1:29" ht="18.600000000000001" customHeight="1" thickBot="1" x14ac:dyDescent="0.25">
      <c r="A126" s="26"/>
      <c r="B126" s="55"/>
      <c r="C126" s="54"/>
      <c r="D126" s="53" t="s">
        <v>510</v>
      </c>
      <c r="E126" s="60" t="s">
        <v>517</v>
      </c>
      <c r="F126" s="35" t="s">
        <v>521</v>
      </c>
      <c r="G126" s="52">
        <v>24.5</v>
      </c>
      <c r="H126" s="52"/>
      <c r="I126" s="45"/>
      <c r="J126" s="25"/>
      <c r="K126" s="25"/>
      <c r="L126" s="24"/>
      <c r="M126" s="23"/>
      <c r="N126" s="26"/>
      <c r="O126" s="55"/>
      <c r="P126" s="54"/>
      <c r="Q126" s="53" t="s">
        <v>510</v>
      </c>
      <c r="R126" s="60" t="s">
        <v>517</v>
      </c>
      <c r="S126" s="35" t="s">
        <v>521</v>
      </c>
      <c r="T126" s="52">
        <v>26.3</v>
      </c>
      <c r="U126" s="52"/>
      <c r="X126" s="26"/>
      <c r="Y126" s="32"/>
      <c r="Z126" s="31"/>
      <c r="AA126" s="27"/>
      <c r="AB126" s="27"/>
      <c r="AC126" s="19"/>
    </row>
    <row r="127" spans="1:29" ht="18.600000000000001" customHeight="1" x14ac:dyDescent="0.2">
      <c r="A127" s="26"/>
      <c r="B127" s="51" t="s">
        <v>519</v>
      </c>
      <c r="C127" s="50">
        <v>3</v>
      </c>
      <c r="D127" s="49" t="s">
        <v>512</v>
      </c>
      <c r="E127" s="62" t="s">
        <v>517</v>
      </c>
      <c r="F127" s="47" t="s">
        <v>520</v>
      </c>
      <c r="G127" s="46">
        <v>23.2</v>
      </c>
      <c r="H127" s="46"/>
      <c r="I127" s="45"/>
      <c r="J127" s="25"/>
      <c r="K127" s="25"/>
      <c r="L127" s="24"/>
      <c r="M127" s="23"/>
      <c r="N127" s="26"/>
      <c r="O127" s="51" t="s">
        <v>519</v>
      </c>
      <c r="P127" s="50">
        <v>3</v>
      </c>
      <c r="Q127" s="49" t="s">
        <v>512</v>
      </c>
      <c r="R127" s="62" t="s">
        <v>517</v>
      </c>
      <c r="S127" s="47" t="s">
        <v>520</v>
      </c>
      <c r="T127" s="46">
        <v>24</v>
      </c>
      <c r="U127" s="46"/>
      <c r="X127" s="26"/>
      <c r="Y127" s="32"/>
      <c r="Z127" s="31"/>
      <c r="AA127" s="27"/>
      <c r="AB127" s="27"/>
      <c r="AC127" s="19"/>
    </row>
    <row r="128" spans="1:29" ht="18.600000000000001" customHeight="1" x14ac:dyDescent="0.2">
      <c r="A128" s="26"/>
      <c r="B128" s="32"/>
      <c r="C128" s="40"/>
      <c r="D128" s="44" t="s">
        <v>511</v>
      </c>
      <c r="E128" s="61" t="s">
        <v>517</v>
      </c>
      <c r="F128" s="42" t="s">
        <v>520</v>
      </c>
      <c r="G128" s="41">
        <v>23.8</v>
      </c>
      <c r="H128" s="41"/>
      <c r="I128" s="45"/>
      <c r="J128" s="25"/>
      <c r="K128" s="25"/>
      <c r="L128" s="24"/>
      <c r="M128" s="23"/>
      <c r="N128" s="26"/>
      <c r="O128" s="32"/>
      <c r="P128" s="40"/>
      <c r="Q128" s="44" t="s">
        <v>511</v>
      </c>
      <c r="R128" s="61" t="s">
        <v>517</v>
      </c>
      <c r="S128" s="42" t="s">
        <v>520</v>
      </c>
      <c r="T128" s="41">
        <v>21.1</v>
      </c>
      <c r="U128" s="41"/>
      <c r="X128" s="26"/>
      <c r="Y128" s="32"/>
      <c r="Z128" s="40"/>
      <c r="AA128" s="27"/>
      <c r="AB128" s="27"/>
      <c r="AC128" s="19"/>
    </row>
    <row r="129" spans="1:29" ht="18.600000000000001" customHeight="1" thickBot="1" x14ac:dyDescent="0.25">
      <c r="A129" s="26"/>
      <c r="B129" s="55"/>
      <c r="C129" s="54"/>
      <c r="D129" s="53" t="s">
        <v>510</v>
      </c>
      <c r="E129" s="60" t="s">
        <v>517</v>
      </c>
      <c r="F129" s="35" t="s">
        <v>520</v>
      </c>
      <c r="G129" s="52">
        <v>20</v>
      </c>
      <c r="H129" s="52"/>
      <c r="I129" s="45"/>
      <c r="J129" s="25"/>
      <c r="K129" s="25"/>
      <c r="L129" s="24"/>
      <c r="M129" s="23"/>
      <c r="N129" s="26"/>
      <c r="O129" s="55"/>
      <c r="P129" s="54"/>
      <c r="Q129" s="53" t="s">
        <v>510</v>
      </c>
      <c r="R129" s="60" t="s">
        <v>517</v>
      </c>
      <c r="S129" s="35" t="s">
        <v>520</v>
      </c>
      <c r="T129" s="52">
        <v>22.4</v>
      </c>
      <c r="U129" s="52"/>
      <c r="X129" s="26"/>
      <c r="Y129" s="32"/>
      <c r="Z129" s="31"/>
      <c r="AA129" s="27"/>
      <c r="AB129" s="27"/>
      <c r="AC129" s="19"/>
    </row>
    <row r="130" spans="1:29" ht="18.600000000000001" customHeight="1" x14ac:dyDescent="0.2">
      <c r="A130" s="26"/>
      <c r="B130" s="51" t="s">
        <v>519</v>
      </c>
      <c r="C130" s="50">
        <v>4</v>
      </c>
      <c r="D130" s="49" t="s">
        <v>512</v>
      </c>
      <c r="E130" s="62" t="s">
        <v>517</v>
      </c>
      <c r="F130" s="47" t="s">
        <v>516</v>
      </c>
      <c r="G130" s="46">
        <v>26.3</v>
      </c>
      <c r="H130" s="46"/>
      <c r="I130" s="45"/>
      <c r="J130" s="25"/>
      <c r="K130" s="25"/>
      <c r="L130" s="24"/>
      <c r="M130" s="23"/>
      <c r="N130" s="26"/>
      <c r="O130" s="51" t="s">
        <v>519</v>
      </c>
      <c r="P130" s="50">
        <v>4</v>
      </c>
      <c r="Q130" s="49" t="s">
        <v>512</v>
      </c>
      <c r="R130" s="62" t="s">
        <v>517</v>
      </c>
      <c r="S130" s="47" t="s">
        <v>516</v>
      </c>
      <c r="T130" s="46">
        <v>26.5</v>
      </c>
      <c r="U130" s="46"/>
      <c r="X130" s="26"/>
      <c r="Y130" s="32"/>
      <c r="Z130" s="31"/>
      <c r="AA130" s="27"/>
      <c r="AB130" s="27"/>
      <c r="AC130" s="19"/>
    </row>
    <row r="131" spans="1:29" ht="18.600000000000001" customHeight="1" x14ac:dyDescent="0.2">
      <c r="A131" s="26"/>
      <c r="B131" s="32"/>
      <c r="C131" s="40"/>
      <c r="D131" s="44" t="s">
        <v>511</v>
      </c>
      <c r="E131" s="61" t="s">
        <v>517</v>
      </c>
      <c r="F131" s="42" t="s">
        <v>516</v>
      </c>
      <c r="G131" s="41">
        <v>19.2</v>
      </c>
      <c r="H131" s="41"/>
      <c r="I131" s="45"/>
      <c r="J131" s="25"/>
      <c r="K131" s="25"/>
      <c r="L131" s="24"/>
      <c r="M131" s="23"/>
      <c r="N131" s="26"/>
      <c r="O131" s="32"/>
      <c r="P131" s="40"/>
      <c r="Q131" s="44" t="s">
        <v>511</v>
      </c>
      <c r="R131" s="61" t="s">
        <v>517</v>
      </c>
      <c r="S131" s="42" t="s">
        <v>516</v>
      </c>
      <c r="T131" s="41">
        <v>21.7</v>
      </c>
      <c r="U131" s="41"/>
      <c r="X131" s="26"/>
      <c r="Y131" s="32"/>
      <c r="Z131" s="40"/>
      <c r="AA131" s="27"/>
      <c r="AB131" s="27"/>
      <c r="AC131" s="19"/>
    </row>
    <row r="132" spans="1:29" ht="18.600000000000001" customHeight="1" thickBot="1" x14ac:dyDescent="0.25">
      <c r="A132" s="26"/>
      <c r="B132" s="39"/>
      <c r="C132" s="38"/>
      <c r="D132" s="37" t="s">
        <v>510</v>
      </c>
      <c r="E132" s="60" t="s">
        <v>517</v>
      </c>
      <c r="F132" s="35" t="s">
        <v>516</v>
      </c>
      <c r="G132" s="34">
        <v>15.9</v>
      </c>
      <c r="H132" s="34"/>
      <c r="I132" s="33">
        <v>14</v>
      </c>
      <c r="J132" s="25"/>
      <c r="K132" s="25"/>
      <c r="L132" s="24"/>
      <c r="M132" s="23"/>
      <c r="N132" s="26"/>
      <c r="O132" s="39"/>
      <c r="P132" s="38"/>
      <c r="Q132" s="37" t="s">
        <v>510</v>
      </c>
      <c r="R132" s="60" t="s">
        <v>517</v>
      </c>
      <c r="S132" s="35" t="s">
        <v>516</v>
      </c>
      <c r="T132" s="34">
        <v>20.7</v>
      </c>
      <c r="U132" s="34"/>
      <c r="V132" s="59">
        <v>20.3</v>
      </c>
      <c r="X132" s="26"/>
      <c r="Y132" s="32"/>
      <c r="Z132" s="31"/>
      <c r="AA132" s="27"/>
      <c r="AB132" s="27"/>
      <c r="AC132" s="19"/>
    </row>
    <row r="133" spans="1:29" ht="18.600000000000001" customHeight="1" thickTop="1" x14ac:dyDescent="0.2">
      <c r="A133" s="26"/>
      <c r="B133" s="32" t="s">
        <v>518</v>
      </c>
      <c r="C133" s="31">
        <v>1</v>
      </c>
      <c r="D133" s="58" t="s">
        <v>512</v>
      </c>
      <c r="E133" s="62" t="s">
        <v>517</v>
      </c>
      <c r="F133" s="47" t="s">
        <v>508</v>
      </c>
      <c r="G133" s="57">
        <v>25.5</v>
      </c>
      <c r="H133" s="57"/>
      <c r="I133" s="45"/>
      <c r="J133" s="25"/>
      <c r="K133" s="25"/>
      <c r="L133" s="24"/>
      <c r="M133" s="23"/>
      <c r="N133" s="26"/>
      <c r="O133" s="32" t="s">
        <v>518</v>
      </c>
      <c r="P133" s="31">
        <v>1</v>
      </c>
      <c r="Q133" s="58" t="s">
        <v>512</v>
      </c>
      <c r="R133" s="62" t="s">
        <v>517</v>
      </c>
      <c r="S133" s="47" t="s">
        <v>508</v>
      </c>
      <c r="T133" s="57">
        <v>19.899999999999999</v>
      </c>
      <c r="U133" s="57"/>
      <c r="X133" s="26"/>
      <c r="Y133" s="32"/>
      <c r="Z133" s="31"/>
      <c r="AA133" s="27"/>
      <c r="AB133" s="27"/>
      <c r="AC133" s="19"/>
    </row>
    <row r="134" spans="1:29" ht="18.600000000000001" customHeight="1" x14ac:dyDescent="0.2">
      <c r="A134" s="26"/>
      <c r="B134" s="56"/>
      <c r="C134" s="40"/>
      <c r="D134" s="44" t="s">
        <v>511</v>
      </c>
      <c r="E134" s="61" t="s">
        <v>517</v>
      </c>
      <c r="F134" s="42" t="s">
        <v>508</v>
      </c>
      <c r="G134" s="41">
        <v>26.5</v>
      </c>
      <c r="H134" s="41"/>
      <c r="I134" s="45"/>
      <c r="J134" s="30"/>
      <c r="K134" s="29"/>
      <c r="L134" s="28"/>
      <c r="M134" s="27"/>
      <c r="N134" s="26"/>
      <c r="O134" s="56"/>
      <c r="P134" s="40"/>
      <c r="Q134" s="44" t="s">
        <v>511</v>
      </c>
      <c r="R134" s="61" t="s">
        <v>517</v>
      </c>
      <c r="S134" s="42" t="s">
        <v>508</v>
      </c>
      <c r="T134" s="41">
        <v>18.899999999999999</v>
      </c>
      <c r="U134" s="41"/>
      <c r="X134" s="26"/>
      <c r="Y134" s="56"/>
      <c r="Z134" s="40"/>
      <c r="AA134" s="27"/>
      <c r="AB134" s="27"/>
      <c r="AC134" s="19"/>
    </row>
    <row r="135" spans="1:29" ht="18.600000000000001" customHeight="1" thickBot="1" x14ac:dyDescent="0.25">
      <c r="A135" s="26"/>
      <c r="B135" s="55"/>
      <c r="C135" s="54"/>
      <c r="D135" s="53" t="s">
        <v>510</v>
      </c>
      <c r="E135" s="60" t="s">
        <v>517</v>
      </c>
      <c r="F135" s="35" t="s">
        <v>508</v>
      </c>
      <c r="G135" s="52">
        <v>24.6</v>
      </c>
      <c r="H135" s="52"/>
      <c r="I135" s="45"/>
      <c r="J135" s="30"/>
      <c r="K135" s="29"/>
      <c r="L135" s="28"/>
      <c r="M135" s="27"/>
      <c r="N135" s="26"/>
      <c r="O135" s="55"/>
      <c r="P135" s="54"/>
      <c r="Q135" s="53" t="s">
        <v>510</v>
      </c>
      <c r="R135" s="60" t="s">
        <v>517</v>
      </c>
      <c r="S135" s="35" t="s">
        <v>508</v>
      </c>
      <c r="T135" s="52">
        <v>20.2</v>
      </c>
      <c r="U135" s="52"/>
      <c r="X135" s="26"/>
      <c r="Y135" s="32"/>
      <c r="Z135" s="31"/>
      <c r="AA135" s="27"/>
      <c r="AB135" s="27"/>
      <c r="AC135" s="19"/>
    </row>
    <row r="136" spans="1:29" ht="18.600000000000001" customHeight="1" x14ac:dyDescent="0.2">
      <c r="A136" s="26"/>
      <c r="B136" s="51" t="s">
        <v>518</v>
      </c>
      <c r="C136" s="50">
        <v>2</v>
      </c>
      <c r="D136" s="49" t="s">
        <v>512</v>
      </c>
      <c r="E136" s="62" t="s">
        <v>517</v>
      </c>
      <c r="F136" s="47" t="s">
        <v>514</v>
      </c>
      <c r="G136" s="46">
        <v>21.5</v>
      </c>
      <c r="H136" s="46"/>
      <c r="I136" s="45"/>
      <c r="J136" s="30"/>
      <c r="K136" s="29"/>
      <c r="L136" s="28"/>
      <c r="M136" s="27"/>
      <c r="N136" s="26"/>
      <c r="O136" s="51" t="s">
        <v>518</v>
      </c>
      <c r="P136" s="50">
        <v>2</v>
      </c>
      <c r="Q136" s="49" t="s">
        <v>512</v>
      </c>
      <c r="R136" s="62" t="s">
        <v>517</v>
      </c>
      <c r="S136" s="47" t="s">
        <v>514</v>
      </c>
      <c r="T136" s="46">
        <v>22.1</v>
      </c>
      <c r="U136" s="46"/>
      <c r="X136" s="26"/>
      <c r="Y136" s="32"/>
      <c r="Z136" s="31"/>
      <c r="AA136" s="27"/>
      <c r="AB136" s="27"/>
      <c r="AC136" s="19"/>
    </row>
    <row r="137" spans="1:29" ht="18.600000000000001" customHeight="1" x14ac:dyDescent="0.2">
      <c r="A137" s="26"/>
      <c r="B137" s="32"/>
      <c r="C137" s="40"/>
      <c r="D137" s="44" t="s">
        <v>511</v>
      </c>
      <c r="E137" s="61" t="s">
        <v>517</v>
      </c>
      <c r="F137" s="42" t="s">
        <v>514</v>
      </c>
      <c r="G137" s="41">
        <v>18.5</v>
      </c>
      <c r="H137" s="41"/>
      <c r="I137" s="45"/>
      <c r="J137" s="30"/>
      <c r="K137" s="29"/>
      <c r="L137" s="28"/>
      <c r="M137" s="27"/>
      <c r="N137" s="26"/>
      <c r="O137" s="32"/>
      <c r="P137" s="40"/>
      <c r="Q137" s="44" t="s">
        <v>511</v>
      </c>
      <c r="R137" s="61" t="s">
        <v>517</v>
      </c>
      <c r="S137" s="42" t="s">
        <v>514</v>
      </c>
      <c r="T137" s="41">
        <v>20.5</v>
      </c>
      <c r="U137" s="41"/>
      <c r="X137" s="26"/>
      <c r="Y137" s="32"/>
      <c r="Z137" s="40"/>
      <c r="AA137" s="27"/>
      <c r="AB137" s="27"/>
      <c r="AC137" s="19"/>
    </row>
    <row r="138" spans="1:29" ht="18.600000000000001" customHeight="1" thickBot="1" x14ac:dyDescent="0.25">
      <c r="A138" s="26"/>
      <c r="B138" s="55"/>
      <c r="C138" s="54"/>
      <c r="D138" s="53" t="s">
        <v>510</v>
      </c>
      <c r="E138" s="60" t="s">
        <v>517</v>
      </c>
      <c r="F138" s="35" t="s">
        <v>514</v>
      </c>
      <c r="G138" s="52">
        <v>16.399999999999999</v>
      </c>
      <c r="H138" s="52"/>
      <c r="I138" s="45"/>
      <c r="J138" s="30"/>
      <c r="K138" s="29"/>
      <c r="L138" s="28"/>
      <c r="M138" s="27"/>
      <c r="N138" s="26"/>
      <c r="O138" s="55"/>
      <c r="P138" s="54"/>
      <c r="Q138" s="53" t="s">
        <v>510</v>
      </c>
      <c r="R138" s="60" t="s">
        <v>517</v>
      </c>
      <c r="S138" s="35" t="s">
        <v>514</v>
      </c>
      <c r="T138" s="52">
        <v>15.1</v>
      </c>
      <c r="U138" s="52"/>
      <c r="X138" s="26"/>
      <c r="Y138" s="32"/>
      <c r="Z138" s="31"/>
      <c r="AA138" s="27"/>
      <c r="AB138" s="27"/>
      <c r="AC138" s="19"/>
    </row>
    <row r="139" spans="1:29" ht="18.600000000000001" customHeight="1" x14ac:dyDescent="0.2">
      <c r="A139" s="26"/>
      <c r="B139" s="51" t="s">
        <v>518</v>
      </c>
      <c r="C139" s="50">
        <v>3</v>
      </c>
      <c r="D139" s="49" t="s">
        <v>512</v>
      </c>
      <c r="E139" s="62" t="s">
        <v>517</v>
      </c>
      <c r="F139" s="47" t="s">
        <v>515</v>
      </c>
      <c r="G139" s="46">
        <v>27.6</v>
      </c>
      <c r="H139" s="46"/>
      <c r="I139" s="45"/>
      <c r="J139" s="30"/>
      <c r="K139" s="29"/>
      <c r="L139" s="28"/>
      <c r="M139" s="27"/>
      <c r="N139" s="26"/>
      <c r="O139" s="51" t="s">
        <v>518</v>
      </c>
      <c r="P139" s="50">
        <v>3</v>
      </c>
      <c r="Q139" s="49" t="s">
        <v>512</v>
      </c>
      <c r="R139" s="62" t="s">
        <v>517</v>
      </c>
      <c r="S139" s="47" t="s">
        <v>515</v>
      </c>
      <c r="T139" s="46">
        <v>19.600000000000001</v>
      </c>
      <c r="U139" s="46"/>
      <c r="X139" s="26"/>
      <c r="Y139" s="32"/>
      <c r="Z139" s="31"/>
      <c r="AA139" s="27"/>
      <c r="AB139" s="27"/>
      <c r="AC139" s="19"/>
    </row>
    <row r="140" spans="1:29" ht="18.600000000000001" customHeight="1" x14ac:dyDescent="0.2">
      <c r="A140" s="26"/>
      <c r="B140" s="32"/>
      <c r="C140" s="40"/>
      <c r="D140" s="44" t="s">
        <v>511</v>
      </c>
      <c r="E140" s="61" t="s">
        <v>517</v>
      </c>
      <c r="F140" s="42" t="s">
        <v>515</v>
      </c>
      <c r="G140" s="41">
        <v>24.3</v>
      </c>
      <c r="H140" s="41"/>
      <c r="I140" s="45"/>
      <c r="J140" s="30"/>
      <c r="K140" s="29"/>
      <c r="L140" s="28"/>
      <c r="M140" s="27"/>
      <c r="N140" s="26"/>
      <c r="O140" s="32"/>
      <c r="P140" s="40"/>
      <c r="Q140" s="44" t="s">
        <v>511</v>
      </c>
      <c r="R140" s="61" t="s">
        <v>517</v>
      </c>
      <c r="S140" s="42" t="s">
        <v>515</v>
      </c>
      <c r="T140" s="41">
        <v>21.5</v>
      </c>
      <c r="U140" s="41"/>
      <c r="X140" s="26"/>
      <c r="Y140" s="32"/>
      <c r="Z140" s="40"/>
      <c r="AA140" s="27"/>
      <c r="AB140" s="27"/>
      <c r="AC140" s="19"/>
    </row>
    <row r="141" spans="1:29" ht="18.600000000000001" customHeight="1" thickBot="1" x14ac:dyDescent="0.25">
      <c r="A141" s="26"/>
      <c r="B141" s="55"/>
      <c r="C141" s="54"/>
      <c r="D141" s="53" t="s">
        <v>510</v>
      </c>
      <c r="E141" s="60" t="s">
        <v>517</v>
      </c>
      <c r="F141" s="35" t="s">
        <v>515</v>
      </c>
      <c r="G141" s="52">
        <v>35.1</v>
      </c>
      <c r="H141" s="52"/>
      <c r="I141" s="45"/>
      <c r="J141" s="30"/>
      <c r="K141" s="29"/>
      <c r="L141" s="28"/>
      <c r="M141" s="27"/>
      <c r="N141" s="26"/>
      <c r="O141" s="55"/>
      <c r="P141" s="54"/>
      <c r="Q141" s="53" t="s">
        <v>510</v>
      </c>
      <c r="R141" s="60" t="s">
        <v>517</v>
      </c>
      <c r="S141" s="35" t="s">
        <v>515</v>
      </c>
      <c r="T141" s="52">
        <v>21</v>
      </c>
      <c r="U141" s="52"/>
      <c r="X141" s="26"/>
      <c r="Y141" s="32"/>
      <c r="Z141" s="31"/>
      <c r="AA141" s="27"/>
      <c r="AB141" s="27"/>
      <c r="AC141" s="19"/>
    </row>
    <row r="142" spans="1:29" ht="18.600000000000001" customHeight="1" x14ac:dyDescent="0.2">
      <c r="A142" s="26"/>
      <c r="B142" s="51" t="s">
        <v>518</v>
      </c>
      <c r="C142" s="50">
        <v>4</v>
      </c>
      <c r="D142" s="49" t="s">
        <v>512</v>
      </c>
      <c r="E142" s="62" t="s">
        <v>517</v>
      </c>
      <c r="F142" s="47" t="s">
        <v>516</v>
      </c>
      <c r="G142" s="46">
        <v>19.7</v>
      </c>
      <c r="H142" s="46"/>
      <c r="I142" s="45"/>
      <c r="J142" s="30"/>
      <c r="K142" s="29"/>
      <c r="L142" s="28"/>
      <c r="M142" s="27"/>
      <c r="N142" s="26"/>
      <c r="O142" s="51" t="s">
        <v>518</v>
      </c>
      <c r="P142" s="50">
        <v>4</v>
      </c>
      <c r="Q142" s="49" t="s">
        <v>512</v>
      </c>
      <c r="R142" s="62" t="s">
        <v>517</v>
      </c>
      <c r="S142" s="47" t="s">
        <v>516</v>
      </c>
      <c r="T142" s="46">
        <v>16.899999999999999</v>
      </c>
      <c r="U142" s="46"/>
      <c r="X142" s="26"/>
      <c r="Y142" s="32"/>
      <c r="Z142" s="31"/>
      <c r="AA142" s="27"/>
      <c r="AB142" s="27"/>
      <c r="AC142" s="19"/>
    </row>
    <row r="143" spans="1:29" ht="18.600000000000001" customHeight="1" x14ac:dyDescent="0.2">
      <c r="A143" s="26"/>
      <c r="B143" s="32"/>
      <c r="C143" s="40"/>
      <c r="D143" s="44" t="s">
        <v>511</v>
      </c>
      <c r="E143" s="61" t="s">
        <v>517</v>
      </c>
      <c r="F143" s="42" t="s">
        <v>516</v>
      </c>
      <c r="G143" s="41">
        <v>14.5</v>
      </c>
      <c r="H143" s="41"/>
      <c r="I143" s="45"/>
      <c r="J143" s="30"/>
      <c r="K143" s="29"/>
      <c r="L143" s="28"/>
      <c r="M143" s="27"/>
      <c r="N143" s="26"/>
      <c r="O143" s="32"/>
      <c r="P143" s="40"/>
      <c r="Q143" s="44" t="s">
        <v>511</v>
      </c>
      <c r="R143" s="61" t="s">
        <v>517</v>
      </c>
      <c r="S143" s="42" t="s">
        <v>516</v>
      </c>
      <c r="T143" s="41">
        <v>13.3</v>
      </c>
      <c r="U143" s="41"/>
      <c r="X143" s="26"/>
      <c r="Y143" s="32"/>
      <c r="Z143" s="40"/>
      <c r="AA143" s="27"/>
      <c r="AB143" s="27"/>
      <c r="AC143" s="19"/>
    </row>
    <row r="144" spans="1:29" ht="18.600000000000001" customHeight="1" thickBot="1" x14ac:dyDescent="0.25">
      <c r="A144" s="26"/>
      <c r="B144" s="39"/>
      <c r="C144" s="38"/>
      <c r="D144" s="37" t="s">
        <v>510</v>
      </c>
      <c r="E144" s="60" t="s">
        <v>517</v>
      </c>
      <c r="F144" s="35" t="s">
        <v>516</v>
      </c>
      <c r="G144" s="34">
        <v>18.2</v>
      </c>
      <c r="H144" s="34"/>
      <c r="I144" s="33">
        <v>16.100000000000001</v>
      </c>
      <c r="J144" s="30"/>
      <c r="K144" s="29"/>
      <c r="L144" s="28"/>
      <c r="M144" s="27"/>
      <c r="N144" s="26"/>
      <c r="O144" s="39"/>
      <c r="P144" s="38"/>
      <c r="Q144" s="37" t="s">
        <v>510</v>
      </c>
      <c r="R144" s="60" t="s">
        <v>517</v>
      </c>
      <c r="S144" s="35" t="s">
        <v>516</v>
      </c>
      <c r="T144" s="34">
        <v>12.9</v>
      </c>
      <c r="U144" s="34"/>
      <c r="V144" s="59">
        <v>15.3</v>
      </c>
      <c r="X144" s="26"/>
      <c r="Y144" s="32"/>
      <c r="Z144" s="31"/>
      <c r="AA144" s="27"/>
      <c r="AB144" s="27"/>
      <c r="AC144" s="19"/>
    </row>
    <row r="145" spans="1:29" ht="18.600000000000001" customHeight="1" thickTop="1" x14ac:dyDescent="0.2">
      <c r="A145" s="26"/>
      <c r="B145" s="32" t="s">
        <v>513</v>
      </c>
      <c r="C145" s="31">
        <v>1</v>
      </c>
      <c r="D145" s="58" t="s">
        <v>512</v>
      </c>
      <c r="E145" s="48" t="s">
        <v>509</v>
      </c>
      <c r="F145" s="47" t="s">
        <v>516</v>
      </c>
      <c r="G145" s="57">
        <v>19.7</v>
      </c>
      <c r="H145" s="57"/>
      <c r="I145" s="45"/>
      <c r="J145" s="30"/>
      <c r="K145" s="29"/>
      <c r="L145" s="28"/>
      <c r="M145" s="27"/>
      <c r="N145" s="26"/>
      <c r="O145" s="32" t="s">
        <v>513</v>
      </c>
      <c r="P145" s="31">
        <v>1</v>
      </c>
      <c r="Q145" s="58" t="s">
        <v>512</v>
      </c>
      <c r="R145" s="48" t="s">
        <v>509</v>
      </c>
      <c r="S145" s="47" t="s">
        <v>516</v>
      </c>
      <c r="T145" s="57">
        <v>23</v>
      </c>
      <c r="U145" s="57"/>
      <c r="X145" s="26"/>
      <c r="Y145" s="32"/>
      <c r="Z145" s="31"/>
      <c r="AA145" s="27"/>
      <c r="AB145" s="27"/>
      <c r="AC145" s="19"/>
    </row>
    <row r="146" spans="1:29" ht="18.600000000000001" customHeight="1" x14ac:dyDescent="0.2">
      <c r="A146" s="26"/>
      <c r="B146" s="56"/>
      <c r="C146" s="40"/>
      <c r="D146" s="44" t="s">
        <v>511</v>
      </c>
      <c r="E146" s="43" t="s">
        <v>509</v>
      </c>
      <c r="F146" s="42" t="s">
        <v>516</v>
      </c>
      <c r="G146" s="41">
        <v>17.2</v>
      </c>
      <c r="H146" s="41"/>
      <c r="I146" s="45"/>
      <c r="J146" s="30"/>
      <c r="K146" s="29"/>
      <c r="L146" s="28"/>
      <c r="M146" s="27"/>
      <c r="N146" s="26"/>
      <c r="O146" s="56"/>
      <c r="P146" s="40"/>
      <c r="Q146" s="44" t="s">
        <v>511</v>
      </c>
      <c r="R146" s="43" t="s">
        <v>509</v>
      </c>
      <c r="S146" s="42" t="s">
        <v>516</v>
      </c>
      <c r="T146" s="41">
        <v>20.7</v>
      </c>
      <c r="U146" s="41"/>
      <c r="X146" s="26"/>
      <c r="Y146" s="56"/>
      <c r="Z146" s="40"/>
      <c r="AA146" s="27"/>
      <c r="AB146" s="27"/>
      <c r="AC146" s="19"/>
    </row>
    <row r="147" spans="1:29" ht="18.600000000000001" customHeight="1" thickBot="1" x14ac:dyDescent="0.25">
      <c r="A147" s="26"/>
      <c r="B147" s="55"/>
      <c r="C147" s="54"/>
      <c r="D147" s="53" t="s">
        <v>510</v>
      </c>
      <c r="E147" s="36" t="s">
        <v>509</v>
      </c>
      <c r="F147" s="35" t="s">
        <v>516</v>
      </c>
      <c r="G147" s="52">
        <v>16.600000000000001</v>
      </c>
      <c r="H147" s="52"/>
      <c r="I147" s="45"/>
      <c r="J147" s="30"/>
      <c r="K147" s="29"/>
      <c r="L147" s="28"/>
      <c r="M147" s="27"/>
      <c r="N147" s="26"/>
      <c r="O147" s="55"/>
      <c r="P147" s="54"/>
      <c r="Q147" s="53" t="s">
        <v>510</v>
      </c>
      <c r="R147" s="36" t="s">
        <v>509</v>
      </c>
      <c r="S147" s="35" t="s">
        <v>516</v>
      </c>
      <c r="T147" s="52">
        <v>19.600000000000001</v>
      </c>
      <c r="U147" s="52"/>
      <c r="X147" s="26"/>
      <c r="Y147" s="32"/>
      <c r="Z147" s="31"/>
      <c r="AA147" s="27"/>
      <c r="AB147" s="27"/>
      <c r="AC147" s="19"/>
    </row>
    <row r="148" spans="1:29" ht="18.600000000000001" customHeight="1" x14ac:dyDescent="0.2">
      <c r="A148" s="26"/>
      <c r="B148" s="51" t="s">
        <v>513</v>
      </c>
      <c r="C148" s="50">
        <v>2</v>
      </c>
      <c r="D148" s="49" t="s">
        <v>512</v>
      </c>
      <c r="E148" s="48" t="s">
        <v>509</v>
      </c>
      <c r="F148" s="47" t="s">
        <v>515</v>
      </c>
      <c r="G148" s="46">
        <v>16.2</v>
      </c>
      <c r="H148" s="46"/>
      <c r="I148" s="45"/>
      <c r="J148" s="30"/>
      <c r="K148" s="29"/>
      <c r="L148" s="28"/>
      <c r="M148" s="27"/>
      <c r="N148" s="26"/>
      <c r="O148" s="51" t="s">
        <v>513</v>
      </c>
      <c r="P148" s="50">
        <v>2</v>
      </c>
      <c r="Q148" s="49" t="s">
        <v>512</v>
      </c>
      <c r="R148" s="48" t="s">
        <v>509</v>
      </c>
      <c r="S148" s="47" t="s">
        <v>515</v>
      </c>
      <c r="T148" s="46">
        <v>18.3</v>
      </c>
      <c r="U148" s="46"/>
      <c r="X148" s="26"/>
      <c r="Y148" s="32"/>
      <c r="Z148" s="31"/>
      <c r="AA148" s="27"/>
      <c r="AB148" s="27"/>
      <c r="AC148" s="19"/>
    </row>
    <row r="149" spans="1:29" ht="18.600000000000001" customHeight="1" x14ac:dyDescent="0.2">
      <c r="A149" s="26"/>
      <c r="B149" s="32"/>
      <c r="C149" s="40"/>
      <c r="D149" s="44" t="s">
        <v>511</v>
      </c>
      <c r="E149" s="43" t="s">
        <v>509</v>
      </c>
      <c r="F149" s="42" t="s">
        <v>515</v>
      </c>
      <c r="G149" s="41">
        <v>20.7</v>
      </c>
      <c r="H149" s="41"/>
      <c r="I149" s="45"/>
      <c r="J149" s="30"/>
      <c r="K149" s="29"/>
      <c r="L149" s="28"/>
      <c r="M149" s="27"/>
      <c r="N149" s="26"/>
      <c r="O149" s="32"/>
      <c r="P149" s="40"/>
      <c r="Q149" s="44" t="s">
        <v>511</v>
      </c>
      <c r="R149" s="43" t="s">
        <v>509</v>
      </c>
      <c r="S149" s="42" t="s">
        <v>515</v>
      </c>
      <c r="T149" s="41">
        <v>22.1</v>
      </c>
      <c r="U149" s="41"/>
      <c r="X149" s="26"/>
      <c r="Y149" s="32"/>
      <c r="Z149" s="40"/>
      <c r="AA149" s="27"/>
      <c r="AB149" s="27"/>
      <c r="AC149" s="19"/>
    </row>
    <row r="150" spans="1:29" ht="18.600000000000001" customHeight="1" thickBot="1" x14ac:dyDescent="0.25">
      <c r="A150" s="26"/>
      <c r="B150" s="55"/>
      <c r="C150" s="54"/>
      <c r="D150" s="53" t="s">
        <v>510</v>
      </c>
      <c r="E150" s="36" t="s">
        <v>509</v>
      </c>
      <c r="F150" s="35" t="s">
        <v>515</v>
      </c>
      <c r="G150" s="52">
        <v>17.600000000000001</v>
      </c>
      <c r="H150" s="52"/>
      <c r="I150" s="45"/>
      <c r="J150" s="30"/>
      <c r="K150" s="29"/>
      <c r="L150" s="28"/>
      <c r="M150" s="27"/>
      <c r="N150" s="26"/>
      <c r="O150" s="55"/>
      <c r="P150" s="54"/>
      <c r="Q150" s="53" t="s">
        <v>510</v>
      </c>
      <c r="R150" s="36" t="s">
        <v>509</v>
      </c>
      <c r="S150" s="35" t="s">
        <v>515</v>
      </c>
      <c r="T150" s="52">
        <v>17.2</v>
      </c>
      <c r="U150" s="52"/>
      <c r="X150" s="26"/>
      <c r="Y150" s="32"/>
      <c r="Z150" s="31"/>
      <c r="AA150" s="27"/>
      <c r="AB150" s="27"/>
      <c r="AC150" s="19"/>
    </row>
    <row r="151" spans="1:29" ht="18.600000000000001" customHeight="1" x14ac:dyDescent="0.2">
      <c r="A151" s="26"/>
      <c r="B151" s="51" t="s">
        <v>513</v>
      </c>
      <c r="C151" s="50">
        <v>3</v>
      </c>
      <c r="D151" s="49" t="s">
        <v>512</v>
      </c>
      <c r="E151" s="48" t="s">
        <v>509</v>
      </c>
      <c r="F151" s="47" t="s">
        <v>514</v>
      </c>
      <c r="G151" s="46">
        <v>22.7</v>
      </c>
      <c r="H151" s="46"/>
      <c r="I151" s="45"/>
      <c r="J151" s="30"/>
      <c r="K151" s="29"/>
      <c r="L151" s="28"/>
      <c r="M151" s="27"/>
      <c r="N151" s="26"/>
      <c r="O151" s="51" t="s">
        <v>513</v>
      </c>
      <c r="P151" s="50">
        <v>3</v>
      </c>
      <c r="Q151" s="49" t="s">
        <v>512</v>
      </c>
      <c r="R151" s="48" t="s">
        <v>509</v>
      </c>
      <c r="S151" s="47" t="s">
        <v>514</v>
      </c>
      <c r="T151" s="46">
        <v>28.9</v>
      </c>
      <c r="U151" s="46"/>
      <c r="X151" s="26"/>
      <c r="Y151" s="32"/>
      <c r="Z151" s="31"/>
      <c r="AA151" s="27"/>
      <c r="AB151" s="27"/>
      <c r="AC151" s="19"/>
    </row>
    <row r="152" spans="1:29" ht="18.600000000000001" customHeight="1" x14ac:dyDescent="0.2">
      <c r="A152" s="26"/>
      <c r="B152" s="32"/>
      <c r="C152" s="40"/>
      <c r="D152" s="44" t="s">
        <v>511</v>
      </c>
      <c r="E152" s="43" t="s">
        <v>509</v>
      </c>
      <c r="F152" s="42" t="s">
        <v>514</v>
      </c>
      <c r="G152" s="41">
        <v>24.9</v>
      </c>
      <c r="H152" s="41"/>
      <c r="I152" s="45"/>
      <c r="J152" s="30"/>
      <c r="K152" s="29"/>
      <c r="L152" s="28"/>
      <c r="M152" s="27"/>
      <c r="N152" s="26"/>
      <c r="O152" s="32"/>
      <c r="P152" s="40"/>
      <c r="Q152" s="44" t="s">
        <v>511</v>
      </c>
      <c r="R152" s="43" t="s">
        <v>509</v>
      </c>
      <c r="S152" s="42" t="s">
        <v>514</v>
      </c>
      <c r="T152" s="41">
        <v>17.5</v>
      </c>
      <c r="U152" s="41"/>
      <c r="X152" s="26"/>
      <c r="Y152" s="32"/>
      <c r="Z152" s="40"/>
      <c r="AA152" s="27"/>
      <c r="AB152" s="27"/>
      <c r="AC152" s="19"/>
    </row>
    <row r="153" spans="1:29" ht="18.600000000000001" customHeight="1" thickBot="1" x14ac:dyDescent="0.25">
      <c r="A153" s="26"/>
      <c r="B153" s="55"/>
      <c r="C153" s="54"/>
      <c r="D153" s="53" t="s">
        <v>510</v>
      </c>
      <c r="E153" s="36" t="s">
        <v>509</v>
      </c>
      <c r="F153" s="35" t="s">
        <v>514</v>
      </c>
      <c r="G153" s="52">
        <v>21.3</v>
      </c>
      <c r="H153" s="52"/>
      <c r="I153" s="45"/>
      <c r="J153" s="30"/>
      <c r="K153" s="29"/>
      <c r="L153" s="28"/>
      <c r="M153" s="27"/>
      <c r="N153" s="26"/>
      <c r="O153" s="55"/>
      <c r="P153" s="54"/>
      <c r="Q153" s="53" t="s">
        <v>510</v>
      </c>
      <c r="R153" s="36" t="s">
        <v>509</v>
      </c>
      <c r="S153" s="35" t="s">
        <v>514</v>
      </c>
      <c r="T153" s="52">
        <v>17.399999999999999</v>
      </c>
      <c r="U153" s="52"/>
      <c r="X153" s="26"/>
      <c r="Y153" s="32"/>
      <c r="Z153" s="31"/>
      <c r="AA153" s="27"/>
      <c r="AB153" s="27"/>
      <c r="AC153" s="19"/>
    </row>
    <row r="154" spans="1:29" ht="18.600000000000001" customHeight="1" x14ac:dyDescent="0.2">
      <c r="A154" s="26"/>
      <c r="B154" s="51" t="s">
        <v>513</v>
      </c>
      <c r="C154" s="50">
        <v>4</v>
      </c>
      <c r="D154" s="49" t="s">
        <v>512</v>
      </c>
      <c r="E154" s="48" t="s">
        <v>509</v>
      </c>
      <c r="F154" s="47" t="s">
        <v>508</v>
      </c>
      <c r="G154" s="46">
        <v>21.4</v>
      </c>
      <c r="H154" s="46"/>
      <c r="I154" s="45"/>
      <c r="J154" s="30"/>
      <c r="K154" s="29"/>
      <c r="L154" s="28"/>
      <c r="M154" s="27"/>
      <c r="N154" s="26"/>
      <c r="O154" s="51" t="s">
        <v>513</v>
      </c>
      <c r="P154" s="50">
        <v>4</v>
      </c>
      <c r="Q154" s="49" t="s">
        <v>512</v>
      </c>
      <c r="R154" s="48" t="s">
        <v>509</v>
      </c>
      <c r="S154" s="47" t="s">
        <v>508</v>
      </c>
      <c r="T154" s="46">
        <v>21.5</v>
      </c>
      <c r="U154" s="46"/>
      <c r="X154" s="26"/>
      <c r="Y154" s="32"/>
      <c r="Z154" s="31"/>
      <c r="AA154" s="27"/>
      <c r="AB154" s="27"/>
      <c r="AC154" s="19"/>
    </row>
    <row r="155" spans="1:29" ht="18.600000000000001" customHeight="1" x14ac:dyDescent="0.2">
      <c r="A155" s="26"/>
      <c r="B155" s="32"/>
      <c r="C155" s="40"/>
      <c r="D155" s="44" t="s">
        <v>511</v>
      </c>
      <c r="E155" s="43" t="s">
        <v>509</v>
      </c>
      <c r="F155" s="42" t="s">
        <v>508</v>
      </c>
      <c r="G155" s="41">
        <v>19.100000000000001</v>
      </c>
      <c r="H155" s="41"/>
      <c r="I155" s="45"/>
      <c r="J155" s="30"/>
      <c r="K155" s="29"/>
      <c r="L155" s="28"/>
      <c r="M155" s="27"/>
      <c r="N155" s="26"/>
      <c r="O155" s="32"/>
      <c r="P155" s="40"/>
      <c r="Q155" s="44" t="s">
        <v>511</v>
      </c>
      <c r="R155" s="43" t="s">
        <v>509</v>
      </c>
      <c r="S155" s="42" t="s">
        <v>508</v>
      </c>
      <c r="T155" s="41">
        <v>19.100000000000001</v>
      </c>
      <c r="U155" s="41"/>
      <c r="X155" s="26"/>
      <c r="Y155" s="32"/>
      <c r="Z155" s="40"/>
      <c r="AA155" s="27"/>
      <c r="AB155" s="27"/>
      <c r="AC155" s="19"/>
    </row>
    <row r="156" spans="1:29" ht="18.600000000000001" customHeight="1" thickBot="1" x14ac:dyDescent="0.25">
      <c r="A156" s="26"/>
      <c r="B156" s="39"/>
      <c r="C156" s="38"/>
      <c r="D156" s="37" t="s">
        <v>510</v>
      </c>
      <c r="E156" s="36" t="s">
        <v>509</v>
      </c>
      <c r="F156" s="35" t="s">
        <v>508</v>
      </c>
      <c r="G156" s="34">
        <v>22.2</v>
      </c>
      <c r="H156" s="34"/>
      <c r="I156" s="33">
        <v>11.8</v>
      </c>
      <c r="J156" s="30"/>
      <c r="K156" s="29"/>
      <c r="L156" s="28"/>
      <c r="M156" s="27"/>
      <c r="N156" s="26"/>
      <c r="O156" s="39"/>
      <c r="P156" s="38"/>
      <c r="Q156" s="37" t="s">
        <v>510</v>
      </c>
      <c r="R156" s="36" t="s">
        <v>509</v>
      </c>
      <c r="S156" s="35" t="s">
        <v>508</v>
      </c>
      <c r="T156" s="34">
        <v>20.7</v>
      </c>
      <c r="U156" s="34"/>
      <c r="V156" s="33">
        <v>9</v>
      </c>
      <c r="X156" s="26"/>
      <c r="Y156" s="32"/>
      <c r="Z156" s="31"/>
      <c r="AA156" s="27"/>
      <c r="AB156" s="27"/>
      <c r="AC156" s="19"/>
    </row>
    <row r="157" spans="1:29" ht="16.5" thickTop="1" x14ac:dyDescent="0.2">
      <c r="A157" s="26"/>
      <c r="J157" s="30"/>
      <c r="K157" s="29"/>
      <c r="L157" s="28"/>
      <c r="M157" s="27"/>
    </row>
    <row r="158" spans="1:29" x14ac:dyDescent="0.2">
      <c r="A158" s="26"/>
      <c r="J158" s="25"/>
      <c r="K158" s="25"/>
      <c r="L158" s="24"/>
      <c r="M158" s="23"/>
    </row>
    <row r="159" spans="1:29" x14ac:dyDescent="0.2">
      <c r="A159" s="26"/>
      <c r="J159" s="25"/>
      <c r="K159" s="25"/>
      <c r="L159" s="24"/>
      <c r="M159" s="23"/>
    </row>
    <row r="160" spans="1:29" x14ac:dyDescent="0.2">
      <c r="A160" s="26"/>
      <c r="J160" s="25"/>
      <c r="K160" s="25"/>
      <c r="L160" s="24"/>
      <c r="M160" s="23"/>
    </row>
    <row r="161" spans="1:13" x14ac:dyDescent="0.2">
      <c r="A161" s="26"/>
      <c r="J161" s="25"/>
      <c r="K161" s="25"/>
      <c r="L161" s="24"/>
      <c r="M161" s="23"/>
    </row>
    <row r="162" spans="1:13" x14ac:dyDescent="0.2">
      <c r="A162" s="26"/>
      <c r="J162" s="25"/>
      <c r="K162" s="25"/>
      <c r="L162" s="24"/>
      <c r="M162" s="23"/>
    </row>
    <row r="163" spans="1:13" x14ac:dyDescent="0.2">
      <c r="A163" s="26"/>
      <c r="J163" s="25"/>
      <c r="K163" s="25"/>
      <c r="L163" s="24"/>
      <c r="M163" s="23"/>
    </row>
    <row r="164" spans="1:13" x14ac:dyDescent="0.2">
      <c r="A164" s="26"/>
      <c r="J164" s="25"/>
      <c r="K164" s="25"/>
      <c r="L164" s="24"/>
      <c r="M164" s="23"/>
    </row>
    <row r="165" spans="1:13" x14ac:dyDescent="0.2">
      <c r="A165" s="26"/>
      <c r="J165" s="25"/>
      <c r="K165" s="25"/>
      <c r="L165" s="24"/>
      <c r="M165" s="23"/>
    </row>
    <row r="166" spans="1:13" x14ac:dyDescent="0.2">
      <c r="A166" s="26"/>
      <c r="J166" s="25"/>
      <c r="K166" s="25"/>
      <c r="L166" s="24"/>
      <c r="M166" s="23"/>
    </row>
    <row r="167" spans="1:13" x14ac:dyDescent="0.2">
      <c r="A167" s="26"/>
      <c r="J167" s="25"/>
      <c r="K167" s="25"/>
      <c r="L167" s="24"/>
      <c r="M167" s="23"/>
    </row>
    <row r="168" spans="1:13" x14ac:dyDescent="0.2">
      <c r="A168" s="26"/>
      <c r="J168" s="25"/>
      <c r="K168" s="25"/>
      <c r="L168" s="24"/>
      <c r="M168" s="23"/>
    </row>
    <row r="169" spans="1:13" x14ac:dyDescent="0.2">
      <c r="A169" s="26"/>
      <c r="J169" s="25"/>
      <c r="K169" s="25"/>
      <c r="L169" s="24"/>
      <c r="M169" s="23"/>
    </row>
    <row r="170" spans="1:13" x14ac:dyDescent="0.2">
      <c r="A170" s="26"/>
      <c r="J170" s="25"/>
      <c r="K170" s="25"/>
      <c r="L170" s="24"/>
      <c r="M170" s="23"/>
    </row>
    <row r="171" spans="1:13" x14ac:dyDescent="0.2">
      <c r="A171" s="26"/>
      <c r="J171" s="25"/>
      <c r="K171" s="25"/>
      <c r="L171" s="24"/>
      <c r="M171" s="23"/>
    </row>
    <row r="172" spans="1:13" x14ac:dyDescent="0.2">
      <c r="A172" s="26"/>
      <c r="J172" s="25"/>
      <c r="K172" s="25"/>
      <c r="L172" s="24"/>
      <c r="M172" s="23"/>
    </row>
    <row r="173" spans="1:13" x14ac:dyDescent="0.2">
      <c r="A173" s="26"/>
      <c r="J173" s="25"/>
      <c r="K173" s="25"/>
      <c r="L173" s="24"/>
      <c r="M173" s="23"/>
    </row>
    <row r="174" spans="1:13" x14ac:dyDescent="0.2">
      <c r="A174" s="26"/>
      <c r="J174" s="25"/>
      <c r="K174" s="25"/>
      <c r="L174" s="24"/>
      <c r="M174" s="23"/>
    </row>
    <row r="175" spans="1:13" x14ac:dyDescent="0.2">
      <c r="A175" s="26"/>
      <c r="J175" s="25"/>
      <c r="K175" s="25"/>
      <c r="L175" s="24"/>
      <c r="M175" s="23"/>
    </row>
    <row r="176" spans="1:13" x14ac:dyDescent="0.2">
      <c r="A176" s="26"/>
      <c r="J176" s="25"/>
      <c r="K176" s="25"/>
      <c r="L176" s="24"/>
      <c r="M176" s="23"/>
    </row>
    <row r="177" spans="1:13" x14ac:dyDescent="0.2">
      <c r="A177" s="26"/>
      <c r="J177" s="25"/>
      <c r="K177" s="25"/>
      <c r="L177" s="24"/>
      <c r="M177" s="23"/>
    </row>
    <row r="178" spans="1:13" x14ac:dyDescent="0.2">
      <c r="A178" s="26"/>
      <c r="J178" s="25"/>
      <c r="K178" s="25"/>
      <c r="L178" s="24"/>
      <c r="M178" s="23"/>
    </row>
    <row r="179" spans="1:13" x14ac:dyDescent="0.2">
      <c r="A179" s="26"/>
      <c r="J179" s="25"/>
      <c r="K179" s="25"/>
      <c r="L179" s="24"/>
      <c r="M179" s="23"/>
    </row>
    <row r="180" spans="1:13" x14ac:dyDescent="0.2">
      <c r="A180" s="26"/>
      <c r="J180" s="25"/>
      <c r="K180" s="25"/>
      <c r="L180" s="24"/>
      <c r="M180" s="23"/>
    </row>
    <row r="181" spans="1:13" x14ac:dyDescent="0.2">
      <c r="A181" s="26"/>
      <c r="J181" s="25"/>
      <c r="K181" s="25"/>
      <c r="L181" s="24"/>
      <c r="M181" s="23"/>
    </row>
    <row r="182" spans="1:13" x14ac:dyDescent="0.2">
      <c r="A182" s="26"/>
      <c r="J182" s="25"/>
      <c r="K182" s="25"/>
      <c r="L182" s="24"/>
      <c r="M182" s="23"/>
    </row>
    <row r="183" spans="1:13" x14ac:dyDescent="0.2">
      <c r="A183" s="26"/>
      <c r="J183" s="25"/>
      <c r="K183" s="25"/>
      <c r="L183" s="24"/>
      <c r="M183" s="23"/>
    </row>
    <row r="184" spans="1:13" x14ac:dyDescent="0.2">
      <c r="A184" s="26"/>
      <c r="J184" s="25"/>
      <c r="K184" s="25"/>
      <c r="L184" s="24"/>
      <c r="M184" s="23"/>
    </row>
    <row r="185" spans="1:13" x14ac:dyDescent="0.2">
      <c r="A185" s="26"/>
      <c r="J185" s="25"/>
      <c r="K185" s="25"/>
      <c r="L185" s="24"/>
      <c r="M185" s="23"/>
    </row>
    <row r="186" spans="1:13" x14ac:dyDescent="0.2">
      <c r="A186" s="26"/>
      <c r="J186" s="25"/>
      <c r="K186" s="25"/>
      <c r="L186" s="24"/>
      <c r="M186" s="23"/>
    </row>
    <row r="187" spans="1:13" x14ac:dyDescent="0.2">
      <c r="A187" s="26"/>
      <c r="J187" s="25"/>
      <c r="K187" s="25"/>
      <c r="L187" s="24"/>
      <c r="M187" s="23"/>
    </row>
    <row r="188" spans="1:13" x14ac:dyDescent="0.2">
      <c r="A188" s="26"/>
      <c r="J188" s="25"/>
      <c r="K188" s="25"/>
      <c r="L188" s="24"/>
      <c r="M188" s="23"/>
    </row>
    <row r="189" spans="1:13" x14ac:dyDescent="0.2">
      <c r="A189" s="26"/>
      <c r="J189" s="25"/>
      <c r="K189" s="25"/>
      <c r="L189" s="24"/>
      <c r="M189" s="23"/>
    </row>
    <row r="190" spans="1:13" x14ac:dyDescent="0.2">
      <c r="A190" s="26"/>
      <c r="J190" s="25"/>
      <c r="K190" s="25"/>
      <c r="L190" s="24"/>
      <c r="M190" s="23"/>
    </row>
    <row r="191" spans="1:13" x14ac:dyDescent="0.2">
      <c r="A191" s="26"/>
      <c r="J191" s="25"/>
      <c r="K191" s="25"/>
      <c r="L191" s="24"/>
      <c r="M191" s="23"/>
    </row>
    <row r="192" spans="1:13" x14ac:dyDescent="0.2">
      <c r="A192" s="26"/>
      <c r="J192" s="25"/>
      <c r="K192" s="25"/>
      <c r="L192" s="24"/>
      <c r="M192" s="23"/>
    </row>
    <row r="193" spans="1:13" x14ac:dyDescent="0.2">
      <c r="A193" s="26"/>
      <c r="J193" s="25"/>
      <c r="K193" s="25"/>
      <c r="L193" s="24"/>
      <c r="M193" s="23"/>
    </row>
    <row r="194" spans="1:13" x14ac:dyDescent="0.2">
      <c r="A194" s="26"/>
      <c r="J194" s="25"/>
      <c r="K194" s="25"/>
      <c r="L194" s="24"/>
      <c r="M194" s="23"/>
    </row>
    <row r="195" spans="1:13" x14ac:dyDescent="0.2">
      <c r="A195" s="26"/>
      <c r="J195" s="25"/>
      <c r="K195" s="25"/>
      <c r="L195" s="24"/>
      <c r="M195" s="23"/>
    </row>
    <row r="196" spans="1:13" x14ac:dyDescent="0.2">
      <c r="A196" s="26"/>
      <c r="J196" s="25"/>
      <c r="K196" s="25"/>
      <c r="L196" s="24"/>
      <c r="M196" s="23"/>
    </row>
    <row r="197" spans="1:13" x14ac:dyDescent="0.2">
      <c r="A197" s="26"/>
      <c r="J197" s="25"/>
      <c r="K197" s="25"/>
      <c r="L197" s="24"/>
      <c r="M197" s="23"/>
    </row>
    <row r="198" spans="1:13" x14ac:dyDescent="0.2">
      <c r="A198" s="26"/>
      <c r="J198" s="25"/>
      <c r="K198" s="25"/>
      <c r="L198" s="24"/>
      <c r="M198" s="23"/>
    </row>
    <row r="199" spans="1:13" x14ac:dyDescent="0.2">
      <c r="A199" s="26"/>
      <c r="J199" s="25"/>
      <c r="K199" s="25"/>
      <c r="L199" s="24"/>
      <c r="M199" s="23"/>
    </row>
    <row r="200" spans="1:13" x14ac:dyDescent="0.2">
      <c r="A200" s="26"/>
      <c r="J200" s="25"/>
      <c r="K200" s="25"/>
      <c r="L200" s="24"/>
      <c r="M200" s="23"/>
    </row>
    <row r="201" spans="1:13" x14ac:dyDescent="0.2">
      <c r="A201" s="26"/>
      <c r="J201" s="25"/>
      <c r="K201" s="25"/>
      <c r="L201" s="24"/>
      <c r="M201" s="23"/>
    </row>
    <row r="202" spans="1:13" x14ac:dyDescent="0.2">
      <c r="A202" s="26"/>
      <c r="J202" s="25"/>
      <c r="K202" s="25"/>
      <c r="L202" s="24"/>
      <c r="M202" s="23"/>
    </row>
    <row r="203" spans="1:13" x14ac:dyDescent="0.2">
      <c r="A203" s="26"/>
      <c r="J203" s="25"/>
      <c r="K203" s="25"/>
      <c r="L203" s="24"/>
      <c r="M203" s="23"/>
    </row>
    <row r="204" spans="1:13" x14ac:dyDescent="0.2">
      <c r="A204" s="26"/>
      <c r="J204" s="25"/>
      <c r="K204" s="25"/>
      <c r="L204" s="24"/>
      <c r="M204" s="23"/>
    </row>
    <row r="205" spans="1:13" x14ac:dyDescent="0.2">
      <c r="J205" s="25"/>
      <c r="K205" s="25"/>
      <c r="L205" s="24"/>
      <c r="M205" s="23"/>
    </row>
  </sheetData>
  <mergeCells count="3">
    <mergeCell ref="U13:U15"/>
    <mergeCell ref="AB13:AB15"/>
    <mergeCell ref="AB21:AB23"/>
  </mergeCells>
  <conditionalFormatting sqref="F13:F156">
    <cfRule type="containsText" dxfId="11" priority="7" operator="containsText" text="AQC-N">
      <formula>NOT(ISERROR(SEARCH("AQC-N",F13)))</formula>
    </cfRule>
    <cfRule type="containsText" dxfId="10" priority="8" operator="containsText" text="AQC">
      <formula>NOT(ISERROR(SEARCH("AQC",F13)))</formula>
    </cfRule>
    <cfRule type="containsText" dxfId="9" priority="9" operator="containsText" text="FAO-N">
      <formula>NOT(ISERROR(SEARCH("FAO-N",F13)))</formula>
    </cfRule>
    <cfRule type="containsText" dxfId="8" priority="10" operator="containsText" text="CSM-N">
      <formula>NOT(ISERROR(SEARCH("CSM-N",F13)))</formula>
    </cfRule>
    <cfRule type="containsText" dxfId="7" priority="11" operator="containsText" text="CSM">
      <formula>NOT(ISERROR(SEARCH("CSM",F13)))</formula>
    </cfRule>
    <cfRule type="containsText" dxfId="6" priority="12" operator="containsText" text="FAO">
      <formula>NOT(ISERROR(SEARCH("FAO",F13)))</formula>
    </cfRule>
  </conditionalFormatting>
  <conditionalFormatting sqref="S13:S156">
    <cfRule type="containsText" dxfId="5" priority="1" operator="containsText" text="AQC-N">
      <formula>NOT(ISERROR(SEARCH("AQC-N",S13)))</formula>
    </cfRule>
    <cfRule type="containsText" dxfId="4" priority="2" operator="containsText" text="AQC">
      <formula>NOT(ISERROR(SEARCH("AQC",S13)))</formula>
    </cfRule>
    <cfRule type="containsText" dxfId="3" priority="3" operator="containsText" text="FAO-N">
      <formula>NOT(ISERROR(SEARCH("FAO-N",S13)))</formula>
    </cfRule>
    <cfRule type="containsText" dxfId="2" priority="4" operator="containsText" text="CSM-N">
      <formula>NOT(ISERROR(SEARCH("CSM-N",S13)))</formula>
    </cfRule>
    <cfRule type="containsText" dxfId="1" priority="5" operator="containsText" text="CSM">
      <formula>NOT(ISERROR(SEARCH("CSM",S13)))</formula>
    </cfRule>
    <cfRule type="containsText" dxfId="0" priority="6" operator="containsText" text="FAO">
      <formula>NOT(ISERROR(SEARCH("FAO",S13)))</formula>
    </cfRule>
  </conditionalFormatting>
  <pageMargins left="0.7" right="0.7" top="0.5" bottom="0.25" header="0" footer="0.3"/>
  <pageSetup scale="110" fitToHeight="6" orientation="portrait" r:id="rId1"/>
  <rowBreaks count="11" manualBreakCount="11">
    <brk id="28" min="23" max="26" man="1"/>
    <brk id="36" max="6" man="1"/>
    <brk id="36" min="13" max="19" man="1"/>
    <brk id="60" max="6" man="1"/>
    <brk id="60" min="13" max="19" man="1"/>
    <brk id="84" max="6" man="1"/>
    <brk id="84" min="13" max="19" man="1"/>
    <brk id="108" max="6" man="1"/>
    <brk id="108" min="13" max="19" man="1"/>
    <brk id="132" max="6" man="1"/>
    <brk id="132" min="13" max="1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9384B-82E5-42F3-BCF1-F82226D0E36C}">
  <sheetPr>
    <pageSetUpPr fitToPage="1"/>
  </sheetPr>
  <dimension ref="A1:AJ40"/>
  <sheetViews>
    <sheetView zoomScaleNormal="100" workbookViewId="0">
      <selection activeCell="F4" sqref="F4"/>
    </sheetView>
  </sheetViews>
  <sheetFormatPr defaultColWidth="10" defaultRowHeight="15" x14ac:dyDescent="0.25"/>
  <cols>
    <col min="1" max="1" width="8.7109375" style="165" customWidth="1"/>
    <col min="2" max="2" width="4.28515625" style="165" customWidth="1"/>
    <col min="3" max="3" width="3.140625" style="165" customWidth="1"/>
    <col min="4" max="4" width="7.7109375" style="167" customWidth="1"/>
    <col min="5" max="5" width="26" style="165" hidden="1" customWidth="1"/>
    <col min="6" max="6" width="19.140625" style="166" customWidth="1"/>
    <col min="7" max="7" width="7.28515625" style="165" customWidth="1"/>
    <col min="8" max="8" width="4.28515625" style="165" customWidth="1"/>
    <col min="9" max="9" width="3.140625" style="165" customWidth="1"/>
    <col min="10" max="10" width="7.7109375" style="165" customWidth="1"/>
    <col min="11" max="11" width="26" style="165" hidden="1" customWidth="1"/>
    <col min="12" max="12" width="19.140625" style="165" customWidth="1"/>
    <col min="13" max="14" width="10" style="165"/>
    <col min="15" max="15" width="8.7109375" style="165" customWidth="1"/>
    <col min="16" max="16" width="4.28515625" style="165" customWidth="1"/>
    <col min="17" max="17" width="3.140625" style="165" customWidth="1"/>
    <col min="18" max="18" width="7.7109375" style="165" customWidth="1"/>
    <col min="19" max="19" width="0" style="165" hidden="1" customWidth="1"/>
    <col min="20" max="20" width="19.140625" style="165" customWidth="1"/>
    <col min="21" max="21" width="7.28515625" style="165" customWidth="1"/>
    <col min="22" max="22" width="4.28515625" style="165" customWidth="1"/>
    <col min="23" max="23" width="3.140625" style="165" customWidth="1"/>
    <col min="24" max="24" width="7.7109375" style="165" customWidth="1"/>
    <col min="25" max="25" width="0" style="165" hidden="1" customWidth="1"/>
    <col min="26" max="26" width="19.140625" style="165" customWidth="1"/>
    <col min="27" max="28" width="10" style="165"/>
    <col min="29" max="29" width="8.7109375" style="165" customWidth="1"/>
    <col min="30" max="30" width="10.7109375" style="165" customWidth="1"/>
    <col min="31" max="31" width="19.140625" style="165" customWidth="1"/>
    <col min="32" max="32" width="0" style="165" hidden="1" customWidth="1"/>
    <col min="33" max="33" width="4.28515625" style="165" customWidth="1"/>
    <col min="34" max="34" width="3.140625" style="165" customWidth="1"/>
    <col min="35" max="35" width="7.7109375" style="165" customWidth="1"/>
    <col min="36" max="37" width="19.140625" style="165" customWidth="1"/>
    <col min="38" max="16384" width="10" style="165"/>
  </cols>
  <sheetData>
    <row r="1" spans="1:36" ht="18.75" x14ac:dyDescent="0.3">
      <c r="A1" s="219">
        <v>2022</v>
      </c>
      <c r="B1" s="216" t="s">
        <v>596</v>
      </c>
      <c r="C1" s="218"/>
      <c r="H1" s="213" t="s">
        <v>597</v>
      </c>
      <c r="O1" s="219">
        <v>2022</v>
      </c>
      <c r="P1" s="216" t="s">
        <v>596</v>
      </c>
      <c r="Q1" s="218"/>
      <c r="R1" s="167"/>
      <c r="V1" s="213" t="s">
        <v>597</v>
      </c>
      <c r="AC1" s="219">
        <v>2022</v>
      </c>
      <c r="AD1" s="216" t="s">
        <v>596</v>
      </c>
      <c r="AE1" s="167"/>
      <c r="AG1" s="213"/>
    </row>
    <row r="2" spans="1:36" ht="18.75" x14ac:dyDescent="0.3">
      <c r="A2" s="217"/>
      <c r="B2" s="216" t="s">
        <v>595</v>
      </c>
      <c r="C2" s="218"/>
      <c r="H2" s="213" t="s">
        <v>594</v>
      </c>
      <c r="O2" s="217"/>
      <c r="P2" s="216" t="s">
        <v>595</v>
      </c>
      <c r="Q2" s="218"/>
      <c r="R2" s="167"/>
      <c r="V2" s="213" t="s">
        <v>594</v>
      </c>
      <c r="AC2" s="217"/>
      <c r="AD2" s="216" t="s">
        <v>595</v>
      </c>
      <c r="AE2" s="167"/>
      <c r="AG2" s="213" t="s">
        <v>594</v>
      </c>
    </row>
    <row r="3" spans="1:36" ht="18.75" x14ac:dyDescent="0.3">
      <c r="A3" s="217"/>
      <c r="B3" s="216"/>
      <c r="C3" s="218" t="s">
        <v>593</v>
      </c>
      <c r="H3" s="213" t="s">
        <v>592</v>
      </c>
      <c r="O3" s="217"/>
      <c r="P3" s="216"/>
      <c r="Q3" s="218"/>
      <c r="R3" s="167"/>
      <c r="V3" s="213" t="s">
        <v>591</v>
      </c>
      <c r="AC3" s="217"/>
      <c r="AD3" s="216"/>
      <c r="AE3" s="167"/>
      <c r="AG3" s="213" t="s">
        <v>591</v>
      </c>
    </row>
    <row r="4" spans="1:36" ht="30" customHeight="1" x14ac:dyDescent="0.45">
      <c r="A4" s="202"/>
      <c r="B4" s="160"/>
      <c r="C4" s="136" t="s">
        <v>577</v>
      </c>
      <c r="D4" s="112"/>
      <c r="E4" s="136"/>
      <c r="F4" s="30"/>
      <c r="G4" s="159"/>
      <c r="H4" s="215" t="s">
        <v>590</v>
      </c>
      <c r="J4" s="166"/>
      <c r="O4" s="202"/>
      <c r="P4" s="160"/>
      <c r="Q4" s="136" t="s">
        <v>576</v>
      </c>
      <c r="R4" s="112"/>
      <c r="S4" s="136"/>
      <c r="T4" s="161"/>
      <c r="U4" s="159"/>
      <c r="V4" s="213"/>
      <c r="AC4" s="214" t="s">
        <v>589</v>
      </c>
      <c r="AD4" s="160"/>
      <c r="AE4" s="112"/>
      <c r="AF4" s="136"/>
      <c r="AG4" s="213"/>
    </row>
    <row r="5" spans="1:36" s="166" customFormat="1" ht="21" customHeight="1" x14ac:dyDescent="0.25">
      <c r="A5" s="165"/>
      <c r="B5" s="158"/>
      <c r="C5" s="157" t="s">
        <v>588</v>
      </c>
      <c r="D5" s="156"/>
      <c r="E5" s="155"/>
      <c r="F5" s="212"/>
      <c r="G5" s="153"/>
      <c r="H5" s="211"/>
      <c r="I5" s="210"/>
      <c r="J5" s="210"/>
      <c r="K5" s="210"/>
      <c r="L5" s="210"/>
      <c r="O5" s="165"/>
      <c r="P5" s="150"/>
      <c r="Q5" s="149" t="s">
        <v>587</v>
      </c>
      <c r="R5" s="148"/>
      <c r="S5" s="147"/>
      <c r="T5" s="146"/>
      <c r="U5" s="145"/>
      <c r="V5" s="209"/>
      <c r="W5" s="208"/>
      <c r="X5" s="208"/>
      <c r="Y5" s="208"/>
      <c r="Z5" s="208"/>
      <c r="AC5" s="144" t="s">
        <v>586</v>
      </c>
      <c r="AD5" s="207"/>
      <c r="AE5" s="141"/>
      <c r="AF5" s="206"/>
      <c r="AG5" s="205"/>
      <c r="AH5" s="205"/>
      <c r="AI5" s="205"/>
      <c r="AJ5" s="205"/>
    </row>
    <row r="6" spans="1:36" ht="24" customHeight="1" x14ac:dyDescent="0.25">
      <c r="B6" s="202"/>
      <c r="C6" s="202"/>
      <c r="D6" s="203"/>
      <c r="E6" s="202"/>
      <c r="F6" s="204"/>
      <c r="P6" s="202"/>
      <c r="Q6" s="202"/>
      <c r="R6" s="203"/>
      <c r="S6" s="202"/>
      <c r="T6" s="202"/>
      <c r="AD6" s="202"/>
      <c r="AE6" s="203"/>
      <c r="AF6" s="202"/>
    </row>
    <row r="7" spans="1:36" ht="24" customHeight="1" thickBot="1" x14ac:dyDescent="0.3">
      <c r="B7" s="390" t="s">
        <v>175</v>
      </c>
      <c r="C7" s="390"/>
      <c r="D7" s="201" t="s">
        <v>585</v>
      </c>
      <c r="E7" s="200" t="s">
        <v>584</v>
      </c>
      <c r="F7" s="199" t="s">
        <v>583</v>
      </c>
      <c r="G7" s="166"/>
      <c r="H7" s="390" t="s">
        <v>175</v>
      </c>
      <c r="I7" s="390"/>
      <c r="J7" s="201" t="s">
        <v>585</v>
      </c>
      <c r="K7" s="200" t="s">
        <v>584</v>
      </c>
      <c r="L7" s="199" t="s">
        <v>583</v>
      </c>
      <c r="P7" s="390" t="s">
        <v>175</v>
      </c>
      <c r="Q7" s="390"/>
      <c r="R7" s="201" t="s">
        <v>585</v>
      </c>
      <c r="S7" s="200" t="s">
        <v>584</v>
      </c>
      <c r="T7" s="199" t="s">
        <v>583</v>
      </c>
      <c r="U7" s="166"/>
      <c r="V7" s="390" t="s">
        <v>175</v>
      </c>
      <c r="W7" s="390"/>
      <c r="X7" s="201" t="s">
        <v>585</v>
      </c>
      <c r="Y7" s="200" t="s">
        <v>584</v>
      </c>
      <c r="Z7" s="199" t="s">
        <v>583</v>
      </c>
      <c r="AE7" s="199" t="s">
        <v>583</v>
      </c>
      <c r="AJ7" s="199" t="s">
        <v>583</v>
      </c>
    </row>
    <row r="8" spans="1:36" ht="24" customHeight="1" x14ac:dyDescent="0.25">
      <c r="B8" s="187" t="s">
        <v>549</v>
      </c>
      <c r="C8" s="186">
        <v>1</v>
      </c>
      <c r="D8" s="185" t="s">
        <v>511</v>
      </c>
      <c r="E8" s="184"/>
      <c r="F8" s="183">
        <v>9.39</v>
      </c>
      <c r="H8" s="187" t="s">
        <v>524</v>
      </c>
      <c r="I8" s="186">
        <v>1</v>
      </c>
      <c r="J8" s="185" t="s">
        <v>511</v>
      </c>
      <c r="K8" s="184"/>
      <c r="L8" s="183">
        <v>8.74</v>
      </c>
      <c r="P8" s="187" t="s">
        <v>549</v>
      </c>
      <c r="Q8" s="186">
        <v>1</v>
      </c>
      <c r="R8" s="185" t="s">
        <v>511</v>
      </c>
      <c r="S8" s="184"/>
      <c r="T8" s="183">
        <v>11.47</v>
      </c>
      <c r="V8" s="187" t="s">
        <v>524</v>
      </c>
      <c r="W8" s="186">
        <v>1</v>
      </c>
      <c r="X8" s="185" t="s">
        <v>511</v>
      </c>
      <c r="Y8" s="184"/>
      <c r="Z8" s="183">
        <v>4.78</v>
      </c>
      <c r="AC8" s="106" t="s">
        <v>538</v>
      </c>
      <c r="AD8" s="105" t="s">
        <v>550</v>
      </c>
      <c r="AE8" s="193">
        <v>2.2799999999999998</v>
      </c>
      <c r="AF8" s="391"/>
      <c r="AG8" s="168"/>
      <c r="AH8" s="87" t="s">
        <v>538</v>
      </c>
      <c r="AI8" s="86" t="s">
        <v>537</v>
      </c>
      <c r="AJ8" s="193">
        <v>3.94</v>
      </c>
    </row>
    <row r="9" spans="1:36" ht="24" customHeight="1" x14ac:dyDescent="0.25">
      <c r="B9" s="198" t="s">
        <v>549</v>
      </c>
      <c r="C9" s="197">
        <v>2</v>
      </c>
      <c r="D9" s="196" t="s">
        <v>582</v>
      </c>
      <c r="E9" s="195"/>
      <c r="F9" s="194">
        <v>6.46</v>
      </c>
      <c r="H9" s="182" t="s">
        <v>524</v>
      </c>
      <c r="I9" s="181">
        <v>2</v>
      </c>
      <c r="J9" s="180" t="s">
        <v>511</v>
      </c>
      <c r="K9" s="179"/>
      <c r="L9" s="178">
        <v>11.76</v>
      </c>
      <c r="P9" s="182" t="s">
        <v>549</v>
      </c>
      <c r="Q9" s="181">
        <v>2</v>
      </c>
      <c r="R9" s="180" t="s">
        <v>511</v>
      </c>
      <c r="S9" s="179"/>
      <c r="T9" s="178">
        <v>7.06</v>
      </c>
      <c r="V9" s="182" t="s">
        <v>524</v>
      </c>
      <c r="W9" s="181">
        <v>2</v>
      </c>
      <c r="X9" s="180" t="s">
        <v>511</v>
      </c>
      <c r="Y9" s="179"/>
      <c r="Z9" s="178">
        <v>8.68</v>
      </c>
      <c r="AC9" s="191" t="s">
        <v>538</v>
      </c>
      <c r="AD9" s="94" t="s">
        <v>548</v>
      </c>
      <c r="AE9" s="189">
        <v>6.08</v>
      </c>
      <c r="AF9" s="392"/>
      <c r="AG9" s="168"/>
      <c r="AH9" s="190" t="s">
        <v>538</v>
      </c>
      <c r="AI9" s="74" t="s">
        <v>536</v>
      </c>
      <c r="AJ9" s="189">
        <v>8.1999999999999993</v>
      </c>
    </row>
    <row r="10" spans="1:36" ht="24" customHeight="1" x14ac:dyDescent="0.25">
      <c r="B10" s="182" t="s">
        <v>549</v>
      </c>
      <c r="C10" s="181">
        <v>3</v>
      </c>
      <c r="D10" s="180" t="s">
        <v>511</v>
      </c>
      <c r="E10" s="179"/>
      <c r="F10" s="178">
        <v>4.2</v>
      </c>
      <c r="H10" s="182" t="s">
        <v>524</v>
      </c>
      <c r="I10" s="181">
        <v>3</v>
      </c>
      <c r="J10" s="180" t="s">
        <v>511</v>
      </c>
      <c r="K10" s="179"/>
      <c r="L10" s="178">
        <v>9.91</v>
      </c>
      <c r="P10" s="182" t="s">
        <v>549</v>
      </c>
      <c r="Q10" s="181">
        <v>3</v>
      </c>
      <c r="R10" s="180" t="s">
        <v>511</v>
      </c>
      <c r="S10" s="179"/>
      <c r="T10" s="178">
        <v>3.5</v>
      </c>
      <c r="V10" s="182" t="s">
        <v>524</v>
      </c>
      <c r="W10" s="181">
        <v>3</v>
      </c>
      <c r="X10" s="180" t="s">
        <v>511</v>
      </c>
      <c r="Y10" s="179"/>
      <c r="Z10" s="178">
        <v>7.98</v>
      </c>
      <c r="AC10" s="95" t="s">
        <v>538</v>
      </c>
      <c r="AD10" s="94" t="s">
        <v>547</v>
      </c>
      <c r="AE10" s="189">
        <v>7.34</v>
      </c>
      <c r="AF10" s="392"/>
      <c r="AG10" s="168"/>
      <c r="AH10" s="75" t="s">
        <v>538</v>
      </c>
      <c r="AI10" s="74" t="s">
        <v>535</v>
      </c>
      <c r="AJ10" s="189">
        <v>9.35</v>
      </c>
    </row>
    <row r="11" spans="1:36" ht="24" customHeight="1" thickBot="1" x14ac:dyDescent="0.3">
      <c r="B11" s="177" t="s">
        <v>549</v>
      </c>
      <c r="C11" s="176">
        <v>4</v>
      </c>
      <c r="D11" s="175" t="s">
        <v>511</v>
      </c>
      <c r="E11" s="174"/>
      <c r="F11" s="173">
        <v>9.14</v>
      </c>
      <c r="H11" s="177" t="s">
        <v>524</v>
      </c>
      <c r="I11" s="176">
        <v>4</v>
      </c>
      <c r="J11" s="175" t="s">
        <v>511</v>
      </c>
      <c r="K11" s="174"/>
      <c r="L11" s="173">
        <v>7.84</v>
      </c>
      <c r="P11" s="177" t="s">
        <v>549</v>
      </c>
      <c r="Q11" s="176">
        <v>4</v>
      </c>
      <c r="R11" s="175" t="s">
        <v>511</v>
      </c>
      <c r="S11" s="174"/>
      <c r="T11" s="173">
        <v>10.45</v>
      </c>
      <c r="V11" s="177" t="s">
        <v>524</v>
      </c>
      <c r="W11" s="176">
        <v>4</v>
      </c>
      <c r="X11" s="175" t="s">
        <v>511</v>
      </c>
      <c r="Y11" s="174"/>
      <c r="Z11" s="173">
        <v>3.72</v>
      </c>
      <c r="AC11" s="95" t="s">
        <v>538</v>
      </c>
      <c r="AD11" s="94" t="s">
        <v>546</v>
      </c>
      <c r="AE11" s="189">
        <v>4.76</v>
      </c>
      <c r="AF11" s="172"/>
      <c r="AG11" s="168"/>
      <c r="AH11" s="75" t="s">
        <v>538</v>
      </c>
      <c r="AI11" s="74" t="s">
        <v>534</v>
      </c>
      <c r="AJ11" s="189">
        <v>4.3099999999999996</v>
      </c>
    </row>
    <row r="12" spans="1:36" ht="24" customHeight="1" x14ac:dyDescent="0.25">
      <c r="B12" s="187" t="s">
        <v>539</v>
      </c>
      <c r="C12" s="186">
        <v>1</v>
      </c>
      <c r="D12" s="185" t="s">
        <v>511</v>
      </c>
      <c r="E12" s="184"/>
      <c r="F12" s="183">
        <v>12.4</v>
      </c>
      <c r="H12" s="187" t="s">
        <v>523</v>
      </c>
      <c r="I12" s="186">
        <v>1</v>
      </c>
      <c r="J12" s="185" t="s">
        <v>511</v>
      </c>
      <c r="K12" s="184"/>
      <c r="L12" s="183">
        <v>8.18</v>
      </c>
      <c r="P12" s="187" t="s">
        <v>539</v>
      </c>
      <c r="Q12" s="186">
        <v>1</v>
      </c>
      <c r="R12" s="185" t="s">
        <v>511</v>
      </c>
      <c r="S12" s="184"/>
      <c r="T12" s="183">
        <v>11.08</v>
      </c>
      <c r="V12" s="187" t="s">
        <v>523</v>
      </c>
      <c r="W12" s="186">
        <v>1</v>
      </c>
      <c r="X12" s="185" t="s">
        <v>511</v>
      </c>
      <c r="Y12" s="184"/>
      <c r="Z12" s="183">
        <v>7.32</v>
      </c>
      <c r="AC12" s="98" t="s">
        <v>538</v>
      </c>
      <c r="AD12" s="97" t="s">
        <v>545</v>
      </c>
      <c r="AE12" s="192">
        <v>2.2200000000000002</v>
      </c>
      <c r="AF12" s="171"/>
      <c r="AG12" s="168"/>
      <c r="AH12" s="79" t="s">
        <v>538</v>
      </c>
      <c r="AI12" s="78" t="s">
        <v>533</v>
      </c>
      <c r="AJ12" s="192">
        <v>2.5499999999999998</v>
      </c>
    </row>
    <row r="13" spans="1:36" ht="24" customHeight="1" x14ac:dyDescent="0.25">
      <c r="B13" s="182" t="s">
        <v>539</v>
      </c>
      <c r="C13" s="181">
        <v>2</v>
      </c>
      <c r="D13" s="180" t="s">
        <v>511</v>
      </c>
      <c r="E13" s="179"/>
      <c r="F13" s="178">
        <v>8.6</v>
      </c>
      <c r="H13" s="182" t="s">
        <v>523</v>
      </c>
      <c r="I13" s="181">
        <v>2</v>
      </c>
      <c r="J13" s="180" t="s">
        <v>511</v>
      </c>
      <c r="K13" s="179"/>
      <c r="L13" s="178">
        <v>8.83</v>
      </c>
      <c r="P13" s="182" t="s">
        <v>539</v>
      </c>
      <c r="Q13" s="181">
        <v>2</v>
      </c>
      <c r="R13" s="180" t="s">
        <v>511</v>
      </c>
      <c r="S13" s="179"/>
      <c r="T13" s="178">
        <v>6.61</v>
      </c>
      <c r="V13" s="182" t="s">
        <v>523</v>
      </c>
      <c r="W13" s="181">
        <v>2</v>
      </c>
      <c r="X13" s="180" t="s">
        <v>511</v>
      </c>
      <c r="Y13" s="179"/>
      <c r="Z13" s="178">
        <v>10.220000000000001</v>
      </c>
      <c r="AC13" s="191" t="s">
        <v>538</v>
      </c>
      <c r="AD13" s="94" t="s">
        <v>543</v>
      </c>
      <c r="AE13" s="189">
        <v>4.1500000000000004</v>
      </c>
      <c r="AF13" s="170"/>
      <c r="AG13" s="168"/>
      <c r="AH13" s="190" t="s">
        <v>538</v>
      </c>
      <c r="AI13" s="74" t="s">
        <v>532</v>
      </c>
      <c r="AJ13" s="189">
        <v>7.59</v>
      </c>
    </row>
    <row r="14" spans="1:36" ht="24" customHeight="1" x14ac:dyDescent="0.25">
      <c r="B14" s="182" t="s">
        <v>539</v>
      </c>
      <c r="C14" s="181">
        <v>3</v>
      </c>
      <c r="D14" s="180" t="s">
        <v>511</v>
      </c>
      <c r="E14" s="179"/>
      <c r="F14" s="178">
        <v>6.15</v>
      </c>
      <c r="H14" s="182" t="s">
        <v>523</v>
      </c>
      <c r="I14" s="181">
        <v>3</v>
      </c>
      <c r="J14" s="180" t="s">
        <v>511</v>
      </c>
      <c r="K14" s="179"/>
      <c r="L14" s="178">
        <v>6.94</v>
      </c>
      <c r="P14" s="182" t="s">
        <v>539</v>
      </c>
      <c r="Q14" s="181">
        <v>3</v>
      </c>
      <c r="R14" s="180" t="s">
        <v>511</v>
      </c>
      <c r="S14" s="179"/>
      <c r="T14" s="178">
        <v>5.41</v>
      </c>
      <c r="V14" s="182" t="s">
        <v>523</v>
      </c>
      <c r="W14" s="181">
        <v>3</v>
      </c>
      <c r="X14" s="180" t="s">
        <v>511</v>
      </c>
      <c r="Y14" s="179"/>
      <c r="Z14" s="178">
        <v>9.39</v>
      </c>
      <c r="AC14" s="95" t="s">
        <v>538</v>
      </c>
      <c r="AD14" s="94" t="s">
        <v>542</v>
      </c>
      <c r="AE14" s="189">
        <v>9.66</v>
      </c>
      <c r="AF14" s="170"/>
      <c r="AG14" s="168"/>
      <c r="AH14" s="75" t="s">
        <v>538</v>
      </c>
      <c r="AI14" s="74" t="s">
        <v>531</v>
      </c>
      <c r="AJ14" s="189">
        <v>11.01</v>
      </c>
    </row>
    <row r="15" spans="1:36" ht="24" customHeight="1" thickBot="1" x14ac:dyDescent="0.3">
      <c r="B15" s="177" t="s">
        <v>539</v>
      </c>
      <c r="C15" s="176">
        <v>4</v>
      </c>
      <c r="D15" s="175" t="s">
        <v>511</v>
      </c>
      <c r="E15" s="174"/>
      <c r="F15" s="173">
        <v>10.77</v>
      </c>
      <c r="H15" s="177" t="s">
        <v>523</v>
      </c>
      <c r="I15" s="176">
        <v>4</v>
      </c>
      <c r="J15" s="175" t="s">
        <v>511</v>
      </c>
      <c r="K15" s="174"/>
      <c r="L15" s="173">
        <v>6.87</v>
      </c>
      <c r="P15" s="177" t="s">
        <v>539</v>
      </c>
      <c r="Q15" s="176">
        <v>4</v>
      </c>
      <c r="R15" s="175" t="s">
        <v>511</v>
      </c>
      <c r="S15" s="174"/>
      <c r="T15" s="173">
        <v>9.06</v>
      </c>
      <c r="V15" s="177" t="s">
        <v>523</v>
      </c>
      <c r="W15" s="176">
        <v>4</v>
      </c>
      <c r="X15" s="175" t="s">
        <v>511</v>
      </c>
      <c r="Y15" s="174"/>
      <c r="Z15" s="173">
        <v>6.19</v>
      </c>
      <c r="AC15" s="92" t="s">
        <v>538</v>
      </c>
      <c r="AD15" s="91" t="s">
        <v>541</v>
      </c>
      <c r="AE15" s="188">
        <v>3.34</v>
      </c>
      <c r="AF15" s="169"/>
      <c r="AG15" s="168"/>
      <c r="AH15" s="72" t="s">
        <v>538</v>
      </c>
      <c r="AI15" s="71" t="s">
        <v>529</v>
      </c>
      <c r="AJ15" s="188">
        <v>4.0599999999999996</v>
      </c>
    </row>
    <row r="16" spans="1:36" ht="24" customHeight="1" x14ac:dyDescent="0.25">
      <c r="B16" s="187" t="s">
        <v>528</v>
      </c>
      <c r="C16" s="186">
        <v>1</v>
      </c>
      <c r="D16" s="185" t="s">
        <v>511</v>
      </c>
      <c r="E16" s="184"/>
      <c r="F16" s="183">
        <v>10.039999999999999</v>
      </c>
      <c r="H16" s="187" t="s">
        <v>522</v>
      </c>
      <c r="I16" s="186">
        <v>1</v>
      </c>
      <c r="J16" s="185" t="s">
        <v>511</v>
      </c>
      <c r="K16" s="184"/>
      <c r="L16" s="183">
        <v>5.24</v>
      </c>
      <c r="P16" s="187" t="s">
        <v>528</v>
      </c>
      <c r="Q16" s="186">
        <v>1</v>
      </c>
      <c r="R16" s="185" t="s">
        <v>511</v>
      </c>
      <c r="S16" s="184"/>
      <c r="T16" s="183">
        <v>11.76</v>
      </c>
      <c r="V16" s="187" t="s">
        <v>522</v>
      </c>
      <c r="W16" s="186">
        <v>1</v>
      </c>
      <c r="X16" s="185" t="s">
        <v>511</v>
      </c>
      <c r="Y16" s="184"/>
      <c r="Z16" s="183">
        <v>5.82</v>
      </c>
      <c r="AC16" s="106" t="s">
        <v>530</v>
      </c>
      <c r="AD16" s="105" t="s">
        <v>550</v>
      </c>
      <c r="AE16" s="193">
        <v>6.86</v>
      </c>
      <c r="AF16" s="391"/>
      <c r="AG16" s="168"/>
      <c r="AH16" s="87" t="s">
        <v>530</v>
      </c>
      <c r="AI16" s="86" t="s">
        <v>537</v>
      </c>
      <c r="AJ16" s="193">
        <v>4.13</v>
      </c>
    </row>
    <row r="17" spans="2:36" ht="24" customHeight="1" x14ac:dyDescent="0.25">
      <c r="B17" s="182" t="s">
        <v>528</v>
      </c>
      <c r="C17" s="181">
        <v>2</v>
      </c>
      <c r="D17" s="180" t="s">
        <v>511</v>
      </c>
      <c r="E17" s="179"/>
      <c r="F17" s="178">
        <v>11.32</v>
      </c>
      <c r="H17" s="182" t="s">
        <v>522</v>
      </c>
      <c r="I17" s="181">
        <v>2</v>
      </c>
      <c r="J17" s="180" t="s">
        <v>511</v>
      </c>
      <c r="K17" s="179"/>
      <c r="L17" s="178">
        <v>8.75</v>
      </c>
      <c r="P17" s="182" t="s">
        <v>528</v>
      </c>
      <c r="Q17" s="181">
        <v>2</v>
      </c>
      <c r="R17" s="180" t="s">
        <v>511</v>
      </c>
      <c r="S17" s="179"/>
      <c r="T17" s="178">
        <v>10.92</v>
      </c>
      <c r="V17" s="182" t="s">
        <v>522</v>
      </c>
      <c r="W17" s="181">
        <v>2</v>
      </c>
      <c r="X17" s="180" t="s">
        <v>511</v>
      </c>
      <c r="Y17" s="179"/>
      <c r="Z17" s="178">
        <v>9.76</v>
      </c>
      <c r="AC17" s="191" t="s">
        <v>530</v>
      </c>
      <c r="AD17" s="94" t="s">
        <v>548</v>
      </c>
      <c r="AE17" s="189">
        <v>7.42</v>
      </c>
      <c r="AF17" s="392"/>
      <c r="AG17" s="168"/>
      <c r="AH17" s="190" t="s">
        <v>530</v>
      </c>
      <c r="AI17" s="74" t="s">
        <v>536</v>
      </c>
      <c r="AJ17" s="189">
        <v>6.31</v>
      </c>
    </row>
    <row r="18" spans="2:36" ht="24" customHeight="1" x14ac:dyDescent="0.25">
      <c r="B18" s="182" t="s">
        <v>528</v>
      </c>
      <c r="C18" s="181">
        <v>3</v>
      </c>
      <c r="D18" s="180" t="s">
        <v>511</v>
      </c>
      <c r="E18" s="179"/>
      <c r="F18" s="178">
        <v>9.0299999999999994</v>
      </c>
      <c r="H18" s="182" t="s">
        <v>522</v>
      </c>
      <c r="I18" s="181">
        <v>3</v>
      </c>
      <c r="J18" s="180" t="s">
        <v>511</v>
      </c>
      <c r="K18" s="179"/>
      <c r="L18" s="178">
        <v>7.92</v>
      </c>
      <c r="P18" s="182" t="s">
        <v>528</v>
      </c>
      <c r="Q18" s="181">
        <v>3</v>
      </c>
      <c r="R18" s="180" t="s">
        <v>511</v>
      </c>
      <c r="S18" s="179"/>
      <c r="T18" s="178">
        <v>8.75</v>
      </c>
      <c r="V18" s="182" t="s">
        <v>522</v>
      </c>
      <c r="W18" s="181">
        <v>3</v>
      </c>
      <c r="X18" s="180" t="s">
        <v>511</v>
      </c>
      <c r="Y18" s="179"/>
      <c r="Z18" s="178">
        <v>9.74</v>
      </c>
      <c r="AC18" s="95" t="s">
        <v>530</v>
      </c>
      <c r="AD18" s="94" t="s">
        <v>547</v>
      </c>
      <c r="AE18" s="189">
        <v>4.68</v>
      </c>
      <c r="AF18" s="392"/>
      <c r="AG18" s="168"/>
      <c r="AH18" s="75" t="s">
        <v>530</v>
      </c>
      <c r="AI18" s="74" t="s">
        <v>535</v>
      </c>
      <c r="AJ18" s="189">
        <v>3.68</v>
      </c>
    </row>
    <row r="19" spans="2:36" ht="24" customHeight="1" thickBot="1" x14ac:dyDescent="0.3">
      <c r="B19" s="177" t="s">
        <v>528</v>
      </c>
      <c r="C19" s="176">
        <v>4</v>
      </c>
      <c r="D19" s="175" t="s">
        <v>511</v>
      </c>
      <c r="E19" s="174"/>
      <c r="F19" s="173">
        <v>10.48</v>
      </c>
      <c r="H19" s="177" t="s">
        <v>522</v>
      </c>
      <c r="I19" s="176">
        <v>4</v>
      </c>
      <c r="J19" s="175" t="s">
        <v>511</v>
      </c>
      <c r="K19" s="174"/>
      <c r="L19" s="173">
        <v>5.68</v>
      </c>
      <c r="P19" s="177" t="s">
        <v>528</v>
      </c>
      <c r="Q19" s="176">
        <v>4</v>
      </c>
      <c r="R19" s="175" t="s">
        <v>511</v>
      </c>
      <c r="S19" s="174"/>
      <c r="T19" s="173">
        <v>10.79</v>
      </c>
      <c r="V19" s="177" t="s">
        <v>522</v>
      </c>
      <c r="W19" s="176">
        <v>4</v>
      </c>
      <c r="X19" s="175" t="s">
        <v>511</v>
      </c>
      <c r="Y19" s="174"/>
      <c r="Z19" s="173">
        <v>5.42</v>
      </c>
      <c r="AC19" s="95" t="s">
        <v>530</v>
      </c>
      <c r="AD19" s="94" t="s">
        <v>546</v>
      </c>
      <c r="AE19" s="189">
        <v>9.81</v>
      </c>
      <c r="AF19" s="172"/>
      <c r="AG19" s="168"/>
      <c r="AH19" s="75" t="s">
        <v>530</v>
      </c>
      <c r="AI19" s="74" t="s">
        <v>534</v>
      </c>
      <c r="AJ19" s="189">
        <v>8.2200000000000006</v>
      </c>
    </row>
    <row r="20" spans="2:36" ht="24" customHeight="1" x14ac:dyDescent="0.25">
      <c r="B20" s="187" t="s">
        <v>527</v>
      </c>
      <c r="C20" s="186">
        <v>1</v>
      </c>
      <c r="D20" s="185" t="s">
        <v>511</v>
      </c>
      <c r="E20" s="184"/>
      <c r="F20" s="183">
        <v>12.64</v>
      </c>
      <c r="H20" s="187" t="s">
        <v>519</v>
      </c>
      <c r="I20" s="186">
        <v>1</v>
      </c>
      <c r="J20" s="185" t="s">
        <v>511</v>
      </c>
      <c r="K20" s="184"/>
      <c r="L20" s="183">
        <v>8.7899999999999991</v>
      </c>
      <c r="P20" s="187" t="s">
        <v>527</v>
      </c>
      <c r="Q20" s="186">
        <v>1</v>
      </c>
      <c r="R20" s="185" t="s">
        <v>511</v>
      </c>
      <c r="S20" s="184"/>
      <c r="T20" s="183">
        <v>9.01</v>
      </c>
      <c r="V20" s="187" t="s">
        <v>519</v>
      </c>
      <c r="W20" s="186">
        <v>1</v>
      </c>
      <c r="X20" s="185" t="s">
        <v>511</v>
      </c>
      <c r="Y20" s="184"/>
      <c r="Z20" s="183">
        <v>7.92</v>
      </c>
      <c r="AC20" s="98" t="s">
        <v>530</v>
      </c>
      <c r="AD20" s="97" t="s">
        <v>545</v>
      </c>
      <c r="AE20" s="192">
        <v>5.18</v>
      </c>
      <c r="AF20" s="171"/>
      <c r="AG20" s="168"/>
      <c r="AH20" s="79" t="s">
        <v>530</v>
      </c>
      <c r="AI20" s="78" t="s">
        <v>533</v>
      </c>
      <c r="AJ20" s="192">
        <v>4.25</v>
      </c>
    </row>
    <row r="21" spans="2:36" ht="24" customHeight="1" x14ac:dyDescent="0.25">
      <c r="B21" s="182" t="s">
        <v>527</v>
      </c>
      <c r="C21" s="181">
        <v>2</v>
      </c>
      <c r="D21" s="180" t="s">
        <v>511</v>
      </c>
      <c r="E21" s="179"/>
      <c r="F21" s="178">
        <v>9.57</v>
      </c>
      <c r="H21" s="182" t="s">
        <v>519</v>
      </c>
      <c r="I21" s="181">
        <v>2</v>
      </c>
      <c r="J21" s="180" t="s">
        <v>511</v>
      </c>
      <c r="K21" s="179"/>
      <c r="L21" s="178">
        <v>10.93</v>
      </c>
      <c r="P21" s="182" t="s">
        <v>527</v>
      </c>
      <c r="Q21" s="181">
        <v>2</v>
      </c>
      <c r="R21" s="180" t="s">
        <v>511</v>
      </c>
      <c r="S21" s="179"/>
      <c r="T21" s="178">
        <v>7.16</v>
      </c>
      <c r="V21" s="182" t="s">
        <v>519</v>
      </c>
      <c r="W21" s="181">
        <v>2</v>
      </c>
      <c r="X21" s="180" t="s">
        <v>511</v>
      </c>
      <c r="Y21" s="179"/>
      <c r="Z21" s="178">
        <v>12.19</v>
      </c>
      <c r="AC21" s="191" t="s">
        <v>530</v>
      </c>
      <c r="AD21" s="94" t="s">
        <v>543</v>
      </c>
      <c r="AE21" s="189">
        <v>8.92</v>
      </c>
      <c r="AF21" s="170"/>
      <c r="AG21" s="168"/>
      <c r="AH21" s="190" t="s">
        <v>530</v>
      </c>
      <c r="AI21" s="74" t="s">
        <v>532</v>
      </c>
      <c r="AJ21" s="189">
        <v>9.01</v>
      </c>
    </row>
    <row r="22" spans="2:36" ht="24" customHeight="1" x14ac:dyDescent="0.25">
      <c r="B22" s="182" t="s">
        <v>527</v>
      </c>
      <c r="C22" s="181">
        <v>3</v>
      </c>
      <c r="D22" s="180" t="s">
        <v>511</v>
      </c>
      <c r="E22" s="179"/>
      <c r="F22" s="178">
        <v>10.35</v>
      </c>
      <c r="H22" s="182" t="s">
        <v>519</v>
      </c>
      <c r="I22" s="181">
        <v>3</v>
      </c>
      <c r="J22" s="180" t="s">
        <v>511</v>
      </c>
      <c r="K22" s="179"/>
      <c r="L22" s="178">
        <v>10.62</v>
      </c>
      <c r="P22" s="182" t="s">
        <v>527</v>
      </c>
      <c r="Q22" s="181">
        <v>3</v>
      </c>
      <c r="R22" s="180" t="s">
        <v>511</v>
      </c>
      <c r="S22" s="179"/>
      <c r="T22" s="178">
        <v>6.19</v>
      </c>
      <c r="V22" s="182" t="s">
        <v>519</v>
      </c>
      <c r="W22" s="181">
        <v>3</v>
      </c>
      <c r="X22" s="180" t="s">
        <v>511</v>
      </c>
      <c r="Y22" s="179"/>
      <c r="Z22" s="178">
        <v>9.41</v>
      </c>
      <c r="AC22" s="95" t="s">
        <v>530</v>
      </c>
      <c r="AD22" s="94" t="s">
        <v>542</v>
      </c>
      <c r="AE22" s="189">
        <v>9.43</v>
      </c>
      <c r="AF22" s="170"/>
      <c r="AG22" s="168"/>
      <c r="AH22" s="75" t="s">
        <v>530</v>
      </c>
      <c r="AI22" s="74" t="s">
        <v>531</v>
      </c>
      <c r="AJ22" s="189">
        <v>7.79</v>
      </c>
    </row>
    <row r="23" spans="2:36" ht="24" customHeight="1" thickBot="1" x14ac:dyDescent="0.3">
      <c r="B23" s="177" t="s">
        <v>527</v>
      </c>
      <c r="C23" s="176">
        <v>4</v>
      </c>
      <c r="D23" s="175" t="s">
        <v>511</v>
      </c>
      <c r="E23" s="174"/>
      <c r="F23" s="173">
        <v>11.94</v>
      </c>
      <c r="H23" s="177" t="s">
        <v>519</v>
      </c>
      <c r="I23" s="176">
        <v>4</v>
      </c>
      <c r="J23" s="175" t="s">
        <v>511</v>
      </c>
      <c r="K23" s="174"/>
      <c r="L23" s="173">
        <v>8.56</v>
      </c>
      <c r="P23" s="177" t="s">
        <v>527</v>
      </c>
      <c r="Q23" s="176">
        <v>4</v>
      </c>
      <c r="R23" s="175" t="s">
        <v>511</v>
      </c>
      <c r="S23" s="174"/>
      <c r="T23" s="173">
        <v>10.74</v>
      </c>
      <c r="V23" s="177" t="s">
        <v>519</v>
      </c>
      <c r="W23" s="176">
        <v>4</v>
      </c>
      <c r="X23" s="175" t="s">
        <v>511</v>
      </c>
      <c r="Y23" s="174"/>
      <c r="Z23" s="173">
        <v>9.76</v>
      </c>
      <c r="AC23" s="92" t="s">
        <v>530</v>
      </c>
      <c r="AD23" s="91" t="s">
        <v>541</v>
      </c>
      <c r="AE23" s="188">
        <v>2.58</v>
      </c>
      <c r="AF23" s="169"/>
      <c r="AG23" s="168"/>
      <c r="AH23" s="72" t="s">
        <v>530</v>
      </c>
      <c r="AI23" s="71" t="s">
        <v>529</v>
      </c>
      <c r="AJ23" s="188">
        <v>2.16</v>
      </c>
    </row>
    <row r="24" spans="2:36" ht="24" customHeight="1" x14ac:dyDescent="0.25">
      <c r="B24" s="187" t="s">
        <v>526</v>
      </c>
      <c r="C24" s="186">
        <v>1</v>
      </c>
      <c r="D24" s="185" t="s">
        <v>511</v>
      </c>
      <c r="E24" s="184"/>
      <c r="F24" s="183">
        <v>9.52</v>
      </c>
      <c r="H24" s="187" t="s">
        <v>518</v>
      </c>
      <c r="I24" s="186">
        <v>1</v>
      </c>
      <c r="J24" s="185" t="s">
        <v>511</v>
      </c>
      <c r="K24" s="184"/>
      <c r="L24" s="183">
        <v>11.79</v>
      </c>
      <c r="P24" s="187" t="s">
        <v>526</v>
      </c>
      <c r="Q24" s="186">
        <v>1</v>
      </c>
      <c r="R24" s="185" t="s">
        <v>511</v>
      </c>
      <c r="S24" s="184"/>
      <c r="T24" s="183">
        <v>8.0500000000000007</v>
      </c>
      <c r="V24" s="187" t="s">
        <v>518</v>
      </c>
      <c r="W24" s="186">
        <v>1</v>
      </c>
      <c r="X24" s="185" t="s">
        <v>511</v>
      </c>
      <c r="Y24" s="184"/>
      <c r="Z24" s="183">
        <v>8.36</v>
      </c>
      <c r="AF24" s="391"/>
      <c r="AG24" s="168"/>
    </row>
    <row r="25" spans="2:36" ht="24" customHeight="1" x14ac:dyDescent="0.25">
      <c r="B25" s="182" t="s">
        <v>526</v>
      </c>
      <c r="C25" s="181">
        <v>2</v>
      </c>
      <c r="D25" s="180" t="s">
        <v>511</v>
      </c>
      <c r="E25" s="179"/>
      <c r="F25" s="178">
        <v>9.31</v>
      </c>
      <c r="H25" s="182" t="s">
        <v>518</v>
      </c>
      <c r="I25" s="181">
        <v>2</v>
      </c>
      <c r="J25" s="180" t="s">
        <v>511</v>
      </c>
      <c r="K25" s="179"/>
      <c r="L25" s="178">
        <v>8.19</v>
      </c>
      <c r="P25" s="182" t="s">
        <v>526</v>
      </c>
      <c r="Q25" s="181">
        <v>2</v>
      </c>
      <c r="R25" s="180" t="s">
        <v>511</v>
      </c>
      <c r="S25" s="179"/>
      <c r="T25" s="178">
        <v>9.9</v>
      </c>
      <c r="V25" s="182" t="s">
        <v>518</v>
      </c>
      <c r="W25" s="181">
        <v>2</v>
      </c>
      <c r="X25" s="180" t="s">
        <v>511</v>
      </c>
      <c r="Y25" s="179"/>
      <c r="Z25" s="178">
        <v>9.1300000000000008</v>
      </c>
      <c r="AF25" s="392"/>
      <c r="AG25" s="168"/>
    </row>
    <row r="26" spans="2:36" ht="24" customHeight="1" x14ac:dyDescent="0.25">
      <c r="B26" s="182" t="s">
        <v>526</v>
      </c>
      <c r="C26" s="181">
        <v>3</v>
      </c>
      <c r="D26" s="180" t="s">
        <v>511</v>
      </c>
      <c r="E26" s="179"/>
      <c r="F26" s="178">
        <v>7</v>
      </c>
      <c r="H26" s="182" t="s">
        <v>518</v>
      </c>
      <c r="I26" s="181">
        <v>3</v>
      </c>
      <c r="J26" s="180" t="s">
        <v>511</v>
      </c>
      <c r="K26" s="179"/>
      <c r="L26" s="178">
        <v>10.86</v>
      </c>
      <c r="P26" s="182" t="s">
        <v>526</v>
      </c>
      <c r="Q26" s="181">
        <v>3</v>
      </c>
      <c r="R26" s="180" t="s">
        <v>511</v>
      </c>
      <c r="S26" s="179"/>
      <c r="T26" s="178">
        <v>8.1199999999999992</v>
      </c>
      <c r="V26" s="182" t="s">
        <v>518</v>
      </c>
      <c r="W26" s="181">
        <v>3</v>
      </c>
      <c r="X26" s="180" t="s">
        <v>511</v>
      </c>
      <c r="Y26" s="179"/>
      <c r="Z26" s="178">
        <v>9.58</v>
      </c>
      <c r="AF26" s="392"/>
      <c r="AG26" s="168"/>
    </row>
    <row r="27" spans="2:36" ht="24" customHeight="1" thickBot="1" x14ac:dyDescent="0.3">
      <c r="B27" s="177" t="s">
        <v>526</v>
      </c>
      <c r="C27" s="176">
        <v>4</v>
      </c>
      <c r="D27" s="175" t="s">
        <v>511</v>
      </c>
      <c r="E27" s="174"/>
      <c r="F27" s="173">
        <v>6.01</v>
      </c>
      <c r="H27" s="177" t="s">
        <v>518</v>
      </c>
      <c r="I27" s="176">
        <v>4</v>
      </c>
      <c r="J27" s="175" t="s">
        <v>511</v>
      </c>
      <c r="K27" s="174"/>
      <c r="L27" s="173">
        <v>6.45</v>
      </c>
      <c r="P27" s="177" t="s">
        <v>526</v>
      </c>
      <c r="Q27" s="176">
        <v>4</v>
      </c>
      <c r="R27" s="175" t="s">
        <v>511</v>
      </c>
      <c r="S27" s="174"/>
      <c r="T27" s="173">
        <v>6.69</v>
      </c>
      <c r="V27" s="177" t="s">
        <v>518</v>
      </c>
      <c r="W27" s="176">
        <v>4</v>
      </c>
      <c r="X27" s="175" t="s">
        <v>511</v>
      </c>
      <c r="Y27" s="174"/>
      <c r="Z27" s="173">
        <v>5.9</v>
      </c>
      <c r="AF27" s="172"/>
      <c r="AG27" s="168"/>
    </row>
    <row r="28" spans="2:36" ht="24" customHeight="1" x14ac:dyDescent="0.25">
      <c r="B28" s="187" t="s">
        <v>525</v>
      </c>
      <c r="C28" s="186">
        <v>1</v>
      </c>
      <c r="D28" s="185" t="s">
        <v>511</v>
      </c>
      <c r="E28" s="184"/>
      <c r="F28" s="183">
        <v>8</v>
      </c>
      <c r="H28" s="187" t="s">
        <v>513</v>
      </c>
      <c r="I28" s="186">
        <v>1</v>
      </c>
      <c r="J28" s="185" t="s">
        <v>511</v>
      </c>
      <c r="K28" s="184"/>
      <c r="L28" s="183">
        <v>7.64</v>
      </c>
      <c r="P28" s="187" t="s">
        <v>525</v>
      </c>
      <c r="Q28" s="186">
        <v>1</v>
      </c>
      <c r="R28" s="185" t="s">
        <v>511</v>
      </c>
      <c r="S28" s="184"/>
      <c r="T28" s="183">
        <v>8.76</v>
      </c>
      <c r="V28" s="187" t="s">
        <v>513</v>
      </c>
      <c r="W28" s="186">
        <v>1</v>
      </c>
      <c r="X28" s="185" t="s">
        <v>511</v>
      </c>
      <c r="Y28" s="184"/>
      <c r="Z28" s="183">
        <v>9.1300000000000008</v>
      </c>
      <c r="AF28" s="171"/>
      <c r="AG28" s="168"/>
    </row>
    <row r="29" spans="2:36" ht="24" customHeight="1" x14ac:dyDescent="0.25">
      <c r="B29" s="182" t="s">
        <v>525</v>
      </c>
      <c r="C29" s="181">
        <v>2</v>
      </c>
      <c r="D29" s="180" t="s">
        <v>511</v>
      </c>
      <c r="E29" s="179"/>
      <c r="F29" s="178">
        <v>6.32</v>
      </c>
      <c r="H29" s="182" t="s">
        <v>513</v>
      </c>
      <c r="I29" s="181">
        <v>2</v>
      </c>
      <c r="J29" s="180" t="s">
        <v>511</v>
      </c>
      <c r="K29" s="179"/>
      <c r="L29" s="178">
        <v>9.19</v>
      </c>
      <c r="P29" s="182" t="s">
        <v>525</v>
      </c>
      <c r="Q29" s="181">
        <v>2</v>
      </c>
      <c r="R29" s="180" t="s">
        <v>511</v>
      </c>
      <c r="S29" s="179"/>
      <c r="T29" s="178">
        <v>5.97</v>
      </c>
      <c r="V29" s="182" t="s">
        <v>513</v>
      </c>
      <c r="W29" s="181">
        <v>2</v>
      </c>
      <c r="X29" s="180" t="s">
        <v>511</v>
      </c>
      <c r="Y29" s="179"/>
      <c r="Z29" s="178">
        <v>9.82</v>
      </c>
      <c r="AF29" s="170"/>
      <c r="AG29" s="168"/>
    </row>
    <row r="30" spans="2:36" ht="24" customHeight="1" x14ac:dyDescent="0.25">
      <c r="B30" s="182" t="s">
        <v>525</v>
      </c>
      <c r="C30" s="181">
        <v>3</v>
      </c>
      <c r="D30" s="180" t="s">
        <v>511</v>
      </c>
      <c r="E30" s="179"/>
      <c r="F30" s="178">
        <v>9.99</v>
      </c>
      <c r="H30" s="182" t="s">
        <v>513</v>
      </c>
      <c r="I30" s="181">
        <v>3</v>
      </c>
      <c r="J30" s="180" t="s">
        <v>511</v>
      </c>
      <c r="K30" s="179"/>
      <c r="L30" s="178">
        <v>11.01</v>
      </c>
      <c r="P30" s="182" t="s">
        <v>525</v>
      </c>
      <c r="Q30" s="181">
        <v>3</v>
      </c>
      <c r="R30" s="180" t="s">
        <v>511</v>
      </c>
      <c r="S30" s="179"/>
      <c r="T30" s="178">
        <v>9.4</v>
      </c>
      <c r="V30" s="182" t="s">
        <v>513</v>
      </c>
      <c r="W30" s="181">
        <v>3</v>
      </c>
      <c r="X30" s="180" t="s">
        <v>511</v>
      </c>
      <c r="Y30" s="179"/>
      <c r="Z30" s="178">
        <v>7.73</v>
      </c>
      <c r="AF30" s="170"/>
      <c r="AG30" s="168"/>
    </row>
    <row r="31" spans="2:36" ht="24" customHeight="1" thickBot="1" x14ac:dyDescent="0.3">
      <c r="B31" s="177" t="s">
        <v>525</v>
      </c>
      <c r="C31" s="176">
        <v>4</v>
      </c>
      <c r="D31" s="175" t="s">
        <v>511</v>
      </c>
      <c r="E31" s="174"/>
      <c r="F31" s="173">
        <v>7.13</v>
      </c>
      <c r="H31" s="177" t="s">
        <v>513</v>
      </c>
      <c r="I31" s="176">
        <v>4</v>
      </c>
      <c r="J31" s="175" t="s">
        <v>511</v>
      </c>
      <c r="K31" s="174"/>
      <c r="L31" s="173">
        <v>8.41</v>
      </c>
      <c r="P31" s="177" t="s">
        <v>525</v>
      </c>
      <c r="Q31" s="176">
        <v>4</v>
      </c>
      <c r="R31" s="175" t="s">
        <v>511</v>
      </c>
      <c r="S31" s="174"/>
      <c r="T31" s="173">
        <v>5.32</v>
      </c>
      <c r="V31" s="177" t="s">
        <v>513</v>
      </c>
      <c r="W31" s="176">
        <v>4</v>
      </c>
      <c r="X31" s="175" t="s">
        <v>511</v>
      </c>
      <c r="Y31" s="174"/>
      <c r="Z31" s="173">
        <v>8.4700000000000006</v>
      </c>
      <c r="AF31" s="169"/>
      <c r="AG31" s="168"/>
    </row>
    <row r="32" spans="2:36" ht="24" customHeight="1" x14ac:dyDescent="0.25">
      <c r="AF32" s="391"/>
      <c r="AG32" s="168"/>
    </row>
    <row r="33" spans="32:33" ht="24" customHeight="1" x14ac:dyDescent="0.25">
      <c r="AF33" s="392"/>
      <c r="AG33" s="168"/>
    </row>
    <row r="34" spans="32:33" ht="24" customHeight="1" x14ac:dyDescent="0.25">
      <c r="AF34" s="392"/>
      <c r="AG34" s="168"/>
    </row>
    <row r="35" spans="32:33" ht="24" customHeight="1" thickBot="1" x14ac:dyDescent="0.3">
      <c r="AF35" s="172"/>
      <c r="AG35" s="168"/>
    </row>
    <row r="36" spans="32:33" ht="24" customHeight="1" x14ac:dyDescent="0.25">
      <c r="AF36" s="171"/>
      <c r="AG36" s="168"/>
    </row>
    <row r="37" spans="32:33" ht="24" customHeight="1" x14ac:dyDescent="0.25">
      <c r="AF37" s="170"/>
      <c r="AG37" s="168"/>
    </row>
    <row r="38" spans="32:33" ht="24" customHeight="1" x14ac:dyDescent="0.25">
      <c r="AF38" s="170"/>
      <c r="AG38" s="168"/>
    </row>
    <row r="39" spans="32:33" ht="24" customHeight="1" thickBot="1" x14ac:dyDescent="0.3">
      <c r="AF39" s="169"/>
      <c r="AG39" s="168"/>
    </row>
    <row r="40" spans="32:33" ht="15.75" thickTop="1" x14ac:dyDescent="0.25"/>
  </sheetData>
  <mergeCells count="8">
    <mergeCell ref="B7:C7"/>
    <mergeCell ref="H7:I7"/>
    <mergeCell ref="AF16:AF18"/>
    <mergeCell ref="AF24:AF26"/>
    <mergeCell ref="AF32:AF34"/>
    <mergeCell ref="AF8:AF10"/>
    <mergeCell ref="P7:Q7"/>
    <mergeCell ref="V7:W7"/>
  </mergeCells>
  <pageMargins left="0.2" right="0.45" top="0.5" bottom="0.5" header="0" footer="0.3"/>
  <pageSetup pageOrder="overThenDown"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D0A6F-8D12-4264-919E-5322F4E60B0E}">
  <sheetPr>
    <pageSetUpPr fitToPage="1"/>
  </sheetPr>
  <dimension ref="A1:AP43"/>
  <sheetViews>
    <sheetView zoomScale="85" zoomScaleNormal="85" workbookViewId="0">
      <selection activeCell="A9" sqref="A9"/>
    </sheetView>
  </sheetViews>
  <sheetFormatPr defaultRowHeight="20.25" x14ac:dyDescent="0.2"/>
  <cols>
    <col min="1" max="1" width="8.7109375" style="18" customWidth="1"/>
    <col min="2" max="2" width="4.28515625" style="18" customWidth="1"/>
    <col min="3" max="3" width="3.140625" style="18" customWidth="1"/>
    <col min="4" max="4" width="7.7109375" style="22" customWidth="1"/>
    <col min="5" max="5" width="26" style="18" hidden="1" customWidth="1"/>
    <col min="6" max="6" width="19.140625" style="220" customWidth="1"/>
    <col min="7" max="7" width="19.140625" style="18" customWidth="1"/>
    <col min="8" max="8" width="7.28515625" style="18" customWidth="1"/>
    <col min="9" max="9" width="4.28515625" style="18" customWidth="1"/>
    <col min="10" max="10" width="3.140625" style="18" customWidth="1"/>
    <col min="11" max="11" width="7.7109375" style="18" customWidth="1"/>
    <col min="12" max="12" width="26" style="18" hidden="1" customWidth="1"/>
    <col min="13" max="14" width="19.140625" style="18" customWidth="1"/>
    <col min="15" max="16" width="9.140625" style="18"/>
    <col min="17" max="17" width="8.7109375" style="18" customWidth="1"/>
    <col min="18" max="18" width="4.28515625" style="18" customWidth="1"/>
    <col min="19" max="19" width="3.140625" style="18" customWidth="1"/>
    <col min="20" max="20" width="7.7109375" style="18" customWidth="1"/>
    <col min="21" max="21" width="0" style="18" hidden="1" customWidth="1"/>
    <col min="22" max="23" width="19.140625" style="18" customWidth="1"/>
    <col min="24" max="24" width="7.28515625" style="18" customWidth="1"/>
    <col min="25" max="25" width="4.28515625" style="18" customWidth="1"/>
    <col min="26" max="26" width="3.140625" style="18" customWidth="1"/>
    <col min="27" max="27" width="7.7109375" style="18" customWidth="1"/>
    <col min="28" max="28" width="0" style="18" hidden="1" customWidth="1"/>
    <col min="29" max="30" width="19.140625" style="18" customWidth="1"/>
    <col min="31" max="35" width="9.140625" style="18"/>
    <col min="36" max="37" width="19.140625" style="18" customWidth="1"/>
    <col min="38" max="40" width="9.140625" style="18"/>
    <col min="41" max="42" width="19.140625" style="18" customWidth="1"/>
    <col min="43" max="16384" width="9.140625" style="18"/>
  </cols>
  <sheetData>
    <row r="1" spans="1:42" x14ac:dyDescent="0.3">
      <c r="A1" s="287">
        <v>2022</v>
      </c>
      <c r="B1" s="286" t="s">
        <v>596</v>
      </c>
      <c r="C1" s="282"/>
      <c r="D1" s="284"/>
      <c r="E1" s="221"/>
      <c r="G1" s="18" t="s">
        <v>597</v>
      </c>
      <c r="Q1" s="287">
        <v>2022</v>
      </c>
      <c r="R1" s="286" t="s">
        <v>596</v>
      </c>
      <c r="S1" s="282"/>
      <c r="T1" s="284"/>
      <c r="U1" s="221"/>
      <c r="W1" s="18" t="s">
        <v>597</v>
      </c>
      <c r="AG1" s="287">
        <v>2022</v>
      </c>
      <c r="AH1" s="286" t="s">
        <v>596</v>
      </c>
      <c r="AI1" s="282"/>
      <c r="AJ1" s="284"/>
      <c r="AK1" s="18" t="s">
        <v>597</v>
      </c>
    </row>
    <row r="2" spans="1:42" ht="21" x14ac:dyDescent="0.3">
      <c r="A2" s="267"/>
      <c r="B2" s="286" t="s">
        <v>610</v>
      </c>
      <c r="C2" s="282"/>
      <c r="D2" s="284"/>
      <c r="E2" s="221"/>
      <c r="F2" s="260"/>
      <c r="G2" s="18" t="s">
        <v>612</v>
      </c>
      <c r="Q2" s="267"/>
      <c r="R2" s="286" t="s">
        <v>610</v>
      </c>
      <c r="S2" s="282"/>
      <c r="T2" s="284"/>
      <c r="U2" s="221"/>
      <c r="V2" s="221"/>
      <c r="W2" s="18" t="s">
        <v>611</v>
      </c>
      <c r="AG2" s="267"/>
      <c r="AH2" s="286" t="s">
        <v>610</v>
      </c>
      <c r="AI2" s="282"/>
      <c r="AJ2" s="284"/>
      <c r="AK2" s="18" t="s">
        <v>609</v>
      </c>
    </row>
    <row r="3" spans="1:42" ht="21" x14ac:dyDescent="0.3">
      <c r="A3" s="267"/>
      <c r="B3" s="286"/>
      <c r="C3" s="282"/>
      <c r="D3" s="284"/>
      <c r="E3" s="221"/>
      <c r="F3" s="260"/>
      <c r="G3" s="18" t="s">
        <v>608</v>
      </c>
      <c r="K3" s="18" t="s">
        <v>607</v>
      </c>
      <c r="Q3" s="267"/>
      <c r="R3" s="286"/>
      <c r="S3" s="282"/>
      <c r="T3" s="284"/>
      <c r="U3" s="221"/>
      <c r="V3" s="221"/>
      <c r="W3" s="18" t="s">
        <v>606</v>
      </c>
      <c r="AG3" s="267"/>
      <c r="AH3" s="286"/>
      <c r="AI3" s="282"/>
      <c r="AJ3" s="284"/>
      <c r="AK3" s="18" t="s">
        <v>606</v>
      </c>
    </row>
    <row r="4" spans="1:42" ht="21" x14ac:dyDescent="0.3">
      <c r="A4" s="267"/>
      <c r="B4" s="286"/>
      <c r="C4" s="282"/>
      <c r="D4" s="284"/>
      <c r="E4" s="221"/>
      <c r="F4" s="260"/>
      <c r="G4" s="18" t="s">
        <v>605</v>
      </c>
      <c r="Q4" s="267"/>
      <c r="R4" s="286"/>
      <c r="S4" s="282"/>
      <c r="T4" s="284"/>
      <c r="U4" s="221"/>
      <c r="V4" s="221"/>
      <c r="W4" s="18" t="s">
        <v>604</v>
      </c>
      <c r="AG4" s="267"/>
      <c r="AH4" s="286"/>
      <c r="AI4" s="282"/>
      <c r="AJ4" s="284"/>
      <c r="AK4" s="18" t="s">
        <v>604</v>
      </c>
    </row>
    <row r="5" spans="1:42" ht="21" x14ac:dyDescent="0.3">
      <c r="A5" s="267"/>
      <c r="B5" s="286"/>
      <c r="C5" s="282"/>
      <c r="E5" s="221"/>
      <c r="F5" s="260"/>
      <c r="G5" s="18" t="s">
        <v>603</v>
      </c>
      <c r="Q5" s="267"/>
      <c r="R5" s="286"/>
      <c r="S5" s="282"/>
      <c r="T5" s="284"/>
      <c r="U5" s="221"/>
      <c r="V5" s="221"/>
      <c r="AG5" s="267"/>
      <c r="AH5" s="286"/>
      <c r="AI5" s="282"/>
      <c r="AJ5" s="284"/>
      <c r="AK5" s="221"/>
      <c r="AL5" s="221"/>
    </row>
    <row r="6" spans="1:42" ht="21" x14ac:dyDescent="0.3">
      <c r="A6" s="267"/>
      <c r="B6" s="216"/>
      <c r="C6" s="281" t="s">
        <v>577</v>
      </c>
      <c r="D6" s="219"/>
      <c r="E6" s="281"/>
      <c r="F6" s="285"/>
      <c r="G6" s="284" t="s">
        <v>602</v>
      </c>
      <c r="H6" s="283"/>
      <c r="I6" s="283"/>
      <c r="J6" s="283"/>
      <c r="K6" s="283"/>
      <c r="L6" s="283"/>
      <c r="M6" s="283"/>
      <c r="N6" s="283"/>
      <c r="O6" s="283"/>
      <c r="P6" s="282"/>
      <c r="Q6" s="282"/>
      <c r="R6" s="216"/>
      <c r="S6" s="281" t="s">
        <v>576</v>
      </c>
      <c r="T6" s="219"/>
      <c r="U6" s="136"/>
      <c r="V6" s="161"/>
      <c r="W6" s="159"/>
      <c r="X6" s="280"/>
      <c r="AH6" s="279" t="s">
        <v>589</v>
      </c>
    </row>
    <row r="7" spans="1:42" ht="21" x14ac:dyDescent="0.3">
      <c r="A7" s="267"/>
      <c r="B7" s="158"/>
      <c r="C7" s="157" t="s">
        <v>588</v>
      </c>
      <c r="D7" s="156"/>
      <c r="E7" s="155"/>
      <c r="F7" s="278"/>
      <c r="G7" s="153"/>
      <c r="H7" s="277"/>
      <c r="I7" s="152"/>
      <c r="J7" s="152"/>
      <c r="K7" s="152"/>
      <c r="L7" s="152"/>
      <c r="M7" s="276"/>
      <c r="N7" s="276"/>
      <c r="O7" s="253"/>
      <c r="R7" s="150"/>
      <c r="S7" s="149" t="s">
        <v>587</v>
      </c>
      <c r="T7" s="148"/>
      <c r="U7" s="147"/>
      <c r="V7" s="146"/>
      <c r="W7" s="145"/>
      <c r="X7" s="263"/>
      <c r="Y7" s="140"/>
      <c r="Z7" s="140"/>
      <c r="AA7" s="140"/>
      <c r="AB7" s="140"/>
      <c r="AC7" s="262"/>
      <c r="AD7" s="262"/>
      <c r="AH7" s="144" t="s">
        <v>586</v>
      </c>
      <c r="AI7" s="143"/>
      <c r="AJ7" s="141"/>
      <c r="AK7" s="206"/>
      <c r="AL7" s="261"/>
      <c r="AM7" s="253"/>
    </row>
    <row r="8" spans="1:42" ht="21" x14ac:dyDescent="0.3">
      <c r="A8" s="267"/>
      <c r="B8" s="275"/>
      <c r="C8" s="274"/>
      <c r="D8" s="273"/>
      <c r="E8" s="272"/>
      <c r="F8" s="271"/>
      <c r="G8" s="270"/>
      <c r="H8" s="269"/>
      <c r="I8" s="222"/>
      <c r="J8" s="222"/>
      <c r="K8" s="222"/>
      <c r="L8" s="222"/>
      <c r="M8" s="268"/>
      <c r="N8" s="268"/>
      <c r="O8" s="253"/>
      <c r="R8" s="150"/>
      <c r="S8" s="149"/>
      <c r="T8" s="148"/>
      <c r="U8" s="147"/>
      <c r="V8" s="146"/>
      <c r="W8" s="145"/>
      <c r="X8" s="263"/>
      <c r="Y8" s="140"/>
      <c r="Z8" s="140"/>
      <c r="AA8" s="140"/>
      <c r="AB8" s="140"/>
      <c r="AC8" s="262"/>
      <c r="AD8" s="262"/>
      <c r="AH8" s="144"/>
      <c r="AI8" s="143"/>
      <c r="AJ8" s="141"/>
      <c r="AK8" s="206"/>
      <c r="AL8" s="261"/>
      <c r="AM8" s="253"/>
    </row>
    <row r="9" spans="1:42" ht="21.75" thickBot="1" x14ac:dyDescent="0.35">
      <c r="A9" s="267"/>
      <c r="B9" s="266"/>
      <c r="C9" s="265"/>
      <c r="D9" s="264" t="s">
        <v>601</v>
      </c>
      <c r="E9" s="257"/>
      <c r="F9" s="260"/>
      <c r="G9" s="257"/>
      <c r="O9" s="253"/>
      <c r="R9" s="150"/>
      <c r="S9" s="149"/>
      <c r="T9" s="148"/>
      <c r="U9" s="147"/>
      <c r="V9" s="146"/>
      <c r="W9" s="145"/>
      <c r="X9" s="263"/>
      <c r="Y9" s="140"/>
      <c r="Z9" s="140"/>
      <c r="AA9" s="140"/>
      <c r="AB9" s="140"/>
      <c r="AC9" s="262"/>
      <c r="AD9" s="262"/>
      <c r="AH9" s="144"/>
      <c r="AI9" s="143"/>
      <c r="AJ9" s="141"/>
      <c r="AK9" s="206"/>
      <c r="AL9" s="261"/>
      <c r="AM9" s="253"/>
    </row>
    <row r="10" spans="1:42" ht="21.75" thickTop="1" x14ac:dyDescent="0.2">
      <c r="A10" s="257"/>
      <c r="B10" s="259"/>
      <c r="C10" s="257"/>
      <c r="D10" s="258"/>
      <c r="E10" s="257"/>
      <c r="F10" s="260"/>
      <c r="G10" s="257"/>
      <c r="Q10" s="257"/>
      <c r="R10" s="259"/>
      <c r="S10" s="257"/>
      <c r="T10" s="258"/>
      <c r="U10" s="257"/>
      <c r="V10" s="257"/>
      <c r="W10" s="257"/>
      <c r="AI10" s="259"/>
      <c r="AJ10" s="258"/>
      <c r="AK10" s="257"/>
    </row>
    <row r="11" spans="1:42" s="253" customFormat="1" ht="21" customHeight="1" thickBot="1" x14ac:dyDescent="0.25">
      <c r="B11" s="390" t="s">
        <v>175</v>
      </c>
      <c r="C11" s="390"/>
      <c r="D11" s="201" t="s">
        <v>585</v>
      </c>
      <c r="E11" s="255" t="s">
        <v>584</v>
      </c>
      <c r="F11" s="254" t="s">
        <v>600</v>
      </c>
      <c r="G11" s="254" t="s">
        <v>599</v>
      </c>
      <c r="H11" s="256"/>
      <c r="I11" s="390" t="s">
        <v>175</v>
      </c>
      <c r="J11" s="390"/>
      <c r="K11" s="201" t="s">
        <v>585</v>
      </c>
      <c r="L11" s="255" t="s">
        <v>584</v>
      </c>
      <c r="M11" s="254" t="s">
        <v>600</v>
      </c>
      <c r="N11" s="254" t="s">
        <v>599</v>
      </c>
      <c r="R11" s="390" t="s">
        <v>175</v>
      </c>
      <c r="S11" s="390"/>
      <c r="T11" s="201" t="s">
        <v>585</v>
      </c>
      <c r="U11" s="255" t="s">
        <v>584</v>
      </c>
      <c r="V11" s="254" t="s">
        <v>600</v>
      </c>
      <c r="W11" s="254" t="s">
        <v>599</v>
      </c>
      <c r="X11" s="256"/>
      <c r="Y11" s="390" t="s">
        <v>175</v>
      </c>
      <c r="Z11" s="390"/>
      <c r="AA11" s="201" t="s">
        <v>585</v>
      </c>
      <c r="AB11" s="255" t="s">
        <v>584</v>
      </c>
      <c r="AC11" s="254" t="s">
        <v>600</v>
      </c>
      <c r="AD11" s="254" t="s">
        <v>599</v>
      </c>
      <c r="AH11" s="18"/>
      <c r="AI11" s="18"/>
      <c r="AJ11" s="254" t="s">
        <v>600</v>
      </c>
      <c r="AK11" s="254" t="s">
        <v>599</v>
      </c>
      <c r="AL11" s="18"/>
      <c r="AM11" s="18"/>
      <c r="AO11" s="254" t="s">
        <v>600</v>
      </c>
      <c r="AP11" s="254" t="s">
        <v>599</v>
      </c>
    </row>
    <row r="12" spans="1:42" ht="26.1" customHeight="1" thickBot="1" x14ac:dyDescent="0.3">
      <c r="B12" s="238" t="s">
        <v>549</v>
      </c>
      <c r="C12" s="237">
        <v>1</v>
      </c>
      <c r="D12" s="236" t="s">
        <v>511</v>
      </c>
      <c r="E12" s="235"/>
      <c r="F12" s="234">
        <v>1.86</v>
      </c>
      <c r="G12" s="234">
        <v>6.76</v>
      </c>
      <c r="H12" s="228"/>
      <c r="I12" s="238" t="s">
        <v>524</v>
      </c>
      <c r="J12" s="237">
        <v>1</v>
      </c>
      <c r="K12" s="236" t="s">
        <v>511</v>
      </c>
      <c r="L12" s="235"/>
      <c r="M12" s="234">
        <v>3.32</v>
      </c>
      <c r="N12" s="234">
        <v>6</v>
      </c>
      <c r="Q12" s="222"/>
      <c r="R12" s="238" t="s">
        <v>549</v>
      </c>
      <c r="S12" s="237">
        <v>1</v>
      </c>
      <c r="T12" s="236" t="s">
        <v>511</v>
      </c>
      <c r="U12" s="235"/>
      <c r="V12" s="234">
        <v>3.9</v>
      </c>
      <c r="W12" s="234">
        <v>7.96</v>
      </c>
      <c r="X12" s="228"/>
      <c r="Y12" s="238" t="s">
        <v>524</v>
      </c>
      <c r="Z12" s="237">
        <v>1</v>
      </c>
      <c r="AA12" s="236" t="s">
        <v>511</v>
      </c>
      <c r="AB12" s="235"/>
      <c r="AC12" s="245">
        <v>1.9</v>
      </c>
      <c r="AD12" s="245">
        <v>3.98</v>
      </c>
      <c r="AH12" s="106" t="s">
        <v>538</v>
      </c>
      <c r="AI12" s="105" t="s">
        <v>550</v>
      </c>
      <c r="AJ12" s="244">
        <v>0.9</v>
      </c>
      <c r="AK12" s="244">
        <v>2.76</v>
      </c>
      <c r="AL12" s="68"/>
      <c r="AM12" s="87" t="s">
        <v>538</v>
      </c>
      <c r="AN12" s="86" t="s">
        <v>537</v>
      </c>
      <c r="AO12" s="244">
        <v>1.56</v>
      </c>
      <c r="AP12" s="244">
        <v>3.5</v>
      </c>
    </row>
    <row r="13" spans="1:42" ht="26.1" customHeight="1" thickBot="1" x14ac:dyDescent="0.3">
      <c r="B13" s="198" t="s">
        <v>549</v>
      </c>
      <c r="C13" s="197">
        <v>2</v>
      </c>
      <c r="D13" s="252" t="s">
        <v>598</v>
      </c>
      <c r="E13" s="251"/>
      <c r="F13" s="250">
        <v>1.72</v>
      </c>
      <c r="G13" s="250">
        <v>5.12</v>
      </c>
      <c r="H13" s="228"/>
      <c r="I13" s="233" t="s">
        <v>524</v>
      </c>
      <c r="J13" s="232">
        <v>2</v>
      </c>
      <c r="K13" s="231" t="s">
        <v>511</v>
      </c>
      <c r="L13" s="230"/>
      <c r="M13" s="229">
        <v>4.26</v>
      </c>
      <c r="N13" s="229">
        <v>7.64</v>
      </c>
      <c r="Q13" s="222"/>
      <c r="R13" s="233" t="s">
        <v>549</v>
      </c>
      <c r="S13" s="232">
        <v>2</v>
      </c>
      <c r="T13" s="231" t="s">
        <v>511</v>
      </c>
      <c r="U13" s="230"/>
      <c r="V13" s="229">
        <v>2.44</v>
      </c>
      <c r="W13" s="229">
        <v>5.58</v>
      </c>
      <c r="X13" s="228"/>
      <c r="Y13" s="233" t="s">
        <v>524</v>
      </c>
      <c r="Z13" s="232">
        <v>2</v>
      </c>
      <c r="AA13" s="231" t="s">
        <v>511</v>
      </c>
      <c r="AB13" s="230"/>
      <c r="AC13" s="240">
        <v>2.2999999999999998</v>
      </c>
      <c r="AD13" s="240">
        <v>4.58</v>
      </c>
      <c r="AH13" s="191" t="s">
        <v>538</v>
      </c>
      <c r="AI13" s="94" t="s">
        <v>548</v>
      </c>
      <c r="AJ13" s="242">
        <v>2.2999999999999998</v>
      </c>
      <c r="AK13" s="242">
        <v>4.72</v>
      </c>
      <c r="AL13" s="68"/>
      <c r="AM13" s="190" t="s">
        <v>538</v>
      </c>
      <c r="AN13" s="74" t="s">
        <v>536</v>
      </c>
      <c r="AO13" s="242">
        <v>3.2</v>
      </c>
      <c r="AP13" s="242">
        <v>5.72</v>
      </c>
    </row>
    <row r="14" spans="1:42" ht="26.1" customHeight="1" thickTop="1" thickBot="1" x14ac:dyDescent="0.3">
      <c r="B14" s="233" t="s">
        <v>549</v>
      </c>
      <c r="C14" s="232">
        <v>3</v>
      </c>
      <c r="D14" s="231" t="s">
        <v>511</v>
      </c>
      <c r="E14" s="230"/>
      <c r="F14" s="239">
        <v>2.76</v>
      </c>
      <c r="G14" s="239">
        <v>3.9</v>
      </c>
      <c r="H14" s="228"/>
      <c r="I14" s="233" t="s">
        <v>524</v>
      </c>
      <c r="J14" s="232">
        <v>3</v>
      </c>
      <c r="K14" s="231" t="s">
        <v>511</v>
      </c>
      <c r="L14" s="230"/>
      <c r="M14" s="229">
        <v>3.64</v>
      </c>
      <c r="N14" s="229">
        <v>6.62</v>
      </c>
      <c r="Q14" s="222"/>
      <c r="R14" s="233" t="s">
        <v>549</v>
      </c>
      <c r="S14" s="232">
        <v>3</v>
      </c>
      <c r="T14" s="231" t="s">
        <v>511</v>
      </c>
      <c r="U14" s="230"/>
      <c r="V14" s="229">
        <v>1.22</v>
      </c>
      <c r="W14" s="229">
        <v>3.5</v>
      </c>
      <c r="X14" s="228"/>
      <c r="Y14" s="233" t="s">
        <v>524</v>
      </c>
      <c r="Z14" s="232">
        <v>3</v>
      </c>
      <c r="AA14" s="231" t="s">
        <v>511</v>
      </c>
      <c r="AB14" s="230"/>
      <c r="AC14" s="239">
        <v>0.84</v>
      </c>
      <c r="AD14" s="239">
        <v>2.68</v>
      </c>
      <c r="AH14" s="95" t="s">
        <v>538</v>
      </c>
      <c r="AI14" s="94" t="s">
        <v>547</v>
      </c>
      <c r="AJ14" s="249">
        <v>2.74</v>
      </c>
      <c r="AK14" s="249">
        <v>5.36</v>
      </c>
      <c r="AL14" s="68"/>
      <c r="AM14" s="75" t="s">
        <v>538</v>
      </c>
      <c r="AN14" s="74" t="s">
        <v>535</v>
      </c>
      <c r="AO14" s="242">
        <v>3.64</v>
      </c>
      <c r="AP14" s="242">
        <v>6.22</v>
      </c>
    </row>
    <row r="15" spans="1:42" ht="26.1" customHeight="1" thickTop="1" thickBot="1" x14ac:dyDescent="0.3">
      <c r="B15" s="227" t="s">
        <v>549</v>
      </c>
      <c r="C15" s="226">
        <v>4</v>
      </c>
      <c r="D15" s="225" t="s">
        <v>511</v>
      </c>
      <c r="E15" s="224"/>
      <c r="F15" s="248">
        <v>3.12</v>
      </c>
      <c r="G15" s="248">
        <v>6.7</v>
      </c>
      <c r="H15" s="228"/>
      <c r="I15" s="227" t="s">
        <v>524</v>
      </c>
      <c r="J15" s="226">
        <v>4</v>
      </c>
      <c r="K15" s="225" t="s">
        <v>511</v>
      </c>
      <c r="L15" s="224"/>
      <c r="M15" s="223">
        <v>2.92</v>
      </c>
      <c r="N15" s="223">
        <v>5.6</v>
      </c>
      <c r="Q15" s="222"/>
      <c r="R15" s="227" t="s">
        <v>549</v>
      </c>
      <c r="S15" s="226">
        <v>4</v>
      </c>
      <c r="T15" s="225" t="s">
        <v>511</v>
      </c>
      <c r="U15" s="224"/>
      <c r="V15" s="223">
        <v>3.44</v>
      </c>
      <c r="W15" s="223">
        <v>7.56</v>
      </c>
      <c r="X15" s="228"/>
      <c r="Y15" s="227" t="s">
        <v>524</v>
      </c>
      <c r="Z15" s="226">
        <v>4</v>
      </c>
      <c r="AA15" s="225" t="s">
        <v>511</v>
      </c>
      <c r="AB15" s="224"/>
      <c r="AC15" s="223">
        <v>0.3</v>
      </c>
      <c r="AD15" s="223">
        <v>1.82</v>
      </c>
      <c r="AH15" s="95" t="s">
        <v>538</v>
      </c>
      <c r="AI15" s="94" t="s">
        <v>546</v>
      </c>
      <c r="AJ15" s="247">
        <v>1.8</v>
      </c>
      <c r="AK15" s="247">
        <v>3.94</v>
      </c>
      <c r="AL15" s="68"/>
      <c r="AM15" s="75" t="s">
        <v>538</v>
      </c>
      <c r="AN15" s="74" t="s">
        <v>534</v>
      </c>
      <c r="AO15" s="242">
        <v>1.7</v>
      </c>
      <c r="AP15" s="242">
        <v>3.72</v>
      </c>
    </row>
    <row r="16" spans="1:42" ht="26.1" customHeight="1" thickBot="1" x14ac:dyDescent="0.3">
      <c r="B16" s="238" t="s">
        <v>539</v>
      </c>
      <c r="C16" s="237">
        <v>1</v>
      </c>
      <c r="D16" s="236" t="s">
        <v>511</v>
      </c>
      <c r="E16" s="235"/>
      <c r="F16" s="246">
        <v>4.5199999999999996</v>
      </c>
      <c r="G16" s="246">
        <v>7.3</v>
      </c>
      <c r="H16" s="228"/>
      <c r="I16" s="238" t="s">
        <v>523</v>
      </c>
      <c r="J16" s="237">
        <v>1</v>
      </c>
      <c r="K16" s="236" t="s">
        <v>511</v>
      </c>
      <c r="L16" s="235"/>
      <c r="M16" s="234">
        <v>2.8</v>
      </c>
      <c r="N16" s="234">
        <v>5.98</v>
      </c>
      <c r="Q16" s="222"/>
      <c r="R16" s="238" t="s">
        <v>539</v>
      </c>
      <c r="S16" s="237">
        <v>1</v>
      </c>
      <c r="T16" s="236" t="s">
        <v>511</v>
      </c>
      <c r="U16" s="235"/>
      <c r="V16" s="234">
        <v>4.16</v>
      </c>
      <c r="W16" s="234">
        <v>7.18</v>
      </c>
      <c r="X16" s="228"/>
      <c r="Y16" s="238" t="s">
        <v>523</v>
      </c>
      <c r="Z16" s="237">
        <v>1</v>
      </c>
      <c r="AA16" s="236" t="s">
        <v>511</v>
      </c>
      <c r="AB16" s="235"/>
      <c r="AC16" s="240">
        <v>3.58</v>
      </c>
      <c r="AD16" s="240">
        <v>5.76</v>
      </c>
      <c r="AH16" s="98" t="s">
        <v>538</v>
      </c>
      <c r="AI16" s="97" t="s">
        <v>545</v>
      </c>
      <c r="AJ16" s="243">
        <v>0.84</v>
      </c>
      <c r="AK16" s="243">
        <v>2.74</v>
      </c>
      <c r="AL16" s="68"/>
      <c r="AM16" s="79" t="s">
        <v>538</v>
      </c>
      <c r="AN16" s="78" t="s">
        <v>533</v>
      </c>
      <c r="AO16" s="243">
        <v>1.04</v>
      </c>
      <c r="AP16" s="243">
        <v>2.9</v>
      </c>
    </row>
    <row r="17" spans="2:42" ht="26.1" customHeight="1" thickTop="1" x14ac:dyDescent="0.25">
      <c r="B17" s="233" t="s">
        <v>539</v>
      </c>
      <c r="C17" s="232">
        <v>2</v>
      </c>
      <c r="D17" s="231" t="s">
        <v>511</v>
      </c>
      <c r="E17" s="230"/>
      <c r="F17" s="239">
        <v>3.38</v>
      </c>
      <c r="G17" s="239">
        <v>5.96</v>
      </c>
      <c r="H17" s="228"/>
      <c r="I17" s="233" t="s">
        <v>523</v>
      </c>
      <c r="J17" s="232">
        <v>2</v>
      </c>
      <c r="K17" s="231" t="s">
        <v>511</v>
      </c>
      <c r="L17" s="230"/>
      <c r="M17" s="229">
        <v>2.92</v>
      </c>
      <c r="N17" s="229">
        <v>6.48</v>
      </c>
      <c r="Q17" s="222"/>
      <c r="R17" s="233" t="s">
        <v>539</v>
      </c>
      <c r="S17" s="232">
        <v>2</v>
      </c>
      <c r="T17" s="231" t="s">
        <v>511</v>
      </c>
      <c r="U17" s="230"/>
      <c r="V17" s="229">
        <v>2.6</v>
      </c>
      <c r="W17" s="229">
        <v>5.0199999999999996</v>
      </c>
      <c r="X17" s="228"/>
      <c r="Y17" s="233" t="s">
        <v>523</v>
      </c>
      <c r="Z17" s="232">
        <v>2</v>
      </c>
      <c r="AA17" s="231" t="s">
        <v>511</v>
      </c>
      <c r="AB17" s="230"/>
      <c r="AC17" s="239">
        <v>3.42</v>
      </c>
      <c r="AD17" s="239">
        <v>7.06</v>
      </c>
      <c r="AH17" s="191" t="s">
        <v>538</v>
      </c>
      <c r="AI17" s="94" t="s">
        <v>543</v>
      </c>
      <c r="AJ17" s="242">
        <v>1.56</v>
      </c>
      <c r="AK17" s="242">
        <v>3.74</v>
      </c>
      <c r="AL17" s="68"/>
      <c r="AM17" s="190" t="s">
        <v>538</v>
      </c>
      <c r="AN17" s="74" t="s">
        <v>532</v>
      </c>
      <c r="AO17" s="242">
        <v>2.96</v>
      </c>
      <c r="AP17" s="242">
        <v>5.3</v>
      </c>
    </row>
    <row r="18" spans="2:42" ht="26.1" customHeight="1" x14ac:dyDescent="0.25">
      <c r="B18" s="233" t="s">
        <v>539</v>
      </c>
      <c r="C18" s="232">
        <v>3</v>
      </c>
      <c r="D18" s="231" t="s">
        <v>511</v>
      </c>
      <c r="E18" s="230"/>
      <c r="F18" s="229">
        <v>2.42</v>
      </c>
      <c r="G18" s="229">
        <v>4.66</v>
      </c>
      <c r="H18" s="228"/>
      <c r="I18" s="233" t="s">
        <v>523</v>
      </c>
      <c r="J18" s="232">
        <v>3</v>
      </c>
      <c r="K18" s="231" t="s">
        <v>511</v>
      </c>
      <c r="L18" s="230"/>
      <c r="M18" s="229">
        <v>2.36</v>
      </c>
      <c r="N18" s="229">
        <v>5.46</v>
      </c>
      <c r="Q18" s="222"/>
      <c r="R18" s="233" t="s">
        <v>539</v>
      </c>
      <c r="S18" s="232">
        <v>3</v>
      </c>
      <c r="T18" s="231" t="s">
        <v>511</v>
      </c>
      <c r="U18" s="230"/>
      <c r="V18" s="229">
        <v>2.1</v>
      </c>
      <c r="W18" s="229">
        <v>4.34</v>
      </c>
      <c r="X18" s="228"/>
      <c r="Y18" s="233" t="s">
        <v>523</v>
      </c>
      <c r="Z18" s="232">
        <v>3</v>
      </c>
      <c r="AA18" s="231" t="s">
        <v>511</v>
      </c>
      <c r="AB18" s="230"/>
      <c r="AC18" s="229">
        <v>3.24</v>
      </c>
      <c r="AD18" s="229">
        <v>6.7</v>
      </c>
      <c r="AH18" s="95" t="s">
        <v>538</v>
      </c>
      <c r="AI18" s="94" t="s">
        <v>542</v>
      </c>
      <c r="AJ18" s="242">
        <v>3.58</v>
      </c>
      <c r="AK18" s="242">
        <v>6.46</v>
      </c>
      <c r="AL18" s="68"/>
      <c r="AM18" s="75" t="s">
        <v>538</v>
      </c>
      <c r="AN18" s="74" t="s">
        <v>531</v>
      </c>
      <c r="AO18" s="242">
        <v>4.18</v>
      </c>
      <c r="AP18" s="242">
        <v>7.06</v>
      </c>
    </row>
    <row r="19" spans="2:42" ht="26.1" customHeight="1" thickBot="1" x14ac:dyDescent="0.3">
      <c r="B19" s="227" t="s">
        <v>539</v>
      </c>
      <c r="C19" s="226">
        <v>4</v>
      </c>
      <c r="D19" s="225" t="s">
        <v>511</v>
      </c>
      <c r="E19" s="224"/>
      <c r="F19" s="223">
        <v>4.04</v>
      </c>
      <c r="G19" s="223">
        <v>7.06</v>
      </c>
      <c r="H19" s="228"/>
      <c r="I19" s="227" t="s">
        <v>523</v>
      </c>
      <c r="J19" s="226">
        <v>4</v>
      </c>
      <c r="K19" s="225" t="s">
        <v>511</v>
      </c>
      <c r="L19" s="224"/>
      <c r="M19" s="223">
        <v>2.2999999999999998</v>
      </c>
      <c r="N19" s="223">
        <v>5.42</v>
      </c>
      <c r="Q19" s="222"/>
      <c r="R19" s="227" t="s">
        <v>539</v>
      </c>
      <c r="S19" s="226">
        <v>4</v>
      </c>
      <c r="T19" s="225" t="s">
        <v>511</v>
      </c>
      <c r="U19" s="224"/>
      <c r="V19" s="223">
        <v>3.48</v>
      </c>
      <c r="W19" s="223">
        <v>6.18</v>
      </c>
      <c r="X19" s="228"/>
      <c r="Y19" s="227" t="s">
        <v>523</v>
      </c>
      <c r="Z19" s="226">
        <v>4</v>
      </c>
      <c r="AA19" s="225" t="s">
        <v>511</v>
      </c>
      <c r="AB19" s="224"/>
      <c r="AC19" s="223">
        <v>2.14</v>
      </c>
      <c r="AD19" s="223">
        <v>4.9400000000000004</v>
      </c>
      <c r="AH19" s="92" t="s">
        <v>538</v>
      </c>
      <c r="AI19" s="91" t="s">
        <v>541</v>
      </c>
      <c r="AJ19" s="241">
        <v>1.28</v>
      </c>
      <c r="AK19" s="241">
        <v>3.28</v>
      </c>
      <c r="AL19" s="68"/>
      <c r="AM19" s="72" t="s">
        <v>538</v>
      </c>
      <c r="AN19" s="71" t="s">
        <v>529</v>
      </c>
      <c r="AO19" s="241">
        <v>1.6</v>
      </c>
      <c r="AP19" s="241">
        <v>3.62</v>
      </c>
    </row>
    <row r="20" spans="2:42" ht="26.1" customHeight="1" thickBot="1" x14ac:dyDescent="0.3">
      <c r="B20" s="238" t="s">
        <v>528</v>
      </c>
      <c r="C20" s="237">
        <v>1</v>
      </c>
      <c r="D20" s="236" t="s">
        <v>511</v>
      </c>
      <c r="E20" s="235"/>
      <c r="F20" s="234">
        <v>3.38</v>
      </c>
      <c r="G20" s="234">
        <v>7.14</v>
      </c>
      <c r="H20" s="228"/>
      <c r="I20" s="238" t="s">
        <v>522</v>
      </c>
      <c r="J20" s="237">
        <v>1</v>
      </c>
      <c r="K20" s="236" t="s">
        <v>511</v>
      </c>
      <c r="L20" s="235"/>
      <c r="M20" s="234">
        <v>1.76</v>
      </c>
      <c r="N20" s="234">
        <v>4.4800000000000004</v>
      </c>
      <c r="Q20" s="222"/>
      <c r="R20" s="238" t="s">
        <v>528</v>
      </c>
      <c r="S20" s="237">
        <v>1</v>
      </c>
      <c r="T20" s="236" t="s">
        <v>511</v>
      </c>
      <c r="U20" s="235"/>
      <c r="V20" s="234">
        <v>3.96</v>
      </c>
      <c r="W20" s="234">
        <v>7.98</v>
      </c>
      <c r="X20" s="228"/>
      <c r="Y20" s="238" t="s">
        <v>522</v>
      </c>
      <c r="Z20" s="237">
        <v>1</v>
      </c>
      <c r="AA20" s="236" t="s">
        <v>511</v>
      </c>
      <c r="AB20" s="235"/>
      <c r="AC20" s="245">
        <v>2.02</v>
      </c>
      <c r="AD20" s="245">
        <v>4.7</v>
      </c>
      <c r="AH20" s="106" t="s">
        <v>530</v>
      </c>
      <c r="AI20" s="105" t="s">
        <v>550</v>
      </c>
      <c r="AJ20" s="244">
        <v>2.66</v>
      </c>
      <c r="AK20" s="244">
        <v>4.9400000000000004</v>
      </c>
      <c r="AL20" s="68"/>
      <c r="AM20" s="87" t="s">
        <v>530</v>
      </c>
      <c r="AN20" s="86" t="s">
        <v>537</v>
      </c>
      <c r="AO20" s="244">
        <v>1.62</v>
      </c>
      <c r="AP20" s="244">
        <v>3.64</v>
      </c>
    </row>
    <row r="21" spans="2:42" ht="26.1" customHeight="1" thickBot="1" x14ac:dyDescent="0.3">
      <c r="B21" s="233" t="s">
        <v>528</v>
      </c>
      <c r="C21" s="232">
        <v>2</v>
      </c>
      <c r="D21" s="231" t="s">
        <v>511</v>
      </c>
      <c r="E21" s="230"/>
      <c r="F21" s="229">
        <v>3.94</v>
      </c>
      <c r="G21" s="229">
        <v>7.82</v>
      </c>
      <c r="H21" s="228"/>
      <c r="I21" s="233" t="s">
        <v>522</v>
      </c>
      <c r="J21" s="232">
        <v>2</v>
      </c>
      <c r="K21" s="231" t="s">
        <v>511</v>
      </c>
      <c r="L21" s="230"/>
      <c r="M21" s="229">
        <v>2.92</v>
      </c>
      <c r="N21" s="229">
        <v>6.52</v>
      </c>
      <c r="Q21" s="222"/>
      <c r="R21" s="233" t="s">
        <v>528</v>
      </c>
      <c r="S21" s="232">
        <v>2</v>
      </c>
      <c r="T21" s="231" t="s">
        <v>511</v>
      </c>
      <c r="U21" s="230"/>
      <c r="V21" s="229">
        <v>3.74</v>
      </c>
      <c r="W21" s="229">
        <v>7.62</v>
      </c>
      <c r="X21" s="228"/>
      <c r="Y21" s="233" t="s">
        <v>522</v>
      </c>
      <c r="Z21" s="232">
        <v>2</v>
      </c>
      <c r="AA21" s="231" t="s">
        <v>511</v>
      </c>
      <c r="AB21" s="230"/>
      <c r="AC21" s="240">
        <v>3.28</v>
      </c>
      <c r="AD21" s="240">
        <v>6.9</v>
      </c>
      <c r="AH21" s="191" t="s">
        <v>530</v>
      </c>
      <c r="AI21" s="94" t="s">
        <v>548</v>
      </c>
      <c r="AJ21" s="242">
        <v>2.84</v>
      </c>
      <c r="AK21" s="242">
        <v>5.32</v>
      </c>
      <c r="AL21" s="68"/>
      <c r="AM21" s="190" t="s">
        <v>530</v>
      </c>
      <c r="AN21" s="74" t="s">
        <v>536</v>
      </c>
      <c r="AO21" s="242">
        <v>2.48</v>
      </c>
      <c r="AP21" s="242">
        <v>4.72</v>
      </c>
    </row>
    <row r="22" spans="2:42" ht="26.1" customHeight="1" thickTop="1" x14ac:dyDescent="0.25">
      <c r="B22" s="233" t="s">
        <v>528</v>
      </c>
      <c r="C22" s="232">
        <v>3</v>
      </c>
      <c r="D22" s="231" t="s">
        <v>511</v>
      </c>
      <c r="E22" s="230"/>
      <c r="F22" s="229">
        <v>3.08</v>
      </c>
      <c r="G22" s="229">
        <v>6.56</v>
      </c>
      <c r="H22" s="228"/>
      <c r="I22" s="233" t="s">
        <v>522</v>
      </c>
      <c r="J22" s="232">
        <v>3</v>
      </c>
      <c r="K22" s="231" t="s">
        <v>511</v>
      </c>
      <c r="L22" s="230"/>
      <c r="M22" s="229">
        <v>2.74</v>
      </c>
      <c r="N22" s="229">
        <v>6</v>
      </c>
      <c r="Q22" s="222"/>
      <c r="R22" s="233" t="s">
        <v>528</v>
      </c>
      <c r="S22" s="232">
        <v>3</v>
      </c>
      <c r="T22" s="231" t="s">
        <v>511</v>
      </c>
      <c r="U22" s="230"/>
      <c r="V22" s="229">
        <v>3.62</v>
      </c>
      <c r="W22" s="229">
        <v>6.52</v>
      </c>
      <c r="X22" s="228"/>
      <c r="Y22" s="233" t="s">
        <v>522</v>
      </c>
      <c r="Z22" s="232">
        <v>3</v>
      </c>
      <c r="AA22" s="231" t="s">
        <v>511</v>
      </c>
      <c r="AB22" s="230"/>
      <c r="AC22" s="239">
        <v>1.7</v>
      </c>
      <c r="AD22" s="239">
        <v>6.8</v>
      </c>
      <c r="AH22" s="95" t="s">
        <v>530</v>
      </c>
      <c r="AI22" s="94" t="s">
        <v>547</v>
      </c>
      <c r="AJ22" s="242">
        <v>1.82</v>
      </c>
      <c r="AK22" s="242">
        <v>3.88</v>
      </c>
      <c r="AL22" s="68"/>
      <c r="AM22" s="75" t="s">
        <v>530</v>
      </c>
      <c r="AN22" s="74" t="s">
        <v>535</v>
      </c>
      <c r="AO22" s="242">
        <v>1.46</v>
      </c>
      <c r="AP22" s="242">
        <v>3.46</v>
      </c>
    </row>
    <row r="23" spans="2:42" ht="26.1" customHeight="1" thickBot="1" x14ac:dyDescent="0.3">
      <c r="B23" s="227" t="s">
        <v>528</v>
      </c>
      <c r="C23" s="226">
        <v>4</v>
      </c>
      <c r="D23" s="225" t="s">
        <v>511</v>
      </c>
      <c r="E23" s="224"/>
      <c r="F23" s="223">
        <v>3.56</v>
      </c>
      <c r="G23" s="223">
        <v>7.38</v>
      </c>
      <c r="H23" s="228"/>
      <c r="I23" s="227" t="s">
        <v>522</v>
      </c>
      <c r="J23" s="226">
        <v>4</v>
      </c>
      <c r="K23" s="225" t="s">
        <v>511</v>
      </c>
      <c r="L23" s="224"/>
      <c r="M23" s="223">
        <v>1.96</v>
      </c>
      <c r="N23" s="223">
        <v>4.74</v>
      </c>
      <c r="Q23" s="222"/>
      <c r="R23" s="227" t="s">
        <v>528</v>
      </c>
      <c r="S23" s="226">
        <v>4</v>
      </c>
      <c r="T23" s="225" t="s">
        <v>511</v>
      </c>
      <c r="U23" s="224"/>
      <c r="V23" s="223">
        <v>3.7</v>
      </c>
      <c r="W23" s="223">
        <v>7.48</v>
      </c>
      <c r="X23" s="228"/>
      <c r="Y23" s="227" t="s">
        <v>522</v>
      </c>
      <c r="Z23" s="226">
        <v>4</v>
      </c>
      <c r="AA23" s="225" t="s">
        <v>511</v>
      </c>
      <c r="AB23" s="224"/>
      <c r="AC23" s="223">
        <v>3.58</v>
      </c>
      <c r="AD23" s="223">
        <v>4.4000000000000004</v>
      </c>
      <c r="AH23" s="95" t="s">
        <v>530</v>
      </c>
      <c r="AI23" s="94" t="s">
        <v>546</v>
      </c>
      <c r="AJ23" s="242">
        <v>3.74</v>
      </c>
      <c r="AK23" s="242">
        <v>6.5</v>
      </c>
      <c r="AL23" s="68"/>
      <c r="AM23" s="75" t="s">
        <v>530</v>
      </c>
      <c r="AN23" s="74" t="s">
        <v>534</v>
      </c>
      <c r="AO23" s="242">
        <v>3.2</v>
      </c>
      <c r="AP23" s="242">
        <v>5.74</v>
      </c>
    </row>
    <row r="24" spans="2:42" ht="26.1" customHeight="1" x14ac:dyDescent="0.25">
      <c r="B24" s="238" t="s">
        <v>527</v>
      </c>
      <c r="C24" s="237">
        <v>1</v>
      </c>
      <c r="D24" s="236" t="s">
        <v>511</v>
      </c>
      <c r="E24" s="235"/>
      <c r="F24" s="234">
        <v>4.58</v>
      </c>
      <c r="G24" s="234">
        <v>8</v>
      </c>
      <c r="H24" s="228"/>
      <c r="I24" s="238" t="s">
        <v>519</v>
      </c>
      <c r="J24" s="237">
        <v>1</v>
      </c>
      <c r="K24" s="236" t="s">
        <v>511</v>
      </c>
      <c r="L24" s="235"/>
      <c r="M24" s="234">
        <v>3.24</v>
      </c>
      <c r="N24" s="234">
        <v>5.96</v>
      </c>
      <c r="Q24" s="222"/>
      <c r="R24" s="238" t="s">
        <v>527</v>
      </c>
      <c r="S24" s="237">
        <v>1</v>
      </c>
      <c r="T24" s="236" t="s">
        <v>511</v>
      </c>
      <c r="U24" s="235"/>
      <c r="V24" s="234">
        <v>3.34</v>
      </c>
      <c r="W24" s="234">
        <v>6.22</v>
      </c>
      <c r="X24" s="228"/>
      <c r="Y24" s="238" t="s">
        <v>519</v>
      </c>
      <c r="Z24" s="237">
        <v>1</v>
      </c>
      <c r="AA24" s="236" t="s">
        <v>511</v>
      </c>
      <c r="AB24" s="235"/>
      <c r="AC24" s="234">
        <v>3.02</v>
      </c>
      <c r="AD24" s="234">
        <v>5.34</v>
      </c>
      <c r="AH24" s="98" t="s">
        <v>530</v>
      </c>
      <c r="AI24" s="97" t="s">
        <v>545</v>
      </c>
      <c r="AJ24" s="243">
        <v>2.02</v>
      </c>
      <c r="AK24" s="243">
        <v>4.12</v>
      </c>
      <c r="AL24" s="68"/>
      <c r="AM24" s="79" t="s">
        <v>530</v>
      </c>
      <c r="AN24" s="78" t="s">
        <v>533</v>
      </c>
      <c r="AO24" s="243">
        <v>1.68</v>
      </c>
      <c r="AP24" s="243">
        <v>3.74</v>
      </c>
    </row>
    <row r="25" spans="2:42" ht="26.1" customHeight="1" x14ac:dyDescent="0.25">
      <c r="B25" s="233" t="s">
        <v>527</v>
      </c>
      <c r="C25" s="232">
        <v>2</v>
      </c>
      <c r="D25" s="231" t="s">
        <v>511</v>
      </c>
      <c r="E25" s="230"/>
      <c r="F25" s="229">
        <v>3.58</v>
      </c>
      <c r="G25" s="229">
        <v>6.42</v>
      </c>
      <c r="H25" s="228"/>
      <c r="I25" s="233" t="s">
        <v>519</v>
      </c>
      <c r="J25" s="232">
        <v>2</v>
      </c>
      <c r="K25" s="231" t="s">
        <v>511</v>
      </c>
      <c r="L25" s="230"/>
      <c r="M25" s="229">
        <v>4.0199999999999996</v>
      </c>
      <c r="N25" s="229">
        <v>7.18</v>
      </c>
      <c r="Q25" s="222"/>
      <c r="R25" s="233" t="s">
        <v>527</v>
      </c>
      <c r="S25" s="232">
        <v>2</v>
      </c>
      <c r="T25" s="231" t="s">
        <v>511</v>
      </c>
      <c r="U25" s="230"/>
      <c r="V25" s="229">
        <v>2.68</v>
      </c>
      <c r="W25" s="229">
        <v>5.42</v>
      </c>
      <c r="X25" s="228"/>
      <c r="Y25" s="233" t="s">
        <v>519</v>
      </c>
      <c r="Z25" s="232">
        <v>2</v>
      </c>
      <c r="AA25" s="231" t="s">
        <v>511</v>
      </c>
      <c r="AB25" s="230"/>
      <c r="AC25" s="229">
        <v>4.5599999999999996</v>
      </c>
      <c r="AD25" s="229">
        <v>7.56</v>
      </c>
      <c r="AH25" s="191" t="s">
        <v>530</v>
      </c>
      <c r="AI25" s="94" t="s">
        <v>543</v>
      </c>
      <c r="AJ25" s="242">
        <v>3.48</v>
      </c>
      <c r="AK25" s="242">
        <v>6.2</v>
      </c>
      <c r="AL25" s="68"/>
      <c r="AM25" s="190" t="s">
        <v>530</v>
      </c>
      <c r="AN25" s="74" t="s">
        <v>532</v>
      </c>
      <c r="AO25" s="242">
        <v>3.42</v>
      </c>
      <c r="AP25" s="242">
        <v>6.12</v>
      </c>
    </row>
    <row r="26" spans="2:42" ht="26.1" customHeight="1" x14ac:dyDescent="0.25">
      <c r="B26" s="233" t="s">
        <v>527</v>
      </c>
      <c r="C26" s="232">
        <v>3</v>
      </c>
      <c r="D26" s="231" t="s">
        <v>511</v>
      </c>
      <c r="E26" s="230"/>
      <c r="F26" s="229">
        <v>3.82</v>
      </c>
      <c r="G26" s="229">
        <v>6.92</v>
      </c>
      <c r="H26" s="228"/>
      <c r="I26" s="233" t="s">
        <v>519</v>
      </c>
      <c r="J26" s="232">
        <v>3</v>
      </c>
      <c r="K26" s="231" t="s">
        <v>511</v>
      </c>
      <c r="L26" s="230"/>
      <c r="M26" s="229">
        <v>4.0199999999999996</v>
      </c>
      <c r="N26" s="229">
        <v>7.06</v>
      </c>
      <c r="Q26" s="222"/>
      <c r="R26" s="233" t="s">
        <v>527</v>
      </c>
      <c r="S26" s="232">
        <v>3</v>
      </c>
      <c r="T26" s="231" t="s">
        <v>511</v>
      </c>
      <c r="U26" s="230"/>
      <c r="V26" s="229">
        <v>2.2799999999999998</v>
      </c>
      <c r="W26" s="229">
        <v>4.84</v>
      </c>
      <c r="X26" s="228"/>
      <c r="Y26" s="233" t="s">
        <v>519</v>
      </c>
      <c r="Z26" s="232">
        <v>3</v>
      </c>
      <c r="AA26" s="231" t="s">
        <v>511</v>
      </c>
      <c r="AB26" s="230"/>
      <c r="AC26" s="229">
        <v>3.66</v>
      </c>
      <c r="AD26" s="229">
        <v>6.32</v>
      </c>
      <c r="AH26" s="95" t="s">
        <v>530</v>
      </c>
      <c r="AI26" s="94" t="s">
        <v>542</v>
      </c>
      <c r="AJ26" s="242">
        <v>3.54</v>
      </c>
      <c r="AK26" s="242">
        <v>6.12</v>
      </c>
      <c r="AL26" s="68"/>
      <c r="AM26" s="75" t="s">
        <v>530</v>
      </c>
      <c r="AN26" s="74" t="s">
        <v>531</v>
      </c>
      <c r="AO26" s="242">
        <v>3.04</v>
      </c>
      <c r="AP26" s="242">
        <v>5.48</v>
      </c>
    </row>
    <row r="27" spans="2:42" ht="26.1" customHeight="1" thickBot="1" x14ac:dyDescent="0.3">
      <c r="B27" s="227" t="s">
        <v>527</v>
      </c>
      <c r="C27" s="226">
        <v>4</v>
      </c>
      <c r="D27" s="225" t="s">
        <v>511</v>
      </c>
      <c r="E27" s="224"/>
      <c r="F27" s="223">
        <v>4.42</v>
      </c>
      <c r="G27" s="223">
        <v>7.6</v>
      </c>
      <c r="H27" s="228"/>
      <c r="I27" s="227" t="s">
        <v>519</v>
      </c>
      <c r="J27" s="226">
        <v>4</v>
      </c>
      <c r="K27" s="225" t="s">
        <v>511</v>
      </c>
      <c r="L27" s="224"/>
      <c r="M27" s="223">
        <v>3.3</v>
      </c>
      <c r="N27" s="223">
        <v>5.96</v>
      </c>
      <c r="Q27" s="222"/>
      <c r="R27" s="227" t="s">
        <v>527</v>
      </c>
      <c r="S27" s="226">
        <v>4</v>
      </c>
      <c r="T27" s="225" t="s">
        <v>511</v>
      </c>
      <c r="U27" s="224"/>
      <c r="V27" s="223">
        <v>3.96</v>
      </c>
      <c r="W27" s="223">
        <v>7.1</v>
      </c>
      <c r="X27" s="228"/>
      <c r="Y27" s="227" t="s">
        <v>519</v>
      </c>
      <c r="Z27" s="226">
        <v>4</v>
      </c>
      <c r="AA27" s="225" t="s">
        <v>511</v>
      </c>
      <c r="AB27" s="224"/>
      <c r="AC27" s="223">
        <v>3.8</v>
      </c>
      <c r="AD27" s="223">
        <v>6.36</v>
      </c>
      <c r="AH27" s="92" t="s">
        <v>530</v>
      </c>
      <c r="AI27" s="91" t="s">
        <v>541</v>
      </c>
      <c r="AJ27" s="241">
        <v>1.06</v>
      </c>
      <c r="AK27" s="241">
        <v>2.88</v>
      </c>
      <c r="AL27" s="68"/>
      <c r="AM27" s="72" t="s">
        <v>530</v>
      </c>
      <c r="AN27" s="71" t="s">
        <v>529</v>
      </c>
      <c r="AO27" s="241">
        <v>0.86</v>
      </c>
      <c r="AP27" s="241">
        <v>2.74</v>
      </c>
    </row>
    <row r="28" spans="2:42" ht="26.1" customHeight="1" thickBot="1" x14ac:dyDescent="0.3">
      <c r="B28" s="238" t="s">
        <v>526</v>
      </c>
      <c r="C28" s="237">
        <v>1</v>
      </c>
      <c r="D28" s="236" t="s">
        <v>511</v>
      </c>
      <c r="E28" s="235"/>
      <c r="F28" s="234">
        <v>3.46</v>
      </c>
      <c r="G28" s="234">
        <v>6.44</v>
      </c>
      <c r="H28" s="228"/>
      <c r="I28" s="238" t="s">
        <v>518</v>
      </c>
      <c r="J28" s="237">
        <v>1</v>
      </c>
      <c r="K28" s="236" t="s">
        <v>511</v>
      </c>
      <c r="L28" s="235"/>
      <c r="M28" s="234">
        <v>4.46</v>
      </c>
      <c r="N28" s="234">
        <v>7.46</v>
      </c>
      <c r="Q28" s="222"/>
      <c r="R28" s="238" t="s">
        <v>526</v>
      </c>
      <c r="S28" s="237">
        <v>1</v>
      </c>
      <c r="T28" s="236" t="s">
        <v>511</v>
      </c>
      <c r="U28" s="235"/>
      <c r="V28" s="240">
        <v>2.9</v>
      </c>
      <c r="W28" s="240">
        <v>5.86</v>
      </c>
      <c r="X28" s="228"/>
      <c r="Y28" s="238" t="s">
        <v>518</v>
      </c>
      <c r="Z28" s="237">
        <v>1</v>
      </c>
      <c r="AA28" s="236" t="s">
        <v>511</v>
      </c>
      <c r="AB28" s="235"/>
      <c r="AC28" s="234">
        <v>2.86</v>
      </c>
      <c r="AD28" s="234">
        <v>5.66</v>
      </c>
      <c r="AL28" s="68"/>
    </row>
    <row r="29" spans="2:42" ht="26.1" customHeight="1" thickTop="1" x14ac:dyDescent="0.25">
      <c r="B29" s="233" t="s">
        <v>526</v>
      </c>
      <c r="C29" s="232">
        <v>2</v>
      </c>
      <c r="D29" s="231" t="s">
        <v>511</v>
      </c>
      <c r="E29" s="230"/>
      <c r="F29" s="229">
        <v>3.5</v>
      </c>
      <c r="G29" s="229">
        <v>6.38</v>
      </c>
      <c r="H29" s="228"/>
      <c r="I29" s="233" t="s">
        <v>518</v>
      </c>
      <c r="J29" s="232">
        <v>2</v>
      </c>
      <c r="K29" s="231" t="s">
        <v>511</v>
      </c>
      <c r="L29" s="230"/>
      <c r="M29" s="229">
        <v>3</v>
      </c>
      <c r="N29" s="229">
        <v>5.82</v>
      </c>
      <c r="Q29" s="222"/>
      <c r="R29" s="233" t="s">
        <v>526</v>
      </c>
      <c r="S29" s="232">
        <v>2</v>
      </c>
      <c r="T29" s="231" t="s">
        <v>511</v>
      </c>
      <c r="U29" s="230"/>
      <c r="V29" s="239">
        <v>3.7</v>
      </c>
      <c r="W29" s="239">
        <v>6.62</v>
      </c>
      <c r="X29" s="228"/>
      <c r="Y29" s="233" t="s">
        <v>518</v>
      </c>
      <c r="Z29" s="232">
        <v>2</v>
      </c>
      <c r="AA29" s="231" t="s">
        <v>511</v>
      </c>
      <c r="AB29" s="230"/>
      <c r="AC29" s="229">
        <v>3.42</v>
      </c>
      <c r="AD29" s="229">
        <v>6.18</v>
      </c>
      <c r="AL29" s="68"/>
    </row>
    <row r="30" spans="2:42" ht="26.1" customHeight="1" x14ac:dyDescent="0.25">
      <c r="B30" s="233" t="s">
        <v>526</v>
      </c>
      <c r="C30" s="232">
        <v>3</v>
      </c>
      <c r="D30" s="231" t="s">
        <v>511</v>
      </c>
      <c r="E30" s="230"/>
      <c r="F30" s="229">
        <v>2.66</v>
      </c>
      <c r="G30" s="229">
        <v>5.24</v>
      </c>
      <c r="H30" s="228"/>
      <c r="I30" s="233" t="s">
        <v>518</v>
      </c>
      <c r="J30" s="232">
        <v>3</v>
      </c>
      <c r="K30" s="231" t="s">
        <v>511</v>
      </c>
      <c r="L30" s="230"/>
      <c r="M30" s="229">
        <v>4</v>
      </c>
      <c r="N30" s="229">
        <v>7.14</v>
      </c>
      <c r="Q30" s="222"/>
      <c r="R30" s="233" t="s">
        <v>526</v>
      </c>
      <c r="S30" s="232">
        <v>3</v>
      </c>
      <c r="T30" s="231" t="s">
        <v>511</v>
      </c>
      <c r="U30" s="230"/>
      <c r="V30" s="229">
        <v>3.08</v>
      </c>
      <c r="W30" s="229">
        <v>5.68</v>
      </c>
      <c r="X30" s="228"/>
      <c r="Y30" s="233" t="s">
        <v>518</v>
      </c>
      <c r="Z30" s="232">
        <v>3</v>
      </c>
      <c r="AA30" s="231" t="s">
        <v>511</v>
      </c>
      <c r="AB30" s="230"/>
      <c r="AC30" s="229">
        <v>3.58</v>
      </c>
      <c r="AD30" s="229">
        <v>6.46</v>
      </c>
      <c r="AL30" s="68"/>
    </row>
    <row r="31" spans="2:42" ht="26.1" customHeight="1" thickBot="1" x14ac:dyDescent="0.3">
      <c r="B31" s="227" t="s">
        <v>526</v>
      </c>
      <c r="C31" s="226">
        <v>4</v>
      </c>
      <c r="D31" s="225" t="s">
        <v>511</v>
      </c>
      <c r="E31" s="224"/>
      <c r="F31" s="223">
        <v>2.2799999999999998</v>
      </c>
      <c r="G31" s="223">
        <v>4.68</v>
      </c>
      <c r="H31" s="228"/>
      <c r="I31" s="227" t="s">
        <v>518</v>
      </c>
      <c r="J31" s="226">
        <v>4</v>
      </c>
      <c r="K31" s="225" t="s">
        <v>511</v>
      </c>
      <c r="L31" s="224"/>
      <c r="M31" s="223">
        <v>2.56</v>
      </c>
      <c r="N31" s="223">
        <v>4.82</v>
      </c>
      <c r="Q31" s="222"/>
      <c r="R31" s="227" t="s">
        <v>526</v>
      </c>
      <c r="S31" s="226">
        <v>4</v>
      </c>
      <c r="T31" s="225" t="s">
        <v>511</v>
      </c>
      <c r="U31" s="224"/>
      <c r="V31" s="223">
        <v>2.6</v>
      </c>
      <c r="W31" s="223">
        <v>4.9400000000000004</v>
      </c>
      <c r="X31" s="228"/>
      <c r="Y31" s="227" t="s">
        <v>518</v>
      </c>
      <c r="Z31" s="226">
        <v>4</v>
      </c>
      <c r="AA31" s="225" t="s">
        <v>511</v>
      </c>
      <c r="AB31" s="224"/>
      <c r="AC31" s="223">
        <v>2.2999999999999998</v>
      </c>
      <c r="AD31" s="223">
        <v>4.5199999999999996</v>
      </c>
      <c r="AL31" s="68"/>
    </row>
    <row r="32" spans="2:42" ht="26.1" customHeight="1" x14ac:dyDescent="0.25">
      <c r="B32" s="238" t="s">
        <v>525</v>
      </c>
      <c r="C32" s="237">
        <v>1</v>
      </c>
      <c r="D32" s="236" t="s">
        <v>511</v>
      </c>
      <c r="E32" s="235"/>
      <c r="F32" s="234">
        <v>2.7</v>
      </c>
      <c r="G32" s="234">
        <v>6.04</v>
      </c>
      <c r="H32" s="228"/>
      <c r="I32" s="238" t="s">
        <v>513</v>
      </c>
      <c r="J32" s="237">
        <v>1</v>
      </c>
      <c r="K32" s="236" t="s">
        <v>511</v>
      </c>
      <c r="L32" s="235"/>
      <c r="M32" s="234">
        <v>2.68</v>
      </c>
      <c r="N32" s="234">
        <v>5.74</v>
      </c>
      <c r="Q32" s="222"/>
      <c r="R32" s="238" t="s">
        <v>525</v>
      </c>
      <c r="S32" s="237">
        <v>1</v>
      </c>
      <c r="T32" s="236" t="s">
        <v>511</v>
      </c>
      <c r="U32" s="235"/>
      <c r="V32" s="234">
        <v>3.02</v>
      </c>
      <c r="W32" s="234">
        <v>6.32</v>
      </c>
      <c r="X32" s="228"/>
      <c r="Y32" s="238" t="s">
        <v>513</v>
      </c>
      <c r="Z32" s="237">
        <v>1</v>
      </c>
      <c r="AA32" s="236" t="s">
        <v>511</v>
      </c>
      <c r="AB32" s="235"/>
      <c r="AC32" s="234">
        <v>3.14</v>
      </c>
      <c r="AD32" s="234">
        <v>6.48</v>
      </c>
      <c r="AL32" s="68"/>
    </row>
    <row r="33" spans="2:38" ht="26.1" customHeight="1" x14ac:dyDescent="0.25">
      <c r="B33" s="233" t="s">
        <v>525</v>
      </c>
      <c r="C33" s="232">
        <v>2</v>
      </c>
      <c r="D33" s="231" t="s">
        <v>511</v>
      </c>
      <c r="E33" s="230"/>
      <c r="F33" s="229">
        <v>2.2200000000000002</v>
      </c>
      <c r="G33" s="229">
        <v>5</v>
      </c>
      <c r="H33" s="228"/>
      <c r="I33" s="233" t="s">
        <v>513</v>
      </c>
      <c r="J33" s="232">
        <v>2</v>
      </c>
      <c r="K33" s="231" t="s">
        <v>511</v>
      </c>
      <c r="L33" s="230"/>
      <c r="M33" s="229">
        <v>3.14</v>
      </c>
      <c r="N33" s="229">
        <v>6.64</v>
      </c>
      <c r="Q33" s="222"/>
      <c r="R33" s="233" t="s">
        <v>525</v>
      </c>
      <c r="S33" s="232">
        <v>2</v>
      </c>
      <c r="T33" s="231" t="s">
        <v>511</v>
      </c>
      <c r="U33" s="230"/>
      <c r="V33" s="229">
        <v>2.2000000000000002</v>
      </c>
      <c r="W33" s="229">
        <v>4.84</v>
      </c>
      <c r="X33" s="228"/>
      <c r="Y33" s="233" t="s">
        <v>513</v>
      </c>
      <c r="Z33" s="232">
        <v>2</v>
      </c>
      <c r="AA33" s="231" t="s">
        <v>511</v>
      </c>
      <c r="AB33" s="230"/>
      <c r="AC33" s="229">
        <v>3.18</v>
      </c>
      <c r="AD33" s="229">
        <v>6.82</v>
      </c>
      <c r="AL33" s="68"/>
    </row>
    <row r="34" spans="2:38" ht="26.1" customHeight="1" x14ac:dyDescent="0.25">
      <c r="B34" s="233" t="s">
        <v>525</v>
      </c>
      <c r="C34" s="232">
        <v>3</v>
      </c>
      <c r="D34" s="231" t="s">
        <v>511</v>
      </c>
      <c r="E34" s="230"/>
      <c r="F34" s="229">
        <v>3.44</v>
      </c>
      <c r="G34" s="229">
        <v>7.2</v>
      </c>
      <c r="H34" s="228"/>
      <c r="I34" s="233" t="s">
        <v>513</v>
      </c>
      <c r="J34" s="232">
        <v>3</v>
      </c>
      <c r="K34" s="231" t="s">
        <v>511</v>
      </c>
      <c r="L34" s="230"/>
      <c r="M34" s="229">
        <v>3.74</v>
      </c>
      <c r="N34" s="229">
        <v>7.76</v>
      </c>
      <c r="Q34" s="222"/>
      <c r="R34" s="233" t="s">
        <v>525</v>
      </c>
      <c r="S34" s="232">
        <v>3</v>
      </c>
      <c r="T34" s="231" t="s">
        <v>511</v>
      </c>
      <c r="U34" s="230"/>
      <c r="V34" s="229">
        <v>3.38</v>
      </c>
      <c r="W34" s="229">
        <v>6.6</v>
      </c>
      <c r="X34" s="228"/>
      <c r="Y34" s="233" t="s">
        <v>513</v>
      </c>
      <c r="Z34" s="232">
        <v>3</v>
      </c>
      <c r="AA34" s="231" t="s">
        <v>511</v>
      </c>
      <c r="AB34" s="230"/>
      <c r="AC34" s="229">
        <v>2.68</v>
      </c>
      <c r="AD34" s="229">
        <v>5.84</v>
      </c>
      <c r="AL34" s="68"/>
    </row>
    <row r="35" spans="2:38" ht="26.1" customHeight="1" thickBot="1" x14ac:dyDescent="0.3">
      <c r="B35" s="227" t="s">
        <v>525</v>
      </c>
      <c r="C35" s="226">
        <v>4</v>
      </c>
      <c r="D35" s="225" t="s">
        <v>511</v>
      </c>
      <c r="E35" s="224"/>
      <c r="F35" s="223">
        <v>2.54</v>
      </c>
      <c r="G35" s="223">
        <v>5.54</v>
      </c>
      <c r="H35" s="228"/>
      <c r="I35" s="227" t="s">
        <v>513</v>
      </c>
      <c r="J35" s="226">
        <v>4</v>
      </c>
      <c r="K35" s="225" t="s">
        <v>511</v>
      </c>
      <c r="L35" s="224"/>
      <c r="M35" s="223">
        <v>2.96</v>
      </c>
      <c r="N35" s="223">
        <v>6.2</v>
      </c>
      <c r="Q35" s="222"/>
      <c r="R35" s="227" t="s">
        <v>525</v>
      </c>
      <c r="S35" s="226">
        <v>4</v>
      </c>
      <c r="T35" s="225" t="s">
        <v>511</v>
      </c>
      <c r="U35" s="224"/>
      <c r="V35" s="223">
        <v>1.94</v>
      </c>
      <c r="W35" s="223">
        <v>4.4800000000000004</v>
      </c>
      <c r="X35" s="228"/>
      <c r="Y35" s="227" t="s">
        <v>513</v>
      </c>
      <c r="Z35" s="226">
        <v>4</v>
      </c>
      <c r="AA35" s="225" t="s">
        <v>511</v>
      </c>
      <c r="AB35" s="224"/>
      <c r="AC35" s="223">
        <v>2.9</v>
      </c>
      <c r="AD35" s="223">
        <v>6.22</v>
      </c>
      <c r="AL35" s="68"/>
    </row>
    <row r="36" spans="2:38" ht="24" customHeight="1" x14ac:dyDescent="0.25">
      <c r="H36" s="221"/>
      <c r="Q36" s="222"/>
      <c r="R36" s="222"/>
      <c r="S36" s="222"/>
      <c r="T36" s="222"/>
      <c r="U36" s="222"/>
      <c r="V36" s="222"/>
      <c r="W36" s="222"/>
      <c r="X36" s="222"/>
      <c r="Y36" s="222"/>
      <c r="Z36" s="222"/>
      <c r="AA36" s="222"/>
      <c r="AB36" s="222"/>
      <c r="AC36" s="222"/>
      <c r="AD36" s="222"/>
      <c r="AL36" s="68"/>
    </row>
    <row r="37" spans="2:38" ht="24" customHeight="1" x14ac:dyDescent="0.25">
      <c r="H37" s="221"/>
      <c r="Q37" s="222"/>
      <c r="R37" s="222"/>
      <c r="S37" s="222"/>
      <c r="T37" s="222"/>
      <c r="U37" s="222"/>
      <c r="V37" s="222"/>
      <c r="W37" s="222"/>
      <c r="X37" s="222"/>
      <c r="Y37" s="222"/>
      <c r="Z37" s="222"/>
      <c r="AA37" s="222"/>
      <c r="AB37" s="222"/>
      <c r="AC37" s="222"/>
      <c r="AD37" s="222"/>
      <c r="AL37" s="68"/>
    </row>
    <row r="38" spans="2:38" ht="24" customHeight="1" x14ac:dyDescent="0.25">
      <c r="H38" s="221"/>
      <c r="Q38" s="222"/>
      <c r="R38" s="222"/>
      <c r="S38" s="222"/>
      <c r="T38" s="222"/>
      <c r="U38" s="222"/>
      <c r="V38" s="222"/>
      <c r="W38" s="222"/>
      <c r="X38" s="222"/>
      <c r="Y38" s="222"/>
      <c r="Z38" s="222"/>
      <c r="AA38" s="222"/>
      <c r="AB38" s="222"/>
      <c r="AC38" s="222"/>
      <c r="AD38" s="222"/>
      <c r="AL38" s="68"/>
    </row>
    <row r="39" spans="2:38" ht="24" customHeight="1" x14ac:dyDescent="0.25">
      <c r="H39" s="221"/>
      <c r="AL39" s="68"/>
    </row>
    <row r="40" spans="2:38" ht="24" customHeight="1" x14ac:dyDescent="0.25">
      <c r="H40" s="221"/>
      <c r="AL40" s="68"/>
    </row>
    <row r="41" spans="2:38" ht="24" customHeight="1" x14ac:dyDescent="0.25">
      <c r="H41" s="221"/>
      <c r="AL41" s="68"/>
    </row>
    <row r="42" spans="2:38" ht="24" customHeight="1" x14ac:dyDescent="0.25">
      <c r="H42" s="221"/>
      <c r="AL42" s="68"/>
    </row>
    <row r="43" spans="2:38" x14ac:dyDescent="0.2">
      <c r="AL43" s="68"/>
    </row>
  </sheetData>
  <mergeCells count="4">
    <mergeCell ref="R11:S11"/>
    <mergeCell ref="Y11:Z11"/>
    <mergeCell ref="B11:C11"/>
    <mergeCell ref="I11:J11"/>
  </mergeCells>
  <pageMargins left="0.2" right="0.45" top="0.5" bottom="0.5" header="0" footer="0.3"/>
  <pageSetup scale="85" pageOrder="overThenDown"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8C58A-DBC2-44BF-B6AE-07F75F493258}">
  <dimension ref="A1:AL67"/>
  <sheetViews>
    <sheetView zoomScale="115" zoomScaleNormal="115" workbookViewId="0">
      <selection activeCell="AK28" sqref="AK28"/>
    </sheetView>
  </sheetViews>
  <sheetFormatPr defaultRowHeight="15" x14ac:dyDescent="0.2"/>
  <cols>
    <col min="1" max="1" width="8.7109375" style="18" customWidth="1"/>
    <col min="2" max="4" width="4.28515625" style="18" customWidth="1"/>
    <col min="5" max="5" width="6.28515625" style="18" hidden="1" customWidth="1"/>
    <col min="6" max="6" width="17.5703125" style="24" customWidth="1"/>
    <col min="7" max="7" width="16.85546875" style="24" customWidth="1"/>
    <col min="8" max="8" width="12.28515625" style="24" customWidth="1"/>
    <col min="9" max="9" width="14" style="24" customWidth="1"/>
    <col min="10" max="10" width="12.85546875" style="24" customWidth="1"/>
    <col min="11" max="11" width="14.140625" style="288" hidden="1" customWidth="1"/>
    <col min="12" max="13" width="9.140625" style="18"/>
    <col min="14" max="14" width="8.7109375" style="18" customWidth="1"/>
    <col min="15" max="15" width="4.28515625" style="18" customWidth="1"/>
    <col min="16" max="16" width="4.5703125" style="18" customWidth="1"/>
    <col min="17" max="17" width="8.28515625" style="18" customWidth="1"/>
    <col min="18" max="18" width="10" style="18" customWidth="1"/>
    <col min="19" max="19" width="17.5703125" style="18" customWidth="1"/>
    <col min="20" max="20" width="16.85546875" style="18" customWidth="1"/>
    <col min="21" max="21" width="10" style="18" customWidth="1"/>
    <col min="22" max="22" width="14" style="18" customWidth="1"/>
    <col min="23" max="23" width="12.85546875" style="18" customWidth="1"/>
    <col min="24" max="25" width="9.140625" style="18"/>
    <col min="26" max="26" width="8.7109375" style="18" customWidth="1"/>
    <col min="27" max="28" width="4.28515625" style="18" customWidth="1"/>
    <col min="29" max="29" width="10.28515625" style="18" customWidth="1"/>
    <col min="30" max="30" width="17.5703125" style="18" customWidth="1"/>
    <col min="31" max="31" width="16.85546875" style="18" customWidth="1"/>
    <col min="32" max="32" width="12.28515625" style="18" customWidth="1"/>
    <col min="33" max="33" width="14" style="18" customWidth="1"/>
    <col min="34" max="34" width="12.85546875" style="18" customWidth="1"/>
    <col min="35" max="16384" width="9.140625" style="18"/>
  </cols>
  <sheetData>
    <row r="1" spans="1:34" ht="18.75" x14ac:dyDescent="0.3">
      <c r="A1" s="287">
        <v>2022</v>
      </c>
      <c r="B1" s="286" t="s">
        <v>654</v>
      </c>
      <c r="C1" s="221"/>
      <c r="D1" s="221"/>
      <c r="E1" s="221"/>
      <c r="F1" s="383"/>
      <c r="G1" s="383"/>
      <c r="H1" s="383"/>
      <c r="I1" s="383"/>
      <c r="J1" s="383"/>
      <c r="N1" s="287">
        <v>2022</v>
      </c>
      <c r="O1" s="286" t="s">
        <v>654</v>
      </c>
      <c r="P1" s="221"/>
      <c r="Q1" s="221"/>
      <c r="R1" s="221"/>
      <c r="S1" s="383"/>
      <c r="T1" s="383"/>
      <c r="U1" s="383"/>
      <c r="V1" s="383"/>
      <c r="W1" s="383"/>
      <c r="Z1" s="287">
        <v>2022</v>
      </c>
      <c r="AA1" s="286" t="s">
        <v>654</v>
      </c>
      <c r="AB1" s="221"/>
      <c r="AC1" s="221"/>
      <c r="AD1" s="383"/>
      <c r="AE1" s="383"/>
      <c r="AF1" s="383"/>
      <c r="AG1" s="383"/>
      <c r="AH1" s="383"/>
    </row>
    <row r="2" spans="1:34" ht="18.75" x14ac:dyDescent="0.3">
      <c r="A2" s="384"/>
      <c r="B2" s="286" t="s">
        <v>653</v>
      </c>
      <c r="C2" s="221"/>
      <c r="D2" s="221"/>
      <c r="E2" s="221"/>
      <c r="F2" s="383"/>
      <c r="G2" s="383"/>
      <c r="H2" s="383"/>
      <c r="I2" s="383"/>
      <c r="J2" s="383"/>
      <c r="N2" s="384"/>
      <c r="O2" s="286" t="s">
        <v>653</v>
      </c>
      <c r="P2" s="221"/>
      <c r="Q2" s="221"/>
      <c r="R2" s="221"/>
      <c r="S2" s="383"/>
      <c r="T2" s="383"/>
      <c r="U2" s="383"/>
      <c r="V2" s="383"/>
      <c r="W2" s="383"/>
      <c r="Z2" s="384"/>
      <c r="AA2" s="286" t="s">
        <v>653</v>
      </c>
      <c r="AB2" s="221"/>
      <c r="AC2" s="221"/>
      <c r="AD2" s="383"/>
      <c r="AE2" s="383"/>
      <c r="AF2" s="383"/>
      <c r="AG2" s="383"/>
      <c r="AH2" s="383"/>
    </row>
    <row r="3" spans="1:34" ht="15.6" customHeight="1" x14ac:dyDescent="0.3">
      <c r="A3" s="267"/>
      <c r="B3" s="282"/>
      <c r="C3" s="221"/>
      <c r="D3" s="221"/>
      <c r="E3" s="221"/>
      <c r="F3" s="383"/>
      <c r="G3" s="383"/>
      <c r="H3" s="383"/>
      <c r="I3" s="383"/>
      <c r="J3" s="383"/>
      <c r="N3" s="267"/>
      <c r="O3" s="282"/>
      <c r="P3" s="221"/>
      <c r="Q3" s="221"/>
      <c r="R3" s="221"/>
      <c r="S3" s="383"/>
      <c r="T3" s="383"/>
      <c r="U3" s="383"/>
      <c r="V3" s="383"/>
      <c r="W3" s="383"/>
      <c r="Z3" s="267"/>
      <c r="AA3" s="282"/>
      <c r="AB3" s="221"/>
      <c r="AC3" s="221"/>
      <c r="AD3" s="383"/>
      <c r="AE3" s="383"/>
      <c r="AF3" s="383"/>
      <c r="AG3" s="383"/>
      <c r="AH3" s="383"/>
    </row>
    <row r="4" spans="1:34" ht="18.75" x14ac:dyDescent="0.3">
      <c r="A4" s="267"/>
      <c r="B4" s="286" t="s">
        <v>652</v>
      </c>
      <c r="C4" s="221"/>
      <c r="D4" s="221"/>
      <c r="E4" s="221"/>
      <c r="F4" s="383"/>
      <c r="G4" s="383"/>
      <c r="H4" s="383"/>
      <c r="I4" s="383"/>
      <c r="J4" s="383"/>
      <c r="N4" s="267"/>
      <c r="O4" s="286" t="s">
        <v>652</v>
      </c>
      <c r="P4" s="221"/>
      <c r="Q4" s="221"/>
      <c r="R4" s="221"/>
      <c r="S4" s="383"/>
      <c r="T4" s="383"/>
      <c r="U4" s="383"/>
      <c r="V4" s="383"/>
      <c r="W4" s="383"/>
      <c r="Z4" s="267"/>
      <c r="AA4" s="286" t="s">
        <v>652</v>
      </c>
      <c r="AB4" s="221"/>
      <c r="AC4" s="221"/>
      <c r="AD4" s="383"/>
      <c r="AE4" s="383"/>
      <c r="AF4" s="383"/>
      <c r="AG4" s="383"/>
      <c r="AH4" s="383"/>
    </row>
    <row r="5" spans="1:34" ht="7.9" customHeight="1" x14ac:dyDescent="0.25">
      <c r="A5" s="352"/>
      <c r="B5" s="221"/>
      <c r="C5" s="257"/>
      <c r="D5" s="221"/>
      <c r="E5" s="221"/>
      <c r="F5" s="383"/>
      <c r="G5" s="383"/>
      <c r="H5" s="383"/>
      <c r="I5" s="383"/>
      <c r="J5" s="383"/>
      <c r="N5" s="352"/>
      <c r="O5" s="221"/>
      <c r="P5" s="257"/>
      <c r="Q5" s="221"/>
      <c r="R5" s="221"/>
      <c r="S5" s="383"/>
      <c r="T5" s="383"/>
      <c r="U5" s="383"/>
      <c r="V5" s="383"/>
      <c r="W5" s="383"/>
      <c r="Z5" s="352"/>
      <c r="AA5" s="221"/>
      <c r="AB5" s="257"/>
      <c r="AC5" s="221"/>
      <c r="AD5" s="383"/>
      <c r="AE5" s="383"/>
      <c r="AF5" s="383"/>
      <c r="AG5" s="383"/>
      <c r="AH5" s="383"/>
    </row>
    <row r="6" spans="1:34" x14ac:dyDescent="0.25">
      <c r="A6" s="257" t="s">
        <v>651</v>
      </c>
      <c r="B6" s="257"/>
      <c r="C6" s="257"/>
      <c r="D6" s="257"/>
      <c r="E6" s="257"/>
      <c r="F6" s="371"/>
      <c r="G6" s="371"/>
      <c r="H6" s="371"/>
      <c r="I6" s="383"/>
      <c r="N6" s="257" t="s">
        <v>651</v>
      </c>
      <c r="O6" s="257"/>
      <c r="P6" s="257"/>
      <c r="Q6" s="257"/>
      <c r="R6" s="257"/>
      <c r="S6" s="371"/>
      <c r="T6" s="371"/>
      <c r="U6" s="371"/>
      <c r="V6" s="383"/>
      <c r="W6" s="24"/>
      <c r="Z6" s="257" t="s">
        <v>651</v>
      </c>
      <c r="AA6" s="257"/>
      <c r="AB6" s="257"/>
      <c r="AC6" s="257"/>
      <c r="AD6" s="371"/>
      <c r="AE6" s="371"/>
      <c r="AF6" s="371"/>
      <c r="AG6" s="383"/>
      <c r="AH6" s="24"/>
    </row>
    <row r="7" spans="1:34" x14ac:dyDescent="0.25">
      <c r="A7" s="257" t="s">
        <v>650</v>
      </c>
      <c r="B7" s="257"/>
      <c r="C7" s="257"/>
      <c r="D7" s="257"/>
      <c r="E7" s="257"/>
      <c r="F7" s="371"/>
      <c r="G7" s="371"/>
      <c r="H7" s="371"/>
      <c r="I7" s="383"/>
      <c r="N7" s="257" t="s">
        <v>650</v>
      </c>
      <c r="O7" s="257"/>
      <c r="P7" s="257"/>
      <c r="Q7" s="257"/>
      <c r="R7" s="257"/>
      <c r="S7" s="371"/>
      <c r="T7" s="371"/>
      <c r="U7" s="371"/>
      <c r="V7" s="383"/>
      <c r="W7" s="24"/>
      <c r="Z7" s="257" t="s">
        <v>650</v>
      </c>
      <c r="AA7" s="257"/>
      <c r="AB7" s="257"/>
      <c r="AC7" s="257"/>
      <c r="AD7" s="371"/>
      <c r="AE7" s="371"/>
      <c r="AF7" s="371"/>
      <c r="AG7" s="383"/>
      <c r="AH7" s="24"/>
    </row>
    <row r="8" spans="1:34" x14ac:dyDescent="0.25">
      <c r="A8" s="257"/>
      <c r="B8" s="257" t="s">
        <v>649</v>
      </c>
      <c r="C8" s="257"/>
      <c r="D8" s="257"/>
      <c r="E8" s="257"/>
      <c r="F8" s="371"/>
      <c r="G8" s="371"/>
      <c r="H8" s="371"/>
      <c r="I8" s="383"/>
      <c r="N8" s="257"/>
      <c r="O8" s="257" t="s">
        <v>649</v>
      </c>
      <c r="P8" s="257"/>
      <c r="Q8" s="257"/>
      <c r="R8" s="257"/>
      <c r="S8" s="371"/>
      <c r="T8" s="371"/>
      <c r="U8" s="371"/>
      <c r="V8" s="383"/>
      <c r="W8" s="24"/>
      <c r="Z8" s="257"/>
      <c r="AA8" s="257" t="s">
        <v>648</v>
      </c>
      <c r="AB8" s="257"/>
      <c r="AC8" s="257"/>
      <c r="AD8" s="371"/>
      <c r="AE8" s="371"/>
      <c r="AF8" s="371"/>
      <c r="AG8" s="383"/>
      <c r="AH8" s="24"/>
    </row>
    <row r="9" spans="1:34" x14ac:dyDescent="0.25">
      <c r="A9" s="257" t="s">
        <v>647</v>
      </c>
      <c r="B9" s="259"/>
      <c r="C9" s="257"/>
      <c r="D9" s="257"/>
      <c r="E9" s="257"/>
      <c r="F9" s="371"/>
      <c r="G9" s="371"/>
      <c r="H9" s="371"/>
      <c r="I9" s="371"/>
      <c r="J9" s="383"/>
      <c r="N9" s="257" t="s">
        <v>647</v>
      </c>
      <c r="O9" s="259"/>
      <c r="P9" s="257"/>
      <c r="Q9" s="257"/>
      <c r="R9" s="257"/>
      <c r="S9" s="371"/>
      <c r="T9" s="371"/>
      <c r="U9" s="371"/>
      <c r="V9" s="371"/>
      <c r="W9" s="383"/>
      <c r="Z9" s="257" t="s">
        <v>647</v>
      </c>
      <c r="AA9" s="259"/>
      <c r="AB9" s="257"/>
      <c r="AC9" s="257"/>
      <c r="AD9" s="371"/>
      <c r="AE9" s="371"/>
      <c r="AF9" s="371"/>
      <c r="AG9" s="371"/>
      <c r="AH9" s="383"/>
    </row>
    <row r="10" spans="1:34" x14ac:dyDescent="0.2">
      <c r="A10" s="370"/>
      <c r="B10" s="257"/>
      <c r="C10" s="257"/>
      <c r="D10" s="257"/>
      <c r="E10" s="257"/>
      <c r="F10" s="371"/>
      <c r="G10" s="371"/>
      <c r="H10" s="371"/>
      <c r="I10" s="371"/>
      <c r="J10" s="371"/>
      <c r="N10" s="370"/>
      <c r="O10" s="257"/>
      <c r="P10" s="257"/>
      <c r="Q10" s="257"/>
      <c r="R10" s="257"/>
      <c r="S10" s="371"/>
      <c r="T10" s="371"/>
      <c r="U10" s="371"/>
      <c r="V10" s="371"/>
      <c r="W10" s="371"/>
      <c r="Z10" s="370"/>
      <c r="AA10" s="257"/>
      <c r="AB10" s="257"/>
      <c r="AC10" s="257"/>
      <c r="AD10" s="371"/>
      <c r="AE10" s="371"/>
      <c r="AF10" s="371"/>
      <c r="AG10" s="371"/>
      <c r="AH10" s="371"/>
    </row>
    <row r="11" spans="1:34" x14ac:dyDescent="0.2">
      <c r="A11" s="370"/>
      <c r="B11" s="257"/>
      <c r="C11" s="257" t="s">
        <v>646</v>
      </c>
      <c r="D11" s="257"/>
      <c r="E11" s="257"/>
      <c r="F11" s="371"/>
      <c r="H11" s="371"/>
      <c r="I11" s="382"/>
      <c r="J11" s="371"/>
      <c r="N11" s="370"/>
      <c r="O11" s="257"/>
      <c r="P11" s="257" t="s">
        <v>646</v>
      </c>
      <c r="Q11" s="257"/>
      <c r="R11" s="257"/>
      <c r="S11" s="371"/>
      <c r="T11" s="24"/>
      <c r="U11" s="371"/>
      <c r="V11" s="382"/>
      <c r="W11" s="371"/>
      <c r="Z11" s="370"/>
      <c r="AA11" s="257"/>
      <c r="AB11" s="257" t="s">
        <v>646</v>
      </c>
      <c r="AC11" s="257"/>
      <c r="AD11" s="371"/>
      <c r="AE11" s="24"/>
      <c r="AF11" s="371"/>
      <c r="AG11" s="382"/>
      <c r="AH11" s="371"/>
    </row>
    <row r="12" spans="1:34" ht="23.25" x14ac:dyDescent="0.35">
      <c r="A12" s="370"/>
      <c r="B12" s="381"/>
      <c r="C12" s="381"/>
      <c r="D12" s="381"/>
      <c r="E12" s="381"/>
      <c r="F12" s="380" t="s">
        <v>645</v>
      </c>
      <c r="G12" s="379"/>
      <c r="H12" s="377"/>
      <c r="I12" s="378"/>
      <c r="J12" s="377"/>
      <c r="N12" s="370"/>
      <c r="O12" s="376"/>
      <c r="P12" s="376"/>
      <c r="Q12" s="376"/>
      <c r="R12" s="376"/>
      <c r="S12" s="375" t="s">
        <v>644</v>
      </c>
      <c r="T12" s="374"/>
      <c r="U12" s="373"/>
      <c r="V12" s="372"/>
      <c r="W12" s="371"/>
      <c r="Z12" s="370"/>
      <c r="AA12" s="369"/>
      <c r="AB12" s="369"/>
      <c r="AC12" s="369"/>
      <c r="AD12" s="368" t="s">
        <v>589</v>
      </c>
      <c r="AE12" s="367"/>
      <c r="AF12" s="365"/>
      <c r="AG12" s="366"/>
      <c r="AH12" s="365"/>
    </row>
    <row r="13" spans="1:34" ht="23.25" x14ac:dyDescent="0.35">
      <c r="A13" s="370"/>
      <c r="B13" s="381"/>
      <c r="C13" s="381"/>
      <c r="D13" s="381"/>
      <c r="E13" s="381"/>
      <c r="F13" s="380"/>
      <c r="G13" s="379"/>
      <c r="H13" s="377"/>
      <c r="I13" s="378"/>
      <c r="J13" s="377"/>
      <c r="N13" s="370"/>
      <c r="O13" s="376"/>
      <c r="P13" s="376"/>
      <c r="Q13" s="376"/>
      <c r="R13" s="376"/>
      <c r="S13" s="375"/>
      <c r="T13" s="374"/>
      <c r="U13" s="373"/>
      <c r="V13" s="372"/>
      <c r="W13" s="371"/>
      <c r="Z13" s="370"/>
      <c r="AA13" s="369"/>
      <c r="AB13" s="369"/>
      <c r="AC13" s="369"/>
      <c r="AD13" s="368"/>
      <c r="AE13" s="367"/>
      <c r="AF13" s="365"/>
      <c r="AG13" s="366"/>
      <c r="AH13" s="365"/>
    </row>
    <row r="14" spans="1:34" ht="22.15" customHeight="1" x14ac:dyDescent="0.25">
      <c r="B14" s="358"/>
      <c r="C14" s="358"/>
      <c r="E14" s="357" t="s">
        <v>643</v>
      </c>
      <c r="F14" s="362">
        <v>44914</v>
      </c>
      <c r="G14" s="362">
        <v>44881</v>
      </c>
      <c r="H14" s="355"/>
      <c r="I14" s="362">
        <v>44939</v>
      </c>
      <c r="J14" s="353"/>
      <c r="K14" s="361"/>
      <c r="O14" s="364"/>
      <c r="P14" s="364"/>
      <c r="Q14" s="364"/>
      <c r="R14" s="364"/>
      <c r="S14" s="362">
        <v>44914</v>
      </c>
      <c r="T14" s="362">
        <v>44881</v>
      </c>
      <c r="U14" s="355"/>
      <c r="V14" s="362">
        <v>44939</v>
      </c>
      <c r="W14" s="363"/>
      <c r="X14" s="360"/>
      <c r="Y14" s="360"/>
      <c r="Z14" s="359"/>
      <c r="AA14" s="358"/>
      <c r="AB14" s="358"/>
      <c r="AC14" s="357" t="s">
        <v>643</v>
      </c>
      <c r="AD14" s="362">
        <v>44914</v>
      </c>
      <c r="AE14" s="362">
        <v>44880</v>
      </c>
      <c r="AF14" s="355"/>
      <c r="AG14" s="362">
        <v>44939</v>
      </c>
      <c r="AH14" s="353"/>
    </row>
    <row r="15" spans="1:34" ht="22.15" customHeight="1" x14ac:dyDescent="0.25">
      <c r="B15" s="358"/>
      <c r="C15" s="358"/>
      <c r="E15" s="357"/>
      <c r="F15" s="362"/>
      <c r="G15" s="362"/>
      <c r="H15" s="355"/>
      <c r="I15" s="362"/>
      <c r="J15" s="353"/>
      <c r="K15" s="361"/>
      <c r="O15" s="221"/>
      <c r="P15" s="352"/>
      <c r="Q15" s="221"/>
      <c r="R15" s="351"/>
      <c r="S15" s="350"/>
      <c r="T15" s="340" t="s">
        <v>641</v>
      </c>
      <c r="U15" s="340" t="s">
        <v>640</v>
      </c>
      <c r="V15" s="349" t="s">
        <v>639</v>
      </c>
      <c r="W15" s="339" t="s">
        <v>638</v>
      </c>
      <c r="X15" s="360"/>
      <c r="Y15" s="360"/>
      <c r="Z15" s="359"/>
      <c r="AA15" s="358"/>
      <c r="AB15" s="358"/>
      <c r="AC15" s="357"/>
      <c r="AD15" s="355"/>
      <c r="AE15" s="356"/>
      <c r="AF15" s="355"/>
      <c r="AG15" s="354"/>
      <c r="AH15" s="353"/>
    </row>
    <row r="16" spans="1:34" ht="42" customHeight="1" thickBot="1" x14ac:dyDescent="0.3">
      <c r="B16" s="221"/>
      <c r="C16" s="352"/>
      <c r="D16" s="221"/>
      <c r="E16" s="351"/>
      <c r="F16" s="350"/>
      <c r="G16" s="340" t="s">
        <v>641</v>
      </c>
      <c r="H16" s="340" t="s">
        <v>640</v>
      </c>
      <c r="I16" s="349" t="s">
        <v>639</v>
      </c>
      <c r="J16" s="339" t="s">
        <v>638</v>
      </c>
      <c r="K16" s="400" t="s">
        <v>642</v>
      </c>
      <c r="L16" s="221"/>
      <c r="O16" s="399" t="s">
        <v>175</v>
      </c>
      <c r="P16" s="399"/>
      <c r="Q16" s="114" t="s">
        <v>585</v>
      </c>
      <c r="R16" s="342" t="s">
        <v>558</v>
      </c>
      <c r="S16" s="341" t="s">
        <v>637</v>
      </c>
      <c r="T16" s="340" t="s">
        <v>636</v>
      </c>
      <c r="U16" s="340" t="s">
        <v>635</v>
      </c>
      <c r="V16" s="340" t="s">
        <v>634</v>
      </c>
      <c r="W16" s="339" t="s">
        <v>633</v>
      </c>
      <c r="AA16" s="221"/>
      <c r="AB16" s="352"/>
      <c r="AC16" s="351"/>
      <c r="AD16" s="350"/>
      <c r="AE16" s="340" t="s">
        <v>641</v>
      </c>
      <c r="AF16" s="340" t="s">
        <v>640</v>
      </c>
      <c r="AG16" s="349" t="s">
        <v>639</v>
      </c>
      <c r="AH16" s="339" t="s">
        <v>638</v>
      </c>
    </row>
    <row r="17" spans="2:34" ht="47.25" customHeight="1" thickBot="1" x14ac:dyDescent="0.3">
      <c r="B17" s="399" t="s">
        <v>175</v>
      </c>
      <c r="C17" s="399"/>
      <c r="D17" s="114" t="s">
        <v>585</v>
      </c>
      <c r="E17" s="342" t="s">
        <v>558</v>
      </c>
      <c r="F17" s="341" t="s">
        <v>637</v>
      </c>
      <c r="G17" s="340" t="s">
        <v>636</v>
      </c>
      <c r="H17" s="340" t="s">
        <v>635</v>
      </c>
      <c r="I17" s="340" t="s">
        <v>634</v>
      </c>
      <c r="J17" s="339" t="s">
        <v>633</v>
      </c>
      <c r="K17" s="400"/>
      <c r="L17" s="221"/>
      <c r="O17" s="348" t="s">
        <v>549</v>
      </c>
      <c r="P17" s="347">
        <v>2</v>
      </c>
      <c r="Q17" s="346" t="s">
        <v>510</v>
      </c>
      <c r="R17" s="345"/>
      <c r="S17" s="344">
        <v>8.5399999999999991</v>
      </c>
      <c r="T17" s="344">
        <v>189.44</v>
      </c>
      <c r="U17" s="333">
        <f t="shared" ref="U17:U48" si="0">T17-S17</f>
        <v>180.9</v>
      </c>
      <c r="V17" s="343">
        <v>170.97</v>
      </c>
      <c r="W17" s="343">
        <f t="shared" ref="W17:W48" si="1">((U17-V17)/U17)*100</f>
        <v>5.4892205638474332</v>
      </c>
      <c r="AA17" s="399" t="s">
        <v>175</v>
      </c>
      <c r="AB17" s="399"/>
      <c r="AC17" s="342"/>
      <c r="AD17" s="341" t="s">
        <v>637</v>
      </c>
      <c r="AE17" s="340" t="s">
        <v>636</v>
      </c>
      <c r="AF17" s="340" t="s">
        <v>635</v>
      </c>
      <c r="AG17" s="340" t="s">
        <v>634</v>
      </c>
      <c r="AH17" s="339" t="s">
        <v>633</v>
      </c>
    </row>
    <row r="18" spans="2:34" ht="22.15" customHeight="1" thickBot="1" x14ac:dyDescent="0.35">
      <c r="B18" s="187" t="s">
        <v>549</v>
      </c>
      <c r="C18" s="186">
        <v>1</v>
      </c>
      <c r="D18" s="185" t="s">
        <v>511</v>
      </c>
      <c r="E18" s="305" t="s">
        <v>631</v>
      </c>
      <c r="F18" s="307">
        <v>8.41</v>
      </c>
      <c r="G18" s="307">
        <v>207.34</v>
      </c>
      <c r="H18" s="304">
        <f t="shared" ref="H18:H65" si="2">G18-F18</f>
        <v>198.93</v>
      </c>
      <c r="I18" s="306">
        <v>183.72</v>
      </c>
      <c r="J18" s="306">
        <f t="shared" ref="J18:J65" si="3">((H18-I18)/H18)*100</f>
        <v>7.6459055949328949</v>
      </c>
      <c r="L18" s="393" t="s">
        <v>632</v>
      </c>
      <c r="M18" s="394"/>
      <c r="O18" s="187" t="s">
        <v>549</v>
      </c>
      <c r="P18" s="186">
        <v>1</v>
      </c>
      <c r="Q18" s="185" t="s">
        <v>511</v>
      </c>
      <c r="R18" s="305" t="s">
        <v>631</v>
      </c>
      <c r="S18" s="307">
        <v>8.7799999999999994</v>
      </c>
      <c r="T18" s="307">
        <v>148.08000000000001</v>
      </c>
      <c r="U18" s="292">
        <f t="shared" si="0"/>
        <v>139.30000000000001</v>
      </c>
      <c r="V18" s="306">
        <v>132.49</v>
      </c>
      <c r="W18" s="290">
        <f t="shared" si="1"/>
        <v>4.8887293610911717</v>
      </c>
      <c r="AA18" s="187" t="s">
        <v>549</v>
      </c>
      <c r="AB18" s="186">
        <v>1</v>
      </c>
      <c r="AC18" s="329" t="s">
        <v>626</v>
      </c>
      <c r="AD18" s="307">
        <v>8.49</v>
      </c>
      <c r="AE18" s="307">
        <v>160.22999999999999</v>
      </c>
      <c r="AF18" s="304">
        <f t="shared" ref="AF18:AF49" si="4">AE18-AD18</f>
        <v>151.73999999999998</v>
      </c>
      <c r="AG18" s="306">
        <v>143.15</v>
      </c>
      <c r="AH18" s="306">
        <f t="shared" ref="AH18:AH49" si="5">((AF18-AG18)/AF18)*100</f>
        <v>5.6609990773691683</v>
      </c>
    </row>
    <row r="19" spans="2:34" ht="22.15" customHeight="1" thickBot="1" x14ac:dyDescent="0.35">
      <c r="B19" s="338" t="s">
        <v>549</v>
      </c>
      <c r="C19" s="337">
        <v>2</v>
      </c>
      <c r="D19" s="336" t="s">
        <v>511</v>
      </c>
      <c r="E19" s="335" t="s">
        <v>631</v>
      </c>
      <c r="F19" s="334"/>
      <c r="G19" s="334"/>
      <c r="H19" s="333">
        <f t="shared" si="2"/>
        <v>0</v>
      </c>
      <c r="I19" s="332"/>
      <c r="J19" s="331" t="e">
        <f t="shared" si="3"/>
        <v>#DIV/0!</v>
      </c>
      <c r="K19" s="330"/>
      <c r="L19" s="395"/>
      <c r="M19" s="396"/>
      <c r="O19" s="182" t="s">
        <v>549</v>
      </c>
      <c r="P19" s="181">
        <v>2</v>
      </c>
      <c r="Q19" s="180" t="s">
        <v>511</v>
      </c>
      <c r="R19" s="303" t="s">
        <v>631</v>
      </c>
      <c r="S19" s="302">
        <v>8.84</v>
      </c>
      <c r="T19" s="302">
        <v>188.8</v>
      </c>
      <c r="U19" s="292">
        <f t="shared" si="0"/>
        <v>179.96</v>
      </c>
      <c r="V19" s="301">
        <v>171.73</v>
      </c>
      <c r="W19" s="290">
        <f t="shared" si="1"/>
        <v>4.573238497443886</v>
      </c>
      <c r="AA19" s="182" t="s">
        <v>549</v>
      </c>
      <c r="AB19" s="181">
        <v>2</v>
      </c>
      <c r="AC19" s="327" t="s">
        <v>626</v>
      </c>
      <c r="AD19" s="302">
        <v>8.48</v>
      </c>
      <c r="AE19" s="302">
        <v>163.19999999999999</v>
      </c>
      <c r="AF19" s="304">
        <f t="shared" si="4"/>
        <v>154.72</v>
      </c>
      <c r="AG19" s="301">
        <v>146.88999999999999</v>
      </c>
      <c r="AH19" s="301">
        <f t="shared" si="5"/>
        <v>5.0607549120992843</v>
      </c>
    </row>
    <row r="20" spans="2:34" ht="22.15" customHeight="1" thickBot="1" x14ac:dyDescent="0.35">
      <c r="B20" s="182" t="s">
        <v>549</v>
      </c>
      <c r="C20" s="181">
        <v>3</v>
      </c>
      <c r="D20" s="180" t="s">
        <v>511</v>
      </c>
      <c r="E20" s="294" t="s">
        <v>631</v>
      </c>
      <c r="F20" s="302">
        <v>8.4700000000000006</v>
      </c>
      <c r="G20" s="302">
        <v>235.52</v>
      </c>
      <c r="H20" s="304">
        <f t="shared" si="2"/>
        <v>227.05</v>
      </c>
      <c r="I20" s="301">
        <v>209.25</v>
      </c>
      <c r="J20" s="301">
        <f t="shared" si="3"/>
        <v>7.8396828892314518</v>
      </c>
      <c r="L20" s="397"/>
      <c r="M20" s="398"/>
      <c r="O20" s="182" t="s">
        <v>549</v>
      </c>
      <c r="P20" s="181">
        <v>3</v>
      </c>
      <c r="Q20" s="180" t="s">
        <v>511</v>
      </c>
      <c r="R20" s="294" t="s">
        <v>631</v>
      </c>
      <c r="S20" s="302">
        <v>8.82</v>
      </c>
      <c r="T20" s="302">
        <v>170.14</v>
      </c>
      <c r="U20" s="292">
        <f t="shared" si="0"/>
        <v>161.32</v>
      </c>
      <c r="V20" s="301">
        <v>152.52000000000001</v>
      </c>
      <c r="W20" s="290">
        <f t="shared" si="1"/>
        <v>5.4549962806843437</v>
      </c>
      <c r="AA20" s="182" t="s">
        <v>549</v>
      </c>
      <c r="AB20" s="181">
        <v>3</v>
      </c>
      <c r="AC20" s="327" t="s">
        <v>626</v>
      </c>
      <c r="AD20" s="302">
        <v>8.52</v>
      </c>
      <c r="AE20" s="302">
        <v>143.27000000000001</v>
      </c>
      <c r="AF20" s="304">
        <f t="shared" si="4"/>
        <v>134.75</v>
      </c>
      <c r="AG20" s="301">
        <v>127.68</v>
      </c>
      <c r="AH20" s="301">
        <f t="shared" si="5"/>
        <v>5.2467532467532418</v>
      </c>
    </row>
    <row r="21" spans="2:34" ht="22.15" customHeight="1" thickBot="1" x14ac:dyDescent="0.35">
      <c r="B21" s="177" t="s">
        <v>549</v>
      </c>
      <c r="C21" s="176">
        <v>4</v>
      </c>
      <c r="D21" s="175" t="s">
        <v>511</v>
      </c>
      <c r="E21" s="305" t="s">
        <v>630</v>
      </c>
      <c r="F21" s="293">
        <v>8.5399999999999991</v>
      </c>
      <c r="G21" s="293">
        <v>250.57</v>
      </c>
      <c r="H21" s="304">
        <f t="shared" si="2"/>
        <v>242.03</v>
      </c>
      <c r="I21" s="291">
        <v>224.66</v>
      </c>
      <c r="J21" s="291">
        <f t="shared" si="3"/>
        <v>7.1767962649258372</v>
      </c>
      <c r="L21" s="221"/>
      <c r="O21" s="177" t="s">
        <v>549</v>
      </c>
      <c r="P21" s="176">
        <v>4</v>
      </c>
      <c r="Q21" s="175" t="s">
        <v>511</v>
      </c>
      <c r="R21" s="305" t="s">
        <v>630</v>
      </c>
      <c r="S21" s="293">
        <v>8.82</v>
      </c>
      <c r="T21" s="293">
        <v>198.36</v>
      </c>
      <c r="U21" s="292">
        <f t="shared" si="0"/>
        <v>189.54000000000002</v>
      </c>
      <c r="V21" s="291">
        <v>179.81</v>
      </c>
      <c r="W21" s="290">
        <f t="shared" si="1"/>
        <v>5.1334810594069937</v>
      </c>
      <c r="AA21" s="182" t="s">
        <v>549</v>
      </c>
      <c r="AB21" s="181">
        <v>4</v>
      </c>
      <c r="AC21" s="327" t="s">
        <v>626</v>
      </c>
      <c r="AD21" s="302">
        <v>8.48</v>
      </c>
      <c r="AE21" s="302">
        <v>134.81</v>
      </c>
      <c r="AF21" s="304">
        <f t="shared" si="4"/>
        <v>126.33</v>
      </c>
      <c r="AG21" s="301">
        <v>119.25</v>
      </c>
      <c r="AH21" s="301">
        <f t="shared" si="5"/>
        <v>5.6043695084303007</v>
      </c>
    </row>
    <row r="22" spans="2:34" ht="22.15" customHeight="1" thickBot="1" x14ac:dyDescent="0.35">
      <c r="B22" s="187" t="s">
        <v>539</v>
      </c>
      <c r="C22" s="186">
        <v>1</v>
      </c>
      <c r="D22" s="185" t="s">
        <v>511</v>
      </c>
      <c r="E22" s="303" t="s">
        <v>630</v>
      </c>
      <c r="F22" s="307">
        <v>8.43</v>
      </c>
      <c r="G22" s="307">
        <v>196.89</v>
      </c>
      <c r="H22" s="304">
        <f t="shared" si="2"/>
        <v>188.45999999999998</v>
      </c>
      <c r="I22" s="306">
        <v>174.66</v>
      </c>
      <c r="J22" s="306">
        <f t="shared" si="3"/>
        <v>7.3225087551735024</v>
      </c>
      <c r="L22" s="221"/>
      <c r="O22" s="187" t="s">
        <v>539</v>
      </c>
      <c r="P22" s="186">
        <v>1</v>
      </c>
      <c r="Q22" s="185" t="s">
        <v>511</v>
      </c>
      <c r="R22" s="303" t="s">
        <v>630</v>
      </c>
      <c r="S22" s="307">
        <v>8.82</v>
      </c>
      <c r="T22" s="307">
        <v>212.39</v>
      </c>
      <c r="U22" s="292">
        <f t="shared" si="0"/>
        <v>203.57</v>
      </c>
      <c r="V22" s="306">
        <v>194.03</v>
      </c>
      <c r="W22" s="290">
        <f t="shared" si="1"/>
        <v>4.6863486761310567</v>
      </c>
      <c r="AA22" s="321" t="s">
        <v>549</v>
      </c>
      <c r="AB22" s="320">
        <v>5</v>
      </c>
      <c r="AC22" s="327" t="s">
        <v>626</v>
      </c>
      <c r="AD22" s="318">
        <v>8.39</v>
      </c>
      <c r="AE22" s="318">
        <v>140.24</v>
      </c>
      <c r="AF22" s="317">
        <f t="shared" si="4"/>
        <v>131.85000000000002</v>
      </c>
      <c r="AG22" s="316">
        <v>123.76</v>
      </c>
      <c r="AH22" s="316">
        <f t="shared" si="5"/>
        <v>6.1357603337125646</v>
      </c>
    </row>
    <row r="23" spans="2:34" ht="22.15" customHeight="1" thickBot="1" x14ac:dyDescent="0.35">
      <c r="B23" s="182" t="s">
        <v>539</v>
      </c>
      <c r="C23" s="181">
        <v>2</v>
      </c>
      <c r="D23" s="180" t="s">
        <v>511</v>
      </c>
      <c r="E23" s="294" t="s">
        <v>630</v>
      </c>
      <c r="F23" s="302">
        <v>8.5</v>
      </c>
      <c r="G23" s="302">
        <v>266.41000000000003</v>
      </c>
      <c r="H23" s="304">
        <f t="shared" si="2"/>
        <v>257.91000000000003</v>
      </c>
      <c r="I23" s="301">
        <v>241.24</v>
      </c>
      <c r="J23" s="301">
        <f t="shared" si="3"/>
        <v>6.4634950176418187</v>
      </c>
      <c r="L23" s="221"/>
      <c r="O23" s="182" t="s">
        <v>539</v>
      </c>
      <c r="P23" s="181">
        <v>2</v>
      </c>
      <c r="Q23" s="180" t="s">
        <v>511</v>
      </c>
      <c r="R23" s="294" t="s">
        <v>630</v>
      </c>
      <c r="S23" s="302">
        <v>8.81</v>
      </c>
      <c r="T23" s="302">
        <v>161.08000000000001</v>
      </c>
      <c r="U23" s="292">
        <f t="shared" si="0"/>
        <v>152.27000000000001</v>
      </c>
      <c r="V23" s="301">
        <v>145.35</v>
      </c>
      <c r="W23" s="290">
        <f t="shared" si="1"/>
        <v>4.5445590070270017</v>
      </c>
      <c r="AA23" s="182" t="s">
        <v>549</v>
      </c>
      <c r="AB23" s="181">
        <v>6</v>
      </c>
      <c r="AC23" s="327" t="s">
        <v>626</v>
      </c>
      <c r="AD23" s="302">
        <v>8.35</v>
      </c>
      <c r="AE23" s="302">
        <v>114.64</v>
      </c>
      <c r="AF23" s="304">
        <f t="shared" si="4"/>
        <v>106.29</v>
      </c>
      <c r="AG23" s="301">
        <v>100.84</v>
      </c>
      <c r="AH23" s="301">
        <f t="shared" si="5"/>
        <v>5.1274814187599986</v>
      </c>
    </row>
    <row r="24" spans="2:34" ht="22.15" customHeight="1" thickBot="1" x14ac:dyDescent="0.35">
      <c r="B24" s="182" t="s">
        <v>539</v>
      </c>
      <c r="C24" s="181">
        <v>3</v>
      </c>
      <c r="D24" s="180" t="s">
        <v>511</v>
      </c>
      <c r="E24" s="305" t="s">
        <v>629</v>
      </c>
      <c r="F24" s="302">
        <v>8.5</v>
      </c>
      <c r="G24" s="302">
        <v>168.43</v>
      </c>
      <c r="H24" s="304">
        <f t="shared" si="2"/>
        <v>159.93</v>
      </c>
      <c r="I24" s="301">
        <v>150.02000000000001</v>
      </c>
      <c r="J24" s="301">
        <f t="shared" si="3"/>
        <v>6.1964609516663511</v>
      </c>
      <c r="L24" s="221"/>
      <c r="O24" s="182" t="s">
        <v>539</v>
      </c>
      <c r="P24" s="181">
        <v>3</v>
      </c>
      <c r="Q24" s="180" t="s">
        <v>511</v>
      </c>
      <c r="R24" s="305" t="s">
        <v>629</v>
      </c>
      <c r="S24" s="302">
        <v>8.91</v>
      </c>
      <c r="T24" s="302">
        <v>146.19999999999999</v>
      </c>
      <c r="U24" s="292">
        <f t="shared" si="0"/>
        <v>137.29</v>
      </c>
      <c r="V24" s="301">
        <v>130.72999999999999</v>
      </c>
      <c r="W24" s="290">
        <f t="shared" si="1"/>
        <v>4.7782067157112706</v>
      </c>
      <c r="AA24" s="182" t="s">
        <v>549</v>
      </c>
      <c r="AB24" s="181">
        <v>7</v>
      </c>
      <c r="AC24" s="327" t="s">
        <v>626</v>
      </c>
      <c r="AD24" s="302">
        <v>8.4499999999999993</v>
      </c>
      <c r="AE24" s="302">
        <v>196.27</v>
      </c>
      <c r="AF24" s="304">
        <f t="shared" si="4"/>
        <v>187.82000000000002</v>
      </c>
      <c r="AG24" s="301">
        <v>176.43</v>
      </c>
      <c r="AH24" s="301">
        <f t="shared" si="5"/>
        <v>6.0643168991587757</v>
      </c>
    </row>
    <row r="25" spans="2:34" ht="22.15" customHeight="1" thickBot="1" x14ac:dyDescent="0.35">
      <c r="B25" s="177" t="s">
        <v>539</v>
      </c>
      <c r="C25" s="176">
        <v>4</v>
      </c>
      <c r="D25" s="175" t="s">
        <v>511</v>
      </c>
      <c r="E25" s="303" t="s">
        <v>629</v>
      </c>
      <c r="F25" s="293">
        <v>8.44</v>
      </c>
      <c r="G25" s="293">
        <v>216.75</v>
      </c>
      <c r="H25" s="304">
        <f t="shared" si="2"/>
        <v>208.31</v>
      </c>
      <c r="I25" s="291">
        <v>194.13</v>
      </c>
      <c r="J25" s="291">
        <f t="shared" si="3"/>
        <v>6.8071624021890482</v>
      </c>
      <c r="L25" s="221"/>
      <c r="O25" s="177" t="s">
        <v>539</v>
      </c>
      <c r="P25" s="176">
        <v>4</v>
      </c>
      <c r="Q25" s="175" t="s">
        <v>511</v>
      </c>
      <c r="R25" s="303" t="s">
        <v>629</v>
      </c>
      <c r="S25" s="293">
        <v>8.8000000000000007</v>
      </c>
      <c r="T25" s="293">
        <v>185.56</v>
      </c>
      <c r="U25" s="292">
        <f t="shared" si="0"/>
        <v>176.76</v>
      </c>
      <c r="V25" s="291">
        <v>167.76</v>
      </c>
      <c r="W25" s="290">
        <f t="shared" si="1"/>
        <v>5.0916496945010188</v>
      </c>
      <c r="AA25" s="177" t="s">
        <v>549</v>
      </c>
      <c r="AB25" s="176">
        <v>8</v>
      </c>
      <c r="AC25" s="326" t="s">
        <v>626</v>
      </c>
      <c r="AD25" s="293">
        <v>8.49</v>
      </c>
      <c r="AE25" s="293">
        <v>138.36000000000001</v>
      </c>
      <c r="AF25" s="304">
        <f t="shared" si="4"/>
        <v>129.87</v>
      </c>
      <c r="AG25" s="291">
        <v>123.36</v>
      </c>
      <c r="AH25" s="291">
        <f t="shared" si="5"/>
        <v>5.0127050127050161</v>
      </c>
    </row>
    <row r="26" spans="2:34" ht="22.15" customHeight="1" thickBot="1" x14ac:dyDescent="0.35">
      <c r="B26" s="187" t="s">
        <v>528</v>
      </c>
      <c r="C26" s="186">
        <v>1</v>
      </c>
      <c r="D26" s="185" t="s">
        <v>511</v>
      </c>
      <c r="E26" s="294" t="s">
        <v>629</v>
      </c>
      <c r="F26" s="307">
        <v>8.57</v>
      </c>
      <c r="G26" s="307">
        <v>212.97</v>
      </c>
      <c r="H26" s="304">
        <f t="shared" si="2"/>
        <v>204.4</v>
      </c>
      <c r="I26" s="306">
        <v>190.21</v>
      </c>
      <c r="J26" s="306">
        <f t="shared" si="3"/>
        <v>6.9422700587084138</v>
      </c>
      <c r="L26" s="221"/>
      <c r="O26" s="187" t="s">
        <v>528</v>
      </c>
      <c r="P26" s="186">
        <v>1</v>
      </c>
      <c r="Q26" s="185" t="s">
        <v>511</v>
      </c>
      <c r="R26" s="294" t="s">
        <v>629</v>
      </c>
      <c r="S26" s="307">
        <v>8.8699999999999992</v>
      </c>
      <c r="T26" s="307">
        <v>182.23</v>
      </c>
      <c r="U26" s="292">
        <f t="shared" si="0"/>
        <v>173.35999999999999</v>
      </c>
      <c r="V26" s="306">
        <v>164.81</v>
      </c>
      <c r="W26" s="290">
        <f t="shared" si="1"/>
        <v>4.9319335486848086</v>
      </c>
      <c r="AA26" s="187" t="s">
        <v>539</v>
      </c>
      <c r="AB26" s="186">
        <v>1</v>
      </c>
      <c r="AC26" s="329" t="s">
        <v>626</v>
      </c>
      <c r="AD26" s="307">
        <v>8.4700000000000006</v>
      </c>
      <c r="AE26" s="307">
        <v>167.54</v>
      </c>
      <c r="AF26" s="304">
        <f t="shared" si="4"/>
        <v>159.07</v>
      </c>
      <c r="AG26" s="306">
        <v>149.43</v>
      </c>
      <c r="AH26" s="306">
        <f t="shared" si="5"/>
        <v>6.0602250581504915</v>
      </c>
    </row>
    <row r="27" spans="2:34" ht="22.15" customHeight="1" thickBot="1" x14ac:dyDescent="0.35">
      <c r="B27" s="182" t="s">
        <v>528</v>
      </c>
      <c r="C27" s="181">
        <v>2</v>
      </c>
      <c r="D27" s="180" t="s">
        <v>511</v>
      </c>
      <c r="E27" s="305" t="s">
        <v>628</v>
      </c>
      <c r="F27" s="302">
        <v>8.51</v>
      </c>
      <c r="G27" s="302">
        <v>193.01</v>
      </c>
      <c r="H27" s="304">
        <f t="shared" si="2"/>
        <v>184.5</v>
      </c>
      <c r="I27" s="301">
        <v>174.41</v>
      </c>
      <c r="J27" s="301">
        <f t="shared" si="3"/>
        <v>5.4688346883468855</v>
      </c>
      <c r="L27" s="221"/>
      <c r="O27" s="182" t="s">
        <v>528</v>
      </c>
      <c r="P27" s="181">
        <v>2</v>
      </c>
      <c r="Q27" s="180" t="s">
        <v>511</v>
      </c>
      <c r="R27" s="305" t="s">
        <v>628</v>
      </c>
      <c r="S27" s="302">
        <v>8.81</v>
      </c>
      <c r="T27" s="302">
        <v>162.97</v>
      </c>
      <c r="U27" s="292">
        <f t="shared" si="0"/>
        <v>154.16</v>
      </c>
      <c r="V27" s="301">
        <v>145.35</v>
      </c>
      <c r="W27" s="290">
        <f t="shared" si="1"/>
        <v>5.7148417228853159</v>
      </c>
      <c r="AA27" s="182" t="s">
        <v>539</v>
      </c>
      <c r="AB27" s="181">
        <v>2</v>
      </c>
      <c r="AC27" s="327" t="s">
        <v>626</v>
      </c>
      <c r="AD27" s="302">
        <v>8.6199999999999992</v>
      </c>
      <c r="AE27" s="302">
        <v>160.4</v>
      </c>
      <c r="AF27" s="304">
        <f t="shared" si="4"/>
        <v>151.78</v>
      </c>
      <c r="AG27" s="301">
        <v>143.84</v>
      </c>
      <c r="AH27" s="301">
        <f t="shared" si="5"/>
        <v>5.2312557649229134</v>
      </c>
    </row>
    <row r="28" spans="2:34" ht="22.15" customHeight="1" thickBot="1" x14ac:dyDescent="0.35">
      <c r="B28" s="182" t="s">
        <v>528</v>
      </c>
      <c r="C28" s="181">
        <v>3</v>
      </c>
      <c r="D28" s="180" t="s">
        <v>511</v>
      </c>
      <c r="E28" s="303" t="s">
        <v>628</v>
      </c>
      <c r="F28" s="302">
        <v>8.43</v>
      </c>
      <c r="G28" s="302">
        <v>153.41</v>
      </c>
      <c r="H28" s="304">
        <f t="shared" si="2"/>
        <v>144.97999999999999</v>
      </c>
      <c r="I28" s="301">
        <v>134.66999999999999</v>
      </c>
      <c r="J28" s="301">
        <f t="shared" si="3"/>
        <v>7.1113257000965673</v>
      </c>
      <c r="L28" s="221"/>
      <c r="O28" s="182" t="s">
        <v>528</v>
      </c>
      <c r="P28" s="181">
        <v>3</v>
      </c>
      <c r="Q28" s="180" t="s">
        <v>511</v>
      </c>
      <c r="R28" s="303" t="s">
        <v>628</v>
      </c>
      <c r="S28" s="302">
        <v>8.92</v>
      </c>
      <c r="T28" s="302">
        <v>171.1</v>
      </c>
      <c r="U28" s="292">
        <f t="shared" si="0"/>
        <v>162.18</v>
      </c>
      <c r="V28" s="301">
        <v>154.85</v>
      </c>
      <c r="W28" s="290">
        <f t="shared" si="1"/>
        <v>4.5196695030213414</v>
      </c>
      <c r="AA28" s="182" t="s">
        <v>539</v>
      </c>
      <c r="AB28" s="181">
        <v>3</v>
      </c>
      <c r="AC28" s="327" t="s">
        <v>626</v>
      </c>
      <c r="AD28" s="302">
        <v>8.59</v>
      </c>
      <c r="AE28" s="302">
        <v>232.03</v>
      </c>
      <c r="AF28" s="304">
        <f t="shared" si="4"/>
        <v>223.44</v>
      </c>
      <c r="AG28" s="301">
        <v>210.49</v>
      </c>
      <c r="AH28" s="301">
        <f t="shared" si="5"/>
        <v>5.7957393483709225</v>
      </c>
    </row>
    <row r="29" spans="2:34" ht="22.15" customHeight="1" thickBot="1" x14ac:dyDescent="0.35">
      <c r="B29" s="177" t="s">
        <v>528</v>
      </c>
      <c r="C29" s="176">
        <v>4</v>
      </c>
      <c r="D29" s="175" t="s">
        <v>511</v>
      </c>
      <c r="E29" s="294" t="s">
        <v>628</v>
      </c>
      <c r="F29" s="293">
        <v>8.6300000000000008</v>
      </c>
      <c r="G29" s="293">
        <v>160.38999999999999</v>
      </c>
      <c r="H29" s="304">
        <f t="shared" si="2"/>
        <v>151.76</v>
      </c>
      <c r="I29" s="291">
        <v>140.63999999999999</v>
      </c>
      <c r="J29" s="291">
        <f t="shared" si="3"/>
        <v>7.3273589878755967</v>
      </c>
      <c r="L29" s="221"/>
      <c r="O29" s="177" t="s">
        <v>528</v>
      </c>
      <c r="P29" s="176">
        <v>4</v>
      </c>
      <c r="Q29" s="175" t="s">
        <v>511</v>
      </c>
      <c r="R29" s="294" t="s">
        <v>628</v>
      </c>
      <c r="S29" s="293">
        <v>8.89</v>
      </c>
      <c r="T29" s="293">
        <v>177.17</v>
      </c>
      <c r="U29" s="292">
        <f t="shared" si="0"/>
        <v>168.27999999999997</v>
      </c>
      <c r="V29" s="291">
        <v>160.38999999999999</v>
      </c>
      <c r="W29" s="290">
        <f t="shared" si="1"/>
        <v>4.6886142144045566</v>
      </c>
      <c r="AA29" s="182" t="s">
        <v>539</v>
      </c>
      <c r="AB29" s="181">
        <v>4</v>
      </c>
      <c r="AC29" s="327" t="s">
        <v>626</v>
      </c>
      <c r="AD29" s="302">
        <v>8.6</v>
      </c>
      <c r="AE29" s="302">
        <v>187.77</v>
      </c>
      <c r="AF29" s="304">
        <f t="shared" si="4"/>
        <v>179.17000000000002</v>
      </c>
      <c r="AG29" s="301">
        <v>169.39</v>
      </c>
      <c r="AH29" s="301">
        <f t="shared" si="5"/>
        <v>5.4585030976168047</v>
      </c>
    </row>
    <row r="30" spans="2:34" ht="22.15" customHeight="1" thickBot="1" x14ac:dyDescent="0.35">
      <c r="B30" s="187" t="s">
        <v>527</v>
      </c>
      <c r="C30" s="186">
        <v>1</v>
      </c>
      <c r="D30" s="185" t="s">
        <v>511</v>
      </c>
      <c r="E30" s="305" t="s">
        <v>627</v>
      </c>
      <c r="F30" s="307">
        <v>8.59</v>
      </c>
      <c r="G30" s="307">
        <v>171.06</v>
      </c>
      <c r="H30" s="304">
        <f t="shared" si="2"/>
        <v>162.47</v>
      </c>
      <c r="I30" s="306">
        <v>151.5</v>
      </c>
      <c r="J30" s="306">
        <f t="shared" si="3"/>
        <v>6.7520157567550925</v>
      </c>
      <c r="L30" s="221"/>
      <c r="O30" s="187" t="s">
        <v>527</v>
      </c>
      <c r="P30" s="186">
        <v>1</v>
      </c>
      <c r="Q30" s="185" t="s">
        <v>511</v>
      </c>
      <c r="R30" s="305" t="s">
        <v>627</v>
      </c>
      <c r="S30" s="307">
        <v>8.94</v>
      </c>
      <c r="T30" s="307">
        <v>146.31</v>
      </c>
      <c r="U30" s="292">
        <f t="shared" si="0"/>
        <v>137.37</v>
      </c>
      <c r="V30" s="306">
        <v>132.99</v>
      </c>
      <c r="W30" s="290">
        <f t="shared" si="1"/>
        <v>3.1884690980563408</v>
      </c>
      <c r="AA30" s="321" t="s">
        <v>539</v>
      </c>
      <c r="AB30" s="320">
        <v>5</v>
      </c>
      <c r="AC30" s="328" t="s">
        <v>626</v>
      </c>
      <c r="AD30" s="318">
        <v>8.67</v>
      </c>
      <c r="AE30" s="318">
        <v>163.58000000000001</v>
      </c>
      <c r="AF30" s="317">
        <f t="shared" si="4"/>
        <v>154.91000000000003</v>
      </c>
      <c r="AG30" s="316">
        <v>145.88999999999999</v>
      </c>
      <c r="AH30" s="316">
        <f t="shared" si="5"/>
        <v>5.8227357820670314</v>
      </c>
    </row>
    <row r="31" spans="2:34" ht="22.15" customHeight="1" thickBot="1" x14ac:dyDescent="0.35">
      <c r="B31" s="182" t="s">
        <v>527</v>
      </c>
      <c r="C31" s="181">
        <v>2</v>
      </c>
      <c r="D31" s="180" t="s">
        <v>511</v>
      </c>
      <c r="E31" s="303" t="s">
        <v>627</v>
      </c>
      <c r="F31" s="302">
        <v>8.5399999999999991</v>
      </c>
      <c r="G31" s="302">
        <v>170.01</v>
      </c>
      <c r="H31" s="304">
        <f t="shared" si="2"/>
        <v>161.47</v>
      </c>
      <c r="I31" s="301">
        <v>151.65</v>
      </c>
      <c r="J31" s="301">
        <f t="shared" si="3"/>
        <v>6.0816250696723806</v>
      </c>
      <c r="L31" s="221"/>
      <c r="O31" s="182" t="s">
        <v>527</v>
      </c>
      <c r="P31" s="181">
        <v>2</v>
      </c>
      <c r="Q31" s="180" t="s">
        <v>511</v>
      </c>
      <c r="R31" s="303" t="s">
        <v>627</v>
      </c>
      <c r="S31" s="302">
        <v>8.9499999999999993</v>
      </c>
      <c r="T31" s="302">
        <v>151.86000000000001</v>
      </c>
      <c r="U31" s="292">
        <f t="shared" si="0"/>
        <v>142.91000000000003</v>
      </c>
      <c r="V31" s="301">
        <v>136.44999999999999</v>
      </c>
      <c r="W31" s="290">
        <f t="shared" si="1"/>
        <v>4.520327478832856</v>
      </c>
      <c r="AA31" s="182" t="s">
        <v>539</v>
      </c>
      <c r="AB31" s="181">
        <v>6</v>
      </c>
      <c r="AC31" s="327" t="s">
        <v>626</v>
      </c>
      <c r="AD31" s="302">
        <v>8.61</v>
      </c>
      <c r="AE31" s="302">
        <v>173.17</v>
      </c>
      <c r="AF31" s="304">
        <f t="shared" si="4"/>
        <v>164.56</v>
      </c>
      <c r="AG31" s="301">
        <v>155.79</v>
      </c>
      <c r="AH31" s="301">
        <f t="shared" si="5"/>
        <v>5.3293631502187715</v>
      </c>
    </row>
    <row r="32" spans="2:34" ht="22.15" customHeight="1" thickBot="1" x14ac:dyDescent="0.35">
      <c r="B32" s="182" t="s">
        <v>527</v>
      </c>
      <c r="C32" s="181">
        <v>3</v>
      </c>
      <c r="D32" s="180" t="s">
        <v>511</v>
      </c>
      <c r="E32" s="294" t="s">
        <v>627</v>
      </c>
      <c r="F32" s="302">
        <v>8.57</v>
      </c>
      <c r="G32" s="302">
        <v>198.29</v>
      </c>
      <c r="H32" s="304">
        <f t="shared" si="2"/>
        <v>189.72</v>
      </c>
      <c r="I32" s="301">
        <v>177.62</v>
      </c>
      <c r="J32" s="301">
        <f t="shared" si="3"/>
        <v>6.3778199451823712</v>
      </c>
      <c r="L32" s="221"/>
      <c r="O32" s="182" t="s">
        <v>527</v>
      </c>
      <c r="P32" s="181">
        <v>3</v>
      </c>
      <c r="Q32" s="180" t="s">
        <v>511</v>
      </c>
      <c r="R32" s="294" t="s">
        <v>627</v>
      </c>
      <c r="S32" s="302">
        <v>8.9600000000000009</v>
      </c>
      <c r="T32" s="302">
        <v>150.96</v>
      </c>
      <c r="U32" s="292">
        <f t="shared" si="0"/>
        <v>142</v>
      </c>
      <c r="V32" s="301">
        <v>135.34</v>
      </c>
      <c r="W32" s="290">
        <f t="shared" si="1"/>
        <v>4.6901408450704203</v>
      </c>
      <c r="AA32" s="182" t="s">
        <v>539</v>
      </c>
      <c r="AB32" s="181">
        <v>7</v>
      </c>
      <c r="AC32" s="327" t="s">
        <v>626</v>
      </c>
      <c r="AD32" s="302">
        <v>8.65</v>
      </c>
      <c r="AE32" s="302">
        <v>177.32</v>
      </c>
      <c r="AF32" s="304">
        <f t="shared" si="4"/>
        <v>168.67</v>
      </c>
      <c r="AG32" s="301">
        <v>159.26</v>
      </c>
      <c r="AH32" s="301">
        <f t="shared" si="5"/>
        <v>5.5789411276456971</v>
      </c>
    </row>
    <row r="33" spans="2:38" ht="22.15" customHeight="1" thickBot="1" x14ac:dyDescent="0.35">
      <c r="B33" s="177" t="s">
        <v>527</v>
      </c>
      <c r="C33" s="176">
        <v>4</v>
      </c>
      <c r="D33" s="175" t="s">
        <v>511</v>
      </c>
      <c r="E33" s="305" t="s">
        <v>625</v>
      </c>
      <c r="F33" s="293">
        <v>8.57</v>
      </c>
      <c r="G33" s="293">
        <v>271.86</v>
      </c>
      <c r="H33" s="304">
        <f t="shared" si="2"/>
        <v>263.29000000000002</v>
      </c>
      <c r="I33" s="291">
        <v>246.14</v>
      </c>
      <c r="J33" s="291">
        <f t="shared" si="3"/>
        <v>6.5137301074860545</v>
      </c>
      <c r="L33" s="221"/>
      <c r="O33" s="177" t="s">
        <v>527</v>
      </c>
      <c r="P33" s="176">
        <v>4</v>
      </c>
      <c r="Q33" s="175" t="s">
        <v>511</v>
      </c>
      <c r="R33" s="305" t="s">
        <v>625</v>
      </c>
      <c r="S33" s="293">
        <v>8.92</v>
      </c>
      <c r="T33" s="293">
        <v>162.72</v>
      </c>
      <c r="U33" s="292">
        <f t="shared" si="0"/>
        <v>153.80000000000001</v>
      </c>
      <c r="V33" s="291">
        <v>148.5</v>
      </c>
      <c r="W33" s="290">
        <f t="shared" si="1"/>
        <v>3.4460338101430503</v>
      </c>
      <c r="AA33" s="177" t="s">
        <v>539</v>
      </c>
      <c r="AB33" s="176">
        <v>8</v>
      </c>
      <c r="AC33" s="326" t="s">
        <v>626</v>
      </c>
      <c r="AD33" s="293">
        <v>8.69</v>
      </c>
      <c r="AE33" s="293">
        <v>177.53</v>
      </c>
      <c r="AF33" s="304">
        <f t="shared" si="4"/>
        <v>168.84</v>
      </c>
      <c r="AG33" s="291">
        <v>158.44</v>
      </c>
      <c r="AH33" s="291">
        <f t="shared" si="5"/>
        <v>6.1596778014688498</v>
      </c>
    </row>
    <row r="34" spans="2:38" ht="22.15" customHeight="1" thickBot="1" x14ac:dyDescent="0.35">
      <c r="B34" s="187" t="s">
        <v>526</v>
      </c>
      <c r="C34" s="186">
        <v>1</v>
      </c>
      <c r="D34" s="185" t="s">
        <v>511</v>
      </c>
      <c r="E34" s="303" t="s">
        <v>625</v>
      </c>
      <c r="F34" s="307">
        <v>8.48</v>
      </c>
      <c r="G34" s="307">
        <v>176.35</v>
      </c>
      <c r="H34" s="304">
        <f t="shared" si="2"/>
        <v>167.87</v>
      </c>
      <c r="I34" s="306">
        <v>157.63</v>
      </c>
      <c r="J34" s="306">
        <f t="shared" si="3"/>
        <v>6.0999583010663061</v>
      </c>
      <c r="L34" s="221"/>
      <c r="O34" s="187" t="s">
        <v>526</v>
      </c>
      <c r="P34" s="186">
        <v>1</v>
      </c>
      <c r="Q34" s="185" t="s">
        <v>511</v>
      </c>
      <c r="R34" s="303" t="s">
        <v>625</v>
      </c>
      <c r="S34" s="307">
        <v>8.83</v>
      </c>
      <c r="T34" s="307">
        <v>157.69</v>
      </c>
      <c r="U34" s="292">
        <f t="shared" si="0"/>
        <v>148.85999999999999</v>
      </c>
      <c r="V34" s="306">
        <v>142.4</v>
      </c>
      <c r="W34" s="290">
        <f t="shared" si="1"/>
        <v>4.3396479914013035</v>
      </c>
      <c r="AA34" s="187" t="s">
        <v>549</v>
      </c>
      <c r="AB34" s="186">
        <v>1</v>
      </c>
      <c r="AC34" s="322" t="s">
        <v>619</v>
      </c>
      <c r="AD34" s="307">
        <v>8.41</v>
      </c>
      <c r="AE34" s="307">
        <v>172.22</v>
      </c>
      <c r="AF34" s="304">
        <f t="shared" si="4"/>
        <v>163.81</v>
      </c>
      <c r="AG34" s="306">
        <v>153.53</v>
      </c>
      <c r="AH34" s="306">
        <f t="shared" si="5"/>
        <v>6.2755631524326976</v>
      </c>
    </row>
    <row r="35" spans="2:38" ht="22.15" customHeight="1" thickBot="1" x14ac:dyDescent="0.35">
      <c r="B35" s="182" t="s">
        <v>526</v>
      </c>
      <c r="C35" s="181">
        <v>2</v>
      </c>
      <c r="D35" s="180" t="s">
        <v>511</v>
      </c>
      <c r="E35" s="294" t="s">
        <v>625</v>
      </c>
      <c r="F35" s="302">
        <v>8.56</v>
      </c>
      <c r="G35" s="302">
        <v>150.11000000000001</v>
      </c>
      <c r="H35" s="304">
        <f t="shared" si="2"/>
        <v>141.55000000000001</v>
      </c>
      <c r="I35" s="301">
        <v>133.38</v>
      </c>
      <c r="J35" s="301">
        <f t="shared" si="3"/>
        <v>5.7718120805369235</v>
      </c>
      <c r="L35" s="221"/>
      <c r="O35" s="182" t="s">
        <v>526</v>
      </c>
      <c r="P35" s="181">
        <v>2</v>
      </c>
      <c r="Q35" s="180" t="s">
        <v>511</v>
      </c>
      <c r="R35" s="294" t="s">
        <v>625</v>
      </c>
      <c r="S35" s="302">
        <v>8.76</v>
      </c>
      <c r="T35" s="302">
        <v>226.75</v>
      </c>
      <c r="U35" s="292">
        <f t="shared" si="0"/>
        <v>217.99</v>
      </c>
      <c r="V35" s="301">
        <v>207.72</v>
      </c>
      <c r="W35" s="290">
        <f t="shared" si="1"/>
        <v>4.7112252855635628</v>
      </c>
      <c r="AA35" s="182" t="s">
        <v>549</v>
      </c>
      <c r="AB35" s="181">
        <v>2</v>
      </c>
      <c r="AC35" s="311" t="s">
        <v>619</v>
      </c>
      <c r="AD35" s="302">
        <v>8.42</v>
      </c>
      <c r="AE35" s="302">
        <v>173.88</v>
      </c>
      <c r="AF35" s="304">
        <f t="shared" si="4"/>
        <v>165.46</v>
      </c>
      <c r="AG35" s="301">
        <v>161.44999999999999</v>
      </c>
      <c r="AH35" s="325">
        <f t="shared" si="5"/>
        <v>2.4235464764897978</v>
      </c>
      <c r="AI35" s="324" t="s">
        <v>624</v>
      </c>
      <c r="AJ35" s="323"/>
      <c r="AK35" s="323"/>
      <c r="AL35" s="323"/>
    </row>
    <row r="36" spans="2:38" ht="22.15" customHeight="1" thickBot="1" x14ac:dyDescent="0.35">
      <c r="B36" s="182" t="s">
        <v>526</v>
      </c>
      <c r="C36" s="181">
        <v>3</v>
      </c>
      <c r="D36" s="180" t="s">
        <v>511</v>
      </c>
      <c r="E36" s="305" t="s">
        <v>623</v>
      </c>
      <c r="F36" s="302">
        <v>8.5299999999999994</v>
      </c>
      <c r="G36" s="302">
        <v>167.85</v>
      </c>
      <c r="H36" s="304">
        <f t="shared" si="2"/>
        <v>159.32</v>
      </c>
      <c r="I36" s="301">
        <v>149.56</v>
      </c>
      <c r="J36" s="301">
        <f t="shared" si="3"/>
        <v>6.1260356515189507</v>
      </c>
      <c r="L36" s="221"/>
      <c r="O36" s="182" t="s">
        <v>526</v>
      </c>
      <c r="P36" s="181">
        <v>3</v>
      </c>
      <c r="Q36" s="180" t="s">
        <v>511</v>
      </c>
      <c r="R36" s="305" t="s">
        <v>623</v>
      </c>
      <c r="S36" s="302">
        <v>8.9600000000000009</v>
      </c>
      <c r="T36" s="302">
        <v>147.05000000000001</v>
      </c>
      <c r="U36" s="292">
        <f t="shared" si="0"/>
        <v>138.09</v>
      </c>
      <c r="V36" s="301">
        <v>131.44999999999999</v>
      </c>
      <c r="W36" s="290">
        <f t="shared" si="1"/>
        <v>4.8084582518647361</v>
      </c>
      <c r="AA36" s="182" t="s">
        <v>549</v>
      </c>
      <c r="AB36" s="181">
        <v>3</v>
      </c>
      <c r="AC36" s="311" t="s">
        <v>619</v>
      </c>
      <c r="AD36" s="302">
        <v>8.4600000000000009</v>
      </c>
      <c r="AE36" s="302">
        <v>176.32</v>
      </c>
      <c r="AF36" s="304">
        <f t="shared" si="4"/>
        <v>167.85999999999999</v>
      </c>
      <c r="AG36" s="301">
        <v>159.26</v>
      </c>
      <c r="AH36" s="301">
        <f t="shared" si="5"/>
        <v>5.1233170499225515</v>
      </c>
    </row>
    <row r="37" spans="2:38" ht="22.15" customHeight="1" thickBot="1" x14ac:dyDescent="0.35">
      <c r="B37" s="177" t="s">
        <v>526</v>
      </c>
      <c r="C37" s="176">
        <v>4</v>
      </c>
      <c r="D37" s="175" t="s">
        <v>511</v>
      </c>
      <c r="E37" s="303" t="s">
        <v>623</v>
      </c>
      <c r="F37" s="293">
        <v>8.48</v>
      </c>
      <c r="G37" s="293">
        <v>171.7</v>
      </c>
      <c r="H37" s="304">
        <f t="shared" si="2"/>
        <v>163.22</v>
      </c>
      <c r="I37" s="291">
        <v>153.13</v>
      </c>
      <c r="J37" s="291">
        <f t="shared" si="3"/>
        <v>6.1818404607278543</v>
      </c>
      <c r="L37" s="221"/>
      <c r="O37" s="177" t="s">
        <v>526</v>
      </c>
      <c r="P37" s="176">
        <v>4</v>
      </c>
      <c r="Q37" s="175" t="s">
        <v>511</v>
      </c>
      <c r="R37" s="303" t="s">
        <v>623</v>
      </c>
      <c r="S37" s="293">
        <v>8.9600000000000009</v>
      </c>
      <c r="T37" s="293">
        <v>173.26</v>
      </c>
      <c r="U37" s="292">
        <f t="shared" si="0"/>
        <v>164.29999999999998</v>
      </c>
      <c r="V37" s="291">
        <v>155.03</v>
      </c>
      <c r="W37" s="290">
        <f t="shared" si="1"/>
        <v>5.6421180766889734</v>
      </c>
      <c r="AA37" s="182" t="s">
        <v>549</v>
      </c>
      <c r="AB37" s="181">
        <v>4</v>
      </c>
      <c r="AC37" s="311" t="s">
        <v>619</v>
      </c>
      <c r="AD37" s="302">
        <v>8.44</v>
      </c>
      <c r="AE37" s="302">
        <v>145.57</v>
      </c>
      <c r="AF37" s="304">
        <f t="shared" si="4"/>
        <v>137.13</v>
      </c>
      <c r="AG37" s="301">
        <v>130.72</v>
      </c>
      <c r="AH37" s="301">
        <f t="shared" si="5"/>
        <v>4.6743965580106446</v>
      </c>
    </row>
    <row r="38" spans="2:38" ht="22.15" customHeight="1" thickBot="1" x14ac:dyDescent="0.35">
      <c r="B38" s="187" t="s">
        <v>525</v>
      </c>
      <c r="C38" s="186">
        <v>1</v>
      </c>
      <c r="D38" s="185" t="s">
        <v>511</v>
      </c>
      <c r="E38" s="294" t="s">
        <v>623</v>
      </c>
      <c r="F38" s="307">
        <v>8.6199999999999992</v>
      </c>
      <c r="G38" s="307">
        <v>288.72000000000003</v>
      </c>
      <c r="H38" s="304">
        <f t="shared" si="2"/>
        <v>280.10000000000002</v>
      </c>
      <c r="I38" s="306">
        <v>263.23</v>
      </c>
      <c r="J38" s="306">
        <f t="shared" si="3"/>
        <v>6.0228489825062486</v>
      </c>
      <c r="L38" s="221"/>
      <c r="O38" s="187" t="s">
        <v>525</v>
      </c>
      <c r="P38" s="186">
        <v>1</v>
      </c>
      <c r="Q38" s="185" t="s">
        <v>511</v>
      </c>
      <c r="R38" s="294" t="s">
        <v>623</v>
      </c>
      <c r="S38" s="307">
        <v>8.89</v>
      </c>
      <c r="T38" s="307">
        <v>189.41</v>
      </c>
      <c r="U38" s="292">
        <f t="shared" si="0"/>
        <v>180.51999999999998</v>
      </c>
      <c r="V38" s="306">
        <v>172.75</v>
      </c>
      <c r="W38" s="290">
        <f t="shared" si="1"/>
        <v>4.3042322180367725</v>
      </c>
      <c r="AA38" s="321" t="s">
        <v>549</v>
      </c>
      <c r="AB38" s="320">
        <v>5</v>
      </c>
      <c r="AC38" s="311" t="s">
        <v>619</v>
      </c>
      <c r="AD38" s="318">
        <v>8.4600000000000009</v>
      </c>
      <c r="AE38" s="318">
        <v>161.61000000000001</v>
      </c>
      <c r="AF38" s="317">
        <f t="shared" si="4"/>
        <v>153.15</v>
      </c>
      <c r="AG38" s="316">
        <v>144.13999999999999</v>
      </c>
      <c r="AH38" s="316">
        <f t="shared" si="5"/>
        <v>5.883121123081958</v>
      </c>
    </row>
    <row r="39" spans="2:38" ht="22.15" customHeight="1" thickBot="1" x14ac:dyDescent="0.35">
      <c r="B39" s="182" t="s">
        <v>525</v>
      </c>
      <c r="C39" s="181">
        <v>2</v>
      </c>
      <c r="D39" s="180" t="s">
        <v>511</v>
      </c>
      <c r="E39" s="305" t="s">
        <v>622</v>
      </c>
      <c r="F39" s="302">
        <v>8.57</v>
      </c>
      <c r="G39" s="302">
        <v>171.11</v>
      </c>
      <c r="H39" s="304">
        <f t="shared" si="2"/>
        <v>162.54000000000002</v>
      </c>
      <c r="I39" s="301">
        <v>152.66999999999999</v>
      </c>
      <c r="J39" s="301">
        <f t="shared" si="3"/>
        <v>6.0723514211886505</v>
      </c>
      <c r="L39" s="221"/>
      <c r="O39" s="182" t="s">
        <v>525</v>
      </c>
      <c r="P39" s="181">
        <v>2</v>
      </c>
      <c r="Q39" s="180" t="s">
        <v>511</v>
      </c>
      <c r="R39" s="305" t="s">
        <v>622</v>
      </c>
      <c r="S39" s="302">
        <v>8.91</v>
      </c>
      <c r="T39" s="302">
        <v>141.28</v>
      </c>
      <c r="U39" s="292">
        <f t="shared" si="0"/>
        <v>132.37</v>
      </c>
      <c r="V39" s="301">
        <v>125.53</v>
      </c>
      <c r="W39" s="290">
        <f t="shared" si="1"/>
        <v>5.1673339880637634</v>
      </c>
      <c r="AA39" s="182" t="s">
        <v>549</v>
      </c>
      <c r="AB39" s="181">
        <v>6</v>
      </c>
      <c r="AC39" s="311" t="s">
        <v>619</v>
      </c>
      <c r="AD39" s="302">
        <v>8.59</v>
      </c>
      <c r="AE39" s="302">
        <v>188.04</v>
      </c>
      <c r="AF39" s="304">
        <f t="shared" si="4"/>
        <v>179.45</v>
      </c>
      <c r="AG39" s="301">
        <v>169.92</v>
      </c>
      <c r="AH39" s="301">
        <f t="shared" si="5"/>
        <v>5.3106714962385073</v>
      </c>
    </row>
    <row r="40" spans="2:38" ht="22.15" customHeight="1" thickBot="1" x14ac:dyDescent="0.35">
      <c r="B40" s="182" t="s">
        <v>525</v>
      </c>
      <c r="C40" s="181">
        <v>3</v>
      </c>
      <c r="D40" s="180" t="s">
        <v>511</v>
      </c>
      <c r="E40" s="303" t="s">
        <v>622</v>
      </c>
      <c r="F40" s="302">
        <v>8.4600000000000009</v>
      </c>
      <c r="G40" s="302">
        <v>167.34</v>
      </c>
      <c r="H40" s="304">
        <f t="shared" si="2"/>
        <v>158.88</v>
      </c>
      <c r="I40" s="301">
        <v>149.63</v>
      </c>
      <c r="J40" s="301">
        <f t="shared" si="3"/>
        <v>5.8220040281973819</v>
      </c>
      <c r="L40" s="221"/>
      <c r="O40" s="182" t="s">
        <v>525</v>
      </c>
      <c r="P40" s="181">
        <v>3</v>
      </c>
      <c r="Q40" s="180" t="s">
        <v>511</v>
      </c>
      <c r="R40" s="303" t="s">
        <v>622</v>
      </c>
      <c r="S40" s="302">
        <v>8.8699999999999992</v>
      </c>
      <c r="T40" s="302">
        <v>202.55</v>
      </c>
      <c r="U40" s="292">
        <f t="shared" si="0"/>
        <v>193.68</v>
      </c>
      <c r="V40" s="301">
        <v>186.02</v>
      </c>
      <c r="W40" s="290">
        <f t="shared" si="1"/>
        <v>3.9549772821148266</v>
      </c>
      <c r="AA40" s="182" t="s">
        <v>549</v>
      </c>
      <c r="AB40" s="181">
        <v>7</v>
      </c>
      <c r="AC40" s="311" t="s">
        <v>619</v>
      </c>
      <c r="AD40" s="302">
        <v>8.42</v>
      </c>
      <c r="AE40" s="302">
        <v>173.62</v>
      </c>
      <c r="AF40" s="304">
        <f t="shared" si="4"/>
        <v>165.20000000000002</v>
      </c>
      <c r="AG40" s="301">
        <v>158.32</v>
      </c>
      <c r="AH40" s="301">
        <f t="shared" si="5"/>
        <v>4.1646489104116364</v>
      </c>
    </row>
    <row r="41" spans="2:38" ht="22.15" customHeight="1" thickBot="1" x14ac:dyDescent="0.35">
      <c r="B41" s="177" t="s">
        <v>525</v>
      </c>
      <c r="C41" s="176">
        <v>4</v>
      </c>
      <c r="D41" s="175" t="s">
        <v>511</v>
      </c>
      <c r="E41" s="294" t="s">
        <v>622</v>
      </c>
      <c r="F41" s="293">
        <v>8.4499999999999993</v>
      </c>
      <c r="G41" s="293">
        <v>148.1</v>
      </c>
      <c r="H41" s="304">
        <f t="shared" si="2"/>
        <v>139.65</v>
      </c>
      <c r="I41" s="291">
        <v>131.94999999999999</v>
      </c>
      <c r="J41" s="291">
        <f t="shared" si="3"/>
        <v>5.5137844611528948</v>
      </c>
      <c r="L41" s="221"/>
      <c r="O41" s="177" t="s">
        <v>525</v>
      </c>
      <c r="P41" s="176">
        <v>4</v>
      </c>
      <c r="Q41" s="175" t="s">
        <v>511</v>
      </c>
      <c r="R41" s="294" t="s">
        <v>622</v>
      </c>
      <c r="S41" s="293">
        <v>8.7799999999999994</v>
      </c>
      <c r="T41" s="293">
        <v>163.71</v>
      </c>
      <c r="U41" s="292">
        <f t="shared" si="0"/>
        <v>154.93</v>
      </c>
      <c r="V41" s="291">
        <v>147.99</v>
      </c>
      <c r="W41" s="290">
        <f t="shared" si="1"/>
        <v>4.4794423287936471</v>
      </c>
      <c r="AA41" s="177" t="s">
        <v>549</v>
      </c>
      <c r="AB41" s="176">
        <v>8</v>
      </c>
      <c r="AC41" s="310" t="s">
        <v>619</v>
      </c>
      <c r="AD41" s="293">
        <v>8.5399999999999991</v>
      </c>
      <c r="AE41" s="293">
        <v>153.19</v>
      </c>
      <c r="AF41" s="304">
        <f t="shared" si="4"/>
        <v>144.65</v>
      </c>
      <c r="AG41" s="291">
        <v>136.18</v>
      </c>
      <c r="AH41" s="291">
        <f t="shared" si="5"/>
        <v>5.8555133079847899</v>
      </c>
    </row>
    <row r="42" spans="2:38" ht="22.15" customHeight="1" thickBot="1" x14ac:dyDescent="0.35">
      <c r="B42" s="187" t="s">
        <v>524</v>
      </c>
      <c r="C42" s="186">
        <v>1</v>
      </c>
      <c r="D42" s="185" t="s">
        <v>511</v>
      </c>
      <c r="E42" s="305" t="s">
        <v>621</v>
      </c>
      <c r="F42" s="307">
        <v>8.5299999999999994</v>
      </c>
      <c r="G42" s="307">
        <v>180.83</v>
      </c>
      <c r="H42" s="304">
        <f t="shared" si="2"/>
        <v>172.3</v>
      </c>
      <c r="I42" s="306">
        <v>162.54</v>
      </c>
      <c r="J42" s="306">
        <f t="shared" si="3"/>
        <v>5.6645385954730232</v>
      </c>
      <c r="L42" s="221"/>
      <c r="O42" s="187" t="s">
        <v>524</v>
      </c>
      <c r="P42" s="186">
        <v>1</v>
      </c>
      <c r="Q42" s="185" t="s">
        <v>511</v>
      </c>
      <c r="R42" s="305" t="s">
        <v>621</v>
      </c>
      <c r="S42" s="307">
        <v>8.7899999999999991</v>
      </c>
      <c r="T42" s="307">
        <v>149.43</v>
      </c>
      <c r="U42" s="292">
        <f t="shared" si="0"/>
        <v>140.64000000000001</v>
      </c>
      <c r="V42" s="306">
        <v>134.76</v>
      </c>
      <c r="W42" s="290">
        <f t="shared" si="1"/>
        <v>4.1808873720136681</v>
      </c>
      <c r="AA42" s="187" t="s">
        <v>539</v>
      </c>
      <c r="AB42" s="186">
        <v>1</v>
      </c>
      <c r="AC42" s="322" t="s">
        <v>619</v>
      </c>
      <c r="AD42" s="307">
        <v>8.51</v>
      </c>
      <c r="AE42" s="307">
        <v>247.19</v>
      </c>
      <c r="AF42" s="304">
        <f t="shared" si="4"/>
        <v>238.68</v>
      </c>
      <c r="AG42" s="306">
        <v>224.74</v>
      </c>
      <c r="AH42" s="306">
        <f t="shared" si="5"/>
        <v>5.8404558404558395</v>
      </c>
    </row>
    <row r="43" spans="2:38" ht="22.15" customHeight="1" thickBot="1" x14ac:dyDescent="0.35">
      <c r="B43" s="182" t="s">
        <v>524</v>
      </c>
      <c r="C43" s="181">
        <v>2</v>
      </c>
      <c r="D43" s="180" t="s">
        <v>511</v>
      </c>
      <c r="E43" s="303" t="s">
        <v>621</v>
      </c>
      <c r="F43" s="302">
        <v>8.3800000000000008</v>
      </c>
      <c r="G43" s="302">
        <v>166.34</v>
      </c>
      <c r="H43" s="304">
        <f t="shared" si="2"/>
        <v>157.96</v>
      </c>
      <c r="I43" s="301">
        <v>149.31</v>
      </c>
      <c r="J43" s="301">
        <f t="shared" si="3"/>
        <v>5.4760698911116767</v>
      </c>
      <c r="L43" s="221"/>
      <c r="O43" s="182" t="s">
        <v>524</v>
      </c>
      <c r="P43" s="181">
        <v>2</v>
      </c>
      <c r="Q43" s="180" t="s">
        <v>511</v>
      </c>
      <c r="R43" s="303" t="s">
        <v>621</v>
      </c>
      <c r="S43" s="302">
        <v>8.74</v>
      </c>
      <c r="T43" s="302">
        <v>164.71</v>
      </c>
      <c r="U43" s="292">
        <f t="shared" si="0"/>
        <v>155.97</v>
      </c>
      <c r="V43" s="301">
        <v>149.05000000000001</v>
      </c>
      <c r="W43" s="290">
        <f t="shared" si="1"/>
        <v>4.4367506571776545</v>
      </c>
      <c r="AA43" s="182" t="s">
        <v>539</v>
      </c>
      <c r="AB43" s="181">
        <v>2</v>
      </c>
      <c r="AC43" s="311" t="s">
        <v>619</v>
      </c>
      <c r="AD43" s="302">
        <v>8.44</v>
      </c>
      <c r="AE43" s="302">
        <v>251.28</v>
      </c>
      <c r="AF43" s="304">
        <f t="shared" si="4"/>
        <v>242.84</v>
      </c>
      <c r="AG43" s="301">
        <v>230.05</v>
      </c>
      <c r="AH43" s="301">
        <f t="shared" si="5"/>
        <v>5.2668423653434324</v>
      </c>
    </row>
    <row r="44" spans="2:38" ht="22.15" customHeight="1" thickBot="1" x14ac:dyDescent="0.35">
      <c r="B44" s="182" t="s">
        <v>524</v>
      </c>
      <c r="C44" s="181">
        <v>3</v>
      </c>
      <c r="D44" s="180" t="s">
        <v>511</v>
      </c>
      <c r="E44" s="294" t="s">
        <v>621</v>
      </c>
      <c r="F44" s="302">
        <v>8.5299999999999994</v>
      </c>
      <c r="G44" s="302">
        <v>287.45999999999998</v>
      </c>
      <c r="H44" s="304">
        <f t="shared" si="2"/>
        <v>278.93</v>
      </c>
      <c r="I44" s="301">
        <v>262.64</v>
      </c>
      <c r="J44" s="301">
        <f t="shared" si="3"/>
        <v>5.8401749542896138</v>
      </c>
      <c r="L44" s="221"/>
      <c r="O44" s="182" t="s">
        <v>524</v>
      </c>
      <c r="P44" s="181">
        <v>3</v>
      </c>
      <c r="Q44" s="180" t="s">
        <v>511</v>
      </c>
      <c r="R44" s="294" t="s">
        <v>621</v>
      </c>
      <c r="S44" s="302">
        <v>8.89</v>
      </c>
      <c r="T44" s="302">
        <v>225.45</v>
      </c>
      <c r="U44" s="292">
        <f t="shared" si="0"/>
        <v>216.56</v>
      </c>
      <c r="V44" s="301">
        <v>207.13</v>
      </c>
      <c r="W44" s="290">
        <f t="shared" si="1"/>
        <v>4.3544514222386432</v>
      </c>
      <c r="AA44" s="182" t="s">
        <v>539</v>
      </c>
      <c r="AB44" s="181">
        <v>3</v>
      </c>
      <c r="AC44" s="311" t="s">
        <v>619</v>
      </c>
      <c r="AD44" s="302">
        <v>8.35</v>
      </c>
      <c r="AE44" s="302">
        <v>205.49</v>
      </c>
      <c r="AF44" s="304">
        <f t="shared" si="4"/>
        <v>197.14000000000001</v>
      </c>
      <c r="AG44" s="301">
        <v>185.24</v>
      </c>
      <c r="AH44" s="301">
        <f t="shared" si="5"/>
        <v>6.0363193669473496</v>
      </c>
    </row>
    <row r="45" spans="2:38" ht="22.15" customHeight="1" thickBot="1" x14ac:dyDescent="0.35">
      <c r="B45" s="177" t="s">
        <v>524</v>
      </c>
      <c r="C45" s="176">
        <v>4</v>
      </c>
      <c r="D45" s="175" t="s">
        <v>511</v>
      </c>
      <c r="E45" s="305" t="s">
        <v>620</v>
      </c>
      <c r="F45" s="293">
        <v>8.4600000000000009</v>
      </c>
      <c r="G45" s="293">
        <v>166.86</v>
      </c>
      <c r="H45" s="304">
        <f t="shared" si="2"/>
        <v>158.4</v>
      </c>
      <c r="I45" s="291">
        <v>149.55000000000001</v>
      </c>
      <c r="J45" s="291">
        <f t="shared" si="3"/>
        <v>5.5871212121212084</v>
      </c>
      <c r="L45" s="221"/>
      <c r="O45" s="177" t="s">
        <v>524</v>
      </c>
      <c r="P45" s="176">
        <v>4</v>
      </c>
      <c r="Q45" s="175" t="s">
        <v>511</v>
      </c>
      <c r="R45" s="305" t="s">
        <v>620</v>
      </c>
      <c r="S45" s="293">
        <v>8.9</v>
      </c>
      <c r="T45" s="293">
        <v>158.11000000000001</v>
      </c>
      <c r="U45" s="292">
        <f t="shared" si="0"/>
        <v>149.21</v>
      </c>
      <c r="V45" s="291">
        <v>143.9</v>
      </c>
      <c r="W45" s="290">
        <f t="shared" si="1"/>
        <v>3.5587427116145043</v>
      </c>
      <c r="AA45" s="182" t="s">
        <v>539</v>
      </c>
      <c r="AB45" s="181">
        <v>4</v>
      </c>
      <c r="AC45" s="311" t="s">
        <v>619</v>
      </c>
      <c r="AD45" s="302">
        <v>8.3000000000000007</v>
      </c>
      <c r="AE45" s="302">
        <v>173.35</v>
      </c>
      <c r="AF45" s="304">
        <f t="shared" si="4"/>
        <v>165.04999999999998</v>
      </c>
      <c r="AG45" s="301">
        <v>156.44</v>
      </c>
      <c r="AH45" s="301">
        <f t="shared" si="5"/>
        <v>5.2166010299909038</v>
      </c>
    </row>
    <row r="46" spans="2:38" ht="22.15" customHeight="1" thickBot="1" x14ac:dyDescent="0.35">
      <c r="B46" s="187" t="s">
        <v>523</v>
      </c>
      <c r="C46" s="186">
        <v>1</v>
      </c>
      <c r="D46" s="185" t="s">
        <v>511</v>
      </c>
      <c r="E46" s="303" t="s">
        <v>620</v>
      </c>
      <c r="F46" s="307">
        <v>8.58</v>
      </c>
      <c r="G46" s="307">
        <v>160.83000000000001</v>
      </c>
      <c r="H46" s="304">
        <f t="shared" si="2"/>
        <v>152.25</v>
      </c>
      <c r="I46" s="306">
        <v>143.86000000000001</v>
      </c>
      <c r="J46" s="306">
        <f t="shared" si="3"/>
        <v>5.5106732348111569</v>
      </c>
      <c r="L46" s="221"/>
      <c r="O46" s="187" t="s">
        <v>523</v>
      </c>
      <c r="P46" s="186">
        <v>1</v>
      </c>
      <c r="Q46" s="185" t="s">
        <v>511</v>
      </c>
      <c r="R46" s="303" t="s">
        <v>620</v>
      </c>
      <c r="S46" s="307">
        <v>8.76</v>
      </c>
      <c r="T46" s="307">
        <v>154.54</v>
      </c>
      <c r="U46" s="292">
        <f t="shared" si="0"/>
        <v>145.78</v>
      </c>
      <c r="V46" s="306">
        <v>139.51</v>
      </c>
      <c r="W46" s="290">
        <f t="shared" si="1"/>
        <v>4.3010015091233438</v>
      </c>
      <c r="AA46" s="321" t="s">
        <v>539</v>
      </c>
      <c r="AB46" s="320">
        <v>5</v>
      </c>
      <c r="AC46" s="319" t="s">
        <v>619</v>
      </c>
      <c r="AD46" s="318">
        <v>8.39</v>
      </c>
      <c r="AE46" s="318">
        <v>147.91999999999999</v>
      </c>
      <c r="AF46" s="317">
        <f t="shared" si="4"/>
        <v>139.52999999999997</v>
      </c>
      <c r="AG46" s="316">
        <v>131.58000000000001</v>
      </c>
      <c r="AH46" s="316">
        <f t="shared" si="5"/>
        <v>5.6976994194796546</v>
      </c>
    </row>
    <row r="47" spans="2:38" ht="22.15" customHeight="1" thickBot="1" x14ac:dyDescent="0.35">
      <c r="B47" s="182" t="s">
        <v>523</v>
      </c>
      <c r="C47" s="181">
        <v>2</v>
      </c>
      <c r="D47" s="180" t="s">
        <v>511</v>
      </c>
      <c r="E47" s="294" t="s">
        <v>620</v>
      </c>
      <c r="F47" s="302">
        <v>8.6</v>
      </c>
      <c r="G47" s="302">
        <v>163.47</v>
      </c>
      <c r="H47" s="304">
        <f t="shared" si="2"/>
        <v>154.87</v>
      </c>
      <c r="I47" s="301">
        <v>146.07</v>
      </c>
      <c r="J47" s="301">
        <f t="shared" si="3"/>
        <v>5.6821850584361151</v>
      </c>
      <c r="L47" s="221"/>
      <c r="O47" s="182" t="s">
        <v>523</v>
      </c>
      <c r="P47" s="181">
        <v>2</v>
      </c>
      <c r="Q47" s="180" t="s">
        <v>511</v>
      </c>
      <c r="R47" s="294" t="s">
        <v>620</v>
      </c>
      <c r="S47" s="302">
        <v>8.77</v>
      </c>
      <c r="T47" s="302">
        <v>184.1</v>
      </c>
      <c r="U47" s="292">
        <f t="shared" si="0"/>
        <v>175.32999999999998</v>
      </c>
      <c r="V47" s="301">
        <v>167.87</v>
      </c>
      <c r="W47" s="290">
        <f t="shared" si="1"/>
        <v>4.2548337420863396</v>
      </c>
      <c r="AA47" s="182" t="s">
        <v>539</v>
      </c>
      <c r="AB47" s="181">
        <v>6</v>
      </c>
      <c r="AC47" s="311" t="s">
        <v>619</v>
      </c>
      <c r="AD47" s="302">
        <v>8.26</v>
      </c>
      <c r="AE47" s="302">
        <v>146.25</v>
      </c>
      <c r="AF47" s="304">
        <f t="shared" si="4"/>
        <v>137.99</v>
      </c>
      <c r="AG47" s="301">
        <v>130.94999999999999</v>
      </c>
      <c r="AH47" s="301">
        <f t="shared" si="5"/>
        <v>5.1018189723893181</v>
      </c>
    </row>
    <row r="48" spans="2:38" ht="22.15" customHeight="1" thickBot="1" x14ac:dyDescent="0.35">
      <c r="B48" s="182" t="s">
        <v>523</v>
      </c>
      <c r="C48" s="181">
        <v>3</v>
      </c>
      <c r="D48" s="180" t="s">
        <v>511</v>
      </c>
      <c r="E48" s="305" t="s">
        <v>618</v>
      </c>
      <c r="F48" s="302">
        <v>8.51</v>
      </c>
      <c r="G48" s="302">
        <v>245.57</v>
      </c>
      <c r="H48" s="304">
        <f t="shared" si="2"/>
        <v>237.06</v>
      </c>
      <c r="I48" s="301">
        <v>224.49</v>
      </c>
      <c r="J48" s="301">
        <f t="shared" si="3"/>
        <v>5.3024550746646391</v>
      </c>
      <c r="L48" s="221"/>
      <c r="O48" s="315" t="s">
        <v>523</v>
      </c>
      <c r="P48" s="314">
        <v>3</v>
      </c>
      <c r="Q48" s="313" t="s">
        <v>511</v>
      </c>
      <c r="R48" s="312" t="s">
        <v>618</v>
      </c>
      <c r="S48" s="302">
        <v>8.77</v>
      </c>
      <c r="T48" s="302">
        <v>223.01</v>
      </c>
      <c r="U48" s="292">
        <f t="shared" si="0"/>
        <v>214.23999999999998</v>
      </c>
      <c r="V48" s="302">
        <v>204.33</v>
      </c>
      <c r="W48" s="290">
        <f t="shared" si="1"/>
        <v>4.6256534727408374</v>
      </c>
      <c r="AA48" s="182" t="s">
        <v>539</v>
      </c>
      <c r="AB48" s="181">
        <v>7</v>
      </c>
      <c r="AC48" s="311" t="s">
        <v>619</v>
      </c>
      <c r="AD48" s="302">
        <v>8.5</v>
      </c>
      <c r="AE48" s="302">
        <v>162.30000000000001</v>
      </c>
      <c r="AF48" s="304">
        <f t="shared" si="4"/>
        <v>153.80000000000001</v>
      </c>
      <c r="AG48" s="301">
        <v>145.76</v>
      </c>
      <c r="AH48" s="301">
        <f t="shared" si="5"/>
        <v>5.2275682704811572</v>
      </c>
    </row>
    <row r="49" spans="2:34" ht="22.15" customHeight="1" thickBot="1" x14ac:dyDescent="0.35">
      <c r="B49" s="177" t="s">
        <v>523</v>
      </c>
      <c r="C49" s="176">
        <v>4</v>
      </c>
      <c r="D49" s="175" t="s">
        <v>511</v>
      </c>
      <c r="E49" s="303" t="s">
        <v>618</v>
      </c>
      <c r="F49" s="293">
        <v>8.5399999999999991</v>
      </c>
      <c r="G49" s="293">
        <v>178.07</v>
      </c>
      <c r="H49" s="304">
        <f t="shared" si="2"/>
        <v>169.53</v>
      </c>
      <c r="I49" s="291">
        <v>160.9</v>
      </c>
      <c r="J49" s="291">
        <f t="shared" si="3"/>
        <v>5.0905444464106626</v>
      </c>
      <c r="O49" s="177" t="s">
        <v>523</v>
      </c>
      <c r="P49" s="176">
        <v>4</v>
      </c>
      <c r="Q49" s="175" t="s">
        <v>511</v>
      </c>
      <c r="R49" s="303" t="s">
        <v>618</v>
      </c>
      <c r="S49" s="293">
        <v>8.75</v>
      </c>
      <c r="T49" s="293">
        <v>182.81</v>
      </c>
      <c r="U49" s="292">
        <f t="shared" ref="U49:U80" si="6">T49-S49</f>
        <v>174.06</v>
      </c>
      <c r="V49" s="291">
        <v>166.69</v>
      </c>
      <c r="W49" s="290">
        <f t="shared" ref="W49:W80" si="7">((U49-V49)/U49)*100</f>
        <v>4.2341721245547541</v>
      </c>
      <c r="AA49" s="177" t="s">
        <v>539</v>
      </c>
      <c r="AB49" s="176">
        <v>8</v>
      </c>
      <c r="AC49" s="310" t="s">
        <v>619</v>
      </c>
      <c r="AD49" s="293">
        <v>8.6</v>
      </c>
      <c r="AE49" s="293">
        <v>127.05</v>
      </c>
      <c r="AF49" s="304">
        <f t="shared" si="4"/>
        <v>118.45</v>
      </c>
      <c r="AG49" s="291">
        <v>110.18</v>
      </c>
      <c r="AH49" s="291">
        <f t="shared" si="5"/>
        <v>6.9818488813845478</v>
      </c>
    </row>
    <row r="50" spans="2:34" ht="22.15" customHeight="1" thickBot="1" x14ac:dyDescent="0.35">
      <c r="B50" s="187" t="s">
        <v>522</v>
      </c>
      <c r="C50" s="186">
        <v>1</v>
      </c>
      <c r="D50" s="185" t="s">
        <v>511</v>
      </c>
      <c r="E50" s="294" t="s">
        <v>618</v>
      </c>
      <c r="F50" s="307">
        <v>8.51</v>
      </c>
      <c r="G50" s="307">
        <v>181.54</v>
      </c>
      <c r="H50" s="304">
        <f t="shared" si="2"/>
        <v>173.03</v>
      </c>
      <c r="I50" s="306">
        <v>162.71</v>
      </c>
      <c r="J50" s="306">
        <f t="shared" si="3"/>
        <v>5.9642836502340595</v>
      </c>
      <c r="O50" s="187" t="s">
        <v>522</v>
      </c>
      <c r="P50" s="186">
        <v>1</v>
      </c>
      <c r="Q50" s="185" t="s">
        <v>511</v>
      </c>
      <c r="R50" s="294" t="s">
        <v>618</v>
      </c>
      <c r="S50" s="307">
        <v>8.83</v>
      </c>
      <c r="T50" s="307">
        <v>167.87</v>
      </c>
      <c r="U50" s="292">
        <f t="shared" si="6"/>
        <v>159.04</v>
      </c>
      <c r="V50" s="306">
        <v>151.57</v>
      </c>
      <c r="W50" s="290">
        <f t="shared" si="7"/>
        <v>4.6969315895372228</v>
      </c>
      <c r="AE50" s="309"/>
    </row>
    <row r="51" spans="2:34" ht="22.15" customHeight="1" thickBot="1" x14ac:dyDescent="0.35">
      <c r="B51" s="182" t="s">
        <v>522</v>
      </c>
      <c r="C51" s="181">
        <v>2</v>
      </c>
      <c r="D51" s="180" t="s">
        <v>511</v>
      </c>
      <c r="E51" s="305" t="s">
        <v>617</v>
      </c>
      <c r="F51" s="302">
        <v>8.5299999999999994</v>
      </c>
      <c r="G51" s="302">
        <v>197.62</v>
      </c>
      <c r="H51" s="304">
        <f t="shared" si="2"/>
        <v>189.09</v>
      </c>
      <c r="I51" s="301">
        <v>179.41</v>
      </c>
      <c r="J51" s="301">
        <f t="shared" si="3"/>
        <v>5.1192553810354893</v>
      </c>
      <c r="K51" s="308"/>
      <c r="O51" s="182" t="s">
        <v>522</v>
      </c>
      <c r="P51" s="181">
        <v>2</v>
      </c>
      <c r="Q51" s="180" t="s">
        <v>511</v>
      </c>
      <c r="R51" s="305" t="s">
        <v>617</v>
      </c>
      <c r="S51" s="302">
        <v>9.0500000000000007</v>
      </c>
      <c r="T51" s="302">
        <v>139.15</v>
      </c>
      <c r="U51" s="292">
        <f t="shared" si="6"/>
        <v>130.1</v>
      </c>
      <c r="V51" s="301">
        <v>124.22</v>
      </c>
      <c r="W51" s="290">
        <f t="shared" si="7"/>
        <v>4.5196003074558</v>
      </c>
    </row>
    <row r="52" spans="2:34" ht="22.15" customHeight="1" thickBot="1" x14ac:dyDescent="0.35">
      <c r="B52" s="182" t="s">
        <v>522</v>
      </c>
      <c r="C52" s="181">
        <v>3</v>
      </c>
      <c r="D52" s="180" t="s">
        <v>511</v>
      </c>
      <c r="E52" s="303" t="s">
        <v>617</v>
      </c>
      <c r="F52" s="302">
        <v>8.4499999999999993</v>
      </c>
      <c r="G52" s="302">
        <v>155.80000000000001</v>
      </c>
      <c r="H52" s="304">
        <f t="shared" si="2"/>
        <v>147.35000000000002</v>
      </c>
      <c r="I52" s="301">
        <v>141.72999999999999</v>
      </c>
      <c r="J52" s="301">
        <f t="shared" si="3"/>
        <v>3.8140481845945247</v>
      </c>
      <c r="O52" s="182" t="s">
        <v>522</v>
      </c>
      <c r="P52" s="181">
        <v>3</v>
      </c>
      <c r="Q52" s="180" t="s">
        <v>511</v>
      </c>
      <c r="R52" s="303" t="s">
        <v>617</v>
      </c>
      <c r="S52" s="302">
        <v>8.89</v>
      </c>
      <c r="T52" s="302">
        <v>190.39</v>
      </c>
      <c r="U52" s="292">
        <f t="shared" si="6"/>
        <v>181.5</v>
      </c>
      <c r="V52" s="301">
        <v>173.39</v>
      </c>
      <c r="W52" s="290">
        <f t="shared" si="7"/>
        <v>4.4683195592286573</v>
      </c>
    </row>
    <row r="53" spans="2:34" ht="22.15" customHeight="1" thickBot="1" x14ac:dyDescent="0.35">
      <c r="B53" s="177" t="s">
        <v>522</v>
      </c>
      <c r="C53" s="176">
        <v>4</v>
      </c>
      <c r="D53" s="175" t="s">
        <v>511</v>
      </c>
      <c r="E53" s="294" t="s">
        <v>617</v>
      </c>
      <c r="F53" s="293">
        <v>8.4</v>
      </c>
      <c r="G53" s="293">
        <v>158.9</v>
      </c>
      <c r="H53" s="304">
        <f t="shared" si="2"/>
        <v>150.5</v>
      </c>
      <c r="I53" s="291">
        <v>142.82</v>
      </c>
      <c r="J53" s="291">
        <f t="shared" si="3"/>
        <v>5.1029900332225955</v>
      </c>
      <c r="O53" s="177" t="s">
        <v>522</v>
      </c>
      <c r="P53" s="176">
        <v>4</v>
      </c>
      <c r="Q53" s="175" t="s">
        <v>511</v>
      </c>
      <c r="R53" s="294" t="s">
        <v>617</v>
      </c>
      <c r="S53" s="293">
        <v>8.94</v>
      </c>
      <c r="T53" s="293">
        <v>198.88</v>
      </c>
      <c r="U53" s="292">
        <f t="shared" si="6"/>
        <v>189.94</v>
      </c>
      <c r="V53" s="291">
        <v>181.44</v>
      </c>
      <c r="W53" s="290">
        <f t="shared" si="7"/>
        <v>4.4750973991786882</v>
      </c>
    </row>
    <row r="54" spans="2:34" ht="22.15" customHeight="1" thickBot="1" x14ac:dyDescent="0.35">
      <c r="B54" s="187" t="s">
        <v>519</v>
      </c>
      <c r="C54" s="186">
        <v>1</v>
      </c>
      <c r="D54" s="185" t="s">
        <v>511</v>
      </c>
      <c r="E54" s="305" t="s">
        <v>616</v>
      </c>
      <c r="F54" s="307">
        <v>8.5399999999999991</v>
      </c>
      <c r="G54" s="307">
        <v>219.05</v>
      </c>
      <c r="H54" s="304">
        <f t="shared" si="2"/>
        <v>210.51000000000002</v>
      </c>
      <c r="I54" s="306">
        <v>199.94</v>
      </c>
      <c r="J54" s="306">
        <f t="shared" si="3"/>
        <v>5.0211391382832264</v>
      </c>
      <c r="O54" s="187" t="s">
        <v>519</v>
      </c>
      <c r="P54" s="186">
        <v>1</v>
      </c>
      <c r="Q54" s="185" t="s">
        <v>511</v>
      </c>
      <c r="R54" s="305" t="s">
        <v>616</v>
      </c>
      <c r="S54" s="307">
        <v>8.91</v>
      </c>
      <c r="T54" s="307">
        <v>216.71</v>
      </c>
      <c r="U54" s="292">
        <f t="shared" si="6"/>
        <v>207.8</v>
      </c>
      <c r="V54" s="306">
        <v>199.32</v>
      </c>
      <c r="W54" s="290">
        <f t="shared" si="7"/>
        <v>4.0808469682386992</v>
      </c>
    </row>
    <row r="55" spans="2:34" ht="22.15" customHeight="1" thickBot="1" x14ac:dyDescent="0.35">
      <c r="B55" s="182" t="s">
        <v>519</v>
      </c>
      <c r="C55" s="181">
        <v>2</v>
      </c>
      <c r="D55" s="180" t="s">
        <v>511</v>
      </c>
      <c r="E55" s="303" t="s">
        <v>616</v>
      </c>
      <c r="F55" s="302">
        <v>8.5500000000000007</v>
      </c>
      <c r="G55" s="302">
        <v>161.96</v>
      </c>
      <c r="H55" s="304">
        <f t="shared" si="2"/>
        <v>153.41</v>
      </c>
      <c r="I55" s="301">
        <v>144.76</v>
      </c>
      <c r="J55" s="301">
        <f t="shared" si="3"/>
        <v>5.6384851052734541</v>
      </c>
      <c r="O55" s="182" t="s">
        <v>519</v>
      </c>
      <c r="P55" s="181">
        <v>2</v>
      </c>
      <c r="Q55" s="180" t="s">
        <v>511</v>
      </c>
      <c r="R55" s="303" t="s">
        <v>616</v>
      </c>
      <c r="S55" s="302">
        <v>8.76</v>
      </c>
      <c r="T55" s="302">
        <v>170.2</v>
      </c>
      <c r="U55" s="292">
        <f t="shared" si="6"/>
        <v>161.44</v>
      </c>
      <c r="V55" s="301">
        <v>152.30000000000001</v>
      </c>
      <c r="W55" s="290">
        <f t="shared" si="7"/>
        <v>5.6615460852328958</v>
      </c>
    </row>
    <row r="56" spans="2:34" ht="22.15" customHeight="1" thickBot="1" x14ac:dyDescent="0.35">
      <c r="B56" s="182" t="s">
        <v>519</v>
      </c>
      <c r="C56" s="181">
        <v>3</v>
      </c>
      <c r="D56" s="180" t="s">
        <v>511</v>
      </c>
      <c r="E56" s="294" t="s">
        <v>616</v>
      </c>
      <c r="F56" s="302">
        <v>8.49</v>
      </c>
      <c r="G56" s="302">
        <v>147.09</v>
      </c>
      <c r="H56" s="304">
        <f t="shared" si="2"/>
        <v>138.6</v>
      </c>
      <c r="I56" s="301">
        <v>131.81</v>
      </c>
      <c r="J56" s="301">
        <f t="shared" si="3"/>
        <v>4.8989898989898935</v>
      </c>
      <c r="K56" s="308"/>
      <c r="O56" s="182" t="s">
        <v>519</v>
      </c>
      <c r="P56" s="181">
        <v>3</v>
      </c>
      <c r="Q56" s="180" t="s">
        <v>511</v>
      </c>
      <c r="R56" s="294" t="s">
        <v>616</v>
      </c>
      <c r="S56" s="302">
        <v>8.74</v>
      </c>
      <c r="T56" s="302">
        <v>178.19</v>
      </c>
      <c r="U56" s="292">
        <f t="shared" si="6"/>
        <v>169.45</v>
      </c>
      <c r="V56" s="301">
        <v>162.81</v>
      </c>
      <c r="W56" s="290">
        <f t="shared" si="7"/>
        <v>3.9185600472115589</v>
      </c>
    </row>
    <row r="57" spans="2:34" ht="22.15" customHeight="1" thickBot="1" x14ac:dyDescent="0.35">
      <c r="B57" s="177" t="s">
        <v>519</v>
      </c>
      <c r="C57" s="176">
        <v>4</v>
      </c>
      <c r="D57" s="175" t="s">
        <v>511</v>
      </c>
      <c r="E57" s="305" t="s">
        <v>615</v>
      </c>
      <c r="F57" s="293">
        <v>8.49</v>
      </c>
      <c r="G57" s="293">
        <v>142.38</v>
      </c>
      <c r="H57" s="304">
        <f t="shared" si="2"/>
        <v>133.88999999999999</v>
      </c>
      <c r="I57" s="291">
        <v>127.56</v>
      </c>
      <c r="J57" s="291">
        <f t="shared" si="3"/>
        <v>4.7277615953394463</v>
      </c>
      <c r="O57" s="177" t="s">
        <v>519</v>
      </c>
      <c r="P57" s="176">
        <v>4</v>
      </c>
      <c r="Q57" s="175" t="s">
        <v>511</v>
      </c>
      <c r="R57" s="305" t="s">
        <v>615</v>
      </c>
      <c r="S57" s="293">
        <v>8.92</v>
      </c>
      <c r="T57" s="293">
        <v>122.37</v>
      </c>
      <c r="U57" s="292">
        <f t="shared" si="6"/>
        <v>113.45</v>
      </c>
      <c r="V57" s="291">
        <v>108.95</v>
      </c>
      <c r="W57" s="290">
        <f t="shared" si="7"/>
        <v>3.9665050683120318</v>
      </c>
    </row>
    <row r="58" spans="2:34" ht="22.15" customHeight="1" thickBot="1" x14ac:dyDescent="0.35">
      <c r="B58" s="187" t="s">
        <v>518</v>
      </c>
      <c r="C58" s="186">
        <v>1</v>
      </c>
      <c r="D58" s="185" t="s">
        <v>511</v>
      </c>
      <c r="E58" s="303" t="s">
        <v>615</v>
      </c>
      <c r="F58" s="307">
        <v>8.4600000000000009</v>
      </c>
      <c r="G58" s="307">
        <v>176.24</v>
      </c>
      <c r="H58" s="304">
        <f t="shared" si="2"/>
        <v>167.78</v>
      </c>
      <c r="I58" s="306">
        <v>159.19999999999999</v>
      </c>
      <c r="J58" s="306">
        <f t="shared" si="3"/>
        <v>5.1138395517940234</v>
      </c>
      <c r="O58" s="187" t="s">
        <v>518</v>
      </c>
      <c r="P58" s="186">
        <v>1</v>
      </c>
      <c r="Q58" s="185" t="s">
        <v>511</v>
      </c>
      <c r="R58" s="303" t="s">
        <v>615</v>
      </c>
      <c r="S58" s="307">
        <v>8.73</v>
      </c>
      <c r="T58" s="307">
        <v>183.18</v>
      </c>
      <c r="U58" s="292">
        <f t="shared" si="6"/>
        <v>174.45000000000002</v>
      </c>
      <c r="V58" s="306">
        <v>167.53</v>
      </c>
      <c r="W58" s="290">
        <f t="shared" si="7"/>
        <v>3.9667526511894611</v>
      </c>
    </row>
    <row r="59" spans="2:34" ht="22.15" customHeight="1" thickBot="1" x14ac:dyDescent="0.35">
      <c r="B59" s="182" t="s">
        <v>518</v>
      </c>
      <c r="C59" s="181">
        <v>2</v>
      </c>
      <c r="D59" s="180" t="s">
        <v>511</v>
      </c>
      <c r="E59" s="294" t="s">
        <v>615</v>
      </c>
      <c r="F59" s="302">
        <v>8.4</v>
      </c>
      <c r="G59" s="302">
        <v>174.38</v>
      </c>
      <c r="H59" s="304">
        <f t="shared" si="2"/>
        <v>165.98</v>
      </c>
      <c r="I59" s="301">
        <v>158.46</v>
      </c>
      <c r="J59" s="301">
        <f t="shared" si="3"/>
        <v>4.5306663453428015</v>
      </c>
      <c r="O59" s="182" t="s">
        <v>518</v>
      </c>
      <c r="P59" s="181">
        <v>2</v>
      </c>
      <c r="Q59" s="180" t="s">
        <v>511</v>
      </c>
      <c r="R59" s="294" t="s">
        <v>615</v>
      </c>
      <c r="S59" s="302">
        <v>8.76</v>
      </c>
      <c r="T59" s="302">
        <v>154.91999999999999</v>
      </c>
      <c r="U59" s="292">
        <f t="shared" si="6"/>
        <v>146.16</v>
      </c>
      <c r="V59" s="301">
        <v>140.22999999999999</v>
      </c>
      <c r="W59" s="290">
        <f t="shared" si="7"/>
        <v>4.0571975916803549</v>
      </c>
    </row>
    <row r="60" spans="2:34" ht="22.15" customHeight="1" thickBot="1" x14ac:dyDescent="0.35">
      <c r="B60" s="182" t="s">
        <v>518</v>
      </c>
      <c r="C60" s="181">
        <v>3</v>
      </c>
      <c r="D60" s="180" t="s">
        <v>511</v>
      </c>
      <c r="E60" s="305" t="s">
        <v>614</v>
      </c>
      <c r="F60" s="302">
        <v>8.34</v>
      </c>
      <c r="G60" s="302">
        <v>157.58000000000001</v>
      </c>
      <c r="H60" s="304">
        <f t="shared" si="2"/>
        <v>149.24</v>
      </c>
      <c r="I60" s="301">
        <v>141.75</v>
      </c>
      <c r="J60" s="301">
        <f t="shared" si="3"/>
        <v>5.0187617260788047</v>
      </c>
      <c r="O60" s="182" t="s">
        <v>518</v>
      </c>
      <c r="P60" s="181">
        <v>3</v>
      </c>
      <c r="Q60" s="180" t="s">
        <v>511</v>
      </c>
      <c r="R60" s="305" t="s">
        <v>614</v>
      </c>
      <c r="S60" s="302">
        <v>8.76</v>
      </c>
      <c r="T60" s="302">
        <v>173.23</v>
      </c>
      <c r="U60" s="292">
        <f t="shared" si="6"/>
        <v>164.47</v>
      </c>
      <c r="V60" s="301">
        <v>157.97999999999999</v>
      </c>
      <c r="W60" s="290">
        <f t="shared" si="7"/>
        <v>3.9460083905879544</v>
      </c>
    </row>
    <row r="61" spans="2:34" ht="22.15" customHeight="1" thickBot="1" x14ac:dyDescent="0.35">
      <c r="B61" s="177" t="s">
        <v>518</v>
      </c>
      <c r="C61" s="176">
        <v>4</v>
      </c>
      <c r="D61" s="175" t="s">
        <v>511</v>
      </c>
      <c r="E61" s="303" t="s">
        <v>614</v>
      </c>
      <c r="F61" s="293">
        <v>8.35</v>
      </c>
      <c r="G61" s="293">
        <v>190.03</v>
      </c>
      <c r="H61" s="304">
        <f t="shared" si="2"/>
        <v>181.68</v>
      </c>
      <c r="I61" s="291">
        <v>172.91</v>
      </c>
      <c r="J61" s="291">
        <f t="shared" si="3"/>
        <v>4.8271686481726164</v>
      </c>
      <c r="O61" s="177" t="s">
        <v>518</v>
      </c>
      <c r="P61" s="176">
        <v>4</v>
      </c>
      <c r="Q61" s="175" t="s">
        <v>511</v>
      </c>
      <c r="R61" s="303" t="s">
        <v>614</v>
      </c>
      <c r="S61" s="293">
        <v>8.7799999999999994</v>
      </c>
      <c r="T61" s="293">
        <v>153.24</v>
      </c>
      <c r="U61" s="292">
        <f t="shared" si="6"/>
        <v>144.46</v>
      </c>
      <c r="V61" s="291">
        <v>138.1</v>
      </c>
      <c r="W61" s="290">
        <f t="shared" si="7"/>
        <v>4.4026027966219115</v>
      </c>
    </row>
    <row r="62" spans="2:34" ht="22.15" customHeight="1" thickBot="1" x14ac:dyDescent="0.35">
      <c r="B62" s="187" t="s">
        <v>513</v>
      </c>
      <c r="C62" s="186">
        <v>1</v>
      </c>
      <c r="D62" s="185" t="s">
        <v>511</v>
      </c>
      <c r="E62" s="294" t="s">
        <v>614</v>
      </c>
      <c r="F62" s="307">
        <v>8.7200000000000006</v>
      </c>
      <c r="G62" s="307">
        <v>148.03</v>
      </c>
      <c r="H62" s="304">
        <f t="shared" si="2"/>
        <v>139.31</v>
      </c>
      <c r="I62" s="306">
        <v>132.51</v>
      </c>
      <c r="J62" s="306">
        <f t="shared" si="3"/>
        <v>4.8812002009906053</v>
      </c>
      <c r="O62" s="187" t="s">
        <v>513</v>
      </c>
      <c r="P62" s="186">
        <v>1</v>
      </c>
      <c r="Q62" s="185" t="s">
        <v>511</v>
      </c>
      <c r="R62" s="294" t="s">
        <v>614</v>
      </c>
      <c r="S62" s="307">
        <v>8.85</v>
      </c>
      <c r="T62" s="307">
        <v>262.45</v>
      </c>
      <c r="U62" s="292">
        <f t="shared" si="6"/>
        <v>253.6</v>
      </c>
      <c r="V62" s="306">
        <v>240.79</v>
      </c>
      <c r="W62" s="290">
        <f t="shared" si="7"/>
        <v>5.0512618296529972</v>
      </c>
    </row>
    <row r="63" spans="2:34" ht="22.15" customHeight="1" thickBot="1" x14ac:dyDescent="0.35">
      <c r="B63" s="182" t="s">
        <v>513</v>
      </c>
      <c r="C63" s="181">
        <v>2</v>
      </c>
      <c r="D63" s="180" t="s">
        <v>511</v>
      </c>
      <c r="E63" s="305" t="s">
        <v>613</v>
      </c>
      <c r="F63" s="302">
        <v>8.7899999999999991</v>
      </c>
      <c r="G63" s="302">
        <v>132.97</v>
      </c>
      <c r="H63" s="304">
        <f t="shared" si="2"/>
        <v>124.18</v>
      </c>
      <c r="I63" s="301">
        <v>117.69</v>
      </c>
      <c r="J63" s="301">
        <f t="shared" si="3"/>
        <v>5.2262844258334749</v>
      </c>
      <c r="O63" s="182" t="s">
        <v>513</v>
      </c>
      <c r="P63" s="181">
        <v>2</v>
      </c>
      <c r="Q63" s="180" t="s">
        <v>511</v>
      </c>
      <c r="R63" s="305" t="s">
        <v>613</v>
      </c>
      <c r="S63" s="302">
        <v>8.76</v>
      </c>
      <c r="T63" s="302">
        <v>194.82</v>
      </c>
      <c r="U63" s="292">
        <f t="shared" si="6"/>
        <v>186.06</v>
      </c>
      <c r="V63" s="301">
        <v>177.93</v>
      </c>
      <c r="W63" s="290">
        <f t="shared" si="7"/>
        <v>4.3695582070299883</v>
      </c>
    </row>
    <row r="64" spans="2:34" ht="22.15" customHeight="1" thickBot="1" x14ac:dyDescent="0.35">
      <c r="B64" s="182" t="s">
        <v>513</v>
      </c>
      <c r="C64" s="181">
        <v>3</v>
      </c>
      <c r="D64" s="180" t="s">
        <v>511</v>
      </c>
      <c r="E64" s="303" t="s">
        <v>613</v>
      </c>
      <c r="F64" s="302">
        <v>8.4700000000000006</v>
      </c>
      <c r="G64" s="302">
        <v>234.11</v>
      </c>
      <c r="H64" s="304">
        <f t="shared" si="2"/>
        <v>225.64000000000001</v>
      </c>
      <c r="I64" s="301">
        <v>215.92</v>
      </c>
      <c r="J64" s="301">
        <f t="shared" si="3"/>
        <v>4.3077468533948</v>
      </c>
      <c r="O64" s="182" t="s">
        <v>513</v>
      </c>
      <c r="P64" s="181">
        <v>3</v>
      </c>
      <c r="Q64" s="180" t="s">
        <v>511</v>
      </c>
      <c r="R64" s="303" t="s">
        <v>613</v>
      </c>
      <c r="S64" s="302">
        <v>8.86</v>
      </c>
      <c r="T64" s="302">
        <v>185.4</v>
      </c>
      <c r="U64" s="292">
        <f t="shared" si="6"/>
        <v>176.54000000000002</v>
      </c>
      <c r="V64" s="301">
        <v>168.21</v>
      </c>
      <c r="W64" s="290">
        <f t="shared" si="7"/>
        <v>4.7184773988897772</v>
      </c>
    </row>
    <row r="65" spans="2:23" ht="22.15" customHeight="1" thickBot="1" x14ac:dyDescent="0.35">
      <c r="B65" s="300" t="s">
        <v>513</v>
      </c>
      <c r="C65" s="299">
        <v>4</v>
      </c>
      <c r="D65" s="298" t="s">
        <v>511</v>
      </c>
      <c r="E65" s="297" t="s">
        <v>613</v>
      </c>
      <c r="F65" s="293">
        <v>8.59</v>
      </c>
      <c r="G65" s="293">
        <v>193.98</v>
      </c>
      <c r="H65" s="296">
        <f t="shared" si="2"/>
        <v>185.39</v>
      </c>
      <c r="I65" s="293">
        <v>176.3</v>
      </c>
      <c r="J65" s="295">
        <f t="shared" si="3"/>
        <v>4.9031770861427137</v>
      </c>
      <c r="O65" s="177" t="s">
        <v>513</v>
      </c>
      <c r="P65" s="176">
        <v>4</v>
      </c>
      <c r="Q65" s="175" t="s">
        <v>511</v>
      </c>
      <c r="R65" s="294" t="s">
        <v>613</v>
      </c>
      <c r="S65" s="293">
        <v>8.8699999999999992</v>
      </c>
      <c r="T65" s="293">
        <v>164.19</v>
      </c>
      <c r="U65" s="292">
        <f t="shared" si="6"/>
        <v>155.32</v>
      </c>
      <c r="V65" s="291">
        <v>148.69999999999999</v>
      </c>
      <c r="W65" s="290">
        <f t="shared" si="7"/>
        <v>4.2621684264743793</v>
      </c>
    </row>
    <row r="67" spans="2:23" x14ac:dyDescent="0.25">
      <c r="L67" s="289"/>
    </row>
  </sheetData>
  <mergeCells count="5">
    <mergeCell ref="L18:M20"/>
    <mergeCell ref="B17:C17"/>
    <mergeCell ref="K16:K17"/>
    <mergeCell ref="O16:P16"/>
    <mergeCell ref="AA17:AB17"/>
  </mergeCells>
  <pageMargins left="0.45" right="0.45" top="0.5" bottom="0.5" header="0" footer="0.3"/>
  <pageSetup fitToHeight="2" orientation="portrait" r:id="rId1"/>
  <rowBreaks count="3" manualBreakCount="3">
    <brk id="33" min="25" max="32" man="1"/>
    <brk id="37" max="8" man="1"/>
    <brk id="37" min="13" max="2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20D1E-5DCE-4A03-99C2-F79272A5317F}">
  <sheetPr>
    <outlinePr summaryBelow="0"/>
  </sheetPr>
  <dimension ref="A1:O145"/>
  <sheetViews>
    <sheetView showGridLines="0" workbookViewId="0">
      <selection activeCell="A42" sqref="A42:XFD42"/>
    </sheetView>
  </sheetViews>
  <sheetFormatPr defaultRowHeight="15" x14ac:dyDescent="0.25"/>
  <cols>
    <col min="1" max="1" width="7" customWidth="1"/>
    <col min="2" max="2" width="6" customWidth="1"/>
    <col min="3" max="3" width="11.5703125" customWidth="1"/>
    <col min="4" max="4" width="10.42578125" customWidth="1"/>
    <col min="5" max="5" width="6.85546875" customWidth="1"/>
    <col min="6" max="6" width="7" customWidth="1"/>
    <col min="7" max="7" width="6.85546875" customWidth="1"/>
    <col min="8" max="8" width="7" customWidth="1"/>
    <col min="9" max="10" width="6.85546875" customWidth="1"/>
    <col min="11" max="11" width="7" customWidth="1"/>
    <col min="12" max="12" width="6.85546875" customWidth="1"/>
    <col min="13" max="13" width="7" customWidth="1"/>
    <col min="14" max="14" width="6.85546875" customWidth="1"/>
    <col min="15" max="15" width="7" customWidth="1"/>
  </cols>
  <sheetData>
    <row r="1" spans="1:15" ht="16.5" customHeight="1" x14ac:dyDescent="0.25">
      <c r="A1" s="422" t="s">
        <v>824</v>
      </c>
      <c r="B1" s="422"/>
      <c r="C1" s="422"/>
      <c r="D1" s="420" t="s">
        <v>823</v>
      </c>
      <c r="E1" s="420"/>
      <c r="F1" s="420"/>
      <c r="G1" s="420"/>
      <c r="H1" s="420"/>
      <c r="I1" s="420"/>
      <c r="J1" s="420"/>
      <c r="K1" s="420"/>
      <c r="L1" s="420"/>
      <c r="M1" s="421" t="s">
        <v>822</v>
      </c>
      <c r="N1" s="421"/>
      <c r="O1" s="421"/>
    </row>
    <row r="2" spans="1:15" ht="1.5" customHeight="1" x14ac:dyDescent="0.25">
      <c r="D2" s="420"/>
      <c r="E2" s="420"/>
      <c r="F2" s="420"/>
      <c r="G2" s="420"/>
      <c r="H2" s="420"/>
      <c r="I2" s="420"/>
      <c r="J2" s="420"/>
      <c r="K2" s="420"/>
      <c r="L2" s="420"/>
    </row>
    <row r="3" spans="1:15" ht="18" customHeight="1" x14ac:dyDescent="0.25">
      <c r="D3" s="419" t="s">
        <v>821</v>
      </c>
      <c r="E3" s="419"/>
      <c r="F3" s="419"/>
      <c r="G3" s="419"/>
      <c r="H3" s="419"/>
      <c r="I3" s="419"/>
      <c r="J3" s="419"/>
      <c r="K3" s="419"/>
      <c r="L3" s="419"/>
    </row>
    <row r="4" spans="1:15" ht="3" customHeight="1" x14ac:dyDescent="0.25"/>
    <row r="5" spans="1:15" ht="15.75" customHeight="1" x14ac:dyDescent="0.25">
      <c r="A5" s="418" t="s">
        <v>820</v>
      </c>
      <c r="B5" s="418"/>
      <c r="C5" s="418">
        <v>51598</v>
      </c>
      <c r="D5" s="418"/>
      <c r="E5" s="418"/>
      <c r="F5" s="407" t="s">
        <v>819</v>
      </c>
      <c r="G5" s="407"/>
      <c r="H5" s="410" t="s">
        <v>818</v>
      </c>
      <c r="I5" s="410"/>
      <c r="J5" s="410"/>
      <c r="K5" s="409" t="s">
        <v>817</v>
      </c>
      <c r="L5" s="410" t="s">
        <v>816</v>
      </c>
      <c r="M5" s="410"/>
      <c r="N5" s="410"/>
      <c r="O5" s="410"/>
    </row>
    <row r="6" spans="1:15" ht="15.75" customHeight="1" x14ac:dyDescent="0.25">
      <c r="A6" s="418" t="s">
        <v>815</v>
      </c>
      <c r="B6" s="418"/>
      <c r="C6" s="410" t="s">
        <v>814</v>
      </c>
      <c r="D6" s="410"/>
      <c r="E6" s="410"/>
      <c r="F6" s="407" t="s">
        <v>813</v>
      </c>
      <c r="G6" s="407"/>
      <c r="H6" s="410" t="s">
        <v>812</v>
      </c>
      <c r="I6" s="410"/>
      <c r="J6" s="410"/>
      <c r="K6" s="409" t="s">
        <v>811</v>
      </c>
      <c r="L6" s="410" t="s">
        <v>810</v>
      </c>
      <c r="M6" s="410"/>
      <c r="N6" s="410"/>
      <c r="O6" s="410"/>
    </row>
    <row r="7" spans="1:15" ht="15.75" customHeight="1" x14ac:dyDescent="0.25">
      <c r="A7" s="418" t="s">
        <v>809</v>
      </c>
      <c r="B7" s="418"/>
      <c r="C7" s="410" t="s">
        <v>808</v>
      </c>
      <c r="D7" s="410"/>
      <c r="E7" s="410"/>
      <c r="F7" s="407" t="s">
        <v>807</v>
      </c>
      <c r="G7" s="407"/>
      <c r="H7" s="410" t="s">
        <v>806</v>
      </c>
      <c r="I7" s="410"/>
      <c r="J7" s="410"/>
    </row>
    <row r="8" spans="1:15" ht="15.75" customHeight="1" x14ac:dyDescent="0.25">
      <c r="A8" s="418" t="s">
        <v>805</v>
      </c>
      <c r="B8" s="418"/>
      <c r="C8" s="417">
        <v>44980.454463969909</v>
      </c>
      <c r="D8" s="417"/>
      <c r="E8" s="417"/>
      <c r="F8" s="407" t="s">
        <v>804</v>
      </c>
      <c r="G8" s="407"/>
      <c r="H8" s="417">
        <v>45042.66978009259</v>
      </c>
      <c r="I8" s="417"/>
      <c r="J8" s="417"/>
    </row>
    <row r="9" spans="1:15" ht="1.5" customHeight="1" x14ac:dyDescent="0.25"/>
    <row r="10" spans="1:15" ht="18" customHeight="1" x14ac:dyDescent="0.25">
      <c r="A10" s="416" t="s">
        <v>803</v>
      </c>
      <c r="B10" s="416"/>
      <c r="C10" s="416"/>
      <c r="D10" s="416"/>
      <c r="E10" s="416"/>
      <c r="F10" s="416"/>
      <c r="G10" s="416"/>
      <c r="H10" s="415" t="s">
        <v>802</v>
      </c>
      <c r="I10" s="415"/>
      <c r="J10" s="415"/>
      <c r="K10" s="415"/>
      <c r="L10" s="415"/>
      <c r="M10" s="415"/>
      <c r="N10" s="415"/>
      <c r="O10" s="415"/>
    </row>
    <row r="11" spans="1:15" ht="34.5" customHeight="1" x14ac:dyDescent="0.25">
      <c r="A11" s="414" t="s">
        <v>801</v>
      </c>
      <c r="B11" s="413" t="s">
        <v>800</v>
      </c>
      <c r="C11" s="413"/>
      <c r="D11" s="413"/>
      <c r="E11" s="412" t="s">
        <v>799</v>
      </c>
      <c r="F11" s="412" t="s">
        <v>798</v>
      </c>
      <c r="G11" s="412" t="s">
        <v>797</v>
      </c>
      <c r="H11" s="412" t="s">
        <v>796</v>
      </c>
      <c r="I11" s="412" t="s">
        <v>795</v>
      </c>
      <c r="J11" s="412" t="s">
        <v>794</v>
      </c>
      <c r="K11" s="412" t="s">
        <v>793</v>
      </c>
      <c r="L11" s="412" t="s">
        <v>792</v>
      </c>
      <c r="M11" s="412" t="s">
        <v>791</v>
      </c>
      <c r="N11" s="412" t="s">
        <v>790</v>
      </c>
      <c r="O11" s="412" t="s">
        <v>789</v>
      </c>
    </row>
    <row r="12" spans="1:15" ht="13.5" customHeight="1" x14ac:dyDescent="0.25">
      <c r="A12" s="411">
        <v>1</v>
      </c>
      <c r="B12" s="410" t="s">
        <v>788</v>
      </c>
      <c r="C12" s="410"/>
      <c r="D12" s="410"/>
      <c r="E12" s="409">
        <v>4.91</v>
      </c>
      <c r="F12" s="405">
        <v>1.0489999999999999</v>
      </c>
      <c r="G12" s="409">
        <v>81</v>
      </c>
      <c r="H12" s="409">
        <v>28.4</v>
      </c>
      <c r="I12" s="409">
        <v>5.3</v>
      </c>
      <c r="J12" s="409">
        <v>77.099999999999994</v>
      </c>
      <c r="K12" s="409">
        <v>9.9</v>
      </c>
      <c r="L12" s="404" t="s">
        <v>167</v>
      </c>
      <c r="M12" s="409">
        <v>9</v>
      </c>
      <c r="N12" s="409">
        <v>0.08</v>
      </c>
      <c r="O12" s="409">
        <v>9.3000000000000007</v>
      </c>
    </row>
    <row r="13" spans="1:15" ht="13.5" customHeight="1" x14ac:dyDescent="0.25">
      <c r="A13" s="411">
        <v>2</v>
      </c>
      <c r="B13" s="410" t="s">
        <v>787</v>
      </c>
      <c r="C13" s="410"/>
      <c r="D13" s="410"/>
      <c r="E13" s="409">
        <v>5.57</v>
      </c>
      <c r="F13" s="405">
        <v>1.0029999999999999</v>
      </c>
      <c r="G13" s="409">
        <v>78.2</v>
      </c>
      <c r="H13" s="409">
        <v>26.8</v>
      </c>
      <c r="I13" s="409">
        <v>5.7</v>
      </c>
      <c r="J13" s="409">
        <v>76.7</v>
      </c>
      <c r="K13" s="409">
        <v>10.1</v>
      </c>
      <c r="L13" s="404" t="s">
        <v>167</v>
      </c>
      <c r="M13" s="409">
        <v>10</v>
      </c>
      <c r="N13" s="409">
        <v>0.1</v>
      </c>
      <c r="O13" s="409">
        <v>12.5</v>
      </c>
    </row>
    <row r="14" spans="1:15" ht="13.5" customHeight="1" x14ac:dyDescent="0.25">
      <c r="A14" s="411">
        <v>3</v>
      </c>
      <c r="B14" s="410" t="s">
        <v>786</v>
      </c>
      <c r="C14" s="410"/>
      <c r="D14" s="410"/>
      <c r="E14" s="409">
        <v>4.42</v>
      </c>
      <c r="F14" s="405">
        <v>1.1639999999999999</v>
      </c>
      <c r="G14" s="409">
        <v>80.8</v>
      </c>
      <c r="H14" s="409">
        <v>29.8</v>
      </c>
      <c r="I14" s="409">
        <v>5.9</v>
      </c>
      <c r="J14" s="409">
        <v>79.3</v>
      </c>
      <c r="K14" s="409">
        <v>8.6</v>
      </c>
      <c r="L14" s="404" t="s">
        <v>150</v>
      </c>
      <c r="M14" s="409">
        <v>7</v>
      </c>
      <c r="N14" s="409">
        <v>0.12</v>
      </c>
      <c r="O14" s="409">
        <v>8.8000000000000007</v>
      </c>
    </row>
    <row r="15" spans="1:15" ht="14.25" customHeight="1" x14ac:dyDescent="0.25">
      <c r="A15" s="411">
        <v>4</v>
      </c>
      <c r="B15" s="410" t="s">
        <v>785</v>
      </c>
      <c r="C15" s="410"/>
      <c r="D15" s="410"/>
      <c r="E15" s="409">
        <v>4.42</v>
      </c>
      <c r="F15" s="405">
        <v>1.169</v>
      </c>
      <c r="G15" s="409">
        <v>81.7</v>
      </c>
      <c r="H15" s="409">
        <v>30.3</v>
      </c>
      <c r="I15" s="409">
        <v>6.2</v>
      </c>
      <c r="J15" s="409">
        <v>80.599999999999994</v>
      </c>
      <c r="K15" s="409">
        <v>8.6</v>
      </c>
      <c r="L15" s="404" t="s">
        <v>148</v>
      </c>
      <c r="M15" s="409">
        <v>12</v>
      </c>
      <c r="N15" s="409">
        <v>0.15</v>
      </c>
      <c r="O15" s="409">
        <v>8.6999999999999993</v>
      </c>
    </row>
    <row r="16" spans="1:15" ht="13.5" customHeight="1" x14ac:dyDescent="0.25">
      <c r="A16" s="411">
        <v>5</v>
      </c>
      <c r="B16" s="410" t="s">
        <v>784</v>
      </c>
      <c r="C16" s="410"/>
      <c r="D16" s="410"/>
      <c r="E16" s="409">
        <v>4.59</v>
      </c>
      <c r="F16" s="405">
        <v>1.1659999999999999</v>
      </c>
      <c r="G16" s="409">
        <v>80.7</v>
      </c>
      <c r="H16" s="409">
        <v>30.5</v>
      </c>
      <c r="I16" s="409">
        <v>6.1</v>
      </c>
      <c r="J16" s="409">
        <v>79.599999999999994</v>
      </c>
      <c r="K16" s="409">
        <v>9</v>
      </c>
      <c r="L16" s="404" t="s">
        <v>148</v>
      </c>
      <c r="M16" s="409">
        <v>12</v>
      </c>
      <c r="N16" s="409">
        <v>0.14000000000000001</v>
      </c>
      <c r="O16" s="409">
        <v>9.1</v>
      </c>
    </row>
    <row r="17" spans="1:15" ht="13.5" customHeight="1" x14ac:dyDescent="0.25">
      <c r="A17" s="411">
        <v>6</v>
      </c>
      <c r="B17" s="410" t="s">
        <v>783</v>
      </c>
      <c r="C17" s="410"/>
      <c r="D17" s="410"/>
      <c r="E17" s="409">
        <v>4.4000000000000004</v>
      </c>
      <c r="F17" s="405">
        <v>1.179</v>
      </c>
      <c r="G17" s="409">
        <v>81.099999999999994</v>
      </c>
      <c r="H17" s="409">
        <v>30.9</v>
      </c>
      <c r="I17" s="409">
        <v>6.1</v>
      </c>
      <c r="J17" s="409">
        <v>81.400000000000006</v>
      </c>
      <c r="K17" s="409">
        <v>8.3000000000000007</v>
      </c>
      <c r="L17" s="404" t="s">
        <v>148</v>
      </c>
      <c r="M17" s="409">
        <v>9</v>
      </c>
      <c r="N17" s="409">
        <v>0.17</v>
      </c>
      <c r="O17" s="409">
        <v>8.8000000000000007</v>
      </c>
    </row>
    <row r="18" spans="1:15" ht="13.5" customHeight="1" x14ac:dyDescent="0.25">
      <c r="A18" s="411">
        <v>7</v>
      </c>
      <c r="B18" s="410" t="s">
        <v>782</v>
      </c>
      <c r="C18" s="410"/>
      <c r="D18" s="410"/>
      <c r="E18" s="409">
        <v>4.58</v>
      </c>
      <c r="F18" s="405">
        <v>1.1930000000000001</v>
      </c>
      <c r="G18" s="409">
        <v>80.5</v>
      </c>
      <c r="H18" s="409">
        <v>29.4</v>
      </c>
      <c r="I18" s="409">
        <v>6.3</v>
      </c>
      <c r="J18" s="409">
        <v>80</v>
      </c>
      <c r="K18" s="409">
        <v>8.1</v>
      </c>
      <c r="L18" s="404" t="s">
        <v>150</v>
      </c>
      <c r="M18" s="409">
        <v>17</v>
      </c>
      <c r="N18" s="409">
        <v>0.21</v>
      </c>
      <c r="O18" s="409">
        <v>8.6</v>
      </c>
    </row>
    <row r="19" spans="1:15" ht="14.25" customHeight="1" x14ac:dyDescent="0.25">
      <c r="A19" s="411">
        <v>8</v>
      </c>
      <c r="B19" s="410" t="s">
        <v>781</v>
      </c>
      <c r="C19" s="410"/>
      <c r="D19" s="410"/>
      <c r="E19" s="409">
        <v>4.53</v>
      </c>
      <c r="F19" s="405">
        <v>1.1479999999999999</v>
      </c>
      <c r="G19" s="409">
        <v>80.400000000000006</v>
      </c>
      <c r="H19" s="409">
        <v>28.5</v>
      </c>
      <c r="I19" s="409">
        <v>6.4</v>
      </c>
      <c r="J19" s="409">
        <v>79.5</v>
      </c>
      <c r="K19" s="409">
        <v>8.6999999999999993</v>
      </c>
      <c r="L19" s="404" t="s">
        <v>148</v>
      </c>
      <c r="M19" s="409">
        <v>19</v>
      </c>
      <c r="N19" s="409">
        <v>0.26</v>
      </c>
      <c r="O19" s="409">
        <v>9.3000000000000007</v>
      </c>
    </row>
    <row r="20" spans="1:15" ht="13.5" customHeight="1" x14ac:dyDescent="0.25">
      <c r="A20" s="411">
        <v>9</v>
      </c>
      <c r="B20" s="410" t="s">
        <v>780</v>
      </c>
      <c r="C20" s="410"/>
      <c r="D20" s="410"/>
      <c r="E20" s="409">
        <v>4.88</v>
      </c>
      <c r="F20" s="405">
        <v>1.087</v>
      </c>
      <c r="G20" s="409">
        <v>81.3</v>
      </c>
      <c r="H20" s="409">
        <v>28.6</v>
      </c>
      <c r="I20" s="409">
        <v>5.5</v>
      </c>
      <c r="J20" s="409">
        <v>78</v>
      </c>
      <c r="K20" s="409">
        <v>9.8000000000000007</v>
      </c>
      <c r="L20" s="404" t="s">
        <v>165</v>
      </c>
      <c r="M20" s="409">
        <v>13</v>
      </c>
      <c r="N20" s="409">
        <v>0.16</v>
      </c>
      <c r="O20" s="409">
        <v>8.8000000000000007</v>
      </c>
    </row>
    <row r="21" spans="1:15" ht="13.5" customHeight="1" x14ac:dyDescent="0.25">
      <c r="A21" s="411">
        <v>10</v>
      </c>
      <c r="B21" s="410" t="s">
        <v>779</v>
      </c>
      <c r="C21" s="410"/>
      <c r="D21" s="410"/>
      <c r="E21" s="409">
        <v>4.72</v>
      </c>
      <c r="F21" s="405">
        <v>1.141</v>
      </c>
      <c r="G21" s="409">
        <v>82</v>
      </c>
      <c r="H21" s="409">
        <v>31.3</v>
      </c>
      <c r="I21" s="409">
        <v>5.4</v>
      </c>
      <c r="J21" s="409">
        <v>79.2</v>
      </c>
      <c r="K21" s="409">
        <v>9.1999999999999993</v>
      </c>
      <c r="L21" s="404" t="s">
        <v>148</v>
      </c>
      <c r="M21" s="409">
        <v>20</v>
      </c>
      <c r="N21" s="409">
        <v>0.23</v>
      </c>
      <c r="O21" s="409">
        <v>8.1</v>
      </c>
    </row>
    <row r="22" spans="1:15" ht="13.5" customHeight="1" x14ac:dyDescent="0.25">
      <c r="A22" s="411">
        <v>11</v>
      </c>
      <c r="B22" s="410" t="s">
        <v>778</v>
      </c>
      <c r="C22" s="410"/>
      <c r="D22" s="410"/>
      <c r="E22" s="409">
        <v>4.4000000000000004</v>
      </c>
      <c r="F22" s="405">
        <v>1.198</v>
      </c>
      <c r="G22" s="409">
        <v>81.900000000000006</v>
      </c>
      <c r="H22" s="409">
        <v>31</v>
      </c>
      <c r="I22" s="409">
        <v>6.2</v>
      </c>
      <c r="J22" s="409">
        <v>80.7</v>
      </c>
      <c r="K22" s="409">
        <v>8.4</v>
      </c>
      <c r="L22" s="404" t="s">
        <v>148</v>
      </c>
      <c r="M22" s="409">
        <v>25</v>
      </c>
      <c r="N22" s="409">
        <v>0.36</v>
      </c>
      <c r="O22" s="409">
        <v>8.6</v>
      </c>
    </row>
    <row r="23" spans="1:15" ht="14.25" customHeight="1" x14ac:dyDescent="0.25">
      <c r="A23" s="411">
        <v>12</v>
      </c>
      <c r="B23" s="410" t="s">
        <v>777</v>
      </c>
      <c r="C23" s="410"/>
      <c r="D23" s="410"/>
      <c r="E23" s="409">
        <v>4.8499999999999996</v>
      </c>
      <c r="F23" s="405">
        <v>1.113</v>
      </c>
      <c r="G23" s="409">
        <v>81.8</v>
      </c>
      <c r="H23" s="409">
        <v>30.5</v>
      </c>
      <c r="I23" s="409">
        <v>5.3</v>
      </c>
      <c r="J23" s="409">
        <v>78</v>
      </c>
      <c r="K23" s="409">
        <v>9.6999999999999993</v>
      </c>
      <c r="L23" s="404" t="s">
        <v>165</v>
      </c>
      <c r="M23" s="409">
        <v>12</v>
      </c>
      <c r="N23" s="409">
        <v>0.21</v>
      </c>
      <c r="O23" s="409">
        <v>8.8000000000000007</v>
      </c>
    </row>
    <row r="24" spans="1:15" ht="13.5" customHeight="1" x14ac:dyDescent="0.25">
      <c r="A24" s="411">
        <v>13</v>
      </c>
      <c r="B24" s="410" t="s">
        <v>776</v>
      </c>
      <c r="C24" s="410"/>
      <c r="D24" s="410"/>
      <c r="E24" s="409">
        <v>4.78</v>
      </c>
      <c r="F24" s="405">
        <v>1.123</v>
      </c>
      <c r="G24" s="409">
        <v>81.5</v>
      </c>
      <c r="H24" s="409">
        <v>31</v>
      </c>
      <c r="I24" s="409">
        <v>5.3</v>
      </c>
      <c r="J24" s="409">
        <v>79</v>
      </c>
      <c r="K24" s="409">
        <v>9.3000000000000007</v>
      </c>
      <c r="L24" s="404" t="s">
        <v>148</v>
      </c>
      <c r="M24" s="409">
        <v>10</v>
      </c>
      <c r="N24" s="409">
        <v>0.12</v>
      </c>
      <c r="O24" s="409">
        <v>8.3000000000000007</v>
      </c>
    </row>
    <row r="25" spans="1:15" ht="13.5" customHeight="1" x14ac:dyDescent="0.25">
      <c r="A25" s="411">
        <v>14</v>
      </c>
      <c r="B25" s="410" t="s">
        <v>775</v>
      </c>
      <c r="C25" s="410"/>
      <c r="D25" s="410"/>
      <c r="E25" s="409">
        <v>4.96</v>
      </c>
      <c r="F25" s="405">
        <v>1.0880000000000001</v>
      </c>
      <c r="G25" s="409">
        <v>80.400000000000006</v>
      </c>
      <c r="H25" s="409">
        <v>29.1</v>
      </c>
      <c r="I25" s="409">
        <v>5</v>
      </c>
      <c r="J25" s="409">
        <v>78.2</v>
      </c>
      <c r="K25" s="409">
        <v>8.9</v>
      </c>
      <c r="L25" s="404" t="s">
        <v>150</v>
      </c>
      <c r="M25" s="409">
        <v>12</v>
      </c>
      <c r="N25" s="409">
        <v>0.09</v>
      </c>
      <c r="O25" s="409">
        <v>9.9</v>
      </c>
    </row>
    <row r="26" spans="1:15" ht="13.5" customHeight="1" x14ac:dyDescent="0.25">
      <c r="A26" s="411">
        <v>15</v>
      </c>
      <c r="B26" s="410" t="s">
        <v>774</v>
      </c>
      <c r="C26" s="410"/>
      <c r="D26" s="410"/>
      <c r="E26" s="409">
        <v>4.8499999999999996</v>
      </c>
      <c r="F26" s="405">
        <v>1.101</v>
      </c>
      <c r="G26" s="409">
        <v>80.8</v>
      </c>
      <c r="H26" s="409">
        <v>28.4</v>
      </c>
      <c r="I26" s="409">
        <v>5.4</v>
      </c>
      <c r="J26" s="409">
        <v>79</v>
      </c>
      <c r="K26" s="409">
        <v>8.8000000000000007</v>
      </c>
      <c r="L26" s="404" t="s">
        <v>150</v>
      </c>
      <c r="M26" s="409">
        <v>8</v>
      </c>
      <c r="N26" s="409">
        <v>0.16</v>
      </c>
      <c r="O26" s="409">
        <v>9.3000000000000007</v>
      </c>
    </row>
    <row r="27" spans="1:15" ht="14.25" customHeight="1" x14ac:dyDescent="0.25">
      <c r="A27" s="411">
        <v>16</v>
      </c>
      <c r="B27" s="410" t="s">
        <v>773</v>
      </c>
      <c r="C27" s="410"/>
      <c r="D27" s="410"/>
      <c r="E27" s="409">
        <v>4.82</v>
      </c>
      <c r="F27" s="405">
        <v>1.123</v>
      </c>
      <c r="G27" s="409">
        <v>80.400000000000006</v>
      </c>
      <c r="H27" s="409">
        <v>29.7</v>
      </c>
      <c r="I27" s="409">
        <v>5.4</v>
      </c>
      <c r="J27" s="409">
        <v>79.099999999999994</v>
      </c>
      <c r="K27" s="409">
        <v>9.4</v>
      </c>
      <c r="L27" s="404" t="s">
        <v>165</v>
      </c>
      <c r="M27" s="409">
        <v>9</v>
      </c>
      <c r="N27" s="409">
        <v>0.13</v>
      </c>
      <c r="O27" s="409">
        <v>9.1</v>
      </c>
    </row>
    <row r="28" spans="1:15" ht="13.5" customHeight="1" x14ac:dyDescent="0.25">
      <c r="A28" s="411">
        <v>17</v>
      </c>
      <c r="B28" s="410" t="s">
        <v>772</v>
      </c>
      <c r="C28" s="410"/>
      <c r="D28" s="410"/>
      <c r="E28" s="409">
        <v>4.5999999999999996</v>
      </c>
      <c r="F28" s="405">
        <v>1.119</v>
      </c>
      <c r="G28" s="409">
        <v>80.099999999999994</v>
      </c>
      <c r="H28" s="409">
        <v>29.2</v>
      </c>
      <c r="I28" s="409">
        <v>5.7</v>
      </c>
      <c r="J28" s="409">
        <v>79.3</v>
      </c>
      <c r="K28" s="409">
        <v>9</v>
      </c>
      <c r="L28" s="404" t="s">
        <v>148</v>
      </c>
      <c r="M28" s="409">
        <v>16</v>
      </c>
      <c r="N28" s="409">
        <v>0.18</v>
      </c>
      <c r="O28" s="409">
        <v>9</v>
      </c>
    </row>
    <row r="29" spans="1:15" ht="13.5" customHeight="1" x14ac:dyDescent="0.25">
      <c r="A29" s="411">
        <v>18</v>
      </c>
      <c r="B29" s="410" t="s">
        <v>771</v>
      </c>
      <c r="C29" s="410"/>
      <c r="D29" s="410"/>
      <c r="E29" s="409">
        <v>5.26</v>
      </c>
      <c r="F29" s="405">
        <v>1.069</v>
      </c>
      <c r="G29" s="409">
        <v>78.900000000000006</v>
      </c>
      <c r="H29" s="409">
        <v>26.7</v>
      </c>
      <c r="I29" s="409">
        <v>6</v>
      </c>
      <c r="J29" s="409">
        <v>79.599999999999994</v>
      </c>
      <c r="K29" s="409">
        <v>8.9</v>
      </c>
      <c r="L29" s="404" t="s">
        <v>148</v>
      </c>
      <c r="M29" s="409">
        <v>14</v>
      </c>
      <c r="N29" s="409">
        <v>0.14000000000000001</v>
      </c>
      <c r="O29" s="409">
        <v>11</v>
      </c>
    </row>
    <row r="30" spans="1:15" ht="13.5" customHeight="1" x14ac:dyDescent="0.25">
      <c r="A30" s="411">
        <v>19</v>
      </c>
      <c r="B30" s="410" t="s">
        <v>770</v>
      </c>
      <c r="C30" s="410"/>
      <c r="D30" s="410"/>
      <c r="E30" s="409">
        <v>4.8600000000000003</v>
      </c>
      <c r="F30" s="405">
        <v>1.083</v>
      </c>
      <c r="G30" s="409">
        <v>80.5</v>
      </c>
      <c r="H30" s="409">
        <v>29.9</v>
      </c>
      <c r="I30" s="409">
        <v>5.2</v>
      </c>
      <c r="J30" s="409">
        <v>79.099999999999994</v>
      </c>
      <c r="K30" s="409">
        <v>9.1999999999999993</v>
      </c>
      <c r="L30" s="404" t="s">
        <v>148</v>
      </c>
      <c r="M30" s="409">
        <v>11</v>
      </c>
      <c r="N30" s="409">
        <v>0.11</v>
      </c>
      <c r="O30" s="409">
        <v>9.4</v>
      </c>
    </row>
    <row r="31" spans="1:15" ht="14.25" customHeight="1" x14ac:dyDescent="0.25">
      <c r="A31" s="411">
        <v>20</v>
      </c>
      <c r="B31" s="410" t="s">
        <v>769</v>
      </c>
      <c r="C31" s="410"/>
      <c r="D31" s="410"/>
      <c r="E31" s="409">
        <v>4.62</v>
      </c>
      <c r="F31" s="405">
        <v>1.1359999999999999</v>
      </c>
      <c r="G31" s="409">
        <v>80.8</v>
      </c>
      <c r="H31" s="409">
        <v>29.9</v>
      </c>
      <c r="I31" s="409">
        <v>5.9</v>
      </c>
      <c r="J31" s="409">
        <v>80.2</v>
      </c>
      <c r="K31" s="409">
        <v>8.6</v>
      </c>
      <c r="L31" s="404" t="s">
        <v>148</v>
      </c>
      <c r="M31" s="409">
        <v>10</v>
      </c>
      <c r="N31" s="409">
        <v>0.1</v>
      </c>
      <c r="O31" s="409">
        <v>9.3000000000000007</v>
      </c>
    </row>
    <row r="32" spans="1:15" ht="13.5" customHeight="1" x14ac:dyDescent="0.25">
      <c r="A32" s="411">
        <v>21</v>
      </c>
      <c r="B32" s="410" t="s">
        <v>768</v>
      </c>
      <c r="C32" s="410"/>
      <c r="D32" s="410"/>
      <c r="E32" s="409">
        <v>4.92</v>
      </c>
      <c r="F32" s="405">
        <v>1.099</v>
      </c>
      <c r="G32" s="409">
        <v>81.5</v>
      </c>
      <c r="H32" s="409">
        <v>29.9</v>
      </c>
      <c r="I32" s="409">
        <v>5.0999999999999996</v>
      </c>
      <c r="J32" s="409">
        <v>78.3</v>
      </c>
      <c r="K32" s="409">
        <v>9.6999999999999993</v>
      </c>
      <c r="L32" s="404" t="s">
        <v>165</v>
      </c>
      <c r="M32" s="409">
        <v>10</v>
      </c>
      <c r="N32" s="409">
        <v>0.18</v>
      </c>
      <c r="O32" s="409">
        <v>8.8000000000000007</v>
      </c>
    </row>
    <row r="33" spans="1:15" ht="13.5" customHeight="1" x14ac:dyDescent="0.25">
      <c r="A33" s="411">
        <v>22</v>
      </c>
      <c r="B33" s="410" t="s">
        <v>767</v>
      </c>
      <c r="C33" s="410"/>
      <c r="D33" s="410"/>
      <c r="E33" s="409">
        <v>4.99</v>
      </c>
      <c r="F33" s="405">
        <v>1.125</v>
      </c>
      <c r="G33" s="409">
        <v>80.3</v>
      </c>
      <c r="H33" s="409">
        <v>28.2</v>
      </c>
      <c r="I33" s="409">
        <v>6</v>
      </c>
      <c r="J33" s="409">
        <v>79.599999999999994</v>
      </c>
      <c r="K33" s="409">
        <v>9.1</v>
      </c>
      <c r="L33" s="404" t="s">
        <v>148</v>
      </c>
      <c r="M33" s="409">
        <v>4</v>
      </c>
      <c r="N33" s="409">
        <v>0.05</v>
      </c>
      <c r="O33" s="409">
        <v>9.6</v>
      </c>
    </row>
    <row r="34" spans="1:15" ht="13.5" customHeight="1" x14ac:dyDescent="0.25">
      <c r="A34" s="411">
        <v>23</v>
      </c>
      <c r="B34" s="410" t="s">
        <v>766</v>
      </c>
      <c r="C34" s="410"/>
      <c r="D34" s="410"/>
      <c r="E34" s="409">
        <v>4.45</v>
      </c>
      <c r="F34" s="405">
        <v>1.153</v>
      </c>
      <c r="G34" s="409">
        <v>80.400000000000006</v>
      </c>
      <c r="H34" s="409">
        <v>29.1</v>
      </c>
      <c r="I34" s="409">
        <v>6</v>
      </c>
      <c r="J34" s="409">
        <v>78</v>
      </c>
      <c r="K34" s="409">
        <v>9</v>
      </c>
      <c r="L34" s="404" t="s">
        <v>150</v>
      </c>
      <c r="M34" s="409">
        <v>16</v>
      </c>
      <c r="N34" s="409">
        <v>0.13</v>
      </c>
      <c r="O34" s="409">
        <v>9</v>
      </c>
    </row>
    <row r="35" spans="1:15" ht="14.25" customHeight="1" x14ac:dyDescent="0.25">
      <c r="A35" s="411">
        <v>24</v>
      </c>
      <c r="B35" s="410" t="s">
        <v>765</v>
      </c>
      <c r="C35" s="410"/>
      <c r="D35" s="410"/>
      <c r="E35" s="409">
        <v>4.8</v>
      </c>
      <c r="F35" s="405">
        <v>1.153</v>
      </c>
      <c r="G35" s="409">
        <v>80.400000000000006</v>
      </c>
      <c r="H35" s="409">
        <v>30.2</v>
      </c>
      <c r="I35" s="409">
        <v>6</v>
      </c>
      <c r="J35" s="409">
        <v>80.3</v>
      </c>
      <c r="K35" s="409">
        <v>9.1</v>
      </c>
      <c r="L35" s="404" t="s">
        <v>148</v>
      </c>
      <c r="M35" s="409">
        <v>10</v>
      </c>
      <c r="N35" s="409">
        <v>0.11</v>
      </c>
      <c r="O35" s="409">
        <v>9</v>
      </c>
    </row>
    <row r="36" spans="1:15" ht="13.5" customHeight="1" x14ac:dyDescent="0.25">
      <c r="A36" s="411">
        <v>25</v>
      </c>
      <c r="B36" s="410" t="s">
        <v>764</v>
      </c>
      <c r="C36" s="410"/>
      <c r="D36" s="410"/>
      <c r="E36" s="409">
        <v>4.55</v>
      </c>
      <c r="F36" s="405">
        <v>1.133</v>
      </c>
      <c r="G36" s="409">
        <v>81.2</v>
      </c>
      <c r="H36" s="409">
        <v>29.7</v>
      </c>
      <c r="I36" s="409">
        <v>5.5</v>
      </c>
      <c r="J36" s="409">
        <v>80.099999999999994</v>
      </c>
      <c r="K36" s="409">
        <v>9.1</v>
      </c>
      <c r="L36" s="404" t="s">
        <v>148</v>
      </c>
      <c r="M36" s="409">
        <v>11</v>
      </c>
      <c r="N36" s="409">
        <v>0.15</v>
      </c>
      <c r="O36" s="409">
        <v>8.8000000000000007</v>
      </c>
    </row>
    <row r="37" spans="1:15" ht="13.5" customHeight="1" x14ac:dyDescent="0.25">
      <c r="A37" s="411">
        <v>26</v>
      </c>
      <c r="B37" s="410" t="s">
        <v>763</v>
      </c>
      <c r="C37" s="410"/>
      <c r="D37" s="410"/>
      <c r="E37" s="409">
        <v>4.91</v>
      </c>
      <c r="F37" s="405">
        <v>1.091</v>
      </c>
      <c r="G37" s="409">
        <v>81.099999999999994</v>
      </c>
      <c r="H37" s="409">
        <v>28.2</v>
      </c>
      <c r="I37" s="409">
        <v>5.5</v>
      </c>
      <c r="J37" s="409">
        <v>78.7</v>
      </c>
      <c r="K37" s="409">
        <v>9.1999999999999993</v>
      </c>
      <c r="L37" s="404" t="s">
        <v>148</v>
      </c>
      <c r="M37" s="409">
        <v>13</v>
      </c>
      <c r="N37" s="409">
        <v>0.32</v>
      </c>
      <c r="O37" s="409">
        <v>9.3000000000000007</v>
      </c>
    </row>
    <row r="38" spans="1:15" ht="13.5" customHeight="1" x14ac:dyDescent="0.25">
      <c r="A38" s="411">
        <v>27</v>
      </c>
      <c r="B38" s="410" t="s">
        <v>762</v>
      </c>
      <c r="C38" s="410"/>
      <c r="D38" s="410"/>
      <c r="E38" s="409">
        <v>4.24</v>
      </c>
      <c r="F38" s="405">
        <v>1.19</v>
      </c>
      <c r="G38" s="409">
        <v>80.5</v>
      </c>
      <c r="H38" s="409">
        <v>29.7</v>
      </c>
      <c r="I38" s="409">
        <v>6.1</v>
      </c>
      <c r="J38" s="409">
        <v>81.2</v>
      </c>
      <c r="K38" s="409">
        <v>8.6</v>
      </c>
      <c r="L38" s="404" t="s">
        <v>148</v>
      </c>
      <c r="M38" s="409">
        <v>20</v>
      </c>
      <c r="N38" s="409">
        <v>0.21</v>
      </c>
      <c r="O38" s="409">
        <v>8.9</v>
      </c>
    </row>
    <row r="39" spans="1:15" ht="13.5" customHeight="1" x14ac:dyDescent="0.25">
      <c r="A39" s="411">
        <v>28</v>
      </c>
      <c r="B39" s="410" t="s">
        <v>761</v>
      </c>
      <c r="C39" s="410"/>
      <c r="D39" s="410"/>
      <c r="E39" s="409">
        <v>4.8</v>
      </c>
      <c r="F39" s="405">
        <v>1.1020000000000001</v>
      </c>
      <c r="G39" s="409">
        <v>80.400000000000006</v>
      </c>
      <c r="H39" s="409">
        <v>28.9</v>
      </c>
      <c r="I39" s="409">
        <v>5.5</v>
      </c>
      <c r="J39" s="409">
        <v>78.7</v>
      </c>
      <c r="K39" s="409">
        <v>9.4</v>
      </c>
      <c r="L39" s="404" t="s">
        <v>165</v>
      </c>
      <c r="M39" s="409">
        <v>15</v>
      </c>
      <c r="N39" s="409">
        <v>0.3</v>
      </c>
      <c r="O39" s="409">
        <v>9.4</v>
      </c>
    </row>
    <row r="40" spans="1:15" ht="14.25" customHeight="1" x14ac:dyDescent="0.25">
      <c r="A40" s="411">
        <v>29</v>
      </c>
      <c r="B40" s="410" t="s">
        <v>760</v>
      </c>
      <c r="C40" s="410"/>
      <c r="D40" s="410"/>
      <c r="E40" s="409">
        <v>4.54</v>
      </c>
      <c r="F40" s="405">
        <v>1.1930000000000001</v>
      </c>
      <c r="G40" s="409">
        <v>81.3</v>
      </c>
      <c r="H40" s="409">
        <v>28.8</v>
      </c>
      <c r="I40" s="409">
        <v>6.3</v>
      </c>
      <c r="J40" s="409">
        <v>80.400000000000006</v>
      </c>
      <c r="K40" s="409">
        <v>8.3000000000000007</v>
      </c>
      <c r="L40" s="404" t="s">
        <v>150</v>
      </c>
      <c r="M40" s="409">
        <v>9</v>
      </c>
      <c r="N40" s="409">
        <v>0.28999999999999998</v>
      </c>
      <c r="O40" s="409">
        <v>8.6999999999999993</v>
      </c>
    </row>
    <row r="41" spans="1:15" ht="13.5" customHeight="1" x14ac:dyDescent="0.25">
      <c r="A41" s="411">
        <v>30</v>
      </c>
      <c r="B41" s="410" t="s">
        <v>759</v>
      </c>
      <c r="C41" s="410"/>
      <c r="D41" s="410"/>
      <c r="E41" s="409">
        <v>5.04</v>
      </c>
      <c r="F41" s="405">
        <v>1.0649999999999999</v>
      </c>
      <c r="G41" s="409">
        <v>80.400000000000006</v>
      </c>
      <c r="H41" s="409">
        <v>29.5</v>
      </c>
      <c r="I41" s="409">
        <v>5.3</v>
      </c>
      <c r="J41" s="409">
        <v>77.5</v>
      </c>
      <c r="K41" s="409">
        <v>10</v>
      </c>
      <c r="L41" s="404" t="s">
        <v>167</v>
      </c>
      <c r="M41" s="409">
        <v>6</v>
      </c>
      <c r="N41" s="409">
        <v>7.0000000000000007E-2</v>
      </c>
      <c r="O41" s="409">
        <v>9.8000000000000007</v>
      </c>
    </row>
    <row r="42" spans="1:15" ht="13.5" customHeight="1" x14ac:dyDescent="0.25">
      <c r="A42" s="411">
        <v>31</v>
      </c>
      <c r="B42" s="410" t="s">
        <v>758</v>
      </c>
      <c r="C42" s="410"/>
      <c r="D42" s="410"/>
      <c r="E42" s="409">
        <v>5.0199999999999996</v>
      </c>
      <c r="F42" s="405">
        <v>1.0660000000000001</v>
      </c>
      <c r="G42" s="409">
        <v>80</v>
      </c>
      <c r="H42" s="409">
        <v>27.5</v>
      </c>
      <c r="I42" s="409">
        <v>5.6</v>
      </c>
      <c r="J42" s="409">
        <v>78.8</v>
      </c>
      <c r="K42" s="409">
        <v>9.8000000000000007</v>
      </c>
      <c r="L42" s="404" t="s">
        <v>170</v>
      </c>
      <c r="M42" s="409">
        <v>10</v>
      </c>
      <c r="N42" s="409">
        <v>0.14000000000000001</v>
      </c>
      <c r="O42" s="409">
        <v>10.5</v>
      </c>
    </row>
    <row r="43" spans="1:15" ht="13.5" customHeight="1" x14ac:dyDescent="0.25">
      <c r="A43" s="411">
        <v>32</v>
      </c>
      <c r="B43" s="410" t="s">
        <v>757</v>
      </c>
      <c r="C43" s="410"/>
      <c r="D43" s="410"/>
      <c r="E43" s="409">
        <v>4.75</v>
      </c>
      <c r="F43" s="405">
        <v>1.089</v>
      </c>
      <c r="G43" s="409">
        <v>81.8</v>
      </c>
      <c r="H43" s="409">
        <v>30.4</v>
      </c>
      <c r="I43" s="409">
        <v>5.3</v>
      </c>
      <c r="J43" s="409">
        <v>77.599999999999994</v>
      </c>
      <c r="K43" s="409">
        <v>9.9</v>
      </c>
      <c r="L43" s="404" t="s">
        <v>165</v>
      </c>
      <c r="M43" s="409">
        <v>10</v>
      </c>
      <c r="N43" s="409">
        <v>0.17</v>
      </c>
      <c r="O43" s="409">
        <v>8.4</v>
      </c>
    </row>
    <row r="44" spans="1:15" ht="14.25" customHeight="1" x14ac:dyDescent="0.25">
      <c r="A44" s="411">
        <v>33</v>
      </c>
      <c r="B44" s="410" t="s">
        <v>756</v>
      </c>
      <c r="C44" s="410"/>
      <c r="D44" s="410"/>
      <c r="E44" s="409">
        <v>5.4</v>
      </c>
      <c r="F44" s="405">
        <v>1.0009999999999999</v>
      </c>
      <c r="G44" s="409">
        <v>79.3</v>
      </c>
      <c r="H44" s="409">
        <v>26.9</v>
      </c>
      <c r="I44" s="409">
        <v>5.5</v>
      </c>
      <c r="J44" s="409">
        <v>76.5</v>
      </c>
      <c r="K44" s="409">
        <v>10.4</v>
      </c>
      <c r="L44" s="404" t="s">
        <v>167</v>
      </c>
      <c r="M44" s="409">
        <v>1</v>
      </c>
      <c r="N44" s="409">
        <v>0.03</v>
      </c>
      <c r="O44" s="409">
        <v>10.6</v>
      </c>
    </row>
    <row r="45" spans="1:15" ht="13.5" customHeight="1" x14ac:dyDescent="0.25">
      <c r="A45" s="411">
        <v>34</v>
      </c>
      <c r="B45" s="410" t="s">
        <v>755</v>
      </c>
      <c r="C45" s="410"/>
      <c r="D45" s="410"/>
      <c r="E45" s="409">
        <v>5.26</v>
      </c>
      <c r="F45" s="405">
        <v>1.0289999999999999</v>
      </c>
      <c r="G45" s="409">
        <v>80.7</v>
      </c>
      <c r="H45" s="409">
        <v>27.5</v>
      </c>
      <c r="I45" s="409">
        <v>5.3</v>
      </c>
      <c r="J45" s="409">
        <v>75.400000000000006</v>
      </c>
      <c r="K45" s="409">
        <v>9.6999999999999993</v>
      </c>
      <c r="L45" s="404" t="s">
        <v>712</v>
      </c>
      <c r="M45" s="409">
        <v>22</v>
      </c>
      <c r="N45" s="409">
        <v>0.33</v>
      </c>
      <c r="O45" s="409">
        <v>9.1999999999999993</v>
      </c>
    </row>
    <row r="46" spans="1:15" ht="13.5" customHeight="1" x14ac:dyDescent="0.25">
      <c r="A46" s="411">
        <v>35</v>
      </c>
      <c r="B46" s="410" t="s">
        <v>754</v>
      </c>
      <c r="C46" s="410"/>
      <c r="D46" s="410"/>
      <c r="E46" s="409">
        <v>5.29</v>
      </c>
      <c r="F46" s="405">
        <v>1.071</v>
      </c>
      <c r="G46" s="409">
        <v>80.900000000000006</v>
      </c>
      <c r="H46" s="409">
        <v>28.6</v>
      </c>
      <c r="I46" s="409">
        <v>5.4</v>
      </c>
      <c r="J46" s="409">
        <v>75.7</v>
      </c>
      <c r="K46" s="409">
        <v>9.8000000000000007</v>
      </c>
      <c r="L46" s="404" t="s">
        <v>709</v>
      </c>
      <c r="M46" s="409">
        <v>11</v>
      </c>
      <c r="N46" s="409">
        <v>0.2</v>
      </c>
      <c r="O46" s="409">
        <v>8.6</v>
      </c>
    </row>
    <row r="47" spans="1:15" ht="13.5" customHeight="1" x14ac:dyDescent="0.25">
      <c r="A47" s="411">
        <v>36</v>
      </c>
      <c r="B47" s="410" t="s">
        <v>753</v>
      </c>
      <c r="C47" s="410"/>
      <c r="D47" s="410"/>
      <c r="E47" s="409">
        <v>5.37</v>
      </c>
      <c r="F47" s="405">
        <v>1.0649999999999999</v>
      </c>
      <c r="G47" s="409">
        <v>80.400000000000006</v>
      </c>
      <c r="H47" s="409">
        <v>30.3</v>
      </c>
      <c r="I47" s="409">
        <v>5.0999999999999996</v>
      </c>
      <c r="J47" s="409">
        <v>76.400000000000006</v>
      </c>
      <c r="K47" s="409">
        <v>10.1</v>
      </c>
      <c r="L47" s="404" t="s">
        <v>709</v>
      </c>
      <c r="M47" s="409">
        <v>14</v>
      </c>
      <c r="N47" s="409">
        <v>0.24</v>
      </c>
      <c r="O47" s="409">
        <v>9.1</v>
      </c>
    </row>
    <row r="48" spans="1:15" ht="14.25" customHeight="1" x14ac:dyDescent="0.25">
      <c r="A48" s="411">
        <v>37</v>
      </c>
      <c r="B48" s="410" t="s">
        <v>752</v>
      </c>
      <c r="C48" s="410"/>
      <c r="D48" s="410"/>
      <c r="E48" s="409">
        <v>5.36</v>
      </c>
      <c r="F48" s="405">
        <v>1.028</v>
      </c>
      <c r="G48" s="409">
        <v>79</v>
      </c>
      <c r="H48" s="409">
        <v>27.1</v>
      </c>
      <c r="I48" s="409">
        <v>5.6</v>
      </c>
      <c r="J48" s="409">
        <v>75.099999999999994</v>
      </c>
      <c r="K48" s="409">
        <v>10.199999999999999</v>
      </c>
      <c r="L48" s="404" t="s">
        <v>709</v>
      </c>
      <c r="M48" s="409">
        <v>12</v>
      </c>
      <c r="N48" s="409">
        <v>0.35</v>
      </c>
      <c r="O48" s="409">
        <v>9.9</v>
      </c>
    </row>
    <row r="49" spans="1:15" ht="13.5" customHeight="1" x14ac:dyDescent="0.25">
      <c r="A49" s="411">
        <v>38</v>
      </c>
      <c r="B49" s="410" t="s">
        <v>751</v>
      </c>
      <c r="C49" s="410"/>
      <c r="D49" s="410"/>
      <c r="E49" s="409">
        <v>4.8600000000000003</v>
      </c>
      <c r="F49" s="405">
        <v>1.1120000000000001</v>
      </c>
      <c r="G49" s="409">
        <v>79.3</v>
      </c>
      <c r="H49" s="409">
        <v>28.9</v>
      </c>
      <c r="I49" s="409">
        <v>5.4</v>
      </c>
      <c r="J49" s="409">
        <v>78.900000000000006</v>
      </c>
      <c r="K49" s="409">
        <v>9.6</v>
      </c>
      <c r="L49" s="404" t="s">
        <v>165</v>
      </c>
      <c r="M49" s="409">
        <v>6</v>
      </c>
      <c r="N49" s="409">
        <v>7.0000000000000007E-2</v>
      </c>
      <c r="O49" s="409">
        <v>9.4</v>
      </c>
    </row>
    <row r="50" spans="1:15" ht="13.5" customHeight="1" x14ac:dyDescent="0.25">
      <c r="A50" s="411">
        <v>39</v>
      </c>
      <c r="B50" s="410" t="s">
        <v>750</v>
      </c>
      <c r="C50" s="410"/>
      <c r="D50" s="410"/>
      <c r="E50" s="409">
        <v>4.79</v>
      </c>
      <c r="F50" s="405">
        <v>1.0720000000000001</v>
      </c>
      <c r="G50" s="409">
        <v>80.3</v>
      </c>
      <c r="H50" s="409">
        <v>29</v>
      </c>
      <c r="I50" s="409">
        <v>5.3</v>
      </c>
      <c r="J50" s="409">
        <v>78.8</v>
      </c>
      <c r="K50" s="409">
        <v>9.3000000000000007</v>
      </c>
      <c r="L50" s="404" t="s">
        <v>148</v>
      </c>
      <c r="M50" s="409">
        <v>19</v>
      </c>
      <c r="N50" s="409">
        <v>0.24</v>
      </c>
      <c r="O50" s="409">
        <v>9.9</v>
      </c>
    </row>
    <row r="51" spans="1:15" ht="13.5" customHeight="1" x14ac:dyDescent="0.25">
      <c r="A51" s="411">
        <v>40</v>
      </c>
      <c r="B51" s="410" t="s">
        <v>749</v>
      </c>
      <c r="C51" s="410"/>
      <c r="D51" s="410"/>
      <c r="E51" s="409">
        <v>4.71</v>
      </c>
      <c r="F51" s="405">
        <v>1.143</v>
      </c>
      <c r="G51" s="409">
        <v>80.3</v>
      </c>
      <c r="H51" s="409">
        <v>28.4</v>
      </c>
      <c r="I51" s="409">
        <v>6.1</v>
      </c>
      <c r="J51" s="409">
        <v>80.3</v>
      </c>
      <c r="K51" s="409">
        <v>7.8</v>
      </c>
      <c r="L51" s="404" t="s">
        <v>149</v>
      </c>
      <c r="M51" s="409">
        <v>9</v>
      </c>
      <c r="N51" s="409">
        <v>0.09</v>
      </c>
      <c r="O51" s="409">
        <v>9.1999999999999993</v>
      </c>
    </row>
    <row r="52" spans="1:15" ht="14.25" customHeight="1" x14ac:dyDescent="0.25">
      <c r="A52" s="411">
        <v>41</v>
      </c>
      <c r="B52" s="410" t="s">
        <v>748</v>
      </c>
      <c r="C52" s="410"/>
      <c r="D52" s="410"/>
      <c r="E52" s="409">
        <v>4.71</v>
      </c>
      <c r="F52" s="405">
        <v>1.131</v>
      </c>
      <c r="G52" s="409">
        <v>81.3</v>
      </c>
      <c r="H52" s="409">
        <v>29.8</v>
      </c>
      <c r="I52" s="409">
        <v>5.0999999999999996</v>
      </c>
      <c r="J52" s="409">
        <v>79.7</v>
      </c>
      <c r="K52" s="409">
        <v>8.6999999999999993</v>
      </c>
      <c r="L52" s="404" t="s">
        <v>148</v>
      </c>
      <c r="M52" s="409">
        <v>5</v>
      </c>
      <c r="N52" s="409">
        <v>7.0000000000000007E-2</v>
      </c>
      <c r="O52" s="409">
        <v>8.5</v>
      </c>
    </row>
    <row r="53" spans="1:15" ht="13.5" customHeight="1" x14ac:dyDescent="0.25">
      <c r="A53" s="411">
        <v>42</v>
      </c>
      <c r="B53" s="410" t="s">
        <v>747</v>
      </c>
      <c r="C53" s="410"/>
      <c r="D53" s="410"/>
      <c r="E53" s="409">
        <v>4.58</v>
      </c>
      <c r="F53" s="405">
        <v>1.069</v>
      </c>
      <c r="G53" s="409">
        <v>79.5</v>
      </c>
      <c r="H53" s="409">
        <v>26.6</v>
      </c>
      <c r="I53" s="409">
        <v>6.1</v>
      </c>
      <c r="J53" s="409">
        <v>78.599999999999994</v>
      </c>
      <c r="K53" s="409">
        <v>8</v>
      </c>
      <c r="L53" s="404" t="s">
        <v>149</v>
      </c>
      <c r="M53" s="409">
        <v>10</v>
      </c>
      <c r="N53" s="409">
        <v>0.12</v>
      </c>
      <c r="O53" s="409">
        <v>10.6</v>
      </c>
    </row>
    <row r="54" spans="1:15" ht="13.5" customHeight="1" x14ac:dyDescent="0.25">
      <c r="A54" s="411">
        <v>43</v>
      </c>
      <c r="B54" s="410" t="s">
        <v>746</v>
      </c>
      <c r="C54" s="410"/>
      <c r="D54" s="410"/>
      <c r="E54" s="409">
        <v>4.8600000000000003</v>
      </c>
      <c r="F54" s="405">
        <v>1.171</v>
      </c>
      <c r="G54" s="409">
        <v>79.900000000000006</v>
      </c>
      <c r="H54" s="409">
        <v>28.2</v>
      </c>
      <c r="I54" s="409">
        <v>6.1</v>
      </c>
      <c r="J54" s="409">
        <v>80.400000000000006</v>
      </c>
      <c r="K54" s="409">
        <v>7.7</v>
      </c>
      <c r="L54" s="404" t="s">
        <v>149</v>
      </c>
      <c r="M54" s="409">
        <v>13</v>
      </c>
      <c r="N54" s="409">
        <v>0.19</v>
      </c>
      <c r="O54" s="409">
        <v>8.9</v>
      </c>
    </row>
    <row r="55" spans="1:15" ht="13.5" customHeight="1" x14ac:dyDescent="0.25">
      <c r="A55" s="411">
        <v>44</v>
      </c>
      <c r="B55" s="410" t="s">
        <v>745</v>
      </c>
      <c r="C55" s="410"/>
      <c r="D55" s="410"/>
      <c r="E55" s="409">
        <v>4.75</v>
      </c>
      <c r="F55" s="405">
        <v>1.0980000000000001</v>
      </c>
      <c r="G55" s="409">
        <v>79.900000000000006</v>
      </c>
      <c r="H55" s="409">
        <v>28.1</v>
      </c>
      <c r="I55" s="409">
        <v>5.5</v>
      </c>
      <c r="J55" s="409">
        <v>79.5</v>
      </c>
      <c r="K55" s="409">
        <v>9</v>
      </c>
      <c r="L55" s="404" t="s">
        <v>148</v>
      </c>
      <c r="M55" s="409">
        <v>13</v>
      </c>
      <c r="N55" s="409">
        <v>0.3</v>
      </c>
      <c r="O55" s="409">
        <v>9.1999999999999993</v>
      </c>
    </row>
    <row r="56" spans="1:15" ht="14.25" customHeight="1" x14ac:dyDescent="0.25">
      <c r="A56" s="411">
        <v>45</v>
      </c>
      <c r="B56" s="410" t="s">
        <v>744</v>
      </c>
      <c r="C56" s="410"/>
      <c r="D56" s="410"/>
      <c r="E56" s="409">
        <v>4.68</v>
      </c>
      <c r="F56" s="405">
        <v>1.129</v>
      </c>
      <c r="G56" s="409">
        <v>80.900000000000006</v>
      </c>
      <c r="H56" s="409">
        <v>30.1</v>
      </c>
      <c r="I56" s="409">
        <v>5.5</v>
      </c>
      <c r="J56" s="409">
        <v>78.900000000000006</v>
      </c>
      <c r="K56" s="409">
        <v>8</v>
      </c>
      <c r="L56" s="404" t="s">
        <v>149</v>
      </c>
      <c r="M56" s="409">
        <v>17</v>
      </c>
      <c r="N56" s="409">
        <v>0.26</v>
      </c>
      <c r="O56" s="409">
        <v>8.8000000000000007</v>
      </c>
    </row>
    <row r="57" spans="1:15" ht="13.5" customHeight="1" x14ac:dyDescent="0.25">
      <c r="A57" s="411">
        <v>46</v>
      </c>
      <c r="B57" s="410" t="s">
        <v>743</v>
      </c>
      <c r="C57" s="410"/>
      <c r="D57" s="410"/>
      <c r="E57" s="409">
        <v>5</v>
      </c>
      <c r="F57" s="405">
        <v>1.1120000000000001</v>
      </c>
      <c r="G57" s="409">
        <v>80</v>
      </c>
      <c r="H57" s="409">
        <v>27</v>
      </c>
      <c r="I57" s="409">
        <v>6.1</v>
      </c>
      <c r="J57" s="409">
        <v>79.3</v>
      </c>
      <c r="K57" s="409">
        <v>8.3000000000000007</v>
      </c>
      <c r="L57" s="404" t="s">
        <v>149</v>
      </c>
      <c r="M57" s="409">
        <v>7</v>
      </c>
      <c r="N57" s="409">
        <v>0.16</v>
      </c>
      <c r="O57" s="409">
        <v>10.199999999999999</v>
      </c>
    </row>
    <row r="58" spans="1:15" ht="13.5" customHeight="1" x14ac:dyDescent="0.25">
      <c r="A58" s="411">
        <v>47</v>
      </c>
      <c r="B58" s="410" t="s">
        <v>742</v>
      </c>
      <c r="C58" s="410"/>
      <c r="D58" s="410"/>
      <c r="E58" s="409">
        <v>4.5999999999999996</v>
      </c>
      <c r="F58" s="405">
        <v>1.147</v>
      </c>
      <c r="G58" s="409">
        <v>80.3</v>
      </c>
      <c r="H58" s="409">
        <v>28.4</v>
      </c>
      <c r="I58" s="409">
        <v>6.3</v>
      </c>
      <c r="J58" s="409">
        <v>81.400000000000006</v>
      </c>
      <c r="K58" s="409">
        <v>7.9</v>
      </c>
      <c r="L58" s="404" t="s">
        <v>150</v>
      </c>
      <c r="M58" s="409">
        <v>7</v>
      </c>
      <c r="N58" s="409">
        <v>7.0000000000000007E-2</v>
      </c>
      <c r="O58" s="409">
        <v>9.1999999999999993</v>
      </c>
    </row>
    <row r="59" spans="1:15" ht="13.5" customHeight="1" x14ac:dyDescent="0.25">
      <c r="A59" s="411">
        <v>48</v>
      </c>
      <c r="B59" s="410" t="s">
        <v>741</v>
      </c>
      <c r="C59" s="410"/>
      <c r="D59" s="410"/>
      <c r="E59" s="409">
        <v>5.09</v>
      </c>
      <c r="F59" s="405">
        <v>1.052</v>
      </c>
      <c r="G59" s="409">
        <v>79.7</v>
      </c>
      <c r="H59" s="409">
        <v>27.2</v>
      </c>
      <c r="I59" s="409">
        <v>5.3</v>
      </c>
      <c r="J59" s="409">
        <v>76.599999999999994</v>
      </c>
      <c r="K59" s="409">
        <v>9.5</v>
      </c>
      <c r="L59" s="404" t="s">
        <v>166</v>
      </c>
      <c r="M59" s="409">
        <v>15</v>
      </c>
      <c r="N59" s="409">
        <v>0.36</v>
      </c>
      <c r="O59" s="409">
        <v>9.5</v>
      </c>
    </row>
    <row r="60" spans="1:15" ht="14.25" customHeight="1" x14ac:dyDescent="0.25">
      <c r="A60" s="411">
        <v>49</v>
      </c>
      <c r="B60" s="410" t="s">
        <v>740</v>
      </c>
      <c r="C60" s="410"/>
      <c r="D60" s="410"/>
      <c r="E60" s="409">
        <v>4.8</v>
      </c>
      <c r="F60" s="405">
        <v>1.1319999999999999</v>
      </c>
      <c r="G60" s="409">
        <v>81.099999999999994</v>
      </c>
      <c r="H60" s="409">
        <v>31.7</v>
      </c>
      <c r="I60" s="409">
        <v>5.3</v>
      </c>
      <c r="J60" s="409">
        <v>78.7</v>
      </c>
      <c r="K60" s="409">
        <v>9.6999999999999993</v>
      </c>
      <c r="L60" s="404" t="s">
        <v>170</v>
      </c>
      <c r="M60" s="409">
        <v>4</v>
      </c>
      <c r="N60" s="409">
        <v>0.08</v>
      </c>
      <c r="O60" s="409">
        <v>8.8000000000000007</v>
      </c>
    </row>
    <row r="61" spans="1:15" ht="13.5" customHeight="1" x14ac:dyDescent="0.25">
      <c r="A61" s="411">
        <v>50</v>
      </c>
      <c r="B61" s="410" t="s">
        <v>739</v>
      </c>
      <c r="C61" s="410"/>
      <c r="D61" s="410"/>
      <c r="E61" s="409">
        <v>5.54</v>
      </c>
      <c r="F61" s="405">
        <v>1.0349999999999999</v>
      </c>
      <c r="G61" s="409">
        <v>79.3</v>
      </c>
      <c r="H61" s="409">
        <v>27.2</v>
      </c>
      <c r="I61" s="409">
        <v>5.5</v>
      </c>
      <c r="J61" s="409">
        <v>77</v>
      </c>
      <c r="K61" s="409">
        <v>9.9</v>
      </c>
      <c r="L61" s="404" t="s">
        <v>167</v>
      </c>
      <c r="M61" s="409">
        <v>3</v>
      </c>
      <c r="N61" s="409">
        <v>0.05</v>
      </c>
      <c r="O61" s="409">
        <v>10.199999999999999</v>
      </c>
    </row>
    <row r="62" spans="1:15" ht="13.5" customHeight="1" x14ac:dyDescent="0.25">
      <c r="A62" s="411">
        <v>51</v>
      </c>
      <c r="B62" s="410" t="s">
        <v>738</v>
      </c>
      <c r="C62" s="410"/>
      <c r="D62" s="410"/>
      <c r="E62" s="409">
        <v>5.0199999999999996</v>
      </c>
      <c r="F62" s="405">
        <v>1.079</v>
      </c>
      <c r="G62" s="409">
        <v>80.2</v>
      </c>
      <c r="H62" s="409">
        <v>29.2</v>
      </c>
      <c r="I62" s="409">
        <v>5.3</v>
      </c>
      <c r="J62" s="409">
        <v>78.099999999999994</v>
      </c>
      <c r="K62" s="409">
        <v>10.199999999999999</v>
      </c>
      <c r="L62" s="404" t="s">
        <v>172</v>
      </c>
      <c r="M62" s="409">
        <v>9</v>
      </c>
      <c r="N62" s="409">
        <v>0.17</v>
      </c>
      <c r="O62" s="409">
        <v>9.1</v>
      </c>
    </row>
    <row r="63" spans="1:15" ht="13.5" customHeight="1" x14ac:dyDescent="0.25">
      <c r="A63" s="411">
        <v>52</v>
      </c>
      <c r="B63" s="410" t="s">
        <v>737</v>
      </c>
      <c r="C63" s="410"/>
      <c r="D63" s="410"/>
      <c r="E63" s="409">
        <v>5.22</v>
      </c>
      <c r="F63" s="405">
        <v>1.0660000000000001</v>
      </c>
      <c r="G63" s="409">
        <v>80.5</v>
      </c>
      <c r="H63" s="409">
        <v>30.3</v>
      </c>
      <c r="I63" s="409">
        <v>5.3</v>
      </c>
      <c r="J63" s="409">
        <v>76.5</v>
      </c>
      <c r="K63" s="409">
        <v>9.9</v>
      </c>
      <c r="L63" s="404" t="s">
        <v>167</v>
      </c>
      <c r="M63" s="409">
        <v>7</v>
      </c>
      <c r="N63" s="409">
        <v>0.11</v>
      </c>
      <c r="O63" s="409">
        <v>10</v>
      </c>
    </row>
    <row r="64" spans="1:15" ht="13.5" customHeight="1" x14ac:dyDescent="0.25">
      <c r="A64" s="411">
        <v>53</v>
      </c>
      <c r="B64" s="410" t="s">
        <v>736</v>
      </c>
      <c r="C64" s="410"/>
      <c r="D64" s="410"/>
      <c r="E64" s="409">
        <v>4.6399999999999997</v>
      </c>
      <c r="F64" s="405">
        <v>1.135</v>
      </c>
      <c r="G64" s="409">
        <v>81.599999999999994</v>
      </c>
      <c r="H64" s="409">
        <v>30.9</v>
      </c>
      <c r="I64" s="409">
        <v>5.5</v>
      </c>
      <c r="J64" s="409">
        <v>79.400000000000006</v>
      </c>
      <c r="K64" s="409">
        <v>9.1999999999999993</v>
      </c>
      <c r="L64" s="404" t="s">
        <v>148</v>
      </c>
      <c r="M64" s="409">
        <v>14</v>
      </c>
      <c r="N64" s="409">
        <v>0.28999999999999998</v>
      </c>
      <c r="O64" s="409">
        <v>8.6</v>
      </c>
    </row>
    <row r="65" spans="1:15" ht="14.25" customHeight="1" x14ac:dyDescent="0.25">
      <c r="A65" s="411">
        <v>54</v>
      </c>
      <c r="B65" s="410" t="s">
        <v>735</v>
      </c>
      <c r="C65" s="410"/>
      <c r="D65" s="410"/>
      <c r="E65" s="409">
        <v>4.91</v>
      </c>
      <c r="F65" s="405">
        <v>1.125</v>
      </c>
      <c r="G65" s="409">
        <v>80.8</v>
      </c>
      <c r="H65" s="409">
        <v>29.4</v>
      </c>
      <c r="I65" s="409">
        <v>6</v>
      </c>
      <c r="J65" s="409">
        <v>78.900000000000006</v>
      </c>
      <c r="K65" s="409">
        <v>8.8000000000000007</v>
      </c>
      <c r="L65" s="404" t="s">
        <v>150</v>
      </c>
      <c r="M65" s="409">
        <v>5</v>
      </c>
      <c r="N65" s="409">
        <v>0.11</v>
      </c>
      <c r="O65" s="409">
        <v>9</v>
      </c>
    </row>
    <row r="66" spans="1:15" ht="13.5" customHeight="1" x14ac:dyDescent="0.25">
      <c r="A66" s="411">
        <v>55</v>
      </c>
      <c r="B66" s="410" t="s">
        <v>734</v>
      </c>
      <c r="C66" s="410"/>
      <c r="D66" s="410"/>
      <c r="E66" s="409">
        <v>4.8899999999999997</v>
      </c>
      <c r="F66" s="405">
        <v>1.075</v>
      </c>
      <c r="G66" s="409">
        <v>81.599999999999994</v>
      </c>
      <c r="H66" s="409">
        <v>29.3</v>
      </c>
      <c r="I66" s="409">
        <v>5.4</v>
      </c>
      <c r="J66" s="409">
        <v>78.3</v>
      </c>
      <c r="K66" s="409">
        <v>9.9</v>
      </c>
      <c r="L66" s="404" t="s">
        <v>165</v>
      </c>
      <c r="M66" s="409">
        <v>20</v>
      </c>
      <c r="N66" s="409">
        <v>0.35</v>
      </c>
      <c r="O66" s="409">
        <v>9.5</v>
      </c>
    </row>
    <row r="67" spans="1:15" ht="13.5" customHeight="1" x14ac:dyDescent="0.25">
      <c r="A67" s="411">
        <v>56</v>
      </c>
      <c r="B67" s="410" t="s">
        <v>733</v>
      </c>
      <c r="C67" s="410"/>
      <c r="D67" s="410"/>
      <c r="E67" s="409">
        <v>5.39</v>
      </c>
      <c r="F67" s="405">
        <v>1.004</v>
      </c>
      <c r="G67" s="409">
        <v>79.3</v>
      </c>
      <c r="H67" s="409">
        <v>28</v>
      </c>
      <c r="I67" s="409">
        <v>5.4</v>
      </c>
      <c r="J67" s="409">
        <v>76.599999999999994</v>
      </c>
      <c r="K67" s="409">
        <v>10.1</v>
      </c>
      <c r="L67" s="404" t="s">
        <v>167</v>
      </c>
      <c r="M67" s="409">
        <v>13</v>
      </c>
      <c r="N67" s="409">
        <v>0.15</v>
      </c>
      <c r="O67" s="409">
        <v>10.5</v>
      </c>
    </row>
    <row r="68" spans="1:15" ht="13.5" customHeight="1" x14ac:dyDescent="0.25">
      <c r="A68" s="411">
        <v>57</v>
      </c>
      <c r="B68" s="410" t="s">
        <v>732</v>
      </c>
      <c r="C68" s="410"/>
      <c r="D68" s="410"/>
      <c r="E68" s="409">
        <v>5.9</v>
      </c>
      <c r="F68" s="405">
        <v>0.98299999999999998</v>
      </c>
      <c r="G68" s="409">
        <v>78.8</v>
      </c>
      <c r="H68" s="409">
        <v>25.9</v>
      </c>
      <c r="I68" s="409">
        <v>5.6</v>
      </c>
      <c r="J68" s="409">
        <v>76.2</v>
      </c>
      <c r="K68" s="409">
        <v>10.1</v>
      </c>
      <c r="L68" s="404" t="s">
        <v>709</v>
      </c>
      <c r="M68" s="409">
        <v>7</v>
      </c>
      <c r="N68" s="409">
        <v>0.09</v>
      </c>
      <c r="O68" s="409">
        <v>11.8</v>
      </c>
    </row>
    <row r="69" spans="1:15" ht="14.25" customHeight="1" x14ac:dyDescent="0.25">
      <c r="A69" s="411">
        <v>58</v>
      </c>
      <c r="B69" s="410" t="s">
        <v>731</v>
      </c>
      <c r="C69" s="410"/>
      <c r="D69" s="410"/>
      <c r="E69" s="409">
        <v>5.03</v>
      </c>
      <c r="F69" s="405">
        <v>1.0529999999999999</v>
      </c>
      <c r="G69" s="409">
        <v>79</v>
      </c>
      <c r="H69" s="409">
        <v>28.4</v>
      </c>
      <c r="I69" s="409">
        <v>5.6</v>
      </c>
      <c r="J69" s="409">
        <v>78.3</v>
      </c>
      <c r="K69" s="409">
        <v>9.5</v>
      </c>
      <c r="L69" s="404" t="s">
        <v>165</v>
      </c>
      <c r="M69" s="409">
        <v>5</v>
      </c>
      <c r="N69" s="409">
        <v>0.05</v>
      </c>
      <c r="O69" s="409">
        <v>10.3</v>
      </c>
    </row>
    <row r="70" spans="1:15" ht="13.5" customHeight="1" x14ac:dyDescent="0.25">
      <c r="A70" s="411">
        <v>59</v>
      </c>
      <c r="B70" s="410" t="s">
        <v>730</v>
      </c>
      <c r="C70" s="410"/>
      <c r="D70" s="410"/>
      <c r="E70" s="409">
        <v>5.3</v>
      </c>
      <c r="F70" s="405">
        <v>1.0569999999999999</v>
      </c>
      <c r="G70" s="409">
        <v>80.7</v>
      </c>
      <c r="H70" s="409">
        <v>28.6</v>
      </c>
      <c r="I70" s="409">
        <v>5.0999999999999996</v>
      </c>
      <c r="J70" s="409">
        <v>77</v>
      </c>
      <c r="K70" s="409">
        <v>9.8000000000000007</v>
      </c>
      <c r="L70" s="404" t="s">
        <v>167</v>
      </c>
      <c r="M70" s="409">
        <v>5</v>
      </c>
      <c r="N70" s="409">
        <v>0.06</v>
      </c>
      <c r="O70" s="409">
        <v>8.8000000000000007</v>
      </c>
    </row>
    <row r="71" spans="1:15" ht="13.5" customHeight="1" x14ac:dyDescent="0.25">
      <c r="A71" s="411">
        <v>60</v>
      </c>
      <c r="B71" s="410" t="s">
        <v>729</v>
      </c>
      <c r="C71" s="410"/>
      <c r="D71" s="410"/>
      <c r="E71" s="409">
        <v>4.83</v>
      </c>
      <c r="F71" s="405">
        <v>1.0780000000000001</v>
      </c>
      <c r="G71" s="409">
        <v>80.7</v>
      </c>
      <c r="H71" s="409">
        <v>29.3</v>
      </c>
      <c r="I71" s="409">
        <v>5.3</v>
      </c>
      <c r="J71" s="409">
        <v>78.5</v>
      </c>
      <c r="K71" s="409">
        <v>9.6999999999999993</v>
      </c>
      <c r="L71" s="404" t="s">
        <v>170</v>
      </c>
      <c r="M71" s="409">
        <v>10</v>
      </c>
      <c r="N71" s="409">
        <v>0.23</v>
      </c>
      <c r="O71" s="409">
        <v>9.9</v>
      </c>
    </row>
    <row r="72" spans="1:15" ht="13.5" customHeight="1" x14ac:dyDescent="0.25">
      <c r="A72" s="411">
        <v>61</v>
      </c>
      <c r="B72" s="410" t="s">
        <v>728</v>
      </c>
      <c r="C72" s="410"/>
      <c r="D72" s="410"/>
      <c r="E72" s="409">
        <v>4.72</v>
      </c>
      <c r="F72" s="405">
        <v>1.115</v>
      </c>
      <c r="G72" s="409">
        <v>80.7</v>
      </c>
      <c r="H72" s="409">
        <v>32.6</v>
      </c>
      <c r="I72" s="409">
        <v>5.3</v>
      </c>
      <c r="J72" s="409">
        <v>78.7</v>
      </c>
      <c r="K72" s="409">
        <v>9.1999999999999993</v>
      </c>
      <c r="L72" s="404" t="s">
        <v>148</v>
      </c>
      <c r="M72" s="409">
        <v>18</v>
      </c>
      <c r="N72" s="409">
        <v>0.26</v>
      </c>
      <c r="O72" s="409">
        <v>9.1</v>
      </c>
    </row>
    <row r="73" spans="1:15" ht="14.25" customHeight="1" x14ac:dyDescent="0.25">
      <c r="A73" s="411">
        <v>62</v>
      </c>
      <c r="B73" s="410" t="s">
        <v>727</v>
      </c>
      <c r="C73" s="410"/>
      <c r="D73" s="410"/>
      <c r="E73" s="409">
        <v>5.48</v>
      </c>
      <c r="F73" s="405">
        <v>1.0009999999999999</v>
      </c>
      <c r="G73" s="409">
        <v>79.400000000000006</v>
      </c>
      <c r="H73" s="409">
        <v>26.5</v>
      </c>
      <c r="I73" s="409">
        <v>5.6</v>
      </c>
      <c r="J73" s="409">
        <v>76.8</v>
      </c>
      <c r="K73" s="409">
        <v>10.199999999999999</v>
      </c>
      <c r="L73" s="404" t="s">
        <v>167</v>
      </c>
      <c r="M73" s="409">
        <v>7</v>
      </c>
      <c r="N73" s="409">
        <v>0.09</v>
      </c>
      <c r="O73" s="409">
        <v>10.3</v>
      </c>
    </row>
    <row r="74" spans="1:15" ht="13.5" customHeight="1" x14ac:dyDescent="0.25">
      <c r="A74" s="411">
        <v>63</v>
      </c>
      <c r="B74" s="410" t="s">
        <v>726</v>
      </c>
      <c r="C74" s="410"/>
      <c r="D74" s="410"/>
      <c r="E74" s="409">
        <v>5.38</v>
      </c>
      <c r="F74" s="405">
        <v>1.024</v>
      </c>
      <c r="G74" s="409">
        <v>79.7</v>
      </c>
      <c r="H74" s="409">
        <v>28.7</v>
      </c>
      <c r="I74" s="409">
        <v>5.2</v>
      </c>
      <c r="J74" s="409">
        <v>76.099999999999994</v>
      </c>
      <c r="K74" s="409">
        <v>10</v>
      </c>
      <c r="L74" s="404" t="s">
        <v>709</v>
      </c>
      <c r="M74" s="409">
        <v>12</v>
      </c>
      <c r="N74" s="409">
        <v>0.38</v>
      </c>
      <c r="O74" s="409">
        <v>9.9</v>
      </c>
    </row>
    <row r="75" spans="1:15" ht="13.5" customHeight="1" x14ac:dyDescent="0.25">
      <c r="A75" s="411">
        <v>64</v>
      </c>
      <c r="B75" s="410" t="s">
        <v>725</v>
      </c>
      <c r="C75" s="410"/>
      <c r="D75" s="410"/>
      <c r="E75" s="409">
        <v>5.58</v>
      </c>
      <c r="F75" s="405">
        <v>1.006</v>
      </c>
      <c r="G75" s="409">
        <v>78.900000000000006</v>
      </c>
      <c r="H75" s="409">
        <v>27.2</v>
      </c>
      <c r="I75" s="409">
        <v>5.3</v>
      </c>
      <c r="J75" s="409">
        <v>76.099999999999994</v>
      </c>
      <c r="K75" s="409">
        <v>9.6999999999999993</v>
      </c>
      <c r="L75" s="404" t="s">
        <v>712</v>
      </c>
      <c r="M75" s="409">
        <v>18</v>
      </c>
      <c r="N75" s="409">
        <v>0.56999999999999995</v>
      </c>
      <c r="O75" s="409">
        <v>10.199999999999999</v>
      </c>
    </row>
    <row r="76" spans="1:15" ht="13.5" customHeight="1" x14ac:dyDescent="0.25">
      <c r="A76" s="411">
        <v>65</v>
      </c>
      <c r="B76" s="410" t="s">
        <v>724</v>
      </c>
      <c r="C76" s="410"/>
      <c r="D76" s="410"/>
      <c r="E76" s="409">
        <v>4.8600000000000003</v>
      </c>
      <c r="F76" s="405">
        <v>1.1060000000000001</v>
      </c>
      <c r="G76" s="409">
        <v>80.900000000000006</v>
      </c>
      <c r="H76" s="409">
        <v>29.7</v>
      </c>
      <c r="I76" s="409">
        <v>5.3</v>
      </c>
      <c r="J76" s="409">
        <v>78.400000000000006</v>
      </c>
      <c r="K76" s="409">
        <v>10</v>
      </c>
      <c r="L76" s="404" t="s">
        <v>167</v>
      </c>
      <c r="M76" s="409">
        <v>6</v>
      </c>
      <c r="N76" s="409">
        <v>7.0000000000000007E-2</v>
      </c>
      <c r="O76" s="409">
        <v>9.1999999999999993</v>
      </c>
    </row>
    <row r="77" spans="1:15" ht="14.25" customHeight="1" x14ac:dyDescent="0.25">
      <c r="A77" s="411">
        <v>66</v>
      </c>
      <c r="B77" s="410" t="s">
        <v>723</v>
      </c>
      <c r="C77" s="410"/>
      <c r="D77" s="410"/>
      <c r="E77" s="409">
        <v>5.08</v>
      </c>
      <c r="F77" s="405">
        <v>1.077</v>
      </c>
      <c r="G77" s="409">
        <v>80.8</v>
      </c>
      <c r="H77" s="409">
        <v>30.4</v>
      </c>
      <c r="I77" s="409">
        <v>5.3</v>
      </c>
      <c r="J77" s="409">
        <v>78.2</v>
      </c>
      <c r="K77" s="409">
        <v>9.4</v>
      </c>
      <c r="L77" s="404" t="s">
        <v>165</v>
      </c>
      <c r="M77" s="409">
        <v>23</v>
      </c>
      <c r="N77" s="409">
        <v>0.27</v>
      </c>
      <c r="O77" s="409">
        <v>9.1</v>
      </c>
    </row>
    <row r="78" spans="1:15" ht="13.5" customHeight="1" x14ac:dyDescent="0.25">
      <c r="A78" s="411">
        <v>67</v>
      </c>
      <c r="B78" s="410" t="s">
        <v>722</v>
      </c>
      <c r="C78" s="410"/>
      <c r="D78" s="410"/>
      <c r="E78" s="409">
        <v>5.2</v>
      </c>
      <c r="F78" s="405">
        <v>1.016</v>
      </c>
      <c r="G78" s="409">
        <v>80.2</v>
      </c>
      <c r="H78" s="409">
        <v>29.3</v>
      </c>
      <c r="I78" s="409">
        <v>5.3</v>
      </c>
      <c r="J78" s="409">
        <v>75.8</v>
      </c>
      <c r="K78" s="409">
        <v>10.4</v>
      </c>
      <c r="L78" s="404" t="s">
        <v>167</v>
      </c>
      <c r="M78" s="409">
        <v>7</v>
      </c>
      <c r="N78" s="409">
        <v>0.1</v>
      </c>
      <c r="O78" s="409">
        <v>9.6</v>
      </c>
    </row>
    <row r="79" spans="1:15" ht="13.5" customHeight="1" x14ac:dyDescent="0.25">
      <c r="A79" s="411">
        <v>68</v>
      </c>
      <c r="B79" s="410" t="s">
        <v>721</v>
      </c>
      <c r="C79" s="410"/>
      <c r="D79" s="410"/>
      <c r="E79" s="409">
        <v>4.5999999999999996</v>
      </c>
      <c r="F79" s="405">
        <v>1.1419999999999999</v>
      </c>
      <c r="G79" s="409">
        <v>81.400000000000006</v>
      </c>
      <c r="H79" s="409">
        <v>30.2</v>
      </c>
      <c r="I79" s="409">
        <v>5.5</v>
      </c>
      <c r="J79" s="409">
        <v>78.8</v>
      </c>
      <c r="K79" s="409">
        <v>8.1999999999999993</v>
      </c>
      <c r="L79" s="404" t="s">
        <v>149</v>
      </c>
      <c r="M79" s="409">
        <v>10</v>
      </c>
      <c r="N79" s="409">
        <v>0.13</v>
      </c>
      <c r="O79" s="409">
        <v>8.5</v>
      </c>
    </row>
    <row r="80" spans="1:15" ht="13.5" customHeight="1" x14ac:dyDescent="0.25">
      <c r="A80" s="411">
        <v>69</v>
      </c>
      <c r="B80" s="410" t="s">
        <v>720</v>
      </c>
      <c r="C80" s="410"/>
      <c r="D80" s="410"/>
      <c r="E80" s="409">
        <v>4.6399999999999997</v>
      </c>
      <c r="F80" s="405">
        <v>1.103</v>
      </c>
      <c r="G80" s="409">
        <v>80.3</v>
      </c>
      <c r="H80" s="409">
        <v>30.2</v>
      </c>
      <c r="I80" s="409">
        <v>5.5</v>
      </c>
      <c r="J80" s="409">
        <v>79.2</v>
      </c>
      <c r="K80" s="409">
        <v>8.6999999999999993</v>
      </c>
      <c r="L80" s="404" t="s">
        <v>150</v>
      </c>
      <c r="M80" s="409">
        <v>18</v>
      </c>
      <c r="N80" s="409">
        <v>0.42</v>
      </c>
      <c r="O80" s="409">
        <v>9.4</v>
      </c>
    </row>
    <row r="81" spans="1:15" ht="14.25" customHeight="1" x14ac:dyDescent="0.25">
      <c r="A81" s="411">
        <v>70</v>
      </c>
      <c r="B81" s="410" t="s">
        <v>719</v>
      </c>
      <c r="C81" s="410"/>
      <c r="D81" s="410"/>
      <c r="E81" s="409">
        <v>4.71</v>
      </c>
      <c r="F81" s="405">
        <v>1.087</v>
      </c>
      <c r="G81" s="409">
        <v>80.099999999999994</v>
      </c>
      <c r="H81" s="409">
        <v>30.9</v>
      </c>
      <c r="I81" s="409">
        <v>5</v>
      </c>
      <c r="J81" s="409">
        <v>77.900000000000006</v>
      </c>
      <c r="K81" s="409">
        <v>8.6999999999999993</v>
      </c>
      <c r="L81" s="404" t="s">
        <v>149</v>
      </c>
      <c r="M81" s="409">
        <v>10</v>
      </c>
      <c r="N81" s="409">
        <v>0.18</v>
      </c>
      <c r="O81" s="409">
        <v>9.6</v>
      </c>
    </row>
    <row r="82" spans="1:15" ht="13.5" customHeight="1" x14ac:dyDescent="0.25">
      <c r="A82" s="411">
        <v>71</v>
      </c>
      <c r="B82" s="410" t="s">
        <v>718</v>
      </c>
      <c r="C82" s="410"/>
      <c r="D82" s="410"/>
      <c r="E82" s="409">
        <v>4.82</v>
      </c>
      <c r="F82" s="405">
        <v>1.1499999999999999</v>
      </c>
      <c r="G82" s="409">
        <v>80.400000000000006</v>
      </c>
      <c r="H82" s="409">
        <v>29.8</v>
      </c>
      <c r="I82" s="409">
        <v>6.3</v>
      </c>
      <c r="J82" s="409">
        <v>80.3</v>
      </c>
      <c r="K82" s="409">
        <v>8.4</v>
      </c>
      <c r="L82" s="404" t="s">
        <v>150</v>
      </c>
      <c r="M82" s="409">
        <v>9</v>
      </c>
      <c r="N82" s="409">
        <v>0.17</v>
      </c>
      <c r="O82" s="409">
        <v>9.3000000000000007</v>
      </c>
    </row>
    <row r="83" spans="1:15" ht="13.5" customHeight="1" x14ac:dyDescent="0.25">
      <c r="A83" s="411">
        <v>72</v>
      </c>
      <c r="B83" s="410" t="s">
        <v>717</v>
      </c>
      <c r="C83" s="410"/>
      <c r="D83" s="410"/>
      <c r="E83" s="409">
        <v>4.8099999999999996</v>
      </c>
      <c r="F83" s="405">
        <v>1.135</v>
      </c>
      <c r="G83" s="409">
        <v>80.3</v>
      </c>
      <c r="H83" s="409">
        <v>29.5</v>
      </c>
      <c r="I83" s="409">
        <v>6.1</v>
      </c>
      <c r="J83" s="409">
        <v>79.7</v>
      </c>
      <c r="K83" s="409">
        <v>8.8000000000000007</v>
      </c>
      <c r="L83" s="404" t="s">
        <v>148</v>
      </c>
      <c r="M83" s="409">
        <v>9</v>
      </c>
      <c r="N83" s="409">
        <v>7.0000000000000007E-2</v>
      </c>
      <c r="O83" s="409">
        <v>9.8000000000000007</v>
      </c>
    </row>
    <row r="84" spans="1:15" ht="13.5" customHeight="1" x14ac:dyDescent="0.25">
      <c r="A84" s="411">
        <v>73</v>
      </c>
      <c r="B84" s="410" t="s">
        <v>716</v>
      </c>
      <c r="C84" s="410"/>
      <c r="D84" s="410"/>
      <c r="E84" s="409">
        <v>4.66</v>
      </c>
      <c r="F84" s="405">
        <v>1.075</v>
      </c>
      <c r="G84" s="409">
        <v>79.900000000000006</v>
      </c>
      <c r="H84" s="409">
        <v>29</v>
      </c>
      <c r="I84" s="409">
        <v>5.5</v>
      </c>
      <c r="J84" s="409">
        <v>79.599999999999994</v>
      </c>
      <c r="K84" s="409">
        <v>9.1</v>
      </c>
      <c r="L84" s="404" t="s">
        <v>148</v>
      </c>
      <c r="M84" s="409">
        <v>10</v>
      </c>
      <c r="N84" s="409">
        <v>0.08</v>
      </c>
      <c r="O84" s="409">
        <v>10.199999999999999</v>
      </c>
    </row>
    <row r="85" spans="1:15" ht="14.25" customHeight="1" x14ac:dyDescent="0.25">
      <c r="A85" s="411">
        <v>74</v>
      </c>
      <c r="B85" s="410" t="s">
        <v>715</v>
      </c>
      <c r="C85" s="410"/>
      <c r="D85" s="410"/>
      <c r="E85" s="409">
        <v>4.53</v>
      </c>
      <c r="F85" s="405">
        <v>1.1579999999999999</v>
      </c>
      <c r="G85" s="409">
        <v>80.3</v>
      </c>
      <c r="H85" s="409">
        <v>28.6</v>
      </c>
      <c r="I85" s="409">
        <v>6.2</v>
      </c>
      <c r="J85" s="409">
        <v>80.400000000000006</v>
      </c>
      <c r="K85" s="409">
        <v>8.1</v>
      </c>
      <c r="L85" s="404" t="s">
        <v>150</v>
      </c>
      <c r="M85" s="409">
        <v>11</v>
      </c>
      <c r="N85" s="409">
        <v>0.12</v>
      </c>
      <c r="O85" s="409">
        <v>9.3000000000000007</v>
      </c>
    </row>
    <row r="86" spans="1:15" ht="13.5" customHeight="1" x14ac:dyDescent="0.25">
      <c r="A86" s="411">
        <v>75</v>
      </c>
      <c r="B86" s="410" t="s">
        <v>714</v>
      </c>
      <c r="C86" s="410"/>
      <c r="D86" s="410"/>
      <c r="E86" s="409">
        <v>4.93</v>
      </c>
      <c r="F86" s="405">
        <v>1.107</v>
      </c>
      <c r="G86" s="409">
        <v>79.8</v>
      </c>
      <c r="H86" s="409">
        <v>29.6</v>
      </c>
      <c r="I86" s="409">
        <v>5.3</v>
      </c>
      <c r="J86" s="409">
        <v>78.400000000000006</v>
      </c>
      <c r="K86" s="409">
        <v>9.3000000000000007</v>
      </c>
      <c r="L86" s="404" t="s">
        <v>166</v>
      </c>
      <c r="M86" s="409">
        <v>10</v>
      </c>
      <c r="N86" s="409">
        <v>0.1</v>
      </c>
      <c r="O86" s="409">
        <v>9.3000000000000007</v>
      </c>
    </row>
    <row r="87" spans="1:15" ht="13.5" customHeight="1" x14ac:dyDescent="0.25">
      <c r="A87" s="411">
        <v>76</v>
      </c>
      <c r="B87" s="410" t="s">
        <v>713</v>
      </c>
      <c r="C87" s="410"/>
      <c r="D87" s="410"/>
      <c r="E87" s="409">
        <v>5.03</v>
      </c>
      <c r="F87" s="405">
        <v>1.0369999999999999</v>
      </c>
      <c r="G87" s="409">
        <v>80.900000000000006</v>
      </c>
      <c r="H87" s="409">
        <v>29.8</v>
      </c>
      <c r="I87" s="409">
        <v>5.0999999999999996</v>
      </c>
      <c r="J87" s="409">
        <v>73.400000000000006</v>
      </c>
      <c r="K87" s="409">
        <v>10.199999999999999</v>
      </c>
      <c r="L87" s="404" t="s">
        <v>712</v>
      </c>
      <c r="M87" s="409">
        <v>11</v>
      </c>
      <c r="N87" s="409">
        <v>0.19</v>
      </c>
      <c r="O87" s="409">
        <v>8.5</v>
      </c>
    </row>
    <row r="88" spans="1:15" ht="13.5" customHeight="1" x14ac:dyDescent="0.25">
      <c r="A88" s="411">
        <v>77</v>
      </c>
      <c r="B88" s="410" t="s">
        <v>711</v>
      </c>
      <c r="C88" s="410"/>
      <c r="D88" s="410"/>
      <c r="E88" s="409">
        <v>4.76</v>
      </c>
      <c r="F88" s="405">
        <v>1.117</v>
      </c>
      <c r="G88" s="409">
        <v>80.8</v>
      </c>
      <c r="H88" s="409">
        <v>29.5</v>
      </c>
      <c r="I88" s="409">
        <v>5.4</v>
      </c>
      <c r="J88" s="409">
        <v>78.400000000000006</v>
      </c>
      <c r="K88" s="409">
        <v>9.1</v>
      </c>
      <c r="L88" s="404" t="s">
        <v>150</v>
      </c>
      <c r="M88" s="409">
        <v>12</v>
      </c>
      <c r="N88" s="409">
        <v>0.13</v>
      </c>
      <c r="O88" s="409">
        <v>9.1999999999999993</v>
      </c>
    </row>
    <row r="89" spans="1:15" ht="13.5" customHeight="1" x14ac:dyDescent="0.25">
      <c r="A89" s="411">
        <v>78</v>
      </c>
      <c r="B89" s="410" t="s">
        <v>710</v>
      </c>
      <c r="C89" s="410"/>
      <c r="D89" s="410"/>
      <c r="E89" s="409">
        <v>5.4</v>
      </c>
      <c r="F89" s="405">
        <v>1.024</v>
      </c>
      <c r="G89" s="409">
        <v>80</v>
      </c>
      <c r="H89" s="409">
        <v>28.1</v>
      </c>
      <c r="I89" s="409">
        <v>5.2</v>
      </c>
      <c r="J89" s="409">
        <v>76.3</v>
      </c>
      <c r="K89" s="409">
        <v>10</v>
      </c>
      <c r="L89" s="404" t="s">
        <v>709</v>
      </c>
      <c r="M89" s="409">
        <v>9</v>
      </c>
      <c r="N89" s="409">
        <v>0.17</v>
      </c>
      <c r="O89" s="409">
        <v>10</v>
      </c>
    </row>
    <row r="90" spans="1:15" ht="14.25" customHeight="1" x14ac:dyDescent="0.25">
      <c r="A90" s="411">
        <v>79</v>
      </c>
      <c r="B90" s="410" t="s">
        <v>708</v>
      </c>
      <c r="C90" s="410"/>
      <c r="D90" s="410"/>
      <c r="E90" s="409">
        <v>4.51</v>
      </c>
      <c r="F90" s="405">
        <v>1.175</v>
      </c>
      <c r="G90" s="409">
        <v>80</v>
      </c>
      <c r="H90" s="409">
        <v>29.3</v>
      </c>
      <c r="I90" s="409">
        <v>6.3</v>
      </c>
      <c r="J90" s="409">
        <v>81</v>
      </c>
      <c r="K90" s="409">
        <v>7.9</v>
      </c>
      <c r="L90" s="404" t="s">
        <v>150</v>
      </c>
      <c r="M90" s="409">
        <v>8</v>
      </c>
      <c r="N90" s="409">
        <v>0.1</v>
      </c>
      <c r="O90" s="409">
        <v>9.1999999999999993</v>
      </c>
    </row>
    <row r="91" spans="1:15" ht="13.5" customHeight="1" x14ac:dyDescent="0.25">
      <c r="A91" s="411">
        <v>80</v>
      </c>
      <c r="B91" s="410" t="s">
        <v>707</v>
      </c>
      <c r="C91" s="410"/>
      <c r="D91" s="410"/>
      <c r="E91" s="409">
        <v>4.75</v>
      </c>
      <c r="F91" s="405">
        <v>1.0820000000000001</v>
      </c>
      <c r="G91" s="409">
        <v>80.8</v>
      </c>
      <c r="H91" s="409">
        <v>30</v>
      </c>
      <c r="I91" s="409">
        <v>5.0999999999999996</v>
      </c>
      <c r="J91" s="409">
        <v>76.900000000000006</v>
      </c>
      <c r="K91" s="409">
        <v>10.5</v>
      </c>
      <c r="L91" s="404" t="s">
        <v>167</v>
      </c>
      <c r="M91" s="409">
        <v>13</v>
      </c>
      <c r="N91" s="409">
        <v>0.15</v>
      </c>
      <c r="O91" s="409">
        <v>9.1</v>
      </c>
    </row>
    <row r="92" spans="1:15" ht="13.5" customHeight="1" x14ac:dyDescent="0.25">
      <c r="A92" s="411">
        <v>81</v>
      </c>
      <c r="B92" s="410" t="s">
        <v>706</v>
      </c>
      <c r="C92" s="410"/>
      <c r="D92" s="410"/>
      <c r="E92" s="409">
        <v>4.55</v>
      </c>
      <c r="F92" s="405">
        <v>1.0760000000000001</v>
      </c>
      <c r="G92" s="409">
        <v>79.5</v>
      </c>
      <c r="H92" s="409">
        <v>27.2</v>
      </c>
      <c r="I92" s="409">
        <v>5.9</v>
      </c>
      <c r="J92" s="409">
        <v>78.099999999999994</v>
      </c>
      <c r="K92" s="409">
        <v>8.6999999999999993</v>
      </c>
      <c r="L92" s="404" t="s">
        <v>149</v>
      </c>
      <c r="M92" s="409">
        <v>14</v>
      </c>
      <c r="N92" s="409">
        <v>0.16</v>
      </c>
      <c r="O92" s="409">
        <v>10.4</v>
      </c>
    </row>
    <row r="93" spans="1:15" ht="13.5" customHeight="1" x14ac:dyDescent="0.25">
      <c r="A93" s="411">
        <v>82</v>
      </c>
      <c r="B93" s="410" t="s">
        <v>705</v>
      </c>
      <c r="C93" s="410"/>
      <c r="D93" s="410"/>
      <c r="E93" s="409">
        <v>4.95</v>
      </c>
      <c r="F93" s="405">
        <v>1.095</v>
      </c>
      <c r="G93" s="409">
        <v>79.900000000000006</v>
      </c>
      <c r="H93" s="409">
        <v>27.4</v>
      </c>
      <c r="I93" s="409">
        <v>5.9</v>
      </c>
      <c r="J93" s="409">
        <v>79.2</v>
      </c>
      <c r="K93" s="409">
        <v>9</v>
      </c>
      <c r="L93" s="404" t="s">
        <v>148</v>
      </c>
      <c r="M93" s="409">
        <v>9</v>
      </c>
      <c r="N93" s="409">
        <v>0.19</v>
      </c>
      <c r="O93" s="409">
        <v>9.9</v>
      </c>
    </row>
    <row r="94" spans="1:15" ht="14.25" customHeight="1" x14ac:dyDescent="0.25">
      <c r="A94" s="411">
        <v>83</v>
      </c>
      <c r="B94" s="410" t="s">
        <v>704</v>
      </c>
      <c r="C94" s="410"/>
      <c r="D94" s="410"/>
      <c r="E94" s="409">
        <v>4.83</v>
      </c>
      <c r="F94" s="405">
        <v>1.1339999999999999</v>
      </c>
      <c r="G94" s="409">
        <v>79.900000000000006</v>
      </c>
      <c r="H94" s="409">
        <v>28</v>
      </c>
      <c r="I94" s="409">
        <v>6.1</v>
      </c>
      <c r="J94" s="409">
        <v>79.900000000000006</v>
      </c>
      <c r="K94" s="409">
        <v>8.8000000000000007</v>
      </c>
      <c r="L94" s="404" t="s">
        <v>148</v>
      </c>
      <c r="M94" s="409">
        <v>8</v>
      </c>
      <c r="N94" s="409">
        <v>0.15</v>
      </c>
      <c r="O94" s="409">
        <v>9.4</v>
      </c>
    </row>
    <row r="95" spans="1:15" ht="13.5" customHeight="1" x14ac:dyDescent="0.25">
      <c r="A95" s="411">
        <v>84</v>
      </c>
      <c r="B95" s="410" t="s">
        <v>703</v>
      </c>
      <c r="C95" s="410"/>
      <c r="D95" s="410"/>
      <c r="E95" s="409">
        <v>4.82</v>
      </c>
      <c r="F95" s="405">
        <v>1.0669999999999999</v>
      </c>
      <c r="G95" s="409">
        <v>80.2</v>
      </c>
      <c r="H95" s="409">
        <v>31.1</v>
      </c>
      <c r="I95" s="409">
        <v>5.0999999999999996</v>
      </c>
      <c r="J95" s="409">
        <v>77.7</v>
      </c>
      <c r="K95" s="409">
        <v>10.1</v>
      </c>
      <c r="L95" s="404" t="s">
        <v>172</v>
      </c>
      <c r="M95" s="409">
        <v>4</v>
      </c>
      <c r="N95" s="409">
        <v>0.08</v>
      </c>
      <c r="O95" s="409">
        <v>10.1</v>
      </c>
    </row>
    <row r="96" spans="1:15" ht="13.5" customHeight="1" x14ac:dyDescent="0.25">
      <c r="A96" s="411">
        <v>85</v>
      </c>
      <c r="B96" s="410" t="s">
        <v>702</v>
      </c>
      <c r="C96" s="410"/>
      <c r="D96" s="410"/>
      <c r="E96" s="409">
        <v>4.71</v>
      </c>
      <c r="F96" s="405">
        <v>1.157</v>
      </c>
      <c r="G96" s="409">
        <v>80.900000000000006</v>
      </c>
      <c r="H96" s="409">
        <v>28.9</v>
      </c>
      <c r="I96" s="409">
        <v>6.3</v>
      </c>
      <c r="J96" s="409">
        <v>81.7</v>
      </c>
      <c r="K96" s="409">
        <v>8.4</v>
      </c>
      <c r="L96" s="404" t="s">
        <v>171</v>
      </c>
      <c r="M96" s="409">
        <v>10</v>
      </c>
      <c r="N96" s="409">
        <v>0.2</v>
      </c>
      <c r="O96" s="409">
        <v>9.1</v>
      </c>
    </row>
    <row r="97" spans="1:15" ht="13.5" customHeight="1" x14ac:dyDescent="0.25">
      <c r="A97" s="411">
        <v>86</v>
      </c>
      <c r="B97" s="410" t="s">
        <v>701</v>
      </c>
      <c r="C97" s="410"/>
      <c r="D97" s="410"/>
      <c r="E97" s="409">
        <v>4.8600000000000003</v>
      </c>
      <c r="F97" s="405">
        <v>1.095</v>
      </c>
      <c r="G97" s="409">
        <v>77.400000000000006</v>
      </c>
      <c r="H97" s="409">
        <v>26.6</v>
      </c>
      <c r="I97" s="409">
        <v>6.1</v>
      </c>
      <c r="J97" s="409">
        <v>78.400000000000006</v>
      </c>
      <c r="K97" s="409">
        <v>9.1999999999999993</v>
      </c>
      <c r="L97" s="404" t="s">
        <v>166</v>
      </c>
      <c r="M97" s="409">
        <v>15</v>
      </c>
      <c r="N97" s="409">
        <v>0.25</v>
      </c>
      <c r="O97" s="409">
        <v>11.6</v>
      </c>
    </row>
    <row r="98" spans="1:15" ht="14.25" customHeight="1" x14ac:dyDescent="0.25">
      <c r="A98" s="411">
        <v>87</v>
      </c>
      <c r="B98" s="410" t="s">
        <v>700</v>
      </c>
      <c r="C98" s="410"/>
      <c r="D98" s="410"/>
      <c r="E98" s="409">
        <v>4.55</v>
      </c>
      <c r="F98" s="405">
        <v>1.177</v>
      </c>
      <c r="G98" s="409">
        <v>81</v>
      </c>
      <c r="H98" s="409">
        <v>29.2</v>
      </c>
      <c r="I98" s="409">
        <v>6.3</v>
      </c>
      <c r="J98" s="409">
        <v>81.2</v>
      </c>
      <c r="K98" s="409">
        <v>8.4</v>
      </c>
      <c r="L98" s="404" t="s">
        <v>148</v>
      </c>
      <c r="M98" s="409">
        <v>9</v>
      </c>
      <c r="N98" s="409">
        <v>7.0000000000000007E-2</v>
      </c>
      <c r="O98" s="409">
        <v>9</v>
      </c>
    </row>
    <row r="99" spans="1:15" ht="13.5" customHeight="1" x14ac:dyDescent="0.25">
      <c r="A99" s="411">
        <v>88</v>
      </c>
      <c r="B99" s="410" t="s">
        <v>699</v>
      </c>
      <c r="C99" s="410"/>
      <c r="D99" s="410"/>
      <c r="E99" s="409">
        <v>5.0599999999999996</v>
      </c>
      <c r="F99" s="405">
        <v>1.0469999999999999</v>
      </c>
      <c r="G99" s="409">
        <v>80.3</v>
      </c>
      <c r="H99" s="409">
        <v>27.9</v>
      </c>
      <c r="I99" s="409">
        <v>5.5</v>
      </c>
      <c r="J99" s="409">
        <v>76</v>
      </c>
      <c r="K99" s="409">
        <v>10.199999999999999</v>
      </c>
      <c r="L99" s="404" t="s">
        <v>167</v>
      </c>
      <c r="M99" s="409">
        <v>12</v>
      </c>
      <c r="N99" s="409">
        <v>0.24</v>
      </c>
      <c r="O99" s="409">
        <v>8.9</v>
      </c>
    </row>
    <row r="100" spans="1:15" ht="13.5" customHeight="1" x14ac:dyDescent="0.25">
      <c r="A100" s="411">
        <v>89</v>
      </c>
      <c r="B100" s="410" t="s">
        <v>698</v>
      </c>
      <c r="C100" s="410"/>
      <c r="D100" s="410"/>
      <c r="E100" s="409">
        <v>4.41</v>
      </c>
      <c r="F100" s="405">
        <v>1.1559999999999999</v>
      </c>
      <c r="G100" s="409">
        <v>79.5</v>
      </c>
      <c r="H100" s="409">
        <v>28.5</v>
      </c>
      <c r="I100" s="409">
        <v>6.5</v>
      </c>
      <c r="J100" s="409">
        <v>81.400000000000006</v>
      </c>
      <c r="K100" s="409">
        <v>8.4</v>
      </c>
      <c r="L100" s="404" t="s">
        <v>148</v>
      </c>
      <c r="M100" s="409">
        <v>9</v>
      </c>
      <c r="N100" s="409">
        <v>0.09</v>
      </c>
      <c r="O100" s="409">
        <v>9.6</v>
      </c>
    </row>
    <row r="101" spans="1:15" ht="13.5" customHeight="1" x14ac:dyDescent="0.25">
      <c r="A101" s="411">
        <v>90</v>
      </c>
      <c r="B101" s="410" t="s">
        <v>697</v>
      </c>
      <c r="C101" s="410"/>
      <c r="D101" s="410"/>
      <c r="E101" s="409">
        <v>5</v>
      </c>
      <c r="F101" s="405">
        <v>1.016</v>
      </c>
      <c r="G101" s="409">
        <v>78.400000000000006</v>
      </c>
      <c r="H101" s="409">
        <v>27.1</v>
      </c>
      <c r="I101" s="409">
        <v>5.4</v>
      </c>
      <c r="J101" s="409">
        <v>78.3</v>
      </c>
      <c r="K101" s="409">
        <v>9.5</v>
      </c>
      <c r="L101" s="404" t="s">
        <v>165</v>
      </c>
      <c r="M101" s="409">
        <v>10</v>
      </c>
      <c r="N101" s="409">
        <v>7.0000000000000007E-2</v>
      </c>
      <c r="O101" s="409">
        <v>11.7</v>
      </c>
    </row>
    <row r="102" spans="1:15" ht="14.25" customHeight="1" x14ac:dyDescent="0.25">
      <c r="A102" s="411">
        <v>91</v>
      </c>
      <c r="B102" s="410" t="s">
        <v>696</v>
      </c>
      <c r="C102" s="410"/>
      <c r="D102" s="410"/>
      <c r="E102" s="409">
        <v>5.32</v>
      </c>
      <c r="F102" s="405">
        <v>1.0329999999999999</v>
      </c>
      <c r="G102" s="409">
        <v>79.400000000000006</v>
      </c>
      <c r="H102" s="409">
        <v>27.6</v>
      </c>
      <c r="I102" s="409">
        <v>5.4</v>
      </c>
      <c r="J102" s="409">
        <v>76.900000000000006</v>
      </c>
      <c r="K102" s="409">
        <v>9.6999999999999993</v>
      </c>
      <c r="L102" s="404" t="s">
        <v>167</v>
      </c>
      <c r="M102" s="409">
        <v>4</v>
      </c>
      <c r="N102" s="409">
        <v>7.0000000000000007E-2</v>
      </c>
      <c r="O102" s="409">
        <v>10</v>
      </c>
    </row>
    <row r="103" spans="1:15" ht="13.5" customHeight="1" x14ac:dyDescent="0.25">
      <c r="A103" s="411">
        <v>92</v>
      </c>
      <c r="B103" s="410" t="s">
        <v>695</v>
      </c>
      <c r="C103" s="410"/>
      <c r="D103" s="410"/>
      <c r="E103" s="409">
        <v>4.63</v>
      </c>
      <c r="F103" s="405">
        <v>1.119</v>
      </c>
      <c r="G103" s="409">
        <v>81.400000000000006</v>
      </c>
      <c r="H103" s="409">
        <v>31</v>
      </c>
      <c r="I103" s="409">
        <v>5.4</v>
      </c>
      <c r="J103" s="409">
        <v>80</v>
      </c>
      <c r="K103" s="409">
        <v>9</v>
      </c>
      <c r="L103" s="404" t="s">
        <v>148</v>
      </c>
      <c r="M103" s="409">
        <v>20</v>
      </c>
      <c r="N103" s="409">
        <v>0.25</v>
      </c>
      <c r="O103" s="409">
        <v>8.8000000000000007</v>
      </c>
    </row>
    <row r="104" spans="1:15" ht="13.5" customHeight="1" x14ac:dyDescent="0.25">
      <c r="A104" s="411">
        <v>93</v>
      </c>
      <c r="B104" s="410" t="s">
        <v>694</v>
      </c>
      <c r="C104" s="410"/>
      <c r="D104" s="410"/>
      <c r="E104" s="409">
        <v>4.3499999999999996</v>
      </c>
      <c r="F104" s="405">
        <v>1.1659999999999999</v>
      </c>
      <c r="G104" s="409">
        <v>80</v>
      </c>
      <c r="H104" s="409">
        <v>29.3</v>
      </c>
      <c r="I104" s="409">
        <v>6.2</v>
      </c>
      <c r="J104" s="409">
        <v>82</v>
      </c>
      <c r="K104" s="409">
        <v>8.4</v>
      </c>
      <c r="L104" s="404" t="s">
        <v>171</v>
      </c>
      <c r="M104" s="409">
        <v>5</v>
      </c>
      <c r="N104" s="409">
        <v>0.1</v>
      </c>
      <c r="O104" s="409">
        <v>9.1999999999999993</v>
      </c>
    </row>
    <row r="105" spans="1:15" ht="13.5" customHeight="1" x14ac:dyDescent="0.25">
      <c r="A105" s="411">
        <v>94</v>
      </c>
      <c r="B105" s="410" t="s">
        <v>693</v>
      </c>
      <c r="C105" s="410"/>
      <c r="D105" s="410"/>
      <c r="E105" s="409">
        <v>4.71</v>
      </c>
      <c r="F105" s="405">
        <v>1.107</v>
      </c>
      <c r="G105" s="409">
        <v>79.599999999999994</v>
      </c>
      <c r="H105" s="409">
        <v>28.6</v>
      </c>
      <c r="I105" s="409">
        <v>6.1</v>
      </c>
      <c r="J105" s="409">
        <v>80</v>
      </c>
      <c r="K105" s="409">
        <v>8.6999999999999993</v>
      </c>
      <c r="L105" s="404" t="s">
        <v>148</v>
      </c>
      <c r="M105" s="409">
        <v>21</v>
      </c>
      <c r="N105" s="409">
        <v>0.23</v>
      </c>
      <c r="O105" s="409">
        <v>10.4</v>
      </c>
    </row>
    <row r="106" spans="1:15" ht="14.25" customHeight="1" x14ac:dyDescent="0.25">
      <c r="A106" s="411">
        <v>95</v>
      </c>
      <c r="B106" s="410" t="s">
        <v>692</v>
      </c>
      <c r="C106" s="410"/>
      <c r="D106" s="410"/>
      <c r="E106" s="409">
        <v>4.7300000000000004</v>
      </c>
      <c r="F106" s="405">
        <v>1.105</v>
      </c>
      <c r="G106" s="409">
        <v>79.599999999999994</v>
      </c>
      <c r="H106" s="409">
        <v>27.8</v>
      </c>
      <c r="I106" s="409">
        <v>6.1</v>
      </c>
      <c r="J106" s="409">
        <v>80.5</v>
      </c>
      <c r="K106" s="409">
        <v>8.3000000000000007</v>
      </c>
      <c r="L106" s="404" t="s">
        <v>148</v>
      </c>
      <c r="M106" s="409">
        <v>18</v>
      </c>
      <c r="N106" s="409">
        <v>0.17</v>
      </c>
      <c r="O106" s="409">
        <v>9.8000000000000007</v>
      </c>
    </row>
    <row r="107" spans="1:15" ht="13.5" customHeight="1" x14ac:dyDescent="0.25">
      <c r="A107" s="411">
        <v>96</v>
      </c>
      <c r="B107" s="410" t="s">
        <v>691</v>
      </c>
      <c r="C107" s="410"/>
      <c r="D107" s="410"/>
      <c r="E107" s="409">
        <v>4.66</v>
      </c>
      <c r="F107" s="405">
        <v>1.0960000000000001</v>
      </c>
      <c r="G107" s="409">
        <v>81</v>
      </c>
      <c r="H107" s="409">
        <v>29.6</v>
      </c>
      <c r="I107" s="409">
        <v>5.4</v>
      </c>
      <c r="J107" s="409">
        <v>80</v>
      </c>
      <c r="K107" s="409">
        <v>8.6999999999999993</v>
      </c>
      <c r="L107" s="404" t="s">
        <v>148</v>
      </c>
      <c r="M107" s="409">
        <v>9</v>
      </c>
      <c r="N107" s="409">
        <v>0.1</v>
      </c>
      <c r="O107" s="409">
        <v>9.3000000000000007</v>
      </c>
    </row>
    <row r="108" spans="1:15" ht="13.5" customHeight="1" x14ac:dyDescent="0.25">
      <c r="A108" s="411">
        <v>97</v>
      </c>
      <c r="B108" s="410" t="s">
        <v>690</v>
      </c>
      <c r="C108" s="410"/>
      <c r="D108" s="410"/>
      <c r="E108" s="409">
        <v>4.79</v>
      </c>
      <c r="F108" s="405">
        <v>1.091</v>
      </c>
      <c r="G108" s="409">
        <v>80.099999999999994</v>
      </c>
      <c r="H108" s="409">
        <v>28.8</v>
      </c>
      <c r="I108" s="409">
        <v>5.5</v>
      </c>
      <c r="J108" s="409">
        <v>77.900000000000006</v>
      </c>
      <c r="K108" s="409">
        <v>9.6999999999999993</v>
      </c>
      <c r="L108" s="404" t="s">
        <v>165</v>
      </c>
      <c r="M108" s="409">
        <v>21</v>
      </c>
      <c r="N108" s="409">
        <v>0.17</v>
      </c>
      <c r="O108" s="409">
        <v>9.6999999999999993</v>
      </c>
    </row>
    <row r="109" spans="1:15" ht="13.5" customHeight="1" x14ac:dyDescent="0.25">
      <c r="A109" s="411">
        <v>98</v>
      </c>
      <c r="B109" s="410" t="s">
        <v>689</v>
      </c>
      <c r="C109" s="410"/>
      <c r="D109" s="410"/>
      <c r="E109" s="409">
        <v>5.0999999999999996</v>
      </c>
      <c r="F109" s="405">
        <v>1.125</v>
      </c>
      <c r="G109" s="409">
        <v>81.2</v>
      </c>
      <c r="H109" s="409">
        <v>28.6</v>
      </c>
      <c r="I109" s="409">
        <v>5.6</v>
      </c>
      <c r="J109" s="409">
        <v>75</v>
      </c>
      <c r="K109" s="409">
        <v>8.6999999999999993</v>
      </c>
      <c r="L109" s="404" t="s">
        <v>168</v>
      </c>
      <c r="M109" s="409">
        <v>31</v>
      </c>
      <c r="N109" s="409">
        <v>0.34</v>
      </c>
      <c r="O109" s="409">
        <v>8.8000000000000007</v>
      </c>
    </row>
    <row r="110" spans="1:15" ht="14.25" customHeight="1" x14ac:dyDescent="0.25">
      <c r="A110" s="411">
        <v>99</v>
      </c>
      <c r="B110" s="410" t="s">
        <v>688</v>
      </c>
      <c r="C110" s="410"/>
      <c r="D110" s="410"/>
      <c r="E110" s="409">
        <v>4.76</v>
      </c>
      <c r="F110" s="405">
        <v>1.121</v>
      </c>
      <c r="G110" s="409">
        <v>78</v>
      </c>
      <c r="H110" s="409">
        <v>27.2</v>
      </c>
      <c r="I110" s="409">
        <v>6.2</v>
      </c>
      <c r="J110" s="409">
        <v>79.099999999999994</v>
      </c>
      <c r="K110" s="409">
        <v>7.7</v>
      </c>
      <c r="L110" s="404" t="s">
        <v>149</v>
      </c>
      <c r="M110" s="409">
        <v>11</v>
      </c>
      <c r="N110" s="409">
        <v>0.12</v>
      </c>
      <c r="O110" s="409">
        <v>11.2</v>
      </c>
    </row>
    <row r="111" spans="1:15" ht="13.5" customHeight="1" x14ac:dyDescent="0.25">
      <c r="A111" s="411">
        <v>100</v>
      </c>
      <c r="B111" s="410" t="s">
        <v>687</v>
      </c>
      <c r="C111" s="410"/>
      <c r="D111" s="410"/>
      <c r="E111" s="409">
        <v>4.71</v>
      </c>
      <c r="F111" s="405">
        <v>1.0920000000000001</v>
      </c>
      <c r="G111" s="409">
        <v>80.599999999999994</v>
      </c>
      <c r="H111" s="409">
        <v>29.5</v>
      </c>
      <c r="I111" s="409">
        <v>5.3</v>
      </c>
      <c r="J111" s="409">
        <v>79.5</v>
      </c>
      <c r="K111" s="409">
        <v>8.9</v>
      </c>
      <c r="L111" s="404" t="s">
        <v>148</v>
      </c>
      <c r="M111" s="409">
        <v>10</v>
      </c>
      <c r="N111" s="409">
        <v>0.15</v>
      </c>
      <c r="O111" s="409">
        <v>9.1</v>
      </c>
    </row>
    <row r="112" spans="1:15" ht="13.5" customHeight="1" x14ac:dyDescent="0.25">
      <c r="A112" s="411">
        <v>101</v>
      </c>
      <c r="B112" s="410" t="s">
        <v>686</v>
      </c>
      <c r="C112" s="410"/>
      <c r="D112" s="410"/>
      <c r="E112" s="409">
        <v>4.97</v>
      </c>
      <c r="F112" s="405">
        <v>1.075</v>
      </c>
      <c r="G112" s="409">
        <v>80.7</v>
      </c>
      <c r="H112" s="409">
        <v>29.4</v>
      </c>
      <c r="I112" s="409">
        <v>5.2</v>
      </c>
      <c r="J112" s="409">
        <v>78.099999999999994</v>
      </c>
      <c r="K112" s="409">
        <v>9.1</v>
      </c>
      <c r="L112" s="404" t="s">
        <v>150</v>
      </c>
      <c r="M112" s="409">
        <v>11</v>
      </c>
      <c r="N112" s="409">
        <v>0.1</v>
      </c>
      <c r="O112" s="409">
        <v>9.1999999999999993</v>
      </c>
    </row>
    <row r="113" spans="1:15" ht="13.5" customHeight="1" x14ac:dyDescent="0.25">
      <c r="A113" s="411">
        <v>102</v>
      </c>
      <c r="B113" s="410" t="s">
        <v>685</v>
      </c>
      <c r="C113" s="410"/>
      <c r="D113" s="410"/>
      <c r="E113" s="409">
        <v>4.95</v>
      </c>
      <c r="F113" s="405">
        <v>1.042</v>
      </c>
      <c r="G113" s="409">
        <v>80.400000000000006</v>
      </c>
      <c r="H113" s="409">
        <v>29.5</v>
      </c>
      <c r="I113" s="409">
        <v>5.2</v>
      </c>
      <c r="J113" s="409">
        <v>77.7</v>
      </c>
      <c r="K113" s="409">
        <v>9.6</v>
      </c>
      <c r="L113" s="404" t="s">
        <v>165</v>
      </c>
      <c r="M113" s="409">
        <v>8</v>
      </c>
      <c r="N113" s="409">
        <v>0.06</v>
      </c>
      <c r="O113" s="409">
        <v>10</v>
      </c>
    </row>
    <row r="114" spans="1:15" ht="13.5" customHeight="1" x14ac:dyDescent="0.25">
      <c r="A114" s="411">
        <v>103</v>
      </c>
      <c r="B114" s="410" t="s">
        <v>684</v>
      </c>
      <c r="C114" s="410"/>
      <c r="D114" s="410"/>
      <c r="E114" s="409">
        <v>4.37</v>
      </c>
      <c r="F114" s="405">
        <v>1.167</v>
      </c>
      <c r="G114" s="409">
        <v>80.3</v>
      </c>
      <c r="H114" s="409">
        <v>28.6</v>
      </c>
      <c r="I114" s="409">
        <v>6.3</v>
      </c>
      <c r="J114" s="409">
        <v>81.400000000000006</v>
      </c>
      <c r="K114" s="409">
        <v>7.9</v>
      </c>
      <c r="L114" s="404" t="s">
        <v>150</v>
      </c>
      <c r="M114" s="409">
        <v>10</v>
      </c>
      <c r="N114" s="409">
        <v>0.09</v>
      </c>
      <c r="O114" s="409">
        <v>9.5</v>
      </c>
    </row>
    <row r="115" spans="1:15" ht="14.25" customHeight="1" x14ac:dyDescent="0.25">
      <c r="A115" s="411">
        <v>104</v>
      </c>
      <c r="B115" s="410" t="s">
        <v>683</v>
      </c>
      <c r="C115" s="410"/>
      <c r="D115" s="410"/>
      <c r="E115" s="409">
        <v>4.7300000000000004</v>
      </c>
      <c r="F115" s="405">
        <v>1.141</v>
      </c>
      <c r="G115" s="409">
        <v>80.5</v>
      </c>
      <c r="H115" s="409">
        <v>28.4</v>
      </c>
      <c r="I115" s="409">
        <v>6.2</v>
      </c>
      <c r="J115" s="409">
        <v>80.3</v>
      </c>
      <c r="K115" s="409">
        <v>8.1</v>
      </c>
      <c r="L115" s="404" t="s">
        <v>150</v>
      </c>
      <c r="M115" s="409">
        <v>9</v>
      </c>
      <c r="N115" s="409">
        <v>0.08</v>
      </c>
      <c r="O115" s="409">
        <v>9.1</v>
      </c>
    </row>
    <row r="116" spans="1:15" ht="13.5" customHeight="1" x14ac:dyDescent="0.25">
      <c r="A116" s="411">
        <v>105</v>
      </c>
      <c r="B116" s="410" t="s">
        <v>682</v>
      </c>
      <c r="C116" s="410"/>
      <c r="D116" s="410"/>
      <c r="E116" s="409">
        <v>4.8099999999999996</v>
      </c>
      <c r="F116" s="405">
        <v>1.071</v>
      </c>
      <c r="G116" s="409">
        <v>80.3</v>
      </c>
      <c r="H116" s="409">
        <v>29.6</v>
      </c>
      <c r="I116" s="409">
        <v>5.4</v>
      </c>
      <c r="J116" s="409">
        <v>79.3</v>
      </c>
      <c r="K116" s="409">
        <v>9</v>
      </c>
      <c r="L116" s="404" t="s">
        <v>148</v>
      </c>
      <c r="M116" s="409">
        <v>13</v>
      </c>
      <c r="N116" s="409">
        <v>0.12</v>
      </c>
      <c r="O116" s="409">
        <v>9.8000000000000007</v>
      </c>
    </row>
    <row r="117" spans="1:15" ht="13.5" customHeight="1" x14ac:dyDescent="0.25">
      <c r="A117" s="411">
        <v>106</v>
      </c>
      <c r="B117" s="410" t="s">
        <v>681</v>
      </c>
      <c r="C117" s="410"/>
      <c r="D117" s="410"/>
      <c r="E117" s="409">
        <v>4.99</v>
      </c>
      <c r="F117" s="405">
        <v>1.0649999999999999</v>
      </c>
      <c r="G117" s="409">
        <v>79.8</v>
      </c>
      <c r="H117" s="409">
        <v>27.7</v>
      </c>
      <c r="I117" s="409">
        <v>5.3</v>
      </c>
      <c r="J117" s="409">
        <v>77.599999999999994</v>
      </c>
      <c r="K117" s="409">
        <v>9</v>
      </c>
      <c r="L117" s="404" t="s">
        <v>150</v>
      </c>
      <c r="M117" s="409">
        <v>15</v>
      </c>
      <c r="N117" s="409">
        <v>0.2</v>
      </c>
      <c r="O117" s="409">
        <v>9.8000000000000007</v>
      </c>
    </row>
    <row r="118" spans="1:15" ht="13.5" customHeight="1" x14ac:dyDescent="0.25">
      <c r="A118" s="411">
        <v>107</v>
      </c>
      <c r="B118" s="410" t="s">
        <v>680</v>
      </c>
      <c r="C118" s="410"/>
      <c r="D118" s="410"/>
      <c r="E118" s="409">
        <v>4.45</v>
      </c>
      <c r="F118" s="405">
        <v>1.196</v>
      </c>
      <c r="G118" s="409">
        <v>81.099999999999994</v>
      </c>
      <c r="H118" s="409">
        <v>31</v>
      </c>
      <c r="I118" s="409">
        <v>6.2</v>
      </c>
      <c r="J118" s="409">
        <v>81.5</v>
      </c>
      <c r="K118" s="409">
        <v>7.7</v>
      </c>
      <c r="L118" s="404" t="s">
        <v>148</v>
      </c>
      <c r="M118" s="409">
        <v>7</v>
      </c>
      <c r="N118" s="409">
        <v>7.0000000000000007E-2</v>
      </c>
      <c r="O118" s="409">
        <v>8.6999999999999993</v>
      </c>
    </row>
    <row r="119" spans="1:15" ht="14.25" customHeight="1" x14ac:dyDescent="0.25">
      <c r="A119" s="411">
        <v>108</v>
      </c>
      <c r="B119" s="410" t="s">
        <v>679</v>
      </c>
      <c r="C119" s="410"/>
      <c r="D119" s="410"/>
      <c r="E119" s="409">
        <v>4.76</v>
      </c>
      <c r="F119" s="405">
        <v>1.141</v>
      </c>
      <c r="G119" s="409">
        <v>80.7</v>
      </c>
      <c r="H119" s="409">
        <v>28.8</v>
      </c>
      <c r="I119" s="409">
        <v>6.3</v>
      </c>
      <c r="J119" s="409">
        <v>79.599999999999994</v>
      </c>
      <c r="K119" s="409">
        <v>8.6999999999999993</v>
      </c>
      <c r="L119" s="404" t="s">
        <v>148</v>
      </c>
      <c r="M119" s="409">
        <v>9</v>
      </c>
      <c r="N119" s="409">
        <v>0.09</v>
      </c>
      <c r="O119" s="409">
        <v>9.4</v>
      </c>
    </row>
    <row r="120" spans="1:15" ht="13.5" customHeight="1" x14ac:dyDescent="0.25">
      <c r="A120" s="411">
        <v>109</v>
      </c>
      <c r="B120" s="410" t="s">
        <v>678</v>
      </c>
      <c r="C120" s="410"/>
      <c r="D120" s="410"/>
      <c r="E120" s="409">
        <v>4.67</v>
      </c>
      <c r="F120" s="405">
        <v>1.1200000000000001</v>
      </c>
      <c r="G120" s="409">
        <v>79.599999999999994</v>
      </c>
      <c r="H120" s="409">
        <v>28.6</v>
      </c>
      <c r="I120" s="409">
        <v>6</v>
      </c>
      <c r="J120" s="409">
        <v>80.400000000000006</v>
      </c>
      <c r="K120" s="409">
        <v>8.3000000000000007</v>
      </c>
      <c r="L120" s="404" t="s">
        <v>150</v>
      </c>
      <c r="M120" s="409">
        <v>15</v>
      </c>
      <c r="N120" s="409">
        <v>0.14000000000000001</v>
      </c>
      <c r="O120" s="409">
        <v>10.6</v>
      </c>
    </row>
    <row r="121" spans="1:15" ht="13.5" customHeight="1" x14ac:dyDescent="0.25">
      <c r="A121" s="411">
        <v>110</v>
      </c>
      <c r="B121" s="410" t="s">
        <v>677</v>
      </c>
      <c r="C121" s="410"/>
      <c r="D121" s="410"/>
      <c r="E121" s="409">
        <v>4.49</v>
      </c>
      <c r="F121" s="405">
        <v>1.169</v>
      </c>
      <c r="G121" s="409">
        <v>80</v>
      </c>
      <c r="H121" s="409">
        <v>29.8</v>
      </c>
      <c r="I121" s="409">
        <v>6.4</v>
      </c>
      <c r="J121" s="409">
        <v>80.8</v>
      </c>
      <c r="K121" s="409">
        <v>7.9</v>
      </c>
      <c r="L121" s="404" t="s">
        <v>150</v>
      </c>
      <c r="M121" s="409">
        <v>8</v>
      </c>
      <c r="N121" s="409">
        <v>0.06</v>
      </c>
      <c r="O121" s="409">
        <v>9.4</v>
      </c>
    </row>
    <row r="122" spans="1:15" ht="13.5" customHeight="1" x14ac:dyDescent="0.25">
      <c r="A122" s="411">
        <v>111</v>
      </c>
      <c r="B122" s="410" t="s">
        <v>676</v>
      </c>
      <c r="C122" s="410"/>
      <c r="D122" s="410"/>
      <c r="E122" s="409">
        <v>4.8</v>
      </c>
      <c r="F122" s="405">
        <v>1.095</v>
      </c>
      <c r="G122" s="409">
        <v>81</v>
      </c>
      <c r="H122" s="409">
        <v>29.6</v>
      </c>
      <c r="I122" s="409">
        <v>5.3</v>
      </c>
      <c r="J122" s="409">
        <v>79.099999999999994</v>
      </c>
      <c r="K122" s="409">
        <v>9.3000000000000007</v>
      </c>
      <c r="L122" s="404" t="s">
        <v>148</v>
      </c>
      <c r="M122" s="409">
        <v>12</v>
      </c>
      <c r="N122" s="409">
        <v>0.13</v>
      </c>
      <c r="O122" s="409">
        <v>8.9</v>
      </c>
    </row>
    <row r="123" spans="1:15" ht="14.25" customHeight="1" x14ac:dyDescent="0.25">
      <c r="A123" s="411">
        <v>112</v>
      </c>
      <c r="B123" s="410" t="s">
        <v>675</v>
      </c>
      <c r="C123" s="410"/>
      <c r="D123" s="410"/>
      <c r="E123" s="409">
        <v>4.8600000000000003</v>
      </c>
      <c r="F123" s="405">
        <v>1.125</v>
      </c>
      <c r="G123" s="409">
        <v>80.5</v>
      </c>
      <c r="H123" s="409">
        <v>30.4</v>
      </c>
      <c r="I123" s="409">
        <v>5.5</v>
      </c>
      <c r="J123" s="409">
        <v>80.099999999999994</v>
      </c>
      <c r="K123" s="409">
        <v>8.6999999999999993</v>
      </c>
      <c r="L123" s="404" t="s">
        <v>148</v>
      </c>
      <c r="M123" s="409">
        <v>8</v>
      </c>
      <c r="N123" s="409">
        <v>7.0000000000000007E-2</v>
      </c>
      <c r="O123" s="409">
        <v>8.9</v>
      </c>
    </row>
    <row r="124" spans="1:15" ht="13.5" customHeight="1" x14ac:dyDescent="0.25">
      <c r="A124" s="411">
        <v>113</v>
      </c>
      <c r="B124" s="410" t="s">
        <v>674</v>
      </c>
      <c r="C124" s="410"/>
      <c r="D124" s="410"/>
      <c r="E124" s="409">
        <v>4.83</v>
      </c>
      <c r="F124" s="405">
        <v>1.1220000000000001</v>
      </c>
      <c r="G124" s="409">
        <v>80</v>
      </c>
      <c r="H124" s="409">
        <v>28.1</v>
      </c>
      <c r="I124" s="409">
        <v>6</v>
      </c>
      <c r="J124" s="409">
        <v>78.599999999999994</v>
      </c>
      <c r="K124" s="409">
        <v>8</v>
      </c>
      <c r="L124" s="404" t="s">
        <v>149</v>
      </c>
      <c r="M124" s="409">
        <v>10</v>
      </c>
      <c r="N124" s="409">
        <v>0.1</v>
      </c>
      <c r="O124" s="409">
        <v>9.3000000000000007</v>
      </c>
    </row>
    <row r="125" spans="1:15" ht="13.5" customHeight="1" x14ac:dyDescent="0.25">
      <c r="A125" s="411">
        <v>114</v>
      </c>
      <c r="B125" s="410" t="s">
        <v>673</v>
      </c>
      <c r="C125" s="410"/>
      <c r="D125" s="410"/>
      <c r="E125" s="409">
        <v>4.57</v>
      </c>
      <c r="F125" s="405">
        <v>1.0720000000000001</v>
      </c>
      <c r="G125" s="409">
        <v>78.400000000000006</v>
      </c>
      <c r="H125" s="409">
        <v>27.8</v>
      </c>
      <c r="I125" s="409">
        <v>5.5</v>
      </c>
      <c r="J125" s="409">
        <v>78.7</v>
      </c>
      <c r="K125" s="409">
        <v>8.9</v>
      </c>
      <c r="L125" s="404" t="s">
        <v>148</v>
      </c>
      <c r="M125" s="409">
        <v>16</v>
      </c>
      <c r="N125" s="409">
        <v>0.36</v>
      </c>
      <c r="O125" s="409">
        <v>10.1</v>
      </c>
    </row>
    <row r="126" spans="1:15" ht="13.5" customHeight="1" x14ac:dyDescent="0.25">
      <c r="A126" s="411">
        <v>115</v>
      </c>
      <c r="B126" s="410" t="s">
        <v>672</v>
      </c>
      <c r="C126" s="410"/>
      <c r="D126" s="410"/>
      <c r="E126" s="409">
        <v>4.78</v>
      </c>
      <c r="F126" s="405">
        <v>1.095</v>
      </c>
      <c r="G126" s="409">
        <v>77.8</v>
      </c>
      <c r="H126" s="409">
        <v>26</v>
      </c>
      <c r="I126" s="409">
        <v>6.2</v>
      </c>
      <c r="J126" s="409">
        <v>78.099999999999994</v>
      </c>
      <c r="K126" s="409">
        <v>7.9</v>
      </c>
      <c r="L126" s="404" t="s">
        <v>149</v>
      </c>
      <c r="M126" s="409">
        <v>10</v>
      </c>
      <c r="N126" s="409">
        <v>0.13</v>
      </c>
      <c r="O126" s="409">
        <v>12.2</v>
      </c>
    </row>
    <row r="127" spans="1:15" ht="14.25" customHeight="1" x14ac:dyDescent="0.25">
      <c r="A127" s="411">
        <v>116</v>
      </c>
      <c r="B127" s="410" t="s">
        <v>671</v>
      </c>
      <c r="C127" s="410"/>
      <c r="D127" s="410"/>
      <c r="E127" s="409">
        <v>4.95</v>
      </c>
      <c r="F127" s="405">
        <v>1.0629999999999999</v>
      </c>
      <c r="G127" s="409">
        <v>80.2</v>
      </c>
      <c r="H127" s="409">
        <v>28.6</v>
      </c>
      <c r="I127" s="409">
        <v>5.5</v>
      </c>
      <c r="J127" s="409">
        <v>78.900000000000006</v>
      </c>
      <c r="K127" s="409">
        <v>9.1999999999999993</v>
      </c>
      <c r="L127" s="404" t="s">
        <v>148</v>
      </c>
      <c r="M127" s="409">
        <v>8</v>
      </c>
      <c r="N127" s="409">
        <v>0.14000000000000001</v>
      </c>
      <c r="O127" s="409">
        <v>10</v>
      </c>
    </row>
    <row r="128" spans="1:15" ht="13.5" customHeight="1" x14ac:dyDescent="0.25">
      <c r="A128" s="411">
        <v>117</v>
      </c>
      <c r="B128" s="410" t="s">
        <v>670</v>
      </c>
      <c r="C128" s="410"/>
      <c r="D128" s="410"/>
      <c r="E128" s="409">
        <v>4.32</v>
      </c>
      <c r="F128" s="405">
        <v>1.167</v>
      </c>
      <c r="G128" s="409">
        <v>79.3</v>
      </c>
      <c r="H128" s="409">
        <v>29.2</v>
      </c>
      <c r="I128" s="409">
        <v>6.3</v>
      </c>
      <c r="J128" s="409">
        <v>80.8</v>
      </c>
      <c r="K128" s="409">
        <v>8</v>
      </c>
      <c r="L128" s="404" t="s">
        <v>148</v>
      </c>
      <c r="M128" s="409">
        <v>15</v>
      </c>
      <c r="N128" s="409">
        <v>0.12</v>
      </c>
      <c r="O128" s="409">
        <v>9.6999999999999993</v>
      </c>
    </row>
    <row r="129" spans="1:15" ht="13.5" customHeight="1" x14ac:dyDescent="0.25">
      <c r="A129" s="411">
        <v>118</v>
      </c>
      <c r="B129" s="410" t="s">
        <v>669</v>
      </c>
      <c r="C129" s="410"/>
      <c r="D129" s="410"/>
      <c r="E129" s="409">
        <v>4.7699999999999996</v>
      </c>
      <c r="F129" s="405">
        <v>1.087</v>
      </c>
      <c r="G129" s="409">
        <v>79.900000000000006</v>
      </c>
      <c r="H129" s="409">
        <v>29.6</v>
      </c>
      <c r="I129" s="409">
        <v>5.4</v>
      </c>
      <c r="J129" s="409">
        <v>78.2</v>
      </c>
      <c r="K129" s="409">
        <v>9.6999999999999993</v>
      </c>
      <c r="L129" s="404" t="s">
        <v>165</v>
      </c>
      <c r="M129" s="409">
        <v>13</v>
      </c>
      <c r="N129" s="409">
        <v>0.17</v>
      </c>
      <c r="O129" s="409">
        <v>9.4</v>
      </c>
    </row>
    <row r="130" spans="1:15" ht="13.5" customHeight="1" x14ac:dyDescent="0.25">
      <c r="A130" s="411">
        <v>119</v>
      </c>
      <c r="B130" s="410" t="s">
        <v>668</v>
      </c>
      <c r="C130" s="410"/>
      <c r="D130" s="410"/>
      <c r="E130" s="409">
        <v>4.8099999999999996</v>
      </c>
      <c r="F130" s="405">
        <v>1.1000000000000001</v>
      </c>
      <c r="G130" s="409">
        <v>80.5</v>
      </c>
      <c r="H130" s="409">
        <v>27.7</v>
      </c>
      <c r="I130" s="409">
        <v>5.6</v>
      </c>
      <c r="J130" s="409">
        <v>77.7</v>
      </c>
      <c r="K130" s="409">
        <v>8.6999999999999993</v>
      </c>
      <c r="L130" s="404" t="s">
        <v>149</v>
      </c>
      <c r="M130" s="409">
        <v>14</v>
      </c>
      <c r="N130" s="409">
        <v>0.22</v>
      </c>
      <c r="O130" s="409">
        <v>9.6999999999999993</v>
      </c>
    </row>
    <row r="131" spans="1:15" ht="14.25" customHeight="1" x14ac:dyDescent="0.25">
      <c r="A131" s="411">
        <v>120</v>
      </c>
      <c r="B131" s="410" t="s">
        <v>667</v>
      </c>
      <c r="C131" s="410"/>
      <c r="D131" s="410"/>
      <c r="E131" s="409">
        <v>4.96</v>
      </c>
      <c r="F131" s="405">
        <v>1.056</v>
      </c>
      <c r="G131" s="409">
        <v>80.8</v>
      </c>
      <c r="H131" s="409">
        <v>28.2</v>
      </c>
      <c r="I131" s="409">
        <v>5.0999999999999996</v>
      </c>
      <c r="J131" s="409">
        <v>76.3</v>
      </c>
      <c r="K131" s="409">
        <v>9.1999999999999993</v>
      </c>
      <c r="L131" s="404" t="s">
        <v>169</v>
      </c>
      <c r="M131" s="409">
        <v>6</v>
      </c>
      <c r="N131" s="409">
        <v>0.15</v>
      </c>
      <c r="O131" s="409">
        <v>9.3000000000000007</v>
      </c>
    </row>
    <row r="132" spans="1:15" ht="13.5" customHeight="1" x14ac:dyDescent="0.25">
      <c r="A132" s="411">
        <v>121</v>
      </c>
      <c r="B132" s="410" t="s">
        <v>666</v>
      </c>
      <c r="C132" s="410"/>
      <c r="D132" s="410"/>
      <c r="E132" s="409">
        <v>5.07</v>
      </c>
      <c r="F132" s="405">
        <v>0.98799999999999999</v>
      </c>
      <c r="G132" s="409">
        <v>78.5</v>
      </c>
      <c r="H132" s="409">
        <v>26</v>
      </c>
      <c r="I132" s="409">
        <v>5.6</v>
      </c>
      <c r="J132" s="409">
        <v>77.8</v>
      </c>
      <c r="K132" s="409">
        <v>9.5</v>
      </c>
      <c r="L132" s="404" t="s">
        <v>165</v>
      </c>
      <c r="M132" s="409">
        <v>10</v>
      </c>
      <c r="N132" s="409">
        <v>0.1</v>
      </c>
      <c r="O132" s="409">
        <v>12.2</v>
      </c>
    </row>
    <row r="133" spans="1:15" ht="13.5" customHeight="1" x14ac:dyDescent="0.25">
      <c r="A133" s="411">
        <v>122</v>
      </c>
      <c r="B133" s="410" t="s">
        <v>665</v>
      </c>
      <c r="C133" s="410"/>
      <c r="D133" s="410"/>
      <c r="E133" s="409">
        <v>4.43</v>
      </c>
      <c r="F133" s="405">
        <v>1.1859999999999999</v>
      </c>
      <c r="G133" s="409">
        <v>81.2</v>
      </c>
      <c r="H133" s="409">
        <v>29</v>
      </c>
      <c r="I133" s="409">
        <v>6.2</v>
      </c>
      <c r="J133" s="409">
        <v>81.599999999999994</v>
      </c>
      <c r="K133" s="409">
        <v>7.7</v>
      </c>
      <c r="L133" s="404" t="s">
        <v>148</v>
      </c>
      <c r="M133" s="409">
        <v>19</v>
      </c>
      <c r="N133" s="409">
        <v>0.18</v>
      </c>
      <c r="O133" s="409">
        <v>9.1999999999999993</v>
      </c>
    </row>
    <row r="134" spans="1:15" ht="13.5" customHeight="1" x14ac:dyDescent="0.25">
      <c r="A134" s="411">
        <v>123</v>
      </c>
      <c r="B134" s="410" t="s">
        <v>664</v>
      </c>
      <c r="C134" s="410"/>
      <c r="D134" s="410"/>
      <c r="E134" s="409">
        <v>5.04</v>
      </c>
      <c r="F134" s="405">
        <v>1.1240000000000001</v>
      </c>
      <c r="G134" s="409">
        <v>79.7</v>
      </c>
      <c r="H134" s="409">
        <v>28.1</v>
      </c>
      <c r="I134" s="409">
        <v>6.1</v>
      </c>
      <c r="J134" s="409">
        <v>79.099999999999994</v>
      </c>
      <c r="K134" s="409">
        <v>8</v>
      </c>
      <c r="L134" s="404" t="s">
        <v>149</v>
      </c>
      <c r="M134" s="409">
        <v>10</v>
      </c>
      <c r="N134" s="409">
        <v>0.08</v>
      </c>
      <c r="O134" s="409">
        <v>9.6999999999999993</v>
      </c>
    </row>
    <row r="135" spans="1:15" ht="14.25" customHeight="1" x14ac:dyDescent="0.25">
      <c r="A135" s="411">
        <v>124</v>
      </c>
      <c r="B135" s="410" t="s">
        <v>663</v>
      </c>
      <c r="C135" s="410"/>
      <c r="D135" s="410"/>
      <c r="E135" s="409">
        <v>4.8499999999999996</v>
      </c>
      <c r="F135" s="405">
        <v>1.1100000000000001</v>
      </c>
      <c r="G135" s="409">
        <v>80.099999999999994</v>
      </c>
      <c r="H135" s="409">
        <v>29</v>
      </c>
      <c r="I135" s="409">
        <v>5.3</v>
      </c>
      <c r="J135" s="409">
        <v>78.3</v>
      </c>
      <c r="K135" s="409">
        <v>8.5</v>
      </c>
      <c r="L135" s="404" t="s">
        <v>149</v>
      </c>
      <c r="M135" s="409">
        <v>14</v>
      </c>
      <c r="N135" s="409">
        <v>0.18</v>
      </c>
      <c r="O135" s="409">
        <v>9.5</v>
      </c>
    </row>
    <row r="136" spans="1:15" ht="13.5" customHeight="1" x14ac:dyDescent="0.25">
      <c r="A136" s="411">
        <v>125</v>
      </c>
      <c r="B136" s="410" t="s">
        <v>662</v>
      </c>
      <c r="C136" s="410"/>
      <c r="D136" s="410"/>
      <c r="E136" s="409">
        <v>5.03</v>
      </c>
      <c r="F136" s="405">
        <v>1.0940000000000001</v>
      </c>
      <c r="G136" s="409">
        <v>81.5</v>
      </c>
      <c r="H136" s="409">
        <v>30.5</v>
      </c>
      <c r="I136" s="409">
        <v>5.2</v>
      </c>
      <c r="J136" s="409">
        <v>76.7</v>
      </c>
      <c r="K136" s="409">
        <v>9.4</v>
      </c>
      <c r="L136" s="404" t="s">
        <v>166</v>
      </c>
      <c r="M136" s="409">
        <v>18</v>
      </c>
      <c r="N136" s="409">
        <v>0.16</v>
      </c>
      <c r="O136" s="409">
        <v>8.6999999999999993</v>
      </c>
    </row>
    <row r="137" spans="1:15" ht="13.5" customHeight="1" x14ac:dyDescent="0.25">
      <c r="A137" s="411">
        <v>126</v>
      </c>
      <c r="B137" s="410" t="s">
        <v>661</v>
      </c>
      <c r="C137" s="410"/>
      <c r="D137" s="410"/>
      <c r="E137" s="409">
        <v>4.42</v>
      </c>
      <c r="F137" s="405">
        <v>1.1559999999999999</v>
      </c>
      <c r="G137" s="409">
        <v>80.8</v>
      </c>
      <c r="H137" s="409">
        <v>30.9</v>
      </c>
      <c r="I137" s="409">
        <v>5.4</v>
      </c>
      <c r="J137" s="409">
        <v>78.7</v>
      </c>
      <c r="K137" s="409">
        <v>8.6</v>
      </c>
      <c r="L137" s="404" t="s">
        <v>150</v>
      </c>
      <c r="M137" s="409">
        <v>9</v>
      </c>
      <c r="N137" s="409">
        <v>0.28000000000000003</v>
      </c>
      <c r="O137" s="409">
        <v>8.6</v>
      </c>
    </row>
    <row r="138" spans="1:15" ht="13.5" customHeight="1" x14ac:dyDescent="0.25">
      <c r="A138" s="411">
        <v>127</v>
      </c>
      <c r="B138" s="410" t="s">
        <v>660</v>
      </c>
      <c r="C138" s="410"/>
      <c r="D138" s="410"/>
      <c r="E138" s="409">
        <v>4.71</v>
      </c>
      <c r="F138" s="405">
        <v>1.046</v>
      </c>
      <c r="G138" s="409">
        <v>78.7</v>
      </c>
      <c r="H138" s="409">
        <v>26.2</v>
      </c>
      <c r="I138" s="409">
        <v>5.6</v>
      </c>
      <c r="J138" s="409">
        <v>78.099999999999994</v>
      </c>
      <c r="K138" s="409">
        <v>9.1</v>
      </c>
      <c r="L138" s="404" t="s">
        <v>150</v>
      </c>
      <c r="M138" s="409">
        <v>22</v>
      </c>
      <c r="N138" s="409">
        <v>0.33</v>
      </c>
      <c r="O138" s="409">
        <v>10.7</v>
      </c>
    </row>
    <row r="139" spans="1:15" ht="1.5" customHeight="1" x14ac:dyDescent="0.25"/>
    <row r="140" spans="1:15" ht="13.5" customHeight="1" x14ac:dyDescent="0.25">
      <c r="A140" s="408">
        <v>127</v>
      </c>
      <c r="B140" s="408"/>
      <c r="C140" s="406" t="s">
        <v>659</v>
      </c>
      <c r="D140" s="406"/>
      <c r="E140" s="402">
        <v>4.8437007874015752</v>
      </c>
      <c r="F140" s="405">
        <v>1.1011653543307087</v>
      </c>
      <c r="G140" s="402">
        <v>80.277165354330705</v>
      </c>
      <c r="H140" s="402">
        <v>28.940157480314959</v>
      </c>
      <c r="I140" s="402">
        <v>5.6527559055118113</v>
      </c>
      <c r="J140" s="402">
        <v>78.696850393700785</v>
      </c>
      <c r="K140" s="402">
        <v>9.0598425196850396</v>
      </c>
      <c r="L140" s="404" t="s">
        <v>656</v>
      </c>
      <c r="M140" s="403">
        <v>11.590551181102361</v>
      </c>
      <c r="N140" s="402">
        <v>0.16551181102362206</v>
      </c>
      <c r="O140" s="402">
        <v>9.5165354330708656</v>
      </c>
    </row>
    <row r="141" spans="1:15" ht="14.25" customHeight="1" x14ac:dyDescent="0.25">
      <c r="A141" s="407"/>
      <c r="B141" s="407"/>
      <c r="C141" s="406" t="s">
        <v>658</v>
      </c>
      <c r="D141" s="406"/>
      <c r="E141" s="402">
        <v>0.29961298621273341</v>
      </c>
      <c r="F141" s="405">
        <v>5.016999099561846E-2</v>
      </c>
      <c r="G141" s="402">
        <v>0.88130395603170608</v>
      </c>
      <c r="H141" s="402">
        <v>1.3205494192395519</v>
      </c>
      <c r="I141" s="402">
        <v>0.40879745667008194</v>
      </c>
      <c r="J141" s="402">
        <v>1.6348844436555712</v>
      </c>
      <c r="K141" s="402">
        <v>0.72519946271174962</v>
      </c>
      <c r="L141" s="404" t="s">
        <v>656</v>
      </c>
      <c r="M141" s="403">
        <v>5.0021492693477168</v>
      </c>
      <c r="N141" s="402">
        <v>9.3415853498158452E-2</v>
      </c>
      <c r="O141" s="402">
        <v>0.81851237295896406</v>
      </c>
    </row>
    <row r="142" spans="1:15" ht="13.5" customHeight="1" x14ac:dyDescent="0.25">
      <c r="A142" s="407"/>
      <c r="B142" s="407"/>
      <c r="C142" s="406" t="s">
        <v>657</v>
      </c>
      <c r="D142" s="406"/>
      <c r="E142" s="402">
        <v>6.1856212710748828</v>
      </c>
      <c r="F142" s="405">
        <v>4.5560815002313539</v>
      </c>
      <c r="G142" s="402">
        <v>1.0978264518207261</v>
      </c>
      <c r="H142" s="402">
        <v>4.5630346695168713</v>
      </c>
      <c r="I142" s="402">
        <v>7.2318257413428624</v>
      </c>
      <c r="J142" s="402">
        <v>2.0774458386538348</v>
      </c>
      <c r="K142" s="402">
        <v>8.0045482152261602</v>
      </c>
      <c r="L142" s="404" t="s">
        <v>656</v>
      </c>
      <c r="M142" s="403">
        <v>43.157130245051633</v>
      </c>
      <c r="N142" s="402">
        <v>56.440596547412568</v>
      </c>
      <c r="O142" s="402">
        <v>8.6009491449436073</v>
      </c>
    </row>
    <row r="143" spans="1:15" ht="6" customHeight="1" x14ac:dyDescent="0.25"/>
    <row r="144" spans="1:15" ht="9" customHeight="1" x14ac:dyDescent="0.25"/>
    <row r="145" spans="1:15" ht="59.25" customHeight="1" x14ac:dyDescent="0.25">
      <c r="A145" s="401" t="s">
        <v>655</v>
      </c>
      <c r="B145" s="401"/>
      <c r="C145" s="401"/>
      <c r="D145" s="401"/>
      <c r="E145" s="401"/>
      <c r="F145" s="401"/>
      <c r="G145" s="401"/>
      <c r="H145" s="401"/>
      <c r="I145" s="401"/>
      <c r="J145" s="401"/>
      <c r="K145" s="401"/>
      <c r="L145" s="401"/>
      <c r="M145" s="401"/>
      <c r="N145" s="401"/>
      <c r="O145" s="401"/>
    </row>
  </sheetData>
  <mergeCells count="159">
    <mergeCell ref="B136:D136"/>
    <mergeCell ref="B137:D137"/>
    <mergeCell ref="B138:D138"/>
    <mergeCell ref="A140:B140"/>
    <mergeCell ref="C140:D140"/>
    <mergeCell ref="A141:B141"/>
    <mergeCell ref="C141:D141"/>
    <mergeCell ref="A142:B142"/>
    <mergeCell ref="C142:D142"/>
    <mergeCell ref="A145:O145"/>
    <mergeCell ref="B131:D131"/>
    <mergeCell ref="B132:D132"/>
    <mergeCell ref="B133:D133"/>
    <mergeCell ref="B134:D134"/>
    <mergeCell ref="B135:D135"/>
    <mergeCell ref="B125:D125"/>
    <mergeCell ref="B126:D126"/>
    <mergeCell ref="B127:D127"/>
    <mergeCell ref="B128:D128"/>
    <mergeCell ref="B129:D129"/>
    <mergeCell ref="B130:D130"/>
    <mergeCell ref="B119:D119"/>
    <mergeCell ref="B120:D120"/>
    <mergeCell ref="B121:D121"/>
    <mergeCell ref="B122:D122"/>
    <mergeCell ref="B123:D123"/>
    <mergeCell ref="B124:D124"/>
    <mergeCell ref="B113:D113"/>
    <mergeCell ref="B114:D114"/>
    <mergeCell ref="B115:D115"/>
    <mergeCell ref="B116:D116"/>
    <mergeCell ref="B117:D117"/>
    <mergeCell ref="B118:D118"/>
    <mergeCell ref="B107:D107"/>
    <mergeCell ref="B108:D108"/>
    <mergeCell ref="B109:D109"/>
    <mergeCell ref="B110:D110"/>
    <mergeCell ref="B111:D111"/>
    <mergeCell ref="B112:D112"/>
    <mergeCell ref="B101:D101"/>
    <mergeCell ref="B102:D102"/>
    <mergeCell ref="B103:D103"/>
    <mergeCell ref="B104:D104"/>
    <mergeCell ref="B105:D105"/>
    <mergeCell ref="B106:D106"/>
    <mergeCell ref="B95:D95"/>
    <mergeCell ref="B96:D96"/>
    <mergeCell ref="B97:D97"/>
    <mergeCell ref="B98:D98"/>
    <mergeCell ref="B99:D99"/>
    <mergeCell ref="B100:D100"/>
    <mergeCell ref="B89:D89"/>
    <mergeCell ref="B90:D90"/>
    <mergeCell ref="B91:D91"/>
    <mergeCell ref="B92:D92"/>
    <mergeCell ref="B93:D93"/>
    <mergeCell ref="B94:D94"/>
    <mergeCell ref="B83:D83"/>
    <mergeCell ref="B84:D84"/>
    <mergeCell ref="B85:D85"/>
    <mergeCell ref="B86:D86"/>
    <mergeCell ref="B87:D87"/>
    <mergeCell ref="B88:D88"/>
    <mergeCell ref="B77:D77"/>
    <mergeCell ref="B78:D78"/>
    <mergeCell ref="B79:D79"/>
    <mergeCell ref="B80:D80"/>
    <mergeCell ref="B81:D81"/>
    <mergeCell ref="B82:D82"/>
    <mergeCell ref="B71:D71"/>
    <mergeCell ref="B72:D72"/>
    <mergeCell ref="B73:D73"/>
    <mergeCell ref="B74:D74"/>
    <mergeCell ref="B75:D75"/>
    <mergeCell ref="B76:D76"/>
    <mergeCell ref="B65:D65"/>
    <mergeCell ref="B66:D66"/>
    <mergeCell ref="B67:D67"/>
    <mergeCell ref="B68:D68"/>
    <mergeCell ref="B69:D69"/>
    <mergeCell ref="B70:D70"/>
    <mergeCell ref="B59:D59"/>
    <mergeCell ref="B60:D60"/>
    <mergeCell ref="B61:D61"/>
    <mergeCell ref="B62:D62"/>
    <mergeCell ref="B63:D63"/>
    <mergeCell ref="B64:D64"/>
    <mergeCell ref="B53:D53"/>
    <mergeCell ref="B54:D54"/>
    <mergeCell ref="B55:D55"/>
    <mergeCell ref="B56:D56"/>
    <mergeCell ref="B57:D57"/>
    <mergeCell ref="B58:D58"/>
    <mergeCell ref="B47:D47"/>
    <mergeCell ref="B48:D48"/>
    <mergeCell ref="B49:D49"/>
    <mergeCell ref="B50:D50"/>
    <mergeCell ref="B51:D51"/>
    <mergeCell ref="B52:D52"/>
    <mergeCell ref="B41:D41"/>
    <mergeCell ref="B42:D42"/>
    <mergeCell ref="B43:D43"/>
    <mergeCell ref="B44:D44"/>
    <mergeCell ref="B45:D45"/>
    <mergeCell ref="B46:D46"/>
    <mergeCell ref="B35:D35"/>
    <mergeCell ref="B36:D36"/>
    <mergeCell ref="B37:D37"/>
    <mergeCell ref="B38:D38"/>
    <mergeCell ref="B39:D39"/>
    <mergeCell ref="B40:D40"/>
    <mergeCell ref="B29:D29"/>
    <mergeCell ref="B30:D30"/>
    <mergeCell ref="B31:D31"/>
    <mergeCell ref="B32:D32"/>
    <mergeCell ref="B33:D33"/>
    <mergeCell ref="B34:D34"/>
    <mergeCell ref="B23:D23"/>
    <mergeCell ref="B24:D24"/>
    <mergeCell ref="B25:D25"/>
    <mergeCell ref="B26:D26"/>
    <mergeCell ref="B27:D27"/>
    <mergeCell ref="B28:D28"/>
    <mergeCell ref="B17:D17"/>
    <mergeCell ref="B18:D18"/>
    <mergeCell ref="B19:D19"/>
    <mergeCell ref="B20:D20"/>
    <mergeCell ref="B21:D21"/>
    <mergeCell ref="B22:D22"/>
    <mergeCell ref="B11:D11"/>
    <mergeCell ref="B12:D12"/>
    <mergeCell ref="B13:D13"/>
    <mergeCell ref="B14:D14"/>
    <mergeCell ref="B15:D15"/>
    <mergeCell ref="B16:D16"/>
    <mergeCell ref="A8:B8"/>
    <mergeCell ref="C8:E8"/>
    <mergeCell ref="F8:G8"/>
    <mergeCell ref="H8:J8"/>
    <mergeCell ref="A10:G10"/>
    <mergeCell ref="H10:O10"/>
    <mergeCell ref="A6:B6"/>
    <mergeCell ref="C6:E6"/>
    <mergeCell ref="F6:G6"/>
    <mergeCell ref="H6:J6"/>
    <mergeCell ref="L6:O6"/>
    <mergeCell ref="A7:B7"/>
    <mergeCell ref="C7:E7"/>
    <mergeCell ref="F7:G7"/>
    <mergeCell ref="H7:J7"/>
    <mergeCell ref="A1:C1"/>
    <mergeCell ref="D1:L2"/>
    <mergeCell ref="M1:O1"/>
    <mergeCell ref="D3:L3"/>
    <mergeCell ref="A5:B5"/>
    <mergeCell ref="C5:E5"/>
    <mergeCell ref="F5:G5"/>
    <mergeCell ref="H5:J5"/>
    <mergeCell ref="L5:O5"/>
  </mergeCells>
  <pageMargins left="0.20000000298023199" right="0.20000000298023199" top="0.20000000298023199" bottom="0.28999999165535001"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Raw Scale</vt:lpstr>
      <vt:lpstr>Plot Scale</vt:lpstr>
      <vt:lpstr>Compare</vt:lpstr>
      <vt:lpstr>Harvest</vt:lpstr>
      <vt:lpstr>Ginning - bulk</vt:lpstr>
      <vt:lpstr>Ginning data sheet</vt:lpstr>
      <vt:lpstr>Moisture content</vt:lpstr>
      <vt:lpstr>HVI</vt:lpstr>
      <vt:lpstr>'Ginning - bulk'!Print_Area</vt:lpstr>
      <vt:lpstr>'Ginning data sheet'!Print_Area</vt:lpstr>
      <vt:lpstr>Harvest!Print_Area</vt:lpstr>
      <vt:lpstr>'Moisture content'!Print_Area</vt:lpstr>
      <vt:lpstr>'Ginning - bulk'!Print_Titles</vt:lpstr>
      <vt:lpstr>'Ginning data sheet'!Print_Titles</vt:lpstr>
      <vt:lpstr>Harvest!Print_Titles</vt:lpstr>
      <vt:lpstr>'Moisture content'!Print_Titles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2022-05-13T17:57:34Z</dcterms:created>
  <dcterms:modified xsi:type="dcterms:W3CDTF">2025-05-27T21:36:15Z</dcterms:modified>
</cp:coreProperties>
</file>